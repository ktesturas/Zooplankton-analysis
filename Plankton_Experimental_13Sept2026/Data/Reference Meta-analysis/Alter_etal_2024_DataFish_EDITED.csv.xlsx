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testuras/Documents/02 Research Collaborations/Zooplankton CC/Zooplankton analysis/Plankton_Experimental_May2026/Data/Reference Meta-analysis/"/>
    </mc:Choice>
  </mc:AlternateContent>
  <xr:revisionPtr revIDLastSave="0" documentId="13_ncr:1_{D35D814F-1068-CB46-822B-6ED214A0D0FA}" xr6:coauthVersionLast="47" xr6:coauthVersionMax="47" xr10:uidLastSave="{00000000-0000-0000-0000-000000000000}"/>
  <bookViews>
    <workbookView xWindow="38400" yWindow="-21100" windowWidth="38400" windowHeight="21100" tabRatio="542" xr2:uid="{E0ACD8D8-C022-4FDE-9F99-D3523A166A76}"/>
  </bookViews>
  <sheets>
    <sheet name="DataFish" sheetId="1" r:id="rId1"/>
  </sheets>
  <definedNames>
    <definedName name="_xlnm._FilterDatabase" localSheetId="0" hidden="1">DataFish!$A$1:$BM$845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2" i="1" l="1"/>
  <c r="C115" i="1"/>
  <c r="C68" i="1"/>
  <c r="C435" i="1"/>
  <c r="C260" i="1"/>
  <c r="C259" i="1"/>
  <c r="C56" i="1"/>
  <c r="C86" i="1"/>
  <c r="C433" i="1"/>
  <c r="C784" i="1"/>
  <c r="C67" i="1"/>
  <c r="C258" i="1"/>
  <c r="C779" i="1"/>
  <c r="C159" i="1"/>
  <c r="C156" i="1"/>
  <c r="C66" i="1"/>
  <c r="C64" i="1"/>
  <c r="C223" i="1"/>
  <c r="C152" i="1"/>
  <c r="C222" i="1"/>
  <c r="C151" i="1"/>
  <c r="C150" i="1"/>
  <c r="C83" i="1"/>
  <c r="C114" i="1"/>
  <c r="C257" i="1"/>
  <c r="C63" i="1"/>
  <c r="C418" i="1"/>
  <c r="C256" i="1"/>
  <c r="C415" i="1"/>
  <c r="C82" i="1"/>
  <c r="C349" i="1"/>
  <c r="C681" i="1"/>
  <c r="C221" i="1"/>
  <c r="C29" i="1"/>
  <c r="C50" i="1"/>
  <c r="C28" i="1"/>
  <c r="C80" i="1"/>
  <c r="C27" i="1"/>
  <c r="C653" i="1"/>
  <c r="C609" i="1"/>
  <c r="C220" i="1"/>
  <c r="C148" i="1"/>
  <c r="C79" i="1"/>
  <c r="C142" i="1"/>
  <c r="C313" i="1"/>
  <c r="C343" i="1"/>
  <c r="C179" i="1"/>
  <c r="C199" i="1"/>
  <c r="C178" i="1"/>
  <c r="C177" i="1"/>
  <c r="C737" i="1"/>
  <c r="C538" i="1"/>
  <c r="C197" i="1"/>
  <c r="C118" i="1"/>
  <c r="C175" i="1"/>
  <c r="C623" i="1"/>
  <c r="C112" i="1"/>
  <c r="C582" i="1"/>
  <c r="C78" i="1"/>
  <c r="C77" i="1"/>
  <c r="C746" i="1"/>
  <c r="C26" i="1"/>
  <c r="C503" i="1"/>
  <c r="C110" i="1"/>
  <c r="C136" i="1"/>
  <c r="C400" i="1"/>
  <c r="C117" i="1"/>
  <c r="C116" i="1"/>
  <c r="C174" i="1"/>
  <c r="C827" i="1"/>
  <c r="C816" i="1"/>
  <c r="C398" i="1"/>
  <c r="C813" i="1"/>
  <c r="C47" i="1"/>
  <c r="C311" i="1"/>
  <c r="C34" i="1"/>
  <c r="C19" i="1"/>
  <c r="C255" i="1"/>
  <c r="C18" i="1"/>
  <c r="C252" i="1"/>
  <c r="C729" i="1"/>
  <c r="C307" i="1"/>
  <c r="C303" i="1"/>
  <c r="C720" i="1"/>
  <c r="C17" i="1"/>
  <c r="C16" i="1"/>
  <c r="C397" i="1"/>
  <c r="C76" i="1"/>
  <c r="C109" i="1"/>
  <c r="C39" i="1"/>
  <c r="C722" i="1"/>
  <c r="C556" i="1"/>
  <c r="C300" i="1"/>
  <c r="C8" i="1"/>
  <c r="C172" i="1"/>
  <c r="C295" i="1"/>
  <c r="C73" i="1"/>
  <c r="C288" i="1"/>
  <c r="C75" i="1"/>
  <c r="C74" i="1"/>
  <c r="C287" i="1"/>
  <c r="C193" i="1"/>
  <c r="C715" i="1"/>
  <c r="C622" i="1"/>
  <c r="C72" i="1"/>
  <c r="C71" i="1"/>
  <c r="C70" i="1"/>
  <c r="C189" i="1"/>
  <c r="C239" i="1"/>
  <c r="C69" i="1"/>
  <c r="C33" i="1"/>
  <c r="C44" i="1"/>
  <c r="C7" i="1"/>
  <c r="C43" i="1"/>
  <c r="C14" i="1"/>
  <c r="C6" i="1"/>
  <c r="C238" i="1"/>
  <c r="C187" i="1"/>
  <c r="C185" i="1"/>
  <c r="C184" i="1"/>
  <c r="C183" i="1"/>
  <c r="C181" i="1"/>
  <c r="C15" i="1"/>
  <c r="C42" i="1"/>
  <c r="C188" i="1"/>
  <c r="C41" i="1"/>
  <c r="C392" i="1"/>
  <c r="C171" i="1"/>
  <c r="C704" i="1"/>
  <c r="C13" i="1"/>
  <c r="C385" i="1"/>
  <c r="C12" i="1"/>
  <c r="C40" i="1"/>
  <c r="C99" i="1"/>
  <c r="C769" i="1"/>
  <c r="C107" i="1"/>
  <c r="C25" i="1"/>
  <c r="C807" i="1"/>
  <c r="C11" i="1"/>
  <c r="C236" i="1"/>
  <c r="C59" i="1"/>
  <c r="C54" i="1"/>
  <c r="C102" i="1"/>
  <c r="C128" i="1"/>
  <c r="C123" i="1"/>
  <c r="C9" i="1"/>
  <c r="C230" i="1"/>
  <c r="C91" i="1"/>
  <c r="C113" i="1"/>
  <c r="C90" i="1"/>
  <c r="C87" i="1"/>
  <c r="C347" i="1"/>
  <c r="C166" i="1"/>
  <c r="C669" i="1"/>
  <c r="C608" i="1"/>
  <c r="C644" i="1"/>
  <c r="C468" i="1"/>
  <c r="C342" i="1"/>
  <c r="C163" i="1"/>
  <c r="C210" i="1"/>
  <c r="C38" i="1"/>
  <c r="C24" i="1"/>
  <c r="C202" i="1"/>
  <c r="C62" i="1"/>
  <c r="C201" i="1"/>
  <c r="C61" i="1"/>
  <c r="C229" i="1"/>
  <c r="C23" i="1"/>
  <c r="C228" i="1"/>
  <c r="C101" i="1"/>
  <c r="C5" i="1"/>
  <c r="C106" i="1"/>
  <c r="C132" i="1"/>
  <c r="C22" i="1"/>
  <c r="C49" i="1"/>
  <c r="C541" i="1"/>
  <c r="C4" i="1"/>
  <c r="C131" i="1"/>
  <c r="C60" i="1"/>
  <c r="C616" i="1"/>
  <c r="C285" i="1"/>
  <c r="C32" i="1"/>
  <c r="C48" i="1"/>
  <c r="C129" i="1"/>
  <c r="C161" i="1"/>
  <c r="C283" i="1"/>
  <c r="C31" i="1"/>
  <c r="C340" i="1"/>
  <c r="C629" i="1"/>
  <c r="C339" i="1"/>
  <c r="C37" i="1"/>
  <c r="C200" i="1"/>
  <c r="C219" i="1"/>
  <c r="C593" i="1"/>
  <c r="C227" i="1"/>
  <c r="C120" i="1"/>
  <c r="C21" i="1"/>
  <c r="C20" i="1"/>
  <c r="C226" i="1"/>
  <c r="C337" i="1"/>
  <c r="C768" i="1"/>
  <c r="C756" i="1"/>
  <c r="C100" i="1"/>
  <c r="C281" i="1"/>
  <c r="C335" i="1"/>
  <c r="C334" i="1"/>
  <c r="C330" i="1"/>
  <c r="C328" i="1"/>
  <c r="C752" i="1"/>
  <c r="C119" i="1"/>
  <c r="C36" i="1"/>
  <c r="C35" i="1"/>
  <c r="C276" i="1"/>
  <c r="C274" i="1"/>
  <c r="C251" i="1"/>
  <c r="C250" i="1"/>
  <c r="C249" i="1"/>
  <c r="C247" i="1"/>
  <c r="C245" i="1"/>
  <c r="C244" i="1"/>
  <c r="C242" i="1"/>
  <c r="C241" i="1"/>
  <c r="C271" i="1"/>
  <c r="C46" i="1"/>
  <c r="C341" i="1"/>
  <c r="C805" i="1"/>
  <c r="C45" i="1"/>
  <c r="C104" i="1"/>
  <c r="C458" i="1"/>
  <c r="C795" i="1"/>
  <c r="C346" i="1"/>
  <c r="C658" i="1"/>
  <c r="C127" i="1"/>
  <c r="C126" i="1"/>
  <c r="C53" i="1"/>
  <c r="C58" i="1"/>
  <c r="C696" i="1"/>
  <c r="C745" i="1"/>
  <c r="C369" i="1"/>
  <c r="C362" i="1"/>
  <c r="C353" i="1"/>
  <c r="C377" i="1"/>
  <c r="C371" i="1"/>
  <c r="C370" i="1"/>
  <c r="C57" i="1"/>
  <c r="C739" i="1"/>
  <c r="C453" i="1"/>
  <c r="C450" i="1"/>
  <c r="C446" i="1"/>
  <c r="C439" i="1"/>
  <c r="C216" i="1"/>
  <c r="C215" i="1"/>
  <c r="C267" i="1"/>
  <c r="C317" i="1"/>
  <c r="C691" i="1"/>
  <c r="C451" i="1"/>
  <c r="C683" i="1"/>
  <c r="C30" i="1"/>
  <c r="C212" i="1"/>
  <c r="C264" i="1"/>
  <c r="B264" i="1"/>
  <c r="B262" i="1"/>
  <c r="B115" i="1"/>
  <c r="B68" i="1"/>
  <c r="B435" i="1"/>
  <c r="B260" i="1"/>
  <c r="B259" i="1"/>
  <c r="B56" i="1"/>
  <c r="B86" i="1"/>
  <c r="B433" i="1"/>
  <c r="B784" i="1"/>
  <c r="B67" i="1"/>
  <c r="B258" i="1"/>
  <c r="B779" i="1"/>
  <c r="B159" i="1"/>
  <c r="B156" i="1"/>
  <c r="B66" i="1"/>
  <c r="B64" i="1"/>
  <c r="B223" i="1"/>
  <c r="B152" i="1"/>
  <c r="B222" i="1"/>
  <c r="B151" i="1"/>
  <c r="B150" i="1"/>
  <c r="B83" i="1"/>
  <c r="B114" i="1"/>
  <c r="B257" i="1"/>
  <c r="B63" i="1"/>
  <c r="B418" i="1"/>
  <c r="B256" i="1"/>
  <c r="B415" i="1"/>
  <c r="B82" i="1"/>
  <c r="B349" i="1"/>
  <c r="B681" i="1"/>
  <c r="B221" i="1"/>
  <c r="B29" i="1"/>
  <c r="B50" i="1"/>
  <c r="B28" i="1"/>
  <c r="B80" i="1"/>
  <c r="B27" i="1"/>
  <c r="B653" i="1"/>
  <c r="B609" i="1"/>
  <c r="B220" i="1"/>
  <c r="B148" i="1"/>
  <c r="B79" i="1"/>
  <c r="B142" i="1"/>
  <c r="B313" i="1"/>
  <c r="B343" i="1"/>
  <c r="B179" i="1"/>
  <c r="B199" i="1"/>
  <c r="B178" i="1"/>
  <c r="B177" i="1"/>
  <c r="B737" i="1"/>
  <c r="B538" i="1"/>
  <c r="B197" i="1"/>
  <c r="B118" i="1"/>
  <c r="B175" i="1"/>
  <c r="B623" i="1"/>
  <c r="B112" i="1"/>
  <c r="B582" i="1"/>
  <c r="B78" i="1"/>
  <c r="B77" i="1"/>
  <c r="B746" i="1"/>
  <c r="B26" i="1"/>
  <c r="B503" i="1"/>
  <c r="B110" i="1"/>
  <c r="B136" i="1"/>
  <c r="B400" i="1"/>
  <c r="B117" i="1"/>
  <c r="B116" i="1"/>
  <c r="B174" i="1"/>
  <c r="B827" i="1"/>
  <c r="B816" i="1"/>
  <c r="B398" i="1"/>
  <c r="B813" i="1"/>
  <c r="B47" i="1"/>
  <c r="B311" i="1"/>
  <c r="B34" i="1"/>
  <c r="B19" i="1"/>
  <c r="B255" i="1"/>
  <c r="B18" i="1"/>
  <c r="B252" i="1"/>
  <c r="B729" i="1"/>
  <c r="B307" i="1"/>
  <c r="B303" i="1"/>
  <c r="B720" i="1"/>
  <c r="B17" i="1"/>
  <c r="B16" i="1"/>
  <c r="B397" i="1"/>
  <c r="B76" i="1"/>
  <c r="B109" i="1"/>
  <c r="B39" i="1"/>
  <c r="B722" i="1"/>
  <c r="B556" i="1"/>
  <c r="B300" i="1"/>
  <c r="B8" i="1"/>
  <c r="B172" i="1"/>
  <c r="B295" i="1"/>
  <c r="B73" i="1"/>
  <c r="B288" i="1"/>
  <c r="B75" i="1"/>
  <c r="B74" i="1"/>
  <c r="B287" i="1"/>
  <c r="B193" i="1"/>
  <c r="B715" i="1"/>
  <c r="B622" i="1"/>
  <c r="B72" i="1"/>
  <c r="B71" i="1"/>
  <c r="B70" i="1"/>
  <c r="B189" i="1"/>
  <c r="B239" i="1"/>
  <c r="B69" i="1"/>
  <c r="B33" i="1"/>
  <c r="B44" i="1"/>
  <c r="B7" i="1"/>
  <c r="B43" i="1"/>
  <c r="B14" i="1"/>
  <c r="B6" i="1"/>
  <c r="B238" i="1"/>
  <c r="B187" i="1"/>
  <c r="B185" i="1"/>
  <c r="B184" i="1"/>
  <c r="B183" i="1"/>
  <c r="B181" i="1"/>
  <c r="B15" i="1"/>
  <c r="B42" i="1"/>
  <c r="B188" i="1"/>
  <c r="B41" i="1"/>
  <c r="B392" i="1"/>
  <c r="B171" i="1"/>
  <c r="B704" i="1"/>
  <c r="B13" i="1"/>
  <c r="B385" i="1"/>
  <c r="B12" i="1"/>
  <c r="B40" i="1"/>
  <c r="B99" i="1"/>
  <c r="B769" i="1"/>
  <c r="B107" i="1"/>
  <c r="B25" i="1"/>
  <c r="B807" i="1"/>
  <c r="B11" i="1"/>
  <c r="B236" i="1"/>
  <c r="B59" i="1"/>
  <c r="B54" i="1"/>
  <c r="B102" i="1"/>
  <c r="B128" i="1"/>
  <c r="B123" i="1"/>
  <c r="B9" i="1"/>
  <c r="B230" i="1"/>
  <c r="B91" i="1"/>
  <c r="B113" i="1"/>
  <c r="B90" i="1"/>
  <c r="B87" i="1"/>
  <c r="B347" i="1"/>
  <c r="B166" i="1"/>
  <c r="B669" i="1"/>
  <c r="B608" i="1"/>
  <c r="B644" i="1"/>
  <c r="B468" i="1"/>
  <c r="B342" i="1"/>
  <c r="B163" i="1"/>
  <c r="B210" i="1"/>
  <c r="B38" i="1"/>
  <c r="B24" i="1"/>
  <c r="B202" i="1"/>
  <c r="B62" i="1"/>
  <c r="B201" i="1"/>
  <c r="B61" i="1"/>
  <c r="B229" i="1"/>
  <c r="B23" i="1"/>
  <c r="B228" i="1"/>
  <c r="B101" i="1"/>
  <c r="B5" i="1"/>
  <c r="B106" i="1"/>
  <c r="B132" i="1"/>
  <c r="B22" i="1"/>
  <c r="B49" i="1"/>
  <c r="B541" i="1"/>
  <c r="B4" i="1"/>
  <c r="B131" i="1"/>
  <c r="B60" i="1"/>
  <c r="B616" i="1"/>
  <c r="B285" i="1"/>
  <c r="B32" i="1"/>
  <c r="B48" i="1"/>
  <c r="B129" i="1"/>
  <c r="B161" i="1"/>
  <c r="B283" i="1"/>
  <c r="B31" i="1"/>
  <c r="B340" i="1"/>
  <c r="B629" i="1"/>
  <c r="B339" i="1"/>
  <c r="B37" i="1"/>
  <c r="B200" i="1"/>
  <c r="B219" i="1"/>
  <c r="B593" i="1"/>
  <c r="B227" i="1"/>
  <c r="B120" i="1"/>
  <c r="B21" i="1"/>
  <c r="B20" i="1"/>
  <c r="B226" i="1"/>
  <c r="B337" i="1"/>
  <c r="B768" i="1"/>
  <c r="B756" i="1"/>
  <c r="B100" i="1"/>
  <c r="B281" i="1"/>
  <c r="B335" i="1"/>
  <c r="B334" i="1"/>
  <c r="B330" i="1"/>
  <c r="B328" i="1"/>
  <c r="B752" i="1"/>
  <c r="B119" i="1"/>
  <c r="B36" i="1"/>
  <c r="B35" i="1"/>
  <c r="B276" i="1"/>
  <c r="B274" i="1"/>
  <c r="B251" i="1"/>
  <c r="B250" i="1"/>
  <c r="B249" i="1"/>
  <c r="B247" i="1"/>
  <c r="B245" i="1"/>
  <c r="B244" i="1"/>
  <c r="B242" i="1"/>
  <c r="B241" i="1"/>
  <c r="B271" i="1"/>
  <c r="B46" i="1"/>
  <c r="B341" i="1"/>
  <c r="B805" i="1"/>
  <c r="B45" i="1"/>
  <c r="B104" i="1"/>
  <c r="B458" i="1"/>
  <c r="B795" i="1"/>
  <c r="B346" i="1"/>
  <c r="B658" i="1"/>
  <c r="B127" i="1"/>
  <c r="B126" i="1"/>
  <c r="B53" i="1"/>
  <c r="B58" i="1"/>
  <c r="B696" i="1"/>
  <c r="B745" i="1"/>
  <c r="B369" i="1"/>
  <c r="B362" i="1"/>
  <c r="B353" i="1"/>
  <c r="B377" i="1"/>
  <c r="B371" i="1"/>
  <c r="B370" i="1"/>
  <c r="B57" i="1"/>
  <c r="B739" i="1"/>
  <c r="B453" i="1"/>
  <c r="B450" i="1"/>
  <c r="B446" i="1"/>
  <c r="B439" i="1"/>
  <c r="B216" i="1"/>
  <c r="B215" i="1"/>
  <c r="B267" i="1"/>
  <c r="B317" i="1"/>
  <c r="B691" i="1"/>
  <c r="B451" i="1"/>
  <c r="B683" i="1"/>
  <c r="B30" i="1"/>
  <c r="B212" i="1"/>
  <c r="BG262" i="1"/>
  <c r="BG115" i="1"/>
  <c r="BG68" i="1"/>
  <c r="BG435" i="1"/>
  <c r="BG260" i="1"/>
  <c r="BG259" i="1"/>
  <c r="BG56" i="1"/>
  <c r="BG86" i="1"/>
  <c r="BG433" i="1"/>
  <c r="BG784" i="1"/>
  <c r="BG67" i="1"/>
  <c r="BG258" i="1"/>
  <c r="BG779" i="1"/>
  <c r="BG159" i="1"/>
  <c r="BG156" i="1"/>
  <c r="BG66" i="1"/>
  <c r="BG64" i="1"/>
  <c r="BG223" i="1"/>
  <c r="BG152" i="1"/>
  <c r="BG222" i="1"/>
  <c r="BG151" i="1"/>
  <c r="BG150" i="1"/>
  <c r="BG83" i="1"/>
  <c r="BG114" i="1"/>
  <c r="BG257" i="1"/>
  <c r="BG63" i="1"/>
  <c r="BG418" i="1"/>
  <c r="BG256" i="1"/>
  <c r="BG415" i="1"/>
  <c r="BG82" i="1"/>
  <c r="BG349" i="1"/>
  <c r="BG681" i="1"/>
  <c r="BG221" i="1"/>
  <c r="BG29" i="1"/>
  <c r="BG50" i="1"/>
  <c r="BG28" i="1"/>
  <c r="BG80" i="1"/>
  <c r="BG27" i="1"/>
  <c r="BG653" i="1"/>
  <c r="BG609" i="1"/>
  <c r="BG220" i="1"/>
  <c r="BG148" i="1"/>
  <c r="BG79" i="1"/>
  <c r="BG142" i="1"/>
  <c r="BG313" i="1"/>
  <c r="BG343" i="1"/>
  <c r="BG179" i="1"/>
  <c r="BG199" i="1"/>
  <c r="BG178" i="1"/>
  <c r="BG177" i="1"/>
  <c r="BG737" i="1"/>
  <c r="BG538" i="1"/>
  <c r="BG197" i="1"/>
  <c r="BG118" i="1"/>
  <c r="BG175" i="1"/>
  <c r="BG623" i="1"/>
  <c r="BG112" i="1"/>
  <c r="BG582" i="1"/>
  <c r="BG78" i="1"/>
  <c r="BG77" i="1"/>
  <c r="BG746" i="1"/>
  <c r="BG26" i="1"/>
  <c r="BG503" i="1"/>
  <c r="BG110" i="1"/>
  <c r="BG136" i="1"/>
  <c r="BG400" i="1"/>
  <c r="BG117" i="1"/>
  <c r="BG116" i="1"/>
  <c r="BG174" i="1"/>
  <c r="BG827" i="1"/>
  <c r="BG816" i="1"/>
  <c r="BG398" i="1"/>
  <c r="BG813" i="1"/>
  <c r="BG47" i="1"/>
  <c r="BG311" i="1"/>
  <c r="BG34" i="1"/>
  <c r="BG19" i="1"/>
  <c r="BG255" i="1"/>
  <c r="BG18" i="1"/>
  <c r="BG252" i="1"/>
  <c r="BG729" i="1"/>
  <c r="BG307" i="1"/>
  <c r="BG303" i="1"/>
  <c r="BG720" i="1"/>
  <c r="BG17" i="1"/>
  <c r="BG16" i="1"/>
  <c r="BG397" i="1"/>
  <c r="BG76" i="1"/>
  <c r="BG109" i="1"/>
  <c r="BG39" i="1"/>
  <c r="BG722" i="1"/>
  <c r="BG556" i="1"/>
  <c r="BG300" i="1"/>
  <c r="BG8" i="1"/>
  <c r="BG172" i="1"/>
  <c r="BG295" i="1"/>
  <c r="BG73" i="1"/>
  <c r="BG288" i="1"/>
  <c r="BG75" i="1"/>
  <c r="BG74" i="1"/>
  <c r="BG287" i="1"/>
  <c r="BG193" i="1"/>
  <c r="BG715" i="1"/>
  <c r="BG622" i="1"/>
  <c r="BG72" i="1"/>
  <c r="BG71" i="1"/>
  <c r="BG70" i="1"/>
  <c r="BG189" i="1"/>
  <c r="BG239" i="1"/>
  <c r="BG69" i="1"/>
  <c r="BG33" i="1"/>
  <c r="BG44" i="1"/>
  <c r="BG7" i="1"/>
  <c r="BG43" i="1"/>
  <c r="BG14" i="1"/>
  <c r="BG6" i="1"/>
  <c r="BG238" i="1"/>
  <c r="BG187" i="1"/>
  <c r="BG185" i="1"/>
  <c r="BG184" i="1"/>
  <c r="BG183" i="1"/>
  <c r="BG181" i="1"/>
  <c r="BG15" i="1"/>
  <c r="BG42" i="1"/>
  <c r="BG188" i="1"/>
  <c r="BG41" i="1"/>
  <c r="BG392" i="1"/>
  <c r="BG171" i="1"/>
  <c r="BG704" i="1"/>
  <c r="BG13" i="1"/>
  <c r="BG385" i="1"/>
  <c r="BG12" i="1"/>
  <c r="BG40" i="1"/>
  <c r="BG99" i="1"/>
  <c r="BG769" i="1"/>
  <c r="BG107" i="1"/>
  <c r="BG25" i="1"/>
  <c r="BG807" i="1"/>
  <c r="BG11" i="1"/>
  <c r="BG236" i="1"/>
  <c r="BG59" i="1"/>
  <c r="BG54" i="1"/>
  <c r="BG102" i="1"/>
  <c r="BG128" i="1"/>
  <c r="BG123" i="1"/>
  <c r="BG9" i="1"/>
  <c r="BG230" i="1"/>
  <c r="BG91" i="1"/>
  <c r="BG113" i="1"/>
  <c r="BG90" i="1"/>
  <c r="BG87" i="1"/>
  <c r="BG347" i="1"/>
  <c r="BG166" i="1"/>
  <c r="BG669" i="1"/>
  <c r="BG608" i="1"/>
  <c r="BG644" i="1"/>
  <c r="BG468" i="1"/>
  <c r="BG342" i="1"/>
  <c r="BG163" i="1"/>
  <c r="BG210" i="1"/>
  <c r="BG38" i="1"/>
  <c r="BG24" i="1"/>
  <c r="BG202" i="1"/>
  <c r="BG62" i="1"/>
  <c r="BG201" i="1"/>
  <c r="BG61" i="1"/>
  <c r="BG229" i="1"/>
  <c r="BG23" i="1"/>
  <c r="BG228" i="1"/>
  <c r="BG101" i="1"/>
  <c r="BG5" i="1"/>
  <c r="BG106" i="1"/>
  <c r="BG132" i="1"/>
  <c r="BG22" i="1"/>
  <c r="BG49" i="1"/>
  <c r="BG541" i="1"/>
  <c r="BG4" i="1"/>
  <c r="BG131" i="1"/>
  <c r="BG60" i="1"/>
  <c r="BG616" i="1"/>
  <c r="BG285" i="1"/>
  <c r="BG32" i="1"/>
  <c r="BG48" i="1"/>
  <c r="BG129" i="1"/>
  <c r="BG161" i="1"/>
  <c r="BG283" i="1"/>
  <c r="BG31" i="1"/>
  <c r="BG340" i="1"/>
  <c r="BG629" i="1"/>
  <c r="BG339" i="1"/>
  <c r="BG37" i="1"/>
  <c r="BG200" i="1"/>
  <c r="BG219" i="1"/>
  <c r="BG593" i="1"/>
  <c r="BG227" i="1"/>
  <c r="BG120" i="1"/>
  <c r="BG21" i="1"/>
  <c r="BG20" i="1"/>
  <c r="BG226" i="1"/>
  <c r="BG337" i="1"/>
  <c r="BG768" i="1"/>
  <c r="BG756" i="1"/>
  <c r="BG100" i="1"/>
  <c r="BG281" i="1"/>
  <c r="BG335" i="1"/>
  <c r="BG334" i="1"/>
  <c r="BG330" i="1"/>
  <c r="BG328" i="1"/>
  <c r="BG752" i="1"/>
  <c r="BG119" i="1"/>
  <c r="BG36" i="1"/>
  <c r="BG35" i="1"/>
  <c r="BG276" i="1"/>
  <c r="BG274" i="1"/>
  <c r="BG251" i="1"/>
  <c r="BG250" i="1"/>
  <c r="BG249" i="1"/>
  <c r="BG247" i="1"/>
  <c r="BG245" i="1"/>
  <c r="BG244" i="1"/>
  <c r="BG242" i="1"/>
  <c r="BG241" i="1"/>
  <c r="BG271" i="1"/>
  <c r="BG46" i="1"/>
  <c r="BG341" i="1"/>
  <c r="BG805" i="1"/>
  <c r="BG45" i="1"/>
  <c r="BG104" i="1"/>
  <c r="BG458" i="1"/>
  <c r="BG795" i="1"/>
  <c r="BG346" i="1"/>
  <c r="BG658" i="1"/>
  <c r="BG127" i="1"/>
  <c r="BG126" i="1"/>
  <c r="BG53" i="1"/>
  <c r="BG58" i="1"/>
  <c r="BG696" i="1"/>
  <c r="BG745" i="1"/>
  <c r="BG369" i="1"/>
  <c r="BG362" i="1"/>
  <c r="BG353" i="1"/>
  <c r="BG377" i="1"/>
  <c r="BG371" i="1"/>
  <c r="BG370" i="1"/>
  <c r="BG57" i="1"/>
  <c r="BG739" i="1"/>
  <c r="BG453" i="1"/>
  <c r="BG317" i="1"/>
  <c r="BG450" i="1"/>
  <c r="BG446" i="1"/>
  <c r="BG439" i="1"/>
  <c r="BG216" i="1"/>
  <c r="BG215" i="1"/>
  <c r="BG267" i="1"/>
  <c r="BG691" i="1"/>
  <c r="BG451" i="1"/>
  <c r="BG683" i="1"/>
  <c r="BG30" i="1"/>
  <c r="BG212" i="1"/>
  <c r="BG264" i="1"/>
  <c r="BB262" i="1"/>
  <c r="BB115" i="1"/>
  <c r="BB68" i="1"/>
  <c r="BB435" i="1"/>
  <c r="BB260" i="1"/>
  <c r="BB259" i="1"/>
  <c r="BB56" i="1"/>
  <c r="BB86" i="1"/>
  <c r="BB433" i="1"/>
  <c r="BB784" i="1"/>
  <c r="BB67" i="1"/>
  <c r="BB258" i="1"/>
  <c r="BB779" i="1"/>
  <c r="BB159" i="1"/>
  <c r="BB156" i="1"/>
  <c r="BB66" i="1"/>
  <c r="BB64" i="1"/>
  <c r="BB223" i="1"/>
  <c r="BB152" i="1"/>
  <c r="BB222" i="1"/>
  <c r="BB151" i="1"/>
  <c r="BB150" i="1"/>
  <c r="BB83" i="1"/>
  <c r="BB114" i="1"/>
  <c r="BB257" i="1"/>
  <c r="BB63" i="1"/>
  <c r="BB418" i="1"/>
  <c r="BB256" i="1"/>
  <c r="BB415" i="1"/>
  <c r="BB82" i="1"/>
  <c r="BB349" i="1"/>
  <c r="BB681" i="1"/>
  <c r="BB221" i="1"/>
  <c r="BB29" i="1"/>
  <c r="BB50" i="1"/>
  <c r="BB28" i="1"/>
  <c r="BB80" i="1"/>
  <c r="BB27" i="1"/>
  <c r="BB653" i="1"/>
  <c r="BB609" i="1"/>
  <c r="BB220" i="1"/>
  <c r="BB148" i="1"/>
  <c r="BB79" i="1"/>
  <c r="BB142" i="1"/>
  <c r="BB313" i="1"/>
  <c r="BB343" i="1"/>
  <c r="BB179" i="1"/>
  <c r="BB199" i="1"/>
  <c r="BB178" i="1"/>
  <c r="BB177" i="1"/>
  <c r="BB737" i="1"/>
  <c r="BB538" i="1"/>
  <c r="BB197" i="1"/>
  <c r="BB118" i="1"/>
  <c r="BB175" i="1"/>
  <c r="BB623" i="1"/>
  <c r="BB112" i="1"/>
  <c r="BB582" i="1"/>
  <c r="BB78" i="1"/>
  <c r="BB77" i="1"/>
  <c r="BB746" i="1"/>
  <c r="BB26" i="1"/>
  <c r="BB503" i="1"/>
  <c r="BB110" i="1"/>
  <c r="BB136" i="1"/>
  <c r="BB400" i="1"/>
  <c r="BB117" i="1"/>
  <c r="BB116" i="1"/>
  <c r="BB174" i="1"/>
  <c r="BB827" i="1"/>
  <c r="BB816" i="1"/>
  <c r="BB398" i="1"/>
  <c r="BB813" i="1"/>
  <c r="BB47" i="1"/>
  <c r="BB311" i="1"/>
  <c r="BB34" i="1"/>
  <c r="BB19" i="1"/>
  <c r="BB255" i="1"/>
  <c r="BB18" i="1"/>
  <c r="BB252" i="1"/>
  <c r="BB729" i="1"/>
  <c r="BB307" i="1"/>
  <c r="BB303" i="1"/>
  <c r="BB720" i="1"/>
  <c r="BB17" i="1"/>
  <c r="BB16" i="1"/>
  <c r="BB397" i="1"/>
  <c r="BB76" i="1"/>
  <c r="BB109" i="1"/>
  <c r="BB39" i="1"/>
  <c r="BB722" i="1"/>
  <c r="BB556" i="1"/>
  <c r="BB300" i="1"/>
  <c r="BB8" i="1"/>
  <c r="BB172" i="1"/>
  <c r="BB295" i="1"/>
  <c r="BB73" i="1"/>
  <c r="BB288" i="1"/>
  <c r="BB75" i="1"/>
  <c r="BB74" i="1"/>
  <c r="BB287" i="1"/>
  <c r="BB193" i="1"/>
  <c r="BB715" i="1"/>
  <c r="BB622" i="1"/>
  <c r="BB72" i="1"/>
  <c r="BB71" i="1"/>
  <c r="BB70" i="1"/>
  <c r="BB189" i="1"/>
  <c r="BB239" i="1"/>
  <c r="BB69" i="1"/>
  <c r="BB33" i="1"/>
  <c r="BB44" i="1"/>
  <c r="BB7" i="1"/>
  <c r="BB43" i="1"/>
  <c r="BB14" i="1"/>
  <c r="BB6" i="1"/>
  <c r="BB238" i="1"/>
  <c r="BB187" i="1"/>
  <c r="BB185" i="1"/>
  <c r="BB184" i="1"/>
  <c r="BB183" i="1"/>
  <c r="BB181" i="1"/>
  <c r="BB15" i="1"/>
  <c r="BB42" i="1"/>
  <c r="BB188" i="1"/>
  <c r="BB41" i="1"/>
  <c r="BB392" i="1"/>
  <c r="BB171" i="1"/>
  <c r="BB704" i="1"/>
  <c r="BB13" i="1"/>
  <c r="BB385" i="1"/>
  <c r="BB12" i="1"/>
  <c r="BB40" i="1"/>
  <c r="BB99" i="1"/>
  <c r="BB769" i="1"/>
  <c r="BB107" i="1"/>
  <c r="BB25" i="1"/>
  <c r="BB807" i="1"/>
  <c r="BB11" i="1"/>
  <c r="BB236" i="1"/>
  <c r="BB59" i="1"/>
  <c r="BB54" i="1"/>
  <c r="BB102" i="1"/>
  <c r="BB128" i="1"/>
  <c r="BB123" i="1"/>
  <c r="BB9" i="1"/>
  <c r="BB230" i="1"/>
  <c r="BB91" i="1"/>
  <c r="BB113" i="1"/>
  <c r="BB90" i="1"/>
  <c r="BB87" i="1"/>
  <c r="BB347" i="1"/>
  <c r="BB166" i="1"/>
  <c r="BB669" i="1"/>
  <c r="BB608" i="1"/>
  <c r="BB644" i="1"/>
  <c r="BB468" i="1"/>
  <c r="BB342" i="1"/>
  <c r="BB163" i="1"/>
  <c r="BB210" i="1"/>
  <c r="BB38" i="1"/>
  <c r="BB24" i="1"/>
  <c r="BB202" i="1"/>
  <c r="BB62" i="1"/>
  <c r="BB201" i="1"/>
  <c r="BB61" i="1"/>
  <c r="BB229" i="1"/>
  <c r="BB23" i="1"/>
  <c r="BB228" i="1"/>
  <c r="BB101" i="1"/>
  <c r="BB5" i="1"/>
  <c r="BB106" i="1"/>
  <c r="BB132" i="1"/>
  <c r="BB22" i="1"/>
  <c r="BB49" i="1"/>
  <c r="BB541" i="1"/>
  <c r="BB4" i="1"/>
  <c r="BB131" i="1"/>
  <c r="BB60" i="1"/>
  <c r="BB616" i="1"/>
  <c r="BB285" i="1"/>
  <c r="BB32" i="1"/>
  <c r="BB48" i="1"/>
  <c r="BB129" i="1"/>
  <c r="BB161" i="1"/>
  <c r="BB283" i="1"/>
  <c r="BB31" i="1"/>
  <c r="BB340" i="1"/>
  <c r="BB629" i="1"/>
  <c r="BB339" i="1"/>
  <c r="BB37" i="1"/>
  <c r="BB200" i="1"/>
  <c r="BB219" i="1"/>
  <c r="BB593" i="1"/>
  <c r="BB227" i="1"/>
  <c r="BB120" i="1"/>
  <c r="BB21" i="1"/>
  <c r="BB20" i="1"/>
  <c r="BB226" i="1"/>
  <c r="BB337" i="1"/>
  <c r="BB768" i="1"/>
  <c r="BB756" i="1"/>
  <c r="BB100" i="1"/>
  <c r="BB281" i="1"/>
  <c r="BB335" i="1"/>
  <c r="BB334" i="1"/>
  <c r="BB330" i="1"/>
  <c r="BB328" i="1"/>
  <c r="BB752" i="1"/>
  <c r="BB119" i="1"/>
  <c r="BB36" i="1"/>
  <c r="BB35" i="1"/>
  <c r="BB276" i="1"/>
  <c r="BB274" i="1"/>
  <c r="BB251" i="1"/>
  <c r="BB250" i="1"/>
  <c r="BB249" i="1"/>
  <c r="BB247" i="1"/>
  <c r="BB245" i="1"/>
  <c r="BB244" i="1"/>
  <c r="BB242" i="1"/>
  <c r="BB241" i="1"/>
  <c r="BB271" i="1"/>
  <c r="BB46" i="1"/>
  <c r="BB341" i="1"/>
  <c r="BB805" i="1"/>
  <c r="BB45" i="1"/>
  <c r="BB104" i="1"/>
  <c r="BB458" i="1"/>
  <c r="BB795" i="1"/>
  <c r="BB346" i="1"/>
  <c r="BB658" i="1"/>
  <c r="BB127" i="1"/>
  <c r="BB126" i="1"/>
  <c r="BB53" i="1"/>
  <c r="BB58" i="1"/>
  <c r="BB696" i="1"/>
  <c r="BB745" i="1"/>
  <c r="BB369" i="1"/>
  <c r="BB362" i="1"/>
  <c r="BB353" i="1"/>
  <c r="BB377" i="1"/>
  <c r="BB371" i="1"/>
  <c r="BB370" i="1"/>
  <c r="BB57" i="1"/>
  <c r="BB739" i="1"/>
  <c r="BB453" i="1"/>
  <c r="BB450" i="1"/>
  <c r="BB446" i="1"/>
  <c r="BB439" i="1"/>
  <c r="BB216" i="1"/>
  <c r="BB215" i="1"/>
  <c r="BB267" i="1"/>
  <c r="BB317" i="1"/>
  <c r="BB691" i="1"/>
  <c r="BB451" i="1"/>
  <c r="BB683" i="1"/>
  <c r="BB30" i="1"/>
  <c r="BB212" i="1"/>
  <c r="BB264" i="1"/>
</calcChain>
</file>

<file path=xl/sharedStrings.xml><?xml version="1.0" encoding="utf-8"?>
<sst xmlns="http://schemas.openxmlformats.org/spreadsheetml/2006/main" count="26025" uniqueCount="550">
  <si>
    <t>status</t>
  </si>
  <si>
    <t>PaperYear</t>
  </si>
  <si>
    <t>PaperAuthor</t>
  </si>
  <si>
    <t>Journal</t>
  </si>
  <si>
    <t>Family</t>
  </si>
  <si>
    <t>Species</t>
  </si>
  <si>
    <t>ClimaticZone</t>
  </si>
  <si>
    <t xml:space="preserve">Climatic </t>
  </si>
  <si>
    <t>Habitat</t>
  </si>
  <si>
    <t>LifeStage</t>
  </si>
  <si>
    <t>WildType</t>
  </si>
  <si>
    <t>Development</t>
  </si>
  <si>
    <t>CO2Treatment</t>
  </si>
  <si>
    <t>TempTreatment</t>
  </si>
  <si>
    <t>CO2ppmC</t>
  </si>
  <si>
    <t>CO2ppmCS.E.</t>
  </si>
  <si>
    <t>CO2ppmC S.D.</t>
  </si>
  <si>
    <t>pH scale</t>
  </si>
  <si>
    <t>pH C</t>
  </si>
  <si>
    <t>pH C S.E.</t>
  </si>
  <si>
    <t>pH C S.D.</t>
  </si>
  <si>
    <t>CO2ppmI</t>
  </si>
  <si>
    <t>CO2ppmI S.E.</t>
  </si>
  <si>
    <t>CO2ppmI S.D.</t>
  </si>
  <si>
    <t>Ph I</t>
  </si>
  <si>
    <t>Ph I S.E.</t>
  </si>
  <si>
    <t>Ph I S.D.</t>
  </si>
  <si>
    <t>TempC</t>
  </si>
  <si>
    <t>TempC S.E.</t>
  </si>
  <si>
    <t>TempC S.D.</t>
  </si>
  <si>
    <t>TempI</t>
  </si>
  <si>
    <t>TempI S.E.</t>
  </si>
  <si>
    <t>TempI S.D.</t>
  </si>
  <si>
    <t>DiffpCO2</t>
  </si>
  <si>
    <t>DiffT</t>
  </si>
  <si>
    <t>Other Factor</t>
  </si>
  <si>
    <t>Metric</t>
  </si>
  <si>
    <t>TransformedMetric</t>
  </si>
  <si>
    <t>MetricType</t>
  </si>
  <si>
    <t>Unit</t>
  </si>
  <si>
    <t>Level</t>
  </si>
  <si>
    <t>ControlMean</t>
  </si>
  <si>
    <t>ControlMeanTransformed</t>
  </si>
  <si>
    <t>ControlSE</t>
  </si>
  <si>
    <t>ControlN</t>
  </si>
  <si>
    <t>TreatmentMean</t>
  </si>
  <si>
    <t xml:space="preserve">TreatmentMeanTransformed </t>
  </si>
  <si>
    <t>TreatmentSE</t>
  </si>
  <si>
    <t>TreatmentN</t>
  </si>
  <si>
    <t>AcclimationDays</t>
  </si>
  <si>
    <t>NbTank</t>
  </si>
  <si>
    <t>ei</t>
  </si>
  <si>
    <t>vei</t>
  </si>
  <si>
    <t>Note</t>
  </si>
  <si>
    <t>in</t>
  </si>
  <si>
    <t>Rosa R, Baptista M, Lopes VM, Pegado MR, Ricardo Paula J, Trübenbach K, Leal MC, Calado R, Repolho T</t>
  </si>
  <si>
    <t>Proceedings Royal Society B</t>
  </si>
  <si>
    <t>Elasmobranch</t>
  </si>
  <si>
    <t>Hemiscylliidae</t>
  </si>
  <si>
    <t>Chiloscyllium punctatum</t>
  </si>
  <si>
    <t>Indo-West Pacific</t>
  </si>
  <si>
    <t>Tropical</t>
  </si>
  <si>
    <t>benthic</t>
  </si>
  <si>
    <t>JUVENILE</t>
  </si>
  <si>
    <t>YES</t>
  </si>
  <si>
    <t>DIRECT</t>
  </si>
  <si>
    <t>TpH</t>
  </si>
  <si>
    <t>NA</t>
  </si>
  <si>
    <t>total</t>
  </si>
  <si>
    <t>condition factor</t>
  </si>
  <si>
    <t>positive</t>
  </si>
  <si>
    <t>K</t>
  </si>
  <si>
    <t>Growth</t>
  </si>
  <si>
    <t>Individual level</t>
  </si>
  <si>
    <t>NO</t>
  </si>
  <si>
    <t>T</t>
  </si>
  <si>
    <t>Murray CS, Baumann H</t>
  </si>
  <si>
    <t>Diversity</t>
  </si>
  <si>
    <t>Fish</t>
  </si>
  <si>
    <t>Sparidae</t>
  </si>
  <si>
    <t>Menidia menidia</t>
  </si>
  <si>
    <t>Temperate</t>
  </si>
  <si>
    <t>EMBRYO</t>
  </si>
  <si>
    <t>LARVAL</t>
  </si>
  <si>
    <t>pH</t>
  </si>
  <si>
    <t>NIST</t>
  </si>
  <si>
    <t>Manually averaged across 5 experiments</t>
  </si>
  <si>
    <t xml:space="preserve">Survival </t>
  </si>
  <si>
    <t>Survival</t>
  </si>
  <si>
    <t>%</t>
  </si>
  <si>
    <t>Population level</t>
  </si>
  <si>
    <t>Miller GM, Kroon FJ, Metcalfe S, Munday PL</t>
  </si>
  <si>
    <t>Ecological Applications</t>
  </si>
  <si>
    <t>Pomacentridae</t>
  </si>
  <si>
    <t>Amphiprion melanopus</t>
  </si>
  <si>
    <t>Tropical, Indo-Pacific, Great Barrier Reef</t>
  </si>
  <si>
    <t>NBS</t>
  </si>
  <si>
    <t>hatching length</t>
  </si>
  <si>
    <t>Length</t>
  </si>
  <si>
    <t>mm²</t>
  </si>
  <si>
    <t>Alter K, Peck MA</t>
  </si>
  <si>
    <t>Science of the Total Environment</t>
  </si>
  <si>
    <t>Belonidae</t>
  </si>
  <si>
    <t>Belone belone</t>
  </si>
  <si>
    <t>Hatching success</t>
  </si>
  <si>
    <t>developmental success</t>
  </si>
  <si>
    <t>pelagic</t>
  </si>
  <si>
    <t>LARVA</t>
  </si>
  <si>
    <t>Length at hatch</t>
  </si>
  <si>
    <t>mm</t>
  </si>
  <si>
    <t>benthopelagic</t>
  </si>
  <si>
    <t>Manually averaged across 4 experiments</t>
  </si>
  <si>
    <t>Growth rate</t>
  </si>
  <si>
    <t>growth rate</t>
  </si>
  <si>
    <t>mm d-1</t>
  </si>
  <si>
    <t xml:space="preserve">Growth </t>
  </si>
  <si>
    <t>Murray CS, Wiley D, Baumann H</t>
  </si>
  <si>
    <t>Conservation physiology</t>
  </si>
  <si>
    <t>Ammodytes dubius</t>
  </si>
  <si>
    <t>Temperate-Polar</t>
  </si>
  <si>
    <t>Polar</t>
  </si>
  <si>
    <t>Nist</t>
  </si>
  <si>
    <t xml:space="preserve">Hatch length </t>
  </si>
  <si>
    <t>Pimentel MS, Faleiro F, Dionísio G, Repolho T, Pousão P, Machado J, Rosa R</t>
  </si>
  <si>
    <t>Journal of Experimental Biology</t>
  </si>
  <si>
    <t>Solea senegalensis</t>
  </si>
  <si>
    <t>Eastern Atlantic, Western Mediterranean</t>
  </si>
  <si>
    <t>hatching succes</t>
  </si>
  <si>
    <t>larval survival</t>
  </si>
  <si>
    <t>critical thermal maximum (hatchling)</t>
  </si>
  <si>
    <t>Critical thermal maximum</t>
  </si>
  <si>
    <t>°C</t>
  </si>
  <si>
    <t>Physiology</t>
  </si>
  <si>
    <t>oxygen consumption rates (hatchling)</t>
  </si>
  <si>
    <t>Oxygen consumption rate</t>
  </si>
  <si>
    <t>ambiguous</t>
  </si>
  <si>
    <t>µmol O2 g-1 h-1 WW</t>
  </si>
  <si>
    <t>Routine respiration</t>
  </si>
  <si>
    <t>critical thermal maximum (postlarva)</t>
  </si>
  <si>
    <t>% day-1</t>
  </si>
  <si>
    <t>otolith area</t>
  </si>
  <si>
    <t>Otolith size</t>
  </si>
  <si>
    <t>Calcification</t>
  </si>
  <si>
    <t>oxygen consumption rates (postlarva)</t>
  </si>
  <si>
    <t>total anormalities</t>
  </si>
  <si>
    <t>Normal</t>
  </si>
  <si>
    <t>Hatch length</t>
  </si>
  <si>
    <t xml:space="preserve">vei set to 0.0001 because original value to low for R </t>
  </si>
  <si>
    <t xml:space="preserve">vei set to 0.0001 because original value to low for R; Setreatment replaced with next lowest SE value to allow the calculation of variance </t>
  </si>
  <si>
    <t>Fertilization success</t>
  </si>
  <si>
    <t>Fertilization</t>
  </si>
  <si>
    <t>Reproduction</t>
  </si>
  <si>
    <t>Abnormal larvae</t>
  </si>
  <si>
    <t>Watson SA, Bridie J. M. Allan, David E. McQueen, Simon Nicol, Darren M. Parsons, Stephen M. J. Pether, Stephen Pope, Alvin N. Setiawan, Neville Smith, Carly Wilson, Philip L. Munday</t>
  </si>
  <si>
    <t>Global Change Biology</t>
  </si>
  <si>
    <t>Seriola lalandi</t>
  </si>
  <si>
    <t>Subtropical</t>
  </si>
  <si>
    <t>Total</t>
  </si>
  <si>
    <t>Yolk area at 1 dph</t>
  </si>
  <si>
    <t>Yolk area</t>
  </si>
  <si>
    <t>mm2</t>
  </si>
  <si>
    <t>SE is 0 because all individuals survive</t>
  </si>
  <si>
    <t>Pimentel MS, Faleiro F, Machado J, Pousão-Ferreira P, Rosa R</t>
  </si>
  <si>
    <t>Fishes</t>
  </si>
  <si>
    <t>Sparus aurata</t>
  </si>
  <si>
    <t>Routine heart rates</t>
  </si>
  <si>
    <t>Heart rates</t>
  </si>
  <si>
    <t>Beats/min</t>
  </si>
  <si>
    <t>Egg volume</t>
  </si>
  <si>
    <t>Egg size</t>
  </si>
  <si>
    <t>mm3</t>
  </si>
  <si>
    <t>yolk area</t>
  </si>
  <si>
    <t>RMR</t>
  </si>
  <si>
    <t>mmol O2  h-1</t>
  </si>
  <si>
    <t>Maulvault LA, Camacho C, Barbosa V, Alves R, Anacleto P, Cunha SC, Fernandes JO, Pousao-Ferreira P, Paula JR, Rosa R, Diniz M, Marques A</t>
  </si>
  <si>
    <t>Environmental Pollution</t>
  </si>
  <si>
    <t>Diplodus sargus</t>
  </si>
  <si>
    <t>SOD activity (muscle)</t>
  </si>
  <si>
    <t>antioxidant capacity</t>
  </si>
  <si>
    <t>% inhibition</t>
  </si>
  <si>
    <t>Leo E, Dahlke FT, Storch D, Pörtner HO, Mark FC</t>
  </si>
  <si>
    <t>Conservation Physiology</t>
  </si>
  <si>
    <t>Clupea harengus</t>
  </si>
  <si>
    <t>free</t>
  </si>
  <si>
    <t>Deformities</t>
  </si>
  <si>
    <t>% hatched larvae</t>
  </si>
  <si>
    <t>Survival is again 100% without error</t>
  </si>
  <si>
    <t>Maulvault AL, Camacho C, Barbosa V, Valves R, Anacleto P, Pousao-Ferreira P, Rosa R, Marques A, Sousa Diniz M</t>
  </si>
  <si>
    <t>Environmental Research</t>
  </si>
  <si>
    <t>Sciaenidae</t>
  </si>
  <si>
    <t>Argyrosomus regius</t>
  </si>
  <si>
    <t>control toxins, measured in gills</t>
  </si>
  <si>
    <t>SOD</t>
  </si>
  <si>
    <t xml:space="preserve">Enzor LA, Hunter EM, Place SP </t>
  </si>
  <si>
    <t>Nototheniidae</t>
  </si>
  <si>
    <t>Pagothenia borchgrevinki</t>
  </si>
  <si>
    <t>ADULT</t>
  </si>
  <si>
    <t>#</t>
  </si>
  <si>
    <t>Di Santo V</t>
  </si>
  <si>
    <t>Journal of Experimental Marine Biology and Ecology</t>
  </si>
  <si>
    <t>Leucoraja erinacea</t>
  </si>
  <si>
    <t>Georges Bank</t>
  </si>
  <si>
    <t>Developmental time</t>
  </si>
  <si>
    <t>days</t>
  </si>
  <si>
    <t>Dahlke F, Lucassen M, Bickmeyer U, Wohlrab S, Puvanendran V, Mortensen A, Chierici M, Pörtner HO, Storch D</t>
  </si>
  <si>
    <t>Gadidae</t>
  </si>
  <si>
    <t>Gadus morhua</t>
  </si>
  <si>
    <t>Total embryo mortality</t>
  </si>
  <si>
    <t>Maulvault, Barbosa, Alves, Anacleto, Camacho, Cunha, Fernandes, Ferreira, Rosa, Marques, Diniz</t>
  </si>
  <si>
    <t>Aquatic Toxicology</t>
  </si>
  <si>
    <t>Dicentrarchus labrax</t>
  </si>
  <si>
    <t>Fultons condition index</t>
  </si>
  <si>
    <t>Saggitae diameter at hatch</t>
  </si>
  <si>
    <t>um/cm</t>
  </si>
  <si>
    <t>Davis BE, Flynn EE, Miller NA, Nelson FA, Fangue NA, Todgham AE</t>
  </si>
  <si>
    <t>Trematomus bernacchii</t>
  </si>
  <si>
    <t>heart rate (day 28)</t>
  </si>
  <si>
    <t>beats min-1</t>
  </si>
  <si>
    <t>Gulf of Maine</t>
  </si>
  <si>
    <t>Strobel A, Bennecke S, Leo E, Mintenbeck K, Pörtner HO, Mark FC</t>
  </si>
  <si>
    <t>Frontiers in Zoology</t>
  </si>
  <si>
    <t>Notothenia rossii</t>
  </si>
  <si>
    <t>condition factor (condition)</t>
  </si>
  <si>
    <t>Leo E, Graeve M, Storch D, Portner HO, Mark FC</t>
  </si>
  <si>
    <t>Polar biology</t>
  </si>
  <si>
    <t>Boreogadus saida</t>
  </si>
  <si>
    <t>cm</t>
  </si>
  <si>
    <t>g cm^-2</t>
  </si>
  <si>
    <t>Standard length at 21dph</t>
  </si>
  <si>
    <t>Gobler CJ, Merlo LR, Morrell BK and Griffith AW</t>
  </si>
  <si>
    <t>Frontiers in Marine Science</t>
  </si>
  <si>
    <t>Menidia beryllina</t>
  </si>
  <si>
    <t>number</t>
  </si>
  <si>
    <t xml:space="preserve">NO </t>
  </si>
  <si>
    <t>Rajidae</t>
  </si>
  <si>
    <t>Endurance (time to fatigue)</t>
  </si>
  <si>
    <t>endurance (performance test)</t>
  </si>
  <si>
    <t>Min</t>
  </si>
  <si>
    <t>Flynn EE, Bjelde BE, Miller NA, Todgham AE</t>
  </si>
  <si>
    <t>fish</t>
  </si>
  <si>
    <t>Gymnodraco acuticeps</t>
  </si>
  <si>
    <t>3 weeks</t>
  </si>
  <si>
    <t>Osmolarity</t>
  </si>
  <si>
    <t>mosmol kg-1</t>
  </si>
  <si>
    <t>Sswat M, Stiasny MH, Jutfelt F, Riebesell U, Clemmesen C</t>
  </si>
  <si>
    <t> PloS one</t>
  </si>
  <si>
    <t>Instantaneous growth rate</t>
  </si>
  <si>
    <t>none</t>
  </si>
  <si>
    <t>Intensity of exercise (turns/min until fatigue)</t>
  </si>
  <si>
    <t>intensity of exercise</t>
  </si>
  <si>
    <t>turns min^-1</t>
  </si>
  <si>
    <t>Behaviour</t>
  </si>
  <si>
    <t>routine metabolic rate (pre-hatching embryo)</t>
  </si>
  <si>
    <t>mmol O2  h-1 embryo</t>
  </si>
  <si>
    <t>Maulvault AL, Santos LH, Paula JR, Camacho C, Pissarra V, Fogaça F, Barbosa V, Alves R, Pousão Ferreira P, Barceló D, Rodriguez-Mozaz S, Marques A, Diniz M, Rosa R</t>
  </si>
  <si>
    <t>Science of the total environment</t>
  </si>
  <si>
    <t>Total Length</t>
  </si>
  <si>
    <t xml:space="preserve">Pope EC, Ellis RP, Scolamacchia M, Scolding JWS, Keay A, Chingombe P, Shields RJ, Wilcox R, Speirs DC, Wilson RW, Lewis C, Flynn KJ </t>
  </si>
  <si>
    <t>Biogeosciences</t>
  </si>
  <si>
    <t>eye diameter (42 days)</t>
  </si>
  <si>
    <t>Eye diameter</t>
  </si>
  <si>
    <t>um</t>
  </si>
  <si>
    <t>Pistevos JCA, Nagelkerken I, Rossi T, Olmos M, Connell SD</t>
  </si>
  <si>
    <t>Scientific Reports</t>
  </si>
  <si>
    <t>Heterodontidae</t>
  </si>
  <si>
    <t>Heterodontus portusjacksoni</t>
  </si>
  <si>
    <t>Hatching time</t>
  </si>
  <si>
    <t>Pimentel MS, Faleiro F, Machado J, Pousao-Ferreira P, Rosa R</t>
  </si>
  <si>
    <t>umol O2 h-1mgWW-1</t>
  </si>
  <si>
    <t xml:space="preserve">Routine respiration </t>
  </si>
  <si>
    <t>Hatch duration</t>
  </si>
  <si>
    <t>h</t>
  </si>
  <si>
    <t>µmol O2 h-1 g-1</t>
  </si>
  <si>
    <t>Jarrold MD, Munday PL</t>
  </si>
  <si>
    <t>Acanthochromis polyacanthus</t>
  </si>
  <si>
    <t>before hatch</t>
  </si>
  <si>
    <t>Liver</t>
  </si>
  <si>
    <t>HSP70</t>
  </si>
  <si>
    <t>Heat shock protein 70</t>
  </si>
  <si>
    <t>ug mg protein</t>
  </si>
  <si>
    <t>beats per min</t>
  </si>
  <si>
    <t>C:N ratios (42 days)</t>
  </si>
  <si>
    <t>C:N ratio</t>
  </si>
  <si>
    <t>Faleiro F, Baptista M, Santos C, Aurélio ML, Pimentel M, Pegado MR, Paula JR, Calado R, Repolho T, Rosa R</t>
  </si>
  <si>
    <t xml:space="preserve">Fish </t>
  </si>
  <si>
    <t>Syngnathidae</t>
  </si>
  <si>
    <t>Hippocampus guttulatus</t>
  </si>
  <si>
    <t>Routine Metabolic Rate</t>
  </si>
  <si>
    <t>μmol O2 g−1 h−1</t>
  </si>
  <si>
    <t>Miller GM, Watson SA, Donelson JM, McCormick MI, Munday PL</t>
  </si>
  <si>
    <t>Nature climate change</t>
  </si>
  <si>
    <t>parents in control pCO2</t>
  </si>
  <si>
    <t>weight</t>
  </si>
  <si>
    <t>Weight</t>
  </si>
  <si>
    <t>mg</t>
  </si>
  <si>
    <t>% fertilized eggs</t>
  </si>
  <si>
    <t>Dahlke FT, Leo E, Mark FC, Portner HO, Bickmeyer U, Frickenhaus S, Storch D</t>
  </si>
  <si>
    <t>Ln O2 consumption rates</t>
  </si>
  <si>
    <t>nmol ind-1 h-1</t>
  </si>
  <si>
    <t>Trematomus newnesi</t>
  </si>
  <si>
    <t>reproductive output (egg area per clutch * number of eggs per clutch)</t>
  </si>
  <si>
    <t>reproductive output</t>
  </si>
  <si>
    <t>Bignami, Sponaugle, Hauff, Cowen</t>
  </si>
  <si>
    <t>ICES Journal of Marine Science</t>
  </si>
  <si>
    <t>Rachycentron canadum</t>
  </si>
  <si>
    <t xml:space="preserve">Yolk sac area </t>
  </si>
  <si>
    <t>IPC-cover</t>
  </si>
  <si>
    <t>% of yolk sac area</t>
  </si>
  <si>
    <t>Laubenstein TD, Jodie L. Rummer, Simon Nicol, Darren M. Parsons, Stephen M. J. Pether, Stephen Pope, Neville Smith and Philip L. Munday</t>
  </si>
  <si>
    <t>Mass</t>
  </si>
  <si>
    <t>g</t>
  </si>
  <si>
    <t>Time to hatch</t>
  </si>
  <si>
    <t>Cominassi L, Moyano M, Claireaux G, Howald S, Mark FC, Zambonino-Infante JL, Peck MA</t>
  </si>
  <si>
    <t>Moronidae</t>
  </si>
  <si>
    <t>High food</t>
  </si>
  <si>
    <t>Stomach pH after 75 hours</t>
  </si>
  <si>
    <t>stomach pH</t>
  </si>
  <si>
    <t>Gräns A, Jutfelt F, Sandblom E, Jönsson E, Wiklander K, Seth H, Olsson C, Dupont S, Ortega-Martinez O, Einarsdottir I, Thrandur Björnsson B, Sundell K, Axelsson M</t>
  </si>
  <si>
    <t>The Journal of Experimental Biology</t>
  </si>
  <si>
    <t>Pleuronectidae</t>
  </si>
  <si>
    <t>Hippoglossus hippoglossus</t>
  </si>
  <si>
    <t>hematocrit</t>
  </si>
  <si>
    <t>haematocrit</t>
  </si>
  <si>
    <t>Resting metabolic rate</t>
  </si>
  <si>
    <t>mg kg-1 hr-1</t>
  </si>
  <si>
    <t>Laboratory</t>
  </si>
  <si>
    <t>Kunz KL, Claireaux G, Pörtner HO, Knust R, Mark FC</t>
  </si>
  <si>
    <t>Journal of experimental biology</t>
  </si>
  <si>
    <t>Swimming performance Ucrit</t>
  </si>
  <si>
    <t>Swimming performance</t>
  </si>
  <si>
    <t>BL/sec</t>
  </si>
  <si>
    <t>Malondialdehyde</t>
  </si>
  <si>
    <t>Oxidative stress marker</t>
  </si>
  <si>
    <t>negative</t>
  </si>
  <si>
    <t>nmol/mg/P</t>
  </si>
  <si>
    <t>Leo E, Kunz KL, Schmidt M, Storch D, Pörtner HO, Mark FC</t>
  </si>
  <si>
    <t>OXPHOS coupling efficiency</t>
  </si>
  <si>
    <t>mitochondrial capacity</t>
  </si>
  <si>
    <t>Frommel AY, Colin J. Brauner, Bridie J.M. Allan, Simon Nicol, Darren M. Parsons, Steve M.J. Pether, Alvin N. Setiawan, Neville Smith and Philip L. Munday</t>
  </si>
  <si>
    <t>PeerJ</t>
  </si>
  <si>
    <t>Total length at 11 dph</t>
  </si>
  <si>
    <t>HSP70/HSC70 concentration (Muscle)</t>
  </si>
  <si>
    <t>µg/mg protein</t>
  </si>
  <si>
    <t>Pimentel, Filipa Faleiro, Mário Diniz, Jorge Machado, Pedro Pousão-
Ferreira, Myron A. Peck, Hans O. Pörtner, Rui Rosa</t>
  </si>
  <si>
    <t>Plos One</t>
  </si>
  <si>
    <t>Oxygen consumption rate at 30 dph</t>
  </si>
  <si>
    <t>μmol O2 h-1 g-1</t>
  </si>
  <si>
    <t>Sampaio E, Maulvault AL, Lopes VM, Paula JR, Barbosa V, Alves R, Pousao-Ferreira P, Repolho T, Marques A, Rosa R</t>
  </si>
  <si>
    <t>Marine Biology</t>
  </si>
  <si>
    <t>Soleidae</t>
  </si>
  <si>
    <t>no mercury exposure</t>
  </si>
  <si>
    <t>Time spend in simple habitat</t>
  </si>
  <si>
    <t>min</t>
  </si>
  <si>
    <t>Latency</t>
  </si>
  <si>
    <t>latency</t>
  </si>
  <si>
    <t>ms</t>
  </si>
  <si>
    <t>metabolic rate</t>
  </si>
  <si>
    <t>MgO2 kg-1 h-1</t>
  </si>
  <si>
    <t>HSI</t>
  </si>
  <si>
    <t>Hepatosomatic index</t>
  </si>
  <si>
    <t>aerobic scope</t>
  </si>
  <si>
    <t>metabolic scope</t>
  </si>
  <si>
    <t>mg O2 kg-1h-1</t>
  </si>
  <si>
    <t>Aerobic scope respiration</t>
  </si>
  <si>
    <t>30 d post-hatch survival</t>
  </si>
  <si>
    <t>Survival at 1 dph</t>
  </si>
  <si>
    <t xml:space="preserve">Time Active </t>
  </si>
  <si>
    <t>Activity</t>
  </si>
  <si>
    <t>MO2</t>
  </si>
  <si>
    <t>nmol O2 (eggs*h)-1</t>
  </si>
  <si>
    <t>Percent hatch</t>
  </si>
  <si>
    <t>Schmidt M, Gerlach G, Leo E, Kunz KL Swoboda S, Pörtner HO, Bock C, Storch D</t>
  </si>
  <si>
    <t>Haematocrit (haematological metric)</t>
  </si>
  <si>
    <t>Rosa R, Paula JR, Sampaio E, Pimentel M, Lopes AR, Baptista M, Guerreiro M, Santos C, Derek C, Almeida-Val VMF, Calado R, Diniz M, Repolho T</t>
  </si>
  <si>
    <t>Muscle tissue</t>
  </si>
  <si>
    <t>SOD activity</t>
  </si>
  <si>
    <t>U mg^-1 protein</t>
  </si>
  <si>
    <t>Lopes AF, Faria AM, Dupont S</t>
  </si>
  <si>
    <t>Scientific reports</t>
  </si>
  <si>
    <t>Gobiidae</t>
  </si>
  <si>
    <t>Gobiusculus flavescens</t>
  </si>
  <si>
    <t xml:space="preserve">reproductive output </t>
  </si>
  <si>
    <t>AAS (Absolute Aerobic Scope)</t>
  </si>
  <si>
    <t>mg O2 h^-1 g^-1</t>
  </si>
  <si>
    <t>Nowicki JP, Miller GM, Munday PL</t>
  </si>
  <si>
    <t>Food strikes (Food Consumption Rate)</t>
  </si>
  <si>
    <t>Feeding</t>
  </si>
  <si>
    <t>3 min-1</t>
  </si>
  <si>
    <t>number of crossed lines</t>
  </si>
  <si>
    <t>Wet weight</t>
  </si>
  <si>
    <t>Nasuchon, Yagi, Kawabata, Gao, Ishimatsu</t>
  </si>
  <si>
    <t>Fish Sci</t>
  </si>
  <si>
    <t>Engraulidae</t>
  </si>
  <si>
    <t>Engraulis japonicus</t>
  </si>
  <si>
    <t>Turning rate</t>
  </si>
  <si>
    <t>Routine metabolic rate</t>
  </si>
  <si>
    <t>mg O2/kg/h</t>
  </si>
  <si>
    <t>out</t>
  </si>
  <si>
    <t>% change mass/day</t>
  </si>
  <si>
    <t>one negative and one positive value</t>
  </si>
  <si>
    <t>white muscle lipids</t>
  </si>
  <si>
    <t>Lipid content</t>
  </si>
  <si>
    <t>total triglycerides gfw −1</t>
  </si>
  <si>
    <t>Ucrit</t>
  </si>
  <si>
    <t>Sampaio E, Lopes AR, Francisco S, Paula JR, Pimentel M, Maulvault AL, Repolho T, Grilo TF, Pousão-Ferreira P, Marques A, Rosa R</t>
  </si>
  <si>
    <t>Heat shock protein70 (HSP) concentration</t>
  </si>
  <si>
    <t>ng/mg protein</t>
  </si>
  <si>
    <t>scotaxis</t>
  </si>
  <si>
    <t>% time in dark zone</t>
  </si>
  <si>
    <t>Hu, Michael, Kreiss, Stumpp, Dupont, Tseng, Lucassen</t>
  </si>
  <si>
    <t>Frontiers in Physiology</t>
  </si>
  <si>
    <t>NaK-ATPase activity</t>
  </si>
  <si>
    <t>Enzyme activity</t>
  </si>
  <si>
    <t>nmolmg¯¹protein h¯¹</t>
  </si>
  <si>
    <t>Ferrari MCO, Munday PL, Rummer JL, McCormick MI, Corkill K, Watson SA, Allan BJM, Meekan MG, Chivers DP</t>
  </si>
  <si>
    <t>Pomacentrus nagasakiensis</t>
  </si>
  <si>
    <t>Predator Selectivity</t>
  </si>
  <si>
    <t>Prey Sel Index</t>
  </si>
  <si>
    <t>malondialdehyde concentration (MDA)</t>
  </si>
  <si>
    <t>nmol mg^-1 protein</t>
  </si>
  <si>
    <t xml:space="preserve">inverted ratio because negative metric </t>
  </si>
  <si>
    <t>Enzor LA, Zippay ML, Place SP</t>
  </si>
  <si>
    <t>Comparative Biochemistry and Physiology A</t>
  </si>
  <si>
    <t>Trematomus hansoni</t>
  </si>
  <si>
    <t>Resting Metabolic Rate</t>
  </si>
  <si>
    <t>mg O2 Kg-1 h-1</t>
  </si>
  <si>
    <t>Inhibition/mg protein</t>
  </si>
  <si>
    <t>Enzor LA, Place SP</t>
  </si>
  <si>
    <t>in liver on day 56</t>
  </si>
  <si>
    <t>relative level of protein carbonyl</t>
  </si>
  <si>
    <t>mean density µg-1 protein</t>
  </si>
  <si>
    <t xml:space="preserve">Enzyme activity </t>
  </si>
  <si>
    <t>umol ATP mg-1 protein h-1</t>
  </si>
  <si>
    <t>hatching success</t>
  </si>
  <si>
    <t>in liver on day 42</t>
  </si>
  <si>
    <t>Allan BJM, Domenici P, Watson SA, Munday PL, McCormick MI</t>
  </si>
  <si>
    <t>Pomacentrus wardi</t>
  </si>
  <si>
    <t>Escape distance</t>
  </si>
  <si>
    <t>m</t>
  </si>
  <si>
    <t>Pomacentrus amboinensis</t>
  </si>
  <si>
    <t>max OXPHOS capacity</t>
  </si>
  <si>
    <t>pmol O2*sec-1*mg FW-1</t>
  </si>
  <si>
    <t>% of body mass day-1</t>
  </si>
  <si>
    <t>Munday PL, Crawley NE, Nilsson GE</t>
  </si>
  <si>
    <t>Marine Ecology Progress Series</t>
  </si>
  <si>
    <t>Apogonidae</t>
  </si>
  <si>
    <t>Ostorhinchus doederleini</t>
  </si>
  <si>
    <t>O2 mg kg-1 h-1</t>
  </si>
  <si>
    <t>eggs that survived to hatching</t>
  </si>
  <si>
    <t>Strobel A, Graeve M,  Pörtner HO, Mark FC</t>
  </si>
  <si>
    <t>Maximum proton leaks capacities</t>
  </si>
  <si>
    <t>% of state III</t>
  </si>
  <si>
    <t>Total SOD activity</t>
  </si>
  <si>
    <t>I.U. g-1 fresh mass</t>
  </si>
  <si>
    <t>COX activity</t>
  </si>
  <si>
    <t>umol/min/g fresh weight</t>
  </si>
  <si>
    <t>Routine metabolic rates</t>
  </si>
  <si>
    <t>mg O2/h</t>
  </si>
  <si>
    <t>Laubenstein TD, Jodie L. Rummer, Mark I. McCormick, Philip L. Munday</t>
  </si>
  <si>
    <t>Percent Change in Feeding Strikes</t>
  </si>
  <si>
    <t>inverted ratio because negative values for positive metric</t>
  </si>
  <si>
    <t>Total grid movements</t>
  </si>
  <si>
    <t>Bresolin de Souza KB, Asker N, Jönsson E, Förlin L, Sturve J</t>
  </si>
  <si>
    <t> Marine environmental research</t>
  </si>
  <si>
    <t>Lysosyme activity</t>
  </si>
  <si>
    <t>Units/ml of plasm</t>
  </si>
  <si>
    <t>Howald, Cominassi, LeBayon, Claireaux, Mark</t>
  </si>
  <si>
    <t>pmol O2*sec-1</t>
  </si>
  <si>
    <t>ACHe activity in diencephalon</t>
  </si>
  <si>
    <t>nmol min mg protein</t>
  </si>
  <si>
    <t>gill tissue</t>
  </si>
  <si>
    <t>total CS activity</t>
  </si>
  <si>
    <t>I.U/gfw</t>
  </si>
  <si>
    <t>Absolute lateralization</t>
  </si>
  <si>
    <t>Index</t>
  </si>
  <si>
    <t>Ostorhinchus cyanosoma</t>
  </si>
  <si>
    <t>Time defending the nest</t>
  </si>
  <si>
    <t>s</t>
  </si>
  <si>
    <t>LPO</t>
  </si>
  <si>
    <t>U*mg P</t>
  </si>
  <si>
    <t>Yes</t>
  </si>
  <si>
    <t>Domenici P, Allan BJ, Watson SA, McCormick MI, Munday PL</t>
  </si>
  <si>
    <t>PLoS ONE</t>
  </si>
  <si>
    <t>liver tissue</t>
  </si>
  <si>
    <t>Lateralization (absolute)</t>
  </si>
  <si>
    <t>La</t>
  </si>
  <si>
    <t xml:space="preserve">Blood acid base pCO2 </t>
  </si>
  <si>
    <t>Haemolymph pCO2</t>
  </si>
  <si>
    <t>kPa</t>
  </si>
  <si>
    <t>liver lipids</t>
  </si>
  <si>
    <t>daily mortality rate</t>
  </si>
  <si>
    <t>n*d-1</t>
  </si>
  <si>
    <t>inverted ratio because negative metric (not a % so couldnot beconverted to a survival rate)</t>
  </si>
  <si>
    <t>DI Santo V</t>
  </si>
  <si>
    <t>Proceedings of the Royal Sociaty B</t>
  </si>
  <si>
    <t>Absolute density values of hydroxyapatite (CRUS)</t>
  </si>
  <si>
    <t>mgHA/cm3</t>
  </si>
  <si>
    <t>mmol O2*kg-1*h-1</t>
  </si>
  <si>
    <t>Line crosses (Routine Activity Rate)</t>
  </si>
  <si>
    <t>Ventilation Rate</t>
  </si>
  <si>
    <t>Citrate synthase activity</t>
  </si>
  <si>
    <t>U mg protein-1</t>
  </si>
  <si>
    <t>cytochrome c oxidase activity</t>
  </si>
  <si>
    <t>U/mg FW</t>
  </si>
  <si>
    <t>mass</t>
  </si>
  <si>
    <t>Feed intake</t>
  </si>
  <si>
    <t>prey h-1</t>
  </si>
  <si>
    <t>Pistevos JCA, Nagelkerken I, Rossi T, Connell SD</t>
  </si>
  <si>
    <t>Oikos</t>
  </si>
  <si>
    <t>total distance</t>
  </si>
  <si>
    <t>μmol min−1 g−1</t>
  </si>
  <si>
    <t>Metabolic Scope</t>
  </si>
  <si>
    <t>ETS mitochondrial capacity</t>
  </si>
  <si>
    <t>Food consumption rate</t>
  </si>
  <si>
    <t>g food^-1 shark^-1 day^-1</t>
  </si>
  <si>
    <t>Mesocosm</t>
  </si>
  <si>
    <t>Strobel A, Leo E, Pörtner HO, Mark FC</t>
  </si>
  <si>
    <t>Comparative Biochemistry and Physiology B</t>
  </si>
  <si>
    <t>cytochrome c oxidase activity (heart)</t>
  </si>
  <si>
    <t>nmol min-1 mg protein -1</t>
  </si>
  <si>
    <t>maximal cardiac flow</t>
  </si>
  <si>
    <t>ml min-1 kg-1</t>
  </si>
  <si>
    <t>Pseudochromidae</t>
  </si>
  <si>
    <t>Pseudochromis fuscus</t>
  </si>
  <si>
    <t>Attack rate</t>
  </si>
  <si>
    <t>Survival from 1 to 25 dph</t>
  </si>
  <si>
    <t>Unsaturation index</t>
  </si>
  <si>
    <t>time to accept food</t>
  </si>
  <si>
    <t>time to locate food</t>
  </si>
  <si>
    <t>Flextion</t>
  </si>
  <si>
    <t>HSI, hepatosomatic index</t>
  </si>
  <si>
    <t>GSI</t>
  </si>
  <si>
    <t>gonad index</t>
  </si>
  <si>
    <t>plasma 17beta estradiol</t>
  </si>
  <si>
    <t>pg/ml</t>
  </si>
  <si>
    <t>Search time to locate food</t>
  </si>
  <si>
    <t>Response_category</t>
  </si>
  <si>
    <t>Group</t>
  </si>
  <si>
    <t>Old_Response_category</t>
  </si>
  <si>
    <t>Biota_Group</t>
  </si>
  <si>
    <t>Zooplankton</t>
  </si>
  <si>
    <t>Study_ID</t>
  </si>
  <si>
    <t>Broad_subgroup</t>
  </si>
  <si>
    <t>Meroplankton</t>
  </si>
  <si>
    <t>Treatment</t>
  </si>
  <si>
    <t>Control_SD</t>
  </si>
  <si>
    <t>Treatment_SD</t>
  </si>
  <si>
    <t>ES_ID</t>
  </si>
  <si>
    <t>Common_ID</t>
  </si>
  <si>
    <t>no planktonic nature, as they usually release their young as pups already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</si>
</sst>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5BAB8-EA3F-483E-B58E-3F3F7911B61A}">
  <sheetPr filterMode="1"/>
  <dimension ref="A1:BM845"/>
  <sheetViews>
    <sheetView tabSelected="1" zoomScale="139" workbookViewId="0">
      <selection activeCell="C17" sqref="C17"/>
    </sheetView>
  </sheetViews>
  <sheetFormatPr baseColWidth="10" defaultColWidth="8.83203125" defaultRowHeight="15" x14ac:dyDescent="0.2"/>
  <cols>
    <col min="3" max="3" width="71.1640625" customWidth="1"/>
    <col min="6" max="6" width="31.83203125" customWidth="1"/>
    <col min="44" max="44" width="23.1640625" customWidth="1"/>
  </cols>
  <sheetData>
    <row r="1" spans="1:65" s="1" customFormat="1" x14ac:dyDescent="0.2">
      <c r="A1" s="2" t="s">
        <v>541</v>
      </c>
      <c r="B1" s="2" t="s">
        <v>547</v>
      </c>
      <c r="C1" s="2" t="s">
        <v>548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537</v>
      </c>
      <c r="I1" s="2" t="s">
        <v>539</v>
      </c>
      <c r="J1" s="1" t="s">
        <v>542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2" t="s">
        <v>544</v>
      </c>
      <c r="V1" s="2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2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2" t="s">
        <v>27</v>
      </c>
      <c r="AJ1" s="1" t="s">
        <v>28</v>
      </c>
      <c r="AK1" s="1" t="s">
        <v>29</v>
      </c>
      <c r="AL1" s="2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2" t="s">
        <v>538</v>
      </c>
      <c r="AW1" s="2" t="s">
        <v>536</v>
      </c>
      <c r="AX1" s="1" t="s">
        <v>40</v>
      </c>
      <c r="AY1" s="2" t="s">
        <v>41</v>
      </c>
      <c r="AZ1" s="1" t="s">
        <v>42</v>
      </c>
      <c r="BA1" s="1" t="s">
        <v>43</v>
      </c>
      <c r="BB1" s="2" t="s">
        <v>545</v>
      </c>
      <c r="BC1" s="2" t="s">
        <v>44</v>
      </c>
      <c r="BD1" s="2" t="s">
        <v>45</v>
      </c>
      <c r="BE1" s="1" t="s">
        <v>46</v>
      </c>
      <c r="BF1" s="1" t="s">
        <v>47</v>
      </c>
      <c r="BG1" s="1" t="s">
        <v>546</v>
      </c>
      <c r="BH1" s="2" t="s">
        <v>48</v>
      </c>
      <c r="BI1" s="1" t="s">
        <v>49</v>
      </c>
      <c r="BJ1" s="1" t="s">
        <v>50</v>
      </c>
      <c r="BK1" s="2" t="s">
        <v>51</v>
      </c>
      <c r="BL1" s="2" t="s">
        <v>52</v>
      </c>
      <c r="BM1" s="1" t="s">
        <v>53</v>
      </c>
    </row>
    <row r="2" spans="1:65" hidden="1" x14ac:dyDescent="0.2">
      <c r="A2">
        <v>170</v>
      </c>
      <c r="D2" t="s">
        <v>54</v>
      </c>
      <c r="E2">
        <v>2014</v>
      </c>
      <c r="F2" t="s">
        <v>55</v>
      </c>
      <c r="G2" t="s">
        <v>56</v>
      </c>
      <c r="H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64</v>
      </c>
      <c r="T2" t="s">
        <v>64</v>
      </c>
      <c r="U2" t="s">
        <v>66</v>
      </c>
      <c r="V2">
        <v>371.86</v>
      </c>
      <c r="W2" t="s">
        <v>67</v>
      </c>
      <c r="X2">
        <v>51.93</v>
      </c>
      <c r="Y2" t="s">
        <v>68</v>
      </c>
      <c r="Z2">
        <v>8.02</v>
      </c>
      <c r="AA2" t="s">
        <v>67</v>
      </c>
      <c r="AB2">
        <v>0.05</v>
      </c>
      <c r="AC2">
        <v>1481.1</v>
      </c>
      <c r="AD2" t="s">
        <v>67</v>
      </c>
      <c r="AE2">
        <v>107.72</v>
      </c>
      <c r="AF2">
        <v>7.49</v>
      </c>
      <c r="AG2" t="s">
        <v>67</v>
      </c>
      <c r="AH2">
        <v>0.03</v>
      </c>
      <c r="AI2">
        <v>25.9</v>
      </c>
      <c r="AJ2" t="s">
        <v>67</v>
      </c>
      <c r="AK2">
        <v>0.7</v>
      </c>
      <c r="AL2">
        <v>30.1</v>
      </c>
      <c r="AM2" t="s">
        <v>67</v>
      </c>
      <c r="AN2">
        <v>0.5</v>
      </c>
      <c r="AO2">
        <v>1109</v>
      </c>
      <c r="AP2">
        <v>4.2</v>
      </c>
      <c r="AQ2" t="s">
        <v>67</v>
      </c>
      <c r="AR2" t="s">
        <v>69</v>
      </c>
      <c r="AS2" t="s">
        <v>69</v>
      </c>
      <c r="AT2" t="s">
        <v>70</v>
      </c>
      <c r="AU2" t="s">
        <v>71</v>
      </c>
      <c r="AV2" t="s">
        <v>72</v>
      </c>
      <c r="AX2" t="s">
        <v>73</v>
      </c>
      <c r="AY2">
        <v>0.38740000000000002</v>
      </c>
      <c r="AZ2">
        <v>0.38735999999999998</v>
      </c>
      <c r="BA2">
        <v>2.5000000000000001E-3</v>
      </c>
      <c r="BC2">
        <v>5</v>
      </c>
      <c r="BD2">
        <v>0.34360000000000002</v>
      </c>
      <c r="BE2">
        <v>0.34361111100000002</v>
      </c>
      <c r="BF2">
        <v>1.4E-3</v>
      </c>
      <c r="BH2">
        <v>5</v>
      </c>
      <c r="BI2">
        <v>90</v>
      </c>
      <c r="BJ2">
        <v>3</v>
      </c>
      <c r="BK2">
        <v>-0.1198</v>
      </c>
      <c r="BL2">
        <v>1E-4</v>
      </c>
    </row>
    <row r="3" spans="1:65" hidden="1" x14ac:dyDescent="0.2">
      <c r="A3">
        <v>170</v>
      </c>
      <c r="D3" t="s">
        <v>54</v>
      </c>
      <c r="E3">
        <v>2014</v>
      </c>
      <c r="F3" t="s">
        <v>55</v>
      </c>
      <c r="G3" t="s">
        <v>56</v>
      </c>
      <c r="H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74</v>
      </c>
      <c r="T3" t="s">
        <v>64</v>
      </c>
      <c r="U3" t="s">
        <v>75</v>
      </c>
      <c r="V3">
        <v>371.86</v>
      </c>
      <c r="W3" t="s">
        <v>67</v>
      </c>
      <c r="X3">
        <v>51.93</v>
      </c>
      <c r="Y3" t="s">
        <v>68</v>
      </c>
      <c r="Z3">
        <v>8.02</v>
      </c>
      <c r="AA3" t="s">
        <v>67</v>
      </c>
      <c r="AB3">
        <v>0.05</v>
      </c>
      <c r="AC3">
        <v>382.16</v>
      </c>
      <c r="AD3" t="s">
        <v>67</v>
      </c>
      <c r="AE3">
        <v>87.53</v>
      </c>
      <c r="AF3">
        <v>8</v>
      </c>
      <c r="AG3" t="s">
        <v>67</v>
      </c>
      <c r="AH3">
        <v>7.0000000000000007E-2</v>
      </c>
      <c r="AI3">
        <v>25.9</v>
      </c>
      <c r="AJ3" t="s">
        <v>67</v>
      </c>
      <c r="AK3">
        <v>0.7</v>
      </c>
      <c r="AL3">
        <v>29.9</v>
      </c>
      <c r="AM3" t="s">
        <v>67</v>
      </c>
      <c r="AN3">
        <v>0.2</v>
      </c>
      <c r="AO3">
        <v>10</v>
      </c>
      <c r="AP3">
        <v>4</v>
      </c>
      <c r="AQ3" t="s">
        <v>67</v>
      </c>
      <c r="AR3" t="s">
        <v>69</v>
      </c>
      <c r="AS3" t="s">
        <v>69</v>
      </c>
      <c r="AT3" t="s">
        <v>70</v>
      </c>
      <c r="AU3" t="s">
        <v>71</v>
      </c>
      <c r="AV3" t="s">
        <v>72</v>
      </c>
      <c r="AX3" t="s">
        <v>73</v>
      </c>
      <c r="AY3">
        <v>0.38740000000000002</v>
      </c>
      <c r="AZ3">
        <v>0.38735999999999998</v>
      </c>
      <c r="BA3">
        <v>2.5000000000000001E-3</v>
      </c>
      <c r="BC3">
        <v>5</v>
      </c>
      <c r="BD3">
        <v>0.3619</v>
      </c>
      <c r="BE3">
        <v>0.36189814799999998</v>
      </c>
      <c r="BF3">
        <v>1.5E-3</v>
      </c>
      <c r="BH3">
        <v>5</v>
      </c>
      <c r="BI3">
        <v>90</v>
      </c>
      <c r="BJ3">
        <v>3</v>
      </c>
      <c r="BK3">
        <v>-6.8000000000000005E-2</v>
      </c>
      <c r="BL3">
        <v>1E-4</v>
      </c>
    </row>
    <row r="4" spans="1:65" x14ac:dyDescent="0.2">
      <c r="A4">
        <v>184</v>
      </c>
      <c r="B4" t="str">
        <f>ROW()-1&amp;"_AltersFish"</f>
        <v>3_AltersFish</v>
      </c>
      <c r="C4" t="str">
        <f>A4 &amp; "_" &amp; P4 &amp; "_" &amp;
SUBSTITUTE(TRIM(L4)," ","_") &amp;
"_pH" &amp; TEXT(Z4,"0.00") &amp;
"_T" &amp; TEXT(AI4,"0.00") &amp;
"_CO2" &amp; TEXT(V4,"0") &amp;
"_LANG"</f>
        <v>184_LARVA_Belone_belone_pH8.25_T14.40_CO2365_LANG</v>
      </c>
      <c r="D4" t="s">
        <v>54</v>
      </c>
      <c r="E4">
        <v>2021</v>
      </c>
      <c r="F4" t="s">
        <v>100</v>
      </c>
      <c r="G4" t="s">
        <v>101</v>
      </c>
      <c r="H4" t="s">
        <v>78</v>
      </c>
      <c r="I4" t="s">
        <v>540</v>
      </c>
      <c r="J4" t="s">
        <v>543</v>
      </c>
      <c r="K4" t="s">
        <v>102</v>
      </c>
      <c r="L4" t="s">
        <v>103</v>
      </c>
      <c r="M4" t="s">
        <v>81</v>
      </c>
      <c r="N4" t="s">
        <v>81</v>
      </c>
      <c r="O4" t="s">
        <v>106</v>
      </c>
      <c r="P4" t="s">
        <v>107</v>
      </c>
      <c r="Q4" t="s">
        <v>64</v>
      </c>
      <c r="R4" t="s">
        <v>83</v>
      </c>
      <c r="S4" t="s">
        <v>74</v>
      </c>
      <c r="T4" t="s">
        <v>64</v>
      </c>
      <c r="U4" t="s">
        <v>75</v>
      </c>
      <c r="V4">
        <v>365</v>
      </c>
      <c r="W4">
        <v>6</v>
      </c>
      <c r="X4" t="s">
        <v>67</v>
      </c>
      <c r="Y4" t="s">
        <v>96</v>
      </c>
      <c r="Z4">
        <v>8.25</v>
      </c>
      <c r="AA4">
        <v>0.01</v>
      </c>
      <c r="AB4" t="s">
        <v>67</v>
      </c>
      <c r="AC4">
        <v>377</v>
      </c>
      <c r="AD4">
        <v>7</v>
      </c>
      <c r="AE4" t="s">
        <v>67</v>
      </c>
      <c r="AF4">
        <v>8.25</v>
      </c>
      <c r="AG4">
        <v>0.01</v>
      </c>
      <c r="AH4" t="s">
        <v>67</v>
      </c>
      <c r="AI4">
        <v>14.4</v>
      </c>
      <c r="AJ4">
        <v>0.2</v>
      </c>
      <c r="AK4" t="s">
        <v>67</v>
      </c>
      <c r="AL4">
        <v>15.9</v>
      </c>
      <c r="AM4">
        <v>0.4</v>
      </c>
      <c r="AN4" t="s">
        <v>67</v>
      </c>
      <c r="AO4">
        <v>12</v>
      </c>
      <c r="AP4">
        <v>1.5</v>
      </c>
      <c r="AQ4" t="s">
        <v>67</v>
      </c>
      <c r="AR4" t="s">
        <v>152</v>
      </c>
      <c r="AS4" t="s">
        <v>145</v>
      </c>
      <c r="AT4" t="s">
        <v>70</v>
      </c>
      <c r="AU4" t="s">
        <v>89</v>
      </c>
      <c r="AV4" t="s">
        <v>11</v>
      </c>
      <c r="AW4" t="s">
        <v>11</v>
      </c>
      <c r="AX4" t="s">
        <v>90</v>
      </c>
      <c r="AY4">
        <v>0.71299999999999997</v>
      </c>
      <c r="AZ4">
        <v>99.287000000000006</v>
      </c>
      <c r="BA4">
        <v>0.32</v>
      </c>
      <c r="BB4">
        <f>BA4*SQRT(BC4)</f>
        <v>0.71554175279993271</v>
      </c>
      <c r="BC4">
        <v>5</v>
      </c>
      <c r="BD4">
        <v>1.468</v>
      </c>
      <c r="BE4">
        <v>98.53</v>
      </c>
      <c r="BF4">
        <v>0.2</v>
      </c>
      <c r="BG4">
        <f>BF4*SQRT(BH4)</f>
        <v>0.44721359549995798</v>
      </c>
      <c r="BH4">
        <v>5</v>
      </c>
      <c r="BI4">
        <v>22</v>
      </c>
      <c r="BJ4">
        <v>5</v>
      </c>
      <c r="BK4">
        <v>-7.6E-3</v>
      </c>
      <c r="BL4">
        <v>1E-4</v>
      </c>
      <c r="BM4" t="s">
        <v>147</v>
      </c>
    </row>
    <row r="5" spans="1:65" x14ac:dyDescent="0.2">
      <c r="A5">
        <v>184</v>
      </c>
      <c r="B5" t="str">
        <f>ROW()-1&amp;"_AltersFish"</f>
        <v>4_AltersFish</v>
      </c>
      <c r="C5" t="str">
        <f>A5 &amp; "_" &amp; P5 &amp; "_" &amp;
SUBSTITUTE(TRIM(L5)," ","_") &amp;
"_pH" &amp; TEXT(Z5,"0.00") &amp;
"_T" &amp; TEXT(AI5,"0.00") &amp;
"_CO2" &amp; TEXT(V5,"0") &amp;
"_LANG"</f>
        <v>184_LARVA_Belone_belone_pH8.25_T14.40_CO2365_LANG</v>
      </c>
      <c r="D5" t="s">
        <v>54</v>
      </c>
      <c r="E5">
        <v>2021</v>
      </c>
      <c r="F5" t="s">
        <v>100</v>
      </c>
      <c r="G5" t="s">
        <v>101</v>
      </c>
      <c r="H5" t="s">
        <v>78</v>
      </c>
      <c r="I5" t="s">
        <v>540</v>
      </c>
      <c r="J5" t="s">
        <v>543</v>
      </c>
      <c r="K5" t="s">
        <v>102</v>
      </c>
      <c r="L5" t="s">
        <v>103</v>
      </c>
      <c r="M5" t="s">
        <v>81</v>
      </c>
      <c r="N5" t="s">
        <v>81</v>
      </c>
      <c r="O5" t="s">
        <v>106</v>
      </c>
      <c r="P5" t="s">
        <v>107</v>
      </c>
      <c r="Q5" t="s">
        <v>64</v>
      </c>
      <c r="R5" t="s">
        <v>83</v>
      </c>
      <c r="S5" t="s">
        <v>64</v>
      </c>
      <c r="T5" t="s">
        <v>74</v>
      </c>
      <c r="U5" t="s">
        <v>84</v>
      </c>
      <c r="V5">
        <v>365</v>
      </c>
      <c r="W5">
        <v>6</v>
      </c>
      <c r="X5" t="s">
        <v>67</v>
      </c>
      <c r="Y5" t="s">
        <v>96</v>
      </c>
      <c r="Z5">
        <v>8.25</v>
      </c>
      <c r="AA5">
        <v>0.01</v>
      </c>
      <c r="AB5" t="s">
        <v>67</v>
      </c>
      <c r="AC5">
        <v>1269</v>
      </c>
      <c r="AD5">
        <v>18</v>
      </c>
      <c r="AE5" t="s">
        <v>67</v>
      </c>
      <c r="AF5">
        <v>7.74</v>
      </c>
      <c r="AG5">
        <v>0.01</v>
      </c>
      <c r="AH5" t="s">
        <v>67</v>
      </c>
      <c r="AI5">
        <v>14.4</v>
      </c>
      <c r="AJ5">
        <v>0.2</v>
      </c>
      <c r="AK5" t="s">
        <v>67</v>
      </c>
      <c r="AL5">
        <v>14.3</v>
      </c>
      <c r="AM5">
        <v>0.2</v>
      </c>
      <c r="AN5" t="s">
        <v>67</v>
      </c>
      <c r="AO5">
        <v>904</v>
      </c>
      <c r="AP5">
        <v>-0.1</v>
      </c>
      <c r="AQ5" t="s">
        <v>67</v>
      </c>
      <c r="AR5" t="s">
        <v>152</v>
      </c>
      <c r="AS5" t="s">
        <v>145</v>
      </c>
      <c r="AT5" t="s">
        <v>70</v>
      </c>
      <c r="AU5" t="s">
        <v>89</v>
      </c>
      <c r="AV5" t="s">
        <v>11</v>
      </c>
      <c r="AW5" t="s">
        <v>11</v>
      </c>
      <c r="AX5" t="s">
        <v>90</v>
      </c>
      <c r="AY5">
        <v>0.71299999999999997</v>
      </c>
      <c r="AZ5">
        <v>99.287000000000006</v>
      </c>
      <c r="BA5">
        <v>0.32</v>
      </c>
      <c r="BB5">
        <f>BA5*SQRT(BC5)</f>
        <v>0.71554175279993271</v>
      </c>
      <c r="BC5">
        <v>5</v>
      </c>
      <c r="BD5">
        <v>4.3659999999999997</v>
      </c>
      <c r="BE5">
        <v>95.63</v>
      </c>
      <c r="BF5">
        <v>1.77</v>
      </c>
      <c r="BG5">
        <f>BF5*SQRT(BH5)</f>
        <v>3.9578403201746282</v>
      </c>
      <c r="BH5">
        <v>5</v>
      </c>
      <c r="BI5">
        <v>27</v>
      </c>
      <c r="BJ5">
        <v>5</v>
      </c>
      <c r="BK5">
        <v>-3.7499999999999999E-2</v>
      </c>
      <c r="BL5">
        <v>4.0000000000000002E-4</v>
      </c>
    </row>
    <row r="6" spans="1:65" x14ac:dyDescent="0.2">
      <c r="A6">
        <v>184</v>
      </c>
      <c r="B6" t="str">
        <f>ROW()-1&amp;"_AltersFish"</f>
        <v>5_AltersFish</v>
      </c>
      <c r="C6" t="str">
        <f>A6 &amp; "_" &amp; P6 &amp; "_" &amp;
SUBSTITUTE(TRIM(L6)," ","_") &amp;
"_pH" &amp; TEXT(Z6,"0.00") &amp;
"_T" &amp; TEXT(AI6,"0.00") &amp;
"_CO2" &amp; TEXT(V6,"0") &amp;
"_LANG"</f>
        <v>184_LARVA_Belone_belone_pH8.25_T14.40_CO2365_LANG</v>
      </c>
      <c r="D6" t="s">
        <v>54</v>
      </c>
      <c r="E6">
        <v>2021</v>
      </c>
      <c r="F6" t="s">
        <v>100</v>
      </c>
      <c r="G6" t="s">
        <v>101</v>
      </c>
      <c r="H6" t="s">
        <v>78</v>
      </c>
      <c r="I6" t="s">
        <v>540</v>
      </c>
      <c r="J6" t="s">
        <v>543</v>
      </c>
      <c r="K6" t="s">
        <v>102</v>
      </c>
      <c r="L6" t="s">
        <v>103</v>
      </c>
      <c r="M6" t="s">
        <v>81</v>
      </c>
      <c r="N6" t="s">
        <v>81</v>
      </c>
      <c r="O6" t="s">
        <v>106</v>
      </c>
      <c r="P6" t="s">
        <v>107</v>
      </c>
      <c r="Q6" t="s">
        <v>64</v>
      </c>
      <c r="R6" t="s">
        <v>83</v>
      </c>
      <c r="S6" t="s">
        <v>74</v>
      </c>
      <c r="T6" t="s">
        <v>64</v>
      </c>
      <c r="U6" t="s">
        <v>75</v>
      </c>
      <c r="V6">
        <v>365</v>
      </c>
      <c r="W6">
        <v>6</v>
      </c>
      <c r="X6" t="s">
        <v>67</v>
      </c>
      <c r="Y6" t="s">
        <v>96</v>
      </c>
      <c r="Z6">
        <v>8.25</v>
      </c>
      <c r="AA6">
        <v>0.01</v>
      </c>
      <c r="AB6" t="s">
        <v>67</v>
      </c>
      <c r="AC6">
        <v>432</v>
      </c>
      <c r="AD6">
        <v>13</v>
      </c>
      <c r="AE6" t="s">
        <v>67</v>
      </c>
      <c r="AF6">
        <v>8.2100000000000009</v>
      </c>
      <c r="AG6">
        <v>0.01</v>
      </c>
      <c r="AH6" t="s">
        <v>67</v>
      </c>
      <c r="AI6">
        <v>14.4</v>
      </c>
      <c r="AJ6">
        <v>0.2</v>
      </c>
      <c r="AK6" t="s">
        <v>67</v>
      </c>
      <c r="AL6">
        <v>17.100000000000001</v>
      </c>
      <c r="AM6">
        <v>0</v>
      </c>
      <c r="AN6" t="s">
        <v>67</v>
      </c>
      <c r="AO6">
        <v>67</v>
      </c>
      <c r="AP6">
        <v>2.7</v>
      </c>
      <c r="AQ6" t="s">
        <v>67</v>
      </c>
      <c r="AR6" t="s">
        <v>152</v>
      </c>
      <c r="AS6" t="s">
        <v>145</v>
      </c>
      <c r="AT6" t="s">
        <v>70</v>
      </c>
      <c r="AU6" t="s">
        <v>89</v>
      </c>
      <c r="AV6" t="s">
        <v>11</v>
      </c>
      <c r="AW6" t="s">
        <v>11</v>
      </c>
      <c r="AX6" t="s">
        <v>90</v>
      </c>
      <c r="AY6">
        <v>0.71299999999999997</v>
      </c>
      <c r="AZ6">
        <v>99.287000000000006</v>
      </c>
      <c r="BA6">
        <v>0.32</v>
      </c>
      <c r="BB6">
        <f>BA6*SQRT(BC6)</f>
        <v>0.71554175279993271</v>
      </c>
      <c r="BC6">
        <v>5</v>
      </c>
      <c r="BD6">
        <v>4.6669999999999998</v>
      </c>
      <c r="BE6">
        <v>95.33</v>
      </c>
      <c r="BF6">
        <v>3.27</v>
      </c>
      <c r="BG6">
        <f>BF6*SQRT(BH6)</f>
        <v>7.3119422864243129</v>
      </c>
      <c r="BH6">
        <v>5</v>
      </c>
      <c r="BI6">
        <v>19</v>
      </c>
      <c r="BJ6">
        <v>5</v>
      </c>
      <c r="BK6">
        <v>-4.0599999999999997E-2</v>
      </c>
      <c r="BL6">
        <v>1.1999999999999999E-3</v>
      </c>
    </row>
    <row r="7" spans="1:65" x14ac:dyDescent="0.2">
      <c r="A7">
        <v>184</v>
      </c>
      <c r="B7" t="str">
        <f>ROW()-1&amp;"_AltersFish"</f>
        <v>6_AltersFish</v>
      </c>
      <c r="C7" t="str">
        <f>A7 &amp; "_" &amp; P7 &amp; "_" &amp;
SUBSTITUTE(TRIM(L7)," ","_") &amp;
"_pH" &amp; TEXT(Z7,"0.00") &amp;
"_T" &amp; TEXT(AI7,"0.00") &amp;
"_CO2" &amp; TEXT(V7,"0") &amp;
"_LANG"</f>
        <v>184_LARVA_Belone_belone_pH8.25_T14.40_CO2365_LANG</v>
      </c>
      <c r="D7" t="s">
        <v>54</v>
      </c>
      <c r="E7">
        <v>2021</v>
      </c>
      <c r="F7" t="s">
        <v>100</v>
      </c>
      <c r="G7" t="s">
        <v>101</v>
      </c>
      <c r="H7" t="s">
        <v>78</v>
      </c>
      <c r="I7" t="s">
        <v>540</v>
      </c>
      <c r="J7" t="s">
        <v>543</v>
      </c>
      <c r="K7" t="s">
        <v>102</v>
      </c>
      <c r="L7" t="s">
        <v>103</v>
      </c>
      <c r="M7" t="s">
        <v>81</v>
      </c>
      <c r="N7" t="s">
        <v>81</v>
      </c>
      <c r="O7" t="s">
        <v>106</v>
      </c>
      <c r="P7" t="s">
        <v>107</v>
      </c>
      <c r="Q7" t="s">
        <v>64</v>
      </c>
      <c r="R7" t="s">
        <v>83</v>
      </c>
      <c r="S7" t="s">
        <v>64</v>
      </c>
      <c r="T7" t="s">
        <v>64</v>
      </c>
      <c r="U7" t="s">
        <v>66</v>
      </c>
      <c r="V7">
        <v>365</v>
      </c>
      <c r="W7">
        <v>6</v>
      </c>
      <c r="X7" t="s">
        <v>67</v>
      </c>
      <c r="Y7" t="s">
        <v>96</v>
      </c>
      <c r="Z7">
        <v>8.25</v>
      </c>
      <c r="AA7">
        <v>0.01</v>
      </c>
      <c r="AB7" t="s">
        <v>67</v>
      </c>
      <c r="AC7">
        <v>1292</v>
      </c>
      <c r="AD7">
        <v>18</v>
      </c>
      <c r="AE7" t="s">
        <v>67</v>
      </c>
      <c r="AF7">
        <v>7.74</v>
      </c>
      <c r="AG7">
        <v>0.01</v>
      </c>
      <c r="AH7" t="s">
        <v>67</v>
      </c>
      <c r="AI7">
        <v>14.4</v>
      </c>
      <c r="AJ7">
        <v>0.2</v>
      </c>
      <c r="AK7" t="s">
        <v>67</v>
      </c>
      <c r="AL7">
        <v>15.9</v>
      </c>
      <c r="AM7">
        <v>0.4</v>
      </c>
      <c r="AN7" t="s">
        <v>67</v>
      </c>
      <c r="AO7">
        <v>927</v>
      </c>
      <c r="AP7">
        <v>1.5</v>
      </c>
      <c r="AQ7" t="s">
        <v>67</v>
      </c>
      <c r="AR7" t="s">
        <v>152</v>
      </c>
      <c r="AS7" t="s">
        <v>145</v>
      </c>
      <c r="AT7" t="s">
        <v>70</v>
      </c>
      <c r="AU7" t="s">
        <v>89</v>
      </c>
      <c r="AV7" t="s">
        <v>11</v>
      </c>
      <c r="AW7" t="s">
        <v>11</v>
      </c>
      <c r="AX7" t="s">
        <v>90</v>
      </c>
      <c r="AY7">
        <v>0.71299999999999997</v>
      </c>
      <c r="AZ7">
        <v>99.287000000000006</v>
      </c>
      <c r="BA7">
        <v>0.32</v>
      </c>
      <c r="BB7">
        <f>BA7*SQRT(BC7)</f>
        <v>0.71554175279993271</v>
      </c>
      <c r="BC7">
        <v>5</v>
      </c>
      <c r="BD7">
        <v>6.032</v>
      </c>
      <c r="BE7">
        <v>93.97</v>
      </c>
      <c r="BF7">
        <v>2.14</v>
      </c>
      <c r="BG7">
        <f>BF7*SQRT(BH7)</f>
        <v>4.7851854718495508</v>
      </c>
      <c r="BH7">
        <v>5</v>
      </c>
      <c r="BI7">
        <v>22</v>
      </c>
      <c r="BJ7">
        <v>5</v>
      </c>
      <c r="BK7">
        <v>-5.5100000000000003E-2</v>
      </c>
      <c r="BL7">
        <v>5.0000000000000001E-4</v>
      </c>
    </row>
    <row r="8" spans="1:65" x14ac:dyDescent="0.2">
      <c r="A8">
        <v>184</v>
      </c>
      <c r="B8" t="str">
        <f>ROW()-1&amp;"_AltersFish"</f>
        <v>7_AltersFish</v>
      </c>
      <c r="C8" t="str">
        <f>A8 &amp; "_" &amp; P8 &amp; "_" &amp;
SUBSTITUTE(TRIM(L8)," ","_") &amp;
"_pH" &amp; TEXT(Z8,"0.00") &amp;
"_T" &amp; TEXT(AI8,"0.00") &amp;
"_CO2" &amp; TEXT(V8,"0") &amp;
"_LANG"</f>
        <v>184_LARVA_Belone_belone_pH8.25_T14.40_CO2365_LANG</v>
      </c>
      <c r="D8" t="s">
        <v>54</v>
      </c>
      <c r="E8">
        <v>2021</v>
      </c>
      <c r="F8" t="s">
        <v>100</v>
      </c>
      <c r="G8" t="s">
        <v>101</v>
      </c>
      <c r="H8" t="s">
        <v>78</v>
      </c>
      <c r="I8" t="s">
        <v>540</v>
      </c>
      <c r="J8" t="s">
        <v>543</v>
      </c>
      <c r="K8" t="s">
        <v>102</v>
      </c>
      <c r="L8" t="s">
        <v>103</v>
      </c>
      <c r="M8" t="s">
        <v>81</v>
      </c>
      <c r="N8" t="s">
        <v>81</v>
      </c>
      <c r="O8" t="s">
        <v>106</v>
      </c>
      <c r="P8" t="s">
        <v>107</v>
      </c>
      <c r="Q8" t="s">
        <v>64</v>
      </c>
      <c r="R8" t="s">
        <v>83</v>
      </c>
      <c r="S8" t="s">
        <v>64</v>
      </c>
      <c r="T8" t="s">
        <v>64</v>
      </c>
      <c r="U8" t="s">
        <v>66</v>
      </c>
      <c r="V8">
        <v>365</v>
      </c>
      <c r="W8">
        <v>6</v>
      </c>
      <c r="X8" t="s">
        <v>67</v>
      </c>
      <c r="Y8" t="s">
        <v>96</v>
      </c>
      <c r="Z8">
        <v>8.25</v>
      </c>
      <c r="AA8">
        <v>0.01</v>
      </c>
      <c r="AB8" t="s">
        <v>67</v>
      </c>
      <c r="AC8">
        <v>1218</v>
      </c>
      <c r="AD8">
        <v>18</v>
      </c>
      <c r="AE8" t="s">
        <v>67</v>
      </c>
      <c r="AF8">
        <v>7.77</v>
      </c>
      <c r="AG8">
        <v>0.01</v>
      </c>
      <c r="AH8" t="s">
        <v>67</v>
      </c>
      <c r="AI8">
        <v>14.4</v>
      </c>
      <c r="AJ8">
        <v>0.2</v>
      </c>
      <c r="AK8" t="s">
        <v>67</v>
      </c>
      <c r="AL8">
        <v>17.100000000000001</v>
      </c>
      <c r="AM8">
        <v>0</v>
      </c>
      <c r="AN8" t="s">
        <v>67</v>
      </c>
      <c r="AO8">
        <v>853</v>
      </c>
      <c r="AP8">
        <v>2.7</v>
      </c>
      <c r="AQ8" t="s">
        <v>67</v>
      </c>
      <c r="AR8" t="s">
        <v>152</v>
      </c>
      <c r="AS8" t="s">
        <v>145</v>
      </c>
      <c r="AT8" t="s">
        <v>70</v>
      </c>
      <c r="AU8" t="s">
        <v>89</v>
      </c>
      <c r="AV8" t="s">
        <v>11</v>
      </c>
      <c r="AW8" t="s">
        <v>11</v>
      </c>
      <c r="AX8" t="s">
        <v>90</v>
      </c>
      <c r="AY8">
        <v>0.71299999999999997</v>
      </c>
      <c r="AZ8">
        <v>99.287000000000006</v>
      </c>
      <c r="BA8">
        <v>0.32</v>
      </c>
      <c r="BB8">
        <f>BA8*SQRT(BC8)</f>
        <v>0.71554175279993271</v>
      </c>
      <c r="BC8">
        <v>5</v>
      </c>
      <c r="BD8">
        <v>22.777999999999999</v>
      </c>
      <c r="BE8">
        <v>77.22</v>
      </c>
      <c r="BF8">
        <v>3.36</v>
      </c>
      <c r="BG8">
        <f>BF8*SQRT(BH8)</f>
        <v>7.5131884043992931</v>
      </c>
      <c r="BH8">
        <v>5</v>
      </c>
      <c r="BI8">
        <v>19</v>
      </c>
      <c r="BJ8">
        <v>5</v>
      </c>
      <c r="BK8">
        <v>-0.25130000000000002</v>
      </c>
      <c r="BL8">
        <v>1.9E-3</v>
      </c>
    </row>
    <row r="9" spans="1:65" x14ac:dyDescent="0.2">
      <c r="A9">
        <v>184</v>
      </c>
      <c r="B9" t="str">
        <f>ROW()-1&amp;"_AltersFish"</f>
        <v>8_AltersFish</v>
      </c>
      <c r="C9" t="str">
        <f>A9 &amp; "_" &amp; P9 &amp; "_" &amp;
SUBSTITUTE(TRIM(L9)," ","_") &amp;
"_pH" &amp; TEXT(Z9,"0.00") &amp;
"_T" &amp; TEXT(AI9,"0.00") &amp;
"_CO2" &amp; TEXT(V9,"0") &amp;
"_LANG"</f>
        <v>184_LARVA_Belone_belone_pH8.25_T14.40_CO2365_LANG</v>
      </c>
      <c r="D9" t="s">
        <v>54</v>
      </c>
      <c r="E9">
        <v>2021</v>
      </c>
      <c r="F9" t="s">
        <v>100</v>
      </c>
      <c r="G9" t="s">
        <v>101</v>
      </c>
      <c r="H9" t="s">
        <v>78</v>
      </c>
      <c r="I9" t="s">
        <v>540</v>
      </c>
      <c r="J9" t="s">
        <v>543</v>
      </c>
      <c r="K9" t="s">
        <v>102</v>
      </c>
      <c r="L9" t="s">
        <v>103</v>
      </c>
      <c r="M9" t="s">
        <v>81</v>
      </c>
      <c r="N9" t="s">
        <v>81</v>
      </c>
      <c r="O9" t="s">
        <v>106</v>
      </c>
      <c r="P9" t="s">
        <v>107</v>
      </c>
      <c r="Q9" t="s">
        <v>64</v>
      </c>
      <c r="R9" t="s">
        <v>83</v>
      </c>
      <c r="S9" t="s">
        <v>64</v>
      </c>
      <c r="T9" t="s">
        <v>64</v>
      </c>
      <c r="U9" t="s">
        <v>66</v>
      </c>
      <c r="V9">
        <v>365</v>
      </c>
      <c r="W9">
        <v>6</v>
      </c>
      <c r="X9" t="s">
        <v>67</v>
      </c>
      <c r="Y9" t="s">
        <v>96</v>
      </c>
      <c r="Z9">
        <v>8.25</v>
      </c>
      <c r="AA9">
        <v>0.01</v>
      </c>
      <c r="AB9" t="s">
        <v>67</v>
      </c>
      <c r="AC9">
        <v>1218</v>
      </c>
      <c r="AD9">
        <v>18</v>
      </c>
      <c r="AE9" t="s">
        <v>67</v>
      </c>
      <c r="AF9">
        <v>7.77</v>
      </c>
      <c r="AG9">
        <v>0.01</v>
      </c>
      <c r="AH9" t="s">
        <v>67</v>
      </c>
      <c r="AI9">
        <v>14.4</v>
      </c>
      <c r="AJ9">
        <v>0.2</v>
      </c>
      <c r="AK9" t="s">
        <v>67</v>
      </c>
      <c r="AL9">
        <v>17.100000000000001</v>
      </c>
      <c r="AM9">
        <v>0</v>
      </c>
      <c r="AN9" t="s">
        <v>67</v>
      </c>
      <c r="AO9">
        <v>853</v>
      </c>
      <c r="AP9">
        <v>2.7</v>
      </c>
      <c r="AQ9" t="s">
        <v>67</v>
      </c>
      <c r="AR9" t="s">
        <v>212</v>
      </c>
      <c r="AS9" t="s">
        <v>141</v>
      </c>
      <c r="AT9" t="s">
        <v>135</v>
      </c>
      <c r="AU9" t="s">
        <v>213</v>
      </c>
      <c r="AV9" t="s">
        <v>142</v>
      </c>
      <c r="AW9" t="s">
        <v>11</v>
      </c>
      <c r="AX9" t="s">
        <v>73</v>
      </c>
      <c r="AY9">
        <v>10.763</v>
      </c>
      <c r="AZ9">
        <v>10.763</v>
      </c>
      <c r="BA9">
        <v>0.17</v>
      </c>
      <c r="BB9">
        <f>BA9*SQRT(BC9)</f>
        <v>0.3801315561749643</v>
      </c>
      <c r="BC9">
        <v>5</v>
      </c>
      <c r="BD9">
        <v>11.692</v>
      </c>
      <c r="BE9">
        <v>11.692</v>
      </c>
      <c r="BF9">
        <v>0.1</v>
      </c>
      <c r="BG9">
        <f>BF9*SQRT(BH9)</f>
        <v>0.22360679774997899</v>
      </c>
      <c r="BH9">
        <v>5</v>
      </c>
      <c r="BI9">
        <v>19</v>
      </c>
      <c r="BJ9">
        <v>5</v>
      </c>
      <c r="BK9">
        <v>8.2799999999999999E-2</v>
      </c>
      <c r="BL9">
        <v>2.9999999999999997E-4</v>
      </c>
    </row>
    <row r="10" spans="1:65" hidden="1" x14ac:dyDescent="0.2">
      <c r="A10">
        <v>170</v>
      </c>
      <c r="D10" t="s">
        <v>54</v>
      </c>
      <c r="E10">
        <v>2014</v>
      </c>
      <c r="F10" t="s">
        <v>55</v>
      </c>
      <c r="G10" t="s">
        <v>56</v>
      </c>
      <c r="H10" t="s">
        <v>57</v>
      </c>
      <c r="K10" t="s">
        <v>58</v>
      </c>
      <c r="L10" t="s">
        <v>59</v>
      </c>
      <c r="M10" t="s">
        <v>60</v>
      </c>
      <c r="N10" t="s">
        <v>61</v>
      </c>
      <c r="O10" t="s">
        <v>62</v>
      </c>
      <c r="P10" t="s">
        <v>63</v>
      </c>
      <c r="Q10" t="s">
        <v>64</v>
      </c>
      <c r="R10" t="s">
        <v>65</v>
      </c>
      <c r="S10" t="s">
        <v>64</v>
      </c>
      <c r="T10" t="s">
        <v>74</v>
      </c>
      <c r="U10" t="s">
        <v>84</v>
      </c>
      <c r="V10">
        <v>371.86</v>
      </c>
      <c r="W10" t="s">
        <v>67</v>
      </c>
      <c r="X10">
        <v>51.93</v>
      </c>
      <c r="Y10" t="s">
        <v>68</v>
      </c>
      <c r="Z10">
        <v>8.02</v>
      </c>
      <c r="AA10" t="s">
        <v>67</v>
      </c>
      <c r="AB10">
        <v>0.05</v>
      </c>
      <c r="AC10">
        <v>1383.81</v>
      </c>
      <c r="AD10" t="s">
        <v>67</v>
      </c>
      <c r="AE10">
        <v>113.55</v>
      </c>
      <c r="AF10">
        <v>7.52</v>
      </c>
      <c r="AG10" t="s">
        <v>67</v>
      </c>
      <c r="AH10">
        <v>0.04</v>
      </c>
      <c r="AI10">
        <v>25.9</v>
      </c>
      <c r="AJ10" t="s">
        <v>67</v>
      </c>
      <c r="AK10">
        <v>0.7</v>
      </c>
      <c r="AL10">
        <v>26.2</v>
      </c>
      <c r="AM10" t="s">
        <v>67</v>
      </c>
      <c r="AN10">
        <v>0.5</v>
      </c>
      <c r="AO10">
        <v>1012</v>
      </c>
      <c r="AP10">
        <v>0.3</v>
      </c>
      <c r="AQ10" t="s">
        <v>67</v>
      </c>
      <c r="AR10" t="s">
        <v>69</v>
      </c>
      <c r="AS10" t="s">
        <v>69</v>
      </c>
      <c r="AT10" t="s">
        <v>70</v>
      </c>
      <c r="AU10" t="s">
        <v>71</v>
      </c>
      <c r="AV10" t="s">
        <v>72</v>
      </c>
      <c r="AX10" t="s">
        <v>73</v>
      </c>
      <c r="AY10">
        <v>0.38740000000000002</v>
      </c>
      <c r="AZ10">
        <v>0.38735999999999998</v>
      </c>
      <c r="BA10">
        <v>2.5000000000000001E-3</v>
      </c>
      <c r="BC10">
        <v>5</v>
      </c>
      <c r="BD10">
        <v>0.36609999999999998</v>
      </c>
      <c r="BE10">
        <v>0.36606481499999999</v>
      </c>
      <c r="BF10">
        <v>2.7000000000000001E-3</v>
      </c>
      <c r="BH10">
        <v>5</v>
      </c>
      <c r="BI10">
        <v>90</v>
      </c>
      <c r="BJ10">
        <v>3</v>
      </c>
      <c r="BK10">
        <v>-5.6500000000000002E-2</v>
      </c>
      <c r="BL10">
        <v>1E-4</v>
      </c>
    </row>
    <row r="11" spans="1:65" x14ac:dyDescent="0.2">
      <c r="A11">
        <v>184</v>
      </c>
      <c r="B11" t="str">
        <f>ROW()-1&amp;"_AltersFish"</f>
        <v>10_AltersFish</v>
      </c>
      <c r="C11" t="str">
        <f>A11 &amp; "_" &amp; P11 &amp; "_" &amp;
SUBSTITUTE(TRIM(L11)," ","_") &amp;
"_pH" &amp; TEXT(Z11,"0.00") &amp;
"_T" &amp; TEXT(AI11,"0.00") &amp;
"_CO2" &amp; TEXT(V11,"0") &amp;
"_LANG"</f>
        <v>184_LARVA_Belone_belone_pH8.25_T14.40_CO2365_LANG</v>
      </c>
      <c r="D11" t="s">
        <v>54</v>
      </c>
      <c r="E11">
        <v>2021</v>
      </c>
      <c r="F11" t="s">
        <v>100</v>
      </c>
      <c r="G11" t="s">
        <v>101</v>
      </c>
      <c r="H11" t="s">
        <v>78</v>
      </c>
      <c r="I11" t="s">
        <v>540</v>
      </c>
      <c r="J11" t="s">
        <v>543</v>
      </c>
      <c r="K11" t="s">
        <v>102</v>
      </c>
      <c r="L11" t="s">
        <v>103</v>
      </c>
      <c r="M11" t="s">
        <v>81</v>
      </c>
      <c r="N11" t="s">
        <v>81</v>
      </c>
      <c r="O11" t="s">
        <v>106</v>
      </c>
      <c r="P11" t="s">
        <v>107</v>
      </c>
      <c r="Q11" t="s">
        <v>64</v>
      </c>
      <c r="R11" t="s">
        <v>83</v>
      </c>
      <c r="S11" t="s">
        <v>64</v>
      </c>
      <c r="T11" t="s">
        <v>64</v>
      </c>
      <c r="U11" t="s">
        <v>66</v>
      </c>
      <c r="V11">
        <v>365</v>
      </c>
      <c r="W11">
        <v>6</v>
      </c>
      <c r="X11" t="s">
        <v>67</v>
      </c>
      <c r="Y11" t="s">
        <v>96</v>
      </c>
      <c r="Z11">
        <v>8.25</v>
      </c>
      <c r="AA11">
        <v>0.01</v>
      </c>
      <c r="AB11" t="s">
        <v>67</v>
      </c>
      <c r="AC11">
        <v>1292</v>
      </c>
      <c r="AD11">
        <v>18</v>
      </c>
      <c r="AE11" t="s">
        <v>67</v>
      </c>
      <c r="AF11">
        <v>7.74</v>
      </c>
      <c r="AG11">
        <v>0.01</v>
      </c>
      <c r="AH11" t="s">
        <v>67</v>
      </c>
      <c r="AI11">
        <v>14.4</v>
      </c>
      <c r="AJ11">
        <v>0.2</v>
      </c>
      <c r="AK11" t="s">
        <v>67</v>
      </c>
      <c r="AL11">
        <v>15.9</v>
      </c>
      <c r="AM11">
        <v>0.4</v>
      </c>
      <c r="AN11" t="s">
        <v>67</v>
      </c>
      <c r="AO11">
        <v>927</v>
      </c>
      <c r="AP11">
        <v>1.5</v>
      </c>
      <c r="AQ11" t="s">
        <v>67</v>
      </c>
      <c r="AR11" t="s">
        <v>212</v>
      </c>
      <c r="AS11" t="s">
        <v>141</v>
      </c>
      <c r="AT11" t="s">
        <v>135</v>
      </c>
      <c r="AU11" t="s">
        <v>213</v>
      </c>
      <c r="AV11" t="s">
        <v>142</v>
      </c>
      <c r="AW11" t="s">
        <v>11</v>
      </c>
      <c r="AX11" t="s">
        <v>73</v>
      </c>
      <c r="AY11">
        <v>10.763</v>
      </c>
      <c r="AZ11">
        <v>10.763</v>
      </c>
      <c r="BA11">
        <v>0.17</v>
      </c>
      <c r="BB11">
        <f>BA11*SQRT(BC11)</f>
        <v>0.3801315561749643</v>
      </c>
      <c r="BC11">
        <v>5</v>
      </c>
      <c r="BD11">
        <v>11.359</v>
      </c>
      <c r="BE11">
        <v>11.359</v>
      </c>
      <c r="BF11">
        <v>0.12</v>
      </c>
      <c r="BG11">
        <f>BF11*SQRT(BH11)</f>
        <v>0.26832815729997478</v>
      </c>
      <c r="BH11">
        <v>5</v>
      </c>
      <c r="BI11">
        <v>22</v>
      </c>
      <c r="BJ11">
        <v>5</v>
      </c>
      <c r="BK11">
        <v>5.3900000000000003E-2</v>
      </c>
      <c r="BL11">
        <v>4.0000000000000002E-4</v>
      </c>
    </row>
    <row r="12" spans="1:65" x14ac:dyDescent="0.2">
      <c r="A12">
        <v>184</v>
      </c>
      <c r="B12" t="str">
        <f>ROW()-1&amp;"_AltersFish"</f>
        <v>11_AltersFish</v>
      </c>
      <c r="C12" t="str">
        <f>A12 &amp; "_" &amp; P12 &amp; "_" &amp;
SUBSTITUTE(TRIM(L12)," ","_") &amp;
"_pH" &amp; TEXT(Z12,"0.00") &amp;
"_T" &amp; TEXT(AI12,"0.00") &amp;
"_CO2" &amp; TEXT(V12,"0") &amp;
"_LANG"</f>
        <v>184_LARVA_Belone_belone_pH8.25_T14.40_CO2365_LANG</v>
      </c>
      <c r="D12" t="s">
        <v>54</v>
      </c>
      <c r="E12">
        <v>2021</v>
      </c>
      <c r="F12" t="s">
        <v>100</v>
      </c>
      <c r="G12" t="s">
        <v>101</v>
      </c>
      <c r="H12" t="s">
        <v>78</v>
      </c>
      <c r="I12" t="s">
        <v>540</v>
      </c>
      <c r="J12" t="s">
        <v>543</v>
      </c>
      <c r="K12" t="s">
        <v>102</v>
      </c>
      <c r="L12" t="s">
        <v>103</v>
      </c>
      <c r="M12" t="s">
        <v>81</v>
      </c>
      <c r="N12" t="s">
        <v>81</v>
      </c>
      <c r="O12" t="s">
        <v>106</v>
      </c>
      <c r="P12" t="s">
        <v>107</v>
      </c>
      <c r="Q12" t="s">
        <v>64</v>
      </c>
      <c r="R12" t="s">
        <v>83</v>
      </c>
      <c r="S12" t="s">
        <v>74</v>
      </c>
      <c r="T12" t="s">
        <v>64</v>
      </c>
      <c r="U12" t="s">
        <v>75</v>
      </c>
      <c r="V12">
        <v>365</v>
      </c>
      <c r="W12">
        <v>6</v>
      </c>
      <c r="X12" t="s">
        <v>67</v>
      </c>
      <c r="Y12" t="s">
        <v>96</v>
      </c>
      <c r="Z12">
        <v>8.25</v>
      </c>
      <c r="AA12">
        <v>0.01</v>
      </c>
      <c r="AB12" t="s">
        <v>67</v>
      </c>
      <c r="AC12">
        <v>432</v>
      </c>
      <c r="AD12">
        <v>13</v>
      </c>
      <c r="AE12" t="s">
        <v>67</v>
      </c>
      <c r="AF12">
        <v>8.2100000000000009</v>
      </c>
      <c r="AG12">
        <v>0.01</v>
      </c>
      <c r="AH12" t="s">
        <v>67</v>
      </c>
      <c r="AI12">
        <v>14.4</v>
      </c>
      <c r="AJ12">
        <v>0.2</v>
      </c>
      <c r="AK12" t="s">
        <v>67</v>
      </c>
      <c r="AL12">
        <v>17.100000000000001</v>
      </c>
      <c r="AM12">
        <v>0</v>
      </c>
      <c r="AN12" t="s">
        <v>67</v>
      </c>
      <c r="AO12">
        <v>67</v>
      </c>
      <c r="AP12">
        <v>2.7</v>
      </c>
      <c r="AQ12" t="s">
        <v>67</v>
      </c>
      <c r="AR12" t="s">
        <v>212</v>
      </c>
      <c r="AS12" t="s">
        <v>141</v>
      </c>
      <c r="AT12" t="s">
        <v>135</v>
      </c>
      <c r="AU12" t="s">
        <v>213</v>
      </c>
      <c r="AV12" t="s">
        <v>142</v>
      </c>
      <c r="AW12" t="s">
        <v>11</v>
      </c>
      <c r="AX12" t="s">
        <v>73</v>
      </c>
      <c r="AY12">
        <v>10.763</v>
      </c>
      <c r="AZ12">
        <v>10.763</v>
      </c>
      <c r="BA12">
        <v>0.17</v>
      </c>
      <c r="BB12">
        <f>BA12*SQRT(BC12)</f>
        <v>0.3801315561749643</v>
      </c>
      <c r="BC12">
        <v>5</v>
      </c>
      <c r="BD12">
        <v>11.17</v>
      </c>
      <c r="BE12">
        <v>11.17</v>
      </c>
      <c r="BF12">
        <v>0.11</v>
      </c>
      <c r="BG12">
        <f>BF12*SQRT(BH12)</f>
        <v>0.24596747752497689</v>
      </c>
      <c r="BH12">
        <v>5</v>
      </c>
      <c r="BI12">
        <v>19</v>
      </c>
      <c r="BJ12">
        <v>5</v>
      </c>
      <c r="BK12">
        <v>3.7100000000000001E-2</v>
      </c>
      <c r="BL12">
        <v>2.9999999999999997E-4</v>
      </c>
    </row>
    <row r="13" spans="1:65" x14ac:dyDescent="0.2">
      <c r="A13">
        <v>184</v>
      </c>
      <c r="B13" t="str">
        <f>ROW()-1&amp;"_AltersFish"</f>
        <v>12_AltersFish</v>
      </c>
      <c r="C13" t="str">
        <f>A13 &amp; "_" &amp; P13 &amp; "_" &amp;
SUBSTITUTE(TRIM(L13)," ","_") &amp;
"_pH" &amp; TEXT(Z13,"0.00") &amp;
"_T" &amp; TEXT(AI13,"0.00") &amp;
"_CO2" &amp; TEXT(V13,"0") &amp;
"_LANG"</f>
        <v>184_LARVA_Belone_belone_pH8.25_T14.40_CO2365_LANG</v>
      </c>
      <c r="D13" t="s">
        <v>54</v>
      </c>
      <c r="E13">
        <v>2021</v>
      </c>
      <c r="F13" t="s">
        <v>100</v>
      </c>
      <c r="G13" t="s">
        <v>101</v>
      </c>
      <c r="H13" t="s">
        <v>78</v>
      </c>
      <c r="I13" t="s">
        <v>540</v>
      </c>
      <c r="J13" t="s">
        <v>543</v>
      </c>
      <c r="K13" t="s">
        <v>102</v>
      </c>
      <c r="L13" t="s">
        <v>103</v>
      </c>
      <c r="M13" t="s">
        <v>81</v>
      </c>
      <c r="N13" t="s">
        <v>81</v>
      </c>
      <c r="O13" t="s">
        <v>106</v>
      </c>
      <c r="P13" t="s">
        <v>107</v>
      </c>
      <c r="Q13" t="s">
        <v>64</v>
      </c>
      <c r="R13" t="s">
        <v>83</v>
      </c>
      <c r="S13" t="s">
        <v>64</v>
      </c>
      <c r="T13" t="s">
        <v>74</v>
      </c>
      <c r="U13" t="s">
        <v>84</v>
      </c>
      <c r="V13">
        <v>365</v>
      </c>
      <c r="W13">
        <v>6</v>
      </c>
      <c r="X13" t="s">
        <v>67</v>
      </c>
      <c r="Y13" t="s">
        <v>96</v>
      </c>
      <c r="Z13">
        <v>8.25</v>
      </c>
      <c r="AA13">
        <v>0.01</v>
      </c>
      <c r="AB13" t="s">
        <v>67</v>
      </c>
      <c r="AC13">
        <v>1269</v>
      </c>
      <c r="AD13">
        <v>18</v>
      </c>
      <c r="AE13" t="s">
        <v>67</v>
      </c>
      <c r="AF13">
        <v>7.74</v>
      </c>
      <c r="AG13">
        <v>0.01</v>
      </c>
      <c r="AH13" t="s">
        <v>67</v>
      </c>
      <c r="AI13">
        <v>14.4</v>
      </c>
      <c r="AJ13">
        <v>0.2</v>
      </c>
      <c r="AK13" t="s">
        <v>67</v>
      </c>
      <c r="AL13">
        <v>14.3</v>
      </c>
      <c r="AM13">
        <v>0.2</v>
      </c>
      <c r="AN13" t="s">
        <v>67</v>
      </c>
      <c r="AO13">
        <v>904</v>
      </c>
      <c r="AP13">
        <v>-0.1</v>
      </c>
      <c r="AQ13" t="s">
        <v>67</v>
      </c>
      <c r="AR13" t="s">
        <v>212</v>
      </c>
      <c r="AS13" t="s">
        <v>141</v>
      </c>
      <c r="AT13" t="s">
        <v>135</v>
      </c>
      <c r="AU13" t="s">
        <v>213</v>
      </c>
      <c r="AV13" t="s">
        <v>142</v>
      </c>
      <c r="AW13" t="s">
        <v>11</v>
      </c>
      <c r="AX13" t="s">
        <v>73</v>
      </c>
      <c r="AY13">
        <v>10.763</v>
      </c>
      <c r="AZ13">
        <v>10.763</v>
      </c>
      <c r="BA13">
        <v>0.17</v>
      </c>
      <c r="BB13">
        <f>BA13*SQRT(BC13)</f>
        <v>0.3801315561749643</v>
      </c>
      <c r="BC13">
        <v>5</v>
      </c>
      <c r="BD13">
        <v>11.064</v>
      </c>
      <c r="BE13">
        <v>11.064</v>
      </c>
      <c r="BF13">
        <v>0.12</v>
      </c>
      <c r="BG13">
        <f>BF13*SQRT(BH13)</f>
        <v>0.26832815729997478</v>
      </c>
      <c r="BH13">
        <v>5</v>
      </c>
      <c r="BI13">
        <v>27</v>
      </c>
      <c r="BJ13">
        <v>5</v>
      </c>
      <c r="BK13">
        <v>2.76E-2</v>
      </c>
      <c r="BL13">
        <v>4.0000000000000002E-4</v>
      </c>
    </row>
    <row r="14" spans="1:65" x14ac:dyDescent="0.2">
      <c r="A14">
        <v>184</v>
      </c>
      <c r="B14" t="str">
        <f>ROW()-1&amp;"_AltersFish"</f>
        <v>13_AltersFish</v>
      </c>
      <c r="C14" t="str">
        <f>A14 &amp; "_" &amp; P14 &amp; "_" &amp;
SUBSTITUTE(TRIM(L14)," ","_") &amp;
"_pH" &amp; TEXT(Z14,"0.00") &amp;
"_T" &amp; TEXT(AI14,"0.00") &amp;
"_CO2" &amp; TEXT(V14,"0") &amp;
"_LANG"</f>
        <v>184_LARVA_Belone_belone_pH8.25_T14.40_CO2365_LANG</v>
      </c>
      <c r="D14" t="s">
        <v>54</v>
      </c>
      <c r="E14">
        <v>2021</v>
      </c>
      <c r="F14" t="s">
        <v>100</v>
      </c>
      <c r="G14" t="s">
        <v>101</v>
      </c>
      <c r="H14" t="s">
        <v>78</v>
      </c>
      <c r="I14" t="s">
        <v>540</v>
      </c>
      <c r="J14" t="s">
        <v>543</v>
      </c>
      <c r="K14" t="s">
        <v>102</v>
      </c>
      <c r="L14" t="s">
        <v>103</v>
      </c>
      <c r="M14" t="s">
        <v>81</v>
      </c>
      <c r="N14" t="s">
        <v>81</v>
      </c>
      <c r="O14" t="s">
        <v>106</v>
      </c>
      <c r="P14" t="s">
        <v>107</v>
      </c>
      <c r="Q14" t="s">
        <v>64</v>
      </c>
      <c r="R14" t="s">
        <v>83</v>
      </c>
      <c r="S14" t="s">
        <v>74</v>
      </c>
      <c r="T14" t="s">
        <v>64</v>
      </c>
      <c r="U14" t="s">
        <v>75</v>
      </c>
      <c r="V14">
        <v>365</v>
      </c>
      <c r="W14">
        <v>6</v>
      </c>
      <c r="X14" t="s">
        <v>67</v>
      </c>
      <c r="Y14" t="s">
        <v>96</v>
      </c>
      <c r="Z14">
        <v>8.25</v>
      </c>
      <c r="AA14">
        <v>0.01</v>
      </c>
      <c r="AB14" t="s">
        <v>67</v>
      </c>
      <c r="AC14">
        <v>377</v>
      </c>
      <c r="AD14">
        <v>7</v>
      </c>
      <c r="AE14" t="s">
        <v>67</v>
      </c>
      <c r="AF14">
        <v>8.25</v>
      </c>
      <c r="AG14">
        <v>0.01</v>
      </c>
      <c r="AH14" t="s">
        <v>67</v>
      </c>
      <c r="AI14">
        <v>14.4</v>
      </c>
      <c r="AJ14">
        <v>0.2</v>
      </c>
      <c r="AK14" t="s">
        <v>67</v>
      </c>
      <c r="AL14">
        <v>15.9</v>
      </c>
      <c r="AM14">
        <v>0.4</v>
      </c>
      <c r="AN14" t="s">
        <v>67</v>
      </c>
      <c r="AO14">
        <v>12</v>
      </c>
      <c r="AP14">
        <v>1.5</v>
      </c>
      <c r="AQ14" t="s">
        <v>67</v>
      </c>
      <c r="AR14" t="s">
        <v>212</v>
      </c>
      <c r="AS14" t="s">
        <v>141</v>
      </c>
      <c r="AT14" t="s">
        <v>135</v>
      </c>
      <c r="AU14" t="s">
        <v>213</v>
      </c>
      <c r="AV14" t="s">
        <v>142</v>
      </c>
      <c r="AW14" t="s">
        <v>11</v>
      </c>
      <c r="AX14" t="s">
        <v>73</v>
      </c>
      <c r="AY14">
        <v>10.763</v>
      </c>
      <c r="AZ14">
        <v>10.763</v>
      </c>
      <c r="BA14">
        <v>0.17</v>
      </c>
      <c r="BB14">
        <f>BA14*SQRT(BC14)</f>
        <v>0.3801315561749643</v>
      </c>
      <c r="BC14">
        <v>5</v>
      </c>
      <c r="BD14">
        <v>10.646000000000001</v>
      </c>
      <c r="BE14">
        <v>10.646000000000001</v>
      </c>
      <c r="BF14">
        <v>0.22</v>
      </c>
      <c r="BG14">
        <f>BF14*SQRT(BH14)</f>
        <v>0.49193495504995377</v>
      </c>
      <c r="BH14">
        <v>5</v>
      </c>
      <c r="BI14">
        <v>22</v>
      </c>
      <c r="BJ14">
        <v>5</v>
      </c>
      <c r="BK14">
        <v>-1.09E-2</v>
      </c>
      <c r="BL14">
        <v>6.9999999999999999E-4</v>
      </c>
    </row>
    <row r="15" spans="1:65" x14ac:dyDescent="0.2">
      <c r="A15">
        <v>184</v>
      </c>
      <c r="B15" t="str">
        <f>ROW()-1&amp;"_AltersFish"</f>
        <v>14_AltersFish</v>
      </c>
      <c r="C15" t="str">
        <f>A15 &amp; "_" &amp; P15 &amp; "_" &amp;
SUBSTITUTE(TRIM(L15)," ","_") &amp;
"_pH" &amp; TEXT(Z15,"0.00") &amp;
"_T" &amp; TEXT(AI15,"0.00") &amp;
"_CO2" &amp; TEXT(V15,"0") &amp;
"_LANG"</f>
        <v>184_LARVA_Belone_belone_pH8.25_T14.40_CO2365_LANG</v>
      </c>
      <c r="D15" t="s">
        <v>54</v>
      </c>
      <c r="E15">
        <v>2021</v>
      </c>
      <c r="F15" t="s">
        <v>100</v>
      </c>
      <c r="G15" t="s">
        <v>101</v>
      </c>
      <c r="H15" t="s">
        <v>78</v>
      </c>
      <c r="I15" t="s">
        <v>540</v>
      </c>
      <c r="J15" t="s">
        <v>543</v>
      </c>
      <c r="K15" t="s">
        <v>102</v>
      </c>
      <c r="L15" t="s">
        <v>103</v>
      </c>
      <c r="M15" t="s">
        <v>81</v>
      </c>
      <c r="N15" t="s">
        <v>81</v>
      </c>
      <c r="O15" t="s">
        <v>106</v>
      </c>
      <c r="P15" t="s">
        <v>107</v>
      </c>
      <c r="Q15" t="s">
        <v>64</v>
      </c>
      <c r="R15" t="s">
        <v>83</v>
      </c>
      <c r="S15" t="s">
        <v>64</v>
      </c>
      <c r="T15" t="s">
        <v>74</v>
      </c>
      <c r="U15" t="s">
        <v>84</v>
      </c>
      <c r="V15">
        <v>365</v>
      </c>
      <c r="W15">
        <v>6</v>
      </c>
      <c r="X15" t="s">
        <v>67</v>
      </c>
      <c r="Y15" t="s">
        <v>96</v>
      </c>
      <c r="Z15">
        <v>8.25</v>
      </c>
      <c r="AA15">
        <v>0.01</v>
      </c>
      <c r="AB15" t="s">
        <v>67</v>
      </c>
      <c r="AC15">
        <v>1269</v>
      </c>
      <c r="AD15">
        <v>18</v>
      </c>
      <c r="AE15" t="s">
        <v>67</v>
      </c>
      <c r="AF15">
        <v>7.74</v>
      </c>
      <c r="AG15">
        <v>0.01</v>
      </c>
      <c r="AH15" t="s">
        <v>67</v>
      </c>
      <c r="AI15">
        <v>14.4</v>
      </c>
      <c r="AJ15">
        <v>0.2</v>
      </c>
      <c r="AK15" t="s">
        <v>67</v>
      </c>
      <c r="AL15">
        <v>14.3</v>
      </c>
      <c r="AM15">
        <v>0.2</v>
      </c>
      <c r="AN15" t="s">
        <v>67</v>
      </c>
      <c r="AO15">
        <v>904</v>
      </c>
      <c r="AP15">
        <v>-0.1</v>
      </c>
      <c r="AQ15" t="s">
        <v>67</v>
      </c>
      <c r="AR15" t="s">
        <v>108</v>
      </c>
      <c r="AS15" t="s">
        <v>98</v>
      </c>
      <c r="AT15" t="s">
        <v>70</v>
      </c>
      <c r="AU15" t="s">
        <v>109</v>
      </c>
      <c r="AV15" t="s">
        <v>72</v>
      </c>
      <c r="AW15" t="s">
        <v>11</v>
      </c>
      <c r="AX15" t="s">
        <v>73</v>
      </c>
      <c r="AY15">
        <v>13.493</v>
      </c>
      <c r="AZ15">
        <v>13.493</v>
      </c>
      <c r="BA15">
        <v>0.09</v>
      </c>
      <c r="BB15">
        <f>BA15*SQRT(BC15)</f>
        <v>0.20124611797498107</v>
      </c>
      <c r="BC15">
        <v>5</v>
      </c>
      <c r="BD15">
        <v>13.558999999999999</v>
      </c>
      <c r="BE15">
        <v>13.558999999999999</v>
      </c>
      <c r="BF15">
        <v>0.09</v>
      </c>
      <c r="BG15">
        <f>BF15*SQRT(BH15)</f>
        <v>0.20124611797498107</v>
      </c>
      <c r="BH15">
        <v>5</v>
      </c>
      <c r="BI15">
        <v>27</v>
      </c>
      <c r="BJ15">
        <v>5</v>
      </c>
      <c r="BK15">
        <v>4.8999999999999998E-3</v>
      </c>
      <c r="BL15">
        <v>1E-4</v>
      </c>
    </row>
    <row r="16" spans="1:65" x14ac:dyDescent="0.2">
      <c r="A16">
        <v>184</v>
      </c>
      <c r="B16" t="str">
        <f>ROW()-1&amp;"_AltersFish"</f>
        <v>15_AltersFish</v>
      </c>
      <c r="C16" t="str">
        <f>A16 &amp; "_" &amp; P16 &amp; "_" &amp;
SUBSTITUTE(TRIM(L16)," ","_") &amp;
"_pH" &amp; TEXT(Z16,"0.00") &amp;
"_T" &amp; TEXT(AI16,"0.00") &amp;
"_CO2" &amp; TEXT(V16,"0") &amp;
"_LANG"</f>
        <v>184_LARVA_Belone_belone_pH8.25_T14.40_CO2365_LANG</v>
      </c>
      <c r="D16" t="s">
        <v>54</v>
      </c>
      <c r="E16">
        <v>2021</v>
      </c>
      <c r="F16" t="s">
        <v>100</v>
      </c>
      <c r="G16" t="s">
        <v>101</v>
      </c>
      <c r="H16" t="s">
        <v>78</v>
      </c>
      <c r="I16" t="s">
        <v>540</v>
      </c>
      <c r="J16" t="s">
        <v>543</v>
      </c>
      <c r="K16" t="s">
        <v>102</v>
      </c>
      <c r="L16" t="s">
        <v>103</v>
      </c>
      <c r="M16" t="s">
        <v>81</v>
      </c>
      <c r="N16" t="s">
        <v>81</v>
      </c>
      <c r="O16" t="s">
        <v>106</v>
      </c>
      <c r="P16" t="s">
        <v>107</v>
      </c>
      <c r="Q16" t="s">
        <v>64</v>
      </c>
      <c r="R16" t="s">
        <v>83</v>
      </c>
      <c r="S16" t="s">
        <v>74</v>
      </c>
      <c r="T16" t="s">
        <v>64</v>
      </c>
      <c r="U16" t="s">
        <v>75</v>
      </c>
      <c r="V16">
        <v>365</v>
      </c>
      <c r="W16">
        <v>6</v>
      </c>
      <c r="X16" t="s">
        <v>67</v>
      </c>
      <c r="Y16" t="s">
        <v>96</v>
      </c>
      <c r="Z16">
        <v>8.25</v>
      </c>
      <c r="AA16">
        <v>0.01</v>
      </c>
      <c r="AB16" t="s">
        <v>67</v>
      </c>
      <c r="AC16">
        <v>377</v>
      </c>
      <c r="AD16">
        <v>7</v>
      </c>
      <c r="AE16" t="s">
        <v>67</v>
      </c>
      <c r="AF16">
        <v>8.25</v>
      </c>
      <c r="AG16">
        <v>0.01</v>
      </c>
      <c r="AH16" t="s">
        <v>67</v>
      </c>
      <c r="AI16">
        <v>14.4</v>
      </c>
      <c r="AJ16">
        <v>0.2</v>
      </c>
      <c r="AK16" t="s">
        <v>67</v>
      </c>
      <c r="AL16">
        <v>15.9</v>
      </c>
      <c r="AM16">
        <v>0.4</v>
      </c>
      <c r="AN16" t="s">
        <v>67</v>
      </c>
      <c r="AO16">
        <v>12</v>
      </c>
      <c r="AP16">
        <v>1.5</v>
      </c>
      <c r="AQ16" t="s">
        <v>67</v>
      </c>
      <c r="AR16" t="s">
        <v>108</v>
      </c>
      <c r="AS16" t="s">
        <v>98</v>
      </c>
      <c r="AT16" t="s">
        <v>70</v>
      </c>
      <c r="AU16" t="s">
        <v>109</v>
      </c>
      <c r="AV16" t="s">
        <v>72</v>
      </c>
      <c r="AW16" t="s">
        <v>11</v>
      </c>
      <c r="AX16" t="s">
        <v>73</v>
      </c>
      <c r="AY16">
        <v>13.493</v>
      </c>
      <c r="AZ16">
        <v>13.493</v>
      </c>
      <c r="BA16">
        <v>0.09</v>
      </c>
      <c r="BB16">
        <f>BA16*SQRT(BC16)</f>
        <v>0.20124611797498107</v>
      </c>
      <c r="BC16">
        <v>5</v>
      </c>
      <c r="BD16">
        <v>12.907999999999999</v>
      </c>
      <c r="BE16">
        <v>12.907999999999999</v>
      </c>
      <c r="BF16">
        <v>0.12</v>
      </c>
      <c r="BG16">
        <f>BF16*SQRT(BH16)</f>
        <v>0.26832815729997478</v>
      </c>
      <c r="BH16">
        <v>5</v>
      </c>
      <c r="BI16">
        <v>22</v>
      </c>
      <c r="BJ16">
        <v>5</v>
      </c>
      <c r="BK16">
        <v>-4.4299999999999999E-2</v>
      </c>
      <c r="BL16">
        <v>1E-4</v>
      </c>
    </row>
    <row r="17" spans="1:64" x14ac:dyDescent="0.2">
      <c r="A17">
        <v>184</v>
      </c>
      <c r="B17" t="str">
        <f>ROW()-1&amp;"_AltersFish"</f>
        <v>16_AltersFish</v>
      </c>
      <c r="C17" t="str">
        <f>A17 &amp; "_" &amp; P17 &amp; "_" &amp;
SUBSTITUTE(TRIM(L17)," ","_") &amp;
"_pH" &amp; TEXT(Z17,"0.00") &amp;
"_T" &amp; TEXT(AI17,"0.00") &amp;
"_CO2" &amp; TEXT(V17,"0") &amp;
"_LANG"</f>
        <v>184_LARVA_Belone_belone_pH8.25_T14.40_CO2365_LANG</v>
      </c>
      <c r="D17" t="s">
        <v>54</v>
      </c>
      <c r="E17">
        <v>2021</v>
      </c>
      <c r="F17" t="s">
        <v>100</v>
      </c>
      <c r="G17" t="s">
        <v>101</v>
      </c>
      <c r="H17" t="s">
        <v>78</v>
      </c>
      <c r="I17" t="s">
        <v>540</v>
      </c>
      <c r="J17" t="s">
        <v>543</v>
      </c>
      <c r="K17" t="s">
        <v>102</v>
      </c>
      <c r="L17" t="s">
        <v>103</v>
      </c>
      <c r="M17" t="s">
        <v>81</v>
      </c>
      <c r="N17" t="s">
        <v>81</v>
      </c>
      <c r="O17" t="s">
        <v>106</v>
      </c>
      <c r="P17" t="s">
        <v>107</v>
      </c>
      <c r="Q17" t="s">
        <v>64</v>
      </c>
      <c r="R17" t="s">
        <v>83</v>
      </c>
      <c r="S17" t="s">
        <v>64</v>
      </c>
      <c r="T17" t="s">
        <v>64</v>
      </c>
      <c r="U17" t="s">
        <v>66</v>
      </c>
      <c r="V17">
        <v>365</v>
      </c>
      <c r="W17">
        <v>6</v>
      </c>
      <c r="X17" t="s">
        <v>67</v>
      </c>
      <c r="Y17" t="s">
        <v>96</v>
      </c>
      <c r="Z17">
        <v>8.25</v>
      </c>
      <c r="AA17">
        <v>0.01</v>
      </c>
      <c r="AB17" t="s">
        <v>67</v>
      </c>
      <c r="AC17">
        <v>1292</v>
      </c>
      <c r="AD17">
        <v>18</v>
      </c>
      <c r="AE17" t="s">
        <v>67</v>
      </c>
      <c r="AF17">
        <v>7.74</v>
      </c>
      <c r="AG17">
        <v>0.01</v>
      </c>
      <c r="AH17" t="s">
        <v>67</v>
      </c>
      <c r="AI17">
        <v>14.4</v>
      </c>
      <c r="AJ17">
        <v>0.2</v>
      </c>
      <c r="AK17" t="s">
        <v>67</v>
      </c>
      <c r="AL17">
        <v>15.9</v>
      </c>
      <c r="AM17">
        <v>0.4</v>
      </c>
      <c r="AN17" t="s">
        <v>67</v>
      </c>
      <c r="AO17">
        <v>927</v>
      </c>
      <c r="AP17">
        <v>1.5</v>
      </c>
      <c r="AQ17" t="s">
        <v>67</v>
      </c>
      <c r="AR17" t="s">
        <v>108</v>
      </c>
      <c r="AS17" t="s">
        <v>98</v>
      </c>
      <c r="AT17" t="s">
        <v>70</v>
      </c>
      <c r="AU17" t="s">
        <v>109</v>
      </c>
      <c r="AV17" t="s">
        <v>72</v>
      </c>
      <c r="AW17" t="s">
        <v>11</v>
      </c>
      <c r="AX17" t="s">
        <v>73</v>
      </c>
      <c r="AY17">
        <v>13.493</v>
      </c>
      <c r="AZ17">
        <v>13.493</v>
      </c>
      <c r="BA17">
        <v>0.09</v>
      </c>
      <c r="BB17">
        <f>BA17*SQRT(BC17)</f>
        <v>0.20124611797498107</v>
      </c>
      <c r="BC17">
        <v>5</v>
      </c>
      <c r="BD17">
        <v>12.864000000000001</v>
      </c>
      <c r="BE17">
        <v>12.864000000000001</v>
      </c>
      <c r="BF17">
        <v>0.23</v>
      </c>
      <c r="BG17">
        <f>BF17*SQRT(BH17)</f>
        <v>0.51429563482495166</v>
      </c>
      <c r="BH17">
        <v>5</v>
      </c>
      <c r="BI17">
        <v>22</v>
      </c>
      <c r="BJ17">
        <v>5</v>
      </c>
      <c r="BK17">
        <v>-4.7699999999999999E-2</v>
      </c>
      <c r="BL17">
        <v>4.0000000000000002E-4</v>
      </c>
    </row>
    <row r="18" spans="1:64" x14ac:dyDescent="0.2">
      <c r="A18">
        <v>184</v>
      </c>
      <c r="B18" t="str">
        <f>ROW()-1&amp;"_AltersFish"</f>
        <v>17_AltersFish</v>
      </c>
      <c r="C18" t="str">
        <f>A18 &amp; "_" &amp; P18 &amp; "_" &amp;
SUBSTITUTE(TRIM(L18)," ","_") &amp;
"_pH" &amp; TEXT(Z18,"0.00") &amp;
"_T" &amp; TEXT(AI18,"0.00") &amp;
"_CO2" &amp; TEXT(V18,"0") &amp;
"_LANG"</f>
        <v>184_LARVA_Belone_belone_pH8.25_T14.40_CO2365_LANG</v>
      </c>
      <c r="D18" t="s">
        <v>54</v>
      </c>
      <c r="E18">
        <v>2021</v>
      </c>
      <c r="F18" t="s">
        <v>100</v>
      </c>
      <c r="G18" t="s">
        <v>101</v>
      </c>
      <c r="H18" t="s">
        <v>78</v>
      </c>
      <c r="I18" t="s">
        <v>540</v>
      </c>
      <c r="J18" t="s">
        <v>543</v>
      </c>
      <c r="K18" t="s">
        <v>102</v>
      </c>
      <c r="L18" t="s">
        <v>103</v>
      </c>
      <c r="M18" t="s">
        <v>81</v>
      </c>
      <c r="N18" t="s">
        <v>81</v>
      </c>
      <c r="O18" t="s">
        <v>106</v>
      </c>
      <c r="P18" t="s">
        <v>107</v>
      </c>
      <c r="Q18" t="s">
        <v>64</v>
      </c>
      <c r="R18" t="s">
        <v>83</v>
      </c>
      <c r="S18" t="s">
        <v>74</v>
      </c>
      <c r="T18" t="s">
        <v>64</v>
      </c>
      <c r="U18" t="s">
        <v>75</v>
      </c>
      <c r="V18">
        <v>365</v>
      </c>
      <c r="W18">
        <v>6</v>
      </c>
      <c r="X18" t="s">
        <v>67</v>
      </c>
      <c r="Y18" t="s">
        <v>96</v>
      </c>
      <c r="Z18">
        <v>8.25</v>
      </c>
      <c r="AA18">
        <v>0.01</v>
      </c>
      <c r="AB18" t="s">
        <v>67</v>
      </c>
      <c r="AC18">
        <v>432</v>
      </c>
      <c r="AD18">
        <v>13</v>
      </c>
      <c r="AE18" t="s">
        <v>67</v>
      </c>
      <c r="AF18">
        <v>8.2100000000000009</v>
      </c>
      <c r="AG18">
        <v>0.01</v>
      </c>
      <c r="AH18" t="s">
        <v>67</v>
      </c>
      <c r="AI18">
        <v>14.4</v>
      </c>
      <c r="AJ18">
        <v>0.2</v>
      </c>
      <c r="AK18" t="s">
        <v>67</v>
      </c>
      <c r="AL18">
        <v>17.100000000000001</v>
      </c>
      <c r="AM18">
        <v>0</v>
      </c>
      <c r="AN18" t="s">
        <v>67</v>
      </c>
      <c r="AO18">
        <v>67</v>
      </c>
      <c r="AP18">
        <v>2.7</v>
      </c>
      <c r="AQ18" t="s">
        <v>67</v>
      </c>
      <c r="AR18" t="s">
        <v>108</v>
      </c>
      <c r="AS18" t="s">
        <v>98</v>
      </c>
      <c r="AT18" t="s">
        <v>70</v>
      </c>
      <c r="AU18" t="s">
        <v>109</v>
      </c>
      <c r="AV18" t="s">
        <v>72</v>
      </c>
      <c r="AW18" t="s">
        <v>11</v>
      </c>
      <c r="AX18" t="s">
        <v>73</v>
      </c>
      <c r="AY18">
        <v>13.493</v>
      </c>
      <c r="AZ18">
        <v>13.493</v>
      </c>
      <c r="BA18">
        <v>0.09</v>
      </c>
      <c r="BB18">
        <f>BA18*SQRT(BC18)</f>
        <v>0.20124611797498107</v>
      </c>
      <c r="BC18">
        <v>5</v>
      </c>
      <c r="BD18">
        <v>12.577999999999999</v>
      </c>
      <c r="BE18">
        <v>12.577999999999999</v>
      </c>
      <c r="BF18">
        <v>0.18</v>
      </c>
      <c r="BG18">
        <f>BF18*SQRT(BH18)</f>
        <v>0.40249223594996214</v>
      </c>
      <c r="BH18">
        <v>5</v>
      </c>
      <c r="BI18">
        <v>19</v>
      </c>
      <c r="BJ18">
        <v>5</v>
      </c>
      <c r="BK18">
        <v>-7.0199999999999999E-2</v>
      </c>
      <c r="BL18">
        <v>2.0000000000000001E-4</v>
      </c>
    </row>
    <row r="19" spans="1:64" x14ac:dyDescent="0.2">
      <c r="A19">
        <v>184</v>
      </c>
      <c r="B19" t="str">
        <f>ROW()-1&amp;"_AltersFish"</f>
        <v>18_AltersFish</v>
      </c>
      <c r="C19" t="str">
        <f>A19 &amp; "_" &amp; P19 &amp; "_" &amp;
SUBSTITUTE(TRIM(L19)," ","_") &amp;
"_pH" &amp; TEXT(Z19,"0.00") &amp;
"_T" &amp; TEXT(AI19,"0.00") &amp;
"_CO2" &amp; TEXT(V19,"0") &amp;
"_LANG"</f>
        <v>184_LARVA_Belone_belone_pH8.25_T14.40_CO2365_LANG</v>
      </c>
      <c r="D19" t="s">
        <v>54</v>
      </c>
      <c r="E19">
        <v>2021</v>
      </c>
      <c r="F19" t="s">
        <v>100</v>
      </c>
      <c r="G19" t="s">
        <v>101</v>
      </c>
      <c r="H19" t="s">
        <v>78</v>
      </c>
      <c r="I19" t="s">
        <v>540</v>
      </c>
      <c r="J19" t="s">
        <v>543</v>
      </c>
      <c r="K19" t="s">
        <v>102</v>
      </c>
      <c r="L19" t="s">
        <v>103</v>
      </c>
      <c r="M19" t="s">
        <v>81</v>
      </c>
      <c r="N19" t="s">
        <v>81</v>
      </c>
      <c r="O19" t="s">
        <v>106</v>
      </c>
      <c r="P19" t="s">
        <v>107</v>
      </c>
      <c r="Q19" t="s">
        <v>64</v>
      </c>
      <c r="R19" t="s">
        <v>83</v>
      </c>
      <c r="S19" t="s">
        <v>64</v>
      </c>
      <c r="T19" t="s">
        <v>64</v>
      </c>
      <c r="U19" t="s">
        <v>66</v>
      </c>
      <c r="V19">
        <v>365</v>
      </c>
      <c r="W19">
        <v>6</v>
      </c>
      <c r="X19" t="s">
        <v>67</v>
      </c>
      <c r="Y19" t="s">
        <v>96</v>
      </c>
      <c r="Z19">
        <v>8.25</v>
      </c>
      <c r="AA19">
        <v>0.01</v>
      </c>
      <c r="AB19" t="s">
        <v>67</v>
      </c>
      <c r="AC19">
        <v>1218</v>
      </c>
      <c r="AD19">
        <v>18</v>
      </c>
      <c r="AE19" t="s">
        <v>67</v>
      </c>
      <c r="AF19">
        <v>7.77</v>
      </c>
      <c r="AG19">
        <v>0.01</v>
      </c>
      <c r="AH19" t="s">
        <v>67</v>
      </c>
      <c r="AI19">
        <v>14.4</v>
      </c>
      <c r="AJ19">
        <v>0.2</v>
      </c>
      <c r="AK19" t="s">
        <v>67</v>
      </c>
      <c r="AL19">
        <v>17.100000000000001</v>
      </c>
      <c r="AM19">
        <v>0</v>
      </c>
      <c r="AN19" t="s">
        <v>67</v>
      </c>
      <c r="AO19">
        <v>853</v>
      </c>
      <c r="AP19">
        <v>2.7</v>
      </c>
      <c r="AQ19" t="s">
        <v>67</v>
      </c>
      <c r="AR19" t="s">
        <v>108</v>
      </c>
      <c r="AS19" t="s">
        <v>98</v>
      </c>
      <c r="AT19" t="s">
        <v>70</v>
      </c>
      <c r="AU19" t="s">
        <v>109</v>
      </c>
      <c r="AV19" t="s">
        <v>72</v>
      </c>
      <c r="AW19" t="s">
        <v>11</v>
      </c>
      <c r="AX19" t="s">
        <v>73</v>
      </c>
      <c r="AY19">
        <v>13.493</v>
      </c>
      <c r="AZ19">
        <v>13.493</v>
      </c>
      <c r="BA19">
        <v>0.09</v>
      </c>
      <c r="BB19">
        <f>BA19*SQRT(BC19)</f>
        <v>0.20124611797498107</v>
      </c>
      <c r="BC19">
        <v>5</v>
      </c>
      <c r="BD19">
        <v>12.305999999999999</v>
      </c>
      <c r="BE19">
        <v>12.305999999999999</v>
      </c>
      <c r="BF19">
        <v>0.08</v>
      </c>
      <c r="BG19">
        <f>BF19*SQRT(BH19)</f>
        <v>0.17888543819998318</v>
      </c>
      <c r="BH19">
        <v>5</v>
      </c>
      <c r="BI19">
        <v>19</v>
      </c>
      <c r="BJ19">
        <v>5</v>
      </c>
      <c r="BK19">
        <v>-9.2100000000000001E-2</v>
      </c>
      <c r="BL19">
        <v>1E-4</v>
      </c>
    </row>
    <row r="20" spans="1:64" x14ac:dyDescent="0.2">
      <c r="A20">
        <v>184</v>
      </c>
      <c r="B20" t="str">
        <f>ROW()-1&amp;"_AltersFish"</f>
        <v>19_AltersFish</v>
      </c>
      <c r="C20" t="str">
        <f>A20 &amp; "_" &amp; P20 &amp; "_" &amp;
SUBSTITUTE(TRIM(L20)," ","_") &amp;
"_pH" &amp; TEXT(Z20,"0.00") &amp;
"_T" &amp; TEXT(AI20,"0.00") &amp;
"_CO2" &amp; TEXT(V20,"0") &amp;
"_LANG"</f>
        <v>184_EMBRYO_Belone_belone_pH8.25_T14.40_CO2365_LANG</v>
      </c>
      <c r="D20" t="s">
        <v>54</v>
      </c>
      <c r="E20">
        <v>2021</v>
      </c>
      <c r="F20" t="s">
        <v>100</v>
      </c>
      <c r="G20" t="s">
        <v>101</v>
      </c>
      <c r="H20" t="s">
        <v>78</v>
      </c>
      <c r="I20" t="s">
        <v>540</v>
      </c>
      <c r="J20" t="s">
        <v>543</v>
      </c>
      <c r="K20" t="s">
        <v>102</v>
      </c>
      <c r="L20" t="s">
        <v>103</v>
      </c>
      <c r="M20" t="s">
        <v>81</v>
      </c>
      <c r="N20" t="s">
        <v>81</v>
      </c>
      <c r="O20" t="s">
        <v>62</v>
      </c>
      <c r="P20" t="s">
        <v>82</v>
      </c>
      <c r="Q20" t="s">
        <v>64</v>
      </c>
      <c r="R20" t="s">
        <v>83</v>
      </c>
      <c r="S20" t="s">
        <v>64</v>
      </c>
      <c r="T20" t="s">
        <v>74</v>
      </c>
      <c r="U20" t="s">
        <v>84</v>
      </c>
      <c r="V20">
        <v>365</v>
      </c>
      <c r="W20">
        <v>6</v>
      </c>
      <c r="X20" t="s">
        <v>67</v>
      </c>
      <c r="Y20" t="s">
        <v>96</v>
      </c>
      <c r="Z20">
        <v>8.25</v>
      </c>
      <c r="AA20">
        <v>0.01</v>
      </c>
      <c r="AB20" t="s">
        <v>67</v>
      </c>
      <c r="AC20">
        <v>1269</v>
      </c>
      <c r="AD20">
        <v>18</v>
      </c>
      <c r="AE20" t="s">
        <v>67</v>
      </c>
      <c r="AF20">
        <v>7.74</v>
      </c>
      <c r="AG20">
        <v>0.01</v>
      </c>
      <c r="AH20" t="s">
        <v>67</v>
      </c>
      <c r="AI20">
        <v>14.4</v>
      </c>
      <c r="AJ20">
        <v>0.2</v>
      </c>
      <c r="AK20" t="s">
        <v>67</v>
      </c>
      <c r="AL20">
        <v>14.3</v>
      </c>
      <c r="AM20">
        <v>0.2</v>
      </c>
      <c r="AN20" t="s">
        <v>67</v>
      </c>
      <c r="AO20">
        <v>904</v>
      </c>
      <c r="AP20">
        <v>-0.1</v>
      </c>
      <c r="AQ20" t="s">
        <v>67</v>
      </c>
      <c r="AR20" t="s">
        <v>168</v>
      </c>
      <c r="AS20" t="s">
        <v>169</v>
      </c>
      <c r="AT20" t="s">
        <v>135</v>
      </c>
      <c r="AU20" t="s">
        <v>170</v>
      </c>
      <c r="AV20" t="s">
        <v>72</v>
      </c>
      <c r="AW20" t="s">
        <v>72</v>
      </c>
      <c r="AX20" t="s">
        <v>73</v>
      </c>
      <c r="AY20">
        <v>18.600000000000001</v>
      </c>
      <c r="AZ20">
        <v>18.600000000000001</v>
      </c>
      <c r="BA20">
        <v>0.1</v>
      </c>
      <c r="BB20">
        <f>BA20*SQRT(BC20)</f>
        <v>0.22360679774997899</v>
      </c>
      <c r="BC20">
        <v>5</v>
      </c>
      <c r="BD20">
        <v>18.600000000000001</v>
      </c>
      <c r="BE20">
        <v>18.600000000000001</v>
      </c>
      <c r="BF20">
        <v>0.2</v>
      </c>
      <c r="BG20">
        <f>BF20*SQRT(BH20)</f>
        <v>0.44721359549995798</v>
      </c>
      <c r="BH20">
        <v>5</v>
      </c>
      <c r="BI20">
        <v>27</v>
      </c>
      <c r="BJ20">
        <v>5</v>
      </c>
      <c r="BK20">
        <v>0</v>
      </c>
      <c r="BL20">
        <v>1E-4</v>
      </c>
    </row>
    <row r="21" spans="1:64" x14ac:dyDescent="0.2">
      <c r="A21">
        <v>184</v>
      </c>
      <c r="B21" t="str">
        <f>ROW()-1&amp;"_AltersFish"</f>
        <v>20_AltersFish</v>
      </c>
      <c r="C21" t="str">
        <f>A21 &amp; "_" &amp; P21 &amp; "_" &amp;
SUBSTITUTE(TRIM(L21)," ","_") &amp;
"_pH" &amp; TEXT(Z21,"0.00") &amp;
"_T" &amp; TEXT(AI21,"0.00") &amp;
"_CO2" &amp; TEXT(V21,"0") &amp;
"_LANG"</f>
        <v>184_EMBRYO_Belone_belone_pH8.25_T14.40_CO2365_LANG</v>
      </c>
      <c r="D21" t="s">
        <v>54</v>
      </c>
      <c r="E21">
        <v>2021</v>
      </c>
      <c r="F21" t="s">
        <v>100</v>
      </c>
      <c r="G21" t="s">
        <v>101</v>
      </c>
      <c r="H21" t="s">
        <v>78</v>
      </c>
      <c r="I21" t="s">
        <v>540</v>
      </c>
      <c r="J21" t="s">
        <v>543</v>
      </c>
      <c r="K21" t="s">
        <v>102</v>
      </c>
      <c r="L21" t="s">
        <v>103</v>
      </c>
      <c r="M21" t="s">
        <v>81</v>
      </c>
      <c r="N21" t="s">
        <v>81</v>
      </c>
      <c r="O21" t="s">
        <v>62</v>
      </c>
      <c r="P21" t="s">
        <v>82</v>
      </c>
      <c r="Q21" t="s">
        <v>64</v>
      </c>
      <c r="R21" t="s">
        <v>83</v>
      </c>
      <c r="S21" t="s">
        <v>74</v>
      </c>
      <c r="T21" t="s">
        <v>64</v>
      </c>
      <c r="U21" t="s">
        <v>75</v>
      </c>
      <c r="V21">
        <v>365</v>
      </c>
      <c r="W21">
        <v>6</v>
      </c>
      <c r="X21" t="s">
        <v>67</v>
      </c>
      <c r="Y21" t="s">
        <v>96</v>
      </c>
      <c r="Z21">
        <v>8.25</v>
      </c>
      <c r="AA21">
        <v>0.01</v>
      </c>
      <c r="AB21" t="s">
        <v>67</v>
      </c>
      <c r="AC21">
        <v>377</v>
      </c>
      <c r="AD21">
        <v>7</v>
      </c>
      <c r="AE21" t="s">
        <v>67</v>
      </c>
      <c r="AF21">
        <v>8.25</v>
      </c>
      <c r="AG21">
        <v>0.01</v>
      </c>
      <c r="AH21" t="s">
        <v>67</v>
      </c>
      <c r="AI21">
        <v>14.4</v>
      </c>
      <c r="AJ21">
        <v>0.2</v>
      </c>
      <c r="AK21" t="s">
        <v>67</v>
      </c>
      <c r="AL21">
        <v>15.9</v>
      </c>
      <c r="AM21">
        <v>0.4</v>
      </c>
      <c r="AN21" t="s">
        <v>67</v>
      </c>
      <c r="AO21">
        <v>12</v>
      </c>
      <c r="AP21">
        <v>1.5</v>
      </c>
      <c r="AQ21" t="s">
        <v>67</v>
      </c>
      <c r="AR21" t="s">
        <v>168</v>
      </c>
      <c r="AS21" t="s">
        <v>169</v>
      </c>
      <c r="AT21" t="s">
        <v>135</v>
      </c>
      <c r="AU21" t="s">
        <v>170</v>
      </c>
      <c r="AV21" t="s">
        <v>72</v>
      </c>
      <c r="AW21" t="s">
        <v>72</v>
      </c>
      <c r="AX21" t="s">
        <v>73</v>
      </c>
      <c r="AY21">
        <v>18.600000000000001</v>
      </c>
      <c r="AZ21">
        <v>18.600000000000001</v>
      </c>
      <c r="BA21">
        <v>0.1</v>
      </c>
      <c r="BB21">
        <f>BA21*SQRT(BC21)</f>
        <v>0.22360679774997899</v>
      </c>
      <c r="BC21">
        <v>5</v>
      </c>
      <c r="BD21">
        <v>18.399999999999999</v>
      </c>
      <c r="BE21">
        <v>18.399999999999999</v>
      </c>
      <c r="BF21">
        <v>0.2</v>
      </c>
      <c r="BG21">
        <f>BF21*SQRT(BH21)</f>
        <v>0.44721359549995798</v>
      </c>
      <c r="BH21">
        <v>5</v>
      </c>
      <c r="BI21">
        <v>22</v>
      </c>
      <c r="BJ21">
        <v>5</v>
      </c>
      <c r="BK21">
        <v>-1.0800000000000001E-2</v>
      </c>
      <c r="BL21">
        <v>1E-4</v>
      </c>
    </row>
    <row r="22" spans="1:64" x14ac:dyDescent="0.2">
      <c r="A22">
        <v>184</v>
      </c>
      <c r="B22" t="str">
        <f>ROW()-1&amp;"_AltersFish"</f>
        <v>21_AltersFish</v>
      </c>
      <c r="C22" t="str">
        <f>A22 &amp; "_" &amp; P22 &amp; "_" &amp;
SUBSTITUTE(TRIM(L22)," ","_") &amp;
"_pH" &amp; TEXT(Z22,"0.00") &amp;
"_T" &amp; TEXT(AI22,"0.00") &amp;
"_CO2" &amp; TEXT(V22,"0") &amp;
"_LANG"</f>
        <v>184_EMBRYO_Belone_belone_pH8.25_T14.40_CO2365_LANG</v>
      </c>
      <c r="D22" t="s">
        <v>54</v>
      </c>
      <c r="E22">
        <v>2021</v>
      </c>
      <c r="F22" t="s">
        <v>100</v>
      </c>
      <c r="G22" t="s">
        <v>101</v>
      </c>
      <c r="H22" t="s">
        <v>78</v>
      </c>
      <c r="I22" t="s">
        <v>540</v>
      </c>
      <c r="J22" t="s">
        <v>543</v>
      </c>
      <c r="K22" t="s">
        <v>102</v>
      </c>
      <c r="L22" t="s">
        <v>103</v>
      </c>
      <c r="M22" t="s">
        <v>81</v>
      </c>
      <c r="N22" t="s">
        <v>81</v>
      </c>
      <c r="O22" t="s">
        <v>62</v>
      </c>
      <c r="P22" t="s">
        <v>82</v>
      </c>
      <c r="Q22" t="s">
        <v>64</v>
      </c>
      <c r="R22" t="s">
        <v>83</v>
      </c>
      <c r="S22" t="s">
        <v>74</v>
      </c>
      <c r="T22" t="s">
        <v>64</v>
      </c>
      <c r="U22" t="s">
        <v>75</v>
      </c>
      <c r="V22">
        <v>365</v>
      </c>
      <c r="W22">
        <v>6</v>
      </c>
      <c r="X22" t="s">
        <v>67</v>
      </c>
      <c r="Y22" t="s">
        <v>96</v>
      </c>
      <c r="Z22">
        <v>8.25</v>
      </c>
      <c r="AA22">
        <v>0.01</v>
      </c>
      <c r="AB22" t="s">
        <v>67</v>
      </c>
      <c r="AC22">
        <v>432</v>
      </c>
      <c r="AD22">
        <v>13</v>
      </c>
      <c r="AE22" t="s">
        <v>67</v>
      </c>
      <c r="AF22">
        <v>8.2100000000000009</v>
      </c>
      <c r="AG22">
        <v>0.01</v>
      </c>
      <c r="AH22" t="s">
        <v>67</v>
      </c>
      <c r="AI22">
        <v>14.4</v>
      </c>
      <c r="AJ22">
        <v>0.2</v>
      </c>
      <c r="AK22" t="s">
        <v>67</v>
      </c>
      <c r="AL22">
        <v>17.100000000000001</v>
      </c>
      <c r="AM22">
        <v>0</v>
      </c>
      <c r="AN22" t="s">
        <v>67</v>
      </c>
      <c r="AO22">
        <v>67</v>
      </c>
      <c r="AP22">
        <v>2.7</v>
      </c>
      <c r="AQ22" t="s">
        <v>67</v>
      </c>
      <c r="AR22" t="s">
        <v>168</v>
      </c>
      <c r="AS22" t="s">
        <v>169</v>
      </c>
      <c r="AT22" t="s">
        <v>135</v>
      </c>
      <c r="AU22" t="s">
        <v>170</v>
      </c>
      <c r="AV22" t="s">
        <v>72</v>
      </c>
      <c r="AW22" t="s">
        <v>72</v>
      </c>
      <c r="AX22" t="s">
        <v>73</v>
      </c>
      <c r="AY22">
        <v>18.600000000000001</v>
      </c>
      <c r="AZ22">
        <v>18.600000000000001</v>
      </c>
      <c r="BA22">
        <v>0.1</v>
      </c>
      <c r="BB22">
        <f>BA22*SQRT(BC22)</f>
        <v>0.22360679774997899</v>
      </c>
      <c r="BC22">
        <v>5</v>
      </c>
      <c r="BD22">
        <v>16.8</v>
      </c>
      <c r="BE22">
        <v>16.8</v>
      </c>
      <c r="BF22">
        <v>0.3</v>
      </c>
      <c r="BG22">
        <f>BF22*SQRT(BH22)</f>
        <v>0.67082039324993692</v>
      </c>
      <c r="BH22">
        <v>5</v>
      </c>
      <c r="BI22">
        <v>19</v>
      </c>
      <c r="BJ22">
        <v>5</v>
      </c>
      <c r="BK22">
        <v>-0.1018</v>
      </c>
      <c r="BL22">
        <v>2.9999999999999997E-4</v>
      </c>
    </row>
    <row r="23" spans="1:64" x14ac:dyDescent="0.2">
      <c r="A23">
        <v>184</v>
      </c>
      <c r="B23" t="str">
        <f>ROW()-1&amp;"_AltersFish"</f>
        <v>22_AltersFish</v>
      </c>
      <c r="C23" t="str">
        <f>A23 &amp; "_" &amp; P23 &amp; "_" &amp;
SUBSTITUTE(TRIM(L23)," ","_") &amp;
"_pH" &amp; TEXT(Z23,"0.00") &amp;
"_T" &amp; TEXT(AI23,"0.00") &amp;
"_CO2" &amp; TEXT(V23,"0") &amp;
"_LANG"</f>
        <v>184_EMBRYO_Belone_belone_pH8.25_T14.40_CO2365_LANG</v>
      </c>
      <c r="D23" t="s">
        <v>54</v>
      </c>
      <c r="E23">
        <v>2021</v>
      </c>
      <c r="F23" t="s">
        <v>100</v>
      </c>
      <c r="G23" t="s">
        <v>101</v>
      </c>
      <c r="H23" t="s">
        <v>78</v>
      </c>
      <c r="I23" t="s">
        <v>540</v>
      </c>
      <c r="J23" t="s">
        <v>543</v>
      </c>
      <c r="K23" t="s">
        <v>102</v>
      </c>
      <c r="L23" t="s">
        <v>103</v>
      </c>
      <c r="M23" t="s">
        <v>81</v>
      </c>
      <c r="N23" t="s">
        <v>81</v>
      </c>
      <c r="O23" t="s">
        <v>62</v>
      </c>
      <c r="P23" t="s">
        <v>82</v>
      </c>
      <c r="Q23" t="s">
        <v>64</v>
      </c>
      <c r="R23" t="s">
        <v>83</v>
      </c>
      <c r="S23" t="s">
        <v>64</v>
      </c>
      <c r="T23" t="s">
        <v>64</v>
      </c>
      <c r="U23" t="s">
        <v>66</v>
      </c>
      <c r="V23">
        <v>365</v>
      </c>
      <c r="W23">
        <v>6</v>
      </c>
      <c r="X23" t="s">
        <v>67</v>
      </c>
      <c r="Y23" t="s">
        <v>96</v>
      </c>
      <c r="Z23">
        <v>8.25</v>
      </c>
      <c r="AA23">
        <v>0.01</v>
      </c>
      <c r="AB23" t="s">
        <v>67</v>
      </c>
      <c r="AC23">
        <v>1218</v>
      </c>
      <c r="AD23">
        <v>18</v>
      </c>
      <c r="AE23" t="s">
        <v>67</v>
      </c>
      <c r="AF23">
        <v>7.77</v>
      </c>
      <c r="AG23">
        <v>0.01</v>
      </c>
      <c r="AH23" t="s">
        <v>67</v>
      </c>
      <c r="AI23">
        <v>14.4</v>
      </c>
      <c r="AJ23">
        <v>0.2</v>
      </c>
      <c r="AK23" t="s">
        <v>67</v>
      </c>
      <c r="AL23">
        <v>17.100000000000001</v>
      </c>
      <c r="AM23">
        <v>0</v>
      </c>
      <c r="AN23" t="s">
        <v>67</v>
      </c>
      <c r="AO23">
        <v>853</v>
      </c>
      <c r="AP23">
        <v>2.7</v>
      </c>
      <c r="AQ23" t="s">
        <v>67</v>
      </c>
      <c r="AR23" t="s">
        <v>168</v>
      </c>
      <c r="AS23" t="s">
        <v>169</v>
      </c>
      <c r="AT23" t="s">
        <v>135</v>
      </c>
      <c r="AU23" t="s">
        <v>170</v>
      </c>
      <c r="AV23" t="s">
        <v>72</v>
      </c>
      <c r="AW23" t="s">
        <v>72</v>
      </c>
      <c r="AX23" t="s">
        <v>73</v>
      </c>
      <c r="AY23">
        <v>18.600000000000001</v>
      </c>
      <c r="AZ23">
        <v>18.600000000000001</v>
      </c>
      <c r="BA23">
        <v>0.1</v>
      </c>
      <c r="BB23">
        <f>BA23*SQRT(BC23)</f>
        <v>0.22360679774997899</v>
      </c>
      <c r="BC23">
        <v>5</v>
      </c>
      <c r="BD23">
        <v>16.3</v>
      </c>
      <c r="BE23">
        <v>16.3</v>
      </c>
      <c r="BF23">
        <v>0.3</v>
      </c>
      <c r="BG23">
        <f>BF23*SQRT(BH23)</f>
        <v>0.67082039324993692</v>
      </c>
      <c r="BH23">
        <v>5</v>
      </c>
      <c r="BI23">
        <v>19</v>
      </c>
      <c r="BJ23">
        <v>5</v>
      </c>
      <c r="BK23">
        <v>-0.13200000000000001</v>
      </c>
      <c r="BL23">
        <v>4.0000000000000002E-4</v>
      </c>
    </row>
    <row r="24" spans="1:64" x14ac:dyDescent="0.2">
      <c r="A24">
        <v>184</v>
      </c>
      <c r="B24" t="str">
        <f>ROW()-1&amp;"_AltersFish"</f>
        <v>23_AltersFish</v>
      </c>
      <c r="C24" t="str">
        <f>A24 &amp; "_" &amp; P24 &amp; "_" &amp;
SUBSTITUTE(TRIM(L24)," ","_") &amp;
"_pH" &amp; TEXT(Z24,"0.00") &amp;
"_T" &amp; TEXT(AI24,"0.00") &amp;
"_CO2" &amp; TEXT(V24,"0") &amp;
"_LANG"</f>
        <v>184_EMBRYO_Belone_belone_pH8.25_T14.40_CO2365_LANG</v>
      </c>
      <c r="D24" t="s">
        <v>54</v>
      </c>
      <c r="E24">
        <v>2021</v>
      </c>
      <c r="F24" t="s">
        <v>100</v>
      </c>
      <c r="G24" t="s">
        <v>101</v>
      </c>
      <c r="H24" t="s">
        <v>78</v>
      </c>
      <c r="I24" t="s">
        <v>540</v>
      </c>
      <c r="J24" t="s">
        <v>543</v>
      </c>
      <c r="K24" t="s">
        <v>102</v>
      </c>
      <c r="L24" t="s">
        <v>103</v>
      </c>
      <c r="M24" t="s">
        <v>81</v>
      </c>
      <c r="N24" t="s">
        <v>81</v>
      </c>
      <c r="O24" t="s">
        <v>62</v>
      </c>
      <c r="P24" t="s">
        <v>82</v>
      </c>
      <c r="Q24" t="s">
        <v>64</v>
      </c>
      <c r="R24" t="s">
        <v>83</v>
      </c>
      <c r="S24" t="s">
        <v>64</v>
      </c>
      <c r="T24" t="s">
        <v>64</v>
      </c>
      <c r="U24" t="s">
        <v>66</v>
      </c>
      <c r="V24">
        <v>365</v>
      </c>
      <c r="W24">
        <v>6</v>
      </c>
      <c r="X24" t="s">
        <v>67</v>
      </c>
      <c r="Y24" t="s">
        <v>96</v>
      </c>
      <c r="Z24">
        <v>8.25</v>
      </c>
      <c r="AA24">
        <v>0.01</v>
      </c>
      <c r="AB24" t="s">
        <v>67</v>
      </c>
      <c r="AC24">
        <v>1292</v>
      </c>
      <c r="AD24">
        <v>18</v>
      </c>
      <c r="AE24" t="s">
        <v>67</v>
      </c>
      <c r="AF24">
        <v>7.74</v>
      </c>
      <c r="AG24">
        <v>0.01</v>
      </c>
      <c r="AH24" t="s">
        <v>67</v>
      </c>
      <c r="AI24">
        <v>14.4</v>
      </c>
      <c r="AJ24">
        <v>0.2</v>
      </c>
      <c r="AK24" t="s">
        <v>67</v>
      </c>
      <c r="AL24">
        <v>15.9</v>
      </c>
      <c r="AM24">
        <v>0.4</v>
      </c>
      <c r="AN24" t="s">
        <v>67</v>
      </c>
      <c r="AO24">
        <v>927</v>
      </c>
      <c r="AP24">
        <v>1.5</v>
      </c>
      <c r="AQ24" t="s">
        <v>67</v>
      </c>
      <c r="AR24" t="s">
        <v>168</v>
      </c>
      <c r="AS24" t="s">
        <v>169</v>
      </c>
      <c r="AT24" t="s">
        <v>135</v>
      </c>
      <c r="AU24" t="s">
        <v>170</v>
      </c>
      <c r="AV24" t="s">
        <v>72</v>
      </c>
      <c r="AW24" t="s">
        <v>72</v>
      </c>
      <c r="AX24" t="s">
        <v>73</v>
      </c>
      <c r="AY24">
        <v>18.600000000000001</v>
      </c>
      <c r="AZ24">
        <v>18.600000000000001</v>
      </c>
      <c r="BA24">
        <v>0.1</v>
      </c>
      <c r="BB24">
        <f>BA24*SQRT(BC24)</f>
        <v>0.22360679774997899</v>
      </c>
      <c r="BC24">
        <v>5</v>
      </c>
      <c r="BD24">
        <v>19.2</v>
      </c>
      <c r="BE24">
        <v>19.2</v>
      </c>
      <c r="BF24">
        <v>0.4</v>
      </c>
      <c r="BG24">
        <f>BF24*SQRT(BH24)</f>
        <v>0.89442719099991597</v>
      </c>
      <c r="BH24">
        <v>5</v>
      </c>
      <c r="BI24">
        <v>22</v>
      </c>
      <c r="BJ24">
        <v>5</v>
      </c>
      <c r="BK24">
        <v>3.1699999999999999E-2</v>
      </c>
      <c r="BL24">
        <v>5.0000000000000001E-4</v>
      </c>
    </row>
    <row r="25" spans="1:64" x14ac:dyDescent="0.2">
      <c r="A25">
        <v>184</v>
      </c>
      <c r="B25" t="str">
        <f>ROW()-1&amp;"_AltersFish"</f>
        <v>24_AltersFish</v>
      </c>
      <c r="C25" t="str">
        <f>A25 &amp; "_" &amp; P25 &amp; "_" &amp;
SUBSTITUTE(TRIM(L25)," ","_") &amp;
"_pH" &amp; TEXT(Z25,"0.00") &amp;
"_T" &amp; TEXT(AI25,"0.00") &amp;
"_CO2" &amp; TEXT(V25,"0") &amp;
"_LANG"</f>
        <v>184_EMBRYO_Belone_belone_pH8.25_T14.40_CO2365_LANG</v>
      </c>
      <c r="D25" t="s">
        <v>54</v>
      </c>
      <c r="E25">
        <v>2021</v>
      </c>
      <c r="F25" t="s">
        <v>100</v>
      </c>
      <c r="G25" t="s">
        <v>101</v>
      </c>
      <c r="H25" t="s">
        <v>78</v>
      </c>
      <c r="I25" t="s">
        <v>540</v>
      </c>
      <c r="J25" t="s">
        <v>543</v>
      </c>
      <c r="K25" t="s">
        <v>102</v>
      </c>
      <c r="L25" t="s">
        <v>103</v>
      </c>
      <c r="M25" t="s">
        <v>81</v>
      </c>
      <c r="N25" t="s">
        <v>81</v>
      </c>
      <c r="O25" t="s">
        <v>62</v>
      </c>
      <c r="P25" t="s">
        <v>82</v>
      </c>
      <c r="Q25" t="s">
        <v>64</v>
      </c>
      <c r="R25" t="s">
        <v>83</v>
      </c>
      <c r="S25" t="s">
        <v>74</v>
      </c>
      <c r="T25" t="s">
        <v>64</v>
      </c>
      <c r="U25" t="s">
        <v>75</v>
      </c>
      <c r="V25">
        <v>365</v>
      </c>
      <c r="W25">
        <v>6</v>
      </c>
      <c r="X25" t="s">
        <v>67</v>
      </c>
      <c r="Y25" t="s">
        <v>96</v>
      </c>
      <c r="Z25">
        <v>8.25</v>
      </c>
      <c r="AA25">
        <v>0.01</v>
      </c>
      <c r="AB25" t="s">
        <v>67</v>
      </c>
      <c r="AC25">
        <v>377</v>
      </c>
      <c r="AD25">
        <v>7</v>
      </c>
      <c r="AE25" t="s">
        <v>67</v>
      </c>
      <c r="AF25">
        <v>8.25</v>
      </c>
      <c r="AG25">
        <v>0.01</v>
      </c>
      <c r="AH25" t="s">
        <v>67</v>
      </c>
      <c r="AI25">
        <v>14.4</v>
      </c>
      <c r="AJ25">
        <v>0.2</v>
      </c>
      <c r="AK25" t="s">
        <v>67</v>
      </c>
      <c r="AL25">
        <v>15.9</v>
      </c>
      <c r="AM25">
        <v>0.4</v>
      </c>
      <c r="AN25" t="s">
        <v>67</v>
      </c>
      <c r="AO25">
        <v>12</v>
      </c>
      <c r="AP25">
        <v>1.5</v>
      </c>
      <c r="AQ25" t="s">
        <v>67</v>
      </c>
      <c r="AR25" t="s">
        <v>270</v>
      </c>
      <c r="AS25" t="s">
        <v>266</v>
      </c>
      <c r="AT25" t="s">
        <v>135</v>
      </c>
      <c r="AU25" t="s">
        <v>271</v>
      </c>
      <c r="AV25" t="s">
        <v>11</v>
      </c>
      <c r="AW25" t="s">
        <v>11</v>
      </c>
      <c r="AX25" t="s">
        <v>73</v>
      </c>
      <c r="AY25">
        <v>53.3</v>
      </c>
      <c r="AZ25">
        <v>53.3</v>
      </c>
      <c r="BA25">
        <v>0.7</v>
      </c>
      <c r="BB25">
        <f>BA25*SQRT(BC25)</f>
        <v>1.5652475842498528</v>
      </c>
      <c r="BC25">
        <v>5</v>
      </c>
      <c r="BD25">
        <v>18.7</v>
      </c>
      <c r="BE25">
        <v>18.7</v>
      </c>
      <c r="BF25">
        <v>0.6</v>
      </c>
      <c r="BG25">
        <f>BF25*SQRT(BH25)</f>
        <v>1.3416407864998738</v>
      </c>
      <c r="BH25">
        <v>5</v>
      </c>
      <c r="BI25">
        <v>22</v>
      </c>
      <c r="BJ25">
        <v>5</v>
      </c>
      <c r="BK25">
        <v>-1.0474000000000001</v>
      </c>
      <c r="BL25">
        <v>1.1999999999999999E-3</v>
      </c>
    </row>
    <row r="26" spans="1:64" x14ac:dyDescent="0.2">
      <c r="A26">
        <v>184</v>
      </c>
      <c r="B26" t="str">
        <f>ROW()-1&amp;"_AltersFish"</f>
        <v>25_AltersFish</v>
      </c>
      <c r="C26" t="str">
        <f>A26 &amp; "_" &amp; P26 &amp; "_" &amp;
SUBSTITUTE(TRIM(L26)," ","_") &amp;
"_pH" &amp; TEXT(Z26,"0.00") &amp;
"_T" &amp; TEXT(AI26,"0.00") &amp;
"_CO2" &amp; TEXT(V26,"0") &amp;
"_LANG"</f>
        <v>184_EMBRYO_Belone_belone_pH8.25_T14.40_CO2365_LANG</v>
      </c>
      <c r="D26" t="s">
        <v>54</v>
      </c>
      <c r="E26">
        <v>2021</v>
      </c>
      <c r="F26" t="s">
        <v>100</v>
      </c>
      <c r="G26" t="s">
        <v>101</v>
      </c>
      <c r="H26" t="s">
        <v>78</v>
      </c>
      <c r="I26" t="s">
        <v>540</v>
      </c>
      <c r="J26" t="s">
        <v>543</v>
      </c>
      <c r="K26" t="s">
        <v>102</v>
      </c>
      <c r="L26" t="s">
        <v>103</v>
      </c>
      <c r="M26" t="s">
        <v>81</v>
      </c>
      <c r="N26" t="s">
        <v>81</v>
      </c>
      <c r="O26" t="s">
        <v>62</v>
      </c>
      <c r="P26" t="s">
        <v>82</v>
      </c>
      <c r="Q26" t="s">
        <v>64</v>
      </c>
      <c r="R26" t="s">
        <v>83</v>
      </c>
      <c r="S26" t="s">
        <v>64</v>
      </c>
      <c r="T26" t="s">
        <v>64</v>
      </c>
      <c r="U26" t="s">
        <v>66</v>
      </c>
      <c r="V26">
        <v>365</v>
      </c>
      <c r="W26">
        <v>6</v>
      </c>
      <c r="X26" t="s">
        <v>67</v>
      </c>
      <c r="Y26" t="s">
        <v>96</v>
      </c>
      <c r="Z26">
        <v>8.25</v>
      </c>
      <c r="AA26">
        <v>0.01</v>
      </c>
      <c r="AB26" t="s">
        <v>67</v>
      </c>
      <c r="AC26">
        <v>1292</v>
      </c>
      <c r="AD26">
        <v>18</v>
      </c>
      <c r="AE26" t="s">
        <v>67</v>
      </c>
      <c r="AF26">
        <v>7.74</v>
      </c>
      <c r="AG26">
        <v>0.01</v>
      </c>
      <c r="AH26" t="s">
        <v>67</v>
      </c>
      <c r="AI26">
        <v>14.4</v>
      </c>
      <c r="AJ26">
        <v>0.2</v>
      </c>
      <c r="AK26" t="s">
        <v>67</v>
      </c>
      <c r="AL26">
        <v>15.9</v>
      </c>
      <c r="AM26">
        <v>0.4</v>
      </c>
      <c r="AN26" t="s">
        <v>67</v>
      </c>
      <c r="AO26">
        <v>927</v>
      </c>
      <c r="AP26">
        <v>1.5</v>
      </c>
      <c r="AQ26" t="s">
        <v>67</v>
      </c>
      <c r="AR26" t="s">
        <v>270</v>
      </c>
      <c r="AS26" t="s">
        <v>266</v>
      </c>
      <c r="AT26" t="s">
        <v>135</v>
      </c>
      <c r="AU26" t="s">
        <v>271</v>
      </c>
      <c r="AV26" t="s">
        <v>11</v>
      </c>
      <c r="AW26" t="s">
        <v>11</v>
      </c>
      <c r="AX26" t="s">
        <v>73</v>
      </c>
      <c r="AY26">
        <v>53.3</v>
      </c>
      <c r="AZ26">
        <v>53.3</v>
      </c>
      <c r="BA26">
        <v>0.7</v>
      </c>
      <c r="BB26">
        <f>BA26*SQRT(BC26)</f>
        <v>1.5652475842498528</v>
      </c>
      <c r="BC26">
        <v>5</v>
      </c>
      <c r="BD26">
        <v>20.2</v>
      </c>
      <c r="BE26">
        <v>20.2</v>
      </c>
      <c r="BF26">
        <v>1.6</v>
      </c>
      <c r="BG26">
        <f>BF26*SQRT(BH26)</f>
        <v>3.5777087639996639</v>
      </c>
      <c r="BH26">
        <v>5</v>
      </c>
      <c r="BI26">
        <v>22</v>
      </c>
      <c r="BJ26">
        <v>5</v>
      </c>
      <c r="BK26">
        <v>-0.97030000000000005</v>
      </c>
      <c r="BL26">
        <v>6.4000000000000003E-3</v>
      </c>
    </row>
    <row r="27" spans="1:64" x14ac:dyDescent="0.2">
      <c r="A27">
        <v>184</v>
      </c>
      <c r="B27" t="str">
        <f>ROW()-1&amp;"_AltersFish"</f>
        <v>26_AltersFish</v>
      </c>
      <c r="C27" t="str">
        <f>A27 &amp; "_" &amp; P27 &amp; "_" &amp;
SUBSTITUTE(TRIM(L27)," ","_") &amp;
"_pH" &amp; TEXT(Z27,"0.00") &amp;
"_T" &amp; TEXT(AI27,"0.00") &amp;
"_CO2" &amp; TEXT(V27,"0") &amp;
"_LANG"</f>
        <v>184_EMBRYO_Belone_belone_pH8.25_T14.40_CO2365_LANG</v>
      </c>
      <c r="D27" t="s">
        <v>54</v>
      </c>
      <c r="E27">
        <v>2021</v>
      </c>
      <c r="F27" t="s">
        <v>100</v>
      </c>
      <c r="G27" t="s">
        <v>101</v>
      </c>
      <c r="H27" t="s">
        <v>78</v>
      </c>
      <c r="I27" t="s">
        <v>540</v>
      </c>
      <c r="J27" t="s">
        <v>543</v>
      </c>
      <c r="K27" t="s">
        <v>102</v>
      </c>
      <c r="L27" t="s">
        <v>103</v>
      </c>
      <c r="M27" t="s">
        <v>81</v>
      </c>
      <c r="N27" t="s">
        <v>81</v>
      </c>
      <c r="O27" t="s">
        <v>62</v>
      </c>
      <c r="P27" t="s">
        <v>82</v>
      </c>
      <c r="Q27" t="s">
        <v>64</v>
      </c>
      <c r="R27" t="s">
        <v>83</v>
      </c>
      <c r="S27" t="s">
        <v>64</v>
      </c>
      <c r="T27" t="s">
        <v>74</v>
      </c>
      <c r="U27" t="s">
        <v>84</v>
      </c>
      <c r="V27">
        <v>365</v>
      </c>
      <c r="W27">
        <v>6</v>
      </c>
      <c r="X27" t="s">
        <v>67</v>
      </c>
      <c r="Y27" t="s">
        <v>96</v>
      </c>
      <c r="Z27">
        <v>8.25</v>
      </c>
      <c r="AA27">
        <v>0.01</v>
      </c>
      <c r="AB27" t="s">
        <v>67</v>
      </c>
      <c r="AC27">
        <v>1269</v>
      </c>
      <c r="AD27">
        <v>18</v>
      </c>
      <c r="AE27" t="s">
        <v>67</v>
      </c>
      <c r="AF27">
        <v>7.74</v>
      </c>
      <c r="AG27">
        <v>0.01</v>
      </c>
      <c r="AH27" t="s">
        <v>67</v>
      </c>
      <c r="AI27">
        <v>14.4</v>
      </c>
      <c r="AJ27">
        <v>0.2</v>
      </c>
      <c r="AK27" t="s">
        <v>67</v>
      </c>
      <c r="AL27">
        <v>14.3</v>
      </c>
      <c r="AM27">
        <v>0.2</v>
      </c>
      <c r="AN27" t="s">
        <v>67</v>
      </c>
      <c r="AO27">
        <v>904</v>
      </c>
      <c r="AP27">
        <v>-0.1</v>
      </c>
      <c r="AQ27" t="s">
        <v>67</v>
      </c>
      <c r="AR27" t="s">
        <v>270</v>
      </c>
      <c r="AS27" t="s">
        <v>266</v>
      </c>
      <c r="AT27" t="s">
        <v>135</v>
      </c>
      <c r="AU27" t="s">
        <v>271</v>
      </c>
      <c r="AV27" t="s">
        <v>11</v>
      </c>
      <c r="AW27" t="s">
        <v>11</v>
      </c>
      <c r="AX27" t="s">
        <v>73</v>
      </c>
      <c r="AY27">
        <v>53.3</v>
      </c>
      <c r="AZ27">
        <v>53.3</v>
      </c>
      <c r="BA27">
        <v>0.7</v>
      </c>
      <c r="BB27">
        <f>BA27*SQRT(BC27)</f>
        <v>1.5652475842498528</v>
      </c>
      <c r="BC27">
        <v>5</v>
      </c>
      <c r="BD27">
        <v>48.8</v>
      </c>
      <c r="BE27">
        <v>48.8</v>
      </c>
      <c r="BF27">
        <v>6.8</v>
      </c>
      <c r="BG27">
        <f>BF27*SQRT(BH27)</f>
        <v>15.20526224699857</v>
      </c>
      <c r="BH27">
        <v>5</v>
      </c>
      <c r="BI27">
        <v>27</v>
      </c>
      <c r="BJ27">
        <v>5</v>
      </c>
      <c r="BK27">
        <v>-8.8200000000000001E-2</v>
      </c>
      <c r="BL27">
        <v>1.9599999999999999E-2</v>
      </c>
    </row>
    <row r="28" spans="1:64" x14ac:dyDescent="0.2">
      <c r="A28">
        <v>184</v>
      </c>
      <c r="B28" t="str">
        <f>ROW()-1&amp;"_AltersFish"</f>
        <v>27_AltersFish</v>
      </c>
      <c r="C28" t="str">
        <f>A28 &amp; "_" &amp; P28 &amp; "_" &amp;
SUBSTITUTE(TRIM(L28)," ","_") &amp;
"_pH" &amp; TEXT(Z28,"0.00") &amp;
"_T" &amp; TEXT(AI28,"0.00") &amp;
"_CO2" &amp; TEXT(V28,"0") &amp;
"_LANG"</f>
        <v>184_EMBRYO_Belone_belone_pH8.25_T14.40_CO2365_LANG</v>
      </c>
      <c r="D28" t="s">
        <v>54</v>
      </c>
      <c r="E28">
        <v>2021</v>
      </c>
      <c r="F28" t="s">
        <v>100</v>
      </c>
      <c r="G28" t="s">
        <v>101</v>
      </c>
      <c r="H28" t="s">
        <v>78</v>
      </c>
      <c r="I28" t="s">
        <v>540</v>
      </c>
      <c r="J28" t="s">
        <v>543</v>
      </c>
      <c r="K28" t="s">
        <v>102</v>
      </c>
      <c r="L28" t="s">
        <v>103</v>
      </c>
      <c r="M28" t="s">
        <v>81</v>
      </c>
      <c r="N28" t="s">
        <v>81</v>
      </c>
      <c r="O28" t="s">
        <v>62</v>
      </c>
      <c r="P28" t="s">
        <v>82</v>
      </c>
      <c r="Q28" t="s">
        <v>64</v>
      </c>
      <c r="R28" t="s">
        <v>83</v>
      </c>
      <c r="S28" t="s">
        <v>74</v>
      </c>
      <c r="T28" t="s">
        <v>64</v>
      </c>
      <c r="U28" t="s">
        <v>75</v>
      </c>
      <c r="V28">
        <v>365</v>
      </c>
      <c r="W28">
        <v>6</v>
      </c>
      <c r="X28" t="s">
        <v>67</v>
      </c>
      <c r="Y28" t="s">
        <v>96</v>
      </c>
      <c r="Z28">
        <v>8.25</v>
      </c>
      <c r="AA28">
        <v>0.01</v>
      </c>
      <c r="AB28" t="s">
        <v>67</v>
      </c>
      <c r="AC28">
        <v>432</v>
      </c>
      <c r="AD28">
        <v>13</v>
      </c>
      <c r="AE28" t="s">
        <v>67</v>
      </c>
      <c r="AF28">
        <v>8.2100000000000009</v>
      </c>
      <c r="AG28">
        <v>0.01</v>
      </c>
      <c r="AH28" t="s">
        <v>67</v>
      </c>
      <c r="AI28">
        <v>14.4</v>
      </c>
      <c r="AJ28">
        <v>0.2</v>
      </c>
      <c r="AK28" t="s">
        <v>67</v>
      </c>
      <c r="AL28">
        <v>17.100000000000001</v>
      </c>
      <c r="AM28">
        <v>0</v>
      </c>
      <c r="AN28" t="s">
        <v>67</v>
      </c>
      <c r="AO28">
        <v>67</v>
      </c>
      <c r="AP28">
        <v>2.7</v>
      </c>
      <c r="AQ28" t="s">
        <v>67</v>
      </c>
      <c r="AR28" t="s">
        <v>270</v>
      </c>
      <c r="AS28" t="s">
        <v>266</v>
      </c>
      <c r="AT28" t="s">
        <v>135</v>
      </c>
      <c r="AU28" t="s">
        <v>271</v>
      </c>
      <c r="AV28" t="s">
        <v>11</v>
      </c>
      <c r="AW28" t="s">
        <v>11</v>
      </c>
      <c r="AX28" t="s">
        <v>73</v>
      </c>
      <c r="AY28">
        <v>53.3</v>
      </c>
      <c r="AZ28">
        <v>53.3</v>
      </c>
      <c r="BA28">
        <v>0.7</v>
      </c>
      <c r="BB28">
        <f>BA28*SQRT(BC28)</f>
        <v>1.5652475842498528</v>
      </c>
      <c r="BC28">
        <v>5</v>
      </c>
      <c r="BD28">
        <v>24.2</v>
      </c>
      <c r="BE28">
        <v>24.2</v>
      </c>
      <c r="BF28">
        <v>3.7</v>
      </c>
      <c r="BG28">
        <f>BF28*SQRT(BH28)</f>
        <v>8.2734515167492226</v>
      </c>
      <c r="BH28">
        <v>5</v>
      </c>
      <c r="BI28">
        <v>19</v>
      </c>
      <c r="BJ28">
        <v>5</v>
      </c>
      <c r="BK28">
        <v>-0.78959999999999997</v>
      </c>
      <c r="BL28">
        <v>2.35E-2</v>
      </c>
    </row>
    <row r="29" spans="1:64" x14ac:dyDescent="0.2">
      <c r="A29">
        <v>184</v>
      </c>
      <c r="B29" t="str">
        <f>ROW()-1&amp;"_AltersFish"</f>
        <v>28_AltersFish</v>
      </c>
      <c r="C29" t="str">
        <f>A29 &amp; "_" &amp; P29 &amp; "_" &amp;
SUBSTITUTE(TRIM(L29)," ","_") &amp;
"_pH" &amp; TEXT(Z29,"0.00") &amp;
"_T" &amp; TEXT(AI29,"0.00") &amp;
"_CO2" &amp; TEXT(V29,"0") &amp;
"_LANG"</f>
        <v>184_EMBRYO_Belone_belone_pH8.25_T14.40_CO2365_LANG</v>
      </c>
      <c r="D29" t="s">
        <v>54</v>
      </c>
      <c r="E29">
        <v>2021</v>
      </c>
      <c r="F29" t="s">
        <v>100</v>
      </c>
      <c r="G29" t="s">
        <v>101</v>
      </c>
      <c r="H29" t="s">
        <v>78</v>
      </c>
      <c r="I29" t="s">
        <v>540</v>
      </c>
      <c r="J29" t="s">
        <v>543</v>
      </c>
      <c r="K29" t="s">
        <v>102</v>
      </c>
      <c r="L29" t="s">
        <v>103</v>
      </c>
      <c r="M29" t="s">
        <v>81</v>
      </c>
      <c r="N29" t="s">
        <v>81</v>
      </c>
      <c r="O29" t="s">
        <v>62</v>
      </c>
      <c r="P29" t="s">
        <v>82</v>
      </c>
      <c r="Q29" t="s">
        <v>64</v>
      </c>
      <c r="R29" t="s">
        <v>83</v>
      </c>
      <c r="S29" t="s">
        <v>64</v>
      </c>
      <c r="T29" t="s">
        <v>64</v>
      </c>
      <c r="U29" t="s">
        <v>66</v>
      </c>
      <c r="V29">
        <v>365</v>
      </c>
      <c r="W29">
        <v>6</v>
      </c>
      <c r="X29" t="s">
        <v>67</v>
      </c>
      <c r="Y29" t="s">
        <v>96</v>
      </c>
      <c r="Z29">
        <v>8.25</v>
      </c>
      <c r="AA29">
        <v>0.01</v>
      </c>
      <c r="AB29" t="s">
        <v>67</v>
      </c>
      <c r="AC29">
        <v>1218</v>
      </c>
      <c r="AD29">
        <v>18</v>
      </c>
      <c r="AE29" t="s">
        <v>67</v>
      </c>
      <c r="AF29">
        <v>7.77</v>
      </c>
      <c r="AG29">
        <v>0.01</v>
      </c>
      <c r="AH29" t="s">
        <v>67</v>
      </c>
      <c r="AI29">
        <v>14.4</v>
      </c>
      <c r="AJ29">
        <v>0.2</v>
      </c>
      <c r="AK29" t="s">
        <v>67</v>
      </c>
      <c r="AL29">
        <v>17.100000000000001</v>
      </c>
      <c r="AM29">
        <v>0</v>
      </c>
      <c r="AN29" t="s">
        <v>67</v>
      </c>
      <c r="AO29">
        <v>853</v>
      </c>
      <c r="AP29">
        <v>2.7</v>
      </c>
      <c r="AQ29" t="s">
        <v>67</v>
      </c>
      <c r="AR29" t="s">
        <v>270</v>
      </c>
      <c r="AS29" t="s">
        <v>266</v>
      </c>
      <c r="AT29" t="s">
        <v>135</v>
      </c>
      <c r="AU29" t="s">
        <v>271</v>
      </c>
      <c r="AV29" t="s">
        <v>11</v>
      </c>
      <c r="AW29" t="s">
        <v>11</v>
      </c>
      <c r="AX29" t="s">
        <v>73</v>
      </c>
      <c r="AY29">
        <v>53.3</v>
      </c>
      <c r="AZ29">
        <v>53.3</v>
      </c>
      <c r="BA29">
        <v>0.7</v>
      </c>
      <c r="BB29">
        <f>BA29*SQRT(BC29)</f>
        <v>1.5652475842498528</v>
      </c>
      <c r="BC29">
        <v>5</v>
      </c>
      <c r="BD29">
        <v>19.7</v>
      </c>
      <c r="BE29">
        <v>19.7</v>
      </c>
      <c r="BF29">
        <v>3.2</v>
      </c>
      <c r="BG29">
        <f>BF29*SQRT(BH29)</f>
        <v>7.1554175279993277</v>
      </c>
      <c r="BH29">
        <v>5</v>
      </c>
      <c r="BI29">
        <v>19</v>
      </c>
      <c r="BJ29">
        <v>5</v>
      </c>
      <c r="BK29">
        <v>-0.99529999999999996</v>
      </c>
      <c r="BL29">
        <v>2.6599999999999999E-2</v>
      </c>
    </row>
    <row r="30" spans="1:64" x14ac:dyDescent="0.2">
      <c r="A30">
        <v>184</v>
      </c>
      <c r="B30" t="str">
        <f>ROW()-1&amp;"_AltersFish"</f>
        <v>29_AltersFish</v>
      </c>
      <c r="C30" t="str">
        <f>A30 &amp; "_" &amp; P30 &amp; "_" &amp;
SUBSTITUTE(TRIM(L30)," ","_") &amp;
"_pH" &amp; TEXT(Z30,"0.00") &amp;
"_T" &amp; TEXT(AI30,"0.00") &amp;
"_CO2" &amp; TEXT(V30,"0") &amp;
"_LANG"</f>
        <v>184_EMBRYO_Belone_belone_pH8.25_T14.40_CO2365_LANG</v>
      </c>
      <c r="D30" t="s">
        <v>54</v>
      </c>
      <c r="E30">
        <v>2021</v>
      </c>
      <c r="F30" t="s">
        <v>100</v>
      </c>
      <c r="G30" t="s">
        <v>101</v>
      </c>
      <c r="H30" t="s">
        <v>78</v>
      </c>
      <c r="I30" t="s">
        <v>540</v>
      </c>
      <c r="J30" t="s">
        <v>543</v>
      </c>
      <c r="K30" t="s">
        <v>102</v>
      </c>
      <c r="L30" t="s">
        <v>103</v>
      </c>
      <c r="M30" t="s">
        <v>81</v>
      </c>
      <c r="N30" t="s">
        <v>81</v>
      </c>
      <c r="O30" t="s">
        <v>62</v>
      </c>
      <c r="P30" t="s">
        <v>82</v>
      </c>
      <c r="Q30" t="s">
        <v>64</v>
      </c>
      <c r="R30" t="s">
        <v>83</v>
      </c>
      <c r="S30" t="s">
        <v>74</v>
      </c>
      <c r="T30" t="s">
        <v>64</v>
      </c>
      <c r="U30" t="s">
        <v>75</v>
      </c>
      <c r="V30">
        <v>365</v>
      </c>
      <c r="W30">
        <v>6</v>
      </c>
      <c r="X30" t="s">
        <v>67</v>
      </c>
      <c r="Y30" t="s">
        <v>96</v>
      </c>
      <c r="Z30">
        <v>8.25</v>
      </c>
      <c r="AA30">
        <v>0.01</v>
      </c>
      <c r="AB30" t="s">
        <v>67</v>
      </c>
      <c r="AC30">
        <v>377</v>
      </c>
      <c r="AD30">
        <v>7</v>
      </c>
      <c r="AE30" t="s">
        <v>67</v>
      </c>
      <c r="AF30">
        <v>8.25</v>
      </c>
      <c r="AG30">
        <v>0.01</v>
      </c>
      <c r="AH30" t="s">
        <v>67</v>
      </c>
      <c r="AI30">
        <v>14.4</v>
      </c>
      <c r="AJ30">
        <v>0.2</v>
      </c>
      <c r="AK30" t="s">
        <v>67</v>
      </c>
      <c r="AL30">
        <v>15.9</v>
      </c>
      <c r="AM30">
        <v>0.4</v>
      </c>
      <c r="AN30" t="s">
        <v>67</v>
      </c>
      <c r="AO30">
        <v>12</v>
      </c>
      <c r="AP30">
        <v>1.5</v>
      </c>
      <c r="AQ30" t="s">
        <v>67</v>
      </c>
      <c r="AR30" t="s">
        <v>104</v>
      </c>
      <c r="AS30" t="s">
        <v>105</v>
      </c>
      <c r="AT30" t="s">
        <v>70</v>
      </c>
      <c r="AU30" t="s">
        <v>89</v>
      </c>
      <c r="AV30" t="s">
        <v>88</v>
      </c>
      <c r="AW30" t="s">
        <v>151</v>
      </c>
      <c r="AX30" t="s">
        <v>90</v>
      </c>
      <c r="AY30">
        <v>98.4</v>
      </c>
      <c r="AZ30">
        <v>98.4</v>
      </c>
      <c r="BA30">
        <v>0.8</v>
      </c>
      <c r="BB30">
        <f>BA30*SQRT(BC30)</f>
        <v>1.7888543819998319</v>
      </c>
      <c r="BC30">
        <v>5</v>
      </c>
      <c r="BD30">
        <v>99.1</v>
      </c>
      <c r="BE30">
        <v>99.1</v>
      </c>
      <c r="BF30">
        <v>0.4</v>
      </c>
      <c r="BG30">
        <f>BF30*SQRT(BH30)</f>
        <v>0.89442719099991597</v>
      </c>
      <c r="BH30">
        <v>5</v>
      </c>
      <c r="BI30">
        <v>22</v>
      </c>
      <c r="BJ30">
        <v>5</v>
      </c>
      <c r="BK30">
        <v>7.1000000000000004E-3</v>
      </c>
      <c r="BL30">
        <v>1E-4</v>
      </c>
    </row>
    <row r="31" spans="1:64" x14ac:dyDescent="0.2">
      <c r="A31">
        <v>184</v>
      </c>
      <c r="B31" t="str">
        <f>ROW()-1&amp;"_AltersFish"</f>
        <v>30_AltersFish</v>
      </c>
      <c r="C31" t="str">
        <f>A31 &amp; "_" &amp; P31 &amp; "_" &amp;
SUBSTITUTE(TRIM(L31)," ","_") &amp;
"_pH" &amp; TEXT(Z31,"0.00") &amp;
"_T" &amp; TEXT(AI31,"0.00") &amp;
"_CO2" &amp; TEXT(V31,"0") &amp;
"_LANG"</f>
        <v>184_EMBRYO_Belone_belone_pH8.25_T14.40_CO2365_LANG</v>
      </c>
      <c r="D31" t="s">
        <v>54</v>
      </c>
      <c r="E31">
        <v>2021</v>
      </c>
      <c r="F31" t="s">
        <v>100</v>
      </c>
      <c r="G31" t="s">
        <v>101</v>
      </c>
      <c r="H31" t="s">
        <v>78</v>
      </c>
      <c r="I31" t="s">
        <v>540</v>
      </c>
      <c r="J31" t="s">
        <v>543</v>
      </c>
      <c r="K31" t="s">
        <v>102</v>
      </c>
      <c r="L31" t="s">
        <v>103</v>
      </c>
      <c r="M31" t="s">
        <v>81</v>
      </c>
      <c r="N31" t="s">
        <v>81</v>
      </c>
      <c r="O31" t="s">
        <v>62</v>
      </c>
      <c r="P31" t="s">
        <v>82</v>
      </c>
      <c r="Q31" t="s">
        <v>64</v>
      </c>
      <c r="R31" t="s">
        <v>83</v>
      </c>
      <c r="S31" t="s">
        <v>64</v>
      </c>
      <c r="T31" t="s">
        <v>74</v>
      </c>
      <c r="U31" t="s">
        <v>84</v>
      </c>
      <c r="V31">
        <v>365</v>
      </c>
      <c r="W31">
        <v>6</v>
      </c>
      <c r="X31" t="s">
        <v>67</v>
      </c>
      <c r="Y31" t="s">
        <v>96</v>
      </c>
      <c r="Z31">
        <v>8.25</v>
      </c>
      <c r="AA31">
        <v>0.01</v>
      </c>
      <c r="AB31" t="s">
        <v>67</v>
      </c>
      <c r="AC31">
        <v>1269</v>
      </c>
      <c r="AD31">
        <v>18</v>
      </c>
      <c r="AE31" t="s">
        <v>67</v>
      </c>
      <c r="AF31">
        <v>7.74</v>
      </c>
      <c r="AG31">
        <v>0.01</v>
      </c>
      <c r="AH31" t="s">
        <v>67</v>
      </c>
      <c r="AI31">
        <v>14.4</v>
      </c>
      <c r="AJ31">
        <v>0.2</v>
      </c>
      <c r="AK31" t="s">
        <v>67</v>
      </c>
      <c r="AL31">
        <v>14.3</v>
      </c>
      <c r="AM31">
        <v>0.2</v>
      </c>
      <c r="AN31" t="s">
        <v>67</v>
      </c>
      <c r="AO31">
        <v>904</v>
      </c>
      <c r="AP31">
        <v>-0.1</v>
      </c>
      <c r="AQ31" t="s">
        <v>67</v>
      </c>
      <c r="AR31" t="s">
        <v>104</v>
      </c>
      <c r="AS31" t="s">
        <v>105</v>
      </c>
      <c r="AT31" t="s">
        <v>70</v>
      </c>
      <c r="AU31" t="s">
        <v>89</v>
      </c>
      <c r="AV31" t="s">
        <v>88</v>
      </c>
      <c r="AW31" t="s">
        <v>151</v>
      </c>
      <c r="AX31" t="s">
        <v>90</v>
      </c>
      <c r="AY31">
        <v>98.4</v>
      </c>
      <c r="AZ31">
        <v>98.4</v>
      </c>
      <c r="BA31">
        <v>0.8</v>
      </c>
      <c r="BB31">
        <f>BA31*SQRT(BC31)</f>
        <v>1.7888543819998319</v>
      </c>
      <c r="BC31">
        <v>5</v>
      </c>
      <c r="BD31">
        <v>91</v>
      </c>
      <c r="BE31">
        <v>91</v>
      </c>
      <c r="BF31">
        <v>1.1000000000000001</v>
      </c>
      <c r="BG31">
        <f>BF31*SQRT(BH31)</f>
        <v>2.459674775249769</v>
      </c>
      <c r="BH31">
        <v>5</v>
      </c>
      <c r="BI31">
        <v>27</v>
      </c>
      <c r="BJ31">
        <v>5</v>
      </c>
      <c r="BK31">
        <v>-7.8200000000000006E-2</v>
      </c>
      <c r="BL31">
        <v>2.0000000000000001E-4</v>
      </c>
    </row>
    <row r="32" spans="1:64" x14ac:dyDescent="0.2">
      <c r="A32">
        <v>184</v>
      </c>
      <c r="B32" t="str">
        <f>ROW()-1&amp;"_AltersFish"</f>
        <v>31_AltersFish</v>
      </c>
      <c r="C32" t="str">
        <f>A32 &amp; "_" &amp; P32 &amp; "_" &amp;
SUBSTITUTE(TRIM(L32)," ","_") &amp;
"_pH" &amp; TEXT(Z32,"0.00") &amp;
"_T" &amp; TEXT(AI32,"0.00") &amp;
"_CO2" &amp; TEXT(V32,"0") &amp;
"_LANG"</f>
        <v>184_EMBRYO_Belone_belone_pH8.25_T14.40_CO2365_LANG</v>
      </c>
      <c r="D32" t="s">
        <v>54</v>
      </c>
      <c r="E32">
        <v>2021</v>
      </c>
      <c r="F32" t="s">
        <v>100</v>
      </c>
      <c r="G32" t="s">
        <v>101</v>
      </c>
      <c r="H32" t="s">
        <v>78</v>
      </c>
      <c r="I32" t="s">
        <v>540</v>
      </c>
      <c r="J32" t="s">
        <v>543</v>
      </c>
      <c r="K32" t="s">
        <v>102</v>
      </c>
      <c r="L32" t="s">
        <v>103</v>
      </c>
      <c r="M32" t="s">
        <v>81</v>
      </c>
      <c r="N32" t="s">
        <v>81</v>
      </c>
      <c r="O32" t="s">
        <v>62</v>
      </c>
      <c r="P32" t="s">
        <v>82</v>
      </c>
      <c r="Q32" t="s">
        <v>64</v>
      </c>
      <c r="R32" t="s">
        <v>83</v>
      </c>
      <c r="S32" t="s">
        <v>64</v>
      </c>
      <c r="T32" t="s">
        <v>64</v>
      </c>
      <c r="U32" t="s">
        <v>66</v>
      </c>
      <c r="V32">
        <v>365</v>
      </c>
      <c r="W32">
        <v>6</v>
      </c>
      <c r="X32" t="s">
        <v>67</v>
      </c>
      <c r="Y32" t="s">
        <v>96</v>
      </c>
      <c r="Z32">
        <v>8.25</v>
      </c>
      <c r="AA32">
        <v>0.01</v>
      </c>
      <c r="AB32" t="s">
        <v>67</v>
      </c>
      <c r="AC32">
        <v>1292</v>
      </c>
      <c r="AD32">
        <v>18</v>
      </c>
      <c r="AE32" t="s">
        <v>67</v>
      </c>
      <c r="AF32">
        <v>7.74</v>
      </c>
      <c r="AG32">
        <v>0.01</v>
      </c>
      <c r="AH32" t="s">
        <v>67</v>
      </c>
      <c r="AI32">
        <v>14.4</v>
      </c>
      <c r="AJ32">
        <v>0.2</v>
      </c>
      <c r="AK32" t="s">
        <v>67</v>
      </c>
      <c r="AL32">
        <v>15.9</v>
      </c>
      <c r="AM32">
        <v>0.4</v>
      </c>
      <c r="AN32" t="s">
        <v>67</v>
      </c>
      <c r="AO32">
        <v>927</v>
      </c>
      <c r="AP32">
        <v>1.5</v>
      </c>
      <c r="AQ32" t="s">
        <v>67</v>
      </c>
      <c r="AR32" t="s">
        <v>104</v>
      </c>
      <c r="AS32" t="s">
        <v>105</v>
      </c>
      <c r="AT32" t="s">
        <v>70</v>
      </c>
      <c r="AU32" t="s">
        <v>89</v>
      </c>
      <c r="AV32" t="s">
        <v>88</v>
      </c>
      <c r="AW32" t="s">
        <v>151</v>
      </c>
      <c r="AX32" t="s">
        <v>90</v>
      </c>
      <c r="AY32">
        <v>98.4</v>
      </c>
      <c r="AZ32">
        <v>98.4</v>
      </c>
      <c r="BA32">
        <v>0.8</v>
      </c>
      <c r="BB32">
        <f>BA32*SQRT(BC32)</f>
        <v>1.7888543819998319</v>
      </c>
      <c r="BC32">
        <v>5</v>
      </c>
      <c r="BD32">
        <v>97.9</v>
      </c>
      <c r="BE32">
        <v>97.9</v>
      </c>
      <c r="BF32">
        <v>1.4</v>
      </c>
      <c r="BG32">
        <f>BF32*SQRT(BH32)</f>
        <v>3.1304951684997055</v>
      </c>
      <c r="BH32">
        <v>5</v>
      </c>
      <c r="BI32">
        <v>22</v>
      </c>
      <c r="BJ32">
        <v>5</v>
      </c>
      <c r="BK32">
        <v>-5.1000000000000004E-3</v>
      </c>
      <c r="BL32">
        <v>2.9999999999999997E-4</v>
      </c>
    </row>
    <row r="33" spans="1:64" x14ac:dyDescent="0.2">
      <c r="A33">
        <v>184</v>
      </c>
      <c r="B33" t="str">
        <f>ROW()-1&amp;"_AltersFish"</f>
        <v>32_AltersFish</v>
      </c>
      <c r="C33" t="str">
        <f>A33 &amp; "_" &amp; P33 &amp; "_" &amp;
SUBSTITUTE(TRIM(L33)," ","_") &amp;
"_pH" &amp; TEXT(Z33,"0.00") &amp;
"_T" &amp; TEXT(AI33,"0.00") &amp;
"_CO2" &amp; TEXT(V33,"0") &amp;
"_LANG"</f>
        <v>184_EMBRYO_Belone_belone_pH8.25_T14.40_CO2365_LANG</v>
      </c>
      <c r="D33" t="s">
        <v>54</v>
      </c>
      <c r="E33">
        <v>2021</v>
      </c>
      <c r="F33" t="s">
        <v>100</v>
      </c>
      <c r="G33" t="s">
        <v>101</v>
      </c>
      <c r="H33" t="s">
        <v>78</v>
      </c>
      <c r="I33" t="s">
        <v>540</v>
      </c>
      <c r="J33" t="s">
        <v>543</v>
      </c>
      <c r="K33" t="s">
        <v>102</v>
      </c>
      <c r="L33" t="s">
        <v>103</v>
      </c>
      <c r="M33" t="s">
        <v>81</v>
      </c>
      <c r="N33" t="s">
        <v>81</v>
      </c>
      <c r="O33" t="s">
        <v>62</v>
      </c>
      <c r="P33" t="s">
        <v>82</v>
      </c>
      <c r="Q33" t="s">
        <v>64</v>
      </c>
      <c r="R33" t="s">
        <v>83</v>
      </c>
      <c r="S33" t="s">
        <v>64</v>
      </c>
      <c r="T33" t="s">
        <v>64</v>
      </c>
      <c r="U33" t="s">
        <v>66</v>
      </c>
      <c r="V33">
        <v>365</v>
      </c>
      <c r="W33">
        <v>6</v>
      </c>
      <c r="X33" t="s">
        <v>67</v>
      </c>
      <c r="Y33" t="s">
        <v>96</v>
      </c>
      <c r="Z33">
        <v>8.25</v>
      </c>
      <c r="AA33">
        <v>0.01</v>
      </c>
      <c r="AB33" t="s">
        <v>67</v>
      </c>
      <c r="AC33">
        <v>1218</v>
      </c>
      <c r="AD33">
        <v>18</v>
      </c>
      <c r="AE33" t="s">
        <v>67</v>
      </c>
      <c r="AF33">
        <v>7.77</v>
      </c>
      <c r="AG33">
        <v>0.01</v>
      </c>
      <c r="AH33" t="s">
        <v>67</v>
      </c>
      <c r="AI33">
        <v>14.4</v>
      </c>
      <c r="AJ33">
        <v>0.2</v>
      </c>
      <c r="AK33" t="s">
        <v>67</v>
      </c>
      <c r="AL33">
        <v>17.100000000000001</v>
      </c>
      <c r="AM33">
        <v>0</v>
      </c>
      <c r="AN33" t="s">
        <v>67</v>
      </c>
      <c r="AO33">
        <v>853</v>
      </c>
      <c r="AP33">
        <v>2.7</v>
      </c>
      <c r="AQ33" t="s">
        <v>67</v>
      </c>
      <c r="AR33" t="s">
        <v>104</v>
      </c>
      <c r="AS33" t="s">
        <v>105</v>
      </c>
      <c r="AT33" t="s">
        <v>70</v>
      </c>
      <c r="AU33" t="s">
        <v>89</v>
      </c>
      <c r="AV33" t="s">
        <v>88</v>
      </c>
      <c r="AW33" t="s">
        <v>151</v>
      </c>
      <c r="AX33" t="s">
        <v>90</v>
      </c>
      <c r="AY33">
        <v>98.4</v>
      </c>
      <c r="AZ33">
        <v>98.4</v>
      </c>
      <c r="BA33">
        <v>0.8</v>
      </c>
      <c r="BB33">
        <f>BA33*SQRT(BC33)</f>
        <v>1.7888543819998319</v>
      </c>
      <c r="BC33">
        <v>5</v>
      </c>
      <c r="BD33">
        <v>88.9</v>
      </c>
      <c r="BE33">
        <v>88.9</v>
      </c>
      <c r="BF33">
        <v>4</v>
      </c>
      <c r="BG33">
        <f>BF33*SQRT(BH33)</f>
        <v>8.9442719099991592</v>
      </c>
      <c r="BH33">
        <v>5</v>
      </c>
      <c r="BI33">
        <v>19</v>
      </c>
      <c r="BJ33">
        <v>5</v>
      </c>
      <c r="BK33">
        <v>-0.10150000000000001</v>
      </c>
      <c r="BL33">
        <v>2.0999999999999999E-3</v>
      </c>
    </row>
    <row r="34" spans="1:64" x14ac:dyDescent="0.2">
      <c r="A34">
        <v>184</v>
      </c>
      <c r="B34" t="str">
        <f>ROW()-1&amp;"_AltersFish"</f>
        <v>33_AltersFish</v>
      </c>
      <c r="C34" t="str">
        <f>A34 &amp; "_" &amp; P34 &amp; "_" &amp;
SUBSTITUTE(TRIM(L34)," ","_") &amp;
"_pH" &amp; TEXT(Z34,"0.00") &amp;
"_T" &amp; TEXT(AI34,"0.00") &amp;
"_CO2" &amp; TEXT(V34,"0") &amp;
"_LANG"</f>
        <v>184_EMBRYO_Belone_belone_pH8.25_T14.40_CO2365_LANG</v>
      </c>
      <c r="D34" t="s">
        <v>54</v>
      </c>
      <c r="E34">
        <v>2021</v>
      </c>
      <c r="F34" t="s">
        <v>100</v>
      </c>
      <c r="G34" t="s">
        <v>101</v>
      </c>
      <c r="H34" t="s">
        <v>78</v>
      </c>
      <c r="I34" t="s">
        <v>540</v>
      </c>
      <c r="J34" t="s">
        <v>543</v>
      </c>
      <c r="K34" t="s">
        <v>102</v>
      </c>
      <c r="L34" t="s">
        <v>103</v>
      </c>
      <c r="M34" t="s">
        <v>81</v>
      </c>
      <c r="N34" t="s">
        <v>81</v>
      </c>
      <c r="O34" t="s">
        <v>62</v>
      </c>
      <c r="P34" t="s">
        <v>82</v>
      </c>
      <c r="Q34" t="s">
        <v>64</v>
      </c>
      <c r="R34" t="s">
        <v>83</v>
      </c>
      <c r="S34" t="s">
        <v>74</v>
      </c>
      <c r="T34" t="s">
        <v>64</v>
      </c>
      <c r="U34" t="s">
        <v>75</v>
      </c>
      <c r="V34">
        <v>365</v>
      </c>
      <c r="W34">
        <v>6</v>
      </c>
      <c r="X34" t="s">
        <v>67</v>
      </c>
      <c r="Y34" t="s">
        <v>96</v>
      </c>
      <c r="Z34">
        <v>8.25</v>
      </c>
      <c r="AA34">
        <v>0.01</v>
      </c>
      <c r="AB34" t="s">
        <v>67</v>
      </c>
      <c r="AC34">
        <v>432</v>
      </c>
      <c r="AD34">
        <v>13</v>
      </c>
      <c r="AE34" t="s">
        <v>67</v>
      </c>
      <c r="AF34">
        <v>8.2100000000000009</v>
      </c>
      <c r="AG34">
        <v>0.01</v>
      </c>
      <c r="AH34" t="s">
        <v>67</v>
      </c>
      <c r="AI34">
        <v>14.4</v>
      </c>
      <c r="AJ34">
        <v>0.2</v>
      </c>
      <c r="AK34" t="s">
        <v>67</v>
      </c>
      <c r="AL34">
        <v>17.100000000000001</v>
      </c>
      <c r="AM34">
        <v>0</v>
      </c>
      <c r="AN34" t="s">
        <v>67</v>
      </c>
      <c r="AO34">
        <v>67</v>
      </c>
      <c r="AP34">
        <v>2.7</v>
      </c>
      <c r="AQ34" t="s">
        <v>67</v>
      </c>
      <c r="AR34" t="s">
        <v>104</v>
      </c>
      <c r="AS34" t="s">
        <v>105</v>
      </c>
      <c r="AT34" t="s">
        <v>70</v>
      </c>
      <c r="AU34" t="s">
        <v>89</v>
      </c>
      <c r="AV34" t="s">
        <v>88</v>
      </c>
      <c r="AW34" t="s">
        <v>151</v>
      </c>
      <c r="AX34" t="s">
        <v>90</v>
      </c>
      <c r="AY34">
        <v>98.4</v>
      </c>
      <c r="AZ34">
        <v>98.4</v>
      </c>
      <c r="BA34">
        <v>0.8</v>
      </c>
      <c r="BB34">
        <f>BA34*SQRT(BC34)</f>
        <v>1.7888543819998319</v>
      </c>
      <c r="BC34">
        <v>5</v>
      </c>
      <c r="BD34">
        <v>93.3</v>
      </c>
      <c r="BE34">
        <v>93.3</v>
      </c>
      <c r="BF34">
        <v>6.7</v>
      </c>
      <c r="BG34">
        <f>BF34*SQRT(BH34)</f>
        <v>14.981655449248592</v>
      </c>
      <c r="BH34">
        <v>5</v>
      </c>
      <c r="BI34">
        <v>19</v>
      </c>
      <c r="BJ34">
        <v>5</v>
      </c>
      <c r="BK34">
        <v>-5.3199999999999997E-2</v>
      </c>
      <c r="BL34">
        <v>5.1999999999999998E-3</v>
      </c>
    </row>
    <row r="35" spans="1:64" x14ac:dyDescent="0.2">
      <c r="A35">
        <v>184</v>
      </c>
      <c r="B35" t="str">
        <f>ROW()-1&amp;"_AltersFish"</f>
        <v>34_AltersFish</v>
      </c>
      <c r="C35" t="str">
        <f>A35 &amp; "_" &amp; P35 &amp; "_" &amp;
SUBSTITUTE(TRIM(L35)," ","_") &amp;
"_pH" &amp; TEXT(Z35,"0.00") &amp;
"_T" &amp; TEXT(AI35,"0.00") &amp;
"_CO2" &amp; TEXT(V35,"0") &amp;
"_LANG"</f>
        <v>184_EMBRYO_Belone_belone_pH8.25_T14.40_CO2365_LANG</v>
      </c>
      <c r="D35" t="s">
        <v>54</v>
      </c>
      <c r="E35">
        <v>2021</v>
      </c>
      <c r="F35" t="s">
        <v>100</v>
      </c>
      <c r="G35" t="s">
        <v>101</v>
      </c>
      <c r="H35" t="s">
        <v>78</v>
      </c>
      <c r="I35" t="s">
        <v>540</v>
      </c>
      <c r="J35" t="s">
        <v>543</v>
      </c>
      <c r="K35" t="s">
        <v>102</v>
      </c>
      <c r="L35" t="s">
        <v>103</v>
      </c>
      <c r="M35" t="s">
        <v>81</v>
      </c>
      <c r="N35" t="s">
        <v>81</v>
      </c>
      <c r="O35" t="s">
        <v>62</v>
      </c>
      <c r="P35" t="s">
        <v>82</v>
      </c>
      <c r="Q35" t="s">
        <v>64</v>
      </c>
      <c r="R35" t="s">
        <v>83</v>
      </c>
      <c r="S35" t="s">
        <v>74</v>
      </c>
      <c r="T35" t="s">
        <v>64</v>
      </c>
      <c r="U35" t="s">
        <v>75</v>
      </c>
      <c r="V35">
        <v>365</v>
      </c>
      <c r="W35">
        <v>6</v>
      </c>
      <c r="X35" t="s">
        <v>67</v>
      </c>
      <c r="Y35" t="s">
        <v>96</v>
      </c>
      <c r="Z35">
        <v>8.25</v>
      </c>
      <c r="AA35">
        <v>0.01</v>
      </c>
      <c r="AB35" t="s">
        <v>67</v>
      </c>
      <c r="AC35">
        <v>377</v>
      </c>
      <c r="AD35">
        <v>7</v>
      </c>
      <c r="AE35" t="s">
        <v>67</v>
      </c>
      <c r="AF35">
        <v>8.25</v>
      </c>
      <c r="AG35">
        <v>0.01</v>
      </c>
      <c r="AH35" t="s">
        <v>67</v>
      </c>
      <c r="AI35">
        <v>14.4</v>
      </c>
      <c r="AJ35">
        <v>0.2</v>
      </c>
      <c r="AK35" t="s">
        <v>67</v>
      </c>
      <c r="AL35">
        <v>15.9</v>
      </c>
      <c r="AM35">
        <v>0.4</v>
      </c>
      <c r="AN35" t="s">
        <v>67</v>
      </c>
      <c r="AO35">
        <v>12</v>
      </c>
      <c r="AP35">
        <v>1.5</v>
      </c>
      <c r="AQ35" t="s">
        <v>67</v>
      </c>
      <c r="AR35" t="s">
        <v>149</v>
      </c>
      <c r="AS35" t="s">
        <v>150</v>
      </c>
      <c r="AT35" t="s">
        <v>70</v>
      </c>
      <c r="AU35" t="s">
        <v>89</v>
      </c>
      <c r="AV35" t="s">
        <v>151</v>
      </c>
      <c r="AW35" t="s">
        <v>151</v>
      </c>
      <c r="AX35" t="s">
        <v>90</v>
      </c>
      <c r="AY35">
        <v>99.9</v>
      </c>
      <c r="AZ35">
        <v>99.9</v>
      </c>
      <c r="BA35">
        <v>0.1</v>
      </c>
      <c r="BB35">
        <f>BA35*SQRT(BC35)</f>
        <v>0.22360679774997899</v>
      </c>
      <c r="BC35">
        <v>5</v>
      </c>
      <c r="BD35">
        <v>99.9</v>
      </c>
      <c r="BE35">
        <v>99.9</v>
      </c>
      <c r="BF35">
        <v>0.1</v>
      </c>
      <c r="BG35">
        <f>BF35*SQRT(BH35)</f>
        <v>0.22360679774997899</v>
      </c>
      <c r="BH35">
        <v>5</v>
      </c>
      <c r="BI35">
        <v>1</v>
      </c>
      <c r="BJ35">
        <v>5</v>
      </c>
      <c r="BK35">
        <v>0</v>
      </c>
      <c r="BL35">
        <v>1E-4</v>
      </c>
    </row>
    <row r="36" spans="1:64" x14ac:dyDescent="0.2">
      <c r="A36">
        <v>184</v>
      </c>
      <c r="B36" t="str">
        <f>ROW()-1&amp;"_AltersFish"</f>
        <v>35_AltersFish</v>
      </c>
      <c r="C36" t="str">
        <f>A36 &amp; "_" &amp; P36 &amp; "_" &amp;
SUBSTITUTE(TRIM(L36)," ","_") &amp;
"_pH" &amp; TEXT(Z36,"0.00") &amp;
"_T" &amp; TEXT(AI36,"0.00") &amp;
"_CO2" &amp; TEXT(V36,"0") &amp;
"_LANG"</f>
        <v>184_EMBRYO_Belone_belone_pH8.25_T14.40_CO2365_LANG</v>
      </c>
      <c r="D36" t="s">
        <v>54</v>
      </c>
      <c r="E36">
        <v>2021</v>
      </c>
      <c r="F36" t="s">
        <v>100</v>
      </c>
      <c r="G36" t="s">
        <v>101</v>
      </c>
      <c r="H36" t="s">
        <v>78</v>
      </c>
      <c r="I36" t="s">
        <v>540</v>
      </c>
      <c r="J36" t="s">
        <v>543</v>
      </c>
      <c r="K36" t="s">
        <v>102</v>
      </c>
      <c r="L36" t="s">
        <v>103</v>
      </c>
      <c r="M36" t="s">
        <v>81</v>
      </c>
      <c r="N36" t="s">
        <v>81</v>
      </c>
      <c r="O36" t="s">
        <v>62</v>
      </c>
      <c r="P36" t="s">
        <v>82</v>
      </c>
      <c r="Q36" t="s">
        <v>64</v>
      </c>
      <c r="R36" t="s">
        <v>83</v>
      </c>
      <c r="S36" t="s">
        <v>64</v>
      </c>
      <c r="T36" t="s">
        <v>74</v>
      </c>
      <c r="U36" t="s">
        <v>84</v>
      </c>
      <c r="V36">
        <v>365</v>
      </c>
      <c r="W36">
        <v>6</v>
      </c>
      <c r="X36" t="s">
        <v>67</v>
      </c>
      <c r="Y36" t="s">
        <v>96</v>
      </c>
      <c r="Z36">
        <v>8.25</v>
      </c>
      <c r="AA36">
        <v>0.01</v>
      </c>
      <c r="AB36" t="s">
        <v>67</v>
      </c>
      <c r="AC36">
        <v>1269</v>
      </c>
      <c r="AD36">
        <v>18</v>
      </c>
      <c r="AE36" t="s">
        <v>67</v>
      </c>
      <c r="AF36">
        <v>7.74</v>
      </c>
      <c r="AG36">
        <v>0.01</v>
      </c>
      <c r="AH36" t="s">
        <v>67</v>
      </c>
      <c r="AI36">
        <v>14.4</v>
      </c>
      <c r="AJ36">
        <v>0.2</v>
      </c>
      <c r="AK36" t="s">
        <v>67</v>
      </c>
      <c r="AL36">
        <v>14.3</v>
      </c>
      <c r="AM36">
        <v>0.2</v>
      </c>
      <c r="AN36" t="s">
        <v>67</v>
      </c>
      <c r="AO36">
        <v>904</v>
      </c>
      <c r="AP36">
        <v>-0.1</v>
      </c>
      <c r="AQ36" t="s">
        <v>67</v>
      </c>
      <c r="AR36" t="s">
        <v>149</v>
      </c>
      <c r="AS36" t="s">
        <v>150</v>
      </c>
      <c r="AT36" t="s">
        <v>70</v>
      </c>
      <c r="AU36" t="s">
        <v>89</v>
      </c>
      <c r="AV36" t="s">
        <v>151</v>
      </c>
      <c r="AW36" t="s">
        <v>151</v>
      </c>
      <c r="AX36" t="s">
        <v>90</v>
      </c>
      <c r="AY36">
        <v>99.9</v>
      </c>
      <c r="AZ36">
        <v>99.9</v>
      </c>
      <c r="BA36">
        <v>0.1</v>
      </c>
      <c r="BB36">
        <f>BA36*SQRT(BC36)</f>
        <v>0.22360679774997899</v>
      </c>
      <c r="BC36">
        <v>5</v>
      </c>
      <c r="BD36">
        <v>99.4</v>
      </c>
      <c r="BE36">
        <v>99.4</v>
      </c>
      <c r="BF36">
        <v>0.6</v>
      </c>
      <c r="BG36">
        <f>BF36*SQRT(BH36)</f>
        <v>1.3416407864998738</v>
      </c>
      <c r="BH36">
        <v>5</v>
      </c>
      <c r="BI36">
        <v>1</v>
      </c>
      <c r="BJ36">
        <v>5</v>
      </c>
      <c r="BK36">
        <v>-5.0000000000000001E-3</v>
      </c>
      <c r="BL36">
        <v>1E-4</v>
      </c>
    </row>
    <row r="37" spans="1:64" x14ac:dyDescent="0.2">
      <c r="A37">
        <v>184</v>
      </c>
      <c r="B37" t="str">
        <f>ROW()-1&amp;"_AltersFish"</f>
        <v>36_AltersFish</v>
      </c>
      <c r="C37" t="str">
        <f>A37 &amp; "_" &amp; P37 &amp; "_" &amp;
SUBSTITUTE(TRIM(L37)," ","_") &amp;
"_pH" &amp; TEXT(Z37,"0.00") &amp;
"_T" &amp; TEXT(AI37,"0.00") &amp;
"_CO2" &amp; TEXT(V37,"0") &amp;
"_LANG"</f>
        <v>184_EMBRYO_Belone_belone_pH8.25_T14.40_CO2365_LANG</v>
      </c>
      <c r="D37" t="s">
        <v>54</v>
      </c>
      <c r="E37">
        <v>2021</v>
      </c>
      <c r="F37" t="s">
        <v>100</v>
      </c>
      <c r="G37" t="s">
        <v>101</v>
      </c>
      <c r="H37" t="s">
        <v>78</v>
      </c>
      <c r="I37" t="s">
        <v>540</v>
      </c>
      <c r="J37" t="s">
        <v>543</v>
      </c>
      <c r="K37" t="s">
        <v>102</v>
      </c>
      <c r="L37" t="s">
        <v>103</v>
      </c>
      <c r="M37" t="s">
        <v>81</v>
      </c>
      <c r="N37" t="s">
        <v>81</v>
      </c>
      <c r="O37" t="s">
        <v>62</v>
      </c>
      <c r="P37" t="s">
        <v>82</v>
      </c>
      <c r="Q37" t="s">
        <v>64</v>
      </c>
      <c r="R37" t="s">
        <v>83</v>
      </c>
      <c r="S37" t="s">
        <v>64</v>
      </c>
      <c r="T37" t="s">
        <v>64</v>
      </c>
      <c r="U37" t="s">
        <v>66</v>
      </c>
      <c r="V37">
        <v>365</v>
      </c>
      <c r="W37">
        <v>6</v>
      </c>
      <c r="X37" t="s">
        <v>67</v>
      </c>
      <c r="Y37" t="s">
        <v>96</v>
      </c>
      <c r="Z37">
        <v>8.25</v>
      </c>
      <c r="AA37">
        <v>0.01</v>
      </c>
      <c r="AB37" t="s">
        <v>67</v>
      </c>
      <c r="AC37">
        <v>1292</v>
      </c>
      <c r="AD37">
        <v>18</v>
      </c>
      <c r="AE37" t="s">
        <v>67</v>
      </c>
      <c r="AF37">
        <v>7.74</v>
      </c>
      <c r="AG37">
        <v>0.01</v>
      </c>
      <c r="AH37" t="s">
        <v>67</v>
      </c>
      <c r="AI37">
        <v>14.4</v>
      </c>
      <c r="AJ37">
        <v>0.2</v>
      </c>
      <c r="AK37" t="s">
        <v>67</v>
      </c>
      <c r="AL37">
        <v>15.9</v>
      </c>
      <c r="AM37">
        <v>0.4</v>
      </c>
      <c r="AN37" t="s">
        <v>67</v>
      </c>
      <c r="AO37">
        <v>927</v>
      </c>
      <c r="AP37">
        <v>1.5</v>
      </c>
      <c r="AQ37" t="s">
        <v>67</v>
      </c>
      <c r="AR37" t="s">
        <v>149</v>
      </c>
      <c r="AS37" t="s">
        <v>150</v>
      </c>
      <c r="AT37" t="s">
        <v>70</v>
      </c>
      <c r="AU37" t="s">
        <v>89</v>
      </c>
      <c r="AV37" t="s">
        <v>151</v>
      </c>
      <c r="AW37" t="s">
        <v>151</v>
      </c>
      <c r="AX37" t="s">
        <v>90</v>
      </c>
      <c r="AY37">
        <v>99.9</v>
      </c>
      <c r="AZ37">
        <v>99.9</v>
      </c>
      <c r="BA37">
        <v>0.1</v>
      </c>
      <c r="BB37">
        <f>BA37*SQRT(BC37)</f>
        <v>0.22360679774997899</v>
      </c>
      <c r="BC37">
        <v>5</v>
      </c>
      <c r="BD37">
        <v>97.4</v>
      </c>
      <c r="BE37">
        <v>97.4</v>
      </c>
      <c r="BF37">
        <v>1.3</v>
      </c>
      <c r="BG37">
        <f>BF37*SQRT(BH37)</f>
        <v>2.9068883707497268</v>
      </c>
      <c r="BH37">
        <v>5</v>
      </c>
      <c r="BI37">
        <v>1</v>
      </c>
      <c r="BJ37">
        <v>5</v>
      </c>
      <c r="BK37">
        <v>-2.53E-2</v>
      </c>
      <c r="BL37">
        <v>2.0000000000000001E-4</v>
      </c>
    </row>
    <row r="38" spans="1:64" x14ac:dyDescent="0.2">
      <c r="A38">
        <v>184</v>
      </c>
      <c r="B38" t="str">
        <f>ROW()-1&amp;"_AltersFish"</f>
        <v>37_AltersFish</v>
      </c>
      <c r="C38" t="str">
        <f>A38 &amp; "_" &amp; P38 &amp; "_" &amp;
SUBSTITUTE(TRIM(L38)," ","_") &amp;
"_pH" &amp; TEXT(Z38,"0.00") &amp;
"_T" &amp; TEXT(AI38,"0.00") &amp;
"_CO2" &amp; TEXT(V38,"0") &amp;
"_LANG"</f>
        <v>184_EMBRYO_Belone_belone_pH8.25_T14.40_CO2365_LANG</v>
      </c>
      <c r="D38" t="s">
        <v>54</v>
      </c>
      <c r="E38">
        <v>2021</v>
      </c>
      <c r="F38" t="s">
        <v>100</v>
      </c>
      <c r="G38" t="s">
        <v>101</v>
      </c>
      <c r="H38" t="s">
        <v>78</v>
      </c>
      <c r="I38" t="s">
        <v>540</v>
      </c>
      <c r="J38" t="s">
        <v>543</v>
      </c>
      <c r="K38" t="s">
        <v>102</v>
      </c>
      <c r="L38" t="s">
        <v>103</v>
      </c>
      <c r="M38" t="s">
        <v>81</v>
      </c>
      <c r="N38" t="s">
        <v>81</v>
      </c>
      <c r="O38" t="s">
        <v>62</v>
      </c>
      <c r="P38" t="s">
        <v>82</v>
      </c>
      <c r="Q38" t="s">
        <v>64</v>
      </c>
      <c r="R38" t="s">
        <v>83</v>
      </c>
      <c r="S38" t="s">
        <v>64</v>
      </c>
      <c r="T38" t="s">
        <v>64</v>
      </c>
      <c r="U38" t="s">
        <v>66</v>
      </c>
      <c r="V38">
        <v>365</v>
      </c>
      <c r="W38">
        <v>6</v>
      </c>
      <c r="X38" t="s">
        <v>67</v>
      </c>
      <c r="Y38" t="s">
        <v>96</v>
      </c>
      <c r="Z38">
        <v>8.25</v>
      </c>
      <c r="AA38">
        <v>0.01</v>
      </c>
      <c r="AB38" t="s">
        <v>67</v>
      </c>
      <c r="AC38">
        <v>1218</v>
      </c>
      <c r="AD38">
        <v>18</v>
      </c>
      <c r="AE38" t="s">
        <v>67</v>
      </c>
      <c r="AF38">
        <v>7.77</v>
      </c>
      <c r="AG38">
        <v>0.01</v>
      </c>
      <c r="AH38" t="s">
        <v>67</v>
      </c>
      <c r="AI38">
        <v>14.4</v>
      </c>
      <c r="AJ38">
        <v>0.2</v>
      </c>
      <c r="AK38" t="s">
        <v>67</v>
      </c>
      <c r="AL38">
        <v>17.100000000000001</v>
      </c>
      <c r="AM38">
        <v>0</v>
      </c>
      <c r="AN38" t="s">
        <v>67</v>
      </c>
      <c r="AO38">
        <v>853</v>
      </c>
      <c r="AP38">
        <v>2.7</v>
      </c>
      <c r="AQ38" t="s">
        <v>67</v>
      </c>
      <c r="AR38" t="s">
        <v>149</v>
      </c>
      <c r="AS38" t="s">
        <v>150</v>
      </c>
      <c r="AT38" t="s">
        <v>70</v>
      </c>
      <c r="AU38" t="s">
        <v>89</v>
      </c>
      <c r="AV38" t="s">
        <v>151</v>
      </c>
      <c r="AW38" t="s">
        <v>151</v>
      </c>
      <c r="AX38" t="s">
        <v>90</v>
      </c>
      <c r="AY38">
        <v>99.9</v>
      </c>
      <c r="AZ38">
        <v>99.9</v>
      </c>
      <c r="BA38">
        <v>0.1</v>
      </c>
      <c r="BB38">
        <f>BA38*SQRT(BC38)</f>
        <v>0.22360679774997899</v>
      </c>
      <c r="BC38">
        <v>5</v>
      </c>
      <c r="BD38">
        <v>88.1</v>
      </c>
      <c r="BE38">
        <v>88.1</v>
      </c>
      <c r="BF38">
        <v>1.9</v>
      </c>
      <c r="BG38">
        <f>BF38*SQRT(BH38)</f>
        <v>4.2485291572496005</v>
      </c>
      <c r="BH38">
        <v>5</v>
      </c>
      <c r="BI38">
        <v>1</v>
      </c>
      <c r="BJ38">
        <v>5</v>
      </c>
      <c r="BK38">
        <v>-0.12570000000000001</v>
      </c>
      <c r="BL38">
        <v>5.0000000000000001E-4</v>
      </c>
    </row>
    <row r="39" spans="1:64" x14ac:dyDescent="0.2">
      <c r="A39">
        <v>184</v>
      </c>
      <c r="B39" t="str">
        <f>ROW()-1&amp;"_AltersFish"</f>
        <v>38_AltersFish</v>
      </c>
      <c r="C39" t="str">
        <f>A39 &amp; "_" &amp; P39 &amp; "_" &amp;
SUBSTITUTE(TRIM(L39)," ","_") &amp;
"_pH" &amp; TEXT(Z39,"0.00") &amp;
"_T" &amp; TEXT(AI39,"0.00") &amp;
"_CO2" &amp; TEXT(V39,"0") &amp;
"_LANG"</f>
        <v>184_EMBRYO_Belone_belone_pH8.25_T14.40_CO2365_LANG</v>
      </c>
      <c r="D39" t="s">
        <v>54</v>
      </c>
      <c r="E39">
        <v>2021</v>
      </c>
      <c r="F39" t="s">
        <v>100</v>
      </c>
      <c r="G39" t="s">
        <v>101</v>
      </c>
      <c r="H39" t="s">
        <v>78</v>
      </c>
      <c r="I39" t="s">
        <v>540</v>
      </c>
      <c r="J39" t="s">
        <v>543</v>
      </c>
      <c r="K39" t="s">
        <v>102</v>
      </c>
      <c r="L39" t="s">
        <v>103</v>
      </c>
      <c r="M39" t="s">
        <v>81</v>
      </c>
      <c r="N39" t="s">
        <v>81</v>
      </c>
      <c r="O39" t="s">
        <v>62</v>
      </c>
      <c r="P39" t="s">
        <v>82</v>
      </c>
      <c r="Q39" t="s">
        <v>64</v>
      </c>
      <c r="R39" t="s">
        <v>83</v>
      </c>
      <c r="S39" t="s">
        <v>74</v>
      </c>
      <c r="T39" t="s">
        <v>64</v>
      </c>
      <c r="U39" t="s">
        <v>75</v>
      </c>
      <c r="V39">
        <v>365</v>
      </c>
      <c r="W39">
        <v>6</v>
      </c>
      <c r="X39" t="s">
        <v>67</v>
      </c>
      <c r="Y39" t="s">
        <v>96</v>
      </c>
      <c r="Z39">
        <v>8.25</v>
      </c>
      <c r="AA39">
        <v>0.01</v>
      </c>
      <c r="AB39" t="s">
        <v>67</v>
      </c>
      <c r="AC39">
        <v>432</v>
      </c>
      <c r="AD39">
        <v>13</v>
      </c>
      <c r="AE39" t="s">
        <v>67</v>
      </c>
      <c r="AF39">
        <v>8.2100000000000009</v>
      </c>
      <c r="AG39">
        <v>0.01</v>
      </c>
      <c r="AH39" t="s">
        <v>67</v>
      </c>
      <c r="AI39">
        <v>14.4</v>
      </c>
      <c r="AJ39">
        <v>0.2</v>
      </c>
      <c r="AK39" t="s">
        <v>67</v>
      </c>
      <c r="AL39">
        <v>17.100000000000001</v>
      </c>
      <c r="AM39">
        <v>0</v>
      </c>
      <c r="AN39" t="s">
        <v>67</v>
      </c>
      <c r="AO39">
        <v>67</v>
      </c>
      <c r="AP39">
        <v>2.7</v>
      </c>
      <c r="AQ39" t="s">
        <v>67</v>
      </c>
      <c r="AR39" t="s">
        <v>149</v>
      </c>
      <c r="AS39" t="s">
        <v>150</v>
      </c>
      <c r="AT39" t="s">
        <v>70</v>
      </c>
      <c r="AU39" t="s">
        <v>89</v>
      </c>
      <c r="AV39" t="s">
        <v>151</v>
      </c>
      <c r="AW39" t="s">
        <v>151</v>
      </c>
      <c r="AX39" t="s">
        <v>90</v>
      </c>
      <c r="AY39">
        <v>99.9</v>
      </c>
      <c r="AZ39">
        <v>99.9</v>
      </c>
      <c r="BA39">
        <v>0.1</v>
      </c>
      <c r="BB39">
        <f>BA39*SQRT(BC39)</f>
        <v>0.22360679774997899</v>
      </c>
      <c r="BC39">
        <v>5</v>
      </c>
      <c r="BD39">
        <v>85</v>
      </c>
      <c r="BE39">
        <v>85</v>
      </c>
      <c r="BF39">
        <v>4.8</v>
      </c>
      <c r="BG39">
        <f>BF39*SQRT(BH39)</f>
        <v>10.733126291998991</v>
      </c>
      <c r="BH39">
        <v>5</v>
      </c>
      <c r="BI39">
        <v>1</v>
      </c>
      <c r="BJ39">
        <v>5</v>
      </c>
      <c r="BK39">
        <v>-0.1615</v>
      </c>
      <c r="BL39">
        <v>3.2000000000000002E-3</v>
      </c>
    </row>
    <row r="40" spans="1:64" x14ac:dyDescent="0.2">
      <c r="A40">
        <v>184</v>
      </c>
      <c r="B40" t="str">
        <f>ROW()-1&amp;"_AltersFish"</f>
        <v>39_AltersFish</v>
      </c>
      <c r="C40" t="str">
        <f>A40 &amp; "_" &amp; P40 &amp; "_" &amp;
SUBSTITUTE(TRIM(L40)," ","_") &amp;
"_pH" &amp; TEXT(Z40,"0.00") &amp;
"_T" &amp; TEXT(AI40,"0.00") &amp;
"_CO2" &amp; TEXT(V40,"0") &amp;
"_LANG"</f>
        <v>184_EMBRYO_Belone_belone_pH8.25_T14.40_CO2365_LANG</v>
      </c>
      <c r="D40" t="s">
        <v>54</v>
      </c>
      <c r="E40">
        <v>2021</v>
      </c>
      <c r="F40" t="s">
        <v>100</v>
      </c>
      <c r="G40" t="s">
        <v>101</v>
      </c>
      <c r="H40" t="s">
        <v>78</v>
      </c>
      <c r="I40" t="s">
        <v>540</v>
      </c>
      <c r="J40" t="s">
        <v>543</v>
      </c>
      <c r="K40" t="s">
        <v>102</v>
      </c>
      <c r="L40" t="s">
        <v>103</v>
      </c>
      <c r="M40" t="s">
        <v>81</v>
      </c>
      <c r="N40" t="s">
        <v>81</v>
      </c>
      <c r="O40" t="s">
        <v>62</v>
      </c>
      <c r="P40" t="s">
        <v>82</v>
      </c>
      <c r="Q40" t="s">
        <v>64</v>
      </c>
      <c r="R40" t="s">
        <v>83</v>
      </c>
      <c r="S40" t="s">
        <v>64</v>
      </c>
      <c r="T40" t="s">
        <v>64</v>
      </c>
      <c r="U40" t="s">
        <v>66</v>
      </c>
      <c r="V40">
        <v>365</v>
      </c>
      <c r="W40">
        <v>6</v>
      </c>
      <c r="X40" t="s">
        <v>67</v>
      </c>
      <c r="Y40" t="s">
        <v>96</v>
      </c>
      <c r="Z40">
        <v>8.25</v>
      </c>
      <c r="AA40">
        <v>0.01</v>
      </c>
      <c r="AB40" t="s">
        <v>67</v>
      </c>
      <c r="AC40">
        <v>1292</v>
      </c>
      <c r="AD40">
        <v>18</v>
      </c>
      <c r="AE40" t="s">
        <v>67</v>
      </c>
      <c r="AF40">
        <v>7.74</v>
      </c>
      <c r="AG40">
        <v>0.01</v>
      </c>
      <c r="AH40" t="s">
        <v>67</v>
      </c>
      <c r="AI40">
        <v>14.4</v>
      </c>
      <c r="AJ40">
        <v>0.2</v>
      </c>
      <c r="AK40" t="s">
        <v>67</v>
      </c>
      <c r="AL40">
        <v>15.9</v>
      </c>
      <c r="AM40">
        <v>0.4</v>
      </c>
      <c r="AN40" t="s">
        <v>67</v>
      </c>
      <c r="AO40">
        <v>927</v>
      </c>
      <c r="AP40">
        <v>1.5</v>
      </c>
      <c r="AQ40" t="s">
        <v>275</v>
      </c>
      <c r="AR40" t="s">
        <v>166</v>
      </c>
      <c r="AS40" t="s">
        <v>166</v>
      </c>
      <c r="AT40" t="s">
        <v>135</v>
      </c>
      <c r="AU40" t="s">
        <v>89</v>
      </c>
      <c r="AV40" t="s">
        <v>132</v>
      </c>
      <c r="AW40" t="s">
        <v>132</v>
      </c>
      <c r="AX40" t="s">
        <v>73</v>
      </c>
      <c r="AY40">
        <v>102.42700000000001</v>
      </c>
      <c r="AZ40">
        <v>102.42700000000001</v>
      </c>
      <c r="BA40">
        <v>3.55</v>
      </c>
      <c r="BB40">
        <f>BA40*SQRT(BC40)</f>
        <v>7.9380413201242535</v>
      </c>
      <c r="BC40">
        <v>5</v>
      </c>
      <c r="BD40">
        <v>137.316</v>
      </c>
      <c r="BE40">
        <v>137.316</v>
      </c>
      <c r="BF40">
        <v>0.93</v>
      </c>
      <c r="BG40">
        <f>BF40*SQRT(BH40)</f>
        <v>2.0795432190748047</v>
      </c>
      <c r="BH40">
        <v>5</v>
      </c>
      <c r="BI40">
        <v>22</v>
      </c>
      <c r="BJ40">
        <v>5</v>
      </c>
      <c r="BK40">
        <v>0.29310000000000003</v>
      </c>
      <c r="BL40">
        <v>1.1999999999999999E-3</v>
      </c>
    </row>
    <row r="41" spans="1:64" x14ac:dyDescent="0.2">
      <c r="A41">
        <v>184</v>
      </c>
      <c r="B41" t="str">
        <f>ROW()-1&amp;"_AltersFish"</f>
        <v>40_AltersFish</v>
      </c>
      <c r="C41" t="str">
        <f>A41 &amp; "_" &amp; P41 &amp; "_" &amp;
SUBSTITUTE(TRIM(L41)," ","_") &amp;
"_pH" &amp; TEXT(Z41,"0.00") &amp;
"_T" &amp; TEXT(AI41,"0.00") &amp;
"_CO2" &amp; TEXT(V41,"0") &amp;
"_LANG"</f>
        <v>184_EMBRYO_Belone_belone_pH8.25_T14.40_CO2365_LANG</v>
      </c>
      <c r="D41" t="s">
        <v>54</v>
      </c>
      <c r="E41">
        <v>2021</v>
      </c>
      <c r="F41" t="s">
        <v>100</v>
      </c>
      <c r="G41" t="s">
        <v>101</v>
      </c>
      <c r="H41" t="s">
        <v>78</v>
      </c>
      <c r="I41" t="s">
        <v>540</v>
      </c>
      <c r="J41" t="s">
        <v>543</v>
      </c>
      <c r="K41" t="s">
        <v>102</v>
      </c>
      <c r="L41" t="s">
        <v>103</v>
      </c>
      <c r="M41" t="s">
        <v>81</v>
      </c>
      <c r="N41" t="s">
        <v>81</v>
      </c>
      <c r="O41" t="s">
        <v>62</v>
      </c>
      <c r="P41" t="s">
        <v>82</v>
      </c>
      <c r="Q41" t="s">
        <v>64</v>
      </c>
      <c r="R41" t="s">
        <v>83</v>
      </c>
      <c r="S41" t="s">
        <v>64</v>
      </c>
      <c r="T41" t="s">
        <v>64</v>
      </c>
      <c r="U41" t="s">
        <v>66</v>
      </c>
      <c r="V41">
        <v>365</v>
      </c>
      <c r="W41">
        <v>6</v>
      </c>
      <c r="X41" t="s">
        <v>67</v>
      </c>
      <c r="Y41" t="s">
        <v>96</v>
      </c>
      <c r="Z41">
        <v>8.25</v>
      </c>
      <c r="AA41">
        <v>0.01</v>
      </c>
      <c r="AB41" t="s">
        <v>67</v>
      </c>
      <c r="AC41">
        <v>1218</v>
      </c>
      <c r="AD41">
        <v>18</v>
      </c>
      <c r="AE41" t="s">
        <v>67</v>
      </c>
      <c r="AF41">
        <v>7.77</v>
      </c>
      <c r="AG41">
        <v>0.01</v>
      </c>
      <c r="AH41" t="s">
        <v>67</v>
      </c>
      <c r="AI41">
        <v>14.4</v>
      </c>
      <c r="AJ41">
        <v>0.2</v>
      </c>
      <c r="AK41" t="s">
        <v>67</v>
      </c>
      <c r="AL41">
        <v>17.100000000000001</v>
      </c>
      <c r="AM41">
        <v>0</v>
      </c>
      <c r="AN41" t="s">
        <v>67</v>
      </c>
      <c r="AO41">
        <v>853</v>
      </c>
      <c r="AP41">
        <v>2.7</v>
      </c>
      <c r="AQ41" t="s">
        <v>275</v>
      </c>
      <c r="AR41" t="s">
        <v>166</v>
      </c>
      <c r="AS41" t="s">
        <v>166</v>
      </c>
      <c r="AT41" t="s">
        <v>135</v>
      </c>
      <c r="AU41" t="s">
        <v>89</v>
      </c>
      <c r="AV41" t="s">
        <v>132</v>
      </c>
      <c r="AW41" t="s">
        <v>132</v>
      </c>
      <c r="AX41" t="s">
        <v>73</v>
      </c>
      <c r="AY41">
        <v>102.42700000000001</v>
      </c>
      <c r="AZ41">
        <v>102.42700000000001</v>
      </c>
      <c r="BA41">
        <v>3.55</v>
      </c>
      <c r="BB41">
        <f>BA41*SQRT(BC41)</f>
        <v>7.9380413201242535</v>
      </c>
      <c r="BC41">
        <v>5</v>
      </c>
      <c r="BD41">
        <v>121.959</v>
      </c>
      <c r="BE41">
        <v>121.959</v>
      </c>
      <c r="BF41">
        <v>2.6</v>
      </c>
      <c r="BG41">
        <f>BF41*SQRT(BH41)</f>
        <v>5.8137767414994537</v>
      </c>
      <c r="BH41">
        <v>5</v>
      </c>
      <c r="BI41">
        <v>19</v>
      </c>
      <c r="BJ41">
        <v>5</v>
      </c>
      <c r="BK41">
        <v>0.17449999999999999</v>
      </c>
      <c r="BL41">
        <v>1.6999999999999999E-3</v>
      </c>
    </row>
    <row r="42" spans="1:64" x14ac:dyDescent="0.2">
      <c r="A42">
        <v>184</v>
      </c>
      <c r="B42" t="str">
        <f>ROW()-1&amp;"_AltersFish"</f>
        <v>41_AltersFish</v>
      </c>
      <c r="C42" t="str">
        <f>A42 &amp; "_" &amp; P42 &amp; "_" &amp;
SUBSTITUTE(TRIM(L42)," ","_") &amp;
"_pH" &amp; TEXT(Z42,"0.00") &amp;
"_T" &amp; TEXT(AI42,"0.00") &amp;
"_CO2" &amp; TEXT(V42,"0") &amp;
"_LANG"</f>
        <v>184_EMBRYO_Belone_belone_pH8.25_T14.40_CO2365_LANG</v>
      </c>
      <c r="D42" t="s">
        <v>54</v>
      </c>
      <c r="E42">
        <v>2021</v>
      </c>
      <c r="F42" t="s">
        <v>100</v>
      </c>
      <c r="G42" t="s">
        <v>101</v>
      </c>
      <c r="H42" t="s">
        <v>78</v>
      </c>
      <c r="I42" t="s">
        <v>540</v>
      </c>
      <c r="J42" t="s">
        <v>543</v>
      </c>
      <c r="K42" t="s">
        <v>102</v>
      </c>
      <c r="L42" t="s">
        <v>103</v>
      </c>
      <c r="M42" t="s">
        <v>81</v>
      </c>
      <c r="N42" t="s">
        <v>81</v>
      </c>
      <c r="O42" t="s">
        <v>62</v>
      </c>
      <c r="P42" t="s">
        <v>82</v>
      </c>
      <c r="Q42" t="s">
        <v>64</v>
      </c>
      <c r="R42" t="s">
        <v>83</v>
      </c>
      <c r="S42" t="s">
        <v>74</v>
      </c>
      <c r="T42" t="s">
        <v>64</v>
      </c>
      <c r="U42" t="s">
        <v>75</v>
      </c>
      <c r="V42">
        <v>365</v>
      </c>
      <c r="W42">
        <v>6</v>
      </c>
      <c r="X42" t="s">
        <v>67</v>
      </c>
      <c r="Y42" t="s">
        <v>96</v>
      </c>
      <c r="Z42">
        <v>8.25</v>
      </c>
      <c r="AA42">
        <v>0.01</v>
      </c>
      <c r="AB42" t="s">
        <v>67</v>
      </c>
      <c r="AC42">
        <v>432</v>
      </c>
      <c r="AD42">
        <v>13</v>
      </c>
      <c r="AE42" t="s">
        <v>67</v>
      </c>
      <c r="AF42">
        <v>8.2100000000000009</v>
      </c>
      <c r="AG42">
        <v>0.01</v>
      </c>
      <c r="AH42" t="s">
        <v>67</v>
      </c>
      <c r="AI42">
        <v>14.4</v>
      </c>
      <c r="AJ42">
        <v>0.2</v>
      </c>
      <c r="AK42" t="s">
        <v>67</v>
      </c>
      <c r="AL42">
        <v>17.100000000000001</v>
      </c>
      <c r="AM42">
        <v>0</v>
      </c>
      <c r="AN42" t="s">
        <v>67</v>
      </c>
      <c r="AO42">
        <v>67</v>
      </c>
      <c r="AP42">
        <v>2.7</v>
      </c>
      <c r="AQ42" t="s">
        <v>275</v>
      </c>
      <c r="AR42" t="s">
        <v>166</v>
      </c>
      <c r="AS42" t="s">
        <v>166</v>
      </c>
      <c r="AT42" t="s">
        <v>135</v>
      </c>
      <c r="AU42" t="s">
        <v>89</v>
      </c>
      <c r="AV42" t="s">
        <v>132</v>
      </c>
      <c r="AW42" t="s">
        <v>132</v>
      </c>
      <c r="AX42" t="s">
        <v>73</v>
      </c>
      <c r="AY42">
        <v>102.42700000000001</v>
      </c>
      <c r="AZ42">
        <v>102.42700000000001</v>
      </c>
      <c r="BA42">
        <v>3.55</v>
      </c>
      <c r="BB42">
        <f>BA42*SQRT(BC42)</f>
        <v>7.9380413201242535</v>
      </c>
      <c r="BC42">
        <v>5</v>
      </c>
      <c r="BD42">
        <v>120.904</v>
      </c>
      <c r="BE42">
        <v>120.904</v>
      </c>
      <c r="BF42">
        <v>2.75</v>
      </c>
      <c r="BG42">
        <f>BF42*SQRT(BH42)</f>
        <v>6.149186938124422</v>
      </c>
      <c r="BH42">
        <v>5</v>
      </c>
      <c r="BI42">
        <v>19</v>
      </c>
      <c r="BJ42">
        <v>5</v>
      </c>
      <c r="BK42">
        <v>0.1658</v>
      </c>
      <c r="BL42">
        <v>1.6999999999999999E-3</v>
      </c>
    </row>
    <row r="43" spans="1:64" x14ac:dyDescent="0.2">
      <c r="A43">
        <v>184</v>
      </c>
      <c r="B43" t="str">
        <f>ROW()-1&amp;"_AltersFish"</f>
        <v>42_AltersFish</v>
      </c>
      <c r="C43" t="str">
        <f>A43 &amp; "_" &amp; P43 &amp; "_" &amp;
SUBSTITUTE(TRIM(L43)," ","_") &amp;
"_pH" &amp; TEXT(Z43,"0.00") &amp;
"_T" &amp; TEXT(AI43,"0.00") &amp;
"_CO2" &amp; TEXT(V43,"0") &amp;
"_LANG"</f>
        <v>184_EMBRYO_Belone_belone_pH8.25_T14.40_CO2365_LANG</v>
      </c>
      <c r="D43" t="s">
        <v>54</v>
      </c>
      <c r="E43">
        <v>2021</v>
      </c>
      <c r="F43" t="s">
        <v>100</v>
      </c>
      <c r="G43" t="s">
        <v>101</v>
      </c>
      <c r="H43" t="s">
        <v>78</v>
      </c>
      <c r="I43" t="s">
        <v>540</v>
      </c>
      <c r="J43" t="s">
        <v>543</v>
      </c>
      <c r="K43" t="s">
        <v>102</v>
      </c>
      <c r="L43" t="s">
        <v>103</v>
      </c>
      <c r="M43" t="s">
        <v>81</v>
      </c>
      <c r="N43" t="s">
        <v>81</v>
      </c>
      <c r="O43" t="s">
        <v>62</v>
      </c>
      <c r="P43" t="s">
        <v>82</v>
      </c>
      <c r="Q43" t="s">
        <v>64</v>
      </c>
      <c r="R43" t="s">
        <v>83</v>
      </c>
      <c r="S43" t="s">
        <v>64</v>
      </c>
      <c r="T43" t="s">
        <v>74</v>
      </c>
      <c r="U43" t="s">
        <v>84</v>
      </c>
      <c r="V43">
        <v>365</v>
      </c>
      <c r="W43">
        <v>6</v>
      </c>
      <c r="X43" t="s">
        <v>67</v>
      </c>
      <c r="Y43" t="s">
        <v>96</v>
      </c>
      <c r="Z43">
        <v>8.25</v>
      </c>
      <c r="AA43">
        <v>0.01</v>
      </c>
      <c r="AB43" t="s">
        <v>67</v>
      </c>
      <c r="AC43">
        <v>1269</v>
      </c>
      <c r="AD43">
        <v>18</v>
      </c>
      <c r="AE43" t="s">
        <v>67</v>
      </c>
      <c r="AF43">
        <v>7.74</v>
      </c>
      <c r="AG43">
        <v>0.01</v>
      </c>
      <c r="AH43" t="s">
        <v>67</v>
      </c>
      <c r="AI43">
        <v>14.4</v>
      </c>
      <c r="AJ43">
        <v>0.2</v>
      </c>
      <c r="AK43" t="s">
        <v>67</v>
      </c>
      <c r="AL43">
        <v>14.3</v>
      </c>
      <c r="AM43">
        <v>0.2</v>
      </c>
      <c r="AN43" t="s">
        <v>67</v>
      </c>
      <c r="AO43">
        <v>904</v>
      </c>
      <c r="AP43">
        <v>-0.1</v>
      </c>
      <c r="AQ43" t="s">
        <v>275</v>
      </c>
      <c r="AR43" t="s">
        <v>166</v>
      </c>
      <c r="AS43" t="s">
        <v>166</v>
      </c>
      <c r="AT43" t="s">
        <v>135</v>
      </c>
      <c r="AU43" t="s">
        <v>89</v>
      </c>
      <c r="AV43" t="s">
        <v>132</v>
      </c>
      <c r="AW43" t="s">
        <v>132</v>
      </c>
      <c r="AX43" t="s">
        <v>73</v>
      </c>
      <c r="AY43">
        <v>102.42700000000001</v>
      </c>
      <c r="AZ43">
        <v>102.42700000000001</v>
      </c>
      <c r="BA43">
        <v>3.55</v>
      </c>
      <c r="BB43">
        <f>BA43*SQRT(BC43)</f>
        <v>7.9380413201242535</v>
      </c>
      <c r="BC43">
        <v>5</v>
      </c>
      <c r="BD43">
        <v>107.871</v>
      </c>
      <c r="BE43">
        <v>107.871</v>
      </c>
      <c r="BF43">
        <v>2.93</v>
      </c>
      <c r="BG43">
        <f>BF43*SQRT(BH43)</f>
        <v>6.5516791740743843</v>
      </c>
      <c r="BH43">
        <v>5</v>
      </c>
      <c r="BI43">
        <v>27</v>
      </c>
      <c r="BJ43">
        <v>5</v>
      </c>
      <c r="BK43">
        <v>5.1799999999999999E-2</v>
      </c>
      <c r="BL43">
        <v>1.9E-3</v>
      </c>
    </row>
    <row r="44" spans="1:64" x14ac:dyDescent="0.2">
      <c r="A44">
        <v>184</v>
      </c>
      <c r="B44" t="str">
        <f>ROW()-1&amp;"_AltersFish"</f>
        <v>43_AltersFish</v>
      </c>
      <c r="C44" t="str">
        <f>A44 &amp; "_" &amp; P44 &amp; "_" &amp;
SUBSTITUTE(TRIM(L44)," ","_") &amp;
"_pH" &amp; TEXT(Z44,"0.00") &amp;
"_T" &amp; TEXT(AI44,"0.00") &amp;
"_CO2" &amp; TEXT(V44,"0") &amp;
"_LANG"</f>
        <v>184_EMBRYO_Belone_belone_pH8.25_T14.40_CO2365_LANG</v>
      </c>
      <c r="D44" t="s">
        <v>54</v>
      </c>
      <c r="E44">
        <v>2021</v>
      </c>
      <c r="F44" t="s">
        <v>100</v>
      </c>
      <c r="G44" t="s">
        <v>101</v>
      </c>
      <c r="H44" t="s">
        <v>78</v>
      </c>
      <c r="I44" t="s">
        <v>540</v>
      </c>
      <c r="J44" t="s">
        <v>543</v>
      </c>
      <c r="K44" t="s">
        <v>102</v>
      </c>
      <c r="L44" t="s">
        <v>103</v>
      </c>
      <c r="M44" t="s">
        <v>81</v>
      </c>
      <c r="N44" t="s">
        <v>81</v>
      </c>
      <c r="O44" t="s">
        <v>62</v>
      </c>
      <c r="P44" t="s">
        <v>82</v>
      </c>
      <c r="Q44" t="s">
        <v>64</v>
      </c>
      <c r="R44" t="s">
        <v>83</v>
      </c>
      <c r="S44" t="s">
        <v>74</v>
      </c>
      <c r="T44" t="s">
        <v>64</v>
      </c>
      <c r="U44" t="s">
        <v>75</v>
      </c>
      <c r="V44">
        <v>365</v>
      </c>
      <c r="W44">
        <v>6</v>
      </c>
      <c r="X44" t="s">
        <v>67</v>
      </c>
      <c r="Y44" t="s">
        <v>96</v>
      </c>
      <c r="Z44">
        <v>8.25</v>
      </c>
      <c r="AA44">
        <v>0.01</v>
      </c>
      <c r="AB44" t="s">
        <v>67</v>
      </c>
      <c r="AC44">
        <v>377</v>
      </c>
      <c r="AD44">
        <v>7</v>
      </c>
      <c r="AE44" t="s">
        <v>67</v>
      </c>
      <c r="AF44">
        <v>8.25</v>
      </c>
      <c r="AG44">
        <v>0.01</v>
      </c>
      <c r="AH44" t="s">
        <v>67</v>
      </c>
      <c r="AI44">
        <v>14.4</v>
      </c>
      <c r="AJ44">
        <v>0.2</v>
      </c>
      <c r="AK44" t="s">
        <v>67</v>
      </c>
      <c r="AL44">
        <v>15.9</v>
      </c>
      <c r="AM44">
        <v>0.4</v>
      </c>
      <c r="AN44" t="s">
        <v>67</v>
      </c>
      <c r="AO44">
        <v>12</v>
      </c>
      <c r="AP44">
        <v>1.5</v>
      </c>
      <c r="AQ44" t="s">
        <v>275</v>
      </c>
      <c r="AR44" t="s">
        <v>166</v>
      </c>
      <c r="AS44" t="s">
        <v>166</v>
      </c>
      <c r="AT44" t="s">
        <v>135</v>
      </c>
      <c r="AU44" t="s">
        <v>89</v>
      </c>
      <c r="AV44" t="s">
        <v>132</v>
      </c>
      <c r="AW44" t="s">
        <v>132</v>
      </c>
      <c r="AX44" t="s">
        <v>73</v>
      </c>
      <c r="AY44">
        <v>102.42700000000001</v>
      </c>
      <c r="AZ44">
        <v>102.42700000000001</v>
      </c>
      <c r="BA44">
        <v>3.55</v>
      </c>
      <c r="BB44">
        <f>BA44*SQRT(BC44)</f>
        <v>7.9380413201242535</v>
      </c>
      <c r="BC44">
        <v>5</v>
      </c>
      <c r="BD44">
        <v>134.68299999999999</v>
      </c>
      <c r="BE44">
        <v>134.68299999999999</v>
      </c>
      <c r="BF44">
        <v>3.88</v>
      </c>
      <c r="BG44">
        <f>BF44*SQRT(BH44)</f>
        <v>8.6759437526991849</v>
      </c>
      <c r="BH44">
        <v>5</v>
      </c>
      <c r="BI44">
        <v>22</v>
      </c>
      <c r="BJ44">
        <v>5</v>
      </c>
      <c r="BK44">
        <v>0.27379999999999999</v>
      </c>
      <c r="BL44">
        <v>2E-3</v>
      </c>
    </row>
    <row r="45" spans="1:64" x14ac:dyDescent="0.2">
      <c r="A45">
        <v>243</v>
      </c>
      <c r="B45" t="str">
        <f>ROW()-1&amp;"_AltersFish"</f>
        <v>44_AltersFish</v>
      </c>
      <c r="C45" t="str">
        <f>A45 &amp; "_" &amp; P45 &amp; "_" &amp;
SUBSTITUTE(TRIM(L45)," ","_") &amp;
"_pH" &amp; TEXT(Z45,"0.00") &amp;
"_T" &amp; TEXT(AI45,"0.00") &amp;
"_CO2" &amp; TEXT(V45,"0") &amp;
"_LANG"</f>
        <v>243_LARVA_Rachycentron_canadum_pH0.00_T27.00_CO2608_LANG</v>
      </c>
      <c r="D45" t="s">
        <v>54</v>
      </c>
      <c r="E45">
        <v>2017</v>
      </c>
      <c r="F45" t="s">
        <v>302</v>
      </c>
      <c r="G45" t="s">
        <v>303</v>
      </c>
      <c r="H45" t="s">
        <v>78</v>
      </c>
      <c r="I45" t="s">
        <v>540</v>
      </c>
      <c r="J45" t="s">
        <v>543</v>
      </c>
      <c r="L45" t="s">
        <v>304</v>
      </c>
      <c r="P45" t="s">
        <v>107</v>
      </c>
      <c r="S45" t="s">
        <v>64</v>
      </c>
      <c r="T45" t="s">
        <v>64</v>
      </c>
      <c r="U45" t="s">
        <v>66</v>
      </c>
      <c r="V45">
        <v>608</v>
      </c>
      <c r="AC45">
        <v>2113</v>
      </c>
      <c r="AI45">
        <v>27</v>
      </c>
      <c r="AL45">
        <v>32</v>
      </c>
      <c r="AO45">
        <v>1505</v>
      </c>
      <c r="AP45">
        <v>5</v>
      </c>
      <c r="AQ45" t="s">
        <v>67</v>
      </c>
      <c r="AR45" t="s">
        <v>403</v>
      </c>
      <c r="AS45" t="s">
        <v>329</v>
      </c>
      <c r="AT45" t="s">
        <v>70</v>
      </c>
      <c r="AU45" t="s">
        <v>330</v>
      </c>
      <c r="AV45" t="s">
        <v>251</v>
      </c>
      <c r="AW45" t="s">
        <v>251</v>
      </c>
      <c r="AX45" t="s">
        <v>73</v>
      </c>
      <c r="AY45">
        <v>7.8194945850000002</v>
      </c>
      <c r="AZ45">
        <v>7.8194900000000001</v>
      </c>
      <c r="BA45">
        <v>0.77978339399999996</v>
      </c>
      <c r="BB45">
        <f>BA45*SQRT(BC45)</f>
        <v>1.3506244573064998</v>
      </c>
      <c r="BC45">
        <v>3</v>
      </c>
      <c r="BD45">
        <v>11.06859206</v>
      </c>
      <c r="BE45">
        <v>11.06859206</v>
      </c>
      <c r="BF45">
        <v>0.23826714800000001</v>
      </c>
      <c r="BG45">
        <f>BF45*SQRT(BH45)</f>
        <v>0.41269080611053321</v>
      </c>
      <c r="BH45">
        <v>3</v>
      </c>
      <c r="BI45">
        <v>18</v>
      </c>
      <c r="BK45">
        <v>0.34749999999999998</v>
      </c>
      <c r="BL45">
        <v>1.04E-2</v>
      </c>
    </row>
    <row r="46" spans="1:64" x14ac:dyDescent="0.2">
      <c r="A46">
        <v>243</v>
      </c>
      <c r="B46" t="str">
        <f>ROW()-1&amp;"_AltersFish"</f>
        <v>45_AltersFish</v>
      </c>
      <c r="C46" t="str">
        <f>A46 &amp; "_" &amp; P46 &amp; "_" &amp;
SUBSTITUTE(TRIM(L46)," ","_") &amp;
"_pH" &amp; TEXT(Z46,"0.00") &amp;
"_T" &amp; TEXT(AI46,"0.00") &amp;
"_CO2" &amp; TEXT(V46,"0") &amp;
"_LANG"</f>
        <v>243_LARVA_Rachycentron_canadum_pH0.00_T27.00_CO2608_LANG</v>
      </c>
      <c r="D46" t="s">
        <v>54</v>
      </c>
      <c r="E46">
        <v>2017</v>
      </c>
      <c r="F46" t="s">
        <v>302</v>
      </c>
      <c r="G46" t="s">
        <v>303</v>
      </c>
      <c r="H46" t="s">
        <v>78</v>
      </c>
      <c r="I46" t="s">
        <v>540</v>
      </c>
      <c r="J46" t="s">
        <v>543</v>
      </c>
      <c r="L46" t="s">
        <v>304</v>
      </c>
      <c r="P46" t="s">
        <v>107</v>
      </c>
      <c r="S46" t="s">
        <v>74</v>
      </c>
      <c r="T46" t="s">
        <v>64</v>
      </c>
      <c r="U46" t="s">
        <v>75</v>
      </c>
      <c r="V46">
        <v>608</v>
      </c>
      <c r="AC46">
        <v>745</v>
      </c>
      <c r="AI46">
        <v>27</v>
      </c>
      <c r="AL46">
        <v>32</v>
      </c>
      <c r="AO46">
        <v>137</v>
      </c>
      <c r="AP46">
        <v>5</v>
      </c>
      <c r="AQ46" t="s">
        <v>67</v>
      </c>
      <c r="AR46" t="s">
        <v>403</v>
      </c>
      <c r="AS46" t="s">
        <v>329</v>
      </c>
      <c r="AT46" t="s">
        <v>70</v>
      </c>
      <c r="AU46" t="s">
        <v>330</v>
      </c>
      <c r="AV46" t="s">
        <v>251</v>
      </c>
      <c r="AW46" t="s">
        <v>251</v>
      </c>
      <c r="AX46" t="s">
        <v>73</v>
      </c>
      <c r="AY46">
        <v>7.8194945850000002</v>
      </c>
      <c r="AZ46">
        <v>7.8194900000000001</v>
      </c>
      <c r="BA46">
        <v>0.77978339399999996</v>
      </c>
      <c r="BB46">
        <f>BA46*SQRT(BC46)</f>
        <v>1.3506244573064998</v>
      </c>
      <c r="BC46">
        <v>3</v>
      </c>
      <c r="BD46">
        <v>10.722021659999999</v>
      </c>
      <c r="BE46">
        <v>10.722021659999999</v>
      </c>
      <c r="BF46">
        <v>0.69314079399999995</v>
      </c>
      <c r="BG46">
        <f>BF46*SQRT(BH46)</f>
        <v>1.2005550720066327</v>
      </c>
      <c r="BH46">
        <v>3</v>
      </c>
      <c r="BI46">
        <v>18</v>
      </c>
      <c r="BK46">
        <v>0.31569999999999998</v>
      </c>
      <c r="BL46">
        <v>1.41E-2</v>
      </c>
    </row>
    <row r="47" spans="1:64" x14ac:dyDescent="0.2">
      <c r="A47">
        <v>243</v>
      </c>
      <c r="B47" t="str">
        <f>ROW()-1&amp;"_AltersFish"</f>
        <v>46_AltersFish</v>
      </c>
      <c r="C47" t="str">
        <f>A47 &amp; "_" &amp; P47 &amp; "_" &amp;
SUBSTITUTE(TRIM(L47)," ","_") &amp;
"_pH" &amp; TEXT(Z47,"0.00") &amp;
"_T" &amp; TEXT(AI47,"0.00") &amp;
"_CO2" &amp; TEXT(V47,"0") &amp;
"_LANG"</f>
        <v>243_LARVA_Rachycentron_canadum_pH0.00_T27.00_CO2608_LANG</v>
      </c>
      <c r="D47" t="s">
        <v>54</v>
      </c>
      <c r="E47">
        <v>2017</v>
      </c>
      <c r="F47" t="s">
        <v>302</v>
      </c>
      <c r="G47" t="s">
        <v>303</v>
      </c>
      <c r="H47" t="s">
        <v>78</v>
      </c>
      <c r="I47" t="s">
        <v>540</v>
      </c>
      <c r="J47" t="s">
        <v>543</v>
      </c>
      <c r="L47" t="s">
        <v>304</v>
      </c>
      <c r="P47" t="s">
        <v>107</v>
      </c>
      <c r="S47" t="s">
        <v>64</v>
      </c>
      <c r="T47" t="s">
        <v>74</v>
      </c>
      <c r="U47" t="s">
        <v>84</v>
      </c>
      <c r="V47">
        <v>608</v>
      </c>
      <c r="AC47">
        <v>1767</v>
      </c>
      <c r="AI47">
        <v>27</v>
      </c>
      <c r="AL47">
        <v>27</v>
      </c>
      <c r="AO47">
        <v>1159</v>
      </c>
      <c r="AP47">
        <v>0</v>
      </c>
      <c r="AQ47" t="s">
        <v>67</v>
      </c>
      <c r="AR47" t="s">
        <v>403</v>
      </c>
      <c r="AS47" t="s">
        <v>329</v>
      </c>
      <c r="AT47" t="s">
        <v>70</v>
      </c>
      <c r="AU47" t="s">
        <v>330</v>
      </c>
      <c r="AV47" t="s">
        <v>251</v>
      </c>
      <c r="AW47" t="s">
        <v>251</v>
      </c>
      <c r="AX47" t="s">
        <v>73</v>
      </c>
      <c r="AY47">
        <v>7.8194945850000002</v>
      </c>
      <c r="AZ47">
        <v>7.8194900000000001</v>
      </c>
      <c r="BA47">
        <v>0.77978339399999996</v>
      </c>
      <c r="BB47">
        <f>BA47*SQRT(BC47)</f>
        <v>1.3506244573064998</v>
      </c>
      <c r="BC47">
        <v>3</v>
      </c>
      <c r="BD47">
        <v>6.866425993</v>
      </c>
      <c r="BE47">
        <v>6.866425993</v>
      </c>
      <c r="BF47">
        <v>1.1263537910000001</v>
      </c>
      <c r="BG47">
        <f>BF47*SQRT(BH47)</f>
        <v>1.9509019933098164</v>
      </c>
      <c r="BH47">
        <v>3</v>
      </c>
      <c r="BI47">
        <v>18</v>
      </c>
      <c r="BK47">
        <v>-0.13</v>
      </c>
      <c r="BL47">
        <v>3.6900000000000002E-2</v>
      </c>
    </row>
    <row r="48" spans="1:64" x14ac:dyDescent="0.2">
      <c r="A48">
        <v>243</v>
      </c>
      <c r="B48" t="str">
        <f>ROW()-1&amp;"_AltersFish"</f>
        <v>47_AltersFish</v>
      </c>
      <c r="C48" t="str">
        <f>A48 &amp; "_" &amp; P48 &amp; "_" &amp;
SUBSTITUTE(TRIM(L48)," ","_") &amp;
"_pH" &amp; TEXT(Z48,"0.00") &amp;
"_T" &amp; TEXT(AI48,"0.00") &amp;
"_CO2" &amp; TEXT(V48,"0") &amp;
"_LANG"</f>
        <v>243_LARVA_Rachycentron_canadum_pH0.00_T27.00_CO2608_LANG</v>
      </c>
      <c r="D48" t="s">
        <v>54</v>
      </c>
      <c r="E48">
        <v>2017</v>
      </c>
      <c r="F48" t="s">
        <v>302</v>
      </c>
      <c r="G48" t="s">
        <v>303</v>
      </c>
      <c r="H48" t="s">
        <v>78</v>
      </c>
      <c r="I48" t="s">
        <v>540</v>
      </c>
      <c r="J48" t="s">
        <v>543</v>
      </c>
      <c r="L48" t="s">
        <v>304</v>
      </c>
      <c r="P48" t="s">
        <v>107</v>
      </c>
      <c r="S48" t="s">
        <v>74</v>
      </c>
      <c r="T48" t="s">
        <v>64</v>
      </c>
      <c r="U48" t="s">
        <v>75</v>
      </c>
      <c r="V48">
        <v>608</v>
      </c>
      <c r="AC48">
        <v>745</v>
      </c>
      <c r="AI48">
        <v>27</v>
      </c>
      <c r="AL48">
        <v>32</v>
      </c>
      <c r="AO48">
        <v>137</v>
      </c>
      <c r="AP48">
        <v>5</v>
      </c>
      <c r="AQ48" t="s">
        <v>67</v>
      </c>
      <c r="AR48" t="s">
        <v>98</v>
      </c>
      <c r="AS48" t="s">
        <v>98</v>
      </c>
      <c r="AT48" t="s">
        <v>70</v>
      </c>
      <c r="AU48" t="s">
        <v>109</v>
      </c>
      <c r="AV48" t="s">
        <v>72</v>
      </c>
      <c r="AW48" t="s">
        <v>72</v>
      </c>
      <c r="AX48" t="s">
        <v>73</v>
      </c>
      <c r="AY48">
        <v>17.054913289999998</v>
      </c>
      <c r="AZ48">
        <v>17.05491</v>
      </c>
      <c r="BA48">
        <v>0.78218574900000004</v>
      </c>
      <c r="BB48">
        <f>BA48*SQRT(BC48)</f>
        <v>1.3547854582243171</v>
      </c>
      <c r="BC48">
        <v>3</v>
      </c>
      <c r="BD48">
        <v>21.115401540000001</v>
      </c>
      <c r="BE48">
        <v>21.115401540000001</v>
      </c>
      <c r="BF48">
        <v>0.335314055</v>
      </c>
      <c r="BG48">
        <f>BF48*SQRT(BH48)</f>
        <v>0.58078097975194487</v>
      </c>
      <c r="BH48">
        <v>3</v>
      </c>
      <c r="BI48">
        <v>18</v>
      </c>
      <c r="BK48">
        <v>0.21360000000000001</v>
      </c>
      <c r="BL48">
        <v>2.3999999999999998E-3</v>
      </c>
    </row>
    <row r="49" spans="1:65" x14ac:dyDescent="0.2">
      <c r="A49">
        <v>243</v>
      </c>
      <c r="B49" t="str">
        <f>ROW()-1&amp;"_AltersFish"</f>
        <v>48_AltersFish</v>
      </c>
      <c r="C49" t="str">
        <f>A49 &amp; "_" &amp; P49 &amp; "_" &amp;
SUBSTITUTE(TRIM(L49)," ","_") &amp;
"_pH" &amp; TEXT(Z49,"0.00") &amp;
"_T" &amp; TEXT(AI49,"0.00") &amp;
"_CO2" &amp; TEXT(V49,"0") &amp;
"_LANG"</f>
        <v>243_LARVA_Rachycentron_canadum_pH0.00_T27.00_CO2608_LANG</v>
      </c>
      <c r="D49" t="s">
        <v>54</v>
      </c>
      <c r="E49">
        <v>2017</v>
      </c>
      <c r="F49" t="s">
        <v>302</v>
      </c>
      <c r="G49" t="s">
        <v>303</v>
      </c>
      <c r="H49" t="s">
        <v>78</v>
      </c>
      <c r="I49" t="s">
        <v>540</v>
      </c>
      <c r="J49" t="s">
        <v>543</v>
      </c>
      <c r="L49" t="s">
        <v>304</v>
      </c>
      <c r="P49" t="s">
        <v>107</v>
      </c>
      <c r="S49" t="s">
        <v>64</v>
      </c>
      <c r="T49" t="s">
        <v>64</v>
      </c>
      <c r="U49" t="s">
        <v>66</v>
      </c>
      <c r="V49">
        <v>608</v>
      </c>
      <c r="AC49">
        <v>2113</v>
      </c>
      <c r="AI49">
        <v>27</v>
      </c>
      <c r="AL49">
        <v>32</v>
      </c>
      <c r="AO49">
        <v>1505</v>
      </c>
      <c r="AP49">
        <v>5</v>
      </c>
      <c r="AQ49" t="s">
        <v>67</v>
      </c>
      <c r="AR49" t="s">
        <v>98</v>
      </c>
      <c r="AS49" t="s">
        <v>98</v>
      </c>
      <c r="AT49" t="s">
        <v>70</v>
      </c>
      <c r="AU49" t="s">
        <v>109</v>
      </c>
      <c r="AV49" t="s">
        <v>72</v>
      </c>
      <c r="AW49" t="s">
        <v>72</v>
      </c>
      <c r="AX49" t="s">
        <v>73</v>
      </c>
      <c r="AY49">
        <v>17.054913289999998</v>
      </c>
      <c r="AZ49">
        <v>17.05491</v>
      </c>
      <c r="BA49">
        <v>0.78218574900000004</v>
      </c>
      <c r="BB49">
        <f>BA49*SQRT(BC49)</f>
        <v>1.3547854582243171</v>
      </c>
      <c r="BC49">
        <v>3</v>
      </c>
      <c r="BD49">
        <v>20.926965880000001</v>
      </c>
      <c r="BE49">
        <v>20.926965880000001</v>
      </c>
      <c r="BF49">
        <v>0.48423242900000002</v>
      </c>
      <c r="BG49">
        <f>BF49*SQRT(BH49)</f>
        <v>0.83871516970048898</v>
      </c>
      <c r="BH49">
        <v>3</v>
      </c>
      <c r="BI49">
        <v>18</v>
      </c>
      <c r="BK49">
        <v>0.2046</v>
      </c>
      <c r="BL49">
        <v>2.5999999999999999E-3</v>
      </c>
    </row>
    <row r="50" spans="1:65" x14ac:dyDescent="0.2">
      <c r="A50">
        <v>243</v>
      </c>
      <c r="B50" t="str">
        <f>ROW()-1&amp;"_AltersFish"</f>
        <v>49_AltersFish</v>
      </c>
      <c r="C50" t="str">
        <f>A50 &amp; "_" &amp; P50 &amp; "_" &amp;
SUBSTITUTE(TRIM(L50)," ","_") &amp;
"_pH" &amp; TEXT(Z50,"0.00") &amp;
"_T" &amp; TEXT(AI50,"0.00") &amp;
"_CO2" &amp; TEXT(V50,"0") &amp;
"_LANG"</f>
        <v>243_LARVA_Rachycentron_canadum_pH0.00_T27.00_CO2608_LANG</v>
      </c>
      <c r="D50" t="s">
        <v>54</v>
      </c>
      <c r="E50">
        <v>2017</v>
      </c>
      <c r="F50" t="s">
        <v>302</v>
      </c>
      <c r="G50" t="s">
        <v>303</v>
      </c>
      <c r="H50" t="s">
        <v>78</v>
      </c>
      <c r="I50" t="s">
        <v>540</v>
      </c>
      <c r="J50" t="s">
        <v>543</v>
      </c>
      <c r="L50" t="s">
        <v>304</v>
      </c>
      <c r="P50" t="s">
        <v>107</v>
      </c>
      <c r="S50" t="s">
        <v>64</v>
      </c>
      <c r="T50" t="s">
        <v>74</v>
      </c>
      <c r="U50" t="s">
        <v>84</v>
      </c>
      <c r="V50">
        <v>608</v>
      </c>
      <c r="AC50">
        <v>1767</v>
      </c>
      <c r="AI50">
        <v>27</v>
      </c>
      <c r="AL50">
        <v>27</v>
      </c>
      <c r="AO50">
        <v>1159</v>
      </c>
      <c r="AP50">
        <v>0</v>
      </c>
      <c r="AQ50" t="s">
        <v>67</v>
      </c>
      <c r="AR50" t="s">
        <v>98</v>
      </c>
      <c r="AS50" t="s">
        <v>98</v>
      </c>
      <c r="AT50" t="s">
        <v>70</v>
      </c>
      <c r="AU50" t="s">
        <v>109</v>
      </c>
      <c r="AV50" t="s">
        <v>72</v>
      </c>
      <c r="AW50" t="s">
        <v>72</v>
      </c>
      <c r="AX50" t="s">
        <v>73</v>
      </c>
      <c r="AY50">
        <v>17.054913289999998</v>
      </c>
      <c r="AZ50">
        <v>17.05491</v>
      </c>
      <c r="BA50">
        <v>0.78218574900000004</v>
      </c>
      <c r="BB50">
        <f>BA50*SQRT(BC50)</f>
        <v>1.3547854582243171</v>
      </c>
      <c r="BC50">
        <v>3</v>
      </c>
      <c r="BD50">
        <v>12.58310724</v>
      </c>
      <c r="BE50">
        <v>12.58310724</v>
      </c>
      <c r="BF50">
        <v>0.85661579399999999</v>
      </c>
      <c r="BG50">
        <f>BF50*SQRT(BH50)</f>
        <v>1.4837020777739549</v>
      </c>
      <c r="BH50">
        <v>3</v>
      </c>
      <c r="BI50">
        <v>18</v>
      </c>
      <c r="BK50">
        <v>-0.30409999999999998</v>
      </c>
      <c r="BL50">
        <v>6.7000000000000002E-3</v>
      </c>
    </row>
    <row r="51" spans="1:65" hidden="1" x14ac:dyDescent="0.2">
      <c r="A51">
        <v>170</v>
      </c>
      <c r="D51" t="s">
        <v>54</v>
      </c>
      <c r="E51">
        <v>2014</v>
      </c>
      <c r="F51" t="s">
        <v>55</v>
      </c>
      <c r="G51" t="s">
        <v>56</v>
      </c>
      <c r="H51" t="s">
        <v>57</v>
      </c>
      <c r="K51" t="s">
        <v>58</v>
      </c>
      <c r="L51" t="s">
        <v>59</v>
      </c>
      <c r="M51" t="s">
        <v>60</v>
      </c>
      <c r="N51" t="s">
        <v>61</v>
      </c>
      <c r="O51" t="s">
        <v>62</v>
      </c>
      <c r="P51" t="s">
        <v>63</v>
      </c>
      <c r="Q51" t="s">
        <v>64</v>
      </c>
      <c r="R51" t="s">
        <v>65</v>
      </c>
      <c r="S51" t="s">
        <v>74</v>
      </c>
      <c r="T51" t="s">
        <v>64</v>
      </c>
      <c r="U51" t="s">
        <v>75</v>
      </c>
      <c r="V51">
        <v>371.86</v>
      </c>
      <c r="W51" t="s">
        <v>67</v>
      </c>
      <c r="X51">
        <v>51.93</v>
      </c>
      <c r="Y51" t="s">
        <v>68</v>
      </c>
      <c r="Z51">
        <v>8.02</v>
      </c>
      <c r="AA51" t="s">
        <v>67</v>
      </c>
      <c r="AB51">
        <v>0.05</v>
      </c>
      <c r="AC51">
        <v>382.16</v>
      </c>
      <c r="AD51" t="s">
        <v>67</v>
      </c>
      <c r="AE51">
        <v>87.53</v>
      </c>
      <c r="AF51">
        <v>8</v>
      </c>
      <c r="AG51" t="s">
        <v>67</v>
      </c>
      <c r="AH51">
        <v>7.0000000000000007E-2</v>
      </c>
      <c r="AI51">
        <v>25.9</v>
      </c>
      <c r="AJ51" t="s">
        <v>67</v>
      </c>
      <c r="AK51">
        <v>0.7</v>
      </c>
      <c r="AL51">
        <v>29.9</v>
      </c>
      <c r="AM51" t="s">
        <v>67</v>
      </c>
      <c r="AN51">
        <v>0.2</v>
      </c>
      <c r="AO51">
        <v>10</v>
      </c>
      <c r="AP51">
        <v>4</v>
      </c>
      <c r="AQ51" t="s">
        <v>67</v>
      </c>
      <c r="AR51" t="s">
        <v>87</v>
      </c>
      <c r="AS51" t="s">
        <v>88</v>
      </c>
      <c r="AT51" t="s">
        <v>70</v>
      </c>
      <c r="AU51" t="s">
        <v>89</v>
      </c>
      <c r="AV51" t="s">
        <v>88</v>
      </c>
      <c r="AX51" t="s">
        <v>90</v>
      </c>
      <c r="AY51">
        <v>100</v>
      </c>
      <c r="AZ51">
        <v>100</v>
      </c>
      <c r="BA51">
        <v>0</v>
      </c>
      <c r="BC51">
        <v>5</v>
      </c>
      <c r="BD51">
        <v>71.116299999999995</v>
      </c>
      <c r="BE51">
        <v>71.116279070000004</v>
      </c>
      <c r="BF51">
        <v>0.56159999999999999</v>
      </c>
      <c r="BH51">
        <v>5</v>
      </c>
      <c r="BI51">
        <v>130</v>
      </c>
      <c r="BJ51">
        <v>3</v>
      </c>
      <c r="BK51">
        <v>-0.34089999999999998</v>
      </c>
      <c r="BL51">
        <v>1E-4</v>
      </c>
      <c r="BM51" t="s">
        <v>147</v>
      </c>
    </row>
    <row r="52" spans="1:65" hidden="1" x14ac:dyDescent="0.2">
      <c r="A52">
        <v>170</v>
      </c>
      <c r="C52" t="s">
        <v>549</v>
      </c>
      <c r="D52" t="s">
        <v>54</v>
      </c>
      <c r="E52">
        <v>2014</v>
      </c>
      <c r="F52" t="s">
        <v>55</v>
      </c>
      <c r="G52" t="s">
        <v>56</v>
      </c>
      <c r="H52" t="s">
        <v>57</v>
      </c>
      <c r="K52" t="s">
        <v>58</v>
      </c>
      <c r="L52" t="s">
        <v>59</v>
      </c>
      <c r="M52" t="s">
        <v>60</v>
      </c>
      <c r="N52" t="s">
        <v>61</v>
      </c>
      <c r="O52" t="s">
        <v>62</v>
      </c>
      <c r="P52" t="s">
        <v>82</v>
      </c>
      <c r="Q52" t="s">
        <v>64</v>
      </c>
      <c r="R52" t="s">
        <v>65</v>
      </c>
      <c r="S52" t="s">
        <v>64</v>
      </c>
      <c r="T52" t="s">
        <v>64</v>
      </c>
      <c r="U52" t="s">
        <v>66</v>
      </c>
      <c r="V52">
        <v>371.86</v>
      </c>
      <c r="W52" t="s">
        <v>67</v>
      </c>
      <c r="X52">
        <v>51.93</v>
      </c>
      <c r="Y52" t="s">
        <v>68</v>
      </c>
      <c r="Z52">
        <v>8.02</v>
      </c>
      <c r="AA52" t="s">
        <v>67</v>
      </c>
      <c r="AB52">
        <v>0.05</v>
      </c>
      <c r="AC52">
        <v>1481.1</v>
      </c>
      <c r="AD52" t="s">
        <v>67</v>
      </c>
      <c r="AE52">
        <v>107.72</v>
      </c>
      <c r="AF52">
        <v>7.49</v>
      </c>
      <c r="AG52" t="s">
        <v>67</v>
      </c>
      <c r="AH52">
        <v>0.03</v>
      </c>
      <c r="AI52">
        <v>25.9</v>
      </c>
      <c r="AJ52" t="s">
        <v>67</v>
      </c>
      <c r="AK52">
        <v>0.7</v>
      </c>
      <c r="AL52">
        <v>30.1</v>
      </c>
      <c r="AM52" t="s">
        <v>67</v>
      </c>
      <c r="AN52">
        <v>0.5</v>
      </c>
      <c r="AO52">
        <v>1109</v>
      </c>
      <c r="AP52">
        <v>4.2</v>
      </c>
      <c r="AQ52" t="s">
        <v>67</v>
      </c>
      <c r="AR52" t="s">
        <v>87</v>
      </c>
      <c r="AS52" t="s">
        <v>88</v>
      </c>
      <c r="AT52" t="s">
        <v>70</v>
      </c>
      <c r="AU52" t="s">
        <v>89</v>
      </c>
      <c r="AV52" t="s">
        <v>88</v>
      </c>
      <c r="AW52" t="s">
        <v>88</v>
      </c>
      <c r="AX52" t="s">
        <v>90</v>
      </c>
      <c r="AY52">
        <v>100</v>
      </c>
      <c r="AZ52">
        <v>100</v>
      </c>
      <c r="BA52">
        <v>0</v>
      </c>
      <c r="BC52">
        <v>5</v>
      </c>
      <c r="BD52">
        <v>88.571399999999997</v>
      </c>
      <c r="BE52">
        <v>88.571428569999995</v>
      </c>
      <c r="BF52">
        <v>0.47460000000000002</v>
      </c>
      <c r="BH52">
        <v>5</v>
      </c>
      <c r="BI52">
        <v>90</v>
      </c>
      <c r="BJ52">
        <v>3</v>
      </c>
      <c r="BK52">
        <v>-0.12139999999999999</v>
      </c>
      <c r="BL52">
        <v>1E-4</v>
      </c>
      <c r="BM52" t="s">
        <v>147</v>
      </c>
    </row>
    <row r="53" spans="1:65" x14ac:dyDescent="0.2">
      <c r="A53">
        <v>243</v>
      </c>
      <c r="B53" t="str">
        <f>ROW()-1&amp;"_AltersFish"</f>
        <v>52_AltersFish</v>
      </c>
      <c r="C53" t="str">
        <f>A53 &amp; "_" &amp; P53 &amp; "_" &amp;
SUBSTITUTE(TRIM(L53)," ","_") &amp;
"_pH" &amp; TEXT(Z53,"0.00") &amp;
"_T" &amp; TEXT(AI53,"0.00") &amp;
"_CO2" &amp; TEXT(V53,"0") &amp;
"_LANG"</f>
        <v>243_LARVA_Rachycentron_canadum_pH0.00_T27.00_CO2608_LANG</v>
      </c>
      <c r="D53" t="s">
        <v>54</v>
      </c>
      <c r="E53">
        <v>2017</v>
      </c>
      <c r="F53" t="s">
        <v>302</v>
      </c>
      <c r="G53" t="s">
        <v>303</v>
      </c>
      <c r="H53" t="s">
        <v>78</v>
      </c>
      <c r="I53" t="s">
        <v>540</v>
      </c>
      <c r="J53" t="s">
        <v>543</v>
      </c>
      <c r="L53" t="s">
        <v>304</v>
      </c>
      <c r="P53" t="s">
        <v>107</v>
      </c>
      <c r="S53" t="s">
        <v>74</v>
      </c>
      <c r="T53" t="s">
        <v>64</v>
      </c>
      <c r="U53" t="s">
        <v>75</v>
      </c>
      <c r="V53">
        <v>608</v>
      </c>
      <c r="AC53">
        <v>745</v>
      </c>
      <c r="AI53">
        <v>27</v>
      </c>
      <c r="AL53">
        <v>32</v>
      </c>
      <c r="AO53">
        <v>137</v>
      </c>
      <c r="AP53">
        <v>5</v>
      </c>
      <c r="AQ53" t="s">
        <v>67</v>
      </c>
      <c r="AR53" t="s">
        <v>529</v>
      </c>
      <c r="AS53" t="s">
        <v>105</v>
      </c>
      <c r="AT53" t="s">
        <v>70</v>
      </c>
      <c r="AU53" t="s">
        <v>89</v>
      </c>
      <c r="AV53" t="s">
        <v>88</v>
      </c>
      <c r="AW53" t="s">
        <v>11</v>
      </c>
      <c r="AX53" t="s">
        <v>90</v>
      </c>
      <c r="AY53">
        <v>45.313569540000003</v>
      </c>
      <c r="AZ53">
        <v>45.313569999999999</v>
      </c>
      <c r="BA53">
        <v>13.983499999999999</v>
      </c>
      <c r="BB53">
        <f>BA53*SQRT(BC53)</f>
        <v>24.220132467639392</v>
      </c>
      <c r="BC53">
        <v>3</v>
      </c>
      <c r="BD53">
        <v>73.265914800000004</v>
      </c>
      <c r="BE53">
        <v>73.265914800000004</v>
      </c>
      <c r="BF53">
        <v>5.4711692039999997</v>
      </c>
      <c r="BG53">
        <f>BF53*SQRT(BH53)</f>
        <v>9.4763430381341713</v>
      </c>
      <c r="BH53">
        <v>3</v>
      </c>
      <c r="BI53">
        <v>18</v>
      </c>
      <c r="BK53">
        <v>0.48049999999999998</v>
      </c>
      <c r="BL53">
        <v>0.1008</v>
      </c>
    </row>
    <row r="54" spans="1:65" x14ac:dyDescent="0.2">
      <c r="A54">
        <v>243</v>
      </c>
      <c r="B54" t="str">
        <f>ROW()-1&amp;"_AltersFish"</f>
        <v>53_AltersFish</v>
      </c>
      <c r="C54" t="str">
        <f>A54 &amp; "_" &amp; P54 &amp; "_" &amp;
SUBSTITUTE(TRIM(L54)," ","_") &amp;
"_pH" &amp; TEXT(Z54,"0.00") &amp;
"_T" &amp; TEXT(AI54,"0.00") &amp;
"_CO2" &amp; TEXT(V54,"0") &amp;
"_LANG"</f>
        <v>243_LARVA_Rachycentron_canadum_pH0.00_T27.00_CO2608_LANG</v>
      </c>
      <c r="D54" t="s">
        <v>54</v>
      </c>
      <c r="E54">
        <v>2017</v>
      </c>
      <c r="F54" t="s">
        <v>302</v>
      </c>
      <c r="G54" t="s">
        <v>303</v>
      </c>
      <c r="H54" t="s">
        <v>78</v>
      </c>
      <c r="I54" t="s">
        <v>540</v>
      </c>
      <c r="J54" t="s">
        <v>543</v>
      </c>
      <c r="L54" t="s">
        <v>304</v>
      </c>
      <c r="P54" t="s">
        <v>107</v>
      </c>
      <c r="S54" t="s">
        <v>64</v>
      </c>
      <c r="T54" t="s">
        <v>64</v>
      </c>
      <c r="U54" t="s">
        <v>66</v>
      </c>
      <c r="V54">
        <v>608</v>
      </c>
      <c r="AC54">
        <v>2113</v>
      </c>
      <c r="AI54">
        <v>27</v>
      </c>
      <c r="AL54">
        <v>32</v>
      </c>
      <c r="AO54">
        <v>1505</v>
      </c>
      <c r="AP54">
        <v>5</v>
      </c>
      <c r="AQ54" t="s">
        <v>67</v>
      </c>
      <c r="AR54" t="s">
        <v>529</v>
      </c>
      <c r="AS54" t="s">
        <v>105</v>
      </c>
      <c r="AT54" t="s">
        <v>70</v>
      </c>
      <c r="AU54" t="s">
        <v>89</v>
      </c>
      <c r="AV54" t="s">
        <v>88</v>
      </c>
      <c r="AW54" t="s">
        <v>11</v>
      </c>
      <c r="AX54" t="s">
        <v>90</v>
      </c>
      <c r="AY54">
        <v>45.313569540000003</v>
      </c>
      <c r="AZ54">
        <v>45.313569999999999</v>
      </c>
      <c r="BA54">
        <v>13.983499999999999</v>
      </c>
      <c r="BB54">
        <f>BA54*SQRT(BC54)</f>
        <v>24.220132467639392</v>
      </c>
      <c r="BC54">
        <v>3</v>
      </c>
      <c r="BD54">
        <v>48.369405780000001</v>
      </c>
      <c r="BE54">
        <v>48.369405780000001</v>
      </c>
      <c r="BF54">
        <v>12.15163467</v>
      </c>
      <c r="BG54">
        <f>BF54*SQRT(BH54)</f>
        <v>21.047248643455468</v>
      </c>
      <c r="BH54">
        <v>3</v>
      </c>
      <c r="BI54">
        <v>18</v>
      </c>
      <c r="BK54">
        <v>6.5299999999999997E-2</v>
      </c>
      <c r="BL54">
        <v>0.1583</v>
      </c>
    </row>
    <row r="55" spans="1:65" hidden="1" x14ac:dyDescent="0.2">
      <c r="A55">
        <v>170</v>
      </c>
      <c r="C55" t="s">
        <v>549</v>
      </c>
      <c r="D55" t="s">
        <v>54</v>
      </c>
      <c r="E55">
        <v>2014</v>
      </c>
      <c r="F55" t="s">
        <v>55</v>
      </c>
      <c r="G55" t="s">
        <v>56</v>
      </c>
      <c r="H55" t="s">
        <v>57</v>
      </c>
      <c r="K55" t="s">
        <v>58</v>
      </c>
      <c r="L55" t="s">
        <v>59</v>
      </c>
      <c r="M55" t="s">
        <v>60</v>
      </c>
      <c r="N55" t="s">
        <v>61</v>
      </c>
      <c r="O55" t="s">
        <v>62</v>
      </c>
      <c r="P55" t="s">
        <v>82</v>
      </c>
      <c r="Q55" t="s">
        <v>64</v>
      </c>
      <c r="R55" t="s">
        <v>65</v>
      </c>
      <c r="S55" t="s">
        <v>64</v>
      </c>
      <c r="T55" t="s">
        <v>74</v>
      </c>
      <c r="U55" t="s">
        <v>84</v>
      </c>
      <c r="V55">
        <v>371.86</v>
      </c>
      <c r="W55" t="s">
        <v>67</v>
      </c>
      <c r="X55">
        <v>51.93</v>
      </c>
      <c r="Y55" t="s">
        <v>68</v>
      </c>
      <c r="Z55">
        <v>8.02</v>
      </c>
      <c r="AA55" t="s">
        <v>67</v>
      </c>
      <c r="AB55">
        <v>0.05</v>
      </c>
      <c r="AC55">
        <v>1383.81</v>
      </c>
      <c r="AD55" t="s">
        <v>67</v>
      </c>
      <c r="AE55">
        <v>113.55</v>
      </c>
      <c r="AF55">
        <v>7.52</v>
      </c>
      <c r="AG55" t="s">
        <v>67</v>
      </c>
      <c r="AH55">
        <v>0.04</v>
      </c>
      <c r="AI55">
        <v>25.9</v>
      </c>
      <c r="AJ55" t="s">
        <v>67</v>
      </c>
      <c r="AK55">
        <v>0.7</v>
      </c>
      <c r="AL55">
        <v>26.2</v>
      </c>
      <c r="AM55" t="s">
        <v>67</v>
      </c>
      <c r="AN55">
        <v>0.5</v>
      </c>
      <c r="AO55">
        <v>1012</v>
      </c>
      <c r="AP55">
        <v>0.3</v>
      </c>
      <c r="AQ55" t="s">
        <v>67</v>
      </c>
      <c r="AR55" t="s">
        <v>87</v>
      </c>
      <c r="AS55" t="s">
        <v>88</v>
      </c>
      <c r="AT55" t="s">
        <v>70</v>
      </c>
      <c r="AU55" t="s">
        <v>89</v>
      </c>
      <c r="AV55" t="s">
        <v>88</v>
      </c>
      <c r="AW55" t="s">
        <v>88</v>
      </c>
      <c r="AX55" t="s">
        <v>90</v>
      </c>
      <c r="AY55">
        <v>100</v>
      </c>
      <c r="AZ55">
        <v>100</v>
      </c>
      <c r="BA55">
        <v>0</v>
      </c>
      <c r="BC55">
        <v>5</v>
      </c>
      <c r="BD55">
        <v>100</v>
      </c>
      <c r="BE55">
        <v>100</v>
      </c>
      <c r="BF55">
        <v>0.40500000000000003</v>
      </c>
      <c r="BH55">
        <v>5</v>
      </c>
      <c r="BI55">
        <v>90</v>
      </c>
      <c r="BJ55">
        <v>3</v>
      </c>
      <c r="BK55">
        <v>0</v>
      </c>
      <c r="BL55">
        <v>1E-4</v>
      </c>
      <c r="BM55" t="s">
        <v>148</v>
      </c>
    </row>
    <row r="56" spans="1:65" x14ac:dyDescent="0.2">
      <c r="A56">
        <v>243</v>
      </c>
      <c r="B56" t="str">
        <f>ROW()-1&amp;"_AltersFish"</f>
        <v>55_AltersFish</v>
      </c>
      <c r="C56" t="str">
        <f>A56 &amp; "_" &amp; P56 &amp; "_" &amp;
SUBSTITUTE(TRIM(L56)," ","_") &amp;
"_pH" &amp; TEXT(Z56,"0.00") &amp;
"_T" &amp; TEXT(AI56,"0.00") &amp;
"_CO2" &amp; TEXT(V56,"0") &amp;
"_LANG"</f>
        <v>243_LARVA_Rachycentron_canadum_pH0.00_T27.00_CO2608_LANG</v>
      </c>
      <c r="D56" t="s">
        <v>54</v>
      </c>
      <c r="E56">
        <v>2017</v>
      </c>
      <c r="F56" t="s">
        <v>302</v>
      </c>
      <c r="G56" t="s">
        <v>303</v>
      </c>
      <c r="H56" t="s">
        <v>78</v>
      </c>
      <c r="I56" t="s">
        <v>540</v>
      </c>
      <c r="J56" t="s">
        <v>543</v>
      </c>
      <c r="L56" t="s">
        <v>304</v>
      </c>
      <c r="P56" t="s">
        <v>107</v>
      </c>
      <c r="S56" t="s">
        <v>64</v>
      </c>
      <c r="T56" t="s">
        <v>74</v>
      </c>
      <c r="U56" t="s">
        <v>84</v>
      </c>
      <c r="V56">
        <v>608</v>
      </c>
      <c r="AC56">
        <v>1767</v>
      </c>
      <c r="AI56">
        <v>27</v>
      </c>
      <c r="AL56">
        <v>27</v>
      </c>
      <c r="AO56">
        <v>1159</v>
      </c>
      <c r="AP56">
        <v>0</v>
      </c>
      <c r="AQ56" t="s">
        <v>67</v>
      </c>
      <c r="AR56" t="s">
        <v>529</v>
      </c>
      <c r="AS56" t="s">
        <v>105</v>
      </c>
      <c r="AT56" t="s">
        <v>70</v>
      </c>
      <c r="AU56" t="s">
        <v>89</v>
      </c>
      <c r="AV56" t="s">
        <v>88</v>
      </c>
      <c r="AW56" t="s">
        <v>11</v>
      </c>
      <c r="AX56" t="s">
        <v>90</v>
      </c>
      <c r="AY56">
        <v>45.313569540000003</v>
      </c>
      <c r="AZ56">
        <v>45.313569999999999</v>
      </c>
      <c r="BA56">
        <v>13.983499999999999</v>
      </c>
      <c r="BB56">
        <f>BA56*SQRT(BC56)</f>
        <v>24.220132467639392</v>
      </c>
      <c r="BC56">
        <v>3</v>
      </c>
      <c r="BD56">
        <v>16.765539950000001</v>
      </c>
      <c r="BE56">
        <v>16.765539950000001</v>
      </c>
      <c r="BF56">
        <v>4.8624466249999996</v>
      </c>
      <c r="BG56">
        <f>BF56*SQRT(BH56)</f>
        <v>8.4220046035918106</v>
      </c>
      <c r="BH56">
        <v>3</v>
      </c>
      <c r="BI56">
        <v>18</v>
      </c>
      <c r="BK56">
        <v>-0.99429999999999996</v>
      </c>
      <c r="BL56">
        <v>0.17929999999999999</v>
      </c>
    </row>
    <row r="57" spans="1:65" x14ac:dyDescent="0.2">
      <c r="A57">
        <v>144</v>
      </c>
      <c r="B57" t="str">
        <f>ROW()-1&amp;"_AltersFish"</f>
        <v>56_AltersFish</v>
      </c>
      <c r="C57" t="str">
        <f>A57 &amp; "_" &amp; P57 &amp; "_" &amp;
SUBSTITUTE(TRIM(L57)," ","_") &amp;
"_pH" &amp; TEXT(Z57,"0.00") &amp;
"_T" &amp; TEXT(AI57,"0.00") &amp;
"_CO2" &amp; TEXT(V57,"0") &amp;
"_LANG"</f>
        <v>144_LARVA_Gadus_morhua_pH8.12_T6.20_CO2380_LANG</v>
      </c>
      <c r="D57" t="s">
        <v>54</v>
      </c>
      <c r="E57">
        <v>2020</v>
      </c>
      <c r="F57" t="s">
        <v>204</v>
      </c>
      <c r="G57" t="s">
        <v>124</v>
      </c>
      <c r="H57" t="s">
        <v>78</v>
      </c>
      <c r="I57" t="s">
        <v>540</v>
      </c>
      <c r="J57" t="s">
        <v>543</v>
      </c>
      <c r="K57" t="s">
        <v>205</v>
      </c>
      <c r="L57" t="s">
        <v>206</v>
      </c>
      <c r="M57" t="s">
        <v>81</v>
      </c>
      <c r="N57" t="s">
        <v>81</v>
      </c>
      <c r="O57" t="s">
        <v>106</v>
      </c>
      <c r="P57" t="s">
        <v>107</v>
      </c>
      <c r="Q57" t="s">
        <v>64</v>
      </c>
      <c r="R57" t="s">
        <v>83</v>
      </c>
      <c r="S57" t="s">
        <v>64</v>
      </c>
      <c r="T57" t="s">
        <v>64</v>
      </c>
      <c r="U57" t="s">
        <v>66</v>
      </c>
      <c r="V57">
        <v>380</v>
      </c>
      <c r="W57">
        <v>7</v>
      </c>
      <c r="X57" t="s">
        <v>67</v>
      </c>
      <c r="Y57" t="s">
        <v>96</v>
      </c>
      <c r="Z57">
        <v>8.1199999999999992</v>
      </c>
      <c r="AA57" t="s">
        <v>67</v>
      </c>
      <c r="AB57" t="s">
        <v>67</v>
      </c>
      <c r="AC57">
        <v>1149</v>
      </c>
      <c r="AD57">
        <v>4</v>
      </c>
      <c r="AE57" t="s">
        <v>67</v>
      </c>
      <c r="AF57">
        <v>7.73</v>
      </c>
      <c r="AG57" t="s">
        <v>67</v>
      </c>
      <c r="AH57" t="s">
        <v>67</v>
      </c>
      <c r="AI57">
        <v>6.2</v>
      </c>
      <c r="AJ57" t="s">
        <v>67</v>
      </c>
      <c r="AK57" t="s">
        <v>67</v>
      </c>
      <c r="AL57">
        <v>9.6</v>
      </c>
      <c r="AM57" t="s">
        <v>67</v>
      </c>
      <c r="AN57" t="s">
        <v>67</v>
      </c>
      <c r="AO57">
        <v>769</v>
      </c>
      <c r="AP57">
        <v>3.5</v>
      </c>
      <c r="AQ57" t="s">
        <v>67</v>
      </c>
      <c r="AR57" t="s">
        <v>431</v>
      </c>
      <c r="AS57" t="s">
        <v>431</v>
      </c>
      <c r="AT57" t="s">
        <v>135</v>
      </c>
      <c r="AU57" t="s">
        <v>432</v>
      </c>
      <c r="AV57" t="s">
        <v>132</v>
      </c>
      <c r="AW57" t="s">
        <v>132</v>
      </c>
      <c r="AX57" t="s">
        <v>73</v>
      </c>
      <c r="AY57">
        <v>2.46</v>
      </c>
      <c r="AZ57">
        <v>2.46</v>
      </c>
      <c r="BA57">
        <v>0.23</v>
      </c>
      <c r="BB57">
        <f>BA57*SQRT(BC57)</f>
        <v>0.5633826408401309</v>
      </c>
      <c r="BC57">
        <v>6</v>
      </c>
      <c r="BD57">
        <v>5.4</v>
      </c>
      <c r="BE57">
        <v>5.4</v>
      </c>
      <c r="BF57">
        <v>0.53</v>
      </c>
      <c r="BG57">
        <f>BF57*SQRT(BH57)</f>
        <v>1.2982295636750842</v>
      </c>
      <c r="BH57">
        <v>6</v>
      </c>
      <c r="BI57">
        <v>15</v>
      </c>
      <c r="BJ57">
        <v>6</v>
      </c>
      <c r="BK57">
        <v>0.78620000000000001</v>
      </c>
      <c r="BL57">
        <v>1.84E-2</v>
      </c>
    </row>
    <row r="58" spans="1:65" x14ac:dyDescent="0.2">
      <c r="A58">
        <v>144</v>
      </c>
      <c r="B58" t="str">
        <f>ROW()-1&amp;"_AltersFish"</f>
        <v>57_AltersFish</v>
      </c>
      <c r="C58" t="str">
        <f>A58 &amp; "_" &amp; P58 &amp; "_" &amp;
SUBSTITUTE(TRIM(L58)," ","_") &amp;
"_pH" &amp; TEXT(Z58,"0.00") &amp;
"_T" &amp; TEXT(AI58,"0.00") &amp;
"_CO2" &amp; TEXT(V58,"0") &amp;
"_LANG"</f>
        <v>144_LARVA_Gadus_morhua_pH8.12_T6.20_CO2380_LANG</v>
      </c>
      <c r="D58" t="s">
        <v>54</v>
      </c>
      <c r="E58">
        <v>2020</v>
      </c>
      <c r="F58" t="s">
        <v>204</v>
      </c>
      <c r="G58" t="s">
        <v>124</v>
      </c>
      <c r="H58" t="s">
        <v>78</v>
      </c>
      <c r="I58" t="s">
        <v>540</v>
      </c>
      <c r="J58" t="s">
        <v>543</v>
      </c>
      <c r="K58" t="s">
        <v>205</v>
      </c>
      <c r="L58" t="s">
        <v>206</v>
      </c>
      <c r="M58" t="s">
        <v>81</v>
      </c>
      <c r="N58" t="s">
        <v>81</v>
      </c>
      <c r="O58" t="s">
        <v>106</v>
      </c>
      <c r="P58" t="s">
        <v>107</v>
      </c>
      <c r="Q58" t="s">
        <v>64</v>
      </c>
      <c r="R58" t="s">
        <v>83</v>
      </c>
      <c r="S58" t="s">
        <v>74</v>
      </c>
      <c r="T58" t="s">
        <v>64</v>
      </c>
      <c r="U58" t="s">
        <v>75</v>
      </c>
      <c r="V58">
        <v>380</v>
      </c>
      <c r="W58">
        <v>7</v>
      </c>
      <c r="X58" t="s">
        <v>67</v>
      </c>
      <c r="Y58" t="s">
        <v>96</v>
      </c>
      <c r="Z58">
        <v>8.1199999999999992</v>
      </c>
      <c r="AA58" t="s">
        <v>67</v>
      </c>
      <c r="AB58" t="s">
        <v>67</v>
      </c>
      <c r="AC58">
        <v>468</v>
      </c>
      <c r="AD58">
        <v>18</v>
      </c>
      <c r="AE58" t="s">
        <v>67</v>
      </c>
      <c r="AF58">
        <v>8.1300000000000008</v>
      </c>
      <c r="AG58" t="s">
        <v>67</v>
      </c>
      <c r="AH58" t="s">
        <v>67</v>
      </c>
      <c r="AI58">
        <v>6.2</v>
      </c>
      <c r="AJ58" t="s">
        <v>67</v>
      </c>
      <c r="AK58" t="s">
        <v>67</v>
      </c>
      <c r="AL58">
        <v>9.6</v>
      </c>
      <c r="AM58" t="s">
        <v>67</v>
      </c>
      <c r="AN58" t="s">
        <v>67</v>
      </c>
      <c r="AO58">
        <v>88</v>
      </c>
      <c r="AP58">
        <v>3.5</v>
      </c>
      <c r="AQ58" t="s">
        <v>67</v>
      </c>
      <c r="AR58" t="s">
        <v>431</v>
      </c>
      <c r="AS58" t="s">
        <v>431</v>
      </c>
      <c r="AT58" t="s">
        <v>135</v>
      </c>
      <c r="AU58" t="s">
        <v>432</v>
      </c>
      <c r="AV58" t="s">
        <v>132</v>
      </c>
      <c r="AW58" t="s">
        <v>132</v>
      </c>
      <c r="AX58" t="s">
        <v>73</v>
      </c>
      <c r="AY58">
        <v>2.46</v>
      </c>
      <c r="AZ58">
        <v>2.46</v>
      </c>
      <c r="BA58">
        <v>0.23</v>
      </c>
      <c r="BB58">
        <f>BA58*SQRT(BC58)</f>
        <v>0.5633826408401309</v>
      </c>
      <c r="BC58">
        <v>6</v>
      </c>
      <c r="BD58">
        <v>4.93</v>
      </c>
      <c r="BE58">
        <v>4.93</v>
      </c>
      <c r="BF58">
        <v>0.48</v>
      </c>
      <c r="BG58">
        <f>BF58*SQRT(BH58)</f>
        <v>1.1757550765359253</v>
      </c>
      <c r="BH58">
        <v>6</v>
      </c>
      <c r="BI58">
        <v>15</v>
      </c>
      <c r="BJ58">
        <v>6</v>
      </c>
      <c r="BK58">
        <v>0.69520000000000004</v>
      </c>
      <c r="BL58">
        <v>1.8200000000000001E-2</v>
      </c>
    </row>
    <row r="59" spans="1:65" x14ac:dyDescent="0.2">
      <c r="A59">
        <v>144</v>
      </c>
      <c r="B59" t="str">
        <f>ROW()-1&amp;"_AltersFish"</f>
        <v>58_AltersFish</v>
      </c>
      <c r="C59" t="str">
        <f>A59 &amp; "_" &amp; P59 &amp; "_" &amp;
SUBSTITUTE(TRIM(L59)," ","_") &amp;
"_pH" &amp; TEXT(Z59,"0.00") &amp;
"_T" &amp; TEXT(AI59,"0.00") &amp;
"_CO2" &amp; TEXT(V59,"0") &amp;
"_LANG"</f>
        <v>144_LARVA_Gadus_morhua_pH8.12_T6.20_CO2380_LANG</v>
      </c>
      <c r="D59" t="s">
        <v>54</v>
      </c>
      <c r="E59">
        <v>2020</v>
      </c>
      <c r="F59" t="s">
        <v>204</v>
      </c>
      <c r="G59" t="s">
        <v>124</v>
      </c>
      <c r="H59" t="s">
        <v>78</v>
      </c>
      <c r="I59" t="s">
        <v>540</v>
      </c>
      <c r="J59" t="s">
        <v>543</v>
      </c>
      <c r="K59" t="s">
        <v>205</v>
      </c>
      <c r="L59" t="s">
        <v>206</v>
      </c>
      <c r="M59" t="s">
        <v>81</v>
      </c>
      <c r="N59" t="s">
        <v>81</v>
      </c>
      <c r="O59" t="s">
        <v>106</v>
      </c>
      <c r="P59" t="s">
        <v>107</v>
      </c>
      <c r="Q59" t="s">
        <v>64</v>
      </c>
      <c r="R59" t="s">
        <v>83</v>
      </c>
      <c r="S59" t="s">
        <v>64</v>
      </c>
      <c r="T59" t="s">
        <v>74</v>
      </c>
      <c r="U59" t="s">
        <v>84</v>
      </c>
      <c r="V59">
        <v>380</v>
      </c>
      <c r="W59">
        <v>7</v>
      </c>
      <c r="X59" t="s">
        <v>67</v>
      </c>
      <c r="Y59" t="s">
        <v>96</v>
      </c>
      <c r="Z59">
        <v>8.1199999999999992</v>
      </c>
      <c r="AA59" t="s">
        <v>67</v>
      </c>
      <c r="AB59" t="s">
        <v>67</v>
      </c>
      <c r="AC59">
        <v>1132</v>
      </c>
      <c r="AD59">
        <v>49</v>
      </c>
      <c r="AE59" t="s">
        <v>67</v>
      </c>
      <c r="AF59">
        <v>7.74</v>
      </c>
      <c r="AG59" t="s">
        <v>67</v>
      </c>
      <c r="AH59" t="s">
        <v>67</v>
      </c>
      <c r="AI59">
        <v>6.2</v>
      </c>
      <c r="AJ59" t="s">
        <v>67</v>
      </c>
      <c r="AK59" t="s">
        <v>67</v>
      </c>
      <c r="AL59">
        <v>6.2</v>
      </c>
      <c r="AM59" t="s">
        <v>67</v>
      </c>
      <c r="AN59" t="s">
        <v>67</v>
      </c>
      <c r="AO59">
        <v>752</v>
      </c>
      <c r="AP59">
        <v>0</v>
      </c>
      <c r="AQ59" t="s">
        <v>67</v>
      </c>
      <c r="AR59" t="s">
        <v>431</v>
      </c>
      <c r="AS59" t="s">
        <v>431</v>
      </c>
      <c r="AT59" t="s">
        <v>135</v>
      </c>
      <c r="AU59" t="s">
        <v>432</v>
      </c>
      <c r="AV59" t="s">
        <v>132</v>
      </c>
      <c r="AW59" t="s">
        <v>132</v>
      </c>
      <c r="AX59" t="s">
        <v>73</v>
      </c>
      <c r="AY59">
        <v>2.46</v>
      </c>
      <c r="AZ59">
        <v>2.46</v>
      </c>
      <c r="BA59">
        <v>0.23</v>
      </c>
      <c r="BB59">
        <f>BA59*SQRT(BC59)</f>
        <v>0.5633826408401309</v>
      </c>
      <c r="BC59">
        <v>6</v>
      </c>
      <c r="BD59">
        <v>2.62</v>
      </c>
      <c r="BE59">
        <v>2.62</v>
      </c>
      <c r="BF59">
        <v>0.17</v>
      </c>
      <c r="BG59">
        <f>BF59*SQRT(BH59)</f>
        <v>0.41641325627314024</v>
      </c>
      <c r="BH59">
        <v>6</v>
      </c>
      <c r="BI59">
        <v>24</v>
      </c>
      <c r="BJ59">
        <v>6</v>
      </c>
      <c r="BK59">
        <v>6.3E-2</v>
      </c>
      <c r="BL59">
        <v>1.2999999999999999E-2</v>
      </c>
    </row>
    <row r="60" spans="1:65" x14ac:dyDescent="0.2">
      <c r="A60">
        <v>144</v>
      </c>
      <c r="B60" t="str">
        <f>ROW()-1&amp;"_AltersFish"</f>
        <v>59_AltersFish</v>
      </c>
      <c r="C60" t="str">
        <f>A60 &amp; "_" &amp; P60 &amp; "_" &amp;
SUBSTITUTE(TRIM(L60)," ","_") &amp;
"_pH" &amp; TEXT(Z60,"0.00") &amp;
"_T" &amp; TEXT(AI60,"0.00") &amp;
"_CO2" &amp; TEXT(V60,"0") &amp;
"_LANG"</f>
        <v>144_EMBRYO_Gadus_morhua_pH8.12_T6.20_CO2380_LANG</v>
      </c>
      <c r="D60" t="s">
        <v>54</v>
      </c>
      <c r="E60">
        <v>2020</v>
      </c>
      <c r="F60" t="s">
        <v>204</v>
      </c>
      <c r="G60" t="s">
        <v>124</v>
      </c>
      <c r="H60" t="s">
        <v>78</v>
      </c>
      <c r="I60" t="s">
        <v>540</v>
      </c>
      <c r="J60" t="s">
        <v>543</v>
      </c>
      <c r="K60" t="s">
        <v>205</v>
      </c>
      <c r="L60" t="s">
        <v>206</v>
      </c>
      <c r="M60" t="s">
        <v>81</v>
      </c>
      <c r="N60" t="s">
        <v>81</v>
      </c>
      <c r="O60" t="s">
        <v>106</v>
      </c>
      <c r="P60" t="s">
        <v>82</v>
      </c>
      <c r="Q60" t="s">
        <v>64</v>
      </c>
      <c r="R60" t="s">
        <v>83</v>
      </c>
      <c r="S60" t="s">
        <v>64</v>
      </c>
      <c r="T60" t="s">
        <v>64</v>
      </c>
      <c r="U60" t="s">
        <v>66</v>
      </c>
      <c r="V60">
        <v>380</v>
      </c>
      <c r="W60">
        <v>7</v>
      </c>
      <c r="X60" t="s">
        <v>67</v>
      </c>
      <c r="Y60" t="s">
        <v>96</v>
      </c>
      <c r="Z60">
        <v>8.1199999999999992</v>
      </c>
      <c r="AA60" t="s">
        <v>67</v>
      </c>
      <c r="AB60" t="s">
        <v>67</v>
      </c>
      <c r="AC60">
        <v>1149</v>
      </c>
      <c r="AD60">
        <v>4</v>
      </c>
      <c r="AE60" t="s">
        <v>67</v>
      </c>
      <c r="AF60">
        <v>7.73</v>
      </c>
      <c r="AG60" t="s">
        <v>67</v>
      </c>
      <c r="AH60" t="s">
        <v>67</v>
      </c>
      <c r="AI60">
        <v>6.2</v>
      </c>
      <c r="AJ60" t="s">
        <v>67</v>
      </c>
      <c r="AK60" t="s">
        <v>67</v>
      </c>
      <c r="AL60">
        <v>9.6</v>
      </c>
      <c r="AM60" t="s">
        <v>67</v>
      </c>
      <c r="AN60" t="s">
        <v>67</v>
      </c>
      <c r="AO60">
        <v>769</v>
      </c>
      <c r="AP60">
        <v>3.5</v>
      </c>
      <c r="AQ60" t="s">
        <v>67</v>
      </c>
      <c r="AR60" t="s">
        <v>207</v>
      </c>
      <c r="AS60" t="s">
        <v>88</v>
      </c>
      <c r="AT60" t="s">
        <v>70</v>
      </c>
      <c r="AU60" t="s">
        <v>89</v>
      </c>
      <c r="AV60" t="s">
        <v>88</v>
      </c>
      <c r="AW60" t="s">
        <v>88</v>
      </c>
      <c r="AX60" t="s">
        <v>90</v>
      </c>
      <c r="AY60">
        <v>13.1</v>
      </c>
      <c r="AZ60">
        <v>86.9</v>
      </c>
      <c r="BA60">
        <v>1.3</v>
      </c>
      <c r="BB60">
        <f>BA60*SQRT(BC60)</f>
        <v>3.1843366656181313</v>
      </c>
      <c r="BC60">
        <v>6</v>
      </c>
      <c r="BD60">
        <v>28.2</v>
      </c>
      <c r="BE60">
        <v>71.8</v>
      </c>
      <c r="BF60">
        <v>0.6</v>
      </c>
      <c r="BG60">
        <f>BF60*SQRT(BH60)</f>
        <v>1.4696938456699067</v>
      </c>
      <c r="BH60">
        <v>6</v>
      </c>
      <c r="BI60">
        <v>11</v>
      </c>
      <c r="BJ60">
        <v>6</v>
      </c>
      <c r="BK60">
        <v>-0.19089999999999999</v>
      </c>
      <c r="BL60">
        <v>2.9999999999999997E-4</v>
      </c>
    </row>
    <row r="61" spans="1:65" x14ac:dyDescent="0.2">
      <c r="A61">
        <v>144</v>
      </c>
      <c r="B61" t="str">
        <f>ROW()-1&amp;"_AltersFish"</f>
        <v>60_AltersFish</v>
      </c>
      <c r="C61" t="str">
        <f>A61 &amp; "_" &amp; P61 &amp; "_" &amp;
SUBSTITUTE(TRIM(L61)," ","_") &amp;
"_pH" &amp; TEXT(Z61,"0.00") &amp;
"_T" &amp; TEXT(AI61,"0.00") &amp;
"_CO2" &amp; TEXT(V61,"0") &amp;
"_LANG"</f>
        <v>144_EMBRYO_Gadus_morhua_pH8.12_T6.20_CO2380_LANG</v>
      </c>
      <c r="D61" t="s">
        <v>54</v>
      </c>
      <c r="E61">
        <v>2020</v>
      </c>
      <c r="F61" t="s">
        <v>204</v>
      </c>
      <c r="G61" t="s">
        <v>124</v>
      </c>
      <c r="H61" t="s">
        <v>78</v>
      </c>
      <c r="I61" t="s">
        <v>540</v>
      </c>
      <c r="J61" t="s">
        <v>543</v>
      </c>
      <c r="K61" t="s">
        <v>205</v>
      </c>
      <c r="L61" t="s">
        <v>206</v>
      </c>
      <c r="M61" t="s">
        <v>81</v>
      </c>
      <c r="N61" t="s">
        <v>81</v>
      </c>
      <c r="O61" t="s">
        <v>106</v>
      </c>
      <c r="P61" t="s">
        <v>82</v>
      </c>
      <c r="Q61" t="s">
        <v>64</v>
      </c>
      <c r="R61" t="s">
        <v>83</v>
      </c>
      <c r="S61" t="s">
        <v>64</v>
      </c>
      <c r="T61" t="s">
        <v>74</v>
      </c>
      <c r="U61" t="s">
        <v>84</v>
      </c>
      <c r="V61">
        <v>380</v>
      </c>
      <c r="W61">
        <v>7</v>
      </c>
      <c r="X61" t="s">
        <v>67</v>
      </c>
      <c r="Y61" t="s">
        <v>96</v>
      </c>
      <c r="Z61">
        <v>8.1199999999999992</v>
      </c>
      <c r="AA61" t="s">
        <v>67</v>
      </c>
      <c r="AB61" t="s">
        <v>67</v>
      </c>
      <c r="AC61">
        <v>1132</v>
      </c>
      <c r="AD61">
        <v>49</v>
      </c>
      <c r="AE61" t="s">
        <v>67</v>
      </c>
      <c r="AF61">
        <v>7.74</v>
      </c>
      <c r="AG61" t="s">
        <v>67</v>
      </c>
      <c r="AH61" t="s">
        <v>67</v>
      </c>
      <c r="AI61">
        <v>6.2</v>
      </c>
      <c r="AJ61" t="s">
        <v>67</v>
      </c>
      <c r="AK61" t="s">
        <v>67</v>
      </c>
      <c r="AL61">
        <v>6.2</v>
      </c>
      <c r="AM61" t="s">
        <v>67</v>
      </c>
      <c r="AN61" t="s">
        <v>67</v>
      </c>
      <c r="AO61">
        <v>752</v>
      </c>
      <c r="AP61">
        <v>0</v>
      </c>
      <c r="AQ61" t="s">
        <v>67</v>
      </c>
      <c r="AR61" t="s">
        <v>207</v>
      </c>
      <c r="AS61" t="s">
        <v>88</v>
      </c>
      <c r="AT61" t="s">
        <v>70</v>
      </c>
      <c r="AU61" t="s">
        <v>89</v>
      </c>
      <c r="AV61" t="s">
        <v>88</v>
      </c>
      <c r="AW61" t="s">
        <v>88</v>
      </c>
      <c r="AX61" t="s">
        <v>90</v>
      </c>
      <c r="AY61">
        <v>13.1</v>
      </c>
      <c r="AZ61">
        <v>86.9</v>
      </c>
      <c r="BA61">
        <v>1.3</v>
      </c>
      <c r="BB61">
        <f>BA61*SQRT(BC61)</f>
        <v>3.1843366656181313</v>
      </c>
      <c r="BC61">
        <v>6</v>
      </c>
      <c r="BD61">
        <v>14.1</v>
      </c>
      <c r="BE61">
        <v>85.9</v>
      </c>
      <c r="BF61">
        <v>1.1000000000000001</v>
      </c>
      <c r="BG61">
        <f>BF61*SQRT(BH61)</f>
        <v>2.6944387170614958</v>
      </c>
      <c r="BH61">
        <v>6</v>
      </c>
      <c r="BI61">
        <v>17</v>
      </c>
      <c r="BJ61">
        <v>6</v>
      </c>
      <c r="BK61">
        <v>-1.1599999999999999E-2</v>
      </c>
      <c r="BL61">
        <v>4.0000000000000002E-4</v>
      </c>
    </row>
    <row r="62" spans="1:65" x14ac:dyDescent="0.2">
      <c r="A62">
        <v>144</v>
      </c>
      <c r="B62" t="str">
        <f>ROW()-1&amp;"_AltersFish"</f>
        <v>61_AltersFish</v>
      </c>
      <c r="C62" t="str">
        <f>A62 &amp; "_" &amp; P62 &amp; "_" &amp;
SUBSTITUTE(TRIM(L62)," ","_") &amp;
"_pH" &amp; TEXT(Z62,"0.00") &amp;
"_T" &amp; TEXT(AI62,"0.00") &amp;
"_CO2" &amp; TEXT(V62,"0") &amp;
"_LANG"</f>
        <v>144_EMBRYO_Gadus_morhua_pH8.12_T6.20_CO2380_LANG</v>
      </c>
      <c r="D62" t="s">
        <v>54</v>
      </c>
      <c r="E62">
        <v>2020</v>
      </c>
      <c r="F62" t="s">
        <v>204</v>
      </c>
      <c r="G62" t="s">
        <v>124</v>
      </c>
      <c r="H62" t="s">
        <v>78</v>
      </c>
      <c r="I62" t="s">
        <v>540</v>
      </c>
      <c r="J62" t="s">
        <v>543</v>
      </c>
      <c r="K62" t="s">
        <v>205</v>
      </c>
      <c r="L62" t="s">
        <v>206</v>
      </c>
      <c r="M62" t="s">
        <v>81</v>
      </c>
      <c r="N62" t="s">
        <v>81</v>
      </c>
      <c r="O62" t="s">
        <v>106</v>
      </c>
      <c r="P62" t="s">
        <v>82</v>
      </c>
      <c r="Q62" t="s">
        <v>64</v>
      </c>
      <c r="R62" t="s">
        <v>83</v>
      </c>
      <c r="S62" t="s">
        <v>74</v>
      </c>
      <c r="T62" t="s">
        <v>64</v>
      </c>
      <c r="U62" t="s">
        <v>75</v>
      </c>
      <c r="V62">
        <v>380</v>
      </c>
      <c r="W62">
        <v>7</v>
      </c>
      <c r="X62" t="s">
        <v>67</v>
      </c>
      <c r="Y62" t="s">
        <v>96</v>
      </c>
      <c r="Z62">
        <v>8.1199999999999992</v>
      </c>
      <c r="AA62" t="s">
        <v>67</v>
      </c>
      <c r="AB62" t="s">
        <v>67</v>
      </c>
      <c r="AC62">
        <v>468</v>
      </c>
      <c r="AD62">
        <v>18</v>
      </c>
      <c r="AE62" t="s">
        <v>67</v>
      </c>
      <c r="AF62">
        <v>8.1300000000000008</v>
      </c>
      <c r="AG62" t="s">
        <v>67</v>
      </c>
      <c r="AH62" t="s">
        <v>67</v>
      </c>
      <c r="AI62">
        <v>6.2</v>
      </c>
      <c r="AJ62" t="s">
        <v>67</v>
      </c>
      <c r="AK62" t="s">
        <v>67</v>
      </c>
      <c r="AL62">
        <v>9.6</v>
      </c>
      <c r="AM62" t="s">
        <v>67</v>
      </c>
      <c r="AN62" t="s">
        <v>67</v>
      </c>
      <c r="AO62">
        <v>88</v>
      </c>
      <c r="AP62">
        <v>3.5</v>
      </c>
      <c r="AQ62" t="s">
        <v>67</v>
      </c>
      <c r="AR62" t="s">
        <v>207</v>
      </c>
      <c r="AS62" t="s">
        <v>88</v>
      </c>
      <c r="AT62" t="s">
        <v>70</v>
      </c>
      <c r="AU62" t="s">
        <v>89</v>
      </c>
      <c r="AV62" t="s">
        <v>88</v>
      </c>
      <c r="AW62" t="s">
        <v>88</v>
      </c>
      <c r="AX62" t="s">
        <v>90</v>
      </c>
      <c r="AY62">
        <v>13.1</v>
      </c>
      <c r="AZ62">
        <v>86.9</v>
      </c>
      <c r="BA62">
        <v>1.3</v>
      </c>
      <c r="BB62">
        <f>BA62*SQRT(BC62)</f>
        <v>3.1843366656181313</v>
      </c>
      <c r="BC62">
        <v>6</v>
      </c>
      <c r="BD62">
        <v>16</v>
      </c>
      <c r="BE62">
        <v>84</v>
      </c>
      <c r="BF62">
        <v>1.2</v>
      </c>
      <c r="BG62">
        <f>BF62*SQRT(BH62)</f>
        <v>2.9393876913398134</v>
      </c>
      <c r="BH62">
        <v>6</v>
      </c>
      <c r="BI62">
        <v>11</v>
      </c>
      <c r="BJ62">
        <v>6</v>
      </c>
      <c r="BK62">
        <v>-3.39E-2</v>
      </c>
      <c r="BL62">
        <v>4.0000000000000002E-4</v>
      </c>
    </row>
    <row r="63" spans="1:65" x14ac:dyDescent="0.2">
      <c r="A63">
        <v>167</v>
      </c>
      <c r="B63" t="str">
        <f>ROW()-1&amp;"_AltersFish"</f>
        <v>62_AltersFish</v>
      </c>
      <c r="C63" t="str">
        <f>A63 &amp; "_" &amp; P63 &amp; "_" &amp;
SUBSTITUTE(TRIM(L63)," ","_") &amp;
"_pH" &amp; TEXT(Z63,"0.00") &amp;
"_T" &amp; TEXT(AI63,"0.00") &amp;
"_CO2" &amp; TEXT(V63,"0") &amp;
"_LANG"</f>
        <v>167_EMBRYO_Gadus_morhua_pH8.14_T6.20_CO2415_LANG</v>
      </c>
      <c r="D63" t="s">
        <v>54</v>
      </c>
      <c r="E63">
        <v>2017</v>
      </c>
      <c r="F63" t="s">
        <v>296</v>
      </c>
      <c r="G63" t="s">
        <v>154</v>
      </c>
      <c r="H63" t="s">
        <v>78</v>
      </c>
      <c r="I63" t="s">
        <v>540</v>
      </c>
      <c r="J63" t="s">
        <v>543</v>
      </c>
      <c r="K63" t="s">
        <v>79</v>
      </c>
      <c r="L63" t="s">
        <v>206</v>
      </c>
      <c r="M63" t="s">
        <v>81</v>
      </c>
      <c r="N63" t="s">
        <v>81</v>
      </c>
      <c r="O63" t="s">
        <v>106</v>
      </c>
      <c r="P63" t="s">
        <v>82</v>
      </c>
      <c r="Q63" t="s">
        <v>74</v>
      </c>
      <c r="R63" t="s">
        <v>83</v>
      </c>
      <c r="S63" t="s">
        <v>74</v>
      </c>
      <c r="T63" t="s">
        <v>64</v>
      </c>
      <c r="U63" t="s">
        <v>75</v>
      </c>
      <c r="V63">
        <v>415</v>
      </c>
      <c r="W63" t="s">
        <v>67</v>
      </c>
      <c r="X63" t="s">
        <v>67</v>
      </c>
      <c r="Y63" t="s">
        <v>183</v>
      </c>
      <c r="Z63">
        <v>8.14</v>
      </c>
      <c r="AA63" t="s">
        <v>67</v>
      </c>
      <c r="AB63" t="s">
        <v>67</v>
      </c>
      <c r="AC63">
        <v>422</v>
      </c>
      <c r="AD63" t="s">
        <v>67</v>
      </c>
      <c r="AE63" t="s">
        <v>67</v>
      </c>
      <c r="AF63">
        <v>8.14</v>
      </c>
      <c r="AG63" t="s">
        <v>67</v>
      </c>
      <c r="AH63" t="s">
        <v>67</v>
      </c>
      <c r="AI63">
        <v>6.2</v>
      </c>
      <c r="AJ63" t="s">
        <v>67</v>
      </c>
      <c r="AK63" t="s">
        <v>67</v>
      </c>
      <c r="AL63">
        <v>9.1</v>
      </c>
      <c r="AM63" t="s">
        <v>67</v>
      </c>
      <c r="AN63" t="s">
        <v>67</v>
      </c>
      <c r="AO63">
        <v>7</v>
      </c>
      <c r="AP63">
        <v>3</v>
      </c>
      <c r="AQ63" t="s">
        <v>67</v>
      </c>
      <c r="AR63" t="s">
        <v>504</v>
      </c>
      <c r="AS63" t="s">
        <v>293</v>
      </c>
      <c r="AT63" t="s">
        <v>70</v>
      </c>
      <c r="AU63" t="s">
        <v>160</v>
      </c>
      <c r="AV63" t="s">
        <v>72</v>
      </c>
      <c r="AW63" t="s">
        <v>72</v>
      </c>
      <c r="AX63" t="s">
        <v>73</v>
      </c>
      <c r="AY63">
        <v>0.63019999999999998</v>
      </c>
      <c r="AZ63">
        <v>0.63017000000000001</v>
      </c>
      <c r="BA63">
        <v>0.09</v>
      </c>
      <c r="BB63">
        <f>BA63*SQRT(BC63)</f>
        <v>0.23811761799581316</v>
      </c>
      <c r="BC63">
        <v>7</v>
      </c>
      <c r="BD63">
        <v>0.63219999999999998</v>
      </c>
      <c r="BE63">
        <v>0.63223140499999997</v>
      </c>
      <c r="BF63">
        <v>9.2999999999999999E-2</v>
      </c>
      <c r="BG63">
        <f>BF63*SQRT(BH63)</f>
        <v>0.24605487192900694</v>
      </c>
      <c r="BH63">
        <v>7</v>
      </c>
      <c r="BI63">
        <v>12</v>
      </c>
      <c r="BJ63">
        <v>4</v>
      </c>
      <c r="BK63">
        <v>3.3E-3</v>
      </c>
      <c r="BL63">
        <v>4.1500000000000002E-2</v>
      </c>
    </row>
    <row r="64" spans="1:65" x14ac:dyDescent="0.2">
      <c r="A64">
        <v>167</v>
      </c>
      <c r="B64" t="str">
        <f>ROW()-1&amp;"_AltersFish"</f>
        <v>63_AltersFish</v>
      </c>
      <c r="C64" t="str">
        <f>A64 &amp; "_" &amp; P64 &amp; "_" &amp;
SUBSTITUTE(TRIM(L64)," ","_") &amp;
"_pH" &amp; TEXT(Z64,"0.00") &amp;
"_T" &amp; TEXT(AI64,"0.00") &amp;
"_CO2" &amp; TEXT(V64,"0") &amp;
"_LANG"</f>
        <v>167_EMBRYO_Gadus_morhua_pH8.14_T6.20_CO2415_LANG</v>
      </c>
      <c r="D64" t="s">
        <v>54</v>
      </c>
      <c r="E64">
        <v>2017</v>
      </c>
      <c r="F64" t="s">
        <v>296</v>
      </c>
      <c r="G64" t="s">
        <v>154</v>
      </c>
      <c r="H64" t="s">
        <v>78</v>
      </c>
      <c r="I64" t="s">
        <v>540</v>
      </c>
      <c r="J64" t="s">
        <v>543</v>
      </c>
      <c r="K64" t="s">
        <v>79</v>
      </c>
      <c r="L64" t="s">
        <v>206</v>
      </c>
      <c r="M64" t="s">
        <v>81</v>
      </c>
      <c r="N64" t="s">
        <v>81</v>
      </c>
      <c r="O64" t="s">
        <v>106</v>
      </c>
      <c r="P64" t="s">
        <v>82</v>
      </c>
      <c r="Q64" t="s">
        <v>74</v>
      </c>
      <c r="R64" t="s">
        <v>83</v>
      </c>
      <c r="S64" t="s">
        <v>64</v>
      </c>
      <c r="T64" t="s">
        <v>74</v>
      </c>
      <c r="U64" t="s">
        <v>84</v>
      </c>
      <c r="V64">
        <v>415</v>
      </c>
      <c r="W64" t="s">
        <v>67</v>
      </c>
      <c r="X64" t="s">
        <v>67</v>
      </c>
      <c r="Y64" t="s">
        <v>183</v>
      </c>
      <c r="Z64">
        <v>8.14</v>
      </c>
      <c r="AA64" t="s">
        <v>67</v>
      </c>
      <c r="AB64" t="s">
        <v>67</v>
      </c>
      <c r="AC64">
        <v>1122</v>
      </c>
      <c r="AD64" t="s">
        <v>67</v>
      </c>
      <c r="AE64" t="s">
        <v>67</v>
      </c>
      <c r="AF64">
        <v>7.76</v>
      </c>
      <c r="AG64" t="s">
        <v>67</v>
      </c>
      <c r="AH64" t="s">
        <v>67</v>
      </c>
      <c r="AI64">
        <v>6.2</v>
      </c>
      <c r="AJ64" t="s">
        <v>67</v>
      </c>
      <c r="AK64" t="s">
        <v>67</v>
      </c>
      <c r="AL64">
        <v>6.2</v>
      </c>
      <c r="AM64" t="s">
        <v>67</v>
      </c>
      <c r="AN64" t="s">
        <v>67</v>
      </c>
      <c r="AO64">
        <v>707</v>
      </c>
      <c r="AP64">
        <v>0</v>
      </c>
      <c r="AQ64" t="s">
        <v>67</v>
      </c>
      <c r="AR64" t="s">
        <v>504</v>
      </c>
      <c r="AS64" t="s">
        <v>293</v>
      </c>
      <c r="AT64" t="s">
        <v>70</v>
      </c>
      <c r="AU64" t="s">
        <v>160</v>
      </c>
      <c r="AV64" t="s">
        <v>72</v>
      </c>
      <c r="AW64" t="s">
        <v>72</v>
      </c>
      <c r="AX64" t="s">
        <v>73</v>
      </c>
      <c r="AY64">
        <v>0.63019999999999998</v>
      </c>
      <c r="AZ64">
        <v>0.63017000000000001</v>
      </c>
      <c r="BA64">
        <v>0.09</v>
      </c>
      <c r="BB64">
        <f>BA64*SQRT(BC64)</f>
        <v>0.23811761799581316</v>
      </c>
      <c r="BC64">
        <v>7</v>
      </c>
      <c r="BD64">
        <v>0.40079999999999999</v>
      </c>
      <c r="BE64">
        <v>0.400826446</v>
      </c>
      <c r="BF64">
        <v>8.4699999999999998E-2</v>
      </c>
      <c r="BG64">
        <f>BF64*SQRT(BH64)</f>
        <v>0.22409513604717082</v>
      </c>
      <c r="BH64">
        <v>7</v>
      </c>
      <c r="BI64">
        <v>19</v>
      </c>
      <c r="BJ64">
        <v>4</v>
      </c>
      <c r="BK64">
        <v>-0.45250000000000001</v>
      </c>
      <c r="BL64">
        <v>6.4500000000000002E-2</v>
      </c>
    </row>
    <row r="65" spans="1:65" hidden="1" x14ac:dyDescent="0.2">
      <c r="A65">
        <v>170</v>
      </c>
      <c r="C65" t="s">
        <v>549</v>
      </c>
      <c r="D65" t="s">
        <v>54</v>
      </c>
      <c r="E65">
        <v>2014</v>
      </c>
      <c r="F65" t="s">
        <v>55</v>
      </c>
      <c r="G65" t="s">
        <v>56</v>
      </c>
      <c r="H65" t="s">
        <v>57</v>
      </c>
      <c r="K65" t="s">
        <v>58</v>
      </c>
      <c r="L65" t="s">
        <v>59</v>
      </c>
      <c r="M65" t="s">
        <v>60</v>
      </c>
      <c r="N65" t="s">
        <v>61</v>
      </c>
      <c r="O65" t="s">
        <v>62</v>
      </c>
      <c r="P65" t="s">
        <v>82</v>
      </c>
      <c r="Q65" t="s">
        <v>64</v>
      </c>
      <c r="R65" t="s">
        <v>65</v>
      </c>
      <c r="S65" t="s">
        <v>74</v>
      </c>
      <c r="T65" t="s">
        <v>64</v>
      </c>
      <c r="U65" t="s">
        <v>75</v>
      </c>
      <c r="V65">
        <v>371.86</v>
      </c>
      <c r="W65" t="s">
        <v>67</v>
      </c>
      <c r="X65">
        <v>51.93</v>
      </c>
      <c r="Y65" t="s">
        <v>68</v>
      </c>
      <c r="Z65">
        <v>8.02</v>
      </c>
      <c r="AA65" t="s">
        <v>67</v>
      </c>
      <c r="AB65">
        <v>0.05</v>
      </c>
      <c r="AC65">
        <v>382.16</v>
      </c>
      <c r="AD65" t="s">
        <v>67</v>
      </c>
      <c r="AE65">
        <v>87.53</v>
      </c>
      <c r="AF65">
        <v>8</v>
      </c>
      <c r="AG65" t="s">
        <v>67</v>
      </c>
      <c r="AH65">
        <v>7.0000000000000007E-2</v>
      </c>
      <c r="AI65">
        <v>25.9</v>
      </c>
      <c r="AJ65" t="s">
        <v>67</v>
      </c>
      <c r="AK65">
        <v>0.7</v>
      </c>
      <c r="AL65">
        <v>29.9</v>
      </c>
      <c r="AM65" t="s">
        <v>67</v>
      </c>
      <c r="AN65">
        <v>0.2</v>
      </c>
      <c r="AO65">
        <v>10</v>
      </c>
      <c r="AP65">
        <v>4</v>
      </c>
      <c r="AQ65" t="s">
        <v>67</v>
      </c>
      <c r="AR65" t="s">
        <v>87</v>
      </c>
      <c r="AS65" t="s">
        <v>88</v>
      </c>
      <c r="AT65" t="s">
        <v>70</v>
      </c>
      <c r="AU65" t="s">
        <v>89</v>
      </c>
      <c r="AV65" t="s">
        <v>88</v>
      </c>
      <c r="AW65" t="s">
        <v>88</v>
      </c>
      <c r="AX65" t="s">
        <v>90</v>
      </c>
      <c r="AY65">
        <v>100</v>
      </c>
      <c r="AZ65">
        <v>100</v>
      </c>
      <c r="BA65">
        <v>0</v>
      </c>
      <c r="BC65">
        <v>5</v>
      </c>
      <c r="BD65">
        <v>79.795900000000003</v>
      </c>
      <c r="BE65">
        <v>79.795918369999995</v>
      </c>
      <c r="BF65">
        <v>0.91269999999999996</v>
      </c>
      <c r="BH65">
        <v>5</v>
      </c>
      <c r="BI65">
        <v>90</v>
      </c>
      <c r="BJ65">
        <v>3</v>
      </c>
      <c r="BK65">
        <v>-0.22570000000000001</v>
      </c>
      <c r="BL65">
        <v>1.2999999999999999E-4</v>
      </c>
      <c r="BM65" t="s">
        <v>161</v>
      </c>
    </row>
    <row r="66" spans="1:65" x14ac:dyDescent="0.2">
      <c r="A66">
        <v>167</v>
      </c>
      <c r="B66" t="str">
        <f>ROW()-1&amp;"_AltersFish"</f>
        <v>65_AltersFish</v>
      </c>
      <c r="C66" t="str">
        <f>A66 &amp; "_" &amp; P66 &amp; "_" &amp;
SUBSTITUTE(TRIM(L66)," ","_") &amp;
"_pH" &amp; TEXT(Z66,"0.00") &amp;
"_T" &amp; TEXT(AI66,"0.00") &amp;
"_CO2" &amp; TEXT(V66,"0") &amp;
"_LANG"</f>
        <v>167_EMBRYO_Gadus_morhua_pH8.14_T6.20_CO2415_LANG</v>
      </c>
      <c r="D66" t="s">
        <v>54</v>
      </c>
      <c r="E66">
        <v>2017</v>
      </c>
      <c r="F66" t="s">
        <v>296</v>
      </c>
      <c r="G66" t="s">
        <v>154</v>
      </c>
      <c r="H66" t="s">
        <v>78</v>
      </c>
      <c r="I66" t="s">
        <v>540</v>
      </c>
      <c r="J66" t="s">
        <v>543</v>
      </c>
      <c r="K66" t="s">
        <v>79</v>
      </c>
      <c r="L66" t="s">
        <v>206</v>
      </c>
      <c r="M66" t="s">
        <v>81</v>
      </c>
      <c r="N66" t="s">
        <v>81</v>
      </c>
      <c r="O66" t="s">
        <v>106</v>
      </c>
      <c r="P66" t="s">
        <v>82</v>
      </c>
      <c r="Q66" t="s">
        <v>74</v>
      </c>
      <c r="R66" t="s">
        <v>83</v>
      </c>
      <c r="S66" t="s">
        <v>64</v>
      </c>
      <c r="T66" t="s">
        <v>64</v>
      </c>
      <c r="U66" t="s">
        <v>66</v>
      </c>
      <c r="V66">
        <v>415</v>
      </c>
      <c r="W66" t="s">
        <v>67</v>
      </c>
      <c r="X66" t="s">
        <v>67</v>
      </c>
      <c r="Y66" t="s">
        <v>183</v>
      </c>
      <c r="Z66">
        <v>8.14</v>
      </c>
      <c r="AA66" t="s">
        <v>67</v>
      </c>
      <c r="AB66" t="s">
        <v>67</v>
      </c>
      <c r="AC66">
        <v>1091</v>
      </c>
      <c r="AD66" t="s">
        <v>67</v>
      </c>
      <c r="AE66" t="s">
        <v>67</v>
      </c>
      <c r="AF66">
        <v>7.77</v>
      </c>
      <c r="AG66" t="s">
        <v>67</v>
      </c>
      <c r="AH66" t="s">
        <v>67</v>
      </c>
      <c r="AI66">
        <v>6.2</v>
      </c>
      <c r="AJ66" t="s">
        <v>67</v>
      </c>
      <c r="AK66" t="s">
        <v>67</v>
      </c>
      <c r="AL66">
        <v>9.1</v>
      </c>
      <c r="AM66" t="s">
        <v>67</v>
      </c>
      <c r="AN66" t="s">
        <v>67</v>
      </c>
      <c r="AO66">
        <v>676</v>
      </c>
      <c r="AP66">
        <v>3</v>
      </c>
      <c r="AQ66" t="s">
        <v>67</v>
      </c>
      <c r="AR66" t="s">
        <v>504</v>
      </c>
      <c r="AS66" t="s">
        <v>293</v>
      </c>
      <c r="AT66" t="s">
        <v>70</v>
      </c>
      <c r="AU66" t="s">
        <v>160</v>
      </c>
      <c r="AV66" t="s">
        <v>72</v>
      </c>
      <c r="AW66" t="s">
        <v>72</v>
      </c>
      <c r="AX66" t="s">
        <v>73</v>
      </c>
      <c r="AY66">
        <v>0.63019999999999998</v>
      </c>
      <c r="AZ66">
        <v>0.63017000000000001</v>
      </c>
      <c r="BA66">
        <v>0.09</v>
      </c>
      <c r="BB66">
        <f>BA66*SQRT(BC66)</f>
        <v>0.23811761799581316</v>
      </c>
      <c r="BC66">
        <v>7</v>
      </c>
      <c r="BD66">
        <v>0.42359999999999998</v>
      </c>
      <c r="BE66">
        <v>0.423553719</v>
      </c>
      <c r="BF66">
        <v>9.5000000000000001E-2</v>
      </c>
      <c r="BG66">
        <f>BF66*SQRT(BH66)</f>
        <v>0.25134637455113612</v>
      </c>
      <c r="BH66">
        <v>7</v>
      </c>
      <c r="BI66">
        <v>12</v>
      </c>
      <c r="BJ66">
        <v>4</v>
      </c>
      <c r="BK66">
        <v>-0.39729999999999999</v>
      </c>
      <c r="BL66">
        <v>7.0199999999999999E-2</v>
      </c>
    </row>
    <row r="67" spans="1:65" x14ac:dyDescent="0.2">
      <c r="A67">
        <v>167</v>
      </c>
      <c r="B67" t="str">
        <f>ROW()-1&amp;"_AltersFish"</f>
        <v>66_AltersFish</v>
      </c>
      <c r="C67" t="str">
        <f>A67 &amp; "_" &amp; P67 &amp; "_" &amp;
SUBSTITUTE(TRIM(L67)," ","_") &amp;
"_pH" &amp; TEXT(Z67,"0.00") &amp;
"_T" &amp; TEXT(AI67,"0.00") &amp;
"_CO2" &amp; TEXT(V67,"0") &amp;
"_LANG"</f>
        <v>167_EMBRYO_Gadus_morhua_pH8.14_T6.20_CO2415_LANG</v>
      </c>
      <c r="D67" t="s">
        <v>54</v>
      </c>
      <c r="E67">
        <v>2017</v>
      </c>
      <c r="F67" t="s">
        <v>296</v>
      </c>
      <c r="G67" t="s">
        <v>154</v>
      </c>
      <c r="H67" t="s">
        <v>78</v>
      </c>
      <c r="I67" t="s">
        <v>540</v>
      </c>
      <c r="J67" t="s">
        <v>543</v>
      </c>
      <c r="K67" t="s">
        <v>79</v>
      </c>
      <c r="L67" t="s">
        <v>206</v>
      </c>
      <c r="M67" t="s">
        <v>81</v>
      </c>
      <c r="N67" t="s">
        <v>81</v>
      </c>
      <c r="O67" t="s">
        <v>106</v>
      </c>
      <c r="P67" t="s">
        <v>82</v>
      </c>
      <c r="Q67" t="s">
        <v>74</v>
      </c>
      <c r="R67" t="s">
        <v>83</v>
      </c>
      <c r="S67" t="s">
        <v>74</v>
      </c>
      <c r="T67" t="s">
        <v>64</v>
      </c>
      <c r="U67" t="s">
        <v>75</v>
      </c>
      <c r="V67">
        <v>415</v>
      </c>
      <c r="W67" t="s">
        <v>67</v>
      </c>
      <c r="X67" t="s">
        <v>67</v>
      </c>
      <c r="Y67" t="s">
        <v>183</v>
      </c>
      <c r="Z67">
        <v>8.14</v>
      </c>
      <c r="AA67" t="s">
        <v>67</v>
      </c>
      <c r="AB67" t="s">
        <v>67</v>
      </c>
      <c r="AC67">
        <v>417</v>
      </c>
      <c r="AD67" t="s">
        <v>67</v>
      </c>
      <c r="AE67" t="s">
        <v>67</v>
      </c>
      <c r="AF67">
        <v>8.14</v>
      </c>
      <c r="AG67" t="s">
        <v>67</v>
      </c>
      <c r="AH67" t="s">
        <v>67</v>
      </c>
      <c r="AI67">
        <v>6.2</v>
      </c>
      <c r="AJ67" t="s">
        <v>67</v>
      </c>
      <c r="AK67" t="s">
        <v>67</v>
      </c>
      <c r="AL67">
        <v>12.1</v>
      </c>
      <c r="AM67" t="s">
        <v>67</v>
      </c>
      <c r="AN67" t="s">
        <v>67</v>
      </c>
      <c r="AO67">
        <v>2</v>
      </c>
      <c r="AP67">
        <v>6</v>
      </c>
      <c r="AQ67" t="s">
        <v>67</v>
      </c>
      <c r="AR67" t="s">
        <v>504</v>
      </c>
      <c r="AS67" t="s">
        <v>293</v>
      </c>
      <c r="AT67" t="s">
        <v>70</v>
      </c>
      <c r="AU67" t="s">
        <v>160</v>
      </c>
      <c r="AV67" t="s">
        <v>72</v>
      </c>
      <c r="AW67" t="s">
        <v>72</v>
      </c>
      <c r="AX67" t="s">
        <v>73</v>
      </c>
      <c r="AY67">
        <v>0.63019999999999998</v>
      </c>
      <c r="AZ67">
        <v>0.63017000000000001</v>
      </c>
      <c r="BA67">
        <v>0.09</v>
      </c>
      <c r="BB67">
        <f>BA67*SQRT(BC67)</f>
        <v>0.23811761799581316</v>
      </c>
      <c r="BC67">
        <v>7</v>
      </c>
      <c r="BD67">
        <v>0.35539999999999999</v>
      </c>
      <c r="BE67">
        <v>0.35537190099999999</v>
      </c>
      <c r="BF67">
        <v>9.2999999999999999E-2</v>
      </c>
      <c r="BG67">
        <f>BF67*SQRT(BH67)</f>
        <v>0.24605487192900694</v>
      </c>
      <c r="BH67">
        <v>7</v>
      </c>
      <c r="BI67">
        <v>9</v>
      </c>
      <c r="BJ67">
        <v>4</v>
      </c>
      <c r="BK67">
        <v>-0.57279999999999998</v>
      </c>
      <c r="BL67">
        <v>8.8300000000000003E-2</v>
      </c>
    </row>
    <row r="68" spans="1:65" x14ac:dyDescent="0.2">
      <c r="A68">
        <v>167</v>
      </c>
      <c r="B68" t="str">
        <f>ROW()-1&amp;"_AltersFish"</f>
        <v>67_AltersFish</v>
      </c>
      <c r="C68" t="str">
        <f>A68 &amp; "_" &amp; P68 &amp; "_" &amp;
SUBSTITUTE(TRIM(L68)," ","_") &amp;
"_pH" &amp; TEXT(Z68,"0.00") &amp;
"_T" &amp; TEXT(AI68,"0.00") &amp;
"_CO2" &amp; TEXT(V68,"0") &amp;
"_LANG"</f>
        <v>167_EMBRYO_Gadus_morhua_pH8.14_T6.20_CO2415_LANG</v>
      </c>
      <c r="D68" t="s">
        <v>54</v>
      </c>
      <c r="E68">
        <v>2017</v>
      </c>
      <c r="F68" t="s">
        <v>296</v>
      </c>
      <c r="G68" t="s">
        <v>154</v>
      </c>
      <c r="H68" t="s">
        <v>78</v>
      </c>
      <c r="I68" t="s">
        <v>540</v>
      </c>
      <c r="J68" t="s">
        <v>543</v>
      </c>
      <c r="K68" t="s">
        <v>79</v>
      </c>
      <c r="L68" t="s">
        <v>206</v>
      </c>
      <c r="M68" t="s">
        <v>81</v>
      </c>
      <c r="N68" t="s">
        <v>81</v>
      </c>
      <c r="O68" t="s">
        <v>106</v>
      </c>
      <c r="P68" t="s">
        <v>82</v>
      </c>
      <c r="Q68" t="s">
        <v>74</v>
      </c>
      <c r="R68" t="s">
        <v>83</v>
      </c>
      <c r="S68" t="s">
        <v>64</v>
      </c>
      <c r="T68" t="s">
        <v>64</v>
      </c>
      <c r="U68" t="s">
        <v>66</v>
      </c>
      <c r="V68">
        <v>415</v>
      </c>
      <c r="W68" t="s">
        <v>67</v>
      </c>
      <c r="X68" t="s">
        <v>67</v>
      </c>
      <c r="Y68" t="s">
        <v>183</v>
      </c>
      <c r="Z68">
        <v>8.14</v>
      </c>
      <c r="AA68" t="s">
        <v>67</v>
      </c>
      <c r="AB68" t="s">
        <v>67</v>
      </c>
      <c r="AC68">
        <v>1097</v>
      </c>
      <c r="AD68" t="s">
        <v>67</v>
      </c>
      <c r="AE68" t="s">
        <v>67</v>
      </c>
      <c r="AF68">
        <v>7.77</v>
      </c>
      <c r="AG68" t="s">
        <v>67</v>
      </c>
      <c r="AH68" t="s">
        <v>67</v>
      </c>
      <c r="AI68">
        <v>6.2</v>
      </c>
      <c r="AJ68" t="s">
        <v>67</v>
      </c>
      <c r="AK68" t="s">
        <v>67</v>
      </c>
      <c r="AL68">
        <v>12.1</v>
      </c>
      <c r="AM68" t="s">
        <v>67</v>
      </c>
      <c r="AN68" t="s">
        <v>67</v>
      </c>
      <c r="AO68">
        <v>682</v>
      </c>
      <c r="AP68">
        <v>6</v>
      </c>
      <c r="AQ68" t="s">
        <v>67</v>
      </c>
      <c r="AR68" t="s">
        <v>504</v>
      </c>
      <c r="AS68" t="s">
        <v>293</v>
      </c>
      <c r="AT68" t="s">
        <v>70</v>
      </c>
      <c r="AU68" t="s">
        <v>160</v>
      </c>
      <c r="AV68" t="s">
        <v>72</v>
      </c>
      <c r="AW68" t="s">
        <v>72</v>
      </c>
      <c r="AX68" t="s">
        <v>73</v>
      </c>
      <c r="AY68">
        <v>0.63019999999999998</v>
      </c>
      <c r="AZ68">
        <v>0.63017000000000001</v>
      </c>
      <c r="BA68">
        <v>0.09</v>
      </c>
      <c r="BB68">
        <f>BA68*SQRT(BC68)</f>
        <v>0.23811761799581316</v>
      </c>
      <c r="BC68">
        <v>7</v>
      </c>
      <c r="BD68">
        <v>0.25</v>
      </c>
      <c r="BE68">
        <v>0.25</v>
      </c>
      <c r="BF68">
        <v>9.7100000000000006E-2</v>
      </c>
      <c r="BG68">
        <f>BF68*SQRT(BH68)</f>
        <v>0.25690245230437175</v>
      </c>
      <c r="BH68">
        <v>7</v>
      </c>
      <c r="BI68">
        <v>9</v>
      </c>
      <c r="BJ68">
        <v>4</v>
      </c>
      <c r="BK68">
        <v>-0.92449999999999999</v>
      </c>
      <c r="BL68">
        <v>0.17080000000000001</v>
      </c>
    </row>
    <row r="69" spans="1:65" x14ac:dyDescent="0.2">
      <c r="A69">
        <v>167</v>
      </c>
      <c r="B69" t="str">
        <f>ROW()-1&amp;"_AltersFish"</f>
        <v>68_AltersFish</v>
      </c>
      <c r="C69" t="str">
        <f>A69 &amp; "_" &amp; P69 &amp; "_" &amp;
SUBSTITUTE(TRIM(L69)," ","_") &amp;
"_pH" &amp; TEXT(Z69,"0.00") &amp;
"_T" &amp; TEXT(AI69,"0.00") &amp;
"_CO2" &amp; TEXT(V69,"0") &amp;
"_LANG"</f>
        <v>167_EMBRYO_Gadus_morhua_pH8.14_T6.20_CO2415_LANG</v>
      </c>
      <c r="D69" t="s">
        <v>54</v>
      </c>
      <c r="E69">
        <v>2017</v>
      </c>
      <c r="F69" t="s">
        <v>296</v>
      </c>
      <c r="G69" t="s">
        <v>154</v>
      </c>
      <c r="H69" t="s">
        <v>78</v>
      </c>
      <c r="I69" t="s">
        <v>540</v>
      </c>
      <c r="J69" t="s">
        <v>543</v>
      </c>
      <c r="K69" t="s">
        <v>79</v>
      </c>
      <c r="L69" t="s">
        <v>206</v>
      </c>
      <c r="M69" t="s">
        <v>81</v>
      </c>
      <c r="N69" t="s">
        <v>81</v>
      </c>
      <c r="O69" t="s">
        <v>106</v>
      </c>
      <c r="P69" t="s">
        <v>82</v>
      </c>
      <c r="Q69" t="s">
        <v>74</v>
      </c>
      <c r="R69" t="s">
        <v>83</v>
      </c>
      <c r="S69" t="s">
        <v>64</v>
      </c>
      <c r="T69" t="s">
        <v>74</v>
      </c>
      <c r="U69" t="s">
        <v>84</v>
      </c>
      <c r="V69">
        <v>415</v>
      </c>
      <c r="W69" t="s">
        <v>67</v>
      </c>
      <c r="X69" t="s">
        <v>67</v>
      </c>
      <c r="Y69" t="s">
        <v>183</v>
      </c>
      <c r="Z69">
        <v>8.14</v>
      </c>
      <c r="AA69" t="s">
        <v>67</v>
      </c>
      <c r="AB69" t="s">
        <v>67</v>
      </c>
      <c r="AC69">
        <v>1122</v>
      </c>
      <c r="AD69" t="s">
        <v>67</v>
      </c>
      <c r="AE69" t="s">
        <v>67</v>
      </c>
      <c r="AF69">
        <v>7.76</v>
      </c>
      <c r="AG69" t="s">
        <v>67</v>
      </c>
      <c r="AH69" t="s">
        <v>67</v>
      </c>
      <c r="AI69">
        <v>6.2</v>
      </c>
      <c r="AJ69" t="s">
        <v>67</v>
      </c>
      <c r="AK69" t="s">
        <v>67</v>
      </c>
      <c r="AL69">
        <v>6.2</v>
      </c>
      <c r="AM69" t="s">
        <v>67</v>
      </c>
      <c r="AN69" t="s">
        <v>67</v>
      </c>
      <c r="AO69">
        <v>707</v>
      </c>
      <c r="AP69">
        <v>0</v>
      </c>
      <c r="AQ69" t="s">
        <v>67</v>
      </c>
      <c r="AR69" t="s">
        <v>297</v>
      </c>
      <c r="AS69" t="s">
        <v>134</v>
      </c>
      <c r="AT69" t="s">
        <v>135</v>
      </c>
      <c r="AU69" t="s">
        <v>298</v>
      </c>
      <c r="AV69" t="s">
        <v>137</v>
      </c>
      <c r="AW69" t="s">
        <v>132</v>
      </c>
      <c r="AX69" t="s">
        <v>73</v>
      </c>
      <c r="AY69">
        <v>1.3148</v>
      </c>
      <c r="AZ69">
        <v>1.31481</v>
      </c>
      <c r="BA69">
        <v>0.05</v>
      </c>
      <c r="BB69">
        <f>BA69*SQRT(BC69)</f>
        <v>8.6602540378443865E-2</v>
      </c>
      <c r="BC69">
        <v>3</v>
      </c>
      <c r="BD69">
        <v>1.54</v>
      </c>
      <c r="BE69">
        <v>1.54</v>
      </c>
      <c r="BF69">
        <v>0.04</v>
      </c>
      <c r="BG69">
        <f>BF69*SQRT(BH69)</f>
        <v>6.9282032302755092E-2</v>
      </c>
      <c r="BH69">
        <v>3</v>
      </c>
      <c r="BI69">
        <v>13</v>
      </c>
      <c r="BJ69">
        <v>4</v>
      </c>
      <c r="BK69">
        <v>0.15809999999999999</v>
      </c>
      <c r="BL69">
        <v>2.0999999999999999E-3</v>
      </c>
    </row>
    <row r="70" spans="1:65" x14ac:dyDescent="0.2">
      <c r="A70">
        <v>167</v>
      </c>
      <c r="B70" t="str">
        <f>ROW()-1&amp;"_AltersFish"</f>
        <v>69_AltersFish</v>
      </c>
      <c r="C70" t="str">
        <f>A70 &amp; "_" &amp; P70 &amp; "_" &amp;
SUBSTITUTE(TRIM(L70)," ","_") &amp;
"_pH" &amp; TEXT(Z70,"0.00") &amp;
"_T" &amp; TEXT(AI70,"0.00") &amp;
"_CO2" &amp; TEXT(V70,"0") &amp;
"_LANG"</f>
        <v>167_EMBRYO_Gadus_morhua_pH8.14_T6.20_CO2415_LANG</v>
      </c>
      <c r="D70" t="s">
        <v>54</v>
      </c>
      <c r="E70">
        <v>2017</v>
      </c>
      <c r="F70" t="s">
        <v>296</v>
      </c>
      <c r="G70" t="s">
        <v>154</v>
      </c>
      <c r="H70" t="s">
        <v>78</v>
      </c>
      <c r="I70" t="s">
        <v>540</v>
      </c>
      <c r="J70" t="s">
        <v>543</v>
      </c>
      <c r="K70" t="s">
        <v>79</v>
      </c>
      <c r="L70" t="s">
        <v>206</v>
      </c>
      <c r="M70" t="s">
        <v>81</v>
      </c>
      <c r="N70" t="s">
        <v>81</v>
      </c>
      <c r="O70" t="s">
        <v>106</v>
      </c>
      <c r="P70" t="s">
        <v>82</v>
      </c>
      <c r="Q70" t="s">
        <v>74</v>
      </c>
      <c r="R70" t="s">
        <v>83</v>
      </c>
      <c r="S70" t="s">
        <v>64</v>
      </c>
      <c r="T70" t="s">
        <v>64</v>
      </c>
      <c r="U70" t="s">
        <v>66</v>
      </c>
      <c r="V70">
        <v>415</v>
      </c>
      <c r="W70" t="s">
        <v>67</v>
      </c>
      <c r="X70" t="s">
        <v>67</v>
      </c>
      <c r="Y70" t="s">
        <v>183</v>
      </c>
      <c r="Z70">
        <v>8.14</v>
      </c>
      <c r="AA70" t="s">
        <v>67</v>
      </c>
      <c r="AB70" t="s">
        <v>67</v>
      </c>
      <c r="AC70">
        <v>1091</v>
      </c>
      <c r="AD70" t="s">
        <v>67</v>
      </c>
      <c r="AE70" t="s">
        <v>67</v>
      </c>
      <c r="AF70">
        <v>7.77</v>
      </c>
      <c r="AG70" t="s">
        <v>67</v>
      </c>
      <c r="AH70" t="s">
        <v>67</v>
      </c>
      <c r="AI70">
        <v>6.2</v>
      </c>
      <c r="AJ70" t="s">
        <v>67</v>
      </c>
      <c r="AK70" t="s">
        <v>67</v>
      </c>
      <c r="AL70">
        <v>9.1</v>
      </c>
      <c r="AM70" t="s">
        <v>67</v>
      </c>
      <c r="AN70" t="s">
        <v>67</v>
      </c>
      <c r="AO70">
        <v>676</v>
      </c>
      <c r="AP70">
        <v>3</v>
      </c>
      <c r="AQ70" t="s">
        <v>67</v>
      </c>
      <c r="AR70" t="s">
        <v>297</v>
      </c>
      <c r="AS70" t="s">
        <v>134</v>
      </c>
      <c r="AT70" t="s">
        <v>135</v>
      </c>
      <c r="AU70" t="s">
        <v>298</v>
      </c>
      <c r="AV70" t="s">
        <v>137</v>
      </c>
      <c r="AW70" t="s">
        <v>132</v>
      </c>
      <c r="AX70" t="s">
        <v>73</v>
      </c>
      <c r="AY70">
        <v>1.3148</v>
      </c>
      <c r="AZ70">
        <v>1.31481</v>
      </c>
      <c r="BA70">
        <v>0.05</v>
      </c>
      <c r="BB70">
        <f>BA70*SQRT(BC70)</f>
        <v>8.6602540378443865E-2</v>
      </c>
      <c r="BC70">
        <v>3</v>
      </c>
      <c r="BD70">
        <v>1.74</v>
      </c>
      <c r="BE70">
        <v>1.74</v>
      </c>
      <c r="BF70">
        <v>0.05</v>
      </c>
      <c r="BG70">
        <f>BF70*SQRT(BH70)</f>
        <v>8.6602540378443865E-2</v>
      </c>
      <c r="BH70">
        <v>3</v>
      </c>
      <c r="BI70">
        <v>8</v>
      </c>
      <c r="BJ70">
        <v>4</v>
      </c>
      <c r="BK70">
        <v>0.2802</v>
      </c>
      <c r="BL70">
        <v>2.3E-3</v>
      </c>
    </row>
    <row r="71" spans="1:65" x14ac:dyDescent="0.2">
      <c r="A71">
        <v>167</v>
      </c>
      <c r="B71" t="str">
        <f>ROW()-1&amp;"_AltersFish"</f>
        <v>70_AltersFish</v>
      </c>
      <c r="C71" t="str">
        <f>A71 &amp; "_" &amp; P71 &amp; "_" &amp;
SUBSTITUTE(TRIM(L71)," ","_") &amp;
"_pH" &amp; TEXT(Z71,"0.00") &amp;
"_T" &amp; TEXT(AI71,"0.00") &amp;
"_CO2" &amp; TEXT(V71,"0") &amp;
"_LANG"</f>
        <v>167_EMBRYO_Gadus_morhua_pH8.14_T6.20_CO2415_LANG</v>
      </c>
      <c r="D71" t="s">
        <v>54</v>
      </c>
      <c r="E71">
        <v>2017</v>
      </c>
      <c r="F71" t="s">
        <v>296</v>
      </c>
      <c r="G71" t="s">
        <v>154</v>
      </c>
      <c r="H71" t="s">
        <v>78</v>
      </c>
      <c r="I71" t="s">
        <v>540</v>
      </c>
      <c r="J71" t="s">
        <v>543</v>
      </c>
      <c r="K71" t="s">
        <v>79</v>
      </c>
      <c r="L71" t="s">
        <v>206</v>
      </c>
      <c r="M71" t="s">
        <v>81</v>
      </c>
      <c r="N71" t="s">
        <v>81</v>
      </c>
      <c r="O71" t="s">
        <v>106</v>
      </c>
      <c r="P71" t="s">
        <v>82</v>
      </c>
      <c r="Q71" t="s">
        <v>74</v>
      </c>
      <c r="R71" t="s">
        <v>83</v>
      </c>
      <c r="S71" t="s">
        <v>74</v>
      </c>
      <c r="T71" t="s">
        <v>64</v>
      </c>
      <c r="U71" t="s">
        <v>75</v>
      </c>
      <c r="V71">
        <v>415</v>
      </c>
      <c r="W71" t="s">
        <v>67</v>
      </c>
      <c r="X71" t="s">
        <v>67</v>
      </c>
      <c r="Y71" t="s">
        <v>183</v>
      </c>
      <c r="Z71">
        <v>8.14</v>
      </c>
      <c r="AA71" t="s">
        <v>67</v>
      </c>
      <c r="AB71" t="s">
        <v>67</v>
      </c>
      <c r="AC71">
        <v>422</v>
      </c>
      <c r="AD71" t="s">
        <v>67</v>
      </c>
      <c r="AE71" t="s">
        <v>67</v>
      </c>
      <c r="AF71">
        <v>8.14</v>
      </c>
      <c r="AG71" t="s">
        <v>67</v>
      </c>
      <c r="AH71" t="s">
        <v>67</v>
      </c>
      <c r="AI71">
        <v>6.2</v>
      </c>
      <c r="AJ71" t="s">
        <v>67</v>
      </c>
      <c r="AK71" t="s">
        <v>67</v>
      </c>
      <c r="AL71">
        <v>9.1</v>
      </c>
      <c r="AM71" t="s">
        <v>67</v>
      </c>
      <c r="AN71" t="s">
        <v>67</v>
      </c>
      <c r="AO71">
        <v>7</v>
      </c>
      <c r="AP71">
        <v>3</v>
      </c>
      <c r="AQ71" t="s">
        <v>67</v>
      </c>
      <c r="AR71" t="s">
        <v>297</v>
      </c>
      <c r="AS71" t="s">
        <v>134</v>
      </c>
      <c r="AT71" t="s">
        <v>135</v>
      </c>
      <c r="AU71" t="s">
        <v>298</v>
      </c>
      <c r="AV71" t="s">
        <v>137</v>
      </c>
      <c r="AW71" t="s">
        <v>132</v>
      </c>
      <c r="AX71" t="s">
        <v>73</v>
      </c>
      <c r="AY71">
        <v>1.3148</v>
      </c>
      <c r="AZ71">
        <v>1.31481</v>
      </c>
      <c r="BA71">
        <v>0.05</v>
      </c>
      <c r="BB71">
        <f>BA71*SQRT(BC71)</f>
        <v>8.6602540378443865E-2</v>
      </c>
      <c r="BC71">
        <v>3</v>
      </c>
      <c r="BD71">
        <v>1.71</v>
      </c>
      <c r="BE71">
        <v>1.71</v>
      </c>
      <c r="BF71">
        <v>0.05</v>
      </c>
      <c r="BG71">
        <f>BF71*SQRT(BH71)</f>
        <v>8.6602540378443865E-2</v>
      </c>
      <c r="BH71">
        <v>3</v>
      </c>
      <c r="BI71">
        <v>8</v>
      </c>
      <c r="BJ71">
        <v>4</v>
      </c>
      <c r="BK71">
        <v>0.26279999999999998</v>
      </c>
      <c r="BL71">
        <v>2.3E-3</v>
      </c>
    </row>
    <row r="72" spans="1:65" x14ac:dyDescent="0.2">
      <c r="A72">
        <v>167</v>
      </c>
      <c r="B72" t="str">
        <f>ROW()-1&amp;"_AltersFish"</f>
        <v>71_AltersFish</v>
      </c>
      <c r="C72" t="str">
        <f>A72 &amp; "_" &amp; P72 &amp; "_" &amp;
SUBSTITUTE(TRIM(L72)," ","_") &amp;
"_pH" &amp; TEXT(Z72,"0.00") &amp;
"_T" &amp; TEXT(AI72,"0.00") &amp;
"_CO2" &amp; TEXT(V72,"0") &amp;
"_LANG"</f>
        <v>167_EMBRYO_Gadus_morhua_pH8.14_T6.20_CO2415_LANG</v>
      </c>
      <c r="D72" t="s">
        <v>54</v>
      </c>
      <c r="E72">
        <v>2017</v>
      </c>
      <c r="F72" t="s">
        <v>296</v>
      </c>
      <c r="G72" t="s">
        <v>154</v>
      </c>
      <c r="H72" t="s">
        <v>78</v>
      </c>
      <c r="I72" t="s">
        <v>540</v>
      </c>
      <c r="J72" t="s">
        <v>543</v>
      </c>
      <c r="K72" t="s">
        <v>79</v>
      </c>
      <c r="L72" t="s">
        <v>206</v>
      </c>
      <c r="M72" t="s">
        <v>81</v>
      </c>
      <c r="N72" t="s">
        <v>81</v>
      </c>
      <c r="O72" t="s">
        <v>106</v>
      </c>
      <c r="P72" t="s">
        <v>82</v>
      </c>
      <c r="Q72" t="s">
        <v>74</v>
      </c>
      <c r="R72" t="s">
        <v>83</v>
      </c>
      <c r="S72" t="s">
        <v>64</v>
      </c>
      <c r="T72" t="s">
        <v>64</v>
      </c>
      <c r="U72" t="s">
        <v>66</v>
      </c>
      <c r="V72">
        <v>415</v>
      </c>
      <c r="W72" t="s">
        <v>67</v>
      </c>
      <c r="X72" t="s">
        <v>67</v>
      </c>
      <c r="Y72" t="s">
        <v>183</v>
      </c>
      <c r="Z72">
        <v>8.14</v>
      </c>
      <c r="AA72" t="s">
        <v>67</v>
      </c>
      <c r="AB72" t="s">
        <v>67</v>
      </c>
      <c r="AC72">
        <v>1097</v>
      </c>
      <c r="AD72" t="s">
        <v>67</v>
      </c>
      <c r="AE72" t="s">
        <v>67</v>
      </c>
      <c r="AF72">
        <v>7.77</v>
      </c>
      <c r="AG72" t="s">
        <v>67</v>
      </c>
      <c r="AH72" t="s">
        <v>67</v>
      </c>
      <c r="AI72">
        <v>6.2</v>
      </c>
      <c r="AJ72" t="s">
        <v>67</v>
      </c>
      <c r="AK72" t="s">
        <v>67</v>
      </c>
      <c r="AL72">
        <v>12.1</v>
      </c>
      <c r="AM72" t="s">
        <v>67</v>
      </c>
      <c r="AN72" t="s">
        <v>67</v>
      </c>
      <c r="AO72">
        <v>682</v>
      </c>
      <c r="AP72">
        <v>6</v>
      </c>
      <c r="AQ72" t="s">
        <v>67</v>
      </c>
      <c r="AR72" t="s">
        <v>297</v>
      </c>
      <c r="AS72" t="s">
        <v>134</v>
      </c>
      <c r="AT72" t="s">
        <v>135</v>
      </c>
      <c r="AU72" t="s">
        <v>298</v>
      </c>
      <c r="AV72" t="s">
        <v>137</v>
      </c>
      <c r="AW72" t="s">
        <v>132</v>
      </c>
      <c r="AX72" t="s">
        <v>73</v>
      </c>
      <c r="AY72">
        <v>1.3148</v>
      </c>
      <c r="AZ72">
        <v>1.31481</v>
      </c>
      <c r="BA72">
        <v>0.05</v>
      </c>
      <c r="BB72">
        <f>BA72*SQRT(BC72)</f>
        <v>8.6602540378443865E-2</v>
      </c>
      <c r="BC72">
        <v>3</v>
      </c>
      <c r="BD72">
        <v>1.68</v>
      </c>
      <c r="BE72">
        <v>1.68</v>
      </c>
      <c r="BF72">
        <v>0.05</v>
      </c>
      <c r="BG72">
        <f>BF72*SQRT(BH72)</f>
        <v>8.6602540378443865E-2</v>
      </c>
      <c r="BH72">
        <v>3</v>
      </c>
      <c r="BI72">
        <v>8</v>
      </c>
      <c r="BJ72">
        <v>4</v>
      </c>
      <c r="BK72">
        <v>0.24510000000000001</v>
      </c>
      <c r="BL72">
        <v>2.3E-3</v>
      </c>
    </row>
    <row r="73" spans="1:65" x14ac:dyDescent="0.2">
      <c r="A73">
        <v>167</v>
      </c>
      <c r="B73" t="str">
        <f>ROW()-1&amp;"_AltersFish"</f>
        <v>72_AltersFish</v>
      </c>
      <c r="C73" t="str">
        <f>A73 &amp; "_" &amp; P73 &amp; "_" &amp;
SUBSTITUTE(TRIM(L73)," ","_") &amp;
"_pH" &amp; TEXT(Z73,"0.00") &amp;
"_T" &amp; TEXT(AI73,"0.00") &amp;
"_CO2" &amp; TEXT(V73,"0") &amp;
"_LANG"</f>
        <v>167_EMBRYO_Gadus_morhua_pH8.14_T6.20_CO2415_LANG</v>
      </c>
      <c r="D73" t="s">
        <v>54</v>
      </c>
      <c r="E73">
        <v>2017</v>
      </c>
      <c r="F73" t="s">
        <v>296</v>
      </c>
      <c r="G73" t="s">
        <v>154</v>
      </c>
      <c r="H73" t="s">
        <v>78</v>
      </c>
      <c r="I73" t="s">
        <v>540</v>
      </c>
      <c r="J73" t="s">
        <v>543</v>
      </c>
      <c r="K73" t="s">
        <v>79</v>
      </c>
      <c r="L73" t="s">
        <v>206</v>
      </c>
      <c r="M73" t="s">
        <v>81</v>
      </c>
      <c r="N73" t="s">
        <v>81</v>
      </c>
      <c r="O73" t="s">
        <v>106</v>
      </c>
      <c r="P73" t="s">
        <v>82</v>
      </c>
      <c r="Q73" t="s">
        <v>74</v>
      </c>
      <c r="R73" t="s">
        <v>83</v>
      </c>
      <c r="S73" t="s">
        <v>74</v>
      </c>
      <c r="T73" t="s">
        <v>64</v>
      </c>
      <c r="U73" t="s">
        <v>75</v>
      </c>
      <c r="V73">
        <v>415</v>
      </c>
      <c r="W73" t="s">
        <v>67</v>
      </c>
      <c r="X73" t="s">
        <v>67</v>
      </c>
      <c r="Y73" t="s">
        <v>183</v>
      </c>
      <c r="Z73">
        <v>8.14</v>
      </c>
      <c r="AA73" t="s">
        <v>67</v>
      </c>
      <c r="AB73" t="s">
        <v>67</v>
      </c>
      <c r="AC73">
        <v>417</v>
      </c>
      <c r="AD73" t="s">
        <v>67</v>
      </c>
      <c r="AE73" t="s">
        <v>67</v>
      </c>
      <c r="AF73">
        <v>8.14</v>
      </c>
      <c r="AG73" t="s">
        <v>67</v>
      </c>
      <c r="AH73" t="s">
        <v>67</v>
      </c>
      <c r="AI73">
        <v>6.2</v>
      </c>
      <c r="AJ73" t="s">
        <v>67</v>
      </c>
      <c r="AK73" t="s">
        <v>67</v>
      </c>
      <c r="AL73">
        <v>12.1</v>
      </c>
      <c r="AM73" t="s">
        <v>67</v>
      </c>
      <c r="AN73" t="s">
        <v>67</v>
      </c>
      <c r="AO73">
        <v>2</v>
      </c>
      <c r="AP73">
        <v>6</v>
      </c>
      <c r="AQ73" t="s">
        <v>67</v>
      </c>
      <c r="AR73" t="s">
        <v>297</v>
      </c>
      <c r="AS73" t="s">
        <v>134</v>
      </c>
      <c r="AT73" t="s">
        <v>135</v>
      </c>
      <c r="AU73" t="s">
        <v>298</v>
      </c>
      <c r="AV73" t="s">
        <v>137</v>
      </c>
      <c r="AW73" t="s">
        <v>132</v>
      </c>
      <c r="AX73" t="s">
        <v>73</v>
      </c>
      <c r="AY73">
        <v>1.3148</v>
      </c>
      <c r="AZ73">
        <v>1.31481</v>
      </c>
      <c r="BA73">
        <v>0.05</v>
      </c>
      <c r="BB73">
        <f>BA73*SQRT(BC73)</f>
        <v>8.6602540378443865E-2</v>
      </c>
      <c r="BC73">
        <v>3</v>
      </c>
      <c r="BD73">
        <v>1.81</v>
      </c>
      <c r="BE73">
        <v>1.81</v>
      </c>
      <c r="BF73">
        <v>0.06</v>
      </c>
      <c r="BG73">
        <f>BF73*SQRT(BH73)</f>
        <v>0.10392304845413262</v>
      </c>
      <c r="BH73">
        <v>3</v>
      </c>
      <c r="BI73">
        <v>6</v>
      </c>
      <c r="BJ73">
        <v>4</v>
      </c>
      <c r="BK73">
        <v>0.3196</v>
      </c>
      <c r="BL73">
        <v>2.5000000000000001E-3</v>
      </c>
    </row>
    <row r="74" spans="1:65" x14ac:dyDescent="0.2">
      <c r="A74">
        <v>167</v>
      </c>
      <c r="B74" t="str">
        <f>ROW()-1&amp;"_AltersFish"</f>
        <v>73_AltersFish</v>
      </c>
      <c r="C74" t="str">
        <f>A74 &amp; "_" &amp; P74 &amp; "_" &amp;
SUBSTITUTE(TRIM(L74)," ","_") &amp;
"_pH" &amp; TEXT(Z74,"0.00") &amp;
"_T" &amp; TEXT(AI74,"0.00") &amp;
"_CO2" &amp; TEXT(V74,"0") &amp;
"_LANG"</f>
        <v>167_EMBRYO_Gadus_morhua_pH8.14_T6.20_CO2415_LANG</v>
      </c>
      <c r="D74" t="s">
        <v>54</v>
      </c>
      <c r="E74">
        <v>2017</v>
      </c>
      <c r="F74" t="s">
        <v>296</v>
      </c>
      <c r="G74" t="s">
        <v>154</v>
      </c>
      <c r="H74" t="s">
        <v>78</v>
      </c>
      <c r="I74" t="s">
        <v>540</v>
      </c>
      <c r="J74" t="s">
        <v>543</v>
      </c>
      <c r="K74" t="s">
        <v>79</v>
      </c>
      <c r="L74" t="s">
        <v>206</v>
      </c>
      <c r="M74" t="s">
        <v>81</v>
      </c>
      <c r="N74" t="s">
        <v>81</v>
      </c>
      <c r="O74" t="s">
        <v>106</v>
      </c>
      <c r="P74" t="s">
        <v>82</v>
      </c>
      <c r="Q74" t="s">
        <v>74</v>
      </c>
      <c r="R74" t="s">
        <v>83</v>
      </c>
      <c r="S74" t="s">
        <v>74</v>
      </c>
      <c r="T74" t="s">
        <v>64</v>
      </c>
      <c r="U74" t="s">
        <v>75</v>
      </c>
      <c r="V74">
        <v>415</v>
      </c>
      <c r="W74" t="s">
        <v>67</v>
      </c>
      <c r="X74" t="s">
        <v>67</v>
      </c>
      <c r="Y74" t="s">
        <v>183</v>
      </c>
      <c r="Z74">
        <v>8.14</v>
      </c>
      <c r="AA74" t="s">
        <v>67</v>
      </c>
      <c r="AB74" t="s">
        <v>67</v>
      </c>
      <c r="AC74">
        <v>422</v>
      </c>
      <c r="AD74" t="s">
        <v>67</v>
      </c>
      <c r="AE74" t="s">
        <v>67</v>
      </c>
      <c r="AF74">
        <v>8.14</v>
      </c>
      <c r="AG74" t="s">
        <v>67</v>
      </c>
      <c r="AH74" t="s">
        <v>67</v>
      </c>
      <c r="AI74">
        <v>6.2</v>
      </c>
      <c r="AJ74" t="s">
        <v>67</v>
      </c>
      <c r="AK74" t="s">
        <v>67</v>
      </c>
      <c r="AL74">
        <v>9.1</v>
      </c>
      <c r="AM74" t="s">
        <v>67</v>
      </c>
      <c r="AN74" t="s">
        <v>67</v>
      </c>
      <c r="AO74">
        <v>7</v>
      </c>
      <c r="AP74">
        <v>3</v>
      </c>
      <c r="AQ74" t="s">
        <v>67</v>
      </c>
      <c r="AR74" t="s">
        <v>306</v>
      </c>
      <c r="AS74" t="s">
        <v>306</v>
      </c>
      <c r="AT74" t="s">
        <v>135</v>
      </c>
      <c r="AU74" t="s">
        <v>307</v>
      </c>
      <c r="AV74" t="s">
        <v>72</v>
      </c>
      <c r="AW74" t="s">
        <v>72</v>
      </c>
      <c r="AX74" t="s">
        <v>73</v>
      </c>
      <c r="AY74">
        <v>22.24</v>
      </c>
      <c r="AZ74">
        <v>22.24</v>
      </c>
      <c r="BA74">
        <v>0.82</v>
      </c>
      <c r="BB74">
        <f>BA74*SQRT(BC74)</f>
        <v>2.1695160750729641</v>
      </c>
      <c r="BC74">
        <v>7</v>
      </c>
      <c r="BD74">
        <v>25.148199999999999</v>
      </c>
      <c r="BE74">
        <v>25.14820593</v>
      </c>
      <c r="BF74">
        <v>0.82</v>
      </c>
      <c r="BG74">
        <f>BF74*SQRT(BH74)</f>
        <v>2.1695160750729641</v>
      </c>
      <c r="BH74">
        <v>7</v>
      </c>
      <c r="BI74">
        <v>12</v>
      </c>
      <c r="BJ74">
        <v>4</v>
      </c>
      <c r="BK74">
        <v>0.1229</v>
      </c>
      <c r="BL74">
        <v>2.3999999999999998E-3</v>
      </c>
    </row>
    <row r="75" spans="1:65" x14ac:dyDescent="0.2">
      <c r="A75">
        <v>167</v>
      </c>
      <c r="B75" t="str">
        <f>ROW()-1&amp;"_AltersFish"</f>
        <v>74_AltersFish</v>
      </c>
      <c r="C75" t="str">
        <f>A75 &amp; "_" &amp; P75 &amp; "_" &amp;
SUBSTITUTE(TRIM(L75)," ","_") &amp;
"_pH" &amp; TEXT(Z75,"0.00") &amp;
"_T" &amp; TEXT(AI75,"0.00") &amp;
"_CO2" &amp; TEXT(V75,"0") &amp;
"_LANG"</f>
        <v>167_EMBRYO_Gadus_morhua_pH8.14_T6.20_CO2415_LANG</v>
      </c>
      <c r="D75" t="s">
        <v>54</v>
      </c>
      <c r="E75">
        <v>2017</v>
      </c>
      <c r="F75" t="s">
        <v>296</v>
      </c>
      <c r="G75" t="s">
        <v>154</v>
      </c>
      <c r="H75" t="s">
        <v>78</v>
      </c>
      <c r="I75" t="s">
        <v>540</v>
      </c>
      <c r="J75" t="s">
        <v>543</v>
      </c>
      <c r="K75" t="s">
        <v>79</v>
      </c>
      <c r="L75" t="s">
        <v>206</v>
      </c>
      <c r="M75" t="s">
        <v>81</v>
      </c>
      <c r="N75" t="s">
        <v>81</v>
      </c>
      <c r="O75" t="s">
        <v>106</v>
      </c>
      <c r="P75" t="s">
        <v>82</v>
      </c>
      <c r="Q75" t="s">
        <v>74</v>
      </c>
      <c r="R75" t="s">
        <v>83</v>
      </c>
      <c r="S75" t="s">
        <v>64</v>
      </c>
      <c r="T75" t="s">
        <v>64</v>
      </c>
      <c r="U75" t="s">
        <v>66</v>
      </c>
      <c r="V75">
        <v>415</v>
      </c>
      <c r="W75" t="s">
        <v>67</v>
      </c>
      <c r="X75" t="s">
        <v>67</v>
      </c>
      <c r="Y75" t="s">
        <v>183</v>
      </c>
      <c r="Z75">
        <v>8.14</v>
      </c>
      <c r="AA75" t="s">
        <v>67</v>
      </c>
      <c r="AB75" t="s">
        <v>67</v>
      </c>
      <c r="AC75">
        <v>1091</v>
      </c>
      <c r="AD75" t="s">
        <v>67</v>
      </c>
      <c r="AE75" t="s">
        <v>67</v>
      </c>
      <c r="AF75">
        <v>7.77</v>
      </c>
      <c r="AG75" t="s">
        <v>67</v>
      </c>
      <c r="AH75" t="s">
        <v>67</v>
      </c>
      <c r="AI75">
        <v>6.2</v>
      </c>
      <c r="AJ75" t="s">
        <v>67</v>
      </c>
      <c r="AK75" t="s">
        <v>67</v>
      </c>
      <c r="AL75">
        <v>9.1</v>
      </c>
      <c r="AM75" t="s">
        <v>67</v>
      </c>
      <c r="AN75" t="s">
        <v>67</v>
      </c>
      <c r="AO75">
        <v>676</v>
      </c>
      <c r="AP75">
        <v>3</v>
      </c>
      <c r="AQ75" t="s">
        <v>67</v>
      </c>
      <c r="AR75" t="s">
        <v>306</v>
      </c>
      <c r="AS75" t="s">
        <v>306</v>
      </c>
      <c r="AT75" t="s">
        <v>135</v>
      </c>
      <c r="AU75" t="s">
        <v>307</v>
      </c>
      <c r="AV75" t="s">
        <v>72</v>
      </c>
      <c r="AW75" t="s">
        <v>72</v>
      </c>
      <c r="AX75" t="s">
        <v>73</v>
      </c>
      <c r="AY75">
        <v>22.24</v>
      </c>
      <c r="AZ75">
        <v>22.24</v>
      </c>
      <c r="BA75">
        <v>0.82</v>
      </c>
      <c r="BB75">
        <f>BA75*SQRT(BC75)</f>
        <v>2.1695160750729641</v>
      </c>
      <c r="BC75">
        <v>7</v>
      </c>
      <c r="BD75">
        <v>24.711400000000001</v>
      </c>
      <c r="BE75">
        <v>24.711388459999998</v>
      </c>
      <c r="BF75">
        <v>0.82</v>
      </c>
      <c r="BG75">
        <f>BF75*SQRT(BH75)</f>
        <v>2.1695160750729641</v>
      </c>
      <c r="BH75">
        <v>7</v>
      </c>
      <c r="BI75">
        <v>12</v>
      </c>
      <c r="BJ75">
        <v>4</v>
      </c>
      <c r="BK75">
        <v>0.10539999999999999</v>
      </c>
      <c r="BL75">
        <v>2.5000000000000001E-3</v>
      </c>
    </row>
    <row r="76" spans="1:65" x14ac:dyDescent="0.2">
      <c r="A76">
        <v>167</v>
      </c>
      <c r="B76" t="str">
        <f>ROW()-1&amp;"_AltersFish"</f>
        <v>75_AltersFish</v>
      </c>
      <c r="C76" t="str">
        <f>A76 &amp; "_" &amp; P76 &amp; "_" &amp;
SUBSTITUTE(TRIM(L76)," ","_") &amp;
"_pH" &amp; TEXT(Z76,"0.00") &amp;
"_T" &amp; TEXT(AI76,"0.00") &amp;
"_CO2" &amp; TEXT(V76,"0") &amp;
"_LANG"</f>
        <v>167_EMBRYO_Gadus_morhua_pH8.14_T6.20_CO2415_LANG</v>
      </c>
      <c r="D76" t="s">
        <v>54</v>
      </c>
      <c r="E76">
        <v>2017</v>
      </c>
      <c r="F76" t="s">
        <v>296</v>
      </c>
      <c r="G76" t="s">
        <v>154</v>
      </c>
      <c r="H76" t="s">
        <v>78</v>
      </c>
      <c r="I76" t="s">
        <v>540</v>
      </c>
      <c r="J76" t="s">
        <v>543</v>
      </c>
      <c r="K76" t="s">
        <v>79</v>
      </c>
      <c r="L76" t="s">
        <v>206</v>
      </c>
      <c r="M76" t="s">
        <v>81</v>
      </c>
      <c r="N76" t="s">
        <v>81</v>
      </c>
      <c r="O76" t="s">
        <v>106</v>
      </c>
      <c r="P76" t="s">
        <v>82</v>
      </c>
      <c r="Q76" t="s">
        <v>74</v>
      </c>
      <c r="R76" t="s">
        <v>83</v>
      </c>
      <c r="S76" t="s">
        <v>74</v>
      </c>
      <c r="T76" t="s">
        <v>64</v>
      </c>
      <c r="U76" t="s">
        <v>75</v>
      </c>
      <c r="V76">
        <v>415</v>
      </c>
      <c r="W76" t="s">
        <v>67</v>
      </c>
      <c r="X76" t="s">
        <v>67</v>
      </c>
      <c r="Y76" t="s">
        <v>183</v>
      </c>
      <c r="Z76">
        <v>8.14</v>
      </c>
      <c r="AA76" t="s">
        <v>67</v>
      </c>
      <c r="AB76" t="s">
        <v>67</v>
      </c>
      <c r="AC76">
        <v>417</v>
      </c>
      <c r="AD76" t="s">
        <v>67</v>
      </c>
      <c r="AE76" t="s">
        <v>67</v>
      </c>
      <c r="AF76">
        <v>8.14</v>
      </c>
      <c r="AG76" t="s">
        <v>67</v>
      </c>
      <c r="AH76" t="s">
        <v>67</v>
      </c>
      <c r="AI76">
        <v>6.2</v>
      </c>
      <c r="AJ76" t="s">
        <v>67</v>
      </c>
      <c r="AK76" t="s">
        <v>67</v>
      </c>
      <c r="AL76">
        <v>12.1</v>
      </c>
      <c r="AM76" t="s">
        <v>67</v>
      </c>
      <c r="AN76" t="s">
        <v>67</v>
      </c>
      <c r="AO76">
        <v>2</v>
      </c>
      <c r="AP76">
        <v>6</v>
      </c>
      <c r="AQ76" t="s">
        <v>67</v>
      </c>
      <c r="AR76" t="s">
        <v>306</v>
      </c>
      <c r="AS76" t="s">
        <v>306</v>
      </c>
      <c r="AT76" t="s">
        <v>135</v>
      </c>
      <c r="AU76" t="s">
        <v>307</v>
      </c>
      <c r="AV76" t="s">
        <v>72</v>
      </c>
      <c r="AW76" t="s">
        <v>72</v>
      </c>
      <c r="AX76" t="s">
        <v>73</v>
      </c>
      <c r="AY76">
        <v>22.24</v>
      </c>
      <c r="AZ76">
        <v>22.24</v>
      </c>
      <c r="BA76">
        <v>0.82</v>
      </c>
      <c r="BB76">
        <f>BA76*SQRT(BC76)</f>
        <v>2.1695160750729641</v>
      </c>
      <c r="BC76">
        <v>7</v>
      </c>
      <c r="BD76">
        <v>17.722300000000001</v>
      </c>
      <c r="BE76">
        <v>17.722308890000001</v>
      </c>
      <c r="BF76">
        <v>0.82</v>
      </c>
      <c r="BG76">
        <f>BF76*SQRT(BH76)</f>
        <v>2.1695160750729641</v>
      </c>
      <c r="BH76">
        <v>7</v>
      </c>
      <c r="BI76">
        <v>9</v>
      </c>
      <c r="BJ76">
        <v>4</v>
      </c>
      <c r="BK76">
        <v>-0.2271</v>
      </c>
      <c r="BL76">
        <v>3.5000000000000001E-3</v>
      </c>
    </row>
    <row r="77" spans="1:65" x14ac:dyDescent="0.2">
      <c r="A77">
        <v>167</v>
      </c>
      <c r="B77" t="str">
        <f>ROW()-1&amp;"_AltersFish"</f>
        <v>76_AltersFish</v>
      </c>
      <c r="C77" t="str">
        <f>A77 &amp; "_" &amp; P77 &amp; "_" &amp;
SUBSTITUTE(TRIM(L77)," ","_") &amp;
"_pH" &amp; TEXT(Z77,"0.00") &amp;
"_T" &amp; TEXT(AI77,"0.00") &amp;
"_CO2" &amp; TEXT(V77,"0") &amp;
"_LANG"</f>
        <v>167_EMBRYO_Gadus_morhua_pH8.14_T6.20_CO2415_LANG</v>
      </c>
      <c r="D77" t="s">
        <v>54</v>
      </c>
      <c r="E77">
        <v>2017</v>
      </c>
      <c r="F77" t="s">
        <v>296</v>
      </c>
      <c r="G77" t="s">
        <v>154</v>
      </c>
      <c r="H77" t="s">
        <v>78</v>
      </c>
      <c r="I77" t="s">
        <v>540</v>
      </c>
      <c r="J77" t="s">
        <v>543</v>
      </c>
      <c r="K77" t="s">
        <v>79</v>
      </c>
      <c r="L77" t="s">
        <v>206</v>
      </c>
      <c r="M77" t="s">
        <v>81</v>
      </c>
      <c r="N77" t="s">
        <v>81</v>
      </c>
      <c r="O77" t="s">
        <v>106</v>
      </c>
      <c r="P77" t="s">
        <v>82</v>
      </c>
      <c r="Q77" t="s">
        <v>74</v>
      </c>
      <c r="R77" t="s">
        <v>83</v>
      </c>
      <c r="S77" t="s">
        <v>64</v>
      </c>
      <c r="T77" t="s">
        <v>64</v>
      </c>
      <c r="U77" t="s">
        <v>66</v>
      </c>
      <c r="V77">
        <v>415</v>
      </c>
      <c r="W77" t="s">
        <v>67</v>
      </c>
      <c r="X77" t="s">
        <v>67</v>
      </c>
      <c r="Y77" t="s">
        <v>183</v>
      </c>
      <c r="Z77">
        <v>8.14</v>
      </c>
      <c r="AA77" t="s">
        <v>67</v>
      </c>
      <c r="AB77" t="s">
        <v>67</v>
      </c>
      <c r="AC77">
        <v>1097</v>
      </c>
      <c r="AD77" t="s">
        <v>67</v>
      </c>
      <c r="AE77" t="s">
        <v>67</v>
      </c>
      <c r="AF77">
        <v>7.77</v>
      </c>
      <c r="AG77" t="s">
        <v>67</v>
      </c>
      <c r="AH77" t="s">
        <v>67</v>
      </c>
      <c r="AI77">
        <v>6.2</v>
      </c>
      <c r="AJ77" t="s">
        <v>67</v>
      </c>
      <c r="AK77" t="s">
        <v>67</v>
      </c>
      <c r="AL77">
        <v>12.1</v>
      </c>
      <c r="AM77" t="s">
        <v>67</v>
      </c>
      <c r="AN77" t="s">
        <v>67</v>
      </c>
      <c r="AO77">
        <v>682</v>
      </c>
      <c r="AP77">
        <v>6</v>
      </c>
      <c r="AQ77" t="s">
        <v>67</v>
      </c>
      <c r="AR77" t="s">
        <v>306</v>
      </c>
      <c r="AS77" t="s">
        <v>306</v>
      </c>
      <c r="AT77" t="s">
        <v>135</v>
      </c>
      <c r="AU77" t="s">
        <v>307</v>
      </c>
      <c r="AV77" t="s">
        <v>72</v>
      </c>
      <c r="AW77" t="s">
        <v>72</v>
      </c>
      <c r="AX77" t="s">
        <v>73</v>
      </c>
      <c r="AY77">
        <v>22.24</v>
      </c>
      <c r="AZ77">
        <v>22.24</v>
      </c>
      <c r="BA77">
        <v>0.82</v>
      </c>
      <c r="BB77">
        <f>BA77*SQRT(BC77)</f>
        <v>2.1695160750729641</v>
      </c>
      <c r="BC77">
        <v>7</v>
      </c>
      <c r="BD77">
        <v>22.028099999999998</v>
      </c>
      <c r="BE77">
        <v>22.02808112</v>
      </c>
      <c r="BF77">
        <v>1.6225000000000001</v>
      </c>
      <c r="BG77">
        <f>BF77*SQRT(BH77)</f>
        <v>4.2927315022022983</v>
      </c>
      <c r="BH77">
        <v>7</v>
      </c>
      <c r="BI77">
        <v>9</v>
      </c>
      <c r="BJ77">
        <v>4</v>
      </c>
      <c r="BK77">
        <v>-9.5999999999999992E-3</v>
      </c>
      <c r="BL77">
        <v>6.7999999999999996E-3</v>
      </c>
    </row>
    <row r="78" spans="1:65" x14ac:dyDescent="0.2">
      <c r="A78">
        <v>167</v>
      </c>
      <c r="B78" t="str">
        <f>ROW()-1&amp;"_AltersFish"</f>
        <v>77_AltersFish</v>
      </c>
      <c r="C78" t="str">
        <f>A78 &amp; "_" &amp; P78 &amp; "_" &amp;
SUBSTITUTE(TRIM(L78)," ","_") &amp;
"_pH" &amp; TEXT(Z78,"0.00") &amp;
"_T" &amp; TEXT(AI78,"0.00") &amp;
"_CO2" &amp; TEXT(V78,"0") &amp;
"_LANG"</f>
        <v>167_EMBRYO_Gadus_morhua_pH8.14_T6.20_CO2415_LANG</v>
      </c>
      <c r="D78" t="s">
        <v>54</v>
      </c>
      <c r="E78">
        <v>2017</v>
      </c>
      <c r="F78" t="s">
        <v>296</v>
      </c>
      <c r="G78" t="s">
        <v>154</v>
      </c>
      <c r="H78" t="s">
        <v>78</v>
      </c>
      <c r="I78" t="s">
        <v>540</v>
      </c>
      <c r="J78" t="s">
        <v>543</v>
      </c>
      <c r="K78" t="s">
        <v>79</v>
      </c>
      <c r="L78" t="s">
        <v>206</v>
      </c>
      <c r="M78" t="s">
        <v>81</v>
      </c>
      <c r="N78" t="s">
        <v>81</v>
      </c>
      <c r="O78" t="s">
        <v>106</v>
      </c>
      <c r="P78" t="s">
        <v>82</v>
      </c>
      <c r="Q78" t="s">
        <v>74</v>
      </c>
      <c r="R78" t="s">
        <v>83</v>
      </c>
      <c r="S78" t="s">
        <v>64</v>
      </c>
      <c r="T78" t="s">
        <v>74</v>
      </c>
      <c r="U78" t="s">
        <v>84</v>
      </c>
      <c r="V78">
        <v>415</v>
      </c>
      <c r="W78" t="s">
        <v>67</v>
      </c>
      <c r="X78" t="s">
        <v>67</v>
      </c>
      <c r="Y78" t="s">
        <v>183</v>
      </c>
      <c r="Z78">
        <v>8.14</v>
      </c>
      <c r="AA78" t="s">
        <v>67</v>
      </c>
      <c r="AB78" t="s">
        <v>67</v>
      </c>
      <c r="AC78">
        <v>1122</v>
      </c>
      <c r="AD78" t="s">
        <v>67</v>
      </c>
      <c r="AE78" t="s">
        <v>67</v>
      </c>
      <c r="AF78">
        <v>7.76</v>
      </c>
      <c r="AG78" t="s">
        <v>67</v>
      </c>
      <c r="AH78" t="s">
        <v>67</v>
      </c>
      <c r="AI78">
        <v>6.2</v>
      </c>
      <c r="AJ78" t="s">
        <v>67</v>
      </c>
      <c r="AK78" t="s">
        <v>67</v>
      </c>
      <c r="AL78">
        <v>6.2</v>
      </c>
      <c r="AM78" t="s">
        <v>67</v>
      </c>
      <c r="AN78" t="s">
        <v>67</v>
      </c>
      <c r="AO78">
        <v>707</v>
      </c>
      <c r="AP78">
        <v>0</v>
      </c>
      <c r="AQ78" t="s">
        <v>67</v>
      </c>
      <c r="AR78" t="s">
        <v>306</v>
      </c>
      <c r="AS78" t="s">
        <v>306</v>
      </c>
      <c r="AT78" t="s">
        <v>135</v>
      </c>
      <c r="AU78" t="s">
        <v>307</v>
      </c>
      <c r="AV78" t="s">
        <v>72</v>
      </c>
      <c r="AW78" t="s">
        <v>72</v>
      </c>
      <c r="AX78" t="s">
        <v>73</v>
      </c>
      <c r="AY78">
        <v>22.24</v>
      </c>
      <c r="AZ78">
        <v>22.24</v>
      </c>
      <c r="BA78">
        <v>0.82</v>
      </c>
      <c r="BB78">
        <f>BA78*SQRT(BC78)</f>
        <v>2.1695160750729641</v>
      </c>
      <c r="BC78">
        <v>7</v>
      </c>
      <c r="BD78">
        <v>24.898599999999998</v>
      </c>
      <c r="BE78">
        <v>24.89859594</v>
      </c>
      <c r="BF78">
        <v>1.8721000000000001</v>
      </c>
      <c r="BG78">
        <f>BF78*SQRT(BH78)</f>
        <v>4.9531110294440204</v>
      </c>
      <c r="BH78">
        <v>7</v>
      </c>
      <c r="BI78">
        <v>19</v>
      </c>
      <c r="BJ78">
        <v>4</v>
      </c>
      <c r="BK78">
        <v>0.1129</v>
      </c>
      <c r="BL78">
        <v>7.0000000000000001E-3</v>
      </c>
    </row>
    <row r="79" spans="1:65" x14ac:dyDescent="0.2">
      <c r="A79">
        <v>167</v>
      </c>
      <c r="B79" t="str">
        <f>ROW()-1&amp;"_AltersFish"</f>
        <v>78_AltersFish</v>
      </c>
      <c r="C79" t="str">
        <f>A79 &amp; "_" &amp; P79 &amp; "_" &amp;
SUBSTITUTE(TRIM(L79)," ","_") &amp;
"_pH" &amp; TEXT(Z79,"0.00") &amp;
"_T" &amp; TEXT(AI79,"0.00") &amp;
"_CO2" &amp; TEXT(V79,"0") &amp;
"_LANG"</f>
        <v>167_EMBRYO_Gadus_morhua_pH8.14_T6.20_CO2415_LANG</v>
      </c>
      <c r="D79" t="s">
        <v>54</v>
      </c>
      <c r="E79">
        <v>2017</v>
      </c>
      <c r="F79" t="s">
        <v>296</v>
      </c>
      <c r="G79" t="s">
        <v>154</v>
      </c>
      <c r="H79" t="s">
        <v>78</v>
      </c>
      <c r="I79" t="s">
        <v>540</v>
      </c>
      <c r="J79" t="s">
        <v>543</v>
      </c>
      <c r="K79" t="s">
        <v>79</v>
      </c>
      <c r="L79" t="s">
        <v>206</v>
      </c>
      <c r="M79" t="s">
        <v>81</v>
      </c>
      <c r="N79" t="s">
        <v>81</v>
      </c>
      <c r="O79" t="s">
        <v>106</v>
      </c>
      <c r="P79" t="s">
        <v>82</v>
      </c>
      <c r="Q79" t="s">
        <v>74</v>
      </c>
      <c r="R79" t="s">
        <v>83</v>
      </c>
      <c r="S79" t="s">
        <v>74</v>
      </c>
      <c r="T79" t="s">
        <v>64</v>
      </c>
      <c r="U79" t="s">
        <v>75</v>
      </c>
      <c r="V79">
        <v>415</v>
      </c>
      <c r="W79" t="s">
        <v>67</v>
      </c>
      <c r="X79" t="s">
        <v>67</v>
      </c>
      <c r="Y79" t="s">
        <v>183</v>
      </c>
      <c r="Z79">
        <v>8.14</v>
      </c>
      <c r="AA79" t="s">
        <v>67</v>
      </c>
      <c r="AB79" t="s">
        <v>67</v>
      </c>
      <c r="AC79">
        <v>417</v>
      </c>
      <c r="AD79" t="s">
        <v>67</v>
      </c>
      <c r="AE79" t="s">
        <v>67</v>
      </c>
      <c r="AF79">
        <v>8.14</v>
      </c>
      <c r="AG79" t="s">
        <v>67</v>
      </c>
      <c r="AH79" t="s">
        <v>67</v>
      </c>
      <c r="AI79">
        <v>6.2</v>
      </c>
      <c r="AJ79" t="s">
        <v>67</v>
      </c>
      <c r="AK79" t="s">
        <v>67</v>
      </c>
      <c r="AL79">
        <v>12.1</v>
      </c>
      <c r="AM79" t="s">
        <v>67</v>
      </c>
      <c r="AN79" t="s">
        <v>67</v>
      </c>
      <c r="AO79">
        <v>2</v>
      </c>
      <c r="AP79">
        <v>6</v>
      </c>
      <c r="AQ79" t="s">
        <v>67</v>
      </c>
      <c r="AR79" t="s">
        <v>433</v>
      </c>
      <c r="AS79" t="s">
        <v>105</v>
      </c>
      <c r="AT79" t="s">
        <v>70</v>
      </c>
      <c r="AU79" t="s">
        <v>89</v>
      </c>
      <c r="AV79" t="s">
        <v>88</v>
      </c>
      <c r="AW79" t="s">
        <v>151</v>
      </c>
      <c r="AX79" t="s">
        <v>90</v>
      </c>
      <c r="AY79">
        <v>62.331099999999999</v>
      </c>
      <c r="AZ79">
        <v>62.33108</v>
      </c>
      <c r="BA79">
        <v>2.8715999999999999</v>
      </c>
      <c r="BB79">
        <f>BA79*SQRT(BC79)</f>
        <v>6.4210928041883966</v>
      </c>
      <c r="BC79">
        <v>5</v>
      </c>
      <c r="BD79">
        <v>21.22</v>
      </c>
      <c r="BE79">
        <v>21.22</v>
      </c>
      <c r="BF79">
        <v>2.2400000000000002</v>
      </c>
      <c r="BG79">
        <f>BF79*SQRT(BH79)</f>
        <v>5.0087922695995299</v>
      </c>
      <c r="BH79">
        <v>5</v>
      </c>
      <c r="BI79">
        <v>8</v>
      </c>
      <c r="BJ79">
        <v>4</v>
      </c>
      <c r="BK79">
        <v>-1.0774999999999999</v>
      </c>
      <c r="BL79">
        <v>1.3299999999999999E-2</v>
      </c>
    </row>
    <row r="80" spans="1:65" x14ac:dyDescent="0.2">
      <c r="A80">
        <v>167</v>
      </c>
      <c r="B80" t="str">
        <f>ROW()-1&amp;"_AltersFish"</f>
        <v>79_AltersFish</v>
      </c>
      <c r="C80" t="str">
        <f>A80 &amp; "_" &amp; P80 &amp; "_" &amp;
SUBSTITUTE(TRIM(L80)," ","_") &amp;
"_pH" &amp; TEXT(Z80,"0.00") &amp;
"_T" &amp; TEXT(AI80,"0.00") &amp;
"_CO2" &amp; TEXT(V80,"0") &amp;
"_LANG"</f>
        <v>167_EMBRYO_Gadus_morhua_pH8.14_T6.20_CO2415_LANG</v>
      </c>
      <c r="D80" t="s">
        <v>54</v>
      </c>
      <c r="E80">
        <v>2017</v>
      </c>
      <c r="F80" t="s">
        <v>296</v>
      </c>
      <c r="G80" t="s">
        <v>154</v>
      </c>
      <c r="H80" t="s">
        <v>78</v>
      </c>
      <c r="I80" t="s">
        <v>540</v>
      </c>
      <c r="J80" t="s">
        <v>543</v>
      </c>
      <c r="K80" t="s">
        <v>79</v>
      </c>
      <c r="L80" t="s">
        <v>206</v>
      </c>
      <c r="M80" t="s">
        <v>81</v>
      </c>
      <c r="N80" t="s">
        <v>81</v>
      </c>
      <c r="O80" t="s">
        <v>106</v>
      </c>
      <c r="P80" t="s">
        <v>82</v>
      </c>
      <c r="Q80" t="s">
        <v>74</v>
      </c>
      <c r="R80" t="s">
        <v>83</v>
      </c>
      <c r="S80" t="s">
        <v>64</v>
      </c>
      <c r="T80" t="s">
        <v>74</v>
      </c>
      <c r="U80" t="s">
        <v>84</v>
      </c>
      <c r="V80">
        <v>415</v>
      </c>
      <c r="W80" t="s">
        <v>67</v>
      </c>
      <c r="X80" t="s">
        <v>67</v>
      </c>
      <c r="Y80" t="s">
        <v>183</v>
      </c>
      <c r="Z80">
        <v>8.14</v>
      </c>
      <c r="AA80" t="s">
        <v>67</v>
      </c>
      <c r="AB80" t="s">
        <v>67</v>
      </c>
      <c r="AC80">
        <v>1122</v>
      </c>
      <c r="AD80" t="s">
        <v>67</v>
      </c>
      <c r="AE80" t="s">
        <v>67</v>
      </c>
      <c r="AF80">
        <v>7.76</v>
      </c>
      <c r="AG80" t="s">
        <v>67</v>
      </c>
      <c r="AH80" t="s">
        <v>67</v>
      </c>
      <c r="AI80">
        <v>6.2</v>
      </c>
      <c r="AJ80" t="s">
        <v>67</v>
      </c>
      <c r="AK80" t="s">
        <v>67</v>
      </c>
      <c r="AL80">
        <v>6.2</v>
      </c>
      <c r="AM80" t="s">
        <v>67</v>
      </c>
      <c r="AN80" t="s">
        <v>67</v>
      </c>
      <c r="AO80">
        <v>707</v>
      </c>
      <c r="AP80">
        <v>0</v>
      </c>
      <c r="AQ80" t="s">
        <v>67</v>
      </c>
      <c r="AR80" t="s">
        <v>433</v>
      </c>
      <c r="AS80" t="s">
        <v>105</v>
      </c>
      <c r="AT80" t="s">
        <v>70</v>
      </c>
      <c r="AU80" t="s">
        <v>89</v>
      </c>
      <c r="AV80" t="s">
        <v>88</v>
      </c>
      <c r="AW80" t="s">
        <v>151</v>
      </c>
      <c r="AX80" t="s">
        <v>90</v>
      </c>
      <c r="AY80">
        <v>62.331099999999999</v>
      </c>
      <c r="AZ80">
        <v>62.33108</v>
      </c>
      <c r="BA80">
        <v>2.8715999999999999</v>
      </c>
      <c r="BB80">
        <f>BA80*SQRT(BC80)</f>
        <v>6.4210928041883966</v>
      </c>
      <c r="BC80">
        <v>5</v>
      </c>
      <c r="BD80">
        <v>50.94</v>
      </c>
      <c r="BE80">
        <v>50.94</v>
      </c>
      <c r="BF80">
        <v>7.19</v>
      </c>
      <c r="BG80">
        <f>BF80*SQRT(BH80)</f>
        <v>16.077328758223491</v>
      </c>
      <c r="BH80">
        <v>5</v>
      </c>
      <c r="BI80">
        <v>18</v>
      </c>
      <c r="BJ80">
        <v>4</v>
      </c>
      <c r="BK80">
        <v>-0.20180000000000001</v>
      </c>
      <c r="BL80">
        <v>2.1999999999999999E-2</v>
      </c>
    </row>
    <row r="81" spans="1:65" hidden="1" x14ac:dyDescent="0.2">
      <c r="A81">
        <v>170</v>
      </c>
      <c r="D81" t="s">
        <v>54</v>
      </c>
      <c r="E81">
        <v>2014</v>
      </c>
      <c r="F81" t="s">
        <v>55</v>
      </c>
      <c r="G81" t="s">
        <v>56</v>
      </c>
      <c r="H81" t="s">
        <v>57</v>
      </c>
      <c r="K81" t="s">
        <v>58</v>
      </c>
      <c r="L81" t="s">
        <v>59</v>
      </c>
      <c r="M81" t="s">
        <v>60</v>
      </c>
      <c r="N81" t="s">
        <v>61</v>
      </c>
      <c r="O81" t="s">
        <v>62</v>
      </c>
      <c r="P81" t="s">
        <v>63</v>
      </c>
      <c r="Q81" t="s">
        <v>64</v>
      </c>
      <c r="R81" t="s">
        <v>65</v>
      </c>
      <c r="S81" t="s">
        <v>74</v>
      </c>
      <c r="T81" t="s">
        <v>64</v>
      </c>
      <c r="U81" t="s">
        <v>75</v>
      </c>
      <c r="V81">
        <v>371.86</v>
      </c>
      <c r="W81" t="s">
        <v>67</v>
      </c>
      <c r="X81">
        <v>51.93</v>
      </c>
      <c r="Y81" t="s">
        <v>68</v>
      </c>
      <c r="Z81">
        <v>8.02</v>
      </c>
      <c r="AA81" t="s">
        <v>67</v>
      </c>
      <c r="AB81">
        <v>0.05</v>
      </c>
      <c r="AC81">
        <v>382.16</v>
      </c>
      <c r="AD81" t="s">
        <v>67</v>
      </c>
      <c r="AE81">
        <v>87.53</v>
      </c>
      <c r="AF81">
        <v>8</v>
      </c>
      <c r="AG81" t="s">
        <v>67</v>
      </c>
      <c r="AH81">
        <v>7.0000000000000007E-2</v>
      </c>
      <c r="AI81">
        <v>25.9</v>
      </c>
      <c r="AJ81" t="s">
        <v>67</v>
      </c>
      <c r="AK81">
        <v>0.7</v>
      </c>
      <c r="AL81">
        <v>29.9</v>
      </c>
      <c r="AM81" t="s">
        <v>67</v>
      </c>
      <c r="AN81">
        <v>0.2</v>
      </c>
      <c r="AO81">
        <v>10</v>
      </c>
      <c r="AP81">
        <v>4</v>
      </c>
      <c r="AQ81" t="s">
        <v>67</v>
      </c>
      <c r="AR81" t="s">
        <v>172</v>
      </c>
      <c r="AS81" t="s">
        <v>134</v>
      </c>
      <c r="AT81" t="s">
        <v>135</v>
      </c>
      <c r="AU81" t="s">
        <v>173</v>
      </c>
      <c r="AV81" t="s">
        <v>137</v>
      </c>
      <c r="AX81" t="s">
        <v>73</v>
      </c>
      <c r="AY81">
        <v>82.046499999999995</v>
      </c>
      <c r="AZ81">
        <v>82.046509999999998</v>
      </c>
      <c r="BA81">
        <v>1.1599999999999999</v>
      </c>
      <c r="BC81">
        <v>5</v>
      </c>
      <c r="BD81">
        <v>160.74420000000001</v>
      </c>
      <c r="BE81">
        <v>160.74418600000001</v>
      </c>
      <c r="BF81">
        <v>0.33700000000000002</v>
      </c>
      <c r="BH81">
        <v>5</v>
      </c>
      <c r="BI81">
        <v>130</v>
      </c>
      <c r="BJ81">
        <v>3</v>
      </c>
      <c r="BK81">
        <v>0.67249999999999999</v>
      </c>
      <c r="BL81">
        <v>2.0000000000000001E-4</v>
      </c>
    </row>
    <row r="82" spans="1:65" x14ac:dyDescent="0.2">
      <c r="A82">
        <v>167</v>
      </c>
      <c r="B82" t="str">
        <f>ROW()-1&amp;"_AltersFish"</f>
        <v>81_AltersFish</v>
      </c>
      <c r="C82" t="str">
        <f>A82 &amp; "_" &amp; P82 &amp; "_" &amp;
SUBSTITUTE(TRIM(L82)," ","_") &amp;
"_pH" &amp; TEXT(Z82,"0.00") &amp;
"_T" &amp; TEXT(AI82,"0.00") &amp;
"_CO2" &amp; TEXT(V82,"0") &amp;
"_LANG"</f>
        <v>167_EMBRYO_Gadus_morhua_pH8.14_T6.20_CO2415_LANG</v>
      </c>
      <c r="D82" t="s">
        <v>54</v>
      </c>
      <c r="E82">
        <v>2017</v>
      </c>
      <c r="F82" t="s">
        <v>296</v>
      </c>
      <c r="G82" t="s">
        <v>154</v>
      </c>
      <c r="H82" t="s">
        <v>78</v>
      </c>
      <c r="I82" t="s">
        <v>540</v>
      </c>
      <c r="J82" t="s">
        <v>543</v>
      </c>
      <c r="K82" t="s">
        <v>79</v>
      </c>
      <c r="L82" t="s">
        <v>206</v>
      </c>
      <c r="M82" t="s">
        <v>81</v>
      </c>
      <c r="N82" t="s">
        <v>81</v>
      </c>
      <c r="O82" t="s">
        <v>106</v>
      </c>
      <c r="P82" t="s">
        <v>82</v>
      </c>
      <c r="Q82" t="s">
        <v>74</v>
      </c>
      <c r="R82" t="s">
        <v>83</v>
      </c>
      <c r="S82" t="s">
        <v>74</v>
      </c>
      <c r="T82" t="s">
        <v>64</v>
      </c>
      <c r="U82" t="s">
        <v>75</v>
      </c>
      <c r="V82">
        <v>415</v>
      </c>
      <c r="W82" t="s">
        <v>67</v>
      </c>
      <c r="X82" t="s">
        <v>67</v>
      </c>
      <c r="Y82" t="s">
        <v>183</v>
      </c>
      <c r="Z82">
        <v>8.14</v>
      </c>
      <c r="AA82" t="s">
        <v>67</v>
      </c>
      <c r="AB82" t="s">
        <v>67</v>
      </c>
      <c r="AC82">
        <v>422</v>
      </c>
      <c r="AD82" t="s">
        <v>67</v>
      </c>
      <c r="AE82" t="s">
        <v>67</v>
      </c>
      <c r="AF82">
        <v>8.14</v>
      </c>
      <c r="AG82" t="s">
        <v>67</v>
      </c>
      <c r="AH82" t="s">
        <v>67</v>
      </c>
      <c r="AI82">
        <v>6.2</v>
      </c>
      <c r="AJ82" t="s">
        <v>67</v>
      </c>
      <c r="AK82" t="s">
        <v>67</v>
      </c>
      <c r="AL82">
        <v>9.1</v>
      </c>
      <c r="AM82" t="s">
        <v>67</v>
      </c>
      <c r="AN82" t="s">
        <v>67</v>
      </c>
      <c r="AO82">
        <v>7</v>
      </c>
      <c r="AP82">
        <v>3</v>
      </c>
      <c r="AQ82" t="s">
        <v>67</v>
      </c>
      <c r="AR82" t="s">
        <v>433</v>
      </c>
      <c r="AS82" t="s">
        <v>105</v>
      </c>
      <c r="AT82" t="s">
        <v>70</v>
      </c>
      <c r="AU82" t="s">
        <v>89</v>
      </c>
      <c r="AV82" t="s">
        <v>88</v>
      </c>
      <c r="AW82" t="s">
        <v>151</v>
      </c>
      <c r="AX82" t="s">
        <v>90</v>
      </c>
      <c r="AY82">
        <v>62.331099999999999</v>
      </c>
      <c r="AZ82">
        <v>62.33108</v>
      </c>
      <c r="BA82">
        <v>2.8715999999999999</v>
      </c>
      <c r="BB82">
        <f>BA82*SQRT(BC82)</f>
        <v>6.4210928041883966</v>
      </c>
      <c r="BC82">
        <v>5</v>
      </c>
      <c r="BD82">
        <v>37.97</v>
      </c>
      <c r="BE82">
        <v>37.97</v>
      </c>
      <c r="BF82">
        <v>6.36</v>
      </c>
      <c r="BG82">
        <f>BF82*SQRT(BH82)</f>
        <v>14.221392336898663</v>
      </c>
      <c r="BH82">
        <v>5</v>
      </c>
      <c r="BI82">
        <v>11</v>
      </c>
      <c r="BJ82">
        <v>4</v>
      </c>
      <c r="BK82">
        <v>-0.49569999999999997</v>
      </c>
      <c r="BL82">
        <v>3.0200000000000001E-2</v>
      </c>
    </row>
    <row r="83" spans="1:65" x14ac:dyDescent="0.2">
      <c r="A83">
        <v>167</v>
      </c>
      <c r="B83" t="str">
        <f>ROW()-1&amp;"_AltersFish"</f>
        <v>82_AltersFish</v>
      </c>
      <c r="C83" t="str">
        <f>A83 &amp; "_" &amp; P83 &amp; "_" &amp;
SUBSTITUTE(TRIM(L83)," ","_") &amp;
"_pH" &amp; TEXT(Z83,"0.00") &amp;
"_T" &amp; TEXT(AI83,"0.00") &amp;
"_CO2" &amp; TEXT(V83,"0") &amp;
"_LANG"</f>
        <v>167_EMBRYO_Gadus_morhua_pH8.14_T6.20_CO2415_LANG</v>
      </c>
      <c r="D83" t="s">
        <v>54</v>
      </c>
      <c r="E83">
        <v>2017</v>
      </c>
      <c r="F83" t="s">
        <v>296</v>
      </c>
      <c r="G83" t="s">
        <v>154</v>
      </c>
      <c r="H83" t="s">
        <v>78</v>
      </c>
      <c r="I83" t="s">
        <v>540</v>
      </c>
      <c r="J83" t="s">
        <v>543</v>
      </c>
      <c r="K83" t="s">
        <v>79</v>
      </c>
      <c r="L83" t="s">
        <v>206</v>
      </c>
      <c r="M83" t="s">
        <v>81</v>
      </c>
      <c r="N83" t="s">
        <v>81</v>
      </c>
      <c r="O83" t="s">
        <v>106</v>
      </c>
      <c r="P83" t="s">
        <v>82</v>
      </c>
      <c r="Q83" t="s">
        <v>74</v>
      </c>
      <c r="R83" t="s">
        <v>83</v>
      </c>
      <c r="S83" t="s">
        <v>64</v>
      </c>
      <c r="T83" t="s">
        <v>64</v>
      </c>
      <c r="U83" t="s">
        <v>66</v>
      </c>
      <c r="V83">
        <v>415</v>
      </c>
      <c r="W83" t="s">
        <v>67</v>
      </c>
      <c r="X83" t="s">
        <v>67</v>
      </c>
      <c r="Y83" t="s">
        <v>183</v>
      </c>
      <c r="Z83">
        <v>8.14</v>
      </c>
      <c r="AA83" t="s">
        <v>67</v>
      </c>
      <c r="AB83" t="s">
        <v>67</v>
      </c>
      <c r="AC83">
        <v>1091</v>
      </c>
      <c r="AD83" t="s">
        <v>67</v>
      </c>
      <c r="AE83" t="s">
        <v>67</v>
      </c>
      <c r="AF83">
        <v>7.77</v>
      </c>
      <c r="AG83" t="s">
        <v>67</v>
      </c>
      <c r="AH83" t="s">
        <v>67</v>
      </c>
      <c r="AI83">
        <v>6.2</v>
      </c>
      <c r="AJ83" t="s">
        <v>67</v>
      </c>
      <c r="AK83" t="s">
        <v>67</v>
      </c>
      <c r="AL83">
        <v>9.1</v>
      </c>
      <c r="AM83" t="s">
        <v>67</v>
      </c>
      <c r="AN83" t="s">
        <v>67</v>
      </c>
      <c r="AO83">
        <v>676</v>
      </c>
      <c r="AP83">
        <v>3</v>
      </c>
      <c r="AQ83" t="s">
        <v>67</v>
      </c>
      <c r="AR83" t="s">
        <v>433</v>
      </c>
      <c r="AS83" t="s">
        <v>105</v>
      </c>
      <c r="AT83" t="s">
        <v>70</v>
      </c>
      <c r="AU83" t="s">
        <v>89</v>
      </c>
      <c r="AV83" t="s">
        <v>88</v>
      </c>
      <c r="AW83" t="s">
        <v>151</v>
      </c>
      <c r="AX83" t="s">
        <v>90</v>
      </c>
      <c r="AY83">
        <v>62.331099999999999</v>
      </c>
      <c r="AZ83">
        <v>62.33108</v>
      </c>
      <c r="BA83">
        <v>2.8715999999999999</v>
      </c>
      <c r="BB83">
        <f>BA83*SQRT(BC83)</f>
        <v>6.4210928041883966</v>
      </c>
      <c r="BC83">
        <v>5</v>
      </c>
      <c r="BD83">
        <v>33.6</v>
      </c>
      <c r="BE83">
        <v>33.6</v>
      </c>
      <c r="BF83">
        <v>7.31</v>
      </c>
      <c r="BG83">
        <f>BF83*SQRT(BH83)</f>
        <v>16.345656915523463</v>
      </c>
      <c r="BH83">
        <v>5</v>
      </c>
      <c r="BI83">
        <v>11</v>
      </c>
      <c r="BJ83">
        <v>4</v>
      </c>
      <c r="BK83">
        <v>-0.6179</v>
      </c>
      <c r="BL83">
        <v>4.9500000000000002E-2</v>
      </c>
    </row>
    <row r="84" spans="1:65" hidden="1" x14ac:dyDescent="0.2">
      <c r="A84">
        <v>161</v>
      </c>
      <c r="D84" t="s">
        <v>54</v>
      </c>
      <c r="E84">
        <v>2019</v>
      </c>
      <c r="F84" t="s">
        <v>174</v>
      </c>
      <c r="G84" t="s">
        <v>175</v>
      </c>
      <c r="H84" t="s">
        <v>78</v>
      </c>
      <c r="K84" t="s">
        <v>79</v>
      </c>
      <c r="L84" t="s">
        <v>176</v>
      </c>
      <c r="M84" t="s">
        <v>81</v>
      </c>
      <c r="N84" t="s">
        <v>81</v>
      </c>
      <c r="O84" t="s">
        <v>62</v>
      </c>
      <c r="P84" t="s">
        <v>63</v>
      </c>
      <c r="Q84" t="s">
        <v>74</v>
      </c>
      <c r="R84" t="s">
        <v>83</v>
      </c>
      <c r="S84" t="s">
        <v>64</v>
      </c>
      <c r="T84" t="s">
        <v>64</v>
      </c>
      <c r="U84" t="s">
        <v>66</v>
      </c>
      <c r="V84">
        <v>489</v>
      </c>
      <c r="W84" t="s">
        <v>67</v>
      </c>
      <c r="X84">
        <v>54</v>
      </c>
      <c r="Y84" t="s">
        <v>67</v>
      </c>
      <c r="Z84">
        <v>8.01</v>
      </c>
      <c r="AA84" t="s">
        <v>67</v>
      </c>
      <c r="AB84">
        <v>0.12</v>
      </c>
      <c r="AC84">
        <v>1523</v>
      </c>
      <c r="AD84" t="s">
        <v>67</v>
      </c>
      <c r="AE84">
        <v>16</v>
      </c>
      <c r="AF84">
        <v>7.6</v>
      </c>
      <c r="AG84" t="s">
        <v>67</v>
      </c>
      <c r="AH84">
        <v>0.31</v>
      </c>
      <c r="AI84">
        <v>19.600000000000001</v>
      </c>
      <c r="AJ84" t="s">
        <v>67</v>
      </c>
      <c r="AK84">
        <v>0.5</v>
      </c>
      <c r="AL84">
        <v>24.2</v>
      </c>
      <c r="AM84" t="s">
        <v>67</v>
      </c>
      <c r="AN84">
        <v>0.4</v>
      </c>
      <c r="AO84">
        <v>1034</v>
      </c>
      <c r="AP84">
        <v>4.5999999999999996</v>
      </c>
      <c r="AQ84" t="s">
        <v>67</v>
      </c>
      <c r="AR84" t="s">
        <v>177</v>
      </c>
      <c r="AS84" t="s">
        <v>178</v>
      </c>
      <c r="AT84" t="s">
        <v>70</v>
      </c>
      <c r="AU84" t="s">
        <v>179</v>
      </c>
      <c r="AV84" t="s">
        <v>132</v>
      </c>
      <c r="AX84" t="s">
        <v>73</v>
      </c>
      <c r="AY84">
        <v>82.4</v>
      </c>
      <c r="AZ84">
        <v>82.4</v>
      </c>
      <c r="BA84">
        <v>0.76</v>
      </c>
      <c r="BC84">
        <v>5</v>
      </c>
      <c r="BD84">
        <v>90.4</v>
      </c>
      <c r="BE84">
        <v>90.4</v>
      </c>
      <c r="BF84">
        <v>1.0286</v>
      </c>
      <c r="BH84">
        <v>5</v>
      </c>
      <c r="BI84">
        <v>28</v>
      </c>
      <c r="BJ84">
        <v>3</v>
      </c>
      <c r="BK84">
        <v>9.2700000000000005E-2</v>
      </c>
      <c r="BL84">
        <v>2.0000000000000001E-4</v>
      </c>
    </row>
    <row r="85" spans="1:65" hidden="1" x14ac:dyDescent="0.2">
      <c r="A85">
        <v>161</v>
      </c>
      <c r="D85" t="s">
        <v>54</v>
      </c>
      <c r="E85">
        <v>2019</v>
      </c>
      <c r="F85" t="s">
        <v>174</v>
      </c>
      <c r="G85" t="s">
        <v>175</v>
      </c>
      <c r="H85" t="s">
        <v>78</v>
      </c>
      <c r="K85" t="s">
        <v>79</v>
      </c>
      <c r="L85" t="s">
        <v>176</v>
      </c>
      <c r="M85" t="s">
        <v>81</v>
      </c>
      <c r="N85" t="s">
        <v>81</v>
      </c>
      <c r="O85" t="s">
        <v>62</v>
      </c>
      <c r="P85" t="s">
        <v>63</v>
      </c>
      <c r="Q85" t="s">
        <v>74</v>
      </c>
      <c r="R85" t="s">
        <v>83</v>
      </c>
      <c r="S85" t="s">
        <v>64</v>
      </c>
      <c r="T85" t="s">
        <v>64</v>
      </c>
      <c r="U85" t="s">
        <v>66</v>
      </c>
      <c r="V85">
        <v>489</v>
      </c>
      <c r="W85" t="s">
        <v>67</v>
      </c>
      <c r="X85">
        <v>54</v>
      </c>
      <c r="Y85" t="s">
        <v>67</v>
      </c>
      <c r="Z85">
        <v>8.01</v>
      </c>
      <c r="AA85" t="s">
        <v>67</v>
      </c>
      <c r="AB85">
        <v>0.12</v>
      </c>
      <c r="AC85">
        <v>1523</v>
      </c>
      <c r="AD85" t="s">
        <v>67</v>
      </c>
      <c r="AE85">
        <v>16</v>
      </c>
      <c r="AF85">
        <v>7.6</v>
      </c>
      <c r="AG85" t="s">
        <v>67</v>
      </c>
      <c r="AH85">
        <v>0.31</v>
      </c>
      <c r="AI85">
        <v>19.600000000000001</v>
      </c>
      <c r="AJ85" t="s">
        <v>67</v>
      </c>
      <c r="AK85">
        <v>0.5</v>
      </c>
      <c r="AL85">
        <v>24.2</v>
      </c>
      <c r="AM85" t="s">
        <v>67</v>
      </c>
      <c r="AN85">
        <v>0.4</v>
      </c>
      <c r="AO85">
        <v>1034</v>
      </c>
      <c r="AP85">
        <v>4.5999999999999996</v>
      </c>
      <c r="AQ85" t="s">
        <v>67</v>
      </c>
      <c r="AR85" t="s">
        <v>177</v>
      </c>
      <c r="AS85" t="s">
        <v>178</v>
      </c>
      <c r="AT85" t="s">
        <v>70</v>
      </c>
      <c r="AU85" t="s">
        <v>179</v>
      </c>
      <c r="AV85" t="s">
        <v>132</v>
      </c>
      <c r="AX85" t="s">
        <v>73</v>
      </c>
      <c r="AY85">
        <v>82.4</v>
      </c>
      <c r="AZ85">
        <v>82.4</v>
      </c>
      <c r="BA85">
        <v>0.76</v>
      </c>
      <c r="BC85">
        <v>5</v>
      </c>
      <c r="BD85">
        <v>90.4</v>
      </c>
      <c r="BE85">
        <v>90.4</v>
      </c>
      <c r="BF85">
        <v>1.0286</v>
      </c>
      <c r="BH85">
        <v>5</v>
      </c>
      <c r="BI85">
        <v>28</v>
      </c>
      <c r="BJ85">
        <v>3</v>
      </c>
      <c r="BK85">
        <v>9.2700000000000005E-2</v>
      </c>
      <c r="BL85">
        <v>2.0000000000000001E-4</v>
      </c>
    </row>
    <row r="86" spans="1:65" x14ac:dyDescent="0.2">
      <c r="A86">
        <v>167</v>
      </c>
      <c r="B86" t="str">
        <f>ROW()-1&amp;"_AltersFish"</f>
        <v>85_AltersFish</v>
      </c>
      <c r="C86" t="str">
        <f>A86 &amp; "_" &amp; P86 &amp; "_" &amp;
SUBSTITUTE(TRIM(L86)," ","_") &amp;
"_pH" &amp; TEXT(Z86,"0.00") &amp;
"_T" &amp; TEXT(AI86,"0.00") &amp;
"_CO2" &amp; TEXT(V86,"0") &amp;
"_LANG"</f>
        <v>167_EMBRYO_Gadus_morhua_pH8.14_T6.20_CO2415_LANG</v>
      </c>
      <c r="D86" t="s">
        <v>54</v>
      </c>
      <c r="E86">
        <v>2017</v>
      </c>
      <c r="F86" t="s">
        <v>296</v>
      </c>
      <c r="G86" t="s">
        <v>154</v>
      </c>
      <c r="H86" t="s">
        <v>78</v>
      </c>
      <c r="I86" t="s">
        <v>540</v>
      </c>
      <c r="J86" t="s">
        <v>543</v>
      </c>
      <c r="K86" t="s">
        <v>79</v>
      </c>
      <c r="L86" t="s">
        <v>206</v>
      </c>
      <c r="M86" t="s">
        <v>81</v>
      </c>
      <c r="N86" t="s">
        <v>81</v>
      </c>
      <c r="O86" t="s">
        <v>106</v>
      </c>
      <c r="P86" t="s">
        <v>82</v>
      </c>
      <c r="Q86" t="s">
        <v>74</v>
      </c>
      <c r="R86" t="s">
        <v>83</v>
      </c>
      <c r="S86" t="s">
        <v>64</v>
      </c>
      <c r="T86" t="s">
        <v>64</v>
      </c>
      <c r="U86" t="s">
        <v>66</v>
      </c>
      <c r="V86">
        <v>415</v>
      </c>
      <c r="W86" t="s">
        <v>67</v>
      </c>
      <c r="X86" t="s">
        <v>67</v>
      </c>
      <c r="Y86" t="s">
        <v>183</v>
      </c>
      <c r="Z86">
        <v>8.14</v>
      </c>
      <c r="AA86" t="s">
        <v>67</v>
      </c>
      <c r="AB86" t="s">
        <v>67</v>
      </c>
      <c r="AC86">
        <v>1097</v>
      </c>
      <c r="AD86" t="s">
        <v>67</v>
      </c>
      <c r="AE86" t="s">
        <v>67</v>
      </c>
      <c r="AF86">
        <v>7.77</v>
      </c>
      <c r="AG86" t="s">
        <v>67</v>
      </c>
      <c r="AH86" t="s">
        <v>67</v>
      </c>
      <c r="AI86">
        <v>6.2</v>
      </c>
      <c r="AJ86" t="s">
        <v>67</v>
      </c>
      <c r="AK86" t="s">
        <v>67</v>
      </c>
      <c r="AL86">
        <v>12.1</v>
      </c>
      <c r="AM86" t="s">
        <v>67</v>
      </c>
      <c r="AN86" t="s">
        <v>67</v>
      </c>
      <c r="AO86">
        <v>682</v>
      </c>
      <c r="AP86">
        <v>6</v>
      </c>
      <c r="AQ86" t="s">
        <v>67</v>
      </c>
      <c r="AR86" t="s">
        <v>433</v>
      </c>
      <c r="AS86" t="s">
        <v>105</v>
      </c>
      <c r="AT86" t="s">
        <v>70</v>
      </c>
      <c r="AU86" t="s">
        <v>89</v>
      </c>
      <c r="AV86" t="s">
        <v>88</v>
      </c>
      <c r="AW86" t="s">
        <v>151</v>
      </c>
      <c r="AX86" t="s">
        <v>90</v>
      </c>
      <c r="AY86">
        <v>62.331099999999999</v>
      </c>
      <c r="AZ86">
        <v>62.33108</v>
      </c>
      <c r="BA86">
        <v>2.8715999999999999</v>
      </c>
      <c r="BB86">
        <f>BA86*SQRT(BC86)</f>
        <v>6.4210928041883966</v>
      </c>
      <c r="BC86">
        <v>5</v>
      </c>
      <c r="BD86">
        <v>12.14</v>
      </c>
      <c r="BE86">
        <v>12.14</v>
      </c>
      <c r="BF86">
        <v>4.13</v>
      </c>
      <c r="BG86">
        <f>BF86*SQRT(BH86)</f>
        <v>9.2349607470741315</v>
      </c>
      <c r="BH86">
        <v>5</v>
      </c>
      <c r="BI86">
        <v>8</v>
      </c>
      <c r="BJ86">
        <v>4</v>
      </c>
      <c r="BK86">
        <v>-1.6359999999999999</v>
      </c>
      <c r="BL86">
        <v>0.1179</v>
      </c>
    </row>
    <row r="87" spans="1:65" x14ac:dyDescent="0.2">
      <c r="A87">
        <v>176</v>
      </c>
      <c r="B87" t="str">
        <f>ROW()-1&amp;"_AltersFish"</f>
        <v>86_AltersFish</v>
      </c>
      <c r="C87" t="str">
        <f>A87 &amp; "_" &amp; P87 &amp; "_" &amp;
SUBSTITUTE(TRIM(L87)," ","_") &amp;
"_pH" &amp; TEXT(Z87,"0.00") &amp;
"_T" &amp; TEXT(AI87,"0.00") &amp;
"_CO2" &amp; TEXT(V87,"0") &amp;
"_LANG"</f>
        <v>176_EMBRYO_Gymnodraco_acuticeps_pH8.01_T-0.60_CO2425_LANG</v>
      </c>
      <c r="D87" t="s">
        <v>54</v>
      </c>
      <c r="E87">
        <v>2015</v>
      </c>
      <c r="F87" t="s">
        <v>238</v>
      </c>
      <c r="G87" t="s">
        <v>181</v>
      </c>
      <c r="H87" t="s">
        <v>239</v>
      </c>
      <c r="I87" t="s">
        <v>540</v>
      </c>
      <c r="J87" t="s">
        <v>543</v>
      </c>
      <c r="K87" t="s">
        <v>79</v>
      </c>
      <c r="L87" t="s">
        <v>240</v>
      </c>
      <c r="M87" t="s">
        <v>120</v>
      </c>
      <c r="N87" t="s">
        <v>120</v>
      </c>
      <c r="O87" t="s">
        <v>62</v>
      </c>
      <c r="P87" t="s">
        <v>82</v>
      </c>
      <c r="Q87" t="s">
        <v>64</v>
      </c>
      <c r="R87" t="s">
        <v>83</v>
      </c>
      <c r="S87" t="s">
        <v>74</v>
      </c>
      <c r="T87" t="s">
        <v>64</v>
      </c>
      <c r="U87" t="s">
        <v>75</v>
      </c>
      <c r="V87">
        <v>425</v>
      </c>
      <c r="W87" t="s">
        <v>67</v>
      </c>
      <c r="X87">
        <v>9</v>
      </c>
      <c r="Y87" t="s">
        <v>68</v>
      </c>
      <c r="Z87">
        <v>8.01</v>
      </c>
      <c r="AA87" t="s">
        <v>67</v>
      </c>
      <c r="AB87">
        <v>0.01</v>
      </c>
      <c r="AC87">
        <v>456</v>
      </c>
      <c r="AD87" t="s">
        <v>67</v>
      </c>
      <c r="AE87">
        <v>11</v>
      </c>
      <c r="AF87">
        <v>7.99</v>
      </c>
      <c r="AG87" t="s">
        <v>67</v>
      </c>
      <c r="AH87">
        <v>0.01</v>
      </c>
      <c r="AI87">
        <v>-0.6</v>
      </c>
      <c r="AJ87" t="s">
        <v>67</v>
      </c>
      <c r="AK87">
        <v>0.2</v>
      </c>
      <c r="AL87">
        <v>1.9</v>
      </c>
      <c r="AM87" t="s">
        <v>67</v>
      </c>
      <c r="AN87">
        <v>0.2</v>
      </c>
      <c r="AO87">
        <v>31</v>
      </c>
      <c r="AP87">
        <v>2.5</v>
      </c>
      <c r="AQ87" t="s">
        <v>241</v>
      </c>
      <c r="AR87" t="s">
        <v>242</v>
      </c>
      <c r="AS87" t="s">
        <v>242</v>
      </c>
      <c r="AT87" t="s">
        <v>135</v>
      </c>
      <c r="AU87" t="s">
        <v>243</v>
      </c>
      <c r="AV87" t="s">
        <v>132</v>
      </c>
      <c r="AW87" t="s">
        <v>132</v>
      </c>
      <c r="AX87" t="s">
        <v>73</v>
      </c>
      <c r="AY87">
        <v>699.52610000000004</v>
      </c>
      <c r="AZ87">
        <v>699.52607</v>
      </c>
      <c r="BA87">
        <v>16.11</v>
      </c>
      <c r="BB87">
        <f>BA87*SQRT(BC87)</f>
        <v>48.33</v>
      </c>
      <c r="BC87">
        <v>9</v>
      </c>
      <c r="BD87">
        <v>679.62090000000001</v>
      </c>
      <c r="BE87">
        <v>679.62085309999998</v>
      </c>
      <c r="BF87">
        <v>13.270099999999999</v>
      </c>
      <c r="BG87">
        <f>BF87*SQRT(BH87)</f>
        <v>37.533510788094418</v>
      </c>
      <c r="BH87">
        <v>8</v>
      </c>
      <c r="BI87">
        <v>21</v>
      </c>
      <c r="BJ87">
        <v>3</v>
      </c>
      <c r="BK87">
        <v>-2.8899999999999999E-2</v>
      </c>
      <c r="BL87">
        <v>8.9999999999999998E-4</v>
      </c>
    </row>
    <row r="88" spans="1:65" hidden="1" x14ac:dyDescent="0.2">
      <c r="A88">
        <v>170</v>
      </c>
      <c r="D88" t="s">
        <v>54</v>
      </c>
      <c r="E88">
        <v>2014</v>
      </c>
      <c r="F88" t="s">
        <v>55</v>
      </c>
      <c r="G88" t="s">
        <v>56</v>
      </c>
      <c r="H88" t="s">
        <v>57</v>
      </c>
      <c r="K88" t="s">
        <v>58</v>
      </c>
      <c r="L88" t="s">
        <v>59</v>
      </c>
      <c r="M88" t="s">
        <v>60</v>
      </c>
      <c r="N88" t="s">
        <v>61</v>
      </c>
      <c r="O88" t="s">
        <v>62</v>
      </c>
      <c r="P88" t="s">
        <v>63</v>
      </c>
      <c r="Q88" t="s">
        <v>64</v>
      </c>
      <c r="R88" t="s">
        <v>65</v>
      </c>
      <c r="S88" t="s">
        <v>64</v>
      </c>
      <c r="T88" t="s">
        <v>74</v>
      </c>
      <c r="U88" t="s">
        <v>84</v>
      </c>
      <c r="V88">
        <v>371.86</v>
      </c>
      <c r="W88" t="s">
        <v>67</v>
      </c>
      <c r="X88">
        <v>51.93</v>
      </c>
      <c r="Y88" t="s">
        <v>68</v>
      </c>
      <c r="Z88">
        <v>8.02</v>
      </c>
      <c r="AA88" t="s">
        <v>67</v>
      </c>
      <c r="AB88">
        <v>0.05</v>
      </c>
      <c r="AC88">
        <v>1383.81</v>
      </c>
      <c r="AD88" t="s">
        <v>67</v>
      </c>
      <c r="AE88">
        <v>113.55</v>
      </c>
      <c r="AF88">
        <v>7.52</v>
      </c>
      <c r="AG88" t="s">
        <v>67</v>
      </c>
      <c r="AH88">
        <v>0.04</v>
      </c>
      <c r="AI88">
        <v>25.9</v>
      </c>
      <c r="AJ88" t="s">
        <v>67</v>
      </c>
      <c r="AK88">
        <v>0.7</v>
      </c>
      <c r="AL88">
        <v>26.2</v>
      </c>
      <c r="AM88" t="s">
        <v>67</v>
      </c>
      <c r="AN88">
        <v>0.5</v>
      </c>
      <c r="AO88">
        <v>1012</v>
      </c>
      <c r="AP88">
        <v>0.3</v>
      </c>
      <c r="AQ88" t="s">
        <v>67</v>
      </c>
      <c r="AR88" t="s">
        <v>172</v>
      </c>
      <c r="AS88" t="s">
        <v>134</v>
      </c>
      <c r="AT88" t="s">
        <v>135</v>
      </c>
      <c r="AU88" t="s">
        <v>173</v>
      </c>
      <c r="AV88" t="s">
        <v>137</v>
      </c>
      <c r="AX88" t="s">
        <v>73</v>
      </c>
      <c r="AY88">
        <v>82.046499999999995</v>
      </c>
      <c r="AZ88">
        <v>82.046509999999998</v>
      </c>
      <c r="BA88">
        <v>1.1599999999999999</v>
      </c>
      <c r="BC88">
        <v>5</v>
      </c>
      <c r="BD88">
        <v>74.093000000000004</v>
      </c>
      <c r="BE88">
        <v>74.093023259999995</v>
      </c>
      <c r="BF88">
        <v>0.41189999999999999</v>
      </c>
      <c r="BH88">
        <v>5</v>
      </c>
      <c r="BI88">
        <v>130</v>
      </c>
      <c r="BJ88">
        <v>3</v>
      </c>
      <c r="BK88">
        <v>-0.10199999999999999</v>
      </c>
      <c r="BL88">
        <v>2.0000000000000001E-4</v>
      </c>
    </row>
    <row r="89" spans="1:65" hidden="1" x14ac:dyDescent="0.2">
      <c r="A89">
        <v>170</v>
      </c>
      <c r="D89" t="s">
        <v>54</v>
      </c>
      <c r="E89">
        <v>2014</v>
      </c>
      <c r="F89" t="s">
        <v>55</v>
      </c>
      <c r="G89" t="s">
        <v>56</v>
      </c>
      <c r="H89" t="s">
        <v>57</v>
      </c>
      <c r="K89" t="s">
        <v>58</v>
      </c>
      <c r="L89" t="s">
        <v>59</v>
      </c>
      <c r="M89" t="s">
        <v>60</v>
      </c>
      <c r="N89" t="s">
        <v>61</v>
      </c>
      <c r="O89" t="s">
        <v>62</v>
      </c>
      <c r="P89" t="s">
        <v>63</v>
      </c>
      <c r="Q89" t="s">
        <v>64</v>
      </c>
      <c r="R89" t="s">
        <v>65</v>
      </c>
      <c r="S89" t="s">
        <v>64</v>
      </c>
      <c r="T89" t="s">
        <v>74</v>
      </c>
      <c r="U89" t="s">
        <v>84</v>
      </c>
      <c r="V89">
        <v>371.86</v>
      </c>
      <c r="W89" t="s">
        <v>67</v>
      </c>
      <c r="X89">
        <v>51.93</v>
      </c>
      <c r="Y89" t="s">
        <v>68</v>
      </c>
      <c r="Z89">
        <v>8.02</v>
      </c>
      <c r="AA89" t="s">
        <v>67</v>
      </c>
      <c r="AB89">
        <v>0.05</v>
      </c>
      <c r="AC89">
        <v>1383.81</v>
      </c>
      <c r="AD89" t="s">
        <v>67</v>
      </c>
      <c r="AE89">
        <v>113.55</v>
      </c>
      <c r="AF89">
        <v>7.52</v>
      </c>
      <c r="AG89" t="s">
        <v>67</v>
      </c>
      <c r="AH89">
        <v>0.04</v>
      </c>
      <c r="AI89">
        <v>25.9</v>
      </c>
      <c r="AJ89" t="s">
        <v>67</v>
      </c>
      <c r="AK89">
        <v>0.7</v>
      </c>
      <c r="AL89">
        <v>26.2</v>
      </c>
      <c r="AM89" t="s">
        <v>67</v>
      </c>
      <c r="AN89">
        <v>0.5</v>
      </c>
      <c r="AO89">
        <v>1012</v>
      </c>
      <c r="AP89">
        <v>0.3</v>
      </c>
      <c r="AQ89" t="s">
        <v>67</v>
      </c>
      <c r="AR89" t="s">
        <v>87</v>
      </c>
      <c r="AS89" t="s">
        <v>88</v>
      </c>
      <c r="AT89" t="s">
        <v>70</v>
      </c>
      <c r="AU89" t="s">
        <v>89</v>
      </c>
      <c r="AV89" t="s">
        <v>88</v>
      </c>
      <c r="AX89" t="s">
        <v>90</v>
      </c>
      <c r="AY89">
        <v>100</v>
      </c>
      <c r="AZ89">
        <v>100</v>
      </c>
      <c r="BA89">
        <v>0</v>
      </c>
      <c r="BC89">
        <v>5</v>
      </c>
      <c r="BD89">
        <v>59.814</v>
      </c>
      <c r="BE89">
        <v>59.813953490000003</v>
      </c>
      <c r="BF89">
        <v>0.91110000000000002</v>
      </c>
      <c r="BH89">
        <v>5</v>
      </c>
      <c r="BI89">
        <v>130</v>
      </c>
      <c r="BJ89">
        <v>3</v>
      </c>
      <c r="BK89">
        <v>-0.51390000000000002</v>
      </c>
      <c r="BL89">
        <v>2.3000000000000001E-4</v>
      </c>
      <c r="BM89" t="s">
        <v>186</v>
      </c>
    </row>
    <row r="90" spans="1:65" x14ac:dyDescent="0.2">
      <c r="A90">
        <v>176</v>
      </c>
      <c r="B90" t="str">
        <f>ROW()-1&amp;"_AltersFish"</f>
        <v>89_AltersFish</v>
      </c>
      <c r="C90" t="str">
        <f>A90 &amp; "_" &amp; P90 &amp; "_" &amp;
SUBSTITUTE(TRIM(L90)," ","_") &amp;
"_pH" &amp; TEXT(Z90,"0.00") &amp;
"_T" &amp; TEXT(AI90,"0.00") &amp;
"_CO2" &amp; TEXT(V90,"0") &amp;
"_LANG"</f>
        <v>176_EMBRYO_Gymnodraco_acuticeps_pH8.01_T-0.60_CO2425_LANG</v>
      </c>
      <c r="D90" t="s">
        <v>54</v>
      </c>
      <c r="E90">
        <v>2015</v>
      </c>
      <c r="F90" t="s">
        <v>238</v>
      </c>
      <c r="G90" t="s">
        <v>181</v>
      </c>
      <c r="H90" t="s">
        <v>239</v>
      </c>
      <c r="I90" t="s">
        <v>540</v>
      </c>
      <c r="J90" t="s">
        <v>543</v>
      </c>
      <c r="K90" t="s">
        <v>79</v>
      </c>
      <c r="L90" t="s">
        <v>240</v>
      </c>
      <c r="M90" t="s">
        <v>120</v>
      </c>
      <c r="N90" t="s">
        <v>120</v>
      </c>
      <c r="O90" t="s">
        <v>62</v>
      </c>
      <c r="P90" t="s">
        <v>82</v>
      </c>
      <c r="Q90" t="s">
        <v>64</v>
      </c>
      <c r="R90" t="s">
        <v>83</v>
      </c>
      <c r="S90" t="s">
        <v>64</v>
      </c>
      <c r="T90" t="s">
        <v>74</v>
      </c>
      <c r="U90" t="s">
        <v>84</v>
      </c>
      <c r="V90">
        <v>425</v>
      </c>
      <c r="W90" t="s">
        <v>67</v>
      </c>
      <c r="X90">
        <v>9</v>
      </c>
      <c r="Y90" t="s">
        <v>68</v>
      </c>
      <c r="Z90">
        <v>8.01</v>
      </c>
      <c r="AA90" t="s">
        <v>67</v>
      </c>
      <c r="AB90">
        <v>0.01</v>
      </c>
      <c r="AC90">
        <v>658</v>
      </c>
      <c r="AD90" t="s">
        <v>67</v>
      </c>
      <c r="AE90">
        <v>28</v>
      </c>
      <c r="AF90">
        <v>7.84</v>
      </c>
      <c r="AG90" t="s">
        <v>67</v>
      </c>
      <c r="AH90">
        <v>0.02</v>
      </c>
      <c r="AI90">
        <v>-0.6</v>
      </c>
      <c r="AJ90" t="s">
        <v>67</v>
      </c>
      <c r="AK90">
        <v>0.2</v>
      </c>
      <c r="AL90">
        <v>-0.6</v>
      </c>
      <c r="AM90" t="s">
        <v>67</v>
      </c>
      <c r="AN90">
        <v>0.2</v>
      </c>
      <c r="AO90">
        <v>233</v>
      </c>
      <c r="AP90">
        <v>0</v>
      </c>
      <c r="AQ90" t="s">
        <v>241</v>
      </c>
      <c r="AR90" t="s">
        <v>242</v>
      </c>
      <c r="AS90" t="s">
        <v>242</v>
      </c>
      <c r="AT90" t="s">
        <v>135</v>
      </c>
      <c r="AU90" t="s">
        <v>243</v>
      </c>
      <c r="AV90" t="s">
        <v>132</v>
      </c>
      <c r="AW90" t="s">
        <v>132</v>
      </c>
      <c r="AX90" t="s">
        <v>73</v>
      </c>
      <c r="AY90">
        <v>699.52610000000004</v>
      </c>
      <c r="AZ90">
        <v>699.52607</v>
      </c>
      <c r="BA90">
        <v>16.11</v>
      </c>
      <c r="BB90">
        <f>BA90*SQRT(BC90)</f>
        <v>48.33</v>
      </c>
      <c r="BC90">
        <v>9</v>
      </c>
      <c r="BD90">
        <v>694.7867</v>
      </c>
      <c r="BE90">
        <v>694.78672989999995</v>
      </c>
      <c r="BF90">
        <v>14.218</v>
      </c>
      <c r="BG90">
        <f>BF90*SQRT(BH90)</f>
        <v>42.653999999999996</v>
      </c>
      <c r="BH90">
        <v>9</v>
      </c>
      <c r="BI90">
        <v>21</v>
      </c>
      <c r="BJ90">
        <v>3</v>
      </c>
      <c r="BK90">
        <v>-6.7999999999999996E-3</v>
      </c>
      <c r="BL90">
        <v>8.9999999999999998E-4</v>
      </c>
    </row>
    <row r="91" spans="1:65" x14ac:dyDescent="0.2">
      <c r="A91">
        <v>176</v>
      </c>
      <c r="B91" t="str">
        <f>ROW()-1&amp;"_AltersFish"</f>
        <v>90_AltersFish</v>
      </c>
      <c r="C91" t="str">
        <f>A91 &amp; "_" &amp; P91 &amp; "_" &amp;
SUBSTITUTE(TRIM(L91)," ","_") &amp;
"_pH" &amp; TEXT(Z91,"0.00") &amp;
"_T" &amp; TEXT(AI91,"0.00") &amp;
"_CO2" &amp; TEXT(V91,"0") &amp;
"_LANG"</f>
        <v>176_EMBRYO_Gymnodraco_acuticeps_pH8.01_T-0.60_CO2425_LANG</v>
      </c>
      <c r="D91" t="s">
        <v>54</v>
      </c>
      <c r="E91">
        <v>2015</v>
      </c>
      <c r="F91" t="s">
        <v>238</v>
      </c>
      <c r="G91" t="s">
        <v>181</v>
      </c>
      <c r="H91" t="s">
        <v>239</v>
      </c>
      <c r="I91" t="s">
        <v>540</v>
      </c>
      <c r="J91" t="s">
        <v>543</v>
      </c>
      <c r="K91" t="s">
        <v>79</v>
      </c>
      <c r="L91" t="s">
        <v>240</v>
      </c>
      <c r="M91" t="s">
        <v>120</v>
      </c>
      <c r="N91" t="s">
        <v>120</v>
      </c>
      <c r="O91" t="s">
        <v>62</v>
      </c>
      <c r="P91" t="s">
        <v>82</v>
      </c>
      <c r="Q91" t="s">
        <v>64</v>
      </c>
      <c r="R91" t="s">
        <v>83</v>
      </c>
      <c r="S91" t="s">
        <v>64</v>
      </c>
      <c r="T91" t="s">
        <v>74</v>
      </c>
      <c r="U91" t="s">
        <v>84</v>
      </c>
      <c r="V91">
        <v>425</v>
      </c>
      <c r="W91" t="s">
        <v>67</v>
      </c>
      <c r="X91">
        <v>9</v>
      </c>
      <c r="Y91" t="s">
        <v>68</v>
      </c>
      <c r="Z91">
        <v>8.01</v>
      </c>
      <c r="AA91" t="s">
        <v>67</v>
      </c>
      <c r="AB91">
        <v>0.01</v>
      </c>
      <c r="AC91">
        <v>1008</v>
      </c>
      <c r="AD91" t="s">
        <v>67</v>
      </c>
      <c r="AE91">
        <v>31</v>
      </c>
      <c r="AF91">
        <v>7.66</v>
      </c>
      <c r="AG91" t="s">
        <v>67</v>
      </c>
      <c r="AH91">
        <v>0.01</v>
      </c>
      <c r="AI91">
        <v>-0.6</v>
      </c>
      <c r="AJ91" t="s">
        <v>67</v>
      </c>
      <c r="AK91">
        <v>0.2</v>
      </c>
      <c r="AL91">
        <v>-0.6</v>
      </c>
      <c r="AM91" t="s">
        <v>67</v>
      </c>
      <c r="AN91">
        <v>0.1</v>
      </c>
      <c r="AO91">
        <v>583</v>
      </c>
      <c r="AP91">
        <v>0</v>
      </c>
      <c r="AQ91" t="s">
        <v>241</v>
      </c>
      <c r="AR91" t="s">
        <v>242</v>
      </c>
      <c r="AS91" t="s">
        <v>242</v>
      </c>
      <c r="AT91" t="s">
        <v>135</v>
      </c>
      <c r="AU91" t="s">
        <v>243</v>
      </c>
      <c r="AV91" t="s">
        <v>132</v>
      </c>
      <c r="AW91" t="s">
        <v>132</v>
      </c>
      <c r="AX91" t="s">
        <v>73</v>
      </c>
      <c r="AY91">
        <v>699.52610000000004</v>
      </c>
      <c r="AZ91">
        <v>699.52607</v>
      </c>
      <c r="BA91">
        <v>16.11</v>
      </c>
      <c r="BB91">
        <f>BA91*SQRT(BC91)</f>
        <v>48.33</v>
      </c>
      <c r="BC91">
        <v>9</v>
      </c>
      <c r="BD91">
        <v>696.6825</v>
      </c>
      <c r="BE91">
        <v>696.68246450000004</v>
      </c>
      <c r="BF91">
        <v>15.165900000000001</v>
      </c>
      <c r="BG91">
        <f>BF91*SQRT(BH91)</f>
        <v>45.497700000000002</v>
      </c>
      <c r="BH91">
        <v>9</v>
      </c>
      <c r="BI91">
        <v>21</v>
      </c>
      <c r="BJ91">
        <v>3</v>
      </c>
      <c r="BK91">
        <v>-4.1000000000000003E-3</v>
      </c>
      <c r="BL91">
        <v>1E-3</v>
      </c>
    </row>
    <row r="92" spans="1:65" hidden="1" x14ac:dyDescent="0.2">
      <c r="A92">
        <v>161</v>
      </c>
      <c r="D92" t="s">
        <v>54</v>
      </c>
      <c r="E92">
        <v>2019</v>
      </c>
      <c r="F92" t="s">
        <v>174</v>
      </c>
      <c r="G92" t="s">
        <v>175</v>
      </c>
      <c r="H92" t="s">
        <v>78</v>
      </c>
      <c r="K92" t="s">
        <v>79</v>
      </c>
      <c r="L92" t="s">
        <v>176</v>
      </c>
      <c r="M92" t="s">
        <v>81</v>
      </c>
      <c r="N92" t="s">
        <v>81</v>
      </c>
      <c r="O92" t="s">
        <v>62</v>
      </c>
      <c r="P92" t="s">
        <v>63</v>
      </c>
      <c r="Q92" t="s">
        <v>74</v>
      </c>
      <c r="R92" t="s">
        <v>83</v>
      </c>
      <c r="S92" t="s">
        <v>74</v>
      </c>
      <c r="T92" t="s">
        <v>64</v>
      </c>
      <c r="U92" t="s">
        <v>75</v>
      </c>
      <c r="V92">
        <v>489</v>
      </c>
      <c r="W92" t="s">
        <v>67</v>
      </c>
      <c r="X92">
        <v>54</v>
      </c>
      <c r="Y92" t="s">
        <v>67</v>
      </c>
      <c r="Z92">
        <v>8.01</v>
      </c>
      <c r="AA92" t="s">
        <v>67</v>
      </c>
      <c r="AB92">
        <v>0.12</v>
      </c>
      <c r="AC92">
        <v>496</v>
      </c>
      <c r="AD92" t="s">
        <v>67</v>
      </c>
      <c r="AE92">
        <v>44</v>
      </c>
      <c r="AF92">
        <v>8.0500000000000007</v>
      </c>
      <c r="AG92" t="s">
        <v>67</v>
      </c>
      <c r="AH92">
        <v>0.1</v>
      </c>
      <c r="AI92">
        <v>19.600000000000001</v>
      </c>
      <c r="AJ92" t="s">
        <v>67</v>
      </c>
      <c r="AK92">
        <v>0.5</v>
      </c>
      <c r="AL92">
        <v>24.2</v>
      </c>
      <c r="AM92" t="s">
        <v>67</v>
      </c>
      <c r="AN92">
        <v>0.2</v>
      </c>
      <c r="AO92">
        <v>7</v>
      </c>
      <c r="AP92">
        <v>4.5999999999999996</v>
      </c>
      <c r="AQ92" t="s">
        <v>67</v>
      </c>
      <c r="AR92" t="s">
        <v>177</v>
      </c>
      <c r="AS92" t="s">
        <v>178</v>
      </c>
      <c r="AT92" t="s">
        <v>70</v>
      </c>
      <c r="AU92" t="s">
        <v>179</v>
      </c>
      <c r="AV92" t="s">
        <v>132</v>
      </c>
      <c r="AX92" t="s">
        <v>73</v>
      </c>
      <c r="AY92">
        <v>82.4</v>
      </c>
      <c r="AZ92">
        <v>82.4</v>
      </c>
      <c r="BA92">
        <v>0.76</v>
      </c>
      <c r="BC92">
        <v>5</v>
      </c>
      <c r="BD92">
        <v>90.4</v>
      </c>
      <c r="BE92">
        <v>90.4</v>
      </c>
      <c r="BF92">
        <v>1.1628000000000001</v>
      </c>
      <c r="BH92">
        <v>5</v>
      </c>
      <c r="BI92">
        <v>28</v>
      </c>
      <c r="BJ92">
        <v>3</v>
      </c>
      <c r="BK92">
        <v>9.2700000000000005E-2</v>
      </c>
      <c r="BL92">
        <v>2.9999999999999997E-4</v>
      </c>
    </row>
    <row r="93" spans="1:65" hidden="1" x14ac:dyDescent="0.2">
      <c r="A93">
        <v>161</v>
      </c>
      <c r="D93" t="s">
        <v>54</v>
      </c>
      <c r="E93">
        <v>2019</v>
      </c>
      <c r="F93" t="s">
        <v>174</v>
      </c>
      <c r="G93" t="s">
        <v>175</v>
      </c>
      <c r="H93" t="s">
        <v>78</v>
      </c>
      <c r="K93" t="s">
        <v>79</v>
      </c>
      <c r="L93" t="s">
        <v>176</v>
      </c>
      <c r="M93" t="s">
        <v>81</v>
      </c>
      <c r="N93" t="s">
        <v>81</v>
      </c>
      <c r="O93" t="s">
        <v>62</v>
      </c>
      <c r="P93" t="s">
        <v>63</v>
      </c>
      <c r="Q93" t="s">
        <v>74</v>
      </c>
      <c r="R93" t="s">
        <v>83</v>
      </c>
      <c r="S93" t="s">
        <v>74</v>
      </c>
      <c r="T93" t="s">
        <v>64</v>
      </c>
      <c r="U93" t="s">
        <v>75</v>
      </c>
      <c r="V93">
        <v>489</v>
      </c>
      <c r="W93" t="s">
        <v>67</v>
      </c>
      <c r="X93">
        <v>54</v>
      </c>
      <c r="Y93" t="s">
        <v>67</v>
      </c>
      <c r="Z93">
        <v>8.01</v>
      </c>
      <c r="AA93" t="s">
        <v>67</v>
      </c>
      <c r="AB93">
        <v>0.12</v>
      </c>
      <c r="AC93">
        <v>496</v>
      </c>
      <c r="AD93" t="s">
        <v>67</v>
      </c>
      <c r="AE93">
        <v>44</v>
      </c>
      <c r="AF93">
        <v>8.0500000000000007</v>
      </c>
      <c r="AG93" t="s">
        <v>67</v>
      </c>
      <c r="AH93">
        <v>0.1</v>
      </c>
      <c r="AI93">
        <v>19.600000000000001</v>
      </c>
      <c r="AJ93" t="s">
        <v>67</v>
      </c>
      <c r="AK93">
        <v>0.5</v>
      </c>
      <c r="AL93">
        <v>24.2</v>
      </c>
      <c r="AM93" t="s">
        <v>67</v>
      </c>
      <c r="AN93">
        <v>0.2</v>
      </c>
      <c r="AO93">
        <v>7</v>
      </c>
      <c r="AP93">
        <v>4.5999999999999996</v>
      </c>
      <c r="AQ93" t="s">
        <v>67</v>
      </c>
      <c r="AR93" t="s">
        <v>177</v>
      </c>
      <c r="AS93" t="s">
        <v>178</v>
      </c>
      <c r="AT93" t="s">
        <v>70</v>
      </c>
      <c r="AU93" t="s">
        <v>179</v>
      </c>
      <c r="AV93" t="s">
        <v>132</v>
      </c>
      <c r="AX93" t="s">
        <v>73</v>
      </c>
      <c r="AY93">
        <v>82.4</v>
      </c>
      <c r="AZ93">
        <v>82.4</v>
      </c>
      <c r="BA93">
        <v>0.76</v>
      </c>
      <c r="BC93">
        <v>5</v>
      </c>
      <c r="BD93">
        <v>90.4</v>
      </c>
      <c r="BE93">
        <v>90.4</v>
      </c>
      <c r="BF93">
        <v>1.1628000000000001</v>
      </c>
      <c r="BH93">
        <v>5</v>
      </c>
      <c r="BI93">
        <v>28</v>
      </c>
      <c r="BJ93">
        <v>3</v>
      </c>
      <c r="BK93">
        <v>9.2700000000000005E-2</v>
      </c>
      <c r="BL93">
        <v>2.9999999999999997E-4</v>
      </c>
    </row>
    <row r="94" spans="1:65" hidden="1" x14ac:dyDescent="0.2">
      <c r="A94">
        <v>211</v>
      </c>
      <c r="D94" t="s">
        <v>54</v>
      </c>
      <c r="E94">
        <v>2019</v>
      </c>
      <c r="F94" t="s">
        <v>187</v>
      </c>
      <c r="G94" t="s">
        <v>188</v>
      </c>
      <c r="H94" t="s">
        <v>78</v>
      </c>
      <c r="K94" t="s">
        <v>189</v>
      </c>
      <c r="L94" t="s">
        <v>190</v>
      </c>
      <c r="M94" t="s">
        <v>156</v>
      </c>
      <c r="N94" t="s">
        <v>156</v>
      </c>
      <c r="O94" t="s">
        <v>110</v>
      </c>
      <c r="P94" t="s">
        <v>63</v>
      </c>
      <c r="Q94" t="s">
        <v>74</v>
      </c>
      <c r="R94" t="s">
        <v>83</v>
      </c>
      <c r="S94" t="s">
        <v>64</v>
      </c>
      <c r="T94" t="s">
        <v>64</v>
      </c>
      <c r="U94" t="s">
        <v>66</v>
      </c>
      <c r="V94">
        <v>540</v>
      </c>
      <c r="W94" t="s">
        <v>67</v>
      </c>
      <c r="X94">
        <v>4.5999999999999996</v>
      </c>
      <c r="Y94" t="s">
        <v>96</v>
      </c>
      <c r="Z94">
        <v>8.02</v>
      </c>
      <c r="AA94" t="s">
        <v>67</v>
      </c>
      <c r="AB94">
        <v>0.01</v>
      </c>
      <c r="AC94">
        <v>1434</v>
      </c>
      <c r="AD94" t="s">
        <v>67</v>
      </c>
      <c r="AE94">
        <v>108</v>
      </c>
      <c r="AF94">
        <v>7.62</v>
      </c>
      <c r="AG94" t="s">
        <v>67</v>
      </c>
      <c r="AH94">
        <v>0.03</v>
      </c>
      <c r="AI94">
        <v>19</v>
      </c>
      <c r="AJ94" t="s">
        <v>67</v>
      </c>
      <c r="AK94">
        <v>0.2</v>
      </c>
      <c r="AL94">
        <v>24</v>
      </c>
      <c r="AM94" t="s">
        <v>67</v>
      </c>
      <c r="AN94">
        <v>2</v>
      </c>
      <c r="AO94">
        <v>894</v>
      </c>
      <c r="AP94">
        <v>5</v>
      </c>
      <c r="AQ94" t="s">
        <v>191</v>
      </c>
      <c r="AR94" t="s">
        <v>192</v>
      </c>
      <c r="AS94" t="s">
        <v>178</v>
      </c>
      <c r="AT94" t="s">
        <v>70</v>
      </c>
      <c r="AU94" t="s">
        <v>179</v>
      </c>
      <c r="AV94" t="s">
        <v>132</v>
      </c>
      <c r="AX94" t="s">
        <v>73</v>
      </c>
      <c r="AY94">
        <v>86.814204140000001</v>
      </c>
      <c r="AZ94">
        <v>86.814204140000001</v>
      </c>
      <c r="BA94">
        <v>1.2625999999999999</v>
      </c>
      <c r="BC94">
        <v>6</v>
      </c>
      <c r="BD94">
        <v>92.940161369999998</v>
      </c>
      <c r="BE94">
        <v>92.940161369999998</v>
      </c>
      <c r="BF94">
        <v>0.58889999999999998</v>
      </c>
      <c r="BH94">
        <v>6</v>
      </c>
      <c r="BI94">
        <v>28</v>
      </c>
      <c r="BJ94">
        <v>3</v>
      </c>
      <c r="BK94">
        <v>6.8199999999999997E-2</v>
      </c>
      <c r="BL94">
        <v>2.9999999999999997E-4</v>
      </c>
    </row>
    <row r="95" spans="1:65" hidden="1" x14ac:dyDescent="0.2">
      <c r="A95">
        <v>142</v>
      </c>
      <c r="D95" t="s">
        <v>54</v>
      </c>
      <c r="E95">
        <v>2017</v>
      </c>
      <c r="F95" t="s">
        <v>193</v>
      </c>
      <c r="G95" t="s">
        <v>181</v>
      </c>
      <c r="H95" t="s">
        <v>78</v>
      </c>
      <c r="K95" t="s">
        <v>194</v>
      </c>
      <c r="L95" t="s">
        <v>195</v>
      </c>
      <c r="M95" t="s">
        <v>120</v>
      </c>
      <c r="N95" t="s">
        <v>120</v>
      </c>
      <c r="O95" t="s">
        <v>106</v>
      </c>
      <c r="P95" t="s">
        <v>196</v>
      </c>
      <c r="Q95" t="s">
        <v>64</v>
      </c>
      <c r="R95" t="s">
        <v>83</v>
      </c>
      <c r="S95" t="s">
        <v>74</v>
      </c>
      <c r="T95" t="s">
        <v>64</v>
      </c>
      <c r="U95" t="s">
        <v>75</v>
      </c>
      <c r="V95">
        <v>439</v>
      </c>
      <c r="W95">
        <v>16.079999999999998</v>
      </c>
      <c r="X95" t="s">
        <v>67</v>
      </c>
      <c r="Y95" t="s">
        <v>67</v>
      </c>
      <c r="Z95" t="s">
        <v>67</v>
      </c>
      <c r="AA95" t="s">
        <v>67</v>
      </c>
      <c r="AB95" t="s">
        <v>67</v>
      </c>
      <c r="AC95">
        <v>525</v>
      </c>
      <c r="AD95">
        <v>21.07</v>
      </c>
      <c r="AE95" t="s">
        <v>67</v>
      </c>
      <c r="AF95" t="s">
        <v>67</v>
      </c>
      <c r="AG95" t="s">
        <v>67</v>
      </c>
      <c r="AH95" t="s">
        <v>67</v>
      </c>
      <c r="AI95">
        <v>-0.6</v>
      </c>
      <c r="AJ95">
        <v>0.17</v>
      </c>
      <c r="AK95" t="s">
        <v>67</v>
      </c>
      <c r="AL95">
        <v>4</v>
      </c>
      <c r="AM95">
        <v>0.44</v>
      </c>
      <c r="AN95" t="s">
        <v>67</v>
      </c>
      <c r="AO95">
        <v>86</v>
      </c>
      <c r="AP95">
        <v>4.5999999999999996</v>
      </c>
      <c r="AQ95" t="s">
        <v>67</v>
      </c>
      <c r="AR95" t="s">
        <v>69</v>
      </c>
      <c r="AS95" t="s">
        <v>69</v>
      </c>
      <c r="AT95" t="s">
        <v>70</v>
      </c>
      <c r="AU95" t="s">
        <v>197</v>
      </c>
      <c r="AV95" t="s">
        <v>72</v>
      </c>
      <c r="AX95" t="s">
        <v>73</v>
      </c>
      <c r="AY95">
        <v>0.90200000000000002</v>
      </c>
      <c r="AZ95">
        <v>0.90200000000000002</v>
      </c>
      <c r="BA95">
        <v>0.01</v>
      </c>
      <c r="BC95">
        <v>5</v>
      </c>
      <c r="BD95">
        <v>0.873</v>
      </c>
      <c r="BE95">
        <v>0.873</v>
      </c>
      <c r="BF95">
        <v>0.01</v>
      </c>
      <c r="BH95">
        <v>5</v>
      </c>
      <c r="BI95">
        <v>56</v>
      </c>
      <c r="BJ95">
        <v>1</v>
      </c>
      <c r="BK95">
        <v>-3.27E-2</v>
      </c>
      <c r="BL95">
        <v>2.9999999999999997E-4</v>
      </c>
    </row>
    <row r="96" spans="1:65" hidden="1" x14ac:dyDescent="0.2">
      <c r="A96">
        <v>171</v>
      </c>
      <c r="C96" t="s">
        <v>549</v>
      </c>
      <c r="D96" t="s">
        <v>54</v>
      </c>
      <c r="E96">
        <v>2015</v>
      </c>
      <c r="F96" t="s">
        <v>198</v>
      </c>
      <c r="G96" t="s">
        <v>199</v>
      </c>
      <c r="H96" t="s">
        <v>57</v>
      </c>
      <c r="K96" t="s">
        <v>79</v>
      </c>
      <c r="L96" t="s">
        <v>200</v>
      </c>
      <c r="M96" t="s">
        <v>81</v>
      </c>
      <c r="N96" t="s">
        <v>81</v>
      </c>
      <c r="O96" t="s">
        <v>62</v>
      </c>
      <c r="P96" t="s">
        <v>82</v>
      </c>
      <c r="Q96" t="s">
        <v>64</v>
      </c>
      <c r="R96" t="s">
        <v>65</v>
      </c>
      <c r="S96" t="s">
        <v>64</v>
      </c>
      <c r="T96" t="s">
        <v>74</v>
      </c>
      <c r="U96" t="s">
        <v>84</v>
      </c>
      <c r="V96">
        <v>422.07</v>
      </c>
      <c r="W96" t="s">
        <v>67</v>
      </c>
      <c r="X96">
        <v>16.57</v>
      </c>
      <c r="Y96" t="s">
        <v>96</v>
      </c>
      <c r="Z96">
        <v>8.1</v>
      </c>
      <c r="AA96" t="s">
        <v>67</v>
      </c>
      <c r="AB96">
        <v>0.05</v>
      </c>
      <c r="AC96">
        <v>1115.6199999999999</v>
      </c>
      <c r="AD96" t="s">
        <v>67</v>
      </c>
      <c r="AE96">
        <v>59.33</v>
      </c>
      <c r="AF96">
        <v>7.7</v>
      </c>
      <c r="AG96" t="s">
        <v>67</v>
      </c>
      <c r="AH96">
        <v>0.05</v>
      </c>
      <c r="AI96">
        <v>15</v>
      </c>
      <c r="AJ96" t="s">
        <v>67</v>
      </c>
      <c r="AK96">
        <v>0.5</v>
      </c>
      <c r="AL96">
        <v>15</v>
      </c>
      <c r="AM96" t="s">
        <v>67</v>
      </c>
      <c r="AN96">
        <v>0.5</v>
      </c>
      <c r="AO96">
        <v>694</v>
      </c>
      <c r="AP96">
        <v>0</v>
      </c>
      <c r="AQ96" t="s">
        <v>201</v>
      </c>
      <c r="AR96" t="s">
        <v>11</v>
      </c>
      <c r="AS96" t="s">
        <v>202</v>
      </c>
      <c r="AT96" t="s">
        <v>135</v>
      </c>
      <c r="AU96" t="s">
        <v>203</v>
      </c>
      <c r="AV96" t="s">
        <v>11</v>
      </c>
      <c r="AW96" t="s">
        <v>11</v>
      </c>
      <c r="AX96" t="s">
        <v>73</v>
      </c>
      <c r="AY96">
        <v>179.2388</v>
      </c>
      <c r="AZ96">
        <v>179.23875000000001</v>
      </c>
      <c r="BA96">
        <v>2.77</v>
      </c>
      <c r="BC96">
        <v>24</v>
      </c>
      <c r="BD96">
        <v>174.39449999999999</v>
      </c>
      <c r="BE96">
        <v>174.39446369999999</v>
      </c>
      <c r="BF96">
        <v>1.4</v>
      </c>
      <c r="BH96">
        <v>24</v>
      </c>
      <c r="BI96">
        <v>174</v>
      </c>
      <c r="BJ96">
        <v>5</v>
      </c>
      <c r="BK96">
        <v>-2.7400000000000001E-2</v>
      </c>
      <c r="BL96">
        <v>2.9999999999999997E-4</v>
      </c>
    </row>
    <row r="97" spans="1:65" hidden="1" x14ac:dyDescent="0.2">
      <c r="A97">
        <v>211</v>
      </c>
      <c r="D97" t="s">
        <v>54</v>
      </c>
      <c r="E97">
        <v>2019</v>
      </c>
      <c r="F97" t="s">
        <v>187</v>
      </c>
      <c r="G97" t="s">
        <v>188</v>
      </c>
      <c r="H97" t="s">
        <v>78</v>
      </c>
      <c r="K97" t="s">
        <v>189</v>
      </c>
      <c r="L97" t="s">
        <v>190</v>
      </c>
      <c r="M97" t="s">
        <v>156</v>
      </c>
      <c r="N97" t="s">
        <v>156</v>
      </c>
      <c r="O97" t="s">
        <v>110</v>
      </c>
      <c r="P97" t="s">
        <v>63</v>
      </c>
      <c r="Q97" t="s">
        <v>74</v>
      </c>
      <c r="R97" t="s">
        <v>83</v>
      </c>
      <c r="S97" t="s">
        <v>74</v>
      </c>
      <c r="T97" t="s">
        <v>64</v>
      </c>
      <c r="U97" t="s">
        <v>75</v>
      </c>
      <c r="V97">
        <v>540</v>
      </c>
      <c r="W97" t="s">
        <v>67</v>
      </c>
      <c r="X97">
        <v>4.5999999999999996</v>
      </c>
      <c r="Y97" t="s">
        <v>96</v>
      </c>
      <c r="Z97">
        <v>8.02</v>
      </c>
      <c r="AA97" t="s">
        <v>67</v>
      </c>
      <c r="AB97">
        <v>0.01</v>
      </c>
      <c r="AC97">
        <v>510</v>
      </c>
      <c r="AD97" t="s">
        <v>67</v>
      </c>
      <c r="AE97">
        <v>9.4</v>
      </c>
      <c r="AF97">
        <v>8.01</v>
      </c>
      <c r="AG97" t="s">
        <v>67</v>
      </c>
      <c r="AH97">
        <v>0.02</v>
      </c>
      <c r="AI97">
        <v>19</v>
      </c>
      <c r="AJ97" t="s">
        <v>67</v>
      </c>
      <c r="AK97">
        <v>0.2</v>
      </c>
      <c r="AL97">
        <v>24</v>
      </c>
      <c r="AM97" t="s">
        <v>67</v>
      </c>
      <c r="AN97">
        <v>0.3</v>
      </c>
      <c r="AO97">
        <v>-30.5</v>
      </c>
      <c r="AP97">
        <v>5</v>
      </c>
      <c r="AQ97" t="s">
        <v>191</v>
      </c>
      <c r="AR97" t="s">
        <v>192</v>
      </c>
      <c r="AS97" t="s">
        <v>178</v>
      </c>
      <c r="AT97" t="s">
        <v>70</v>
      </c>
      <c r="AU97" t="s">
        <v>179</v>
      </c>
      <c r="AV97" t="s">
        <v>132</v>
      </c>
      <c r="AX97" t="s">
        <v>73</v>
      </c>
      <c r="AY97">
        <v>86.814204140000001</v>
      </c>
      <c r="AZ97">
        <v>86.814204140000001</v>
      </c>
      <c r="BA97">
        <v>1.2625999999999999</v>
      </c>
      <c r="BC97">
        <v>6</v>
      </c>
      <c r="BD97">
        <v>92.691744610000001</v>
      </c>
      <c r="BE97">
        <v>92.691744610000001</v>
      </c>
      <c r="BF97">
        <v>0.67320000000000002</v>
      </c>
      <c r="BH97">
        <v>6</v>
      </c>
      <c r="BI97">
        <v>28</v>
      </c>
      <c r="BJ97">
        <v>3</v>
      </c>
      <c r="BK97">
        <v>6.5500000000000003E-2</v>
      </c>
      <c r="BL97">
        <v>2.9999999999999997E-4</v>
      </c>
    </row>
    <row r="98" spans="1:65" hidden="1" x14ac:dyDescent="0.2">
      <c r="A98">
        <v>171</v>
      </c>
      <c r="C98" t="s">
        <v>549</v>
      </c>
      <c r="D98" t="s">
        <v>54</v>
      </c>
      <c r="E98">
        <v>2015</v>
      </c>
      <c r="F98" t="s">
        <v>198</v>
      </c>
      <c r="G98" t="s">
        <v>199</v>
      </c>
      <c r="H98" t="s">
        <v>57</v>
      </c>
      <c r="K98" t="s">
        <v>79</v>
      </c>
      <c r="L98" t="s">
        <v>200</v>
      </c>
      <c r="M98" t="s">
        <v>81</v>
      </c>
      <c r="N98" t="s">
        <v>81</v>
      </c>
      <c r="O98" t="s">
        <v>62</v>
      </c>
      <c r="P98" t="s">
        <v>82</v>
      </c>
      <c r="Q98" t="s">
        <v>64</v>
      </c>
      <c r="R98" t="s">
        <v>65</v>
      </c>
      <c r="S98" t="s">
        <v>64</v>
      </c>
      <c r="T98" t="s">
        <v>64</v>
      </c>
      <c r="U98" t="s">
        <v>66</v>
      </c>
      <c r="V98">
        <v>422.07</v>
      </c>
      <c r="W98" t="s">
        <v>67</v>
      </c>
      <c r="X98">
        <v>16.57</v>
      </c>
      <c r="Y98" t="s">
        <v>96</v>
      </c>
      <c r="Z98">
        <v>8.1</v>
      </c>
      <c r="AA98" t="s">
        <v>67</v>
      </c>
      <c r="AB98">
        <v>0.05</v>
      </c>
      <c r="AC98">
        <v>1075</v>
      </c>
      <c r="AD98" t="s">
        <v>67</v>
      </c>
      <c r="AE98">
        <v>67.099999999999994</v>
      </c>
      <c r="AF98">
        <v>7.7</v>
      </c>
      <c r="AG98" t="s">
        <v>67</v>
      </c>
      <c r="AH98">
        <v>0.05</v>
      </c>
      <c r="AI98">
        <v>15</v>
      </c>
      <c r="AJ98" t="s">
        <v>67</v>
      </c>
      <c r="AK98">
        <v>0.5</v>
      </c>
      <c r="AL98">
        <v>18</v>
      </c>
      <c r="AM98" t="s">
        <v>67</v>
      </c>
      <c r="AN98">
        <v>0.5</v>
      </c>
      <c r="AO98">
        <v>653</v>
      </c>
      <c r="AP98">
        <v>3</v>
      </c>
      <c r="AQ98" t="s">
        <v>201</v>
      </c>
      <c r="AR98" t="s">
        <v>11</v>
      </c>
      <c r="AS98" t="s">
        <v>202</v>
      </c>
      <c r="AT98" t="s">
        <v>135</v>
      </c>
      <c r="AU98" t="s">
        <v>203</v>
      </c>
      <c r="AV98" t="s">
        <v>11</v>
      </c>
      <c r="AW98" t="s">
        <v>11</v>
      </c>
      <c r="AX98" t="s">
        <v>73</v>
      </c>
      <c r="AY98">
        <v>179.2388</v>
      </c>
      <c r="AZ98">
        <v>179.23875000000001</v>
      </c>
      <c r="BA98">
        <v>2.77</v>
      </c>
      <c r="BC98">
        <v>24</v>
      </c>
      <c r="BD98">
        <v>123.18340000000001</v>
      </c>
      <c r="BE98">
        <v>123.183391</v>
      </c>
      <c r="BF98">
        <v>0.69199999999999995</v>
      </c>
      <c r="BH98">
        <v>24</v>
      </c>
      <c r="BI98">
        <v>123</v>
      </c>
      <c r="BJ98">
        <v>5</v>
      </c>
      <c r="BK98">
        <v>-0.375</v>
      </c>
      <c r="BL98">
        <v>2.9999999999999997E-4</v>
      </c>
    </row>
    <row r="99" spans="1:65" x14ac:dyDescent="0.2">
      <c r="A99">
        <v>176</v>
      </c>
      <c r="B99" t="str">
        <f>ROW()-1&amp;"_AltersFish"</f>
        <v>98_AltersFish</v>
      </c>
      <c r="C99" t="str">
        <f>A99 &amp; "_" &amp; P99 &amp; "_" &amp;
SUBSTITUTE(TRIM(L99)," ","_") &amp;
"_pH" &amp; TEXT(Z99,"0.00") &amp;
"_T" &amp; TEXT(AI99,"0.00") &amp;
"_CO2" &amp; TEXT(V99,"0") &amp;
"_LANG"</f>
        <v>176_EMBRYO_Gymnodraco_acuticeps_pH8.01_T-0.60_CO2425_LANG</v>
      </c>
      <c r="D99" t="s">
        <v>54</v>
      </c>
      <c r="E99">
        <v>2015</v>
      </c>
      <c r="F99" t="s">
        <v>238</v>
      </c>
      <c r="G99" t="s">
        <v>181</v>
      </c>
      <c r="H99" t="s">
        <v>239</v>
      </c>
      <c r="I99" t="s">
        <v>540</v>
      </c>
      <c r="J99" t="s">
        <v>543</v>
      </c>
      <c r="K99" t="s">
        <v>79</v>
      </c>
      <c r="L99" t="s">
        <v>240</v>
      </c>
      <c r="M99" t="s">
        <v>120</v>
      </c>
      <c r="N99" t="s">
        <v>120</v>
      </c>
      <c r="O99" t="s">
        <v>62</v>
      </c>
      <c r="P99" t="s">
        <v>82</v>
      </c>
      <c r="Q99" t="s">
        <v>64</v>
      </c>
      <c r="R99" t="s">
        <v>83</v>
      </c>
      <c r="S99" t="s">
        <v>64</v>
      </c>
      <c r="T99" t="s">
        <v>64</v>
      </c>
      <c r="U99" t="s">
        <v>66</v>
      </c>
      <c r="V99">
        <v>425</v>
      </c>
      <c r="W99" t="s">
        <v>67</v>
      </c>
      <c r="X99">
        <v>9</v>
      </c>
      <c r="Y99" t="s">
        <v>68</v>
      </c>
      <c r="Z99">
        <v>8.01</v>
      </c>
      <c r="AA99" t="s">
        <v>67</v>
      </c>
      <c r="AB99">
        <v>0.01</v>
      </c>
      <c r="AC99">
        <v>669</v>
      </c>
      <c r="AD99" t="s">
        <v>67</v>
      </c>
      <c r="AE99">
        <v>18</v>
      </c>
      <c r="AF99">
        <v>7.84</v>
      </c>
      <c r="AG99" t="s">
        <v>67</v>
      </c>
      <c r="AH99">
        <v>0.01</v>
      </c>
      <c r="AI99">
        <v>-0.6</v>
      </c>
      <c r="AJ99" t="s">
        <v>67</v>
      </c>
      <c r="AK99">
        <v>0.2</v>
      </c>
      <c r="AL99">
        <v>2</v>
      </c>
      <c r="AM99" t="s">
        <v>67</v>
      </c>
      <c r="AN99">
        <v>0.2</v>
      </c>
      <c r="AO99">
        <v>244</v>
      </c>
      <c r="AP99">
        <v>2.6</v>
      </c>
      <c r="AQ99" t="s">
        <v>241</v>
      </c>
      <c r="AR99" t="s">
        <v>242</v>
      </c>
      <c r="AS99" t="s">
        <v>242</v>
      </c>
      <c r="AT99" t="s">
        <v>135</v>
      </c>
      <c r="AU99" t="s">
        <v>243</v>
      </c>
      <c r="AV99" t="s">
        <v>132</v>
      </c>
      <c r="AW99" t="s">
        <v>132</v>
      </c>
      <c r="AX99" t="s">
        <v>73</v>
      </c>
      <c r="AY99">
        <v>699.52610000000004</v>
      </c>
      <c r="AZ99">
        <v>699.52607</v>
      </c>
      <c r="BA99">
        <v>16.11</v>
      </c>
      <c r="BB99">
        <f>BA99*SQRT(BC99)</f>
        <v>48.33</v>
      </c>
      <c r="BC99">
        <v>9</v>
      </c>
      <c r="BD99">
        <v>677.7251</v>
      </c>
      <c r="BE99">
        <v>677.72511850000001</v>
      </c>
      <c r="BF99">
        <v>18.009499999999999</v>
      </c>
      <c r="BG99">
        <f>BF99*SQRT(BH99)</f>
        <v>40.270466240782461</v>
      </c>
      <c r="BH99">
        <v>5</v>
      </c>
      <c r="BI99">
        <v>21</v>
      </c>
      <c r="BJ99">
        <v>3</v>
      </c>
      <c r="BK99">
        <v>-3.1699999999999999E-2</v>
      </c>
      <c r="BL99">
        <v>1.1999999999999999E-3</v>
      </c>
    </row>
    <row r="100" spans="1:65" x14ac:dyDescent="0.2">
      <c r="A100">
        <v>182</v>
      </c>
      <c r="B100" t="str">
        <f>ROW()-1&amp;"_AltersFish"</f>
        <v>99_AltersFish</v>
      </c>
      <c r="C100" t="str">
        <f>A100 &amp; "_" &amp; P100 &amp; "_" &amp;
SUBSTITUTE(TRIM(L100)," ","_") &amp;
"_pH" &amp; TEXT(Z100,"0.00") &amp;
"_T" &amp; TEXT(AI100,"0.00") &amp;
"_CO2" &amp; TEXT(V100,"0") &amp;
"_LANG"</f>
        <v>182_LARVA_Seriola_lalandi_pH8.00_T21.10_CO2462_LANG</v>
      </c>
      <c r="D100" t="s">
        <v>54</v>
      </c>
      <c r="E100">
        <v>2019</v>
      </c>
      <c r="F100" t="s">
        <v>338</v>
      </c>
      <c r="G100" t="s">
        <v>339</v>
      </c>
      <c r="H100" t="s">
        <v>78</v>
      </c>
      <c r="I100" t="s">
        <v>540</v>
      </c>
      <c r="J100" t="s">
        <v>543</v>
      </c>
      <c r="K100" t="s">
        <v>79</v>
      </c>
      <c r="L100" t="s">
        <v>155</v>
      </c>
      <c r="M100" t="s">
        <v>156</v>
      </c>
      <c r="N100" t="s">
        <v>156</v>
      </c>
      <c r="O100" t="s">
        <v>106</v>
      </c>
      <c r="P100" t="s">
        <v>107</v>
      </c>
      <c r="Q100" t="s">
        <v>74</v>
      </c>
      <c r="R100" t="s">
        <v>83</v>
      </c>
      <c r="S100" t="s">
        <v>64</v>
      </c>
      <c r="T100" t="s">
        <v>64</v>
      </c>
      <c r="U100" t="s">
        <v>66</v>
      </c>
      <c r="V100">
        <v>462</v>
      </c>
      <c r="W100" t="s">
        <v>67</v>
      </c>
      <c r="X100">
        <v>43</v>
      </c>
      <c r="Y100" t="s">
        <v>157</v>
      </c>
      <c r="Z100">
        <v>8</v>
      </c>
      <c r="AA100" t="s">
        <v>67</v>
      </c>
      <c r="AB100">
        <v>0.03</v>
      </c>
      <c r="AC100">
        <v>1011</v>
      </c>
      <c r="AD100" t="s">
        <v>67</v>
      </c>
      <c r="AE100">
        <v>30</v>
      </c>
      <c r="AF100">
        <v>7.7</v>
      </c>
      <c r="AG100" t="s">
        <v>67</v>
      </c>
      <c r="AH100">
        <v>0.01</v>
      </c>
      <c r="AI100">
        <v>21.1</v>
      </c>
      <c r="AJ100" t="s">
        <v>67</v>
      </c>
      <c r="AK100">
        <v>0.1</v>
      </c>
      <c r="AL100">
        <v>24.9</v>
      </c>
      <c r="AM100" t="s">
        <v>67</v>
      </c>
      <c r="AN100">
        <v>0.4</v>
      </c>
      <c r="AO100">
        <v>549</v>
      </c>
      <c r="AP100">
        <v>3.8</v>
      </c>
      <c r="AQ100" t="s">
        <v>67</v>
      </c>
      <c r="AR100" t="s">
        <v>340</v>
      </c>
      <c r="AS100" t="s">
        <v>98</v>
      </c>
      <c r="AT100" t="s">
        <v>70</v>
      </c>
      <c r="AU100" t="s">
        <v>226</v>
      </c>
      <c r="AV100" t="s">
        <v>72</v>
      </c>
      <c r="AW100" t="s">
        <v>72</v>
      </c>
      <c r="AX100" t="s">
        <v>73</v>
      </c>
      <c r="AY100">
        <v>0.92310000000000003</v>
      </c>
      <c r="AZ100">
        <v>0.92308000000000001</v>
      </c>
      <c r="BA100">
        <v>0.04</v>
      </c>
      <c r="BB100">
        <f>BA100*SQRT(BC100)</f>
        <v>0.14422205101855956</v>
      </c>
      <c r="BC100">
        <v>13</v>
      </c>
      <c r="BD100">
        <v>1.2438</v>
      </c>
      <c r="BE100">
        <v>1.2437499999999999</v>
      </c>
      <c r="BF100">
        <v>7.9000000000000001E-2</v>
      </c>
      <c r="BG100">
        <f>BF100*SQRT(BH100)</f>
        <v>0.316</v>
      </c>
      <c r="BH100">
        <v>16</v>
      </c>
      <c r="BI100">
        <v>11</v>
      </c>
      <c r="BJ100">
        <v>6</v>
      </c>
      <c r="BK100">
        <v>0.29820000000000002</v>
      </c>
      <c r="BL100">
        <v>6.0000000000000001E-3</v>
      </c>
    </row>
    <row r="101" spans="1:65" x14ac:dyDescent="0.2">
      <c r="A101">
        <v>182</v>
      </c>
      <c r="B101" t="str">
        <f>ROW()-1&amp;"_AltersFish"</f>
        <v>100_AltersFish</v>
      </c>
      <c r="C101" t="str">
        <f>A101 &amp; "_" &amp; P101 &amp; "_" &amp;
SUBSTITUTE(TRIM(L101)," ","_") &amp;
"_pH" &amp; TEXT(Z101,"0.00") &amp;
"_T" &amp; TEXT(AI101,"0.00") &amp;
"_CO2" &amp; TEXT(V101,"0") &amp;
"_LANG"</f>
        <v>182_LARVA_Seriola_lalandi_pH8.00_T21.10_CO2462_LANG</v>
      </c>
      <c r="D101" t="s">
        <v>54</v>
      </c>
      <c r="E101">
        <v>2019</v>
      </c>
      <c r="F101" t="s">
        <v>338</v>
      </c>
      <c r="G101" t="s">
        <v>339</v>
      </c>
      <c r="H101" t="s">
        <v>78</v>
      </c>
      <c r="I101" t="s">
        <v>540</v>
      </c>
      <c r="J101" t="s">
        <v>543</v>
      </c>
      <c r="K101" t="s">
        <v>79</v>
      </c>
      <c r="L101" t="s">
        <v>155</v>
      </c>
      <c r="M101" t="s">
        <v>156</v>
      </c>
      <c r="N101" t="s">
        <v>156</v>
      </c>
      <c r="O101" t="s">
        <v>106</v>
      </c>
      <c r="P101" t="s">
        <v>107</v>
      </c>
      <c r="Q101" t="s">
        <v>74</v>
      </c>
      <c r="R101" t="s">
        <v>83</v>
      </c>
      <c r="S101" t="s">
        <v>74</v>
      </c>
      <c r="T101" t="s">
        <v>64</v>
      </c>
      <c r="U101" t="s">
        <v>75</v>
      </c>
      <c r="V101">
        <v>462</v>
      </c>
      <c r="W101" t="s">
        <v>67</v>
      </c>
      <c r="X101">
        <v>43</v>
      </c>
      <c r="Y101" t="s">
        <v>157</v>
      </c>
      <c r="Z101">
        <v>8</v>
      </c>
      <c r="AA101" t="s">
        <v>67</v>
      </c>
      <c r="AB101">
        <v>0.03</v>
      </c>
      <c r="AC101">
        <v>538</v>
      </c>
      <c r="AD101" t="s">
        <v>67</v>
      </c>
      <c r="AE101">
        <v>16</v>
      </c>
      <c r="AF101">
        <v>7.94</v>
      </c>
      <c r="AG101" t="s">
        <v>67</v>
      </c>
      <c r="AH101">
        <v>0.01</v>
      </c>
      <c r="AI101">
        <v>21.1</v>
      </c>
      <c r="AJ101" t="s">
        <v>67</v>
      </c>
      <c r="AK101">
        <v>0.1</v>
      </c>
      <c r="AL101">
        <v>24.8</v>
      </c>
      <c r="AM101" t="s">
        <v>67</v>
      </c>
      <c r="AN101">
        <v>0.4</v>
      </c>
      <c r="AO101">
        <v>76</v>
      </c>
      <c r="AP101">
        <v>3.7</v>
      </c>
      <c r="AQ101" t="s">
        <v>67</v>
      </c>
      <c r="AR101" t="s">
        <v>340</v>
      </c>
      <c r="AS101" t="s">
        <v>98</v>
      </c>
      <c r="AT101" t="s">
        <v>70</v>
      </c>
      <c r="AU101" t="s">
        <v>226</v>
      </c>
      <c r="AV101" t="s">
        <v>72</v>
      </c>
      <c r="AW101" t="s">
        <v>72</v>
      </c>
      <c r="AX101" t="s">
        <v>73</v>
      </c>
      <c r="AY101">
        <v>0.92310000000000003</v>
      </c>
      <c r="AZ101">
        <v>0.92308000000000001</v>
      </c>
      <c r="BA101">
        <v>0.04</v>
      </c>
      <c r="BB101">
        <f>BA101*SQRT(BC101)</f>
        <v>0.14422205101855956</v>
      </c>
      <c r="BC101">
        <v>13</v>
      </c>
      <c r="BD101">
        <v>1.1000000000000001</v>
      </c>
      <c r="BE101">
        <v>1.1000000000000001</v>
      </c>
      <c r="BF101">
        <v>5.2400000000000002E-2</v>
      </c>
      <c r="BG101">
        <f>BF101*SQRT(BH101)</f>
        <v>0.20960000000000001</v>
      </c>
      <c r="BH101">
        <v>16</v>
      </c>
      <c r="BI101">
        <v>11</v>
      </c>
      <c r="BJ101">
        <v>6</v>
      </c>
      <c r="BK101">
        <v>0.1754</v>
      </c>
      <c r="BL101">
        <v>4.3E-3</v>
      </c>
    </row>
    <row r="102" spans="1:65" x14ac:dyDescent="0.2">
      <c r="A102">
        <v>182</v>
      </c>
      <c r="B102" t="str">
        <f>ROW()-1&amp;"_AltersFish"</f>
        <v>101_AltersFish</v>
      </c>
      <c r="C102" t="str">
        <f>A102 &amp; "_" &amp; P102 &amp; "_" &amp;
SUBSTITUTE(TRIM(L102)," ","_") &amp;
"_pH" &amp; TEXT(Z102,"0.00") &amp;
"_T" &amp; TEXT(AI102,"0.00") &amp;
"_CO2" &amp; TEXT(V102,"0") &amp;
"_LANG"</f>
        <v>182_LARVA_Seriola_lalandi_pH8.00_T21.10_CO2462_LANG</v>
      </c>
      <c r="D102" t="s">
        <v>54</v>
      </c>
      <c r="E102">
        <v>2019</v>
      </c>
      <c r="F102" t="s">
        <v>338</v>
      </c>
      <c r="G102" t="s">
        <v>339</v>
      </c>
      <c r="H102" t="s">
        <v>78</v>
      </c>
      <c r="I102" t="s">
        <v>540</v>
      </c>
      <c r="J102" t="s">
        <v>543</v>
      </c>
      <c r="K102" t="s">
        <v>79</v>
      </c>
      <c r="L102" t="s">
        <v>155</v>
      </c>
      <c r="M102" t="s">
        <v>156</v>
      </c>
      <c r="N102" t="s">
        <v>156</v>
      </c>
      <c r="O102" t="s">
        <v>106</v>
      </c>
      <c r="P102" t="s">
        <v>107</v>
      </c>
      <c r="Q102" t="s">
        <v>74</v>
      </c>
      <c r="R102" t="s">
        <v>83</v>
      </c>
      <c r="S102" t="s">
        <v>64</v>
      </c>
      <c r="T102" t="s">
        <v>74</v>
      </c>
      <c r="U102" t="s">
        <v>84</v>
      </c>
      <c r="V102">
        <v>462</v>
      </c>
      <c r="W102" t="s">
        <v>67</v>
      </c>
      <c r="X102">
        <v>43</v>
      </c>
      <c r="Y102" t="s">
        <v>157</v>
      </c>
      <c r="Z102">
        <v>8</v>
      </c>
      <c r="AA102" t="s">
        <v>67</v>
      </c>
      <c r="AB102">
        <v>0.03</v>
      </c>
      <c r="AC102">
        <v>960</v>
      </c>
      <c r="AD102" t="s">
        <v>67</v>
      </c>
      <c r="AE102">
        <v>57</v>
      </c>
      <c r="AF102">
        <v>7.72</v>
      </c>
      <c r="AG102" t="s">
        <v>67</v>
      </c>
      <c r="AH102">
        <v>0.03</v>
      </c>
      <c r="AI102">
        <v>21.1</v>
      </c>
      <c r="AJ102" t="s">
        <v>67</v>
      </c>
      <c r="AK102">
        <v>0.1</v>
      </c>
      <c r="AL102">
        <v>21.1</v>
      </c>
      <c r="AM102" t="s">
        <v>67</v>
      </c>
      <c r="AN102">
        <v>0.1</v>
      </c>
      <c r="AO102">
        <v>498</v>
      </c>
      <c r="AP102">
        <v>0</v>
      </c>
      <c r="AQ102" t="s">
        <v>67</v>
      </c>
      <c r="AR102" t="s">
        <v>340</v>
      </c>
      <c r="AS102" t="s">
        <v>98</v>
      </c>
      <c r="AT102" t="s">
        <v>70</v>
      </c>
      <c r="AU102" t="s">
        <v>226</v>
      </c>
      <c r="AV102" t="s">
        <v>72</v>
      </c>
      <c r="AW102" t="s">
        <v>72</v>
      </c>
      <c r="AX102" t="s">
        <v>73</v>
      </c>
      <c r="AY102">
        <v>0.92310000000000003</v>
      </c>
      <c r="AZ102">
        <v>0.92308000000000001</v>
      </c>
      <c r="BA102">
        <v>0.04</v>
      </c>
      <c r="BB102">
        <f>BA102*SQRT(BC102)</f>
        <v>0.14422205101855956</v>
      </c>
      <c r="BC102">
        <v>13</v>
      </c>
      <c r="BD102">
        <v>0.98570000000000002</v>
      </c>
      <c r="BE102">
        <v>0.985714286</v>
      </c>
      <c r="BF102">
        <v>5.9200000000000003E-2</v>
      </c>
      <c r="BG102">
        <f>BF102*SQRT(BH102)</f>
        <v>0.22150611729701733</v>
      </c>
      <c r="BH102">
        <v>14</v>
      </c>
      <c r="BI102">
        <v>11</v>
      </c>
      <c r="BJ102">
        <v>6</v>
      </c>
      <c r="BK102">
        <v>6.5699999999999995E-2</v>
      </c>
      <c r="BL102">
        <v>5.5999999999999999E-3</v>
      </c>
    </row>
    <row r="103" spans="1:65" hidden="1" x14ac:dyDescent="0.2">
      <c r="A103">
        <v>233</v>
      </c>
      <c r="D103" t="s">
        <v>54</v>
      </c>
      <c r="E103">
        <v>2018</v>
      </c>
      <c r="F103" t="s">
        <v>208</v>
      </c>
      <c r="G103" t="s">
        <v>209</v>
      </c>
      <c r="H103" t="s">
        <v>78</v>
      </c>
      <c r="L103" t="s">
        <v>210</v>
      </c>
      <c r="P103" t="s">
        <v>63</v>
      </c>
      <c r="S103" t="s">
        <v>64</v>
      </c>
      <c r="T103" t="s">
        <v>74</v>
      </c>
      <c r="U103" t="s">
        <v>84</v>
      </c>
      <c r="V103">
        <v>500</v>
      </c>
      <c r="AC103">
        <v>1540</v>
      </c>
      <c r="AI103">
        <v>19.2</v>
      </c>
      <c r="AL103">
        <v>19.3</v>
      </c>
      <c r="AO103">
        <v>1040</v>
      </c>
      <c r="AP103">
        <v>0.1</v>
      </c>
      <c r="AR103" t="s">
        <v>211</v>
      </c>
      <c r="AS103" t="s">
        <v>69</v>
      </c>
      <c r="AT103" t="s">
        <v>70</v>
      </c>
      <c r="AU103" t="s">
        <v>67</v>
      </c>
      <c r="AV103" t="s">
        <v>72</v>
      </c>
      <c r="AX103" t="s">
        <v>73</v>
      </c>
      <c r="AY103">
        <v>1.94</v>
      </c>
      <c r="AZ103">
        <v>1.94</v>
      </c>
      <c r="BA103">
        <v>3.3333333E-2</v>
      </c>
      <c r="BC103">
        <v>9</v>
      </c>
      <c r="BD103">
        <v>1.86</v>
      </c>
      <c r="BE103">
        <v>1.86</v>
      </c>
      <c r="BF103">
        <v>3.333333E-3</v>
      </c>
      <c r="BH103">
        <v>9</v>
      </c>
      <c r="BI103">
        <v>28</v>
      </c>
      <c r="BK103">
        <v>-4.2099999999999999E-2</v>
      </c>
      <c r="BL103">
        <v>2.9999999999999997E-4</v>
      </c>
    </row>
    <row r="104" spans="1:65" x14ac:dyDescent="0.2">
      <c r="A104">
        <v>179</v>
      </c>
      <c r="B104" t="str">
        <f>ROW()-1&amp;"_AltersFish"</f>
        <v>103_AltersFish</v>
      </c>
      <c r="C104" t="str">
        <f>A104 &amp; "_" &amp; P104 &amp; "_" &amp;
SUBSTITUTE(TRIM(L104)," ","_") &amp;
"_pH" &amp; TEXT(Z104,"0.00") &amp;
"_T" &amp; TEXT(AI104,"0.00") &amp;
"_CO2" &amp; TEXT(V104,"0") &amp;
"_LANG"</f>
        <v>179_LARVA_Menidia_beryllina_pH7.93_T19.00_CO2389_LANG</v>
      </c>
      <c r="D104" t="s">
        <v>54</v>
      </c>
      <c r="E104">
        <v>2018</v>
      </c>
      <c r="F104" t="s">
        <v>229</v>
      </c>
      <c r="G104" t="s">
        <v>230</v>
      </c>
      <c r="H104" t="s">
        <v>78</v>
      </c>
      <c r="I104" t="s">
        <v>540</v>
      </c>
      <c r="J104" t="s">
        <v>543</v>
      </c>
      <c r="K104" t="s">
        <v>79</v>
      </c>
      <c r="L104" t="s">
        <v>231</v>
      </c>
      <c r="M104" t="s">
        <v>156</v>
      </c>
      <c r="N104" t="s">
        <v>156</v>
      </c>
      <c r="O104" t="s">
        <v>106</v>
      </c>
      <c r="P104" t="s">
        <v>107</v>
      </c>
      <c r="Q104" t="s">
        <v>74</v>
      </c>
      <c r="R104" t="s">
        <v>83</v>
      </c>
      <c r="S104" t="s">
        <v>74</v>
      </c>
      <c r="T104" t="s">
        <v>64</v>
      </c>
      <c r="U104" t="s">
        <v>75</v>
      </c>
      <c r="V104">
        <v>389</v>
      </c>
      <c r="W104" t="s">
        <v>67</v>
      </c>
      <c r="X104">
        <v>18</v>
      </c>
      <c r="Y104" t="s">
        <v>157</v>
      </c>
      <c r="Z104">
        <v>7.93</v>
      </c>
      <c r="AA104" t="s">
        <v>67</v>
      </c>
      <c r="AB104">
        <v>0.03</v>
      </c>
      <c r="AC104">
        <v>372</v>
      </c>
      <c r="AD104" t="s">
        <v>67</v>
      </c>
      <c r="AE104">
        <v>24</v>
      </c>
      <c r="AF104">
        <v>7.91</v>
      </c>
      <c r="AG104" t="s">
        <v>67</v>
      </c>
      <c r="AH104">
        <v>0.06</v>
      </c>
      <c r="AI104">
        <v>19</v>
      </c>
      <c r="AJ104" t="s">
        <v>67</v>
      </c>
      <c r="AK104">
        <v>0.53</v>
      </c>
      <c r="AL104">
        <v>29</v>
      </c>
      <c r="AM104" t="s">
        <v>67</v>
      </c>
      <c r="AN104">
        <v>0.28999999999999998</v>
      </c>
      <c r="AO104">
        <v>-17</v>
      </c>
      <c r="AP104">
        <v>10</v>
      </c>
      <c r="AQ104" t="s">
        <v>67</v>
      </c>
      <c r="AR104" t="s">
        <v>98</v>
      </c>
      <c r="AS104" t="s">
        <v>98</v>
      </c>
      <c r="AT104" t="s">
        <v>70</v>
      </c>
      <c r="AU104" t="s">
        <v>109</v>
      </c>
      <c r="AV104" t="s">
        <v>72</v>
      </c>
      <c r="AW104" t="s">
        <v>72</v>
      </c>
      <c r="AX104" t="s">
        <v>73</v>
      </c>
      <c r="AY104">
        <v>4.05</v>
      </c>
      <c r="AZ104">
        <v>4.05</v>
      </c>
      <c r="BA104">
        <v>0.12</v>
      </c>
      <c r="BB104">
        <f>BA104*SQRT(BC104)</f>
        <v>0.24</v>
      </c>
      <c r="BC104">
        <v>4</v>
      </c>
      <c r="BD104">
        <v>5.81</v>
      </c>
      <c r="BE104">
        <v>5.81</v>
      </c>
      <c r="BF104">
        <v>0.1</v>
      </c>
      <c r="BG104">
        <f>BF104*SQRT(BH104)</f>
        <v>0.2</v>
      </c>
      <c r="BH104">
        <v>4</v>
      </c>
      <c r="BI104">
        <v>16</v>
      </c>
      <c r="BJ104">
        <v>4</v>
      </c>
      <c r="BK104">
        <v>0.3609</v>
      </c>
      <c r="BL104">
        <v>1.1000000000000001E-3</v>
      </c>
    </row>
    <row r="105" spans="1:65" hidden="1" x14ac:dyDescent="0.2">
      <c r="A105">
        <v>211</v>
      </c>
      <c r="D105" t="s">
        <v>54</v>
      </c>
      <c r="E105">
        <v>2019</v>
      </c>
      <c r="F105" t="s">
        <v>187</v>
      </c>
      <c r="G105" t="s">
        <v>188</v>
      </c>
      <c r="H105" t="s">
        <v>78</v>
      </c>
      <c r="K105" t="s">
        <v>189</v>
      </c>
      <c r="L105" t="s">
        <v>190</v>
      </c>
      <c r="M105" t="s">
        <v>156</v>
      </c>
      <c r="N105" t="s">
        <v>156</v>
      </c>
      <c r="O105" t="s">
        <v>110</v>
      </c>
      <c r="P105" t="s">
        <v>63</v>
      </c>
      <c r="Q105" t="s">
        <v>74</v>
      </c>
      <c r="R105" t="s">
        <v>83</v>
      </c>
      <c r="S105" t="s">
        <v>64</v>
      </c>
      <c r="T105" t="s">
        <v>74</v>
      </c>
      <c r="U105" t="s">
        <v>84</v>
      </c>
      <c r="V105">
        <v>540</v>
      </c>
      <c r="W105" t="s">
        <v>67</v>
      </c>
      <c r="X105">
        <v>4.5999999999999996</v>
      </c>
      <c r="Y105" t="s">
        <v>96</v>
      </c>
      <c r="Z105">
        <v>8.02</v>
      </c>
      <c r="AA105" t="s">
        <v>67</v>
      </c>
      <c r="AB105">
        <v>0.01</v>
      </c>
      <c r="AC105">
        <v>1497</v>
      </c>
      <c r="AD105" t="s">
        <v>67</v>
      </c>
      <c r="AE105">
        <v>33</v>
      </c>
      <c r="AF105">
        <v>7.61</v>
      </c>
      <c r="AG105" t="s">
        <v>67</v>
      </c>
      <c r="AH105">
        <v>0.03</v>
      </c>
      <c r="AI105">
        <v>19</v>
      </c>
      <c r="AJ105" t="s">
        <v>67</v>
      </c>
      <c r="AK105">
        <v>0.2</v>
      </c>
      <c r="AL105">
        <v>19</v>
      </c>
      <c r="AM105" t="s">
        <v>67</v>
      </c>
      <c r="AN105">
        <v>0.1</v>
      </c>
      <c r="AO105">
        <v>957</v>
      </c>
      <c r="AP105">
        <v>0</v>
      </c>
      <c r="AQ105" t="s">
        <v>191</v>
      </c>
      <c r="AR105" t="s">
        <v>192</v>
      </c>
      <c r="AS105" t="s">
        <v>178</v>
      </c>
      <c r="AT105" t="s">
        <v>70</v>
      </c>
      <c r="AU105" t="s">
        <v>179</v>
      </c>
      <c r="AV105" t="s">
        <v>132</v>
      </c>
      <c r="AX105" t="s">
        <v>73</v>
      </c>
      <c r="AY105">
        <v>86.814204140000001</v>
      </c>
      <c r="AZ105">
        <v>86.814204140000001</v>
      </c>
      <c r="BA105">
        <v>1.2625999999999999</v>
      </c>
      <c r="BC105">
        <v>6</v>
      </c>
      <c r="BD105">
        <v>92.85636212</v>
      </c>
      <c r="BE105">
        <v>92.85636212</v>
      </c>
      <c r="BF105">
        <v>0.92600000000000005</v>
      </c>
      <c r="BH105">
        <v>6</v>
      </c>
      <c r="BI105">
        <v>28</v>
      </c>
      <c r="BJ105">
        <v>3</v>
      </c>
      <c r="BK105">
        <v>6.7299999999999999E-2</v>
      </c>
      <c r="BL105">
        <v>2.9999999999999997E-4</v>
      </c>
    </row>
    <row r="106" spans="1:65" x14ac:dyDescent="0.2">
      <c r="A106">
        <v>179</v>
      </c>
      <c r="B106" t="str">
        <f>ROW()-1&amp;"_AltersFish"</f>
        <v>105_AltersFish</v>
      </c>
      <c r="C106" t="str">
        <f>A106 &amp; "_" &amp; P106 &amp; "_" &amp;
SUBSTITUTE(TRIM(L106)," ","_") &amp;
"_pH" &amp; TEXT(Z106,"0.00") &amp;
"_T" &amp; TEXT(AI106,"0.00") &amp;
"_CO2" &amp; TEXT(V106,"0") &amp;
"_LANG"</f>
        <v>179_LARVA_Menidia_beryllina_pH7.93_T19.00_CO2389_LANG</v>
      </c>
      <c r="D106" t="s">
        <v>54</v>
      </c>
      <c r="E106">
        <v>2018</v>
      </c>
      <c r="F106" t="s">
        <v>229</v>
      </c>
      <c r="G106" t="s">
        <v>230</v>
      </c>
      <c r="H106" t="s">
        <v>78</v>
      </c>
      <c r="I106" t="s">
        <v>540</v>
      </c>
      <c r="J106" t="s">
        <v>543</v>
      </c>
      <c r="K106" t="s">
        <v>79</v>
      </c>
      <c r="L106" t="s">
        <v>231</v>
      </c>
      <c r="M106" t="s">
        <v>156</v>
      </c>
      <c r="N106" t="s">
        <v>156</v>
      </c>
      <c r="O106" t="s">
        <v>106</v>
      </c>
      <c r="P106" t="s">
        <v>107</v>
      </c>
      <c r="Q106" t="s">
        <v>74</v>
      </c>
      <c r="R106" t="s">
        <v>83</v>
      </c>
      <c r="S106" t="s">
        <v>64</v>
      </c>
      <c r="T106" t="s">
        <v>64</v>
      </c>
      <c r="U106" t="s">
        <v>66</v>
      </c>
      <c r="V106">
        <v>389</v>
      </c>
      <c r="W106" t="s">
        <v>67</v>
      </c>
      <c r="X106">
        <v>18</v>
      </c>
      <c r="Y106" t="s">
        <v>157</v>
      </c>
      <c r="Z106">
        <v>7.93</v>
      </c>
      <c r="AA106" t="s">
        <v>67</v>
      </c>
      <c r="AB106">
        <v>0.03</v>
      </c>
      <c r="AC106">
        <v>1630</v>
      </c>
      <c r="AD106" t="s">
        <v>67</v>
      </c>
      <c r="AE106">
        <v>366</v>
      </c>
      <c r="AF106">
        <v>7.4</v>
      </c>
      <c r="AG106" t="s">
        <v>67</v>
      </c>
      <c r="AH106">
        <v>0.05</v>
      </c>
      <c r="AI106">
        <v>19</v>
      </c>
      <c r="AJ106" t="s">
        <v>67</v>
      </c>
      <c r="AK106">
        <v>0.53</v>
      </c>
      <c r="AL106">
        <v>29</v>
      </c>
      <c r="AM106" t="s">
        <v>67</v>
      </c>
      <c r="AN106">
        <v>0.28999999999999998</v>
      </c>
      <c r="AO106">
        <v>1241</v>
      </c>
      <c r="AP106">
        <v>10</v>
      </c>
      <c r="AQ106" t="s">
        <v>67</v>
      </c>
      <c r="AR106" t="s">
        <v>98</v>
      </c>
      <c r="AS106" t="s">
        <v>98</v>
      </c>
      <c r="AT106" t="s">
        <v>70</v>
      </c>
      <c r="AU106" t="s">
        <v>109</v>
      </c>
      <c r="AV106" t="s">
        <v>72</v>
      </c>
      <c r="AW106" t="s">
        <v>72</v>
      </c>
      <c r="AX106" t="s">
        <v>73</v>
      </c>
      <c r="AY106">
        <v>4.05</v>
      </c>
      <c r="AZ106">
        <v>4.05</v>
      </c>
      <c r="BA106">
        <v>0.12</v>
      </c>
      <c r="BB106">
        <f>BA106*SQRT(BC106)</f>
        <v>0.24</v>
      </c>
      <c r="BC106">
        <v>4</v>
      </c>
      <c r="BD106">
        <v>4.87</v>
      </c>
      <c r="BE106">
        <v>4.87</v>
      </c>
      <c r="BF106">
        <v>0.09</v>
      </c>
      <c r="BG106">
        <f>BF106*SQRT(BH106)</f>
        <v>0.18</v>
      </c>
      <c r="BH106">
        <v>4</v>
      </c>
      <c r="BI106">
        <v>16</v>
      </c>
      <c r="BJ106">
        <v>4</v>
      </c>
      <c r="BK106">
        <v>0.18440000000000001</v>
      </c>
      <c r="BL106">
        <v>1.1000000000000001E-3</v>
      </c>
    </row>
    <row r="107" spans="1:65" x14ac:dyDescent="0.2">
      <c r="A107">
        <v>179</v>
      </c>
      <c r="B107" t="str">
        <f>ROW()-1&amp;"_AltersFish"</f>
        <v>106_AltersFish</v>
      </c>
      <c r="C107" t="str">
        <f>A107 &amp; "_" &amp; P107 &amp; "_" &amp;
SUBSTITUTE(TRIM(L107)," ","_") &amp;
"_pH" &amp; TEXT(Z107,"0.00") &amp;
"_T" &amp; TEXT(AI107,"0.00") &amp;
"_CO2" &amp; TEXT(V107,"0") &amp;
"_LANG"</f>
        <v>179_LARVA_Menidia_beryllina_pH7.93_T19.00_CO2389_LANG</v>
      </c>
      <c r="D107" t="s">
        <v>54</v>
      </c>
      <c r="E107">
        <v>2018</v>
      </c>
      <c r="F107" t="s">
        <v>229</v>
      </c>
      <c r="G107" t="s">
        <v>230</v>
      </c>
      <c r="H107" t="s">
        <v>78</v>
      </c>
      <c r="I107" t="s">
        <v>540</v>
      </c>
      <c r="J107" t="s">
        <v>543</v>
      </c>
      <c r="K107" t="s">
        <v>79</v>
      </c>
      <c r="L107" t="s">
        <v>231</v>
      </c>
      <c r="M107" t="s">
        <v>156</v>
      </c>
      <c r="N107" t="s">
        <v>156</v>
      </c>
      <c r="O107" t="s">
        <v>106</v>
      </c>
      <c r="P107" t="s">
        <v>107</v>
      </c>
      <c r="Q107" t="s">
        <v>74</v>
      </c>
      <c r="R107" t="s">
        <v>83</v>
      </c>
      <c r="S107" t="s">
        <v>64</v>
      </c>
      <c r="T107" t="s">
        <v>74</v>
      </c>
      <c r="U107" t="s">
        <v>84</v>
      </c>
      <c r="V107">
        <v>389</v>
      </c>
      <c r="W107" t="s">
        <v>67</v>
      </c>
      <c r="X107">
        <v>18</v>
      </c>
      <c r="Y107" t="s">
        <v>157</v>
      </c>
      <c r="Z107">
        <v>7.93</v>
      </c>
      <c r="AA107" t="s">
        <v>67</v>
      </c>
      <c r="AB107">
        <v>0.03</v>
      </c>
      <c r="AC107">
        <v>1750</v>
      </c>
      <c r="AD107" t="s">
        <v>67</v>
      </c>
      <c r="AE107">
        <v>244</v>
      </c>
      <c r="AF107">
        <v>7.34</v>
      </c>
      <c r="AG107" t="s">
        <v>67</v>
      </c>
      <c r="AH107">
        <v>0.05</v>
      </c>
      <c r="AI107">
        <v>19</v>
      </c>
      <c r="AJ107" t="s">
        <v>67</v>
      </c>
      <c r="AK107">
        <v>0.53</v>
      </c>
      <c r="AL107">
        <v>19</v>
      </c>
      <c r="AM107" t="s">
        <v>67</v>
      </c>
      <c r="AN107">
        <v>0.53</v>
      </c>
      <c r="AO107">
        <v>1361</v>
      </c>
      <c r="AP107">
        <v>0</v>
      </c>
      <c r="AQ107" t="s">
        <v>67</v>
      </c>
      <c r="AR107" t="s">
        <v>98</v>
      </c>
      <c r="AS107" t="s">
        <v>98</v>
      </c>
      <c r="AT107" t="s">
        <v>70</v>
      </c>
      <c r="AU107" t="s">
        <v>109</v>
      </c>
      <c r="AV107" t="s">
        <v>72</v>
      </c>
      <c r="AW107" t="s">
        <v>72</v>
      </c>
      <c r="AX107" t="s">
        <v>73</v>
      </c>
      <c r="AY107">
        <v>4.05</v>
      </c>
      <c r="AZ107">
        <v>4.05</v>
      </c>
      <c r="BA107">
        <v>0.12</v>
      </c>
      <c r="BB107">
        <f>BA107*SQRT(BC107)</f>
        <v>0.24</v>
      </c>
      <c r="BC107">
        <v>4</v>
      </c>
      <c r="BD107">
        <v>4.22</v>
      </c>
      <c r="BE107">
        <v>4.22</v>
      </c>
      <c r="BF107">
        <v>3.5000000000000003E-2</v>
      </c>
      <c r="BG107">
        <f>BF107*SQRT(BH107)</f>
        <v>7.0000000000000007E-2</v>
      </c>
      <c r="BH107">
        <v>4</v>
      </c>
      <c r="BI107">
        <v>16</v>
      </c>
      <c r="BJ107">
        <v>4</v>
      </c>
      <c r="BK107">
        <v>4.1099999999999998E-2</v>
      </c>
      <c r="BL107">
        <v>8.9999999999999998E-4</v>
      </c>
    </row>
    <row r="108" spans="1:65" hidden="1" x14ac:dyDescent="0.2">
      <c r="A108">
        <v>170</v>
      </c>
      <c r="D108" t="s">
        <v>54</v>
      </c>
      <c r="E108">
        <v>2014</v>
      </c>
      <c r="F108" t="s">
        <v>55</v>
      </c>
      <c r="G108" t="s">
        <v>56</v>
      </c>
      <c r="H108" t="s">
        <v>57</v>
      </c>
      <c r="K108" t="s">
        <v>58</v>
      </c>
      <c r="L108" t="s">
        <v>59</v>
      </c>
      <c r="M108" t="s">
        <v>60</v>
      </c>
      <c r="N108" t="s">
        <v>61</v>
      </c>
      <c r="O108" t="s">
        <v>62</v>
      </c>
      <c r="P108" t="s">
        <v>63</v>
      </c>
      <c r="Q108" t="s">
        <v>64</v>
      </c>
      <c r="R108" t="s">
        <v>65</v>
      </c>
      <c r="S108" t="s">
        <v>64</v>
      </c>
      <c r="T108" t="s">
        <v>64</v>
      </c>
      <c r="U108" t="s">
        <v>66</v>
      </c>
      <c r="V108">
        <v>371.86</v>
      </c>
      <c r="W108" t="s">
        <v>67</v>
      </c>
      <c r="X108">
        <v>51.93</v>
      </c>
      <c r="Y108" t="s">
        <v>68</v>
      </c>
      <c r="Z108">
        <v>8.02</v>
      </c>
      <c r="AA108" t="s">
        <v>67</v>
      </c>
      <c r="AB108">
        <v>0.05</v>
      </c>
      <c r="AC108">
        <v>1481.1</v>
      </c>
      <c r="AD108" t="s">
        <v>67</v>
      </c>
      <c r="AE108">
        <v>107.72</v>
      </c>
      <c r="AF108">
        <v>7.49</v>
      </c>
      <c r="AG108" t="s">
        <v>67</v>
      </c>
      <c r="AH108">
        <v>0.03</v>
      </c>
      <c r="AI108">
        <v>25.9</v>
      </c>
      <c r="AJ108" t="s">
        <v>67</v>
      </c>
      <c r="AK108">
        <v>0.7</v>
      </c>
      <c r="AL108">
        <v>30.1</v>
      </c>
      <c r="AM108" t="s">
        <v>67</v>
      </c>
      <c r="AN108">
        <v>0.5</v>
      </c>
      <c r="AO108">
        <v>1109</v>
      </c>
      <c r="AP108">
        <v>4.2</v>
      </c>
      <c r="AQ108" t="s">
        <v>67</v>
      </c>
      <c r="AR108" t="s">
        <v>87</v>
      </c>
      <c r="AS108" t="s">
        <v>88</v>
      </c>
      <c r="AT108" t="s">
        <v>70</v>
      </c>
      <c r="AU108" t="s">
        <v>89</v>
      </c>
      <c r="AV108" t="s">
        <v>88</v>
      </c>
      <c r="AX108" t="s">
        <v>90</v>
      </c>
      <c r="AY108">
        <v>100</v>
      </c>
      <c r="AZ108">
        <v>100</v>
      </c>
      <c r="BA108">
        <v>0</v>
      </c>
      <c r="BC108">
        <v>5</v>
      </c>
      <c r="BD108">
        <v>44.325600000000001</v>
      </c>
      <c r="BE108">
        <v>44.325581399999997</v>
      </c>
      <c r="BF108">
        <v>0.79869999999999997</v>
      </c>
      <c r="BH108">
        <v>5</v>
      </c>
      <c r="BI108">
        <v>130</v>
      </c>
      <c r="BJ108">
        <v>3</v>
      </c>
      <c r="BK108">
        <v>-0.81359999999999999</v>
      </c>
      <c r="BL108">
        <v>3.2000000000000003E-4</v>
      </c>
      <c r="BM108" t="s">
        <v>186</v>
      </c>
    </row>
    <row r="109" spans="1:65" x14ac:dyDescent="0.2">
      <c r="A109">
        <v>179</v>
      </c>
      <c r="B109" t="str">
        <f>ROW()-1&amp;"_AltersFish"</f>
        <v>108_AltersFish</v>
      </c>
      <c r="C109" t="str">
        <f>A109 &amp; "_" &amp; P109 &amp; "_" &amp;
SUBSTITUTE(TRIM(L109)," ","_") &amp;
"_pH" &amp; TEXT(Z109,"0.00") &amp;
"_T" &amp; TEXT(AI109,"0.00") &amp;
"_CO2" &amp; TEXT(V109,"0") &amp;
"_LANG"</f>
        <v>179_EMBRYO_Menidia_beryllina_pH7.93_T19.00_CO2389_LANG</v>
      </c>
      <c r="D109" t="s">
        <v>54</v>
      </c>
      <c r="E109">
        <v>2018</v>
      </c>
      <c r="F109" t="s">
        <v>229</v>
      </c>
      <c r="G109" t="s">
        <v>230</v>
      </c>
      <c r="H109" t="s">
        <v>78</v>
      </c>
      <c r="I109" t="s">
        <v>540</v>
      </c>
      <c r="J109" t="s">
        <v>543</v>
      </c>
      <c r="K109" t="s">
        <v>79</v>
      </c>
      <c r="L109" t="s">
        <v>231</v>
      </c>
      <c r="M109" t="s">
        <v>156</v>
      </c>
      <c r="N109" t="s">
        <v>156</v>
      </c>
      <c r="O109" t="s">
        <v>62</v>
      </c>
      <c r="P109" t="s">
        <v>82</v>
      </c>
      <c r="Q109" t="s">
        <v>74</v>
      </c>
      <c r="R109" t="s">
        <v>83</v>
      </c>
      <c r="S109" t="s">
        <v>74</v>
      </c>
      <c r="T109" t="s">
        <v>64</v>
      </c>
      <c r="U109" t="s">
        <v>75</v>
      </c>
      <c r="V109">
        <v>389</v>
      </c>
      <c r="W109" t="s">
        <v>67</v>
      </c>
      <c r="X109">
        <v>18</v>
      </c>
      <c r="Y109" t="s">
        <v>157</v>
      </c>
      <c r="Z109">
        <v>7.93</v>
      </c>
      <c r="AA109" t="s">
        <v>67</v>
      </c>
      <c r="AB109">
        <v>0.03</v>
      </c>
      <c r="AC109">
        <v>372</v>
      </c>
      <c r="AD109" t="s">
        <v>67</v>
      </c>
      <c r="AE109">
        <v>24</v>
      </c>
      <c r="AF109">
        <v>7.91</v>
      </c>
      <c r="AG109" t="s">
        <v>67</v>
      </c>
      <c r="AH109">
        <v>0.06</v>
      </c>
      <c r="AI109">
        <v>19</v>
      </c>
      <c r="AJ109" t="s">
        <v>67</v>
      </c>
      <c r="AK109">
        <v>0.53</v>
      </c>
      <c r="AL109">
        <v>29</v>
      </c>
      <c r="AM109" t="s">
        <v>67</v>
      </c>
      <c r="AN109">
        <v>0.28999999999999998</v>
      </c>
      <c r="AO109">
        <v>-17</v>
      </c>
      <c r="AP109">
        <v>10</v>
      </c>
      <c r="AQ109" t="s">
        <v>67</v>
      </c>
      <c r="AR109" t="s">
        <v>311</v>
      </c>
      <c r="AS109" t="s">
        <v>202</v>
      </c>
      <c r="AT109" t="s">
        <v>135</v>
      </c>
      <c r="AU109" t="s">
        <v>203</v>
      </c>
      <c r="AV109" t="s">
        <v>11</v>
      </c>
      <c r="AW109" t="s">
        <v>11</v>
      </c>
      <c r="AX109" t="s">
        <v>73</v>
      </c>
      <c r="AY109">
        <v>9</v>
      </c>
      <c r="AZ109">
        <v>9</v>
      </c>
      <c r="BA109">
        <v>0.01</v>
      </c>
      <c r="BB109">
        <f>BA109*SQRT(BC109)</f>
        <v>0.02</v>
      </c>
      <c r="BC109">
        <v>4</v>
      </c>
      <c r="BD109">
        <v>4.4000000000000004</v>
      </c>
      <c r="BE109">
        <v>4.4000000000000004</v>
      </c>
      <c r="BF109">
        <v>0.25</v>
      </c>
      <c r="BG109">
        <f>BF109*SQRT(BH109)</f>
        <v>0.5</v>
      </c>
      <c r="BH109">
        <v>4</v>
      </c>
      <c r="BI109">
        <v>6</v>
      </c>
      <c r="BJ109">
        <v>4</v>
      </c>
      <c r="BK109">
        <v>-0.71560000000000001</v>
      </c>
      <c r="BL109">
        <v>3.2000000000000002E-3</v>
      </c>
    </row>
    <row r="110" spans="1:65" x14ac:dyDescent="0.2">
      <c r="A110">
        <v>179</v>
      </c>
      <c r="B110" t="str">
        <f>ROW()-1&amp;"_AltersFish"</f>
        <v>109_AltersFish</v>
      </c>
      <c r="C110" t="str">
        <f>A110 &amp; "_" &amp; P110 &amp; "_" &amp;
SUBSTITUTE(TRIM(L110)," ","_") &amp;
"_pH" &amp; TEXT(Z110,"0.00") &amp;
"_T" &amp; TEXT(AI110,"0.00") &amp;
"_CO2" &amp; TEXT(V110,"0") &amp;
"_LANG"</f>
        <v>179_EMBRYO_Menidia_beryllina_pH7.93_T19.00_CO2389_LANG</v>
      </c>
      <c r="D110" t="s">
        <v>54</v>
      </c>
      <c r="E110">
        <v>2018</v>
      </c>
      <c r="F110" t="s">
        <v>229</v>
      </c>
      <c r="G110" t="s">
        <v>230</v>
      </c>
      <c r="H110" t="s">
        <v>78</v>
      </c>
      <c r="I110" t="s">
        <v>540</v>
      </c>
      <c r="J110" t="s">
        <v>543</v>
      </c>
      <c r="K110" t="s">
        <v>79</v>
      </c>
      <c r="L110" t="s">
        <v>231</v>
      </c>
      <c r="M110" t="s">
        <v>156</v>
      </c>
      <c r="N110" t="s">
        <v>156</v>
      </c>
      <c r="O110" t="s">
        <v>62</v>
      </c>
      <c r="P110" t="s">
        <v>82</v>
      </c>
      <c r="Q110" t="s">
        <v>74</v>
      </c>
      <c r="R110" t="s">
        <v>83</v>
      </c>
      <c r="S110" t="s">
        <v>64</v>
      </c>
      <c r="T110" t="s">
        <v>74</v>
      </c>
      <c r="U110" t="s">
        <v>84</v>
      </c>
      <c r="V110">
        <v>389</v>
      </c>
      <c r="W110" t="s">
        <v>67</v>
      </c>
      <c r="X110">
        <v>18</v>
      </c>
      <c r="Y110" t="s">
        <v>157</v>
      </c>
      <c r="Z110">
        <v>7.93</v>
      </c>
      <c r="AA110" t="s">
        <v>67</v>
      </c>
      <c r="AB110">
        <v>0.03</v>
      </c>
      <c r="AC110">
        <v>1750</v>
      </c>
      <c r="AD110" t="s">
        <v>67</v>
      </c>
      <c r="AE110">
        <v>244</v>
      </c>
      <c r="AF110">
        <v>7.34</v>
      </c>
      <c r="AG110" t="s">
        <v>67</v>
      </c>
      <c r="AH110">
        <v>0.05</v>
      </c>
      <c r="AI110">
        <v>19</v>
      </c>
      <c r="AJ110" t="s">
        <v>67</v>
      </c>
      <c r="AK110">
        <v>0.53</v>
      </c>
      <c r="AL110">
        <v>19</v>
      </c>
      <c r="AM110" t="s">
        <v>67</v>
      </c>
      <c r="AN110">
        <v>0.53</v>
      </c>
      <c r="AO110">
        <v>1361</v>
      </c>
      <c r="AP110">
        <v>0</v>
      </c>
      <c r="AQ110" t="s">
        <v>67</v>
      </c>
      <c r="AR110" t="s">
        <v>311</v>
      </c>
      <c r="AS110" t="s">
        <v>202</v>
      </c>
      <c r="AT110" t="s">
        <v>135</v>
      </c>
      <c r="AU110" t="s">
        <v>203</v>
      </c>
      <c r="AV110" t="s">
        <v>11</v>
      </c>
      <c r="AW110" t="s">
        <v>11</v>
      </c>
      <c r="AX110" t="s">
        <v>73</v>
      </c>
      <c r="AY110">
        <v>9</v>
      </c>
      <c r="AZ110">
        <v>9</v>
      </c>
      <c r="BA110">
        <v>0.01</v>
      </c>
      <c r="BB110">
        <f>BA110*SQRT(BC110)</f>
        <v>0.02</v>
      </c>
      <c r="BC110">
        <v>4</v>
      </c>
      <c r="BD110">
        <v>9.6999999999999993</v>
      </c>
      <c r="BE110">
        <v>9.6999999999999993</v>
      </c>
      <c r="BF110">
        <v>0.75</v>
      </c>
      <c r="BG110">
        <f>BF110*SQRT(BH110)</f>
        <v>1.5</v>
      </c>
      <c r="BH110">
        <v>4</v>
      </c>
      <c r="BI110">
        <v>6</v>
      </c>
      <c r="BJ110">
        <v>4</v>
      </c>
      <c r="BK110">
        <v>7.4899999999999994E-2</v>
      </c>
      <c r="BL110">
        <v>6.0000000000000001E-3</v>
      </c>
    </row>
    <row r="111" spans="1:65" hidden="1" x14ac:dyDescent="0.2">
      <c r="A111">
        <v>170</v>
      </c>
      <c r="C111" t="s">
        <v>549</v>
      </c>
      <c r="D111" t="s">
        <v>54</v>
      </c>
      <c r="E111">
        <v>2014</v>
      </c>
      <c r="F111" t="s">
        <v>55</v>
      </c>
      <c r="G111" t="s">
        <v>56</v>
      </c>
      <c r="H111" t="s">
        <v>57</v>
      </c>
      <c r="K111" t="s">
        <v>58</v>
      </c>
      <c r="L111" t="s">
        <v>59</v>
      </c>
      <c r="M111" t="s">
        <v>60</v>
      </c>
      <c r="N111" t="s">
        <v>61</v>
      </c>
      <c r="O111" t="s">
        <v>62</v>
      </c>
      <c r="P111" t="s">
        <v>82</v>
      </c>
      <c r="Q111" t="s">
        <v>64</v>
      </c>
      <c r="R111" t="s">
        <v>65</v>
      </c>
      <c r="S111" t="s">
        <v>64</v>
      </c>
      <c r="T111" t="s">
        <v>64</v>
      </c>
      <c r="U111" t="s">
        <v>66</v>
      </c>
      <c r="V111">
        <v>371.86</v>
      </c>
      <c r="W111" t="s">
        <v>67</v>
      </c>
      <c r="X111">
        <v>51.93</v>
      </c>
      <c r="Y111" t="s">
        <v>68</v>
      </c>
      <c r="Z111">
        <v>8.02</v>
      </c>
      <c r="AA111" t="s">
        <v>67</v>
      </c>
      <c r="AB111">
        <v>0.05</v>
      </c>
      <c r="AC111">
        <v>1481.1</v>
      </c>
      <c r="AD111" t="s">
        <v>67</v>
      </c>
      <c r="AE111">
        <v>107.72</v>
      </c>
      <c r="AF111">
        <v>7.49</v>
      </c>
      <c r="AG111" t="s">
        <v>67</v>
      </c>
      <c r="AH111">
        <v>0.03</v>
      </c>
      <c r="AI111">
        <v>25.9</v>
      </c>
      <c r="AJ111" t="s">
        <v>67</v>
      </c>
      <c r="AK111">
        <v>0.7</v>
      </c>
      <c r="AL111">
        <v>30.1</v>
      </c>
      <c r="AM111" t="s">
        <v>67</v>
      </c>
      <c r="AN111">
        <v>0.5</v>
      </c>
      <c r="AO111">
        <v>1109</v>
      </c>
      <c r="AP111">
        <v>4.2</v>
      </c>
      <c r="AQ111" t="s">
        <v>67</v>
      </c>
      <c r="AR111" t="s">
        <v>113</v>
      </c>
      <c r="AS111" t="s">
        <v>113</v>
      </c>
      <c r="AT111" t="s">
        <v>70</v>
      </c>
      <c r="AU111" t="s">
        <v>139</v>
      </c>
      <c r="AV111" t="s">
        <v>72</v>
      </c>
      <c r="AW111" t="s">
        <v>72</v>
      </c>
      <c r="AX111" t="s">
        <v>73</v>
      </c>
      <c r="AY111">
        <v>1.2776000000000001</v>
      </c>
      <c r="AZ111">
        <v>1.2775700000000001</v>
      </c>
      <c r="BA111">
        <v>0.02</v>
      </c>
      <c r="BC111">
        <v>5</v>
      </c>
      <c r="BD111">
        <v>1.6420999999999999</v>
      </c>
      <c r="BE111">
        <v>1.6420560749999999</v>
      </c>
      <c r="BF111">
        <v>1.9800000000000002E-2</v>
      </c>
      <c r="BH111">
        <v>5</v>
      </c>
      <c r="BI111">
        <v>90</v>
      </c>
      <c r="BJ111">
        <v>3</v>
      </c>
      <c r="BK111">
        <v>0.251</v>
      </c>
      <c r="BL111">
        <v>4.0000000000000002E-4</v>
      </c>
    </row>
    <row r="112" spans="1:65" x14ac:dyDescent="0.2">
      <c r="A112">
        <v>179</v>
      </c>
      <c r="B112" t="str">
        <f>ROW()-1&amp;"_AltersFish"</f>
        <v>111_AltersFish</v>
      </c>
      <c r="C112" t="str">
        <f>A112 &amp; "_" &amp; P112 &amp; "_" &amp;
SUBSTITUTE(TRIM(L112)," ","_") &amp;
"_pH" &amp; TEXT(Z112,"0.00") &amp;
"_T" &amp; TEXT(AI112,"0.00") &amp;
"_CO2" &amp; TEXT(V112,"0") &amp;
"_LANG"</f>
        <v>179_EMBRYO_Menidia_beryllina_pH7.93_T19.00_CO2389_LANG</v>
      </c>
      <c r="D112" t="s">
        <v>54</v>
      </c>
      <c r="E112">
        <v>2018</v>
      </c>
      <c r="F112" t="s">
        <v>229</v>
      </c>
      <c r="G112" t="s">
        <v>230</v>
      </c>
      <c r="H112" t="s">
        <v>78</v>
      </c>
      <c r="I112" t="s">
        <v>540</v>
      </c>
      <c r="J112" t="s">
        <v>543</v>
      </c>
      <c r="K112" t="s">
        <v>79</v>
      </c>
      <c r="L112" t="s">
        <v>231</v>
      </c>
      <c r="M112" t="s">
        <v>156</v>
      </c>
      <c r="N112" t="s">
        <v>156</v>
      </c>
      <c r="O112" t="s">
        <v>62</v>
      </c>
      <c r="P112" t="s">
        <v>82</v>
      </c>
      <c r="Q112" t="s">
        <v>74</v>
      </c>
      <c r="R112" t="s">
        <v>83</v>
      </c>
      <c r="S112" t="s">
        <v>64</v>
      </c>
      <c r="T112" t="s">
        <v>64</v>
      </c>
      <c r="U112" t="s">
        <v>66</v>
      </c>
      <c r="V112">
        <v>389</v>
      </c>
      <c r="W112" t="s">
        <v>67</v>
      </c>
      <c r="X112">
        <v>18</v>
      </c>
      <c r="Y112" t="s">
        <v>157</v>
      </c>
      <c r="Z112">
        <v>7.93</v>
      </c>
      <c r="AA112" t="s">
        <v>67</v>
      </c>
      <c r="AB112">
        <v>0.03</v>
      </c>
      <c r="AC112">
        <v>1630</v>
      </c>
      <c r="AD112" t="s">
        <v>67</v>
      </c>
      <c r="AE112">
        <v>366</v>
      </c>
      <c r="AF112">
        <v>7.4</v>
      </c>
      <c r="AG112" t="s">
        <v>67</v>
      </c>
      <c r="AH112">
        <v>0.05</v>
      </c>
      <c r="AI112">
        <v>19</v>
      </c>
      <c r="AJ112" t="s">
        <v>67</v>
      </c>
      <c r="AK112">
        <v>0.53</v>
      </c>
      <c r="AL112">
        <v>29</v>
      </c>
      <c r="AM112" t="s">
        <v>67</v>
      </c>
      <c r="AN112">
        <v>0.28999999999999998</v>
      </c>
      <c r="AO112">
        <v>1241</v>
      </c>
      <c r="AP112">
        <v>10</v>
      </c>
      <c r="AQ112" t="s">
        <v>67</v>
      </c>
      <c r="AR112" t="s">
        <v>311</v>
      </c>
      <c r="AS112" t="s">
        <v>202</v>
      </c>
      <c r="AT112" t="s">
        <v>135</v>
      </c>
      <c r="AU112" t="s">
        <v>203</v>
      </c>
      <c r="AV112" t="s">
        <v>11</v>
      </c>
      <c r="AW112" t="s">
        <v>11</v>
      </c>
      <c r="AX112" t="s">
        <v>73</v>
      </c>
      <c r="AY112">
        <v>9</v>
      </c>
      <c r="AZ112">
        <v>9</v>
      </c>
      <c r="BA112">
        <v>0.01</v>
      </c>
      <c r="BB112">
        <f>BA112*SQRT(BC112)</f>
        <v>0.02</v>
      </c>
      <c r="BC112">
        <v>4</v>
      </c>
      <c r="BD112">
        <v>3.4</v>
      </c>
      <c r="BE112">
        <v>3.4</v>
      </c>
      <c r="BF112">
        <v>0.3</v>
      </c>
      <c r="BG112">
        <f>BF112*SQRT(BH112)</f>
        <v>0.6</v>
      </c>
      <c r="BH112">
        <v>4</v>
      </c>
      <c r="BI112">
        <v>6</v>
      </c>
      <c r="BJ112">
        <v>4</v>
      </c>
      <c r="BK112">
        <v>-0.97340000000000004</v>
      </c>
      <c r="BL112">
        <v>7.7999999999999996E-3</v>
      </c>
    </row>
    <row r="113" spans="1:64" x14ac:dyDescent="0.2">
      <c r="A113">
        <v>179</v>
      </c>
      <c r="B113" t="str">
        <f>ROW()-1&amp;"_AltersFish"</f>
        <v>112_AltersFish</v>
      </c>
      <c r="C113" t="str">
        <f>A113 &amp; "_" &amp; P113 &amp; "_" &amp;
SUBSTITUTE(TRIM(L113)," ","_") &amp;
"_pH" &amp; TEXT(Z113,"0.00") &amp;
"_T" &amp; TEXT(AI113,"0.00") &amp;
"_CO2" &amp; TEXT(V113,"0") &amp;
"_LANG"</f>
        <v>179_LARVA_Menidia_beryllina_pH7.93_T19.00_CO2389_LANG</v>
      </c>
      <c r="D113" t="s">
        <v>54</v>
      </c>
      <c r="E113">
        <v>2018</v>
      </c>
      <c r="F113" t="s">
        <v>229</v>
      </c>
      <c r="G113" t="s">
        <v>230</v>
      </c>
      <c r="H113" t="s">
        <v>78</v>
      </c>
      <c r="I113" t="s">
        <v>540</v>
      </c>
      <c r="J113" t="s">
        <v>543</v>
      </c>
      <c r="K113" t="s">
        <v>79</v>
      </c>
      <c r="L113" t="s">
        <v>231</v>
      </c>
      <c r="M113" t="s">
        <v>156</v>
      </c>
      <c r="N113" t="s">
        <v>156</v>
      </c>
      <c r="O113" t="s">
        <v>106</v>
      </c>
      <c r="P113" t="s">
        <v>107</v>
      </c>
      <c r="Q113" t="s">
        <v>74</v>
      </c>
      <c r="R113" t="s">
        <v>83</v>
      </c>
      <c r="S113" t="s">
        <v>74</v>
      </c>
      <c r="T113" t="s">
        <v>64</v>
      </c>
      <c r="U113" t="s">
        <v>75</v>
      </c>
      <c r="V113">
        <v>389</v>
      </c>
      <c r="W113" t="s">
        <v>67</v>
      </c>
      <c r="X113">
        <v>18</v>
      </c>
      <c r="Y113" t="s">
        <v>157</v>
      </c>
      <c r="Z113">
        <v>7.93</v>
      </c>
      <c r="AA113" t="s">
        <v>67</v>
      </c>
      <c r="AB113">
        <v>0.03</v>
      </c>
      <c r="AC113">
        <v>372</v>
      </c>
      <c r="AD113" t="s">
        <v>67</v>
      </c>
      <c r="AE113">
        <v>24</v>
      </c>
      <c r="AF113">
        <v>7.91</v>
      </c>
      <c r="AG113" t="s">
        <v>67</v>
      </c>
      <c r="AH113">
        <v>0.06</v>
      </c>
      <c r="AI113">
        <v>19</v>
      </c>
      <c r="AJ113" t="s">
        <v>67</v>
      </c>
      <c r="AK113">
        <v>0.53</v>
      </c>
      <c r="AL113">
        <v>29</v>
      </c>
      <c r="AM113" t="s">
        <v>67</v>
      </c>
      <c r="AN113">
        <v>0.28999999999999998</v>
      </c>
      <c r="AO113">
        <v>-17</v>
      </c>
      <c r="AP113">
        <v>10</v>
      </c>
      <c r="AQ113" t="s">
        <v>67</v>
      </c>
      <c r="AR113" t="s">
        <v>87</v>
      </c>
      <c r="AS113" t="s">
        <v>88</v>
      </c>
      <c r="AT113" t="s">
        <v>70</v>
      </c>
      <c r="AU113" t="s">
        <v>89</v>
      </c>
      <c r="AV113" t="s">
        <v>88</v>
      </c>
      <c r="AW113" t="s">
        <v>88</v>
      </c>
      <c r="AX113" t="s">
        <v>73</v>
      </c>
      <c r="AY113">
        <v>33.9</v>
      </c>
      <c r="AZ113">
        <v>33.9</v>
      </c>
      <c r="BA113">
        <v>12</v>
      </c>
      <c r="BB113">
        <f>BA113*SQRT(BC113)</f>
        <v>24</v>
      </c>
      <c r="BC113">
        <v>4</v>
      </c>
      <c r="BD113">
        <v>37</v>
      </c>
      <c r="BE113">
        <v>37</v>
      </c>
      <c r="BF113">
        <v>4.0999999999999996</v>
      </c>
      <c r="BG113">
        <f>BF113*SQRT(BH113)</f>
        <v>8.1999999999999993</v>
      </c>
      <c r="BH113">
        <v>4</v>
      </c>
      <c r="BI113">
        <v>16</v>
      </c>
      <c r="BJ113">
        <v>4</v>
      </c>
      <c r="BK113">
        <v>8.7499999999999994E-2</v>
      </c>
      <c r="BL113">
        <v>0.1376</v>
      </c>
    </row>
    <row r="114" spans="1:64" x14ac:dyDescent="0.2">
      <c r="A114">
        <v>179</v>
      </c>
      <c r="B114" t="str">
        <f>ROW()-1&amp;"_AltersFish"</f>
        <v>113_AltersFish</v>
      </c>
      <c r="C114" t="str">
        <f>A114 &amp; "_" &amp; P114 &amp; "_" &amp;
SUBSTITUTE(TRIM(L114)," ","_") &amp;
"_pH" &amp; TEXT(Z114,"0.00") &amp;
"_T" &amp; TEXT(AI114,"0.00") &amp;
"_CO2" &amp; TEXT(V114,"0") &amp;
"_LANG"</f>
        <v>179_LARVA_Menidia_beryllina_pH7.93_T19.00_CO2389_LANG</v>
      </c>
      <c r="D114" t="s">
        <v>54</v>
      </c>
      <c r="E114">
        <v>2018</v>
      </c>
      <c r="F114" t="s">
        <v>229</v>
      </c>
      <c r="G114" t="s">
        <v>230</v>
      </c>
      <c r="H114" t="s">
        <v>78</v>
      </c>
      <c r="I114" t="s">
        <v>540</v>
      </c>
      <c r="J114" t="s">
        <v>543</v>
      </c>
      <c r="K114" t="s">
        <v>79</v>
      </c>
      <c r="L114" t="s">
        <v>231</v>
      </c>
      <c r="M114" t="s">
        <v>156</v>
      </c>
      <c r="N114" t="s">
        <v>156</v>
      </c>
      <c r="O114" t="s">
        <v>106</v>
      </c>
      <c r="P114" t="s">
        <v>107</v>
      </c>
      <c r="Q114" t="s">
        <v>74</v>
      </c>
      <c r="R114" t="s">
        <v>83</v>
      </c>
      <c r="S114" t="s">
        <v>64</v>
      </c>
      <c r="T114" t="s">
        <v>74</v>
      </c>
      <c r="U114" t="s">
        <v>84</v>
      </c>
      <c r="V114">
        <v>389</v>
      </c>
      <c r="W114" t="s">
        <v>67</v>
      </c>
      <c r="X114">
        <v>18</v>
      </c>
      <c r="Y114" t="s">
        <v>157</v>
      </c>
      <c r="Z114">
        <v>7.93</v>
      </c>
      <c r="AA114" t="s">
        <v>67</v>
      </c>
      <c r="AB114">
        <v>0.03</v>
      </c>
      <c r="AC114">
        <v>1750</v>
      </c>
      <c r="AD114" t="s">
        <v>67</v>
      </c>
      <c r="AE114">
        <v>244</v>
      </c>
      <c r="AF114">
        <v>7.34</v>
      </c>
      <c r="AG114" t="s">
        <v>67</v>
      </c>
      <c r="AH114">
        <v>0.05</v>
      </c>
      <c r="AI114">
        <v>19</v>
      </c>
      <c r="AJ114" t="s">
        <v>67</v>
      </c>
      <c r="AK114">
        <v>0.53</v>
      </c>
      <c r="AL114">
        <v>19</v>
      </c>
      <c r="AM114" t="s">
        <v>67</v>
      </c>
      <c r="AN114">
        <v>0.53</v>
      </c>
      <c r="AO114">
        <v>1361</v>
      </c>
      <c r="AP114">
        <v>0</v>
      </c>
      <c r="AQ114" t="s">
        <v>67</v>
      </c>
      <c r="AR114" t="s">
        <v>87</v>
      </c>
      <c r="AS114" t="s">
        <v>88</v>
      </c>
      <c r="AT114" t="s">
        <v>70</v>
      </c>
      <c r="AU114" t="s">
        <v>89</v>
      </c>
      <c r="AV114" t="s">
        <v>88</v>
      </c>
      <c r="AW114" t="s">
        <v>88</v>
      </c>
      <c r="AX114" t="s">
        <v>73</v>
      </c>
      <c r="AY114">
        <v>33.9</v>
      </c>
      <c r="AZ114">
        <v>33.9</v>
      </c>
      <c r="BA114">
        <v>12</v>
      </c>
      <c r="BB114">
        <f>BA114*SQRT(BC114)</f>
        <v>24</v>
      </c>
      <c r="BC114">
        <v>4</v>
      </c>
      <c r="BD114">
        <v>18.2</v>
      </c>
      <c r="BE114">
        <v>18.2</v>
      </c>
      <c r="BF114">
        <v>8.85</v>
      </c>
      <c r="BG114">
        <f>BF114*SQRT(BH114)</f>
        <v>17.7</v>
      </c>
      <c r="BH114">
        <v>4</v>
      </c>
      <c r="BI114">
        <v>16</v>
      </c>
      <c r="BJ114">
        <v>4</v>
      </c>
      <c r="BK114">
        <v>-0.622</v>
      </c>
      <c r="BL114">
        <v>0.36180000000000001</v>
      </c>
    </row>
    <row r="115" spans="1:64" x14ac:dyDescent="0.2">
      <c r="A115">
        <v>179</v>
      </c>
      <c r="B115" t="str">
        <f>ROW()-1&amp;"_AltersFish"</f>
        <v>114_AltersFish</v>
      </c>
      <c r="C115" t="str">
        <f>A115 &amp; "_" &amp; P115 &amp; "_" &amp;
SUBSTITUTE(TRIM(L115)," ","_") &amp;
"_pH" &amp; TEXT(Z115,"0.00") &amp;
"_T" &amp; TEXT(AI115,"0.00") &amp;
"_CO2" &amp; TEXT(V115,"0") &amp;
"_LANG"</f>
        <v>179_LARVA_Menidia_beryllina_pH7.93_T19.00_CO2389_LANG</v>
      </c>
      <c r="D115" t="s">
        <v>54</v>
      </c>
      <c r="E115">
        <v>2018</v>
      </c>
      <c r="F115" t="s">
        <v>229</v>
      </c>
      <c r="G115" t="s">
        <v>230</v>
      </c>
      <c r="H115" t="s">
        <v>78</v>
      </c>
      <c r="I115" t="s">
        <v>540</v>
      </c>
      <c r="J115" t="s">
        <v>543</v>
      </c>
      <c r="K115" t="s">
        <v>79</v>
      </c>
      <c r="L115" t="s">
        <v>231</v>
      </c>
      <c r="M115" t="s">
        <v>156</v>
      </c>
      <c r="N115" t="s">
        <v>156</v>
      </c>
      <c r="O115" t="s">
        <v>106</v>
      </c>
      <c r="P115" t="s">
        <v>107</v>
      </c>
      <c r="Q115" t="s">
        <v>74</v>
      </c>
      <c r="R115" t="s">
        <v>83</v>
      </c>
      <c r="S115" t="s">
        <v>64</v>
      </c>
      <c r="T115" t="s">
        <v>64</v>
      </c>
      <c r="U115" t="s">
        <v>66</v>
      </c>
      <c r="V115">
        <v>389</v>
      </c>
      <c r="W115" t="s">
        <v>67</v>
      </c>
      <c r="X115">
        <v>18</v>
      </c>
      <c r="Y115" t="s">
        <v>157</v>
      </c>
      <c r="Z115">
        <v>7.93</v>
      </c>
      <c r="AA115" t="s">
        <v>67</v>
      </c>
      <c r="AB115">
        <v>0.03</v>
      </c>
      <c r="AC115">
        <v>1630</v>
      </c>
      <c r="AD115" t="s">
        <v>67</v>
      </c>
      <c r="AE115">
        <v>366</v>
      </c>
      <c r="AF115">
        <v>7.4</v>
      </c>
      <c r="AG115" t="s">
        <v>67</v>
      </c>
      <c r="AH115">
        <v>0.05</v>
      </c>
      <c r="AI115">
        <v>19</v>
      </c>
      <c r="AJ115" t="s">
        <v>67</v>
      </c>
      <c r="AK115">
        <v>0.53</v>
      </c>
      <c r="AL115">
        <v>29</v>
      </c>
      <c r="AM115" t="s">
        <v>67</v>
      </c>
      <c r="AN115">
        <v>0.28999999999999998</v>
      </c>
      <c r="AO115">
        <v>1241</v>
      </c>
      <c r="AP115">
        <v>10</v>
      </c>
      <c r="AQ115" t="s">
        <v>67</v>
      </c>
      <c r="AR115" t="s">
        <v>87</v>
      </c>
      <c r="AS115" t="s">
        <v>88</v>
      </c>
      <c r="AT115" t="s">
        <v>70</v>
      </c>
      <c r="AU115" t="s">
        <v>89</v>
      </c>
      <c r="AV115" t="s">
        <v>88</v>
      </c>
      <c r="AW115" t="s">
        <v>88</v>
      </c>
      <c r="AX115" t="s">
        <v>73</v>
      </c>
      <c r="AY115">
        <v>33.9</v>
      </c>
      <c r="AZ115">
        <v>33.9</v>
      </c>
      <c r="BA115">
        <v>12</v>
      </c>
      <c r="BB115">
        <f>BA115*SQRT(BC115)</f>
        <v>24</v>
      </c>
      <c r="BC115">
        <v>4</v>
      </c>
      <c r="BD115">
        <v>6.6</v>
      </c>
      <c r="BE115">
        <v>6.6</v>
      </c>
      <c r="BF115">
        <v>1.1499999999999999</v>
      </c>
      <c r="BG115">
        <f>BF115*SQRT(BH115)</f>
        <v>2.2999999999999998</v>
      </c>
      <c r="BH115">
        <v>4</v>
      </c>
      <c r="BI115">
        <v>16</v>
      </c>
      <c r="BJ115">
        <v>4</v>
      </c>
      <c r="BK115">
        <v>-1.6363000000000001</v>
      </c>
      <c r="BL115">
        <v>0.15570000000000001</v>
      </c>
    </row>
    <row r="116" spans="1:64" x14ac:dyDescent="0.2">
      <c r="A116">
        <v>179</v>
      </c>
      <c r="B116" t="str">
        <f>ROW()-1&amp;"_AltersFish"</f>
        <v>115_AltersFish</v>
      </c>
      <c r="C116" t="str">
        <f>A116 &amp; "_" &amp; P116 &amp; "_" &amp;
SUBSTITUTE(TRIM(L116)," ","_") &amp;
"_pH" &amp; TEXT(Z116,"0.00") &amp;
"_T" &amp; TEXT(AI116,"0.00") &amp;
"_CO2" &amp; TEXT(V116,"0") &amp;
"_LANG"</f>
        <v>179_EMBRYO_Menidia_beryllina_pH7.93_T19.00_CO2389_LANG</v>
      </c>
      <c r="D116" t="s">
        <v>54</v>
      </c>
      <c r="E116">
        <v>2018</v>
      </c>
      <c r="F116" t="s">
        <v>229</v>
      </c>
      <c r="G116" t="s">
        <v>230</v>
      </c>
      <c r="H116" t="s">
        <v>78</v>
      </c>
      <c r="I116" t="s">
        <v>540</v>
      </c>
      <c r="J116" t="s">
        <v>543</v>
      </c>
      <c r="K116" t="s">
        <v>79</v>
      </c>
      <c r="L116" t="s">
        <v>231</v>
      </c>
      <c r="M116" t="s">
        <v>156</v>
      </c>
      <c r="N116" t="s">
        <v>156</v>
      </c>
      <c r="O116" t="s">
        <v>62</v>
      </c>
      <c r="P116" t="s">
        <v>82</v>
      </c>
      <c r="Q116" t="s">
        <v>74</v>
      </c>
      <c r="R116" t="s">
        <v>83</v>
      </c>
      <c r="S116" t="s">
        <v>74</v>
      </c>
      <c r="T116" t="s">
        <v>64</v>
      </c>
      <c r="U116" t="s">
        <v>75</v>
      </c>
      <c r="V116">
        <v>389</v>
      </c>
      <c r="W116" t="s">
        <v>67</v>
      </c>
      <c r="X116">
        <v>18</v>
      </c>
      <c r="Y116" t="s">
        <v>157</v>
      </c>
      <c r="Z116">
        <v>7.93</v>
      </c>
      <c r="AA116" t="s">
        <v>67</v>
      </c>
      <c r="AB116">
        <v>0.03</v>
      </c>
      <c r="AC116">
        <v>372</v>
      </c>
      <c r="AD116" t="s">
        <v>67</v>
      </c>
      <c r="AE116">
        <v>24</v>
      </c>
      <c r="AF116">
        <v>7.91</v>
      </c>
      <c r="AG116" t="s">
        <v>67</v>
      </c>
      <c r="AH116">
        <v>0.06</v>
      </c>
      <c r="AI116">
        <v>19</v>
      </c>
      <c r="AJ116" t="s">
        <v>67</v>
      </c>
      <c r="AK116">
        <v>0.53</v>
      </c>
      <c r="AL116">
        <v>29</v>
      </c>
      <c r="AM116" t="s">
        <v>67</v>
      </c>
      <c r="AN116">
        <v>0.28999999999999998</v>
      </c>
      <c r="AO116">
        <v>-17</v>
      </c>
      <c r="AP116">
        <v>10</v>
      </c>
      <c r="AQ116" t="s">
        <v>67</v>
      </c>
      <c r="AR116" t="s">
        <v>87</v>
      </c>
      <c r="AS116" t="s">
        <v>88</v>
      </c>
      <c r="AT116" t="s">
        <v>70</v>
      </c>
      <c r="AU116" t="s">
        <v>370</v>
      </c>
      <c r="AV116" t="s">
        <v>88</v>
      </c>
      <c r="AW116" t="s">
        <v>151</v>
      </c>
      <c r="AX116" t="s">
        <v>73</v>
      </c>
      <c r="AY116">
        <v>80.2</v>
      </c>
      <c r="AZ116">
        <v>80.2</v>
      </c>
      <c r="BA116">
        <v>6</v>
      </c>
      <c r="BB116">
        <f>BA116*SQRT(BC116)</f>
        <v>12</v>
      </c>
      <c r="BC116">
        <v>4</v>
      </c>
      <c r="BD116">
        <v>96</v>
      </c>
      <c r="BE116">
        <v>96</v>
      </c>
      <c r="BF116">
        <v>1.55</v>
      </c>
      <c r="BG116">
        <f>BF116*SQRT(BH116)</f>
        <v>3.1</v>
      </c>
      <c r="BH116">
        <v>4</v>
      </c>
      <c r="BI116">
        <v>6</v>
      </c>
      <c r="BJ116">
        <v>4</v>
      </c>
      <c r="BK116">
        <v>0.17979999999999999</v>
      </c>
      <c r="BL116">
        <v>5.8999999999999999E-3</v>
      </c>
    </row>
    <row r="117" spans="1:64" x14ac:dyDescent="0.2">
      <c r="A117">
        <v>179</v>
      </c>
      <c r="B117" t="str">
        <f>ROW()-1&amp;"_AltersFish"</f>
        <v>116_AltersFish</v>
      </c>
      <c r="C117" t="str">
        <f>A117 &amp; "_" &amp; P117 &amp; "_" &amp;
SUBSTITUTE(TRIM(L117)," ","_") &amp;
"_pH" &amp; TEXT(Z117,"0.00") &amp;
"_T" &amp; TEXT(AI117,"0.00") &amp;
"_CO2" &amp; TEXT(V117,"0") &amp;
"_LANG"</f>
        <v>179_EMBRYO_Menidia_beryllina_pH7.93_T19.00_CO2389_LANG</v>
      </c>
      <c r="D117" t="s">
        <v>54</v>
      </c>
      <c r="E117">
        <v>2018</v>
      </c>
      <c r="F117" t="s">
        <v>229</v>
      </c>
      <c r="G117" t="s">
        <v>230</v>
      </c>
      <c r="H117" t="s">
        <v>78</v>
      </c>
      <c r="I117" t="s">
        <v>540</v>
      </c>
      <c r="J117" t="s">
        <v>543</v>
      </c>
      <c r="K117" t="s">
        <v>79</v>
      </c>
      <c r="L117" t="s">
        <v>231</v>
      </c>
      <c r="M117" t="s">
        <v>156</v>
      </c>
      <c r="N117" t="s">
        <v>156</v>
      </c>
      <c r="O117" t="s">
        <v>62</v>
      </c>
      <c r="P117" t="s">
        <v>82</v>
      </c>
      <c r="Q117" t="s">
        <v>74</v>
      </c>
      <c r="R117" t="s">
        <v>83</v>
      </c>
      <c r="S117" t="s">
        <v>64</v>
      </c>
      <c r="T117" t="s">
        <v>64</v>
      </c>
      <c r="U117" t="s">
        <v>66</v>
      </c>
      <c r="V117">
        <v>389</v>
      </c>
      <c r="W117" t="s">
        <v>67</v>
      </c>
      <c r="X117">
        <v>18</v>
      </c>
      <c r="Y117" t="s">
        <v>157</v>
      </c>
      <c r="Z117">
        <v>7.93</v>
      </c>
      <c r="AA117" t="s">
        <v>67</v>
      </c>
      <c r="AB117">
        <v>0.03</v>
      </c>
      <c r="AC117">
        <v>1630</v>
      </c>
      <c r="AD117" t="s">
        <v>67</v>
      </c>
      <c r="AE117">
        <v>366</v>
      </c>
      <c r="AF117">
        <v>7.4</v>
      </c>
      <c r="AG117" t="s">
        <v>67</v>
      </c>
      <c r="AH117">
        <v>0.05</v>
      </c>
      <c r="AI117">
        <v>19</v>
      </c>
      <c r="AJ117" t="s">
        <v>67</v>
      </c>
      <c r="AK117">
        <v>0.53</v>
      </c>
      <c r="AL117">
        <v>29</v>
      </c>
      <c r="AM117" t="s">
        <v>67</v>
      </c>
      <c r="AN117">
        <v>0.28999999999999998</v>
      </c>
      <c r="AO117">
        <v>1241</v>
      </c>
      <c r="AP117">
        <v>10</v>
      </c>
      <c r="AQ117" t="s">
        <v>67</v>
      </c>
      <c r="AR117" t="s">
        <v>87</v>
      </c>
      <c r="AS117" t="s">
        <v>88</v>
      </c>
      <c r="AT117" t="s">
        <v>70</v>
      </c>
      <c r="AU117" t="s">
        <v>370</v>
      </c>
      <c r="AV117" t="s">
        <v>88</v>
      </c>
      <c r="AW117" t="s">
        <v>151</v>
      </c>
      <c r="AX117" t="s">
        <v>73</v>
      </c>
      <c r="AY117">
        <v>80.2</v>
      </c>
      <c r="AZ117">
        <v>80.2</v>
      </c>
      <c r="BA117">
        <v>6</v>
      </c>
      <c r="BB117">
        <f>BA117*SQRT(BC117)</f>
        <v>12</v>
      </c>
      <c r="BC117">
        <v>4</v>
      </c>
      <c r="BD117">
        <v>96</v>
      </c>
      <c r="BE117">
        <v>96</v>
      </c>
      <c r="BF117">
        <v>1.55</v>
      </c>
      <c r="BG117">
        <f>BF117*SQRT(BH117)</f>
        <v>3.1</v>
      </c>
      <c r="BH117">
        <v>4</v>
      </c>
      <c r="BI117">
        <v>6</v>
      </c>
      <c r="BJ117">
        <v>4</v>
      </c>
      <c r="BK117">
        <v>0.17979999999999999</v>
      </c>
      <c r="BL117">
        <v>5.8999999999999999E-3</v>
      </c>
    </row>
    <row r="118" spans="1:64" x14ac:dyDescent="0.2">
      <c r="A118">
        <v>179</v>
      </c>
      <c r="B118" t="str">
        <f>ROW()-1&amp;"_AltersFish"</f>
        <v>117_AltersFish</v>
      </c>
      <c r="C118" t="str">
        <f>A118 &amp; "_" &amp; P118 &amp; "_" &amp;
SUBSTITUTE(TRIM(L118)," ","_") &amp;
"_pH" &amp; TEXT(Z118,"0.00") &amp;
"_T" &amp; TEXT(AI118,"0.00") &amp;
"_CO2" &amp; TEXT(V118,"0") &amp;
"_LANG"</f>
        <v>179_EMBRYO_Menidia_beryllina_pH7.93_T19.00_CO2389_LANG</v>
      </c>
      <c r="D118" t="s">
        <v>54</v>
      </c>
      <c r="E118">
        <v>2018</v>
      </c>
      <c r="F118" t="s">
        <v>229</v>
      </c>
      <c r="G118" t="s">
        <v>230</v>
      </c>
      <c r="H118" t="s">
        <v>78</v>
      </c>
      <c r="I118" t="s">
        <v>540</v>
      </c>
      <c r="J118" t="s">
        <v>543</v>
      </c>
      <c r="K118" t="s">
        <v>79</v>
      </c>
      <c r="L118" t="s">
        <v>231</v>
      </c>
      <c r="M118" t="s">
        <v>156</v>
      </c>
      <c r="N118" t="s">
        <v>156</v>
      </c>
      <c r="O118" t="s">
        <v>62</v>
      </c>
      <c r="P118" t="s">
        <v>82</v>
      </c>
      <c r="Q118" t="s">
        <v>74</v>
      </c>
      <c r="R118" t="s">
        <v>83</v>
      </c>
      <c r="S118" t="s">
        <v>64</v>
      </c>
      <c r="T118" t="s">
        <v>74</v>
      </c>
      <c r="U118" t="s">
        <v>84</v>
      </c>
      <c r="V118">
        <v>389</v>
      </c>
      <c r="W118" t="s">
        <v>67</v>
      </c>
      <c r="X118">
        <v>18</v>
      </c>
      <c r="Y118" t="s">
        <v>157</v>
      </c>
      <c r="Z118">
        <v>7.93</v>
      </c>
      <c r="AA118" t="s">
        <v>67</v>
      </c>
      <c r="AB118">
        <v>0.03</v>
      </c>
      <c r="AC118">
        <v>1750</v>
      </c>
      <c r="AD118" t="s">
        <v>67</v>
      </c>
      <c r="AE118">
        <v>244</v>
      </c>
      <c r="AF118">
        <v>7.34</v>
      </c>
      <c r="AG118" t="s">
        <v>67</v>
      </c>
      <c r="AH118">
        <v>0.05</v>
      </c>
      <c r="AI118">
        <v>19</v>
      </c>
      <c r="AJ118" t="s">
        <v>67</v>
      </c>
      <c r="AK118">
        <v>0.53</v>
      </c>
      <c r="AL118">
        <v>19</v>
      </c>
      <c r="AM118" t="s">
        <v>67</v>
      </c>
      <c r="AN118">
        <v>0.53</v>
      </c>
      <c r="AO118">
        <v>1361</v>
      </c>
      <c r="AP118">
        <v>0</v>
      </c>
      <c r="AQ118" t="s">
        <v>67</v>
      </c>
      <c r="AR118" t="s">
        <v>87</v>
      </c>
      <c r="AS118" t="s">
        <v>88</v>
      </c>
      <c r="AT118" t="s">
        <v>70</v>
      </c>
      <c r="AU118" t="s">
        <v>370</v>
      </c>
      <c r="AV118" t="s">
        <v>88</v>
      </c>
      <c r="AW118" t="s">
        <v>151</v>
      </c>
      <c r="AX118" t="s">
        <v>73</v>
      </c>
      <c r="AY118">
        <v>80.2</v>
      </c>
      <c r="AZ118">
        <v>80.2</v>
      </c>
      <c r="BA118">
        <v>6</v>
      </c>
      <c r="BB118">
        <f>BA118*SQRT(BC118)</f>
        <v>12</v>
      </c>
      <c r="BC118">
        <v>4</v>
      </c>
      <c r="BD118">
        <v>81</v>
      </c>
      <c r="BE118">
        <v>81</v>
      </c>
      <c r="BF118">
        <v>4.5999999999999996</v>
      </c>
      <c r="BG118">
        <f>BF118*SQRT(BH118)</f>
        <v>9.1999999999999993</v>
      </c>
      <c r="BH118">
        <v>4</v>
      </c>
      <c r="BI118">
        <v>6</v>
      </c>
      <c r="BJ118">
        <v>4</v>
      </c>
      <c r="BK118">
        <v>9.9000000000000008E-3</v>
      </c>
      <c r="BL118">
        <v>8.8000000000000005E-3</v>
      </c>
    </row>
    <row r="119" spans="1:64" x14ac:dyDescent="0.2">
      <c r="A119">
        <v>178</v>
      </c>
      <c r="B119" t="str">
        <f>ROW()-1&amp;"_AltersFish"</f>
        <v>118_AltersFish</v>
      </c>
      <c r="C119" t="str">
        <f>A119 &amp; "_" &amp; P119 &amp; "_" &amp;
SUBSTITUTE(TRIM(L119)," ","_") &amp;
"_pH" &amp; TEXT(Z119,"0.00") &amp;
"_T" &amp; TEXT(AI119,"0.00") &amp;
"_CO2" &amp; TEXT(V119,"0") &amp;
"_LANG"</f>
        <v>178_LARVA_Seriola_lalandi_pH8.00_T21.10_CO2462_LANG</v>
      </c>
      <c r="D119" t="s">
        <v>54</v>
      </c>
      <c r="E119">
        <v>2018</v>
      </c>
      <c r="F119" t="s">
        <v>308</v>
      </c>
      <c r="G119" t="s">
        <v>77</v>
      </c>
      <c r="H119" t="s">
        <v>78</v>
      </c>
      <c r="I119" t="s">
        <v>540</v>
      </c>
      <c r="J119" t="s">
        <v>543</v>
      </c>
      <c r="K119" t="s">
        <v>79</v>
      </c>
      <c r="L119" t="s">
        <v>155</v>
      </c>
      <c r="M119" t="s">
        <v>156</v>
      </c>
      <c r="N119" t="s">
        <v>156</v>
      </c>
      <c r="O119" t="s">
        <v>106</v>
      </c>
      <c r="P119" t="s">
        <v>107</v>
      </c>
      <c r="Q119" t="s">
        <v>64</v>
      </c>
      <c r="R119" t="s">
        <v>83</v>
      </c>
      <c r="S119" t="s">
        <v>74</v>
      </c>
      <c r="T119" t="s">
        <v>64</v>
      </c>
      <c r="U119" t="s">
        <v>75</v>
      </c>
      <c r="V119">
        <v>462</v>
      </c>
      <c r="W119" t="s">
        <v>67</v>
      </c>
      <c r="X119">
        <v>43</v>
      </c>
      <c r="Y119" t="s">
        <v>157</v>
      </c>
      <c r="Z119">
        <v>8</v>
      </c>
      <c r="AA119" t="s">
        <v>67</v>
      </c>
      <c r="AB119">
        <v>0.03</v>
      </c>
      <c r="AC119">
        <v>538</v>
      </c>
      <c r="AD119" t="s">
        <v>67</v>
      </c>
      <c r="AE119">
        <v>16</v>
      </c>
      <c r="AF119">
        <v>7.94</v>
      </c>
      <c r="AG119" t="s">
        <v>67</v>
      </c>
      <c r="AH119">
        <v>0.01</v>
      </c>
      <c r="AI119">
        <v>21.1</v>
      </c>
      <c r="AJ119" t="s">
        <v>67</v>
      </c>
      <c r="AK119">
        <v>0.1</v>
      </c>
      <c r="AL119">
        <v>24.8</v>
      </c>
      <c r="AM119" t="s">
        <v>67</v>
      </c>
      <c r="AN119">
        <v>0.4</v>
      </c>
      <c r="AO119">
        <v>76</v>
      </c>
      <c r="AP119">
        <v>3.7</v>
      </c>
      <c r="AQ119" t="s">
        <v>67</v>
      </c>
      <c r="AR119" t="s">
        <v>309</v>
      </c>
      <c r="AS119" t="s">
        <v>293</v>
      </c>
      <c r="AT119" t="s">
        <v>70</v>
      </c>
      <c r="AU119" t="s">
        <v>310</v>
      </c>
      <c r="AV119" t="s">
        <v>72</v>
      </c>
      <c r="AW119" t="s">
        <v>72</v>
      </c>
      <c r="AX119" t="s">
        <v>73</v>
      </c>
      <c r="AY119">
        <v>2.3099999999999999E-2</v>
      </c>
      <c r="AZ119">
        <v>2.307E-2</v>
      </c>
      <c r="BA119">
        <v>8.9999999999999998E-4</v>
      </c>
      <c r="BB119">
        <f>BA119*SQRT(BC119)</f>
        <v>4.8466483264210537E-3</v>
      </c>
      <c r="BC119">
        <v>29</v>
      </c>
      <c r="BD119">
        <v>3.1399999999999997E-2</v>
      </c>
      <c r="BE119">
        <v>3.1371723999999997E-2</v>
      </c>
      <c r="BF119">
        <v>1.5E-3</v>
      </c>
      <c r="BG119">
        <f>BF119*SQRT(BH119)</f>
        <v>8.0777472107017561E-3</v>
      </c>
      <c r="BH119">
        <v>29</v>
      </c>
      <c r="BI119">
        <v>24</v>
      </c>
      <c r="BJ119">
        <v>6</v>
      </c>
      <c r="BK119">
        <v>0.30719999999999997</v>
      </c>
      <c r="BL119">
        <v>3.5999999999999999E-3</v>
      </c>
    </row>
    <row r="120" spans="1:64" x14ac:dyDescent="0.2">
      <c r="A120">
        <v>178</v>
      </c>
      <c r="B120" t="str">
        <f>ROW()-1&amp;"_AltersFish"</f>
        <v>119_AltersFish</v>
      </c>
      <c r="C120" t="str">
        <f>A120 &amp; "_" &amp; P120 &amp; "_" &amp;
SUBSTITUTE(TRIM(L120)," ","_") &amp;
"_pH" &amp; TEXT(Z120,"0.00") &amp;
"_T" &amp; TEXT(AI120,"0.00") &amp;
"_CO2" &amp; TEXT(V120,"0") &amp;
"_LANG"</f>
        <v>178_LARVA_Seriola_lalandi_pH8.00_T21.10_CO2462_LANG</v>
      </c>
      <c r="D120" t="s">
        <v>54</v>
      </c>
      <c r="E120">
        <v>2018</v>
      </c>
      <c r="F120" t="s">
        <v>308</v>
      </c>
      <c r="G120" t="s">
        <v>77</v>
      </c>
      <c r="H120" t="s">
        <v>78</v>
      </c>
      <c r="I120" t="s">
        <v>540</v>
      </c>
      <c r="J120" t="s">
        <v>543</v>
      </c>
      <c r="K120" t="s">
        <v>79</v>
      </c>
      <c r="L120" t="s">
        <v>155</v>
      </c>
      <c r="M120" t="s">
        <v>156</v>
      </c>
      <c r="N120" t="s">
        <v>156</v>
      </c>
      <c r="O120" t="s">
        <v>106</v>
      </c>
      <c r="P120" t="s">
        <v>107</v>
      </c>
      <c r="Q120" t="s">
        <v>64</v>
      </c>
      <c r="R120" t="s">
        <v>83</v>
      </c>
      <c r="S120" t="s">
        <v>64</v>
      </c>
      <c r="T120" t="s">
        <v>64</v>
      </c>
      <c r="U120" t="s">
        <v>66</v>
      </c>
      <c r="V120">
        <v>462</v>
      </c>
      <c r="W120" t="s">
        <v>67</v>
      </c>
      <c r="X120">
        <v>43</v>
      </c>
      <c r="Y120" t="s">
        <v>157</v>
      </c>
      <c r="Z120">
        <v>8</v>
      </c>
      <c r="AA120" t="s">
        <v>67</v>
      </c>
      <c r="AB120">
        <v>0.03</v>
      </c>
      <c r="AC120">
        <v>1011</v>
      </c>
      <c r="AD120" t="s">
        <v>67</v>
      </c>
      <c r="AE120">
        <v>30</v>
      </c>
      <c r="AF120">
        <v>7.7</v>
      </c>
      <c r="AG120" t="s">
        <v>67</v>
      </c>
      <c r="AH120">
        <v>0.01</v>
      </c>
      <c r="AI120">
        <v>21.1</v>
      </c>
      <c r="AJ120" t="s">
        <v>67</v>
      </c>
      <c r="AK120">
        <v>0.1</v>
      </c>
      <c r="AL120">
        <v>24.9</v>
      </c>
      <c r="AM120" t="s">
        <v>67</v>
      </c>
      <c r="AN120">
        <v>0.4</v>
      </c>
      <c r="AO120">
        <v>549</v>
      </c>
      <c r="AP120">
        <v>3.8</v>
      </c>
      <c r="AQ120" t="s">
        <v>67</v>
      </c>
      <c r="AR120" t="s">
        <v>309</v>
      </c>
      <c r="AS120" t="s">
        <v>293</v>
      </c>
      <c r="AT120" t="s">
        <v>70</v>
      </c>
      <c r="AU120" t="s">
        <v>310</v>
      </c>
      <c r="AV120" t="s">
        <v>72</v>
      </c>
      <c r="AW120" t="s">
        <v>72</v>
      </c>
      <c r="AX120" t="s">
        <v>73</v>
      </c>
      <c r="AY120">
        <v>2.3099999999999999E-2</v>
      </c>
      <c r="AZ120">
        <v>2.307E-2</v>
      </c>
      <c r="BA120">
        <v>8.9999999999999998E-4</v>
      </c>
      <c r="BB120">
        <f>BA120*SQRT(BC120)</f>
        <v>4.8466483264210537E-3</v>
      </c>
      <c r="BC120">
        <v>29</v>
      </c>
      <c r="BD120">
        <v>3.0499999999999999E-2</v>
      </c>
      <c r="BE120">
        <v>3.0540293999999999E-2</v>
      </c>
      <c r="BF120">
        <v>1.1999999999999999E-3</v>
      </c>
      <c r="BG120">
        <f>BF120*SQRT(BH120)</f>
        <v>6.9971422738143605E-3</v>
      </c>
      <c r="BH120">
        <v>34</v>
      </c>
      <c r="BI120">
        <v>24</v>
      </c>
      <c r="BJ120">
        <v>6</v>
      </c>
      <c r="BK120">
        <v>0.28029999999999999</v>
      </c>
      <c r="BL120">
        <v>3.0999999999999999E-3</v>
      </c>
    </row>
    <row r="121" spans="1:64" hidden="1" x14ac:dyDescent="0.2">
      <c r="A121">
        <v>170</v>
      </c>
      <c r="D121" t="s">
        <v>54</v>
      </c>
      <c r="E121">
        <v>2014</v>
      </c>
      <c r="F121" t="s">
        <v>55</v>
      </c>
      <c r="G121" t="s">
        <v>56</v>
      </c>
      <c r="H121" t="s">
        <v>57</v>
      </c>
      <c r="K121" t="s">
        <v>58</v>
      </c>
      <c r="L121" t="s">
        <v>59</v>
      </c>
      <c r="M121" t="s">
        <v>60</v>
      </c>
      <c r="N121" t="s">
        <v>61</v>
      </c>
      <c r="O121" t="s">
        <v>62</v>
      </c>
      <c r="P121" t="s">
        <v>63</v>
      </c>
      <c r="Q121" t="s">
        <v>64</v>
      </c>
      <c r="R121" t="s">
        <v>65</v>
      </c>
      <c r="S121" t="s">
        <v>64</v>
      </c>
      <c r="T121" t="s">
        <v>64</v>
      </c>
      <c r="U121" t="s">
        <v>66</v>
      </c>
      <c r="V121">
        <v>371.86</v>
      </c>
      <c r="W121" t="s">
        <v>67</v>
      </c>
      <c r="X121">
        <v>51.93</v>
      </c>
      <c r="Y121" t="s">
        <v>68</v>
      </c>
      <c r="Z121">
        <v>8.02</v>
      </c>
      <c r="AA121" t="s">
        <v>67</v>
      </c>
      <c r="AB121">
        <v>0.05</v>
      </c>
      <c r="AC121">
        <v>1481.1</v>
      </c>
      <c r="AD121" t="s">
        <v>67</v>
      </c>
      <c r="AE121">
        <v>107.72</v>
      </c>
      <c r="AF121">
        <v>7.49</v>
      </c>
      <c r="AG121" t="s">
        <v>67</v>
      </c>
      <c r="AH121">
        <v>0.03</v>
      </c>
      <c r="AI121">
        <v>25.9</v>
      </c>
      <c r="AJ121" t="s">
        <v>67</v>
      </c>
      <c r="AK121">
        <v>0.7</v>
      </c>
      <c r="AL121">
        <v>30.1</v>
      </c>
      <c r="AM121" t="s">
        <v>67</v>
      </c>
      <c r="AN121">
        <v>0.5</v>
      </c>
      <c r="AO121">
        <v>1109</v>
      </c>
      <c r="AP121">
        <v>4.2</v>
      </c>
      <c r="AQ121" t="s">
        <v>67</v>
      </c>
      <c r="AR121" t="s">
        <v>172</v>
      </c>
      <c r="AS121" t="s">
        <v>134</v>
      </c>
      <c r="AT121" t="s">
        <v>135</v>
      </c>
      <c r="AU121" t="s">
        <v>173</v>
      </c>
      <c r="AV121" t="s">
        <v>137</v>
      </c>
      <c r="AX121" t="s">
        <v>73</v>
      </c>
      <c r="AY121">
        <v>82.046499999999995</v>
      </c>
      <c r="AZ121">
        <v>82.046509999999998</v>
      </c>
      <c r="BA121">
        <v>1.1599999999999999</v>
      </c>
      <c r="BC121">
        <v>5</v>
      </c>
      <c r="BD121">
        <v>114.2791</v>
      </c>
      <c r="BE121">
        <v>114.2790698</v>
      </c>
      <c r="BF121">
        <v>1.6474</v>
      </c>
      <c r="BH121">
        <v>5</v>
      </c>
      <c r="BI121">
        <v>130</v>
      </c>
      <c r="BJ121">
        <v>3</v>
      </c>
      <c r="BK121">
        <v>0.33139999999999997</v>
      </c>
      <c r="BL121">
        <v>4.0000000000000002E-4</v>
      </c>
    </row>
    <row r="122" spans="1:64" hidden="1" x14ac:dyDescent="0.2">
      <c r="A122">
        <v>170</v>
      </c>
      <c r="C122" t="s">
        <v>549</v>
      </c>
      <c r="D122" t="s">
        <v>54</v>
      </c>
      <c r="E122">
        <v>2014</v>
      </c>
      <c r="F122" t="s">
        <v>55</v>
      </c>
      <c r="G122" t="s">
        <v>56</v>
      </c>
      <c r="H122" t="s">
        <v>57</v>
      </c>
      <c r="K122" t="s">
        <v>58</v>
      </c>
      <c r="L122" t="s">
        <v>59</v>
      </c>
      <c r="M122" t="s">
        <v>60</v>
      </c>
      <c r="N122" t="s">
        <v>61</v>
      </c>
      <c r="O122" t="s">
        <v>62</v>
      </c>
      <c r="P122" t="s">
        <v>82</v>
      </c>
      <c r="Q122" t="s">
        <v>64</v>
      </c>
      <c r="R122" t="s">
        <v>65</v>
      </c>
      <c r="S122" t="s">
        <v>74</v>
      </c>
      <c r="T122" t="s">
        <v>64</v>
      </c>
      <c r="U122" t="s">
        <v>75</v>
      </c>
      <c r="V122">
        <v>371.86</v>
      </c>
      <c r="W122" t="s">
        <v>67</v>
      </c>
      <c r="X122">
        <v>51.93</v>
      </c>
      <c r="Y122" t="s">
        <v>68</v>
      </c>
      <c r="Z122">
        <v>8.02</v>
      </c>
      <c r="AA122" t="s">
        <v>67</v>
      </c>
      <c r="AB122">
        <v>0.05</v>
      </c>
      <c r="AC122">
        <v>382.16</v>
      </c>
      <c r="AD122" t="s">
        <v>67</v>
      </c>
      <c r="AE122">
        <v>87.53</v>
      </c>
      <c r="AF122">
        <v>8</v>
      </c>
      <c r="AG122" t="s">
        <v>67</v>
      </c>
      <c r="AH122">
        <v>7.0000000000000007E-2</v>
      </c>
      <c r="AI122">
        <v>25.9</v>
      </c>
      <c r="AJ122" t="s">
        <v>67</v>
      </c>
      <c r="AK122">
        <v>0.7</v>
      </c>
      <c r="AL122">
        <v>29.9</v>
      </c>
      <c r="AM122" t="s">
        <v>67</v>
      </c>
      <c r="AN122">
        <v>0.2</v>
      </c>
      <c r="AO122">
        <v>10</v>
      </c>
      <c r="AP122">
        <v>4</v>
      </c>
      <c r="AQ122" t="s">
        <v>67</v>
      </c>
      <c r="AR122" t="s">
        <v>113</v>
      </c>
      <c r="AS122" t="s">
        <v>113</v>
      </c>
      <c r="AT122" t="s">
        <v>70</v>
      </c>
      <c r="AU122" t="s">
        <v>139</v>
      </c>
      <c r="AV122" t="s">
        <v>72</v>
      </c>
      <c r="AW122" t="s">
        <v>72</v>
      </c>
      <c r="AX122" t="s">
        <v>73</v>
      </c>
      <c r="AY122">
        <v>1.2776000000000001</v>
      </c>
      <c r="AZ122">
        <v>1.2775700000000001</v>
      </c>
      <c r="BA122">
        <v>0.02</v>
      </c>
      <c r="BC122">
        <v>5</v>
      </c>
      <c r="BD122">
        <v>1.8243</v>
      </c>
      <c r="BE122">
        <v>1.8242990649999999</v>
      </c>
      <c r="BF122">
        <v>2.6100000000000002E-2</v>
      </c>
      <c r="BH122">
        <v>5</v>
      </c>
      <c r="BI122">
        <v>90</v>
      </c>
      <c r="BJ122">
        <v>3</v>
      </c>
      <c r="BK122">
        <v>0.35620000000000002</v>
      </c>
      <c r="BL122">
        <v>4.0000000000000002E-4</v>
      </c>
    </row>
    <row r="123" spans="1:64" x14ac:dyDescent="0.2">
      <c r="A123">
        <v>178</v>
      </c>
      <c r="B123" t="str">
        <f>ROW()-1&amp;"_AltersFish"</f>
        <v>122_AltersFish</v>
      </c>
      <c r="C123" t="str">
        <f>A123 &amp; "_" &amp; P123 &amp; "_" &amp;
SUBSTITUTE(TRIM(L123)," ","_") &amp;
"_pH" &amp; TEXT(Z123,"0.00") &amp;
"_T" &amp; TEXT(AI123,"0.00") &amp;
"_CO2" &amp; TEXT(V123,"0") &amp;
"_LANG"</f>
        <v>178_LARVA_Seriola_lalandi_pH8.00_T21.10_CO2462_LANG</v>
      </c>
      <c r="D123" t="s">
        <v>54</v>
      </c>
      <c r="E123">
        <v>2018</v>
      </c>
      <c r="F123" t="s">
        <v>308</v>
      </c>
      <c r="G123" t="s">
        <v>77</v>
      </c>
      <c r="H123" t="s">
        <v>78</v>
      </c>
      <c r="I123" t="s">
        <v>540</v>
      </c>
      <c r="J123" t="s">
        <v>543</v>
      </c>
      <c r="K123" t="s">
        <v>79</v>
      </c>
      <c r="L123" t="s">
        <v>155</v>
      </c>
      <c r="M123" t="s">
        <v>156</v>
      </c>
      <c r="N123" t="s">
        <v>156</v>
      </c>
      <c r="O123" t="s">
        <v>106</v>
      </c>
      <c r="P123" t="s">
        <v>107</v>
      </c>
      <c r="Q123" t="s">
        <v>64</v>
      </c>
      <c r="R123" t="s">
        <v>83</v>
      </c>
      <c r="S123" t="s">
        <v>64</v>
      </c>
      <c r="T123" t="s">
        <v>74</v>
      </c>
      <c r="U123" t="s">
        <v>84</v>
      </c>
      <c r="V123">
        <v>462</v>
      </c>
      <c r="W123" t="s">
        <v>67</v>
      </c>
      <c r="X123">
        <v>43</v>
      </c>
      <c r="Y123" t="s">
        <v>157</v>
      </c>
      <c r="Z123">
        <v>8</v>
      </c>
      <c r="AA123" t="s">
        <v>67</v>
      </c>
      <c r="AB123">
        <v>0.03</v>
      </c>
      <c r="AC123">
        <v>960</v>
      </c>
      <c r="AD123" t="s">
        <v>67</v>
      </c>
      <c r="AE123">
        <v>57</v>
      </c>
      <c r="AF123">
        <v>7.72</v>
      </c>
      <c r="AG123" t="s">
        <v>67</v>
      </c>
      <c r="AH123">
        <v>0.03</v>
      </c>
      <c r="AI123">
        <v>21.1</v>
      </c>
      <c r="AJ123" t="s">
        <v>67</v>
      </c>
      <c r="AK123">
        <v>0.1</v>
      </c>
      <c r="AL123">
        <v>21.1</v>
      </c>
      <c r="AM123" t="s">
        <v>67</v>
      </c>
      <c r="AN123">
        <v>0.1</v>
      </c>
      <c r="AO123">
        <v>498</v>
      </c>
      <c r="AP123">
        <v>0</v>
      </c>
      <c r="AQ123" t="s">
        <v>67</v>
      </c>
      <c r="AR123" t="s">
        <v>309</v>
      </c>
      <c r="AS123" t="s">
        <v>293</v>
      </c>
      <c r="AT123" t="s">
        <v>70</v>
      </c>
      <c r="AU123" t="s">
        <v>310</v>
      </c>
      <c r="AV123" t="s">
        <v>72</v>
      </c>
      <c r="AW123" t="s">
        <v>72</v>
      </c>
      <c r="AX123" t="s">
        <v>73</v>
      </c>
      <c r="AY123">
        <v>2.3099999999999999E-2</v>
      </c>
      <c r="AZ123">
        <v>2.307E-2</v>
      </c>
      <c r="BA123">
        <v>8.9999999999999998E-4</v>
      </c>
      <c r="BB123">
        <f>BA123*SQRT(BC123)</f>
        <v>4.8466483264210537E-3</v>
      </c>
      <c r="BC123">
        <v>29</v>
      </c>
      <c r="BD123">
        <v>2.4799999999999999E-2</v>
      </c>
      <c r="BE123">
        <v>2.4842368E-2</v>
      </c>
      <c r="BF123">
        <v>1.4E-3</v>
      </c>
      <c r="BG123">
        <f>BF123*SQRT(BH123)</f>
        <v>8.6301796041565668E-3</v>
      </c>
      <c r="BH123">
        <v>38</v>
      </c>
      <c r="BI123">
        <v>24</v>
      </c>
      <c r="BJ123">
        <v>6</v>
      </c>
      <c r="BK123">
        <v>7.3800000000000004E-2</v>
      </c>
      <c r="BL123">
        <v>4.4999999999999997E-3</v>
      </c>
    </row>
    <row r="124" spans="1:64" hidden="1" x14ac:dyDescent="0.2">
      <c r="A124">
        <v>171</v>
      </c>
      <c r="C124" t="s">
        <v>549</v>
      </c>
      <c r="D124" t="s">
        <v>54</v>
      </c>
      <c r="E124">
        <v>2015</v>
      </c>
      <c r="F124" t="s">
        <v>198</v>
      </c>
      <c r="G124" t="s">
        <v>199</v>
      </c>
      <c r="H124" t="s">
        <v>57</v>
      </c>
      <c r="K124" t="s">
        <v>79</v>
      </c>
      <c r="L124" t="s">
        <v>200</v>
      </c>
      <c r="M124" t="s">
        <v>81</v>
      </c>
      <c r="N124" t="s">
        <v>81</v>
      </c>
      <c r="O124" t="s">
        <v>62</v>
      </c>
      <c r="P124" t="s">
        <v>82</v>
      </c>
      <c r="Q124" t="s">
        <v>64</v>
      </c>
      <c r="R124" t="s">
        <v>65</v>
      </c>
      <c r="S124" t="s">
        <v>74</v>
      </c>
      <c r="T124" t="s">
        <v>64</v>
      </c>
      <c r="U124" t="s">
        <v>75</v>
      </c>
      <c r="V124">
        <v>422.07</v>
      </c>
      <c r="W124" t="s">
        <v>67</v>
      </c>
      <c r="X124">
        <v>16.57</v>
      </c>
      <c r="Y124" t="s">
        <v>96</v>
      </c>
      <c r="Z124">
        <v>8.1</v>
      </c>
      <c r="AA124" t="s">
        <v>67</v>
      </c>
      <c r="AB124">
        <v>0.05</v>
      </c>
      <c r="AC124">
        <v>423.94</v>
      </c>
      <c r="AD124" t="s">
        <v>67</v>
      </c>
      <c r="AE124">
        <v>16.579999999999998</v>
      </c>
      <c r="AF124">
        <v>8.1</v>
      </c>
      <c r="AG124" t="s">
        <v>67</v>
      </c>
      <c r="AH124">
        <v>0.05</v>
      </c>
      <c r="AI124">
        <v>15</v>
      </c>
      <c r="AJ124" t="s">
        <v>67</v>
      </c>
      <c r="AK124">
        <v>0.5</v>
      </c>
      <c r="AL124">
        <v>20</v>
      </c>
      <c r="AM124" t="s">
        <v>67</v>
      </c>
      <c r="AN124">
        <v>0.5</v>
      </c>
      <c r="AO124">
        <v>2</v>
      </c>
      <c r="AP124">
        <v>5</v>
      </c>
      <c r="AQ124" t="s">
        <v>201</v>
      </c>
      <c r="AR124" t="s">
        <v>11</v>
      </c>
      <c r="AS124" t="s">
        <v>202</v>
      </c>
      <c r="AT124" t="s">
        <v>135</v>
      </c>
      <c r="AU124" t="s">
        <v>203</v>
      </c>
      <c r="AV124" t="s">
        <v>11</v>
      </c>
      <c r="AW124" t="s">
        <v>11</v>
      </c>
      <c r="AX124" t="s">
        <v>73</v>
      </c>
      <c r="AY124">
        <v>179.2388</v>
      </c>
      <c r="AZ124">
        <v>179.23875000000001</v>
      </c>
      <c r="BA124">
        <v>2.77</v>
      </c>
      <c r="BC124">
        <v>24</v>
      </c>
      <c r="BD124">
        <v>150.86510000000001</v>
      </c>
      <c r="BE124">
        <v>150.8650519</v>
      </c>
      <c r="BF124">
        <v>2.0760999999999998</v>
      </c>
      <c r="BH124">
        <v>24</v>
      </c>
      <c r="BI124">
        <v>151</v>
      </c>
      <c r="BJ124">
        <v>5</v>
      </c>
      <c r="BK124">
        <v>-0.17230000000000001</v>
      </c>
      <c r="BL124">
        <v>4.0000000000000002E-4</v>
      </c>
    </row>
    <row r="125" spans="1:64" hidden="1" x14ac:dyDescent="0.2">
      <c r="A125">
        <v>171</v>
      </c>
      <c r="C125" t="s">
        <v>549</v>
      </c>
      <c r="D125" t="s">
        <v>54</v>
      </c>
      <c r="E125">
        <v>2015</v>
      </c>
      <c r="F125" t="s">
        <v>198</v>
      </c>
      <c r="G125" t="s">
        <v>199</v>
      </c>
      <c r="H125" t="s">
        <v>57</v>
      </c>
      <c r="K125" t="s">
        <v>79</v>
      </c>
      <c r="L125" t="s">
        <v>200</v>
      </c>
      <c r="M125" t="s">
        <v>81</v>
      </c>
      <c r="N125" t="s">
        <v>81</v>
      </c>
      <c r="O125" t="s">
        <v>62</v>
      </c>
      <c r="P125" t="s">
        <v>82</v>
      </c>
      <c r="Q125" t="s">
        <v>64</v>
      </c>
      <c r="R125" t="s">
        <v>65</v>
      </c>
      <c r="S125" t="s">
        <v>64</v>
      </c>
      <c r="T125" t="s">
        <v>64</v>
      </c>
      <c r="U125" t="s">
        <v>66</v>
      </c>
      <c r="V125">
        <v>422.07</v>
      </c>
      <c r="W125" t="s">
        <v>67</v>
      </c>
      <c r="X125">
        <v>16.57</v>
      </c>
      <c r="Y125" t="s">
        <v>96</v>
      </c>
      <c r="Z125">
        <v>8.1</v>
      </c>
      <c r="AA125" t="s">
        <v>67</v>
      </c>
      <c r="AB125">
        <v>0.05</v>
      </c>
      <c r="AC125">
        <v>1078.21</v>
      </c>
      <c r="AD125" t="s">
        <v>67</v>
      </c>
      <c r="AE125">
        <v>53.06</v>
      </c>
      <c r="AF125">
        <v>7.7</v>
      </c>
      <c r="AG125" t="s">
        <v>67</v>
      </c>
      <c r="AH125">
        <v>0.05</v>
      </c>
      <c r="AI125">
        <v>15</v>
      </c>
      <c r="AJ125" t="s">
        <v>67</v>
      </c>
      <c r="AK125">
        <v>0.5</v>
      </c>
      <c r="AL125">
        <v>20</v>
      </c>
      <c r="AM125" t="s">
        <v>67</v>
      </c>
      <c r="AN125">
        <v>0.5</v>
      </c>
      <c r="AO125">
        <v>656</v>
      </c>
      <c r="AP125">
        <v>5</v>
      </c>
      <c r="AQ125" t="s">
        <v>201</v>
      </c>
      <c r="AR125" t="s">
        <v>11</v>
      </c>
      <c r="AS125" t="s">
        <v>202</v>
      </c>
      <c r="AT125" t="s">
        <v>135</v>
      </c>
      <c r="AU125" t="s">
        <v>203</v>
      </c>
      <c r="AV125" t="s">
        <v>11</v>
      </c>
      <c r="AW125" t="s">
        <v>11</v>
      </c>
      <c r="AX125" t="s">
        <v>73</v>
      </c>
      <c r="AY125">
        <v>179.2388</v>
      </c>
      <c r="AZ125">
        <v>179.23875000000001</v>
      </c>
      <c r="BA125">
        <v>2.77</v>
      </c>
      <c r="BC125">
        <v>24</v>
      </c>
      <c r="BD125">
        <v>146.02080000000001</v>
      </c>
      <c r="BE125">
        <v>146.02076120000001</v>
      </c>
      <c r="BF125">
        <v>2.0760999999999998</v>
      </c>
      <c r="BH125">
        <v>24</v>
      </c>
      <c r="BI125">
        <v>146</v>
      </c>
      <c r="BJ125">
        <v>5</v>
      </c>
      <c r="BK125">
        <v>-0.20499999999999999</v>
      </c>
      <c r="BL125">
        <v>4.0000000000000002E-4</v>
      </c>
    </row>
    <row r="126" spans="1:64" x14ac:dyDescent="0.2">
      <c r="A126">
        <v>178</v>
      </c>
      <c r="B126" t="str">
        <f>ROW()-1&amp;"_AltersFish"</f>
        <v>125_AltersFish</v>
      </c>
      <c r="C126" t="str">
        <f>A126 &amp; "_" &amp; P126 &amp; "_" &amp;
SUBSTITUTE(TRIM(L126)," ","_") &amp;
"_pH" &amp; TEXT(Z126,"0.00") &amp;
"_T" &amp; TEXT(AI126,"0.00") &amp;
"_CO2" &amp; TEXT(V126,"0") &amp;
"_LANG"</f>
        <v>178_LARVA_Seriola_lalandi_pH8.00_T21.10_CO2462_LANG</v>
      </c>
      <c r="D126" t="s">
        <v>54</v>
      </c>
      <c r="E126">
        <v>2018</v>
      </c>
      <c r="F126" t="s">
        <v>308</v>
      </c>
      <c r="G126" t="s">
        <v>77</v>
      </c>
      <c r="H126" t="s">
        <v>78</v>
      </c>
      <c r="I126" t="s">
        <v>540</v>
      </c>
      <c r="J126" t="s">
        <v>543</v>
      </c>
      <c r="K126" t="s">
        <v>79</v>
      </c>
      <c r="L126" t="s">
        <v>155</v>
      </c>
      <c r="M126" t="s">
        <v>156</v>
      </c>
      <c r="N126" t="s">
        <v>156</v>
      </c>
      <c r="O126" t="s">
        <v>106</v>
      </c>
      <c r="P126" t="s">
        <v>107</v>
      </c>
      <c r="Q126" t="s">
        <v>64</v>
      </c>
      <c r="R126" t="s">
        <v>83</v>
      </c>
      <c r="S126" t="s">
        <v>74</v>
      </c>
      <c r="T126" t="s">
        <v>64</v>
      </c>
      <c r="U126" t="s">
        <v>75</v>
      </c>
      <c r="V126">
        <v>462</v>
      </c>
      <c r="W126" t="s">
        <v>67</v>
      </c>
      <c r="X126">
        <v>43</v>
      </c>
      <c r="Y126" t="s">
        <v>157</v>
      </c>
      <c r="Z126">
        <v>8</v>
      </c>
      <c r="AA126" t="s">
        <v>67</v>
      </c>
      <c r="AB126">
        <v>0.03</v>
      </c>
      <c r="AC126">
        <v>538</v>
      </c>
      <c r="AD126" t="s">
        <v>67</v>
      </c>
      <c r="AE126">
        <v>16</v>
      </c>
      <c r="AF126">
        <v>7.94</v>
      </c>
      <c r="AG126" t="s">
        <v>67</v>
      </c>
      <c r="AH126">
        <v>0.01</v>
      </c>
      <c r="AI126">
        <v>21.1</v>
      </c>
      <c r="AJ126" t="s">
        <v>67</v>
      </c>
      <c r="AK126">
        <v>0.1</v>
      </c>
      <c r="AL126">
        <v>24.8</v>
      </c>
      <c r="AM126" t="s">
        <v>67</v>
      </c>
      <c r="AN126">
        <v>0.4</v>
      </c>
      <c r="AO126">
        <v>76</v>
      </c>
      <c r="AP126">
        <v>3.7</v>
      </c>
      <c r="AQ126" t="s">
        <v>67</v>
      </c>
      <c r="AR126" t="s">
        <v>366</v>
      </c>
      <c r="AS126" t="s">
        <v>367</v>
      </c>
      <c r="AT126" t="s">
        <v>135</v>
      </c>
      <c r="AU126" t="s">
        <v>89</v>
      </c>
      <c r="AV126" t="s">
        <v>251</v>
      </c>
      <c r="AW126" t="s">
        <v>251</v>
      </c>
      <c r="AX126" t="s">
        <v>73</v>
      </c>
      <c r="AY126">
        <v>45.713299999999997</v>
      </c>
      <c r="AZ126">
        <v>45.713320000000003</v>
      </c>
      <c r="BA126">
        <v>3.22</v>
      </c>
      <c r="BB126">
        <f>BA126*SQRT(BC126)</f>
        <v>17.340230678973104</v>
      </c>
      <c r="BC126">
        <v>29</v>
      </c>
      <c r="BD126">
        <v>72.640299999999996</v>
      </c>
      <c r="BE126">
        <v>72.640297500000003</v>
      </c>
      <c r="BF126">
        <v>2.2972000000000001</v>
      </c>
      <c r="BG126">
        <f>BF126*SQRT(BH126)</f>
        <v>12.370800594949383</v>
      </c>
      <c r="BH126">
        <v>29</v>
      </c>
      <c r="BI126">
        <v>24</v>
      </c>
      <c r="BJ126">
        <v>6</v>
      </c>
      <c r="BK126">
        <v>0.46310000000000001</v>
      </c>
      <c r="BL126">
        <v>6.0000000000000001E-3</v>
      </c>
    </row>
    <row r="127" spans="1:64" x14ac:dyDescent="0.2">
      <c r="A127">
        <v>178</v>
      </c>
      <c r="B127" t="str">
        <f>ROW()-1&amp;"_AltersFish"</f>
        <v>126_AltersFish</v>
      </c>
      <c r="C127" t="str">
        <f>A127 &amp; "_" &amp; P127 &amp; "_" &amp;
SUBSTITUTE(TRIM(L127)," ","_") &amp;
"_pH" &amp; TEXT(Z127,"0.00") &amp;
"_T" &amp; TEXT(AI127,"0.00") &amp;
"_CO2" &amp; TEXT(V127,"0") &amp;
"_LANG"</f>
        <v>178_LARVA_Seriola_lalandi_pH8.00_T21.10_CO2462_LANG</v>
      </c>
      <c r="D127" t="s">
        <v>54</v>
      </c>
      <c r="E127">
        <v>2018</v>
      </c>
      <c r="F127" t="s">
        <v>308</v>
      </c>
      <c r="G127" t="s">
        <v>77</v>
      </c>
      <c r="H127" t="s">
        <v>78</v>
      </c>
      <c r="I127" t="s">
        <v>540</v>
      </c>
      <c r="J127" t="s">
        <v>543</v>
      </c>
      <c r="K127" t="s">
        <v>79</v>
      </c>
      <c r="L127" t="s">
        <v>155</v>
      </c>
      <c r="M127" t="s">
        <v>156</v>
      </c>
      <c r="N127" t="s">
        <v>156</v>
      </c>
      <c r="O127" t="s">
        <v>106</v>
      </c>
      <c r="P127" t="s">
        <v>107</v>
      </c>
      <c r="Q127" t="s">
        <v>64</v>
      </c>
      <c r="R127" t="s">
        <v>83</v>
      </c>
      <c r="S127" t="s">
        <v>64</v>
      </c>
      <c r="T127" t="s">
        <v>64</v>
      </c>
      <c r="U127" t="s">
        <v>66</v>
      </c>
      <c r="V127">
        <v>462</v>
      </c>
      <c r="W127" t="s">
        <v>67</v>
      </c>
      <c r="X127">
        <v>43</v>
      </c>
      <c r="Y127" t="s">
        <v>157</v>
      </c>
      <c r="Z127">
        <v>8</v>
      </c>
      <c r="AA127" t="s">
        <v>67</v>
      </c>
      <c r="AB127">
        <v>0.03</v>
      </c>
      <c r="AC127">
        <v>1011</v>
      </c>
      <c r="AD127" t="s">
        <v>67</v>
      </c>
      <c r="AE127">
        <v>30</v>
      </c>
      <c r="AF127">
        <v>7.7</v>
      </c>
      <c r="AG127" t="s">
        <v>67</v>
      </c>
      <c r="AH127">
        <v>0.01</v>
      </c>
      <c r="AI127">
        <v>21.1</v>
      </c>
      <c r="AJ127" t="s">
        <v>67</v>
      </c>
      <c r="AK127">
        <v>0.1</v>
      </c>
      <c r="AL127">
        <v>24.9</v>
      </c>
      <c r="AM127" t="s">
        <v>67</v>
      </c>
      <c r="AN127">
        <v>0.4</v>
      </c>
      <c r="AO127">
        <v>549</v>
      </c>
      <c r="AP127">
        <v>3.8</v>
      </c>
      <c r="AQ127" t="s">
        <v>67</v>
      </c>
      <c r="AR127" t="s">
        <v>366</v>
      </c>
      <c r="AS127" t="s">
        <v>367</v>
      </c>
      <c r="AT127" t="s">
        <v>135</v>
      </c>
      <c r="AU127" t="s">
        <v>89</v>
      </c>
      <c r="AV127" t="s">
        <v>251</v>
      </c>
      <c r="AW127" t="s">
        <v>251</v>
      </c>
      <c r="AX127" t="s">
        <v>73</v>
      </c>
      <c r="AY127">
        <v>45.713299999999997</v>
      </c>
      <c r="AZ127">
        <v>45.713320000000003</v>
      </c>
      <c r="BA127">
        <v>3.22</v>
      </c>
      <c r="BB127">
        <f>BA127*SQRT(BC127)</f>
        <v>17.340230678973104</v>
      </c>
      <c r="BC127">
        <v>29</v>
      </c>
      <c r="BD127">
        <v>70.397900000000007</v>
      </c>
      <c r="BE127">
        <v>70.397923879999993</v>
      </c>
      <c r="BF127">
        <v>1.8742000000000001</v>
      </c>
      <c r="BG127">
        <f>BF127*SQRT(BH127)</f>
        <v>10.928370041319063</v>
      </c>
      <c r="BH127">
        <v>34</v>
      </c>
      <c r="BI127">
        <v>24</v>
      </c>
      <c r="BJ127">
        <v>6</v>
      </c>
      <c r="BK127">
        <v>0.43180000000000002</v>
      </c>
      <c r="BL127">
        <v>5.7000000000000002E-3</v>
      </c>
    </row>
    <row r="128" spans="1:64" x14ac:dyDescent="0.2">
      <c r="A128">
        <v>178</v>
      </c>
      <c r="B128" t="str">
        <f>ROW()-1&amp;"_AltersFish"</f>
        <v>127_AltersFish</v>
      </c>
      <c r="C128" t="str">
        <f>A128 &amp; "_" &amp; P128 &amp; "_" &amp;
SUBSTITUTE(TRIM(L128)," ","_") &amp;
"_pH" &amp; TEXT(Z128,"0.00") &amp;
"_T" &amp; TEXT(AI128,"0.00") &amp;
"_CO2" &amp; TEXT(V128,"0") &amp;
"_LANG"</f>
        <v>178_LARVA_Seriola_lalandi_pH8.00_T21.10_CO2462_LANG</v>
      </c>
      <c r="D128" t="s">
        <v>54</v>
      </c>
      <c r="E128">
        <v>2018</v>
      </c>
      <c r="F128" t="s">
        <v>308</v>
      </c>
      <c r="G128" t="s">
        <v>77</v>
      </c>
      <c r="H128" t="s">
        <v>78</v>
      </c>
      <c r="I128" t="s">
        <v>540</v>
      </c>
      <c r="J128" t="s">
        <v>543</v>
      </c>
      <c r="K128" t="s">
        <v>79</v>
      </c>
      <c r="L128" t="s">
        <v>155</v>
      </c>
      <c r="M128" t="s">
        <v>156</v>
      </c>
      <c r="N128" t="s">
        <v>156</v>
      </c>
      <c r="O128" t="s">
        <v>106</v>
      </c>
      <c r="P128" t="s">
        <v>107</v>
      </c>
      <c r="Q128" t="s">
        <v>64</v>
      </c>
      <c r="R128" t="s">
        <v>83</v>
      </c>
      <c r="S128" t="s">
        <v>64</v>
      </c>
      <c r="T128" t="s">
        <v>74</v>
      </c>
      <c r="U128" t="s">
        <v>84</v>
      </c>
      <c r="V128">
        <v>462</v>
      </c>
      <c r="W128" t="s">
        <v>67</v>
      </c>
      <c r="X128">
        <v>43</v>
      </c>
      <c r="Y128" t="s">
        <v>157</v>
      </c>
      <c r="Z128">
        <v>8</v>
      </c>
      <c r="AA128" t="s">
        <v>67</v>
      </c>
      <c r="AB128">
        <v>0.03</v>
      </c>
      <c r="AC128">
        <v>960</v>
      </c>
      <c r="AD128" t="s">
        <v>67</v>
      </c>
      <c r="AE128">
        <v>57</v>
      </c>
      <c r="AF128">
        <v>7.72</v>
      </c>
      <c r="AG128" t="s">
        <v>67</v>
      </c>
      <c r="AH128">
        <v>0.03</v>
      </c>
      <c r="AI128">
        <v>21.1</v>
      </c>
      <c r="AJ128" t="s">
        <v>67</v>
      </c>
      <c r="AK128">
        <v>0.1</v>
      </c>
      <c r="AL128">
        <v>21.1</v>
      </c>
      <c r="AM128" t="s">
        <v>67</v>
      </c>
      <c r="AN128">
        <v>0.1</v>
      </c>
      <c r="AO128">
        <v>498</v>
      </c>
      <c r="AP128">
        <v>0</v>
      </c>
      <c r="AQ128" t="s">
        <v>67</v>
      </c>
      <c r="AR128" t="s">
        <v>366</v>
      </c>
      <c r="AS128" t="s">
        <v>367</v>
      </c>
      <c r="AT128" t="s">
        <v>135</v>
      </c>
      <c r="AU128" t="s">
        <v>89</v>
      </c>
      <c r="AV128" t="s">
        <v>251</v>
      </c>
      <c r="AW128" t="s">
        <v>251</v>
      </c>
      <c r="AX128" t="s">
        <v>73</v>
      </c>
      <c r="AY128">
        <v>45.713299999999997</v>
      </c>
      <c r="AZ128">
        <v>45.713320000000003</v>
      </c>
      <c r="BA128">
        <v>3.22</v>
      </c>
      <c r="BB128">
        <f>BA128*SQRT(BC128)</f>
        <v>17.340230678973104</v>
      </c>
      <c r="BC128">
        <v>29</v>
      </c>
      <c r="BD128">
        <v>48.845599999999997</v>
      </c>
      <c r="BE128">
        <v>48.845557669999998</v>
      </c>
      <c r="BF128">
        <v>2.9318</v>
      </c>
      <c r="BG128">
        <f>BF128*SQRT(BH128)</f>
        <v>18.072828973904443</v>
      </c>
      <c r="BH128">
        <v>38</v>
      </c>
      <c r="BI128">
        <v>24</v>
      </c>
      <c r="BJ128">
        <v>6</v>
      </c>
      <c r="BK128">
        <v>6.6299999999999998E-2</v>
      </c>
      <c r="BL128">
        <v>8.6E-3</v>
      </c>
    </row>
    <row r="129" spans="1:64" x14ac:dyDescent="0.2">
      <c r="A129">
        <v>178</v>
      </c>
      <c r="B129" t="str">
        <f>ROW()-1&amp;"_AltersFish"</f>
        <v>128_AltersFish</v>
      </c>
      <c r="C129" t="str">
        <f>A129 &amp; "_" &amp; P129 &amp; "_" &amp;
SUBSTITUTE(TRIM(L129)," ","_") &amp;
"_pH" &amp; TEXT(Z129,"0.00") &amp;
"_T" &amp; TEXT(AI129,"0.00") &amp;
"_CO2" &amp; TEXT(V129,"0") &amp;
"_LANG"</f>
        <v>178_LARVA_Seriola_lalandi_pH8.00_T21.10_CO2462_LANG</v>
      </c>
      <c r="D129" t="s">
        <v>54</v>
      </c>
      <c r="E129">
        <v>2018</v>
      </c>
      <c r="F129" t="s">
        <v>308</v>
      </c>
      <c r="G129" t="s">
        <v>77</v>
      </c>
      <c r="H129" t="s">
        <v>78</v>
      </c>
      <c r="I129" t="s">
        <v>540</v>
      </c>
      <c r="J129" t="s">
        <v>543</v>
      </c>
      <c r="K129" t="s">
        <v>79</v>
      </c>
      <c r="L129" t="s">
        <v>155</v>
      </c>
      <c r="M129" t="s">
        <v>156</v>
      </c>
      <c r="N129" t="s">
        <v>156</v>
      </c>
      <c r="O129" t="s">
        <v>106</v>
      </c>
      <c r="P129" t="s">
        <v>107</v>
      </c>
      <c r="Q129" t="s">
        <v>64</v>
      </c>
      <c r="R129" t="s">
        <v>83</v>
      </c>
      <c r="S129" t="s">
        <v>74</v>
      </c>
      <c r="T129" t="s">
        <v>64</v>
      </c>
      <c r="U129" t="s">
        <v>75</v>
      </c>
      <c r="V129">
        <v>462</v>
      </c>
      <c r="W129" t="s">
        <v>67</v>
      </c>
      <c r="X129">
        <v>43</v>
      </c>
      <c r="Y129" t="s">
        <v>157</v>
      </c>
      <c r="Z129">
        <v>8</v>
      </c>
      <c r="AA129" t="s">
        <v>67</v>
      </c>
      <c r="AB129">
        <v>0.03</v>
      </c>
      <c r="AC129">
        <v>538</v>
      </c>
      <c r="AD129" t="s">
        <v>67</v>
      </c>
      <c r="AE129">
        <v>16</v>
      </c>
      <c r="AF129">
        <v>7.94</v>
      </c>
      <c r="AG129" t="s">
        <v>67</v>
      </c>
      <c r="AH129">
        <v>0.01</v>
      </c>
      <c r="AI129">
        <v>21.1</v>
      </c>
      <c r="AJ129" t="s">
        <v>67</v>
      </c>
      <c r="AK129">
        <v>0.1</v>
      </c>
      <c r="AL129">
        <v>24.8</v>
      </c>
      <c r="AM129" t="s">
        <v>67</v>
      </c>
      <c r="AN129">
        <v>0.4</v>
      </c>
      <c r="AO129">
        <v>76</v>
      </c>
      <c r="AP129">
        <v>3.7</v>
      </c>
      <c r="AQ129" t="s">
        <v>67</v>
      </c>
      <c r="AR129" t="s">
        <v>323</v>
      </c>
      <c r="AS129" t="s">
        <v>134</v>
      </c>
      <c r="AT129" t="s">
        <v>135</v>
      </c>
      <c r="AU129" t="s">
        <v>324</v>
      </c>
      <c r="AV129" t="s">
        <v>137</v>
      </c>
      <c r="AW129" t="s">
        <v>132</v>
      </c>
      <c r="AX129" t="s">
        <v>73</v>
      </c>
      <c r="AY129">
        <v>702.33330000000001</v>
      </c>
      <c r="AZ129">
        <v>702.33333000000005</v>
      </c>
      <c r="BA129">
        <v>27.67</v>
      </c>
      <c r="BB129">
        <f>BA129*SQRT(BC129)</f>
        <v>99.765603792088584</v>
      </c>
      <c r="BC129">
        <v>13</v>
      </c>
      <c r="BD129">
        <v>880.16669999999999</v>
      </c>
      <c r="BE129">
        <v>880.16666669999995</v>
      </c>
      <c r="BF129">
        <v>39.241799999999998</v>
      </c>
      <c r="BG129">
        <f>BF129*SQRT(BH129)</f>
        <v>135.93758276091273</v>
      </c>
      <c r="BH129">
        <v>12</v>
      </c>
      <c r="BI129">
        <v>24</v>
      </c>
      <c r="BJ129">
        <v>6</v>
      </c>
      <c r="BK129">
        <v>0.22570000000000001</v>
      </c>
      <c r="BL129">
        <v>3.5000000000000001E-3</v>
      </c>
    </row>
    <row r="130" spans="1:64" hidden="1" x14ac:dyDescent="0.2">
      <c r="A130">
        <v>171</v>
      </c>
      <c r="C130" t="s">
        <v>549</v>
      </c>
      <c r="D130" t="s">
        <v>54</v>
      </c>
      <c r="E130">
        <v>2015</v>
      </c>
      <c r="F130" t="s">
        <v>198</v>
      </c>
      <c r="G130" t="s">
        <v>199</v>
      </c>
      <c r="H130" t="s">
        <v>57</v>
      </c>
      <c r="K130" t="s">
        <v>79</v>
      </c>
      <c r="L130" t="s">
        <v>200</v>
      </c>
      <c r="M130" t="s">
        <v>81</v>
      </c>
      <c r="N130" t="s">
        <v>81</v>
      </c>
      <c r="O130" t="s">
        <v>62</v>
      </c>
      <c r="P130" t="s">
        <v>82</v>
      </c>
      <c r="Q130" t="s">
        <v>64</v>
      </c>
      <c r="R130" t="s">
        <v>65</v>
      </c>
      <c r="S130" t="s">
        <v>74</v>
      </c>
      <c r="T130" t="s">
        <v>64</v>
      </c>
      <c r="U130" t="s">
        <v>75</v>
      </c>
      <c r="V130">
        <v>422.07</v>
      </c>
      <c r="W130" t="s">
        <v>67</v>
      </c>
      <c r="X130">
        <v>16.57</v>
      </c>
      <c r="Y130" t="s">
        <v>96</v>
      </c>
      <c r="Z130">
        <v>8.1</v>
      </c>
      <c r="AA130" t="s">
        <v>67</v>
      </c>
      <c r="AB130">
        <v>0.05</v>
      </c>
      <c r="AC130">
        <v>414.68</v>
      </c>
      <c r="AD130" t="s">
        <v>67</v>
      </c>
      <c r="AE130">
        <v>5.22</v>
      </c>
      <c r="AF130">
        <v>8.1</v>
      </c>
      <c r="AG130" t="s">
        <v>67</v>
      </c>
      <c r="AH130">
        <v>0.05</v>
      </c>
      <c r="AI130">
        <v>15</v>
      </c>
      <c r="AJ130" t="s">
        <v>67</v>
      </c>
      <c r="AK130">
        <v>0.5</v>
      </c>
      <c r="AL130">
        <v>18</v>
      </c>
      <c r="AM130" t="s">
        <v>67</v>
      </c>
      <c r="AN130">
        <v>0.5</v>
      </c>
      <c r="AO130">
        <v>-7</v>
      </c>
      <c r="AP130">
        <v>3</v>
      </c>
      <c r="AQ130" t="s">
        <v>201</v>
      </c>
      <c r="AR130" t="s">
        <v>11</v>
      </c>
      <c r="AS130" t="s">
        <v>202</v>
      </c>
      <c r="AT130" t="s">
        <v>135</v>
      </c>
      <c r="AU130" t="s">
        <v>203</v>
      </c>
      <c r="AV130" t="s">
        <v>11</v>
      </c>
      <c r="AW130" t="s">
        <v>11</v>
      </c>
      <c r="AX130" t="s">
        <v>73</v>
      </c>
      <c r="AY130">
        <v>179.2388</v>
      </c>
      <c r="AZ130">
        <v>179.23875000000001</v>
      </c>
      <c r="BA130">
        <v>2.77</v>
      </c>
      <c r="BC130">
        <v>24</v>
      </c>
      <c r="BD130">
        <v>126.64360000000001</v>
      </c>
      <c r="BE130">
        <v>126.6435986</v>
      </c>
      <c r="BF130">
        <v>2.0760999999999998</v>
      </c>
      <c r="BH130">
        <v>24</v>
      </c>
      <c r="BI130">
        <v>127</v>
      </c>
      <c r="BJ130">
        <v>5</v>
      </c>
      <c r="BK130">
        <v>-0.3473</v>
      </c>
      <c r="BL130">
        <v>5.0000000000000001E-4</v>
      </c>
    </row>
    <row r="131" spans="1:64" x14ac:dyDescent="0.2">
      <c r="A131">
        <v>178</v>
      </c>
      <c r="B131" t="str">
        <f>ROW()-1&amp;"_AltersFish"</f>
        <v>130_AltersFish</v>
      </c>
      <c r="C131" t="str">
        <f>A131 &amp; "_" &amp; P131 &amp; "_" &amp;
SUBSTITUTE(TRIM(L131)," ","_") &amp;
"_pH" &amp; TEXT(Z131,"0.00") &amp;
"_T" &amp; TEXT(AI131,"0.00") &amp;
"_CO2" &amp; TEXT(V131,"0") &amp;
"_LANG"</f>
        <v>178_LARVA_Seriola_lalandi_pH8.00_T21.10_CO2462_LANG</v>
      </c>
      <c r="D131" t="s">
        <v>54</v>
      </c>
      <c r="E131">
        <v>2018</v>
      </c>
      <c r="F131" t="s">
        <v>308</v>
      </c>
      <c r="G131" t="s">
        <v>77</v>
      </c>
      <c r="H131" t="s">
        <v>78</v>
      </c>
      <c r="I131" t="s">
        <v>540</v>
      </c>
      <c r="J131" t="s">
        <v>543</v>
      </c>
      <c r="K131" t="s">
        <v>79</v>
      </c>
      <c r="L131" t="s">
        <v>155</v>
      </c>
      <c r="M131" t="s">
        <v>156</v>
      </c>
      <c r="N131" t="s">
        <v>156</v>
      </c>
      <c r="O131" t="s">
        <v>106</v>
      </c>
      <c r="P131" t="s">
        <v>107</v>
      </c>
      <c r="Q131" t="s">
        <v>64</v>
      </c>
      <c r="R131" t="s">
        <v>83</v>
      </c>
      <c r="S131" t="s">
        <v>64</v>
      </c>
      <c r="T131" t="s">
        <v>74</v>
      </c>
      <c r="U131" t="s">
        <v>84</v>
      </c>
      <c r="V131">
        <v>462</v>
      </c>
      <c r="W131" t="s">
        <v>67</v>
      </c>
      <c r="X131">
        <v>43</v>
      </c>
      <c r="Y131" t="s">
        <v>157</v>
      </c>
      <c r="Z131">
        <v>8</v>
      </c>
      <c r="AA131" t="s">
        <v>67</v>
      </c>
      <c r="AB131">
        <v>0.03</v>
      </c>
      <c r="AC131">
        <v>960</v>
      </c>
      <c r="AD131" t="s">
        <v>67</v>
      </c>
      <c r="AE131">
        <v>57</v>
      </c>
      <c r="AF131">
        <v>7.72</v>
      </c>
      <c r="AG131" t="s">
        <v>67</v>
      </c>
      <c r="AH131">
        <v>0.03</v>
      </c>
      <c r="AI131">
        <v>21.1</v>
      </c>
      <c r="AJ131" t="s">
        <v>67</v>
      </c>
      <c r="AK131">
        <v>0.1</v>
      </c>
      <c r="AL131">
        <v>21.1</v>
      </c>
      <c r="AM131" t="s">
        <v>67</v>
      </c>
      <c r="AN131">
        <v>0.1</v>
      </c>
      <c r="AO131">
        <v>498</v>
      </c>
      <c r="AP131">
        <v>0</v>
      </c>
      <c r="AQ131" t="s">
        <v>67</v>
      </c>
      <c r="AR131" t="s">
        <v>323</v>
      </c>
      <c r="AS131" t="s">
        <v>134</v>
      </c>
      <c r="AT131" t="s">
        <v>135</v>
      </c>
      <c r="AU131" t="s">
        <v>324</v>
      </c>
      <c r="AV131" t="s">
        <v>137</v>
      </c>
      <c r="AW131" t="s">
        <v>132</v>
      </c>
      <c r="AX131" t="s">
        <v>73</v>
      </c>
      <c r="AY131">
        <v>702.33330000000001</v>
      </c>
      <c r="AZ131">
        <v>702.33333000000005</v>
      </c>
      <c r="BA131">
        <v>27.67</v>
      </c>
      <c r="BB131">
        <f>BA131*SQRT(BC131)</f>
        <v>99.765603792088584</v>
      </c>
      <c r="BC131">
        <v>13</v>
      </c>
      <c r="BD131">
        <v>866.61540000000002</v>
      </c>
      <c r="BE131">
        <v>866.61538459999997</v>
      </c>
      <c r="BF131">
        <v>39.619399999999999</v>
      </c>
      <c r="BG131">
        <f>BF131*SQRT(BH131)</f>
        <v>142.84977820311798</v>
      </c>
      <c r="BH131">
        <v>13</v>
      </c>
      <c r="BI131">
        <v>24</v>
      </c>
      <c r="BJ131">
        <v>6</v>
      </c>
      <c r="BK131">
        <v>0.2102</v>
      </c>
      <c r="BL131">
        <v>3.5999999999999999E-3</v>
      </c>
    </row>
    <row r="132" spans="1:64" x14ac:dyDescent="0.2">
      <c r="A132">
        <v>178</v>
      </c>
      <c r="B132" t="str">
        <f>ROW()-1&amp;"_AltersFish"</f>
        <v>131_AltersFish</v>
      </c>
      <c r="C132" t="str">
        <f>A132 &amp; "_" &amp; P132 &amp; "_" &amp;
SUBSTITUTE(TRIM(L132)," ","_") &amp;
"_pH" &amp; TEXT(Z132,"0.00") &amp;
"_T" &amp; TEXT(AI132,"0.00") &amp;
"_CO2" &amp; TEXT(V132,"0") &amp;
"_LANG"</f>
        <v>178_LARVA_Seriola_lalandi_pH8.00_T21.10_CO2462_LANG</v>
      </c>
      <c r="D132" t="s">
        <v>54</v>
      </c>
      <c r="E132">
        <v>2018</v>
      </c>
      <c r="F132" t="s">
        <v>308</v>
      </c>
      <c r="G132" t="s">
        <v>77</v>
      </c>
      <c r="H132" t="s">
        <v>78</v>
      </c>
      <c r="I132" t="s">
        <v>540</v>
      </c>
      <c r="J132" t="s">
        <v>543</v>
      </c>
      <c r="K132" t="s">
        <v>79</v>
      </c>
      <c r="L132" t="s">
        <v>155</v>
      </c>
      <c r="M132" t="s">
        <v>156</v>
      </c>
      <c r="N132" t="s">
        <v>156</v>
      </c>
      <c r="O132" t="s">
        <v>106</v>
      </c>
      <c r="P132" t="s">
        <v>107</v>
      </c>
      <c r="Q132" t="s">
        <v>64</v>
      </c>
      <c r="R132" t="s">
        <v>83</v>
      </c>
      <c r="S132" t="s">
        <v>64</v>
      </c>
      <c r="T132" t="s">
        <v>64</v>
      </c>
      <c r="U132" t="s">
        <v>66</v>
      </c>
      <c r="V132">
        <v>462</v>
      </c>
      <c r="W132" t="s">
        <v>67</v>
      </c>
      <c r="X132">
        <v>43</v>
      </c>
      <c r="Y132" t="s">
        <v>157</v>
      </c>
      <c r="Z132">
        <v>8</v>
      </c>
      <c r="AA132" t="s">
        <v>67</v>
      </c>
      <c r="AB132">
        <v>0.03</v>
      </c>
      <c r="AC132">
        <v>1011</v>
      </c>
      <c r="AD132" t="s">
        <v>67</v>
      </c>
      <c r="AE132">
        <v>30</v>
      </c>
      <c r="AF132">
        <v>7.7</v>
      </c>
      <c r="AG132" t="s">
        <v>67</v>
      </c>
      <c r="AH132">
        <v>0.01</v>
      </c>
      <c r="AI132">
        <v>21.1</v>
      </c>
      <c r="AJ132" t="s">
        <v>67</v>
      </c>
      <c r="AK132">
        <v>0.1</v>
      </c>
      <c r="AL132">
        <v>24.9</v>
      </c>
      <c r="AM132" t="s">
        <v>67</v>
      </c>
      <c r="AN132">
        <v>0.4</v>
      </c>
      <c r="AO132">
        <v>549</v>
      </c>
      <c r="AP132">
        <v>3.8</v>
      </c>
      <c r="AQ132" t="s">
        <v>67</v>
      </c>
      <c r="AR132" t="s">
        <v>323</v>
      </c>
      <c r="AS132" t="s">
        <v>134</v>
      </c>
      <c r="AT132" t="s">
        <v>135</v>
      </c>
      <c r="AU132" t="s">
        <v>324</v>
      </c>
      <c r="AV132" t="s">
        <v>137</v>
      </c>
      <c r="AW132" t="s">
        <v>132</v>
      </c>
      <c r="AX132" t="s">
        <v>73</v>
      </c>
      <c r="AY132">
        <v>702.33330000000001</v>
      </c>
      <c r="AZ132">
        <v>702.33333000000005</v>
      </c>
      <c r="BA132">
        <v>27.67</v>
      </c>
      <c r="BB132">
        <f>BA132*SQRT(BC132)</f>
        <v>99.765603792088584</v>
      </c>
      <c r="BC132">
        <v>13</v>
      </c>
      <c r="BD132">
        <v>858</v>
      </c>
      <c r="BE132">
        <v>858</v>
      </c>
      <c r="BF132">
        <v>56.5762</v>
      </c>
      <c r="BG132">
        <f>BF132*SQRT(BH132)</f>
        <v>178.90965335721828</v>
      </c>
      <c r="BH132">
        <v>10</v>
      </c>
      <c r="BI132">
        <v>24</v>
      </c>
      <c r="BJ132">
        <v>6</v>
      </c>
      <c r="BK132">
        <v>0.20019999999999999</v>
      </c>
      <c r="BL132">
        <v>5.8999999999999999E-3</v>
      </c>
    </row>
    <row r="133" spans="1:64" hidden="1" x14ac:dyDescent="0.2">
      <c r="A133">
        <v>170</v>
      </c>
      <c r="C133" t="s">
        <v>549</v>
      </c>
      <c r="D133" t="s">
        <v>54</v>
      </c>
      <c r="E133">
        <v>2014</v>
      </c>
      <c r="F133" t="s">
        <v>55</v>
      </c>
      <c r="G133" t="s">
        <v>56</v>
      </c>
      <c r="H133" t="s">
        <v>57</v>
      </c>
      <c r="K133" t="s">
        <v>58</v>
      </c>
      <c r="L133" t="s">
        <v>59</v>
      </c>
      <c r="M133" t="s">
        <v>60</v>
      </c>
      <c r="N133" t="s">
        <v>61</v>
      </c>
      <c r="O133" t="s">
        <v>62</v>
      </c>
      <c r="P133" t="s">
        <v>82</v>
      </c>
      <c r="Q133" t="s">
        <v>64</v>
      </c>
      <c r="R133" t="s">
        <v>65</v>
      </c>
      <c r="S133" t="s">
        <v>64</v>
      </c>
      <c r="T133" t="s">
        <v>74</v>
      </c>
      <c r="U133" t="s">
        <v>84</v>
      </c>
      <c r="V133">
        <v>371.86</v>
      </c>
      <c r="W133" t="s">
        <v>67</v>
      </c>
      <c r="X133">
        <v>51.93</v>
      </c>
      <c r="Y133" t="s">
        <v>68</v>
      </c>
      <c r="Z133">
        <v>8.02</v>
      </c>
      <c r="AA133" t="s">
        <v>67</v>
      </c>
      <c r="AB133">
        <v>0.05</v>
      </c>
      <c r="AC133">
        <v>1383.81</v>
      </c>
      <c r="AD133" t="s">
        <v>67</v>
      </c>
      <c r="AE133">
        <v>113.55</v>
      </c>
      <c r="AF133">
        <v>7.52</v>
      </c>
      <c r="AG133" t="s">
        <v>67</v>
      </c>
      <c r="AH133">
        <v>0.04</v>
      </c>
      <c r="AI133">
        <v>25.9</v>
      </c>
      <c r="AJ133" t="s">
        <v>67</v>
      </c>
      <c r="AK133">
        <v>0.7</v>
      </c>
      <c r="AL133">
        <v>26.2</v>
      </c>
      <c r="AM133" t="s">
        <v>67</v>
      </c>
      <c r="AN133">
        <v>0.5</v>
      </c>
      <c r="AO133">
        <v>1012</v>
      </c>
      <c r="AP133">
        <v>0.3</v>
      </c>
      <c r="AQ133" t="s">
        <v>67</v>
      </c>
      <c r="AR133" t="s">
        <v>113</v>
      </c>
      <c r="AS133" t="s">
        <v>113</v>
      </c>
      <c r="AT133" t="s">
        <v>70</v>
      </c>
      <c r="AU133" t="s">
        <v>139</v>
      </c>
      <c r="AV133" t="s">
        <v>72</v>
      </c>
      <c r="AW133" t="s">
        <v>72</v>
      </c>
      <c r="AX133" t="s">
        <v>73</v>
      </c>
      <c r="AY133">
        <v>1.2776000000000001</v>
      </c>
      <c r="AZ133">
        <v>1.2775700000000001</v>
      </c>
      <c r="BA133">
        <v>0.02</v>
      </c>
      <c r="BC133">
        <v>5</v>
      </c>
      <c r="BD133">
        <v>1.2606999999999999</v>
      </c>
      <c r="BE133">
        <v>1.2607476639999999</v>
      </c>
      <c r="BF133">
        <v>2.3099999999999999E-2</v>
      </c>
      <c r="BH133">
        <v>5</v>
      </c>
      <c r="BI133">
        <v>90</v>
      </c>
      <c r="BJ133">
        <v>3</v>
      </c>
      <c r="BK133">
        <v>-1.3299999999999999E-2</v>
      </c>
      <c r="BL133">
        <v>5.0000000000000001E-4</v>
      </c>
    </row>
    <row r="134" spans="1:64" hidden="1" x14ac:dyDescent="0.2">
      <c r="A134">
        <v>161</v>
      </c>
      <c r="D134" t="s">
        <v>54</v>
      </c>
      <c r="E134">
        <v>2019</v>
      </c>
      <c r="F134" t="s">
        <v>174</v>
      </c>
      <c r="G134" t="s">
        <v>175</v>
      </c>
      <c r="H134" t="s">
        <v>78</v>
      </c>
      <c r="K134" t="s">
        <v>79</v>
      </c>
      <c r="L134" t="s">
        <v>176</v>
      </c>
      <c r="M134" t="s">
        <v>81</v>
      </c>
      <c r="N134" t="s">
        <v>81</v>
      </c>
      <c r="O134" t="s">
        <v>62</v>
      </c>
      <c r="P134" t="s">
        <v>63</v>
      </c>
      <c r="Q134" t="s">
        <v>74</v>
      </c>
      <c r="R134" t="s">
        <v>83</v>
      </c>
      <c r="S134" t="s">
        <v>64</v>
      </c>
      <c r="T134" t="s">
        <v>74</v>
      </c>
      <c r="U134" t="s">
        <v>84</v>
      </c>
      <c r="V134">
        <v>489</v>
      </c>
      <c r="W134" t="s">
        <v>67</v>
      </c>
      <c r="X134">
        <v>54</v>
      </c>
      <c r="Y134" t="s">
        <v>67</v>
      </c>
      <c r="Z134">
        <v>8.01</v>
      </c>
      <c r="AA134" t="s">
        <v>67</v>
      </c>
      <c r="AB134">
        <v>0.12</v>
      </c>
      <c r="AC134">
        <v>1536</v>
      </c>
      <c r="AD134" t="s">
        <v>67</v>
      </c>
      <c r="AE134">
        <v>91</v>
      </c>
      <c r="AF134">
        <v>7.63</v>
      </c>
      <c r="AG134" t="s">
        <v>67</v>
      </c>
      <c r="AH134">
        <v>0.22</v>
      </c>
      <c r="AI134">
        <v>19.600000000000001</v>
      </c>
      <c r="AJ134" t="s">
        <v>67</v>
      </c>
      <c r="AK134">
        <v>0.5</v>
      </c>
      <c r="AL134">
        <v>19.399999999999999</v>
      </c>
      <c r="AM134" t="s">
        <v>67</v>
      </c>
      <c r="AN134">
        <v>0.4</v>
      </c>
      <c r="AO134">
        <v>1047</v>
      </c>
      <c r="AP134">
        <v>-0.2</v>
      </c>
      <c r="AQ134" t="s">
        <v>67</v>
      </c>
      <c r="AR134" t="s">
        <v>177</v>
      </c>
      <c r="AS134" t="s">
        <v>178</v>
      </c>
      <c r="AT134" t="s">
        <v>70</v>
      </c>
      <c r="AU134" t="s">
        <v>179</v>
      </c>
      <c r="AV134" t="s">
        <v>132</v>
      </c>
      <c r="AX134" t="s">
        <v>73</v>
      </c>
      <c r="AY134">
        <v>82.4</v>
      </c>
      <c r="AZ134">
        <v>82.4</v>
      </c>
      <c r="BA134">
        <v>0.76</v>
      </c>
      <c r="BC134">
        <v>5</v>
      </c>
      <c r="BD134">
        <v>79.8</v>
      </c>
      <c r="BE134">
        <v>79.8</v>
      </c>
      <c r="BF134">
        <v>1.7441</v>
      </c>
      <c r="BH134">
        <v>5</v>
      </c>
      <c r="BI134">
        <v>28</v>
      </c>
      <c r="BJ134">
        <v>3</v>
      </c>
      <c r="BK134">
        <v>-3.2099999999999997E-2</v>
      </c>
      <c r="BL134">
        <v>5.9999999999999995E-4</v>
      </c>
    </row>
    <row r="135" spans="1:64" hidden="1" x14ac:dyDescent="0.2">
      <c r="A135">
        <v>161</v>
      </c>
      <c r="D135" t="s">
        <v>54</v>
      </c>
      <c r="E135">
        <v>2019</v>
      </c>
      <c r="F135" t="s">
        <v>174</v>
      </c>
      <c r="G135" t="s">
        <v>175</v>
      </c>
      <c r="H135" t="s">
        <v>78</v>
      </c>
      <c r="K135" t="s">
        <v>79</v>
      </c>
      <c r="L135" t="s">
        <v>176</v>
      </c>
      <c r="M135" t="s">
        <v>81</v>
      </c>
      <c r="N135" t="s">
        <v>81</v>
      </c>
      <c r="O135" t="s">
        <v>62</v>
      </c>
      <c r="P135" t="s">
        <v>63</v>
      </c>
      <c r="Q135" t="s">
        <v>74</v>
      </c>
      <c r="R135" t="s">
        <v>83</v>
      </c>
      <c r="S135" t="s">
        <v>64</v>
      </c>
      <c r="T135" t="s">
        <v>74</v>
      </c>
      <c r="U135" t="s">
        <v>84</v>
      </c>
      <c r="V135">
        <v>489</v>
      </c>
      <c r="W135" t="s">
        <v>67</v>
      </c>
      <c r="X135">
        <v>54</v>
      </c>
      <c r="Y135" t="s">
        <v>67</v>
      </c>
      <c r="Z135">
        <v>8.01</v>
      </c>
      <c r="AA135" t="s">
        <v>67</v>
      </c>
      <c r="AB135">
        <v>0.12</v>
      </c>
      <c r="AC135">
        <v>1536</v>
      </c>
      <c r="AD135" t="s">
        <v>67</v>
      </c>
      <c r="AE135">
        <v>91</v>
      </c>
      <c r="AF135">
        <v>7.63</v>
      </c>
      <c r="AG135" t="s">
        <v>67</v>
      </c>
      <c r="AH135">
        <v>0.22</v>
      </c>
      <c r="AI135">
        <v>19.600000000000001</v>
      </c>
      <c r="AJ135" t="s">
        <v>67</v>
      </c>
      <c r="AK135">
        <v>0.5</v>
      </c>
      <c r="AL135">
        <v>19.399999999999999</v>
      </c>
      <c r="AM135" t="s">
        <v>67</v>
      </c>
      <c r="AN135">
        <v>0.4</v>
      </c>
      <c r="AO135">
        <v>1047</v>
      </c>
      <c r="AP135">
        <v>-0.2</v>
      </c>
      <c r="AQ135" t="s">
        <v>67</v>
      </c>
      <c r="AR135" t="s">
        <v>177</v>
      </c>
      <c r="AS135" t="s">
        <v>178</v>
      </c>
      <c r="AT135" t="s">
        <v>70</v>
      </c>
      <c r="AU135" t="s">
        <v>179</v>
      </c>
      <c r="AV135" t="s">
        <v>132</v>
      </c>
      <c r="AX135" t="s">
        <v>73</v>
      </c>
      <c r="AY135">
        <v>82.4</v>
      </c>
      <c r="AZ135">
        <v>82.4</v>
      </c>
      <c r="BA135">
        <v>0.76</v>
      </c>
      <c r="BC135">
        <v>5</v>
      </c>
      <c r="BD135">
        <v>79.8</v>
      </c>
      <c r="BE135">
        <v>79.8</v>
      </c>
      <c r="BF135">
        <v>1.7441</v>
      </c>
      <c r="BH135">
        <v>5</v>
      </c>
      <c r="BI135">
        <v>28</v>
      </c>
      <c r="BJ135">
        <v>3</v>
      </c>
      <c r="BK135">
        <v>-3.2099999999999997E-2</v>
      </c>
      <c r="BL135">
        <v>5.9999999999999995E-4</v>
      </c>
    </row>
    <row r="136" spans="1:64" x14ac:dyDescent="0.2">
      <c r="A136">
        <v>178</v>
      </c>
      <c r="B136" t="str">
        <f>ROW()-1&amp;"_AltersFish"</f>
        <v>135_AltersFish</v>
      </c>
      <c r="C136" t="str">
        <f>A136 &amp; "_" &amp; P136 &amp; "_" &amp;
SUBSTITUTE(TRIM(L136)," ","_") &amp;
"_pH" &amp; TEXT(Z136,"0.00") &amp;
"_T" &amp; TEXT(AI136,"0.00") &amp;
"_CO2" &amp; TEXT(V136,"0") &amp;
"_LANG"</f>
        <v>178_LARVA_Seriola_lalandi_pH8.00_T21.10_CO2462_LANG</v>
      </c>
      <c r="D136" t="s">
        <v>54</v>
      </c>
      <c r="E136">
        <v>2018</v>
      </c>
      <c r="F136" t="s">
        <v>308</v>
      </c>
      <c r="G136" t="s">
        <v>77</v>
      </c>
      <c r="H136" t="s">
        <v>78</v>
      </c>
      <c r="I136" t="s">
        <v>540</v>
      </c>
      <c r="J136" t="s">
        <v>543</v>
      </c>
      <c r="K136" t="s">
        <v>79</v>
      </c>
      <c r="L136" t="s">
        <v>155</v>
      </c>
      <c r="M136" t="s">
        <v>156</v>
      </c>
      <c r="N136" t="s">
        <v>156</v>
      </c>
      <c r="O136" t="s">
        <v>106</v>
      </c>
      <c r="P136" t="s">
        <v>107</v>
      </c>
      <c r="Q136" t="s">
        <v>64</v>
      </c>
      <c r="R136" t="s">
        <v>83</v>
      </c>
      <c r="S136" t="s">
        <v>64</v>
      </c>
      <c r="T136" t="s">
        <v>74</v>
      </c>
      <c r="U136" t="s">
        <v>84</v>
      </c>
      <c r="V136">
        <v>462</v>
      </c>
      <c r="W136" t="s">
        <v>67</v>
      </c>
      <c r="X136">
        <v>43</v>
      </c>
      <c r="Y136" t="s">
        <v>157</v>
      </c>
      <c r="Z136">
        <v>8</v>
      </c>
      <c r="AA136" t="s">
        <v>67</v>
      </c>
      <c r="AB136">
        <v>0.03</v>
      </c>
      <c r="AC136">
        <v>960</v>
      </c>
      <c r="AD136" t="s">
        <v>67</v>
      </c>
      <c r="AE136">
        <v>57</v>
      </c>
      <c r="AF136">
        <v>7.72</v>
      </c>
      <c r="AG136" t="s">
        <v>67</v>
      </c>
      <c r="AH136">
        <v>0.03</v>
      </c>
      <c r="AI136">
        <v>21.1</v>
      </c>
      <c r="AJ136" t="s">
        <v>67</v>
      </c>
      <c r="AK136">
        <v>0.1</v>
      </c>
      <c r="AL136">
        <v>21.1</v>
      </c>
      <c r="AM136" t="s">
        <v>67</v>
      </c>
      <c r="AN136">
        <v>0.1</v>
      </c>
      <c r="AO136">
        <v>498</v>
      </c>
      <c r="AP136">
        <v>0</v>
      </c>
      <c r="AQ136" t="s">
        <v>67</v>
      </c>
      <c r="AR136" t="s">
        <v>360</v>
      </c>
      <c r="AS136" t="s">
        <v>361</v>
      </c>
      <c r="AT136" t="s">
        <v>70</v>
      </c>
      <c r="AU136" t="s">
        <v>324</v>
      </c>
      <c r="AV136" t="s">
        <v>363</v>
      </c>
      <c r="AW136" t="s">
        <v>132</v>
      </c>
      <c r="AX136" t="s">
        <v>73</v>
      </c>
      <c r="AY136">
        <v>1046.75</v>
      </c>
      <c r="AZ136">
        <v>1046.75</v>
      </c>
      <c r="BA136">
        <v>89.52</v>
      </c>
      <c r="BB136">
        <f>BA136*SQRT(BC136)</f>
        <v>322.76895017953632</v>
      </c>
      <c r="BC136">
        <v>13</v>
      </c>
      <c r="BD136">
        <v>884.30769999999995</v>
      </c>
      <c r="BE136">
        <v>884.30769229999999</v>
      </c>
      <c r="BF136">
        <v>65.804100000000005</v>
      </c>
      <c r="BG136">
        <f>BF136*SQRT(BH136)</f>
        <v>237.26005668575991</v>
      </c>
      <c r="BH136">
        <v>13</v>
      </c>
      <c r="BI136">
        <v>24</v>
      </c>
      <c r="BJ136">
        <v>6</v>
      </c>
      <c r="BK136">
        <v>-0.1686</v>
      </c>
      <c r="BL136">
        <v>1.29E-2</v>
      </c>
    </row>
    <row r="137" spans="1:64" hidden="1" x14ac:dyDescent="0.2">
      <c r="A137">
        <v>139</v>
      </c>
      <c r="D137" t="s">
        <v>54</v>
      </c>
      <c r="E137">
        <v>2018</v>
      </c>
      <c r="F137" t="s">
        <v>214</v>
      </c>
      <c r="G137" t="s">
        <v>154</v>
      </c>
      <c r="H137" t="s">
        <v>78</v>
      </c>
      <c r="K137" t="s">
        <v>194</v>
      </c>
      <c r="L137" t="s">
        <v>215</v>
      </c>
      <c r="M137" t="s">
        <v>120</v>
      </c>
      <c r="N137" t="s">
        <v>120</v>
      </c>
      <c r="O137" t="s">
        <v>62</v>
      </c>
      <c r="P137" t="s">
        <v>63</v>
      </c>
      <c r="Q137" t="s">
        <v>64</v>
      </c>
      <c r="R137" t="s">
        <v>83</v>
      </c>
      <c r="S137" t="s">
        <v>64</v>
      </c>
      <c r="T137" t="s">
        <v>64</v>
      </c>
      <c r="U137" t="s">
        <v>66</v>
      </c>
      <c r="V137">
        <v>458</v>
      </c>
      <c r="W137" t="s">
        <v>67</v>
      </c>
      <c r="X137">
        <v>30</v>
      </c>
      <c r="Y137" t="s">
        <v>68</v>
      </c>
      <c r="Z137">
        <v>7.98</v>
      </c>
      <c r="AA137" t="s">
        <v>67</v>
      </c>
      <c r="AB137">
        <v>0.03</v>
      </c>
      <c r="AC137">
        <v>958</v>
      </c>
      <c r="AD137" t="s">
        <v>67</v>
      </c>
      <c r="AE137">
        <v>33</v>
      </c>
      <c r="AF137">
        <v>7.7</v>
      </c>
      <c r="AG137" t="s">
        <v>67</v>
      </c>
      <c r="AH137">
        <v>0.01</v>
      </c>
      <c r="AI137">
        <v>-1</v>
      </c>
      <c r="AJ137" t="s">
        <v>67</v>
      </c>
      <c r="AK137">
        <v>0.1</v>
      </c>
      <c r="AL137">
        <v>2.2000000000000002</v>
      </c>
      <c r="AM137" t="s">
        <v>67</v>
      </c>
      <c r="AN137">
        <v>0.1</v>
      </c>
      <c r="AO137">
        <v>500</v>
      </c>
      <c r="AP137">
        <v>3.2</v>
      </c>
      <c r="AQ137" t="s">
        <v>67</v>
      </c>
      <c r="AR137" t="s">
        <v>216</v>
      </c>
      <c r="AS137" t="s">
        <v>166</v>
      </c>
      <c r="AT137" t="s">
        <v>135</v>
      </c>
      <c r="AU137" t="s">
        <v>217</v>
      </c>
      <c r="AV137" t="s">
        <v>132</v>
      </c>
      <c r="AX137" t="s">
        <v>73</v>
      </c>
      <c r="AY137">
        <v>33.409999999999997</v>
      </c>
      <c r="AZ137">
        <v>33.409999999999997</v>
      </c>
      <c r="BA137">
        <v>0.7</v>
      </c>
      <c r="BC137">
        <v>10</v>
      </c>
      <c r="BD137">
        <v>38.92</v>
      </c>
      <c r="BE137">
        <v>38.92</v>
      </c>
      <c r="BF137">
        <v>0.51</v>
      </c>
      <c r="BH137">
        <v>12</v>
      </c>
      <c r="BI137">
        <v>28</v>
      </c>
      <c r="BJ137">
        <v>3</v>
      </c>
      <c r="BK137">
        <v>0.1527</v>
      </c>
      <c r="BL137">
        <v>5.9999999999999995E-4</v>
      </c>
    </row>
    <row r="138" spans="1:64" hidden="1" x14ac:dyDescent="0.2">
      <c r="A138">
        <v>142</v>
      </c>
      <c r="D138" t="s">
        <v>54</v>
      </c>
      <c r="E138">
        <v>2017</v>
      </c>
      <c r="F138" t="s">
        <v>193</v>
      </c>
      <c r="G138" t="s">
        <v>181</v>
      </c>
      <c r="H138" t="s">
        <v>78</v>
      </c>
      <c r="K138" t="s">
        <v>194</v>
      </c>
      <c r="L138" t="s">
        <v>195</v>
      </c>
      <c r="M138" t="s">
        <v>120</v>
      </c>
      <c r="N138" t="s">
        <v>120</v>
      </c>
      <c r="O138" t="s">
        <v>106</v>
      </c>
      <c r="P138" t="s">
        <v>196</v>
      </c>
      <c r="Q138" t="s">
        <v>64</v>
      </c>
      <c r="R138" t="s">
        <v>83</v>
      </c>
      <c r="S138" t="s">
        <v>64</v>
      </c>
      <c r="T138" t="s">
        <v>74</v>
      </c>
      <c r="U138" t="s">
        <v>84</v>
      </c>
      <c r="V138">
        <v>439</v>
      </c>
      <c r="W138">
        <v>16.079999999999998</v>
      </c>
      <c r="X138" t="s">
        <v>67</v>
      </c>
      <c r="Y138" t="s">
        <v>67</v>
      </c>
      <c r="Z138" t="s">
        <v>67</v>
      </c>
      <c r="AA138" t="s">
        <v>67</v>
      </c>
      <c r="AB138" t="s">
        <v>67</v>
      </c>
      <c r="AC138">
        <v>954</v>
      </c>
      <c r="AD138">
        <v>50.38</v>
      </c>
      <c r="AE138" t="s">
        <v>67</v>
      </c>
      <c r="AF138" t="s">
        <v>67</v>
      </c>
      <c r="AG138" t="s">
        <v>67</v>
      </c>
      <c r="AH138" t="s">
        <v>67</v>
      </c>
      <c r="AI138">
        <v>-0.6</v>
      </c>
      <c r="AJ138">
        <v>0.17</v>
      </c>
      <c r="AK138" t="s">
        <v>67</v>
      </c>
      <c r="AL138">
        <v>-0.5</v>
      </c>
      <c r="AM138">
        <v>0.16</v>
      </c>
      <c r="AN138" t="s">
        <v>67</v>
      </c>
      <c r="AO138">
        <v>515</v>
      </c>
      <c r="AP138">
        <v>0.2</v>
      </c>
      <c r="AQ138" t="s">
        <v>67</v>
      </c>
      <c r="AR138" t="s">
        <v>69</v>
      </c>
      <c r="AS138" t="s">
        <v>69</v>
      </c>
      <c r="AT138" t="s">
        <v>70</v>
      </c>
      <c r="AU138" t="s">
        <v>197</v>
      </c>
      <c r="AV138" t="s">
        <v>72</v>
      </c>
      <c r="AX138" t="s">
        <v>73</v>
      </c>
      <c r="AY138">
        <v>0.90200000000000002</v>
      </c>
      <c r="AZ138">
        <v>0.90200000000000002</v>
      </c>
      <c r="BA138">
        <v>0.01</v>
      </c>
      <c r="BC138">
        <v>5</v>
      </c>
      <c r="BD138">
        <v>0.86699999999999999</v>
      </c>
      <c r="BE138">
        <v>0.86699999999999999</v>
      </c>
      <c r="BF138">
        <v>0.02</v>
      </c>
      <c r="BH138">
        <v>5</v>
      </c>
      <c r="BI138">
        <v>56</v>
      </c>
      <c r="BJ138">
        <v>1</v>
      </c>
      <c r="BK138">
        <v>-3.9600000000000003E-2</v>
      </c>
      <c r="BL138">
        <v>6.9999999999999999E-4</v>
      </c>
    </row>
    <row r="139" spans="1:64" hidden="1" x14ac:dyDescent="0.2">
      <c r="A139">
        <v>171</v>
      </c>
      <c r="C139" t="s">
        <v>549</v>
      </c>
      <c r="D139" t="s">
        <v>54</v>
      </c>
      <c r="E139">
        <v>2015</v>
      </c>
      <c r="F139" t="s">
        <v>198</v>
      </c>
      <c r="G139" t="s">
        <v>199</v>
      </c>
      <c r="H139" t="s">
        <v>57</v>
      </c>
      <c r="K139" t="s">
        <v>79</v>
      </c>
      <c r="L139" t="s">
        <v>200</v>
      </c>
      <c r="M139" t="s">
        <v>81</v>
      </c>
      <c r="N139" t="s">
        <v>81</v>
      </c>
      <c r="O139" t="s">
        <v>62</v>
      </c>
      <c r="P139" t="s">
        <v>82</v>
      </c>
      <c r="Q139" t="s">
        <v>64</v>
      </c>
      <c r="R139" t="s">
        <v>65</v>
      </c>
      <c r="S139" t="s">
        <v>64</v>
      </c>
      <c r="T139" t="s">
        <v>64</v>
      </c>
      <c r="U139" t="s">
        <v>66</v>
      </c>
      <c r="V139">
        <v>422.07</v>
      </c>
      <c r="W139" t="s">
        <v>67</v>
      </c>
      <c r="X139">
        <v>16.57</v>
      </c>
      <c r="Y139" t="s">
        <v>96</v>
      </c>
      <c r="Z139">
        <v>8.1</v>
      </c>
      <c r="AA139" t="s">
        <v>67</v>
      </c>
      <c r="AB139">
        <v>0.05</v>
      </c>
      <c r="AC139">
        <v>1078.21</v>
      </c>
      <c r="AD139" t="s">
        <v>67</v>
      </c>
      <c r="AE139">
        <v>53.06</v>
      </c>
      <c r="AF139">
        <v>7.7</v>
      </c>
      <c r="AG139" t="s">
        <v>67</v>
      </c>
      <c r="AH139">
        <v>0.05</v>
      </c>
      <c r="AI139">
        <v>15</v>
      </c>
      <c r="AJ139" t="s">
        <v>67</v>
      </c>
      <c r="AK139">
        <v>0.5</v>
      </c>
      <c r="AL139">
        <v>20</v>
      </c>
      <c r="AM139" t="s">
        <v>67</v>
      </c>
      <c r="AN139">
        <v>0.5</v>
      </c>
      <c r="AO139">
        <v>656</v>
      </c>
      <c r="AP139">
        <v>5</v>
      </c>
      <c r="AQ139" t="s">
        <v>218</v>
      </c>
      <c r="AR139" t="s">
        <v>11</v>
      </c>
      <c r="AS139" t="s">
        <v>202</v>
      </c>
      <c r="AT139" t="s">
        <v>135</v>
      </c>
      <c r="AU139" t="s">
        <v>203</v>
      </c>
      <c r="AV139" t="s">
        <v>11</v>
      </c>
      <c r="AW139" t="s">
        <v>11</v>
      </c>
      <c r="AX139" t="s">
        <v>73</v>
      </c>
      <c r="AY139">
        <v>125.9516</v>
      </c>
      <c r="AZ139">
        <v>125.95156</v>
      </c>
      <c r="BA139">
        <v>2.77</v>
      </c>
      <c r="BC139">
        <v>23</v>
      </c>
      <c r="BD139">
        <v>157.0934</v>
      </c>
      <c r="BE139">
        <v>157.09342559999999</v>
      </c>
      <c r="BF139">
        <v>2.0760999999999998</v>
      </c>
      <c r="BH139">
        <v>23</v>
      </c>
      <c r="BI139">
        <v>157</v>
      </c>
      <c r="BJ139">
        <v>5</v>
      </c>
      <c r="BK139">
        <v>0.22090000000000001</v>
      </c>
      <c r="BL139">
        <v>6.9999999999999999E-4</v>
      </c>
    </row>
    <row r="140" spans="1:64" hidden="1" x14ac:dyDescent="0.2">
      <c r="A140">
        <v>135</v>
      </c>
      <c r="D140" t="s">
        <v>54</v>
      </c>
      <c r="E140">
        <v>2012</v>
      </c>
      <c r="F140" t="s">
        <v>219</v>
      </c>
      <c r="G140" t="s">
        <v>220</v>
      </c>
      <c r="H140" t="s">
        <v>78</v>
      </c>
      <c r="K140" t="s">
        <v>194</v>
      </c>
      <c r="L140" t="s">
        <v>221</v>
      </c>
      <c r="M140" t="s">
        <v>120</v>
      </c>
      <c r="N140" t="s">
        <v>120</v>
      </c>
      <c r="O140" t="s">
        <v>62</v>
      </c>
      <c r="P140" t="s">
        <v>196</v>
      </c>
      <c r="Q140" t="s">
        <v>64</v>
      </c>
      <c r="R140" t="s">
        <v>83</v>
      </c>
      <c r="S140" t="s">
        <v>64</v>
      </c>
      <c r="T140" t="s">
        <v>74</v>
      </c>
      <c r="U140" t="s">
        <v>84</v>
      </c>
      <c r="V140">
        <v>357</v>
      </c>
      <c r="W140">
        <v>18.260000000000002</v>
      </c>
      <c r="X140" t="s">
        <v>67</v>
      </c>
      <c r="Y140" t="s">
        <v>96</v>
      </c>
      <c r="Z140">
        <v>8.25</v>
      </c>
      <c r="AA140">
        <v>0.02</v>
      </c>
      <c r="AB140" t="s">
        <v>67</v>
      </c>
      <c r="AC140">
        <v>2179</v>
      </c>
      <c r="AD140">
        <v>54.5</v>
      </c>
      <c r="AE140" t="s">
        <v>67</v>
      </c>
      <c r="AF140">
        <v>7.46</v>
      </c>
      <c r="AG140">
        <v>0.02</v>
      </c>
      <c r="AH140" t="s">
        <v>67</v>
      </c>
      <c r="AI140">
        <v>1.5</v>
      </c>
      <c r="AJ140">
        <v>0.09</v>
      </c>
      <c r="AK140" t="s">
        <v>67</v>
      </c>
      <c r="AL140">
        <v>1.4</v>
      </c>
      <c r="AM140">
        <v>0.17</v>
      </c>
      <c r="AN140" t="s">
        <v>67</v>
      </c>
      <c r="AO140">
        <v>1822</v>
      </c>
      <c r="AP140">
        <v>-0.1</v>
      </c>
      <c r="AQ140" t="s">
        <v>67</v>
      </c>
      <c r="AR140" t="s">
        <v>222</v>
      </c>
      <c r="AS140" t="s">
        <v>69</v>
      </c>
      <c r="AT140" t="s">
        <v>70</v>
      </c>
      <c r="AU140" t="s">
        <v>67</v>
      </c>
      <c r="AV140" t="s">
        <v>72</v>
      </c>
      <c r="AX140" t="s">
        <v>73</v>
      </c>
      <c r="AY140">
        <v>1.69</v>
      </c>
      <c r="AZ140">
        <v>1.69</v>
      </c>
      <c r="BA140">
        <v>0.03</v>
      </c>
      <c r="BC140">
        <v>9</v>
      </c>
      <c r="BD140">
        <v>1.59</v>
      </c>
      <c r="BE140">
        <v>1.59</v>
      </c>
      <c r="BF140">
        <v>0.03</v>
      </c>
      <c r="BH140">
        <v>10</v>
      </c>
      <c r="BI140">
        <v>32</v>
      </c>
      <c r="BJ140">
        <v>1</v>
      </c>
      <c r="BK140">
        <v>-6.0999999999999999E-2</v>
      </c>
      <c r="BL140">
        <v>6.9999999999999999E-4</v>
      </c>
    </row>
    <row r="141" spans="1:64" hidden="1" x14ac:dyDescent="0.2">
      <c r="A141">
        <v>139</v>
      </c>
      <c r="D141" t="s">
        <v>54</v>
      </c>
      <c r="E141">
        <v>2018</v>
      </c>
      <c r="F141" t="s">
        <v>214</v>
      </c>
      <c r="G141" t="s">
        <v>154</v>
      </c>
      <c r="H141" t="s">
        <v>78</v>
      </c>
      <c r="K141" t="s">
        <v>194</v>
      </c>
      <c r="L141" t="s">
        <v>215</v>
      </c>
      <c r="M141" t="s">
        <v>120</v>
      </c>
      <c r="N141" t="s">
        <v>120</v>
      </c>
      <c r="O141" t="s">
        <v>62</v>
      </c>
      <c r="P141" t="s">
        <v>63</v>
      </c>
      <c r="Q141" t="s">
        <v>64</v>
      </c>
      <c r="R141" t="s">
        <v>83</v>
      </c>
      <c r="S141" t="s">
        <v>64</v>
      </c>
      <c r="T141" t="s">
        <v>74</v>
      </c>
      <c r="U141" t="s">
        <v>84</v>
      </c>
      <c r="V141">
        <v>458</v>
      </c>
      <c r="W141" t="s">
        <v>67</v>
      </c>
      <c r="X141">
        <v>30</v>
      </c>
      <c r="Y141" t="s">
        <v>68</v>
      </c>
      <c r="Z141">
        <v>7.98</v>
      </c>
      <c r="AA141" t="s">
        <v>67</v>
      </c>
      <c r="AB141">
        <v>0.03</v>
      </c>
      <c r="AC141">
        <v>1233</v>
      </c>
      <c r="AD141" t="s">
        <v>67</v>
      </c>
      <c r="AE141">
        <v>40</v>
      </c>
      <c r="AF141">
        <v>7.58</v>
      </c>
      <c r="AG141" t="s">
        <v>67</v>
      </c>
      <c r="AH141">
        <v>0.01</v>
      </c>
      <c r="AI141">
        <v>-1</v>
      </c>
      <c r="AJ141" t="s">
        <v>67</v>
      </c>
      <c r="AK141">
        <v>0.1</v>
      </c>
      <c r="AL141">
        <v>-1</v>
      </c>
      <c r="AM141" t="s">
        <v>67</v>
      </c>
      <c r="AN141">
        <v>0.1</v>
      </c>
      <c r="AO141">
        <v>775</v>
      </c>
      <c r="AP141">
        <v>0</v>
      </c>
      <c r="AQ141" t="s">
        <v>67</v>
      </c>
      <c r="AR141" t="s">
        <v>216</v>
      </c>
      <c r="AS141" t="s">
        <v>166</v>
      </c>
      <c r="AT141" t="s">
        <v>135</v>
      </c>
      <c r="AU141" t="s">
        <v>217</v>
      </c>
      <c r="AV141" t="s">
        <v>132</v>
      </c>
      <c r="AX141" t="s">
        <v>73</v>
      </c>
      <c r="AY141">
        <v>33.409999999999997</v>
      </c>
      <c r="AZ141">
        <v>33.409999999999997</v>
      </c>
      <c r="BA141">
        <v>0.7</v>
      </c>
      <c r="BC141">
        <v>10</v>
      </c>
      <c r="BD141">
        <v>33.22</v>
      </c>
      <c r="BE141">
        <v>33.22</v>
      </c>
      <c r="BF141">
        <v>0.51</v>
      </c>
      <c r="BH141">
        <v>10</v>
      </c>
      <c r="BI141">
        <v>28</v>
      </c>
      <c r="BJ141">
        <v>3</v>
      </c>
      <c r="BK141">
        <v>-5.7000000000000002E-3</v>
      </c>
      <c r="BL141">
        <v>6.9999999999999999E-4</v>
      </c>
    </row>
    <row r="142" spans="1:64" x14ac:dyDescent="0.2">
      <c r="A142">
        <v>178</v>
      </c>
      <c r="B142" t="str">
        <f>ROW()-1&amp;"_AltersFish"</f>
        <v>141_AltersFish</v>
      </c>
      <c r="C142" t="str">
        <f>A142 &amp; "_" &amp; P142 &amp; "_" &amp;
SUBSTITUTE(TRIM(L142)," ","_") &amp;
"_pH" &amp; TEXT(Z142,"0.00") &amp;
"_T" &amp; TEXT(AI142,"0.00") &amp;
"_CO2" &amp; TEXT(V142,"0") &amp;
"_LANG"</f>
        <v>178_LARVA_Seriola_lalandi_pH8.00_T21.10_CO2462_LANG</v>
      </c>
      <c r="D142" t="s">
        <v>54</v>
      </c>
      <c r="E142">
        <v>2018</v>
      </c>
      <c r="F142" t="s">
        <v>308</v>
      </c>
      <c r="G142" t="s">
        <v>77</v>
      </c>
      <c r="H142" t="s">
        <v>78</v>
      </c>
      <c r="I142" t="s">
        <v>540</v>
      </c>
      <c r="J142" t="s">
        <v>543</v>
      </c>
      <c r="K142" t="s">
        <v>79</v>
      </c>
      <c r="L142" t="s">
        <v>155</v>
      </c>
      <c r="M142" t="s">
        <v>156</v>
      </c>
      <c r="N142" t="s">
        <v>156</v>
      </c>
      <c r="O142" t="s">
        <v>106</v>
      </c>
      <c r="P142" t="s">
        <v>107</v>
      </c>
      <c r="Q142" t="s">
        <v>64</v>
      </c>
      <c r="R142" t="s">
        <v>83</v>
      </c>
      <c r="S142" t="s">
        <v>64</v>
      </c>
      <c r="T142" t="s">
        <v>64</v>
      </c>
      <c r="U142" t="s">
        <v>66</v>
      </c>
      <c r="V142">
        <v>462</v>
      </c>
      <c r="W142" t="s">
        <v>67</v>
      </c>
      <c r="X142">
        <v>43</v>
      </c>
      <c r="Y142" t="s">
        <v>157</v>
      </c>
      <c r="Z142">
        <v>8</v>
      </c>
      <c r="AA142" t="s">
        <v>67</v>
      </c>
      <c r="AB142">
        <v>0.03</v>
      </c>
      <c r="AC142">
        <v>1011</v>
      </c>
      <c r="AD142" t="s">
        <v>67</v>
      </c>
      <c r="AE142">
        <v>30</v>
      </c>
      <c r="AF142">
        <v>7.7</v>
      </c>
      <c r="AG142" t="s">
        <v>67</v>
      </c>
      <c r="AH142">
        <v>0.01</v>
      </c>
      <c r="AI142">
        <v>21.1</v>
      </c>
      <c r="AJ142" t="s">
        <v>67</v>
      </c>
      <c r="AK142">
        <v>0.1</v>
      </c>
      <c r="AL142">
        <v>24.9</v>
      </c>
      <c r="AM142" t="s">
        <v>67</v>
      </c>
      <c r="AN142">
        <v>0.4</v>
      </c>
      <c r="AO142">
        <v>549</v>
      </c>
      <c r="AP142">
        <v>3.8</v>
      </c>
      <c r="AQ142" t="s">
        <v>67</v>
      </c>
      <c r="AR142" t="s">
        <v>360</v>
      </c>
      <c r="AS142" t="s">
        <v>361</v>
      </c>
      <c r="AT142" t="s">
        <v>70</v>
      </c>
      <c r="AU142" t="s">
        <v>324</v>
      </c>
      <c r="AV142" t="s">
        <v>363</v>
      </c>
      <c r="AW142" t="s">
        <v>132</v>
      </c>
      <c r="AX142" t="s">
        <v>73</v>
      </c>
      <c r="AY142">
        <v>1046.75</v>
      </c>
      <c r="AZ142">
        <v>1046.75</v>
      </c>
      <c r="BA142">
        <v>89.52</v>
      </c>
      <c r="BB142">
        <f>BA142*SQRT(BC142)</f>
        <v>322.76895017953632</v>
      </c>
      <c r="BC142">
        <v>13</v>
      </c>
      <c r="BD142">
        <v>798.66669999999999</v>
      </c>
      <c r="BE142">
        <v>798.66666669999995</v>
      </c>
      <c r="BF142">
        <v>110.08969999999999</v>
      </c>
      <c r="BG142">
        <f>BF142*SQRT(BH142)</f>
        <v>330.26909999999998</v>
      </c>
      <c r="BH142">
        <v>9</v>
      </c>
      <c r="BI142">
        <v>24</v>
      </c>
      <c r="BJ142">
        <v>6</v>
      </c>
      <c r="BK142">
        <v>-0.27050000000000002</v>
      </c>
      <c r="BL142">
        <v>2.63E-2</v>
      </c>
    </row>
    <row r="143" spans="1:64" hidden="1" x14ac:dyDescent="0.2">
      <c r="A143">
        <v>209</v>
      </c>
      <c r="D143" t="s">
        <v>54</v>
      </c>
      <c r="E143">
        <v>2020</v>
      </c>
      <c r="F143" t="s">
        <v>223</v>
      </c>
      <c r="G143" t="s">
        <v>224</v>
      </c>
      <c r="H143" t="s">
        <v>78</v>
      </c>
      <c r="K143" t="s">
        <v>205</v>
      </c>
      <c r="L143" t="s">
        <v>225</v>
      </c>
      <c r="M143" t="s">
        <v>120</v>
      </c>
      <c r="N143" t="s">
        <v>120</v>
      </c>
      <c r="O143" t="s">
        <v>110</v>
      </c>
      <c r="P143" t="s">
        <v>63</v>
      </c>
      <c r="Q143" t="s">
        <v>64</v>
      </c>
      <c r="R143" t="s">
        <v>83</v>
      </c>
      <c r="S143" t="s">
        <v>74</v>
      </c>
      <c r="T143" t="s">
        <v>64</v>
      </c>
      <c r="U143" t="s">
        <v>75</v>
      </c>
      <c r="V143">
        <v>437.09</v>
      </c>
      <c r="W143" t="s">
        <v>67</v>
      </c>
      <c r="X143">
        <v>21.6</v>
      </c>
      <c r="Y143" t="s">
        <v>68</v>
      </c>
      <c r="Z143">
        <v>8.0299999999999994</v>
      </c>
      <c r="AA143" t="s">
        <v>67</v>
      </c>
      <c r="AB143">
        <v>0.02</v>
      </c>
      <c r="AC143">
        <v>440.9</v>
      </c>
      <c r="AD143" t="s">
        <v>67</v>
      </c>
      <c r="AE143">
        <v>29.1</v>
      </c>
      <c r="AF143">
        <v>8.0500000000000007</v>
      </c>
      <c r="AG143" t="s">
        <v>67</v>
      </c>
      <c r="AH143">
        <v>0.02</v>
      </c>
      <c r="AI143">
        <v>5.6</v>
      </c>
      <c r="AJ143" t="s">
        <v>67</v>
      </c>
      <c r="AK143">
        <v>0.19</v>
      </c>
      <c r="AL143">
        <v>8.1999999999999993</v>
      </c>
      <c r="AM143" t="s">
        <v>67</v>
      </c>
      <c r="AN143">
        <v>0.13</v>
      </c>
      <c r="AO143">
        <v>4</v>
      </c>
      <c r="AP143">
        <v>2.5</v>
      </c>
      <c r="AQ143" t="s">
        <v>67</v>
      </c>
      <c r="AR143" t="s">
        <v>98</v>
      </c>
      <c r="AS143" t="s">
        <v>98</v>
      </c>
      <c r="AT143" t="s">
        <v>70</v>
      </c>
      <c r="AU143" t="s">
        <v>226</v>
      </c>
      <c r="AV143" t="s">
        <v>72</v>
      </c>
      <c r="AX143" t="s">
        <v>73</v>
      </c>
      <c r="AY143">
        <v>16.43</v>
      </c>
      <c r="AZ143">
        <v>16.43</v>
      </c>
      <c r="BA143">
        <v>0.2</v>
      </c>
      <c r="BC143">
        <v>6</v>
      </c>
      <c r="BD143">
        <v>16.239999999999998</v>
      </c>
      <c r="BE143">
        <v>16.239999999999998</v>
      </c>
      <c r="BF143">
        <v>0.38</v>
      </c>
      <c r="BH143">
        <v>5</v>
      </c>
      <c r="BI143">
        <v>120</v>
      </c>
      <c r="BJ143">
        <v>12</v>
      </c>
      <c r="BK143">
        <v>-1.1599999999999999E-2</v>
      </c>
      <c r="BL143">
        <v>6.9999999999999999E-4</v>
      </c>
    </row>
    <row r="144" spans="1:64" hidden="1" x14ac:dyDescent="0.2">
      <c r="A144">
        <v>171</v>
      </c>
      <c r="D144" t="s">
        <v>54</v>
      </c>
      <c r="E144">
        <v>2015</v>
      </c>
      <c r="F144" t="s">
        <v>198</v>
      </c>
      <c r="G144" t="s">
        <v>199</v>
      </c>
      <c r="H144" t="s">
        <v>57</v>
      </c>
      <c r="K144" t="s">
        <v>79</v>
      </c>
      <c r="L144" t="s">
        <v>200</v>
      </c>
      <c r="M144" t="s">
        <v>81</v>
      </c>
      <c r="N144" t="s">
        <v>81</v>
      </c>
      <c r="O144" t="s">
        <v>62</v>
      </c>
      <c r="P144" t="s">
        <v>63</v>
      </c>
      <c r="Q144" t="s">
        <v>64</v>
      </c>
      <c r="R144" t="s">
        <v>65</v>
      </c>
      <c r="S144" t="s">
        <v>64</v>
      </c>
      <c r="T144" t="s">
        <v>74</v>
      </c>
      <c r="U144" t="s">
        <v>84</v>
      </c>
      <c r="V144">
        <v>422.07</v>
      </c>
      <c r="W144" t="s">
        <v>67</v>
      </c>
      <c r="X144">
        <v>16.57</v>
      </c>
      <c r="Y144" t="s">
        <v>96</v>
      </c>
      <c r="Z144">
        <v>8.1</v>
      </c>
      <c r="AA144" t="s">
        <v>67</v>
      </c>
      <c r="AB144">
        <v>0.05</v>
      </c>
      <c r="AC144">
        <v>1115.6199999999999</v>
      </c>
      <c r="AD144" t="s">
        <v>67</v>
      </c>
      <c r="AE144">
        <v>59.33</v>
      </c>
      <c r="AF144">
        <v>7.7</v>
      </c>
      <c r="AG144" t="s">
        <v>67</v>
      </c>
      <c r="AH144">
        <v>0.05</v>
      </c>
      <c r="AI144">
        <v>15</v>
      </c>
      <c r="AJ144" t="s">
        <v>67</v>
      </c>
      <c r="AK144">
        <v>0.5</v>
      </c>
      <c r="AL144">
        <v>15</v>
      </c>
      <c r="AM144" t="s">
        <v>67</v>
      </c>
      <c r="AN144">
        <v>0.5</v>
      </c>
      <c r="AO144">
        <v>694</v>
      </c>
      <c r="AP144">
        <v>0</v>
      </c>
      <c r="AQ144" t="s">
        <v>201</v>
      </c>
      <c r="AR144" t="s">
        <v>69</v>
      </c>
      <c r="AS144" t="s">
        <v>69</v>
      </c>
      <c r="AT144" t="s">
        <v>70</v>
      </c>
      <c r="AU144" t="s">
        <v>227</v>
      </c>
      <c r="AV144" t="s">
        <v>72</v>
      </c>
      <c r="AX144" t="s">
        <v>73</v>
      </c>
      <c r="AY144">
        <v>0.23400000000000001</v>
      </c>
      <c r="AZ144">
        <v>0.23400000000000001</v>
      </c>
      <c r="BA144">
        <v>0.01</v>
      </c>
      <c r="BC144">
        <v>77</v>
      </c>
      <c r="BD144">
        <v>0.13800000000000001</v>
      </c>
      <c r="BE144">
        <v>0.13800000000000001</v>
      </c>
      <c r="BF144">
        <v>1E-3</v>
      </c>
      <c r="BH144">
        <v>77</v>
      </c>
      <c r="BI144">
        <v>204</v>
      </c>
      <c r="BJ144">
        <v>5</v>
      </c>
      <c r="BK144">
        <v>-0.52810000000000001</v>
      </c>
      <c r="BL144">
        <v>6.9999999999999999E-4</v>
      </c>
    </row>
    <row r="145" spans="1:64" hidden="1" x14ac:dyDescent="0.2">
      <c r="A145">
        <v>135</v>
      </c>
      <c r="D145" t="s">
        <v>54</v>
      </c>
      <c r="E145">
        <v>2012</v>
      </c>
      <c r="F145" t="s">
        <v>219</v>
      </c>
      <c r="G145" t="s">
        <v>220</v>
      </c>
      <c r="H145" t="s">
        <v>78</v>
      </c>
      <c r="K145" t="s">
        <v>194</v>
      </c>
      <c r="L145" t="s">
        <v>221</v>
      </c>
      <c r="M145" t="s">
        <v>120</v>
      </c>
      <c r="N145" t="s">
        <v>120</v>
      </c>
      <c r="O145" t="s">
        <v>62</v>
      </c>
      <c r="P145" t="s">
        <v>196</v>
      </c>
      <c r="Q145" t="s">
        <v>64</v>
      </c>
      <c r="R145" t="s">
        <v>83</v>
      </c>
      <c r="S145" t="s">
        <v>64</v>
      </c>
      <c r="T145" t="s">
        <v>64</v>
      </c>
      <c r="U145" t="s">
        <v>66</v>
      </c>
      <c r="V145">
        <v>357</v>
      </c>
      <c r="W145">
        <v>18.260000000000002</v>
      </c>
      <c r="X145" t="s">
        <v>67</v>
      </c>
      <c r="Y145" t="s">
        <v>96</v>
      </c>
      <c r="Z145">
        <v>8.25</v>
      </c>
      <c r="AA145">
        <v>0.02</v>
      </c>
      <c r="AB145" t="s">
        <v>67</v>
      </c>
      <c r="AC145">
        <v>2019</v>
      </c>
      <c r="AD145">
        <v>26.93</v>
      </c>
      <c r="AE145" t="s">
        <v>67</v>
      </c>
      <c r="AF145">
        <v>7.49</v>
      </c>
      <c r="AG145">
        <v>0.01</v>
      </c>
      <c r="AH145" t="s">
        <v>67</v>
      </c>
      <c r="AI145">
        <v>1.5</v>
      </c>
      <c r="AJ145">
        <v>0.09</v>
      </c>
      <c r="AK145" t="s">
        <v>67</v>
      </c>
      <c r="AL145">
        <v>6.9</v>
      </c>
      <c r="AM145">
        <v>0.06</v>
      </c>
      <c r="AN145" t="s">
        <v>67</v>
      </c>
      <c r="AO145">
        <v>1662</v>
      </c>
      <c r="AP145">
        <v>5.4</v>
      </c>
      <c r="AQ145" t="s">
        <v>67</v>
      </c>
      <c r="AR145" t="s">
        <v>222</v>
      </c>
      <c r="AS145" t="s">
        <v>69</v>
      </c>
      <c r="AT145" t="s">
        <v>70</v>
      </c>
      <c r="AU145" t="s">
        <v>67</v>
      </c>
      <c r="AV145" t="s">
        <v>72</v>
      </c>
      <c r="AX145" t="s">
        <v>73</v>
      </c>
      <c r="AY145">
        <v>1.69</v>
      </c>
      <c r="AZ145">
        <v>1.69</v>
      </c>
      <c r="BA145">
        <v>0.03</v>
      </c>
      <c r="BC145">
        <v>9</v>
      </c>
      <c r="BD145">
        <v>1.5</v>
      </c>
      <c r="BE145">
        <v>1.5</v>
      </c>
      <c r="BF145">
        <v>0.03</v>
      </c>
      <c r="BH145">
        <v>10</v>
      </c>
      <c r="BI145">
        <v>32</v>
      </c>
      <c r="BJ145">
        <v>1</v>
      </c>
      <c r="BK145">
        <v>-0.1193</v>
      </c>
      <c r="BL145">
        <v>6.9999999999999999E-4</v>
      </c>
    </row>
    <row r="146" spans="1:64" hidden="1" x14ac:dyDescent="0.2">
      <c r="A146">
        <v>139</v>
      </c>
      <c r="D146" t="s">
        <v>54</v>
      </c>
      <c r="E146">
        <v>2018</v>
      </c>
      <c r="F146" t="s">
        <v>214</v>
      </c>
      <c r="G146" t="s">
        <v>154</v>
      </c>
      <c r="H146" t="s">
        <v>78</v>
      </c>
      <c r="K146" t="s">
        <v>194</v>
      </c>
      <c r="L146" t="s">
        <v>215</v>
      </c>
      <c r="M146" t="s">
        <v>120</v>
      </c>
      <c r="N146" t="s">
        <v>120</v>
      </c>
      <c r="O146" t="s">
        <v>62</v>
      </c>
      <c r="P146" t="s">
        <v>63</v>
      </c>
      <c r="Q146" t="s">
        <v>64</v>
      </c>
      <c r="R146" t="s">
        <v>83</v>
      </c>
      <c r="S146" t="s">
        <v>64</v>
      </c>
      <c r="T146" t="s">
        <v>74</v>
      </c>
      <c r="U146" t="s">
        <v>84</v>
      </c>
      <c r="V146">
        <v>458</v>
      </c>
      <c r="W146" t="s">
        <v>67</v>
      </c>
      <c r="X146">
        <v>30</v>
      </c>
      <c r="Y146" t="s">
        <v>68</v>
      </c>
      <c r="Z146">
        <v>7.98</v>
      </c>
      <c r="AA146" t="s">
        <v>67</v>
      </c>
      <c r="AB146">
        <v>0.03</v>
      </c>
      <c r="AC146">
        <v>822</v>
      </c>
      <c r="AD146" t="s">
        <v>67</v>
      </c>
      <c r="AE146">
        <v>51</v>
      </c>
      <c r="AF146">
        <v>7.75</v>
      </c>
      <c r="AG146" t="s">
        <v>67</v>
      </c>
      <c r="AH146">
        <v>0.03</v>
      </c>
      <c r="AI146">
        <v>-1</v>
      </c>
      <c r="AJ146" t="s">
        <v>67</v>
      </c>
      <c r="AK146">
        <v>0.1</v>
      </c>
      <c r="AL146">
        <v>-1</v>
      </c>
      <c r="AM146" t="s">
        <v>67</v>
      </c>
      <c r="AN146">
        <v>0.1</v>
      </c>
      <c r="AO146">
        <v>364</v>
      </c>
      <c r="AP146">
        <v>0</v>
      </c>
      <c r="AQ146" t="s">
        <v>67</v>
      </c>
      <c r="AR146" t="s">
        <v>216</v>
      </c>
      <c r="AS146" t="s">
        <v>166</v>
      </c>
      <c r="AT146" t="s">
        <v>135</v>
      </c>
      <c r="AU146" t="s">
        <v>217</v>
      </c>
      <c r="AV146" t="s">
        <v>132</v>
      </c>
      <c r="AX146" t="s">
        <v>73</v>
      </c>
      <c r="AY146">
        <v>33.409999999999997</v>
      </c>
      <c r="AZ146">
        <v>33.409999999999997</v>
      </c>
      <c r="BA146">
        <v>0.7</v>
      </c>
      <c r="BC146">
        <v>10</v>
      </c>
      <c r="BD146">
        <v>33.35</v>
      </c>
      <c r="BE146">
        <v>33.35</v>
      </c>
      <c r="BF146">
        <v>0.56000000000000005</v>
      </c>
      <c r="BH146">
        <v>13</v>
      </c>
      <c r="BI146">
        <v>28</v>
      </c>
      <c r="BJ146">
        <v>3</v>
      </c>
      <c r="BK146">
        <v>-1.8E-3</v>
      </c>
      <c r="BL146">
        <v>6.9999999999999999E-4</v>
      </c>
    </row>
    <row r="147" spans="1:64" hidden="1" x14ac:dyDescent="0.2">
      <c r="A147">
        <v>139</v>
      </c>
      <c r="D147" t="s">
        <v>54</v>
      </c>
      <c r="E147">
        <v>2018</v>
      </c>
      <c r="F147" t="s">
        <v>214</v>
      </c>
      <c r="G147" t="s">
        <v>154</v>
      </c>
      <c r="H147" t="s">
        <v>78</v>
      </c>
      <c r="K147" t="s">
        <v>194</v>
      </c>
      <c r="L147" t="s">
        <v>215</v>
      </c>
      <c r="M147" t="s">
        <v>120</v>
      </c>
      <c r="N147" t="s">
        <v>120</v>
      </c>
      <c r="O147" t="s">
        <v>62</v>
      </c>
      <c r="P147" t="s">
        <v>63</v>
      </c>
      <c r="Q147" t="s">
        <v>64</v>
      </c>
      <c r="R147" t="s">
        <v>83</v>
      </c>
      <c r="S147" t="s">
        <v>64</v>
      </c>
      <c r="T147" t="s">
        <v>64</v>
      </c>
      <c r="U147" t="s">
        <v>66</v>
      </c>
      <c r="V147">
        <v>458</v>
      </c>
      <c r="W147" t="s">
        <v>67</v>
      </c>
      <c r="X147">
        <v>30</v>
      </c>
      <c r="Y147" t="s">
        <v>68</v>
      </c>
      <c r="Z147">
        <v>7.98</v>
      </c>
      <c r="AA147" t="s">
        <v>67</v>
      </c>
      <c r="AB147">
        <v>0.03</v>
      </c>
      <c r="AC147">
        <v>1323</v>
      </c>
      <c r="AD147" t="s">
        <v>67</v>
      </c>
      <c r="AE147">
        <v>64</v>
      </c>
      <c r="AF147">
        <v>7.56</v>
      </c>
      <c r="AG147" t="s">
        <v>67</v>
      </c>
      <c r="AH147">
        <v>0.02</v>
      </c>
      <c r="AI147">
        <v>-1</v>
      </c>
      <c r="AJ147" t="s">
        <v>67</v>
      </c>
      <c r="AK147">
        <v>0.1</v>
      </c>
      <c r="AL147">
        <v>2.2000000000000002</v>
      </c>
      <c r="AM147" t="s">
        <v>67</v>
      </c>
      <c r="AN147">
        <v>0.1</v>
      </c>
      <c r="AO147">
        <v>865</v>
      </c>
      <c r="AP147">
        <v>3.2</v>
      </c>
      <c r="AQ147" t="s">
        <v>67</v>
      </c>
      <c r="AR147" t="s">
        <v>216</v>
      </c>
      <c r="AS147" t="s">
        <v>166</v>
      </c>
      <c r="AT147" t="s">
        <v>135</v>
      </c>
      <c r="AU147" t="s">
        <v>217</v>
      </c>
      <c r="AV147" t="s">
        <v>132</v>
      </c>
      <c r="AX147" t="s">
        <v>73</v>
      </c>
      <c r="AY147">
        <v>33.409999999999997</v>
      </c>
      <c r="AZ147">
        <v>33.409999999999997</v>
      </c>
      <c r="BA147">
        <v>0.7</v>
      </c>
      <c r="BC147">
        <v>10</v>
      </c>
      <c r="BD147">
        <v>40.369999999999997</v>
      </c>
      <c r="BE147">
        <v>40.369999999999997</v>
      </c>
      <c r="BF147">
        <v>0.76</v>
      </c>
      <c r="BH147">
        <v>12</v>
      </c>
      <c r="BI147">
        <v>28</v>
      </c>
      <c r="BJ147">
        <v>3</v>
      </c>
      <c r="BK147">
        <v>0.18920000000000001</v>
      </c>
      <c r="BL147">
        <v>8.0000000000000004E-4</v>
      </c>
    </row>
    <row r="148" spans="1:64" x14ac:dyDescent="0.2">
      <c r="A148">
        <v>178</v>
      </c>
      <c r="B148" t="str">
        <f>ROW()-1&amp;"_AltersFish"</f>
        <v>147_AltersFish</v>
      </c>
      <c r="C148" t="str">
        <f>A148 &amp; "_" &amp; P148 &amp; "_" &amp;
SUBSTITUTE(TRIM(L148)," ","_") &amp;
"_pH" &amp; TEXT(Z148,"0.00") &amp;
"_T" &amp; TEXT(AI148,"0.00") &amp;
"_CO2" &amp; TEXT(V148,"0") &amp;
"_LANG"</f>
        <v>178_LARVA_Seriola_lalandi_pH8.00_T21.10_CO2462_LANG</v>
      </c>
      <c r="D148" t="s">
        <v>54</v>
      </c>
      <c r="E148">
        <v>2018</v>
      </c>
      <c r="F148" t="s">
        <v>308</v>
      </c>
      <c r="G148" t="s">
        <v>77</v>
      </c>
      <c r="H148" t="s">
        <v>78</v>
      </c>
      <c r="I148" t="s">
        <v>540</v>
      </c>
      <c r="J148" t="s">
        <v>543</v>
      </c>
      <c r="K148" t="s">
        <v>79</v>
      </c>
      <c r="L148" t="s">
        <v>155</v>
      </c>
      <c r="M148" t="s">
        <v>156</v>
      </c>
      <c r="N148" t="s">
        <v>156</v>
      </c>
      <c r="O148" t="s">
        <v>106</v>
      </c>
      <c r="P148" t="s">
        <v>107</v>
      </c>
      <c r="Q148" t="s">
        <v>64</v>
      </c>
      <c r="R148" t="s">
        <v>83</v>
      </c>
      <c r="S148" t="s">
        <v>74</v>
      </c>
      <c r="T148" t="s">
        <v>64</v>
      </c>
      <c r="U148" t="s">
        <v>75</v>
      </c>
      <c r="V148">
        <v>462</v>
      </c>
      <c r="W148" t="s">
        <v>67</v>
      </c>
      <c r="X148">
        <v>43</v>
      </c>
      <c r="Y148" t="s">
        <v>157</v>
      </c>
      <c r="Z148">
        <v>8</v>
      </c>
      <c r="AA148" t="s">
        <v>67</v>
      </c>
      <c r="AB148">
        <v>0.03</v>
      </c>
      <c r="AC148">
        <v>538</v>
      </c>
      <c r="AD148" t="s">
        <v>67</v>
      </c>
      <c r="AE148">
        <v>16</v>
      </c>
      <c r="AF148">
        <v>7.94</v>
      </c>
      <c r="AG148" t="s">
        <v>67</v>
      </c>
      <c r="AH148">
        <v>0.01</v>
      </c>
      <c r="AI148">
        <v>21.1</v>
      </c>
      <c r="AJ148" t="s">
        <v>67</v>
      </c>
      <c r="AK148">
        <v>0.1</v>
      </c>
      <c r="AL148">
        <v>24.8</v>
      </c>
      <c r="AM148" t="s">
        <v>67</v>
      </c>
      <c r="AN148">
        <v>0.4</v>
      </c>
      <c r="AO148">
        <v>76</v>
      </c>
      <c r="AP148">
        <v>3.7</v>
      </c>
      <c r="AQ148" t="s">
        <v>67</v>
      </c>
      <c r="AR148" t="s">
        <v>360</v>
      </c>
      <c r="AS148" t="s">
        <v>361</v>
      </c>
      <c r="AT148" t="s">
        <v>70</v>
      </c>
      <c r="AU148" t="s">
        <v>324</v>
      </c>
      <c r="AV148" t="s">
        <v>363</v>
      </c>
      <c r="AW148" t="s">
        <v>132</v>
      </c>
      <c r="AX148" t="s">
        <v>73</v>
      </c>
      <c r="AY148">
        <v>1046.75</v>
      </c>
      <c r="AZ148">
        <v>1046.75</v>
      </c>
      <c r="BA148">
        <v>89.52</v>
      </c>
      <c r="BB148">
        <f>BA148*SQRT(BC148)</f>
        <v>322.76895017953632</v>
      </c>
      <c r="BC148">
        <v>13</v>
      </c>
      <c r="BD148">
        <v>788.91669999999999</v>
      </c>
      <c r="BE148">
        <v>788.91666669999995</v>
      </c>
      <c r="BF148">
        <v>117.5351</v>
      </c>
      <c r="BG148">
        <f>BF148*SQRT(BH148)</f>
        <v>407.15352974537745</v>
      </c>
      <c r="BH148">
        <v>12</v>
      </c>
      <c r="BI148">
        <v>24</v>
      </c>
      <c r="BJ148">
        <v>6</v>
      </c>
      <c r="BK148">
        <v>-0.2828</v>
      </c>
      <c r="BL148">
        <v>2.9499999999999998E-2</v>
      </c>
    </row>
    <row r="149" spans="1:64" hidden="1" x14ac:dyDescent="0.2">
      <c r="A149">
        <v>171</v>
      </c>
      <c r="C149" t="s">
        <v>549</v>
      </c>
      <c r="D149" t="s">
        <v>54</v>
      </c>
      <c r="E149">
        <v>2015</v>
      </c>
      <c r="F149" t="s">
        <v>198</v>
      </c>
      <c r="G149" t="s">
        <v>199</v>
      </c>
      <c r="H149" t="s">
        <v>57</v>
      </c>
      <c r="K149" t="s">
        <v>79</v>
      </c>
      <c r="L149" t="s">
        <v>200</v>
      </c>
      <c r="M149" t="s">
        <v>81</v>
      </c>
      <c r="N149" t="s">
        <v>81</v>
      </c>
      <c r="O149" t="s">
        <v>62</v>
      </c>
      <c r="P149" t="s">
        <v>82</v>
      </c>
      <c r="Q149" t="s">
        <v>64</v>
      </c>
      <c r="R149" t="s">
        <v>65</v>
      </c>
      <c r="S149" t="s">
        <v>74</v>
      </c>
      <c r="T149" t="s">
        <v>64</v>
      </c>
      <c r="U149" t="s">
        <v>75</v>
      </c>
      <c r="V149">
        <v>422.07</v>
      </c>
      <c r="W149" t="s">
        <v>67</v>
      </c>
      <c r="X149">
        <v>16.57</v>
      </c>
      <c r="Y149" t="s">
        <v>96</v>
      </c>
      <c r="Z149">
        <v>8.1</v>
      </c>
      <c r="AA149" t="s">
        <v>67</v>
      </c>
      <c r="AB149">
        <v>0.05</v>
      </c>
      <c r="AC149">
        <v>414.68</v>
      </c>
      <c r="AD149" t="s">
        <v>67</v>
      </c>
      <c r="AE149">
        <v>5.22</v>
      </c>
      <c r="AF149">
        <v>8.1</v>
      </c>
      <c r="AG149" t="s">
        <v>67</v>
      </c>
      <c r="AH149">
        <v>0.05</v>
      </c>
      <c r="AI149">
        <v>15</v>
      </c>
      <c r="AJ149" t="s">
        <v>67</v>
      </c>
      <c r="AK149">
        <v>0.5</v>
      </c>
      <c r="AL149">
        <v>18</v>
      </c>
      <c r="AM149" t="s">
        <v>67</v>
      </c>
      <c r="AN149">
        <v>0.5</v>
      </c>
      <c r="AO149">
        <v>-7</v>
      </c>
      <c r="AP149">
        <v>3</v>
      </c>
      <c r="AQ149" t="s">
        <v>218</v>
      </c>
      <c r="AR149" t="s">
        <v>11</v>
      </c>
      <c r="AS149" t="s">
        <v>202</v>
      </c>
      <c r="AT149" t="s">
        <v>135</v>
      </c>
      <c r="AU149" t="s">
        <v>203</v>
      </c>
      <c r="AV149" t="s">
        <v>11</v>
      </c>
      <c r="AW149" t="s">
        <v>11</v>
      </c>
      <c r="AX149" t="s">
        <v>73</v>
      </c>
      <c r="AY149">
        <v>125.9516</v>
      </c>
      <c r="AZ149">
        <v>125.95156</v>
      </c>
      <c r="BA149">
        <v>2.77</v>
      </c>
      <c r="BC149">
        <v>23</v>
      </c>
      <c r="BD149">
        <v>113.4948</v>
      </c>
      <c r="BE149">
        <v>113.4948097</v>
      </c>
      <c r="BF149">
        <v>2.0760999999999998</v>
      </c>
      <c r="BH149">
        <v>23</v>
      </c>
      <c r="BI149">
        <v>113</v>
      </c>
      <c r="BJ149">
        <v>5</v>
      </c>
      <c r="BK149">
        <v>-0.1041</v>
      </c>
      <c r="BL149">
        <v>8.0000000000000004E-4</v>
      </c>
    </row>
    <row r="150" spans="1:64" x14ac:dyDescent="0.2">
      <c r="A150">
        <v>175</v>
      </c>
      <c r="B150" t="str">
        <f>ROW()-1&amp;"_AltersFish"</f>
        <v>149_AltersFish</v>
      </c>
      <c r="C150" t="str">
        <f>A150 &amp; "_" &amp; P150 &amp; "_" &amp;
SUBSTITUTE(TRIM(L150)," ","_") &amp;
"_pH" &amp; TEXT(Z150,"0.00") &amp;
"_T" &amp; TEXT(AI150,"0.00") &amp;
"_CO2" &amp; TEXT(V150,"0") &amp;
"_LANG"</f>
        <v>175_EMBRYO_Clupea_harengus_pH8.15_T6.20_CO2415_LANG</v>
      </c>
      <c r="D150" t="s">
        <v>54</v>
      </c>
      <c r="E150">
        <v>2018</v>
      </c>
      <c r="F150" t="s">
        <v>180</v>
      </c>
      <c r="G150" t="s">
        <v>181</v>
      </c>
      <c r="H150" t="s">
        <v>78</v>
      </c>
      <c r="I150" t="s">
        <v>540</v>
      </c>
      <c r="J150" t="s">
        <v>543</v>
      </c>
      <c r="K150" t="s">
        <v>79</v>
      </c>
      <c r="L150" t="s">
        <v>182</v>
      </c>
      <c r="M150" t="s">
        <v>81</v>
      </c>
      <c r="N150" t="s">
        <v>81</v>
      </c>
      <c r="O150" t="s">
        <v>62</v>
      </c>
      <c r="P150" t="s">
        <v>82</v>
      </c>
      <c r="Q150" t="s">
        <v>64</v>
      </c>
      <c r="R150" t="s">
        <v>83</v>
      </c>
      <c r="S150" t="s">
        <v>64</v>
      </c>
      <c r="T150" t="s">
        <v>64</v>
      </c>
      <c r="U150" t="s">
        <v>66</v>
      </c>
      <c r="V150">
        <v>415</v>
      </c>
      <c r="W150" t="s">
        <v>67</v>
      </c>
      <c r="X150">
        <v>10</v>
      </c>
      <c r="Y150" t="s">
        <v>183</v>
      </c>
      <c r="Z150">
        <v>8.15</v>
      </c>
      <c r="AA150" t="s">
        <v>67</v>
      </c>
      <c r="AB150">
        <v>0.02</v>
      </c>
      <c r="AC150">
        <v>1050</v>
      </c>
      <c r="AD150" t="s">
        <v>67</v>
      </c>
      <c r="AE150">
        <v>46</v>
      </c>
      <c r="AF150">
        <v>7.79</v>
      </c>
      <c r="AG150" t="s">
        <v>67</v>
      </c>
      <c r="AH150">
        <v>0.03</v>
      </c>
      <c r="AI150">
        <v>6.2</v>
      </c>
      <c r="AJ150" t="s">
        <v>67</v>
      </c>
      <c r="AK150">
        <v>0.06</v>
      </c>
      <c r="AL150">
        <v>10</v>
      </c>
      <c r="AM150" t="s">
        <v>67</v>
      </c>
      <c r="AN150">
        <v>0.06</v>
      </c>
      <c r="AO150">
        <v>635</v>
      </c>
      <c r="AP150">
        <v>3.9</v>
      </c>
      <c r="AQ150" t="s">
        <v>67</v>
      </c>
      <c r="AR150" t="s">
        <v>512</v>
      </c>
      <c r="AS150" t="s">
        <v>361</v>
      </c>
      <c r="AT150" t="s">
        <v>70</v>
      </c>
      <c r="AU150" t="s">
        <v>369</v>
      </c>
      <c r="AV150" t="s">
        <v>132</v>
      </c>
      <c r="AW150" t="s">
        <v>132</v>
      </c>
      <c r="AX150" t="s">
        <v>73</v>
      </c>
      <c r="AY150">
        <v>4.5273000000000003</v>
      </c>
      <c r="AZ150">
        <v>4.5272699999999997</v>
      </c>
      <c r="BA150">
        <v>0.96</v>
      </c>
      <c r="BB150">
        <f>BA150*SQRT(BC150)</f>
        <v>1.662768775266122</v>
      </c>
      <c r="BC150">
        <v>3</v>
      </c>
      <c r="BD150">
        <v>6.0727000000000002</v>
      </c>
      <c r="BE150">
        <v>6.0727272729999999</v>
      </c>
      <c r="BF150">
        <v>0.43640000000000001</v>
      </c>
      <c r="BG150">
        <f>BF150*SQRT(BH150)</f>
        <v>0.755866972423058</v>
      </c>
      <c r="BH150">
        <v>3</v>
      </c>
      <c r="BI150">
        <v>16</v>
      </c>
      <c r="BJ150">
        <v>6</v>
      </c>
      <c r="BK150">
        <v>0.29370000000000002</v>
      </c>
      <c r="BL150">
        <v>5.0500000000000003E-2</v>
      </c>
    </row>
    <row r="151" spans="1:64" x14ac:dyDescent="0.2">
      <c r="A151">
        <v>175</v>
      </c>
      <c r="B151" t="str">
        <f>ROW()-1&amp;"_AltersFish"</f>
        <v>150_AltersFish</v>
      </c>
      <c r="C151" t="str">
        <f>A151 &amp; "_" &amp; P151 &amp; "_" &amp;
SUBSTITUTE(TRIM(L151)," ","_") &amp;
"_pH" &amp; TEXT(Z151,"0.00") &amp;
"_T" &amp; TEXT(AI151,"0.00") &amp;
"_CO2" &amp; TEXT(V151,"0") &amp;
"_LANG"</f>
        <v>175_EMBRYO_Clupea_harengus_pH8.15_T6.20_CO2415_LANG</v>
      </c>
      <c r="D151" t="s">
        <v>54</v>
      </c>
      <c r="E151">
        <v>2018</v>
      </c>
      <c r="F151" t="s">
        <v>180</v>
      </c>
      <c r="G151" t="s">
        <v>181</v>
      </c>
      <c r="H151" t="s">
        <v>78</v>
      </c>
      <c r="I151" t="s">
        <v>540</v>
      </c>
      <c r="J151" t="s">
        <v>543</v>
      </c>
      <c r="K151" t="s">
        <v>79</v>
      </c>
      <c r="L151" t="s">
        <v>182</v>
      </c>
      <c r="M151" t="s">
        <v>81</v>
      </c>
      <c r="N151" t="s">
        <v>81</v>
      </c>
      <c r="O151" t="s">
        <v>62</v>
      </c>
      <c r="P151" t="s">
        <v>82</v>
      </c>
      <c r="Q151" t="s">
        <v>64</v>
      </c>
      <c r="R151" t="s">
        <v>83</v>
      </c>
      <c r="S151" t="s">
        <v>64</v>
      </c>
      <c r="T151" t="s">
        <v>64</v>
      </c>
      <c r="U151" t="s">
        <v>66</v>
      </c>
      <c r="V151">
        <v>415</v>
      </c>
      <c r="W151" t="s">
        <v>67</v>
      </c>
      <c r="X151">
        <v>10</v>
      </c>
      <c r="Y151" t="s">
        <v>183</v>
      </c>
      <c r="Z151">
        <v>8.15</v>
      </c>
      <c r="AA151" t="s">
        <v>67</v>
      </c>
      <c r="AB151">
        <v>0.02</v>
      </c>
      <c r="AC151">
        <v>1050</v>
      </c>
      <c r="AD151" t="s">
        <v>67</v>
      </c>
      <c r="AE151">
        <v>29</v>
      </c>
      <c r="AF151">
        <v>7.78</v>
      </c>
      <c r="AG151" t="s">
        <v>67</v>
      </c>
      <c r="AH151">
        <v>0.02</v>
      </c>
      <c r="AI151">
        <v>6.2</v>
      </c>
      <c r="AJ151" t="s">
        <v>67</v>
      </c>
      <c r="AK151">
        <v>0.06</v>
      </c>
      <c r="AL151">
        <v>14.1</v>
      </c>
      <c r="AM151" t="s">
        <v>67</v>
      </c>
      <c r="AN151">
        <v>0.2</v>
      </c>
      <c r="AO151">
        <v>635</v>
      </c>
      <c r="AP151">
        <v>7.9</v>
      </c>
      <c r="AQ151" t="s">
        <v>67</v>
      </c>
      <c r="AR151" t="s">
        <v>512</v>
      </c>
      <c r="AS151" t="s">
        <v>361</v>
      </c>
      <c r="AT151" t="s">
        <v>70</v>
      </c>
      <c r="AU151" t="s">
        <v>369</v>
      </c>
      <c r="AV151" t="s">
        <v>132</v>
      </c>
      <c r="AW151" t="s">
        <v>132</v>
      </c>
      <c r="AX151" t="s">
        <v>73</v>
      </c>
      <c r="AY151">
        <v>4.5273000000000003</v>
      </c>
      <c r="AZ151">
        <v>4.5272699999999997</v>
      </c>
      <c r="BA151">
        <v>0.96</v>
      </c>
      <c r="BB151">
        <f>BA151*SQRT(BC151)</f>
        <v>1.662768775266122</v>
      </c>
      <c r="BC151">
        <v>3</v>
      </c>
      <c r="BD151">
        <v>6.3635999999999999</v>
      </c>
      <c r="BE151">
        <v>6.3636363640000004</v>
      </c>
      <c r="BF151">
        <v>0.54549999999999998</v>
      </c>
      <c r="BG151">
        <f>BF151*SQRT(BH151)</f>
        <v>0.94483371552882245</v>
      </c>
      <c r="BH151">
        <v>3</v>
      </c>
      <c r="BI151">
        <v>11</v>
      </c>
      <c r="BJ151">
        <v>6</v>
      </c>
      <c r="BK151">
        <v>0.34050000000000002</v>
      </c>
      <c r="BL151">
        <v>5.2699999999999997E-2</v>
      </c>
    </row>
    <row r="152" spans="1:64" x14ac:dyDescent="0.2">
      <c r="A152">
        <v>175</v>
      </c>
      <c r="B152" t="str">
        <f>ROW()-1&amp;"_AltersFish"</f>
        <v>151_AltersFish</v>
      </c>
      <c r="C152" t="str">
        <f>A152 &amp; "_" &amp; P152 &amp; "_" &amp;
SUBSTITUTE(TRIM(L152)," ","_") &amp;
"_pH" &amp; TEXT(Z152,"0.00") &amp;
"_T" &amp; TEXT(AI152,"0.00") &amp;
"_CO2" &amp; TEXT(V152,"0") &amp;
"_LANG"</f>
        <v>175_EMBRYO_Clupea_harengus_pH8.15_T6.20_CO2415_LANG</v>
      </c>
      <c r="D152" t="s">
        <v>54</v>
      </c>
      <c r="E152">
        <v>2018</v>
      </c>
      <c r="F152" t="s">
        <v>180</v>
      </c>
      <c r="G152" t="s">
        <v>181</v>
      </c>
      <c r="H152" t="s">
        <v>78</v>
      </c>
      <c r="I152" t="s">
        <v>540</v>
      </c>
      <c r="J152" t="s">
        <v>543</v>
      </c>
      <c r="K152" t="s">
        <v>79</v>
      </c>
      <c r="L152" t="s">
        <v>182</v>
      </c>
      <c r="M152" t="s">
        <v>81</v>
      </c>
      <c r="N152" t="s">
        <v>81</v>
      </c>
      <c r="O152" t="s">
        <v>62</v>
      </c>
      <c r="P152" t="s">
        <v>82</v>
      </c>
      <c r="Q152" t="s">
        <v>64</v>
      </c>
      <c r="R152" t="s">
        <v>83</v>
      </c>
      <c r="S152" t="s">
        <v>64</v>
      </c>
      <c r="T152" t="s">
        <v>74</v>
      </c>
      <c r="U152" t="s">
        <v>84</v>
      </c>
      <c r="V152">
        <v>415</v>
      </c>
      <c r="W152" t="s">
        <v>67</v>
      </c>
      <c r="X152">
        <v>10</v>
      </c>
      <c r="Y152" t="s">
        <v>183</v>
      </c>
      <c r="Z152">
        <v>8.15</v>
      </c>
      <c r="AA152" t="s">
        <v>67</v>
      </c>
      <c r="AB152">
        <v>0.02</v>
      </c>
      <c r="AC152">
        <v>1101</v>
      </c>
      <c r="AD152" t="s">
        <v>67</v>
      </c>
      <c r="AE152">
        <v>47</v>
      </c>
      <c r="AF152">
        <v>7.77</v>
      </c>
      <c r="AG152" t="s">
        <v>67</v>
      </c>
      <c r="AH152">
        <v>0.02</v>
      </c>
      <c r="AI152">
        <v>6.2</v>
      </c>
      <c r="AJ152" t="s">
        <v>67</v>
      </c>
      <c r="AK152">
        <v>0.06</v>
      </c>
      <c r="AL152">
        <v>6.2</v>
      </c>
      <c r="AM152" t="s">
        <v>67</v>
      </c>
      <c r="AN152">
        <v>0.06</v>
      </c>
      <c r="AO152">
        <v>686</v>
      </c>
      <c r="AP152">
        <v>0</v>
      </c>
      <c r="AQ152" t="s">
        <v>67</v>
      </c>
      <c r="AR152" t="s">
        <v>512</v>
      </c>
      <c r="AS152" t="s">
        <v>361</v>
      </c>
      <c r="AT152" t="s">
        <v>70</v>
      </c>
      <c r="AU152" t="s">
        <v>369</v>
      </c>
      <c r="AV152" t="s">
        <v>132</v>
      </c>
      <c r="AW152" t="s">
        <v>132</v>
      </c>
      <c r="AX152" t="s">
        <v>73</v>
      </c>
      <c r="AY152">
        <v>4.5273000000000003</v>
      </c>
      <c r="AZ152">
        <v>4.5272699999999997</v>
      </c>
      <c r="BA152">
        <v>0.96</v>
      </c>
      <c r="BB152">
        <f>BA152*SQRT(BC152)</f>
        <v>1.662768775266122</v>
      </c>
      <c r="BC152">
        <v>3</v>
      </c>
      <c r="BD152">
        <v>3.7273000000000001</v>
      </c>
      <c r="BE152">
        <v>3.7272727269999999</v>
      </c>
      <c r="BF152">
        <v>0.41820000000000002</v>
      </c>
      <c r="BG152">
        <f>BF152*SQRT(BH152)</f>
        <v>0.72434364772530446</v>
      </c>
      <c r="BH152">
        <v>3</v>
      </c>
      <c r="BI152">
        <v>27</v>
      </c>
      <c r="BJ152">
        <v>6</v>
      </c>
      <c r="BK152">
        <v>-0.19439999999999999</v>
      </c>
      <c r="BL152">
        <v>5.79E-2</v>
      </c>
    </row>
    <row r="153" spans="1:64" hidden="1" x14ac:dyDescent="0.2">
      <c r="A153">
        <v>141</v>
      </c>
      <c r="D153" t="s">
        <v>54</v>
      </c>
      <c r="E153">
        <v>2015</v>
      </c>
      <c r="F153" t="s">
        <v>91</v>
      </c>
      <c r="G153" t="s">
        <v>92</v>
      </c>
      <c r="H153" t="s">
        <v>78</v>
      </c>
      <c r="K153" t="s">
        <v>93</v>
      </c>
      <c r="L153" t="s">
        <v>94</v>
      </c>
      <c r="M153" t="s">
        <v>95</v>
      </c>
      <c r="N153" t="s">
        <v>61</v>
      </c>
      <c r="O153" t="s">
        <v>62</v>
      </c>
      <c r="P153" t="s">
        <v>196</v>
      </c>
      <c r="Q153" t="s">
        <v>64</v>
      </c>
      <c r="R153" t="s">
        <v>83</v>
      </c>
      <c r="S153" t="s">
        <v>64</v>
      </c>
      <c r="T153" t="s">
        <v>64</v>
      </c>
      <c r="U153" t="s">
        <v>66</v>
      </c>
      <c r="V153">
        <v>400</v>
      </c>
      <c r="W153">
        <v>6</v>
      </c>
      <c r="X153" t="s">
        <v>67</v>
      </c>
      <c r="Y153" t="s">
        <v>96</v>
      </c>
      <c r="Z153">
        <v>8.15</v>
      </c>
      <c r="AA153">
        <v>0.01</v>
      </c>
      <c r="AB153" t="s">
        <v>67</v>
      </c>
      <c r="AC153">
        <v>1126</v>
      </c>
      <c r="AD153">
        <v>24</v>
      </c>
      <c r="AE153" t="s">
        <v>67</v>
      </c>
      <c r="AF153">
        <v>7.79</v>
      </c>
      <c r="AG153">
        <v>0.01</v>
      </c>
      <c r="AH153" t="s">
        <v>67</v>
      </c>
      <c r="AI153">
        <v>28.4</v>
      </c>
      <c r="AJ153">
        <v>0.01</v>
      </c>
      <c r="AK153" t="s">
        <v>67</v>
      </c>
      <c r="AL153">
        <v>29.8</v>
      </c>
      <c r="AM153">
        <v>0.02</v>
      </c>
      <c r="AN153" t="s">
        <v>67</v>
      </c>
      <c r="AO153">
        <v>726</v>
      </c>
      <c r="AP153">
        <v>1.4</v>
      </c>
      <c r="AQ153" t="s">
        <v>67</v>
      </c>
      <c r="AR153" t="s">
        <v>69</v>
      </c>
      <c r="AS153" t="s">
        <v>69</v>
      </c>
      <c r="AT153" t="s">
        <v>70</v>
      </c>
      <c r="AU153" t="s">
        <v>232</v>
      </c>
      <c r="AV153" t="s">
        <v>72</v>
      </c>
      <c r="AX153" t="s">
        <v>73</v>
      </c>
      <c r="AY153">
        <v>4.8780000000000001</v>
      </c>
      <c r="AZ153">
        <v>4.87805</v>
      </c>
      <c r="BA153">
        <v>0.13</v>
      </c>
      <c r="BC153">
        <v>4</v>
      </c>
      <c r="BD153">
        <v>5.0080999999999998</v>
      </c>
      <c r="BE153">
        <v>5.008130081</v>
      </c>
      <c r="BF153">
        <v>6.5000000000000002E-2</v>
      </c>
      <c r="BH153">
        <v>4</v>
      </c>
      <c r="BI153" t="s">
        <v>67</v>
      </c>
      <c r="BJ153">
        <v>7</v>
      </c>
      <c r="BK153">
        <v>2.63E-2</v>
      </c>
      <c r="BL153">
        <v>8.9999999999999998E-4</v>
      </c>
    </row>
    <row r="154" spans="1:64" hidden="1" x14ac:dyDescent="0.2">
      <c r="A154">
        <v>141</v>
      </c>
      <c r="D154" t="s">
        <v>54</v>
      </c>
      <c r="E154">
        <v>2015</v>
      </c>
      <c r="F154" t="s">
        <v>91</v>
      </c>
      <c r="G154" t="s">
        <v>92</v>
      </c>
      <c r="H154" t="s">
        <v>78</v>
      </c>
      <c r="K154" t="s">
        <v>93</v>
      </c>
      <c r="L154" t="s">
        <v>94</v>
      </c>
      <c r="M154" t="s">
        <v>95</v>
      </c>
      <c r="N154" t="s">
        <v>61</v>
      </c>
      <c r="O154" t="s">
        <v>62</v>
      </c>
      <c r="P154" t="s">
        <v>196</v>
      </c>
      <c r="Q154" t="s">
        <v>64</v>
      </c>
      <c r="R154" t="s">
        <v>83</v>
      </c>
      <c r="S154" t="s">
        <v>233</v>
      </c>
      <c r="T154" t="s">
        <v>64</v>
      </c>
      <c r="U154" t="s">
        <v>75</v>
      </c>
      <c r="V154">
        <v>400</v>
      </c>
      <c r="W154">
        <v>6</v>
      </c>
      <c r="X154" t="s">
        <v>67</v>
      </c>
      <c r="Y154" t="s">
        <v>96</v>
      </c>
      <c r="Z154">
        <v>8.15</v>
      </c>
      <c r="AA154">
        <v>0.01</v>
      </c>
      <c r="AB154" t="s">
        <v>67</v>
      </c>
      <c r="AC154">
        <v>441</v>
      </c>
      <c r="AD154">
        <v>7</v>
      </c>
      <c r="AE154" t="s">
        <v>67</v>
      </c>
      <c r="AF154">
        <v>8.1199999999999992</v>
      </c>
      <c r="AG154">
        <v>0.01</v>
      </c>
      <c r="AH154" t="s">
        <v>67</v>
      </c>
      <c r="AI154">
        <v>28.4</v>
      </c>
      <c r="AJ154">
        <v>0.01</v>
      </c>
      <c r="AK154" t="s">
        <v>67</v>
      </c>
      <c r="AL154">
        <v>31.4</v>
      </c>
      <c r="AM154">
        <v>0.02</v>
      </c>
      <c r="AN154" t="s">
        <v>67</v>
      </c>
      <c r="AO154">
        <v>41</v>
      </c>
      <c r="AP154">
        <v>3</v>
      </c>
      <c r="AQ154" t="s">
        <v>67</v>
      </c>
      <c r="AR154" t="s">
        <v>69</v>
      </c>
      <c r="AS154" t="s">
        <v>69</v>
      </c>
      <c r="AT154" t="s">
        <v>70</v>
      </c>
      <c r="AU154" t="s">
        <v>232</v>
      </c>
      <c r="AV154" t="s">
        <v>72</v>
      </c>
      <c r="AX154" t="s">
        <v>73</v>
      </c>
      <c r="AY154">
        <v>4.8780000000000001</v>
      </c>
      <c r="AZ154">
        <v>4.87805</v>
      </c>
      <c r="BA154">
        <v>0.13</v>
      </c>
      <c r="BC154">
        <v>4</v>
      </c>
      <c r="BD154">
        <v>4.9919000000000002</v>
      </c>
      <c r="BE154">
        <v>4.991869919</v>
      </c>
      <c r="BF154">
        <v>6.5000000000000002E-2</v>
      </c>
      <c r="BH154">
        <v>2</v>
      </c>
      <c r="BI154" t="s">
        <v>67</v>
      </c>
      <c r="BJ154">
        <v>7</v>
      </c>
      <c r="BK154">
        <v>2.3099999999999999E-2</v>
      </c>
      <c r="BL154">
        <v>8.9999999999999998E-4</v>
      </c>
    </row>
    <row r="155" spans="1:64" hidden="1" x14ac:dyDescent="0.2">
      <c r="A155">
        <v>145</v>
      </c>
      <c r="D155" t="s">
        <v>54</v>
      </c>
      <c r="E155">
        <v>2016</v>
      </c>
      <c r="F155" t="s">
        <v>198</v>
      </c>
      <c r="G155" t="s">
        <v>124</v>
      </c>
      <c r="H155" t="s">
        <v>57</v>
      </c>
      <c r="K155" t="s">
        <v>234</v>
      </c>
      <c r="L155" t="s">
        <v>200</v>
      </c>
      <c r="M155" t="s">
        <v>81</v>
      </c>
      <c r="N155" t="s">
        <v>81</v>
      </c>
      <c r="O155" t="s">
        <v>62</v>
      </c>
      <c r="P155" t="s">
        <v>63</v>
      </c>
      <c r="Q155" t="s">
        <v>64</v>
      </c>
      <c r="R155" t="s">
        <v>65</v>
      </c>
      <c r="S155" t="s">
        <v>74</v>
      </c>
      <c r="T155" t="s">
        <v>64</v>
      </c>
      <c r="U155" t="s">
        <v>75</v>
      </c>
      <c r="V155">
        <v>410</v>
      </c>
      <c r="W155">
        <v>19.16</v>
      </c>
      <c r="X155" t="s">
        <v>67</v>
      </c>
      <c r="Y155" t="s">
        <v>96</v>
      </c>
      <c r="Z155">
        <v>8.08</v>
      </c>
      <c r="AA155">
        <v>0.05</v>
      </c>
      <c r="AB155" t="s">
        <v>67</v>
      </c>
      <c r="AC155">
        <v>440</v>
      </c>
      <c r="AD155">
        <v>27.7</v>
      </c>
      <c r="AE155" t="s">
        <v>67</v>
      </c>
      <c r="AF155">
        <v>8</v>
      </c>
      <c r="AG155">
        <v>0.11</v>
      </c>
      <c r="AH155" t="s">
        <v>67</v>
      </c>
      <c r="AI155">
        <v>15.2</v>
      </c>
      <c r="AJ155">
        <v>0.7</v>
      </c>
      <c r="AK155" t="s">
        <v>67</v>
      </c>
      <c r="AL155">
        <v>20.2</v>
      </c>
      <c r="AM155">
        <v>0.6</v>
      </c>
      <c r="AN155" t="s">
        <v>67</v>
      </c>
      <c r="AO155">
        <v>29</v>
      </c>
      <c r="AP155">
        <v>5</v>
      </c>
      <c r="AQ155" t="s">
        <v>218</v>
      </c>
      <c r="AR155" t="s">
        <v>235</v>
      </c>
      <c r="AS155" t="s">
        <v>236</v>
      </c>
      <c r="AT155" t="s">
        <v>70</v>
      </c>
      <c r="AU155" t="s">
        <v>237</v>
      </c>
      <c r="AV155" t="s">
        <v>132</v>
      </c>
      <c r="AX155" t="s">
        <v>73</v>
      </c>
      <c r="AY155">
        <v>5.3926999999999996</v>
      </c>
      <c r="AZ155">
        <v>5.39269</v>
      </c>
      <c r="BA155">
        <v>0.13</v>
      </c>
      <c r="BC155">
        <v>7</v>
      </c>
      <c r="BD155">
        <v>4.7404000000000002</v>
      </c>
      <c r="BE155">
        <v>4.7403936270000004</v>
      </c>
      <c r="BF155">
        <v>7.8700000000000006E-2</v>
      </c>
      <c r="BH155">
        <v>7</v>
      </c>
      <c r="BI155">
        <v>240</v>
      </c>
      <c r="BJ155">
        <v>7</v>
      </c>
      <c r="BK155">
        <v>-0.12889999999999999</v>
      </c>
      <c r="BL155">
        <v>8.9999999999999998E-4</v>
      </c>
    </row>
    <row r="156" spans="1:64" x14ac:dyDescent="0.2">
      <c r="A156">
        <v>175</v>
      </c>
      <c r="B156" t="str">
        <f>ROW()-1&amp;"_AltersFish"</f>
        <v>155_AltersFish</v>
      </c>
      <c r="C156" t="str">
        <f>A156 &amp; "_" &amp; P156 &amp; "_" &amp;
SUBSTITUTE(TRIM(L156)," ","_") &amp;
"_pH" &amp; TEXT(Z156,"0.00") &amp;
"_T" &amp; TEXT(AI156,"0.00") &amp;
"_CO2" &amp; TEXT(V156,"0") &amp;
"_LANG"</f>
        <v>175_EMBRYO_Clupea_harengus_pH8.15_T6.20_CO2415_LANG</v>
      </c>
      <c r="D156" t="s">
        <v>54</v>
      </c>
      <c r="E156">
        <v>2018</v>
      </c>
      <c r="F156" t="s">
        <v>180</v>
      </c>
      <c r="G156" t="s">
        <v>181</v>
      </c>
      <c r="H156" t="s">
        <v>78</v>
      </c>
      <c r="I156" t="s">
        <v>540</v>
      </c>
      <c r="J156" t="s">
        <v>543</v>
      </c>
      <c r="K156" t="s">
        <v>79</v>
      </c>
      <c r="L156" t="s">
        <v>182</v>
      </c>
      <c r="M156" t="s">
        <v>81</v>
      </c>
      <c r="N156" t="s">
        <v>81</v>
      </c>
      <c r="O156" t="s">
        <v>62</v>
      </c>
      <c r="P156" t="s">
        <v>82</v>
      </c>
      <c r="Q156" t="s">
        <v>64</v>
      </c>
      <c r="R156" t="s">
        <v>83</v>
      </c>
      <c r="S156" t="s">
        <v>74</v>
      </c>
      <c r="T156" t="s">
        <v>64</v>
      </c>
      <c r="U156" t="s">
        <v>75</v>
      </c>
      <c r="V156">
        <v>415</v>
      </c>
      <c r="W156" t="s">
        <v>67</v>
      </c>
      <c r="X156">
        <v>10</v>
      </c>
      <c r="Y156" t="s">
        <v>183</v>
      </c>
      <c r="Z156">
        <v>8.15</v>
      </c>
      <c r="AA156" t="s">
        <v>67</v>
      </c>
      <c r="AB156">
        <v>0.02</v>
      </c>
      <c r="AC156">
        <v>403</v>
      </c>
      <c r="AD156" t="s">
        <v>67</v>
      </c>
      <c r="AE156">
        <v>12</v>
      </c>
      <c r="AF156">
        <v>8.18</v>
      </c>
      <c r="AG156" t="s">
        <v>67</v>
      </c>
      <c r="AH156">
        <v>0.02</v>
      </c>
      <c r="AI156">
        <v>6.2</v>
      </c>
      <c r="AJ156" t="s">
        <v>67</v>
      </c>
      <c r="AK156">
        <v>0.06</v>
      </c>
      <c r="AL156">
        <v>14.1</v>
      </c>
      <c r="AM156" t="s">
        <v>67</v>
      </c>
      <c r="AN156">
        <v>0.2</v>
      </c>
      <c r="AO156">
        <v>-12</v>
      </c>
      <c r="AP156">
        <v>7.9</v>
      </c>
      <c r="AQ156" t="s">
        <v>67</v>
      </c>
      <c r="AR156" t="s">
        <v>512</v>
      </c>
      <c r="AS156" t="s">
        <v>361</v>
      </c>
      <c r="AT156" t="s">
        <v>70</v>
      </c>
      <c r="AU156" t="s">
        <v>369</v>
      </c>
      <c r="AV156" t="s">
        <v>132</v>
      </c>
      <c r="AW156" t="s">
        <v>132</v>
      </c>
      <c r="AX156" t="s">
        <v>73</v>
      </c>
      <c r="AY156">
        <v>4.5273000000000003</v>
      </c>
      <c r="AZ156">
        <v>4.5272699999999997</v>
      </c>
      <c r="BA156">
        <v>0.96</v>
      </c>
      <c r="BB156">
        <f>BA156*SQRT(BC156)</f>
        <v>1.662768775266122</v>
      </c>
      <c r="BC156">
        <v>3</v>
      </c>
      <c r="BD156">
        <v>5.9455</v>
      </c>
      <c r="BE156">
        <v>5.9454545449999996</v>
      </c>
      <c r="BF156">
        <v>1.0545</v>
      </c>
      <c r="BG156">
        <f>BF156*SQRT(BH156)</f>
        <v>1.826447576581381</v>
      </c>
      <c r="BH156">
        <v>3</v>
      </c>
      <c r="BI156">
        <v>11</v>
      </c>
      <c r="BJ156">
        <v>6</v>
      </c>
      <c r="BK156">
        <v>0.27250000000000002</v>
      </c>
      <c r="BL156">
        <v>7.6799999999999993E-2</v>
      </c>
    </row>
    <row r="157" spans="1:64" hidden="1" x14ac:dyDescent="0.2">
      <c r="A157">
        <v>171</v>
      </c>
      <c r="D157" t="s">
        <v>54</v>
      </c>
      <c r="E157">
        <v>2015</v>
      </c>
      <c r="F157" t="s">
        <v>198</v>
      </c>
      <c r="G157" t="s">
        <v>199</v>
      </c>
      <c r="H157" t="s">
        <v>57</v>
      </c>
      <c r="K157" t="s">
        <v>79</v>
      </c>
      <c r="L157" t="s">
        <v>200</v>
      </c>
      <c r="M157" t="s">
        <v>81</v>
      </c>
      <c r="N157" t="s">
        <v>81</v>
      </c>
      <c r="O157" t="s">
        <v>62</v>
      </c>
      <c r="P157" t="s">
        <v>63</v>
      </c>
      <c r="Q157" t="s">
        <v>64</v>
      </c>
      <c r="R157" t="s">
        <v>65</v>
      </c>
      <c r="S157" t="s">
        <v>64</v>
      </c>
      <c r="T157" t="s">
        <v>64</v>
      </c>
      <c r="U157" t="s">
        <v>66</v>
      </c>
      <c r="V157">
        <v>422.07</v>
      </c>
      <c r="W157" t="s">
        <v>67</v>
      </c>
      <c r="X157">
        <v>16.57</v>
      </c>
      <c r="Y157" t="s">
        <v>96</v>
      </c>
      <c r="Z157">
        <v>8.1</v>
      </c>
      <c r="AA157" t="s">
        <v>67</v>
      </c>
      <c r="AB157">
        <v>0.05</v>
      </c>
      <c r="AC157">
        <v>1075</v>
      </c>
      <c r="AD157" t="s">
        <v>67</v>
      </c>
      <c r="AE157">
        <v>67.099999999999994</v>
      </c>
      <c r="AF157">
        <v>7.7</v>
      </c>
      <c r="AG157" t="s">
        <v>67</v>
      </c>
      <c r="AH157">
        <v>0.05</v>
      </c>
      <c r="AI157">
        <v>15</v>
      </c>
      <c r="AJ157" t="s">
        <v>67</v>
      </c>
      <c r="AK157">
        <v>0.5</v>
      </c>
      <c r="AL157">
        <v>18</v>
      </c>
      <c r="AM157" t="s">
        <v>67</v>
      </c>
      <c r="AN157">
        <v>0.5</v>
      </c>
      <c r="AO157">
        <v>653</v>
      </c>
      <c r="AP157">
        <v>3</v>
      </c>
      <c r="AQ157" t="s">
        <v>201</v>
      </c>
      <c r="AR157" t="s">
        <v>69</v>
      </c>
      <c r="AS157" t="s">
        <v>69</v>
      </c>
      <c r="AT157" t="s">
        <v>70</v>
      </c>
      <c r="AU157" t="s">
        <v>227</v>
      </c>
      <c r="AV157" t="s">
        <v>72</v>
      </c>
      <c r="AX157" t="s">
        <v>73</v>
      </c>
      <c r="AY157">
        <v>0.23400000000000001</v>
      </c>
      <c r="AZ157">
        <v>0.23400000000000001</v>
      </c>
      <c r="BA157">
        <v>0.01</v>
      </c>
      <c r="BC157">
        <v>77</v>
      </c>
      <c r="BD157">
        <v>0.124</v>
      </c>
      <c r="BE157">
        <v>0.124</v>
      </c>
      <c r="BF157">
        <v>2E-3</v>
      </c>
      <c r="BH157">
        <v>77</v>
      </c>
      <c r="BI157">
        <v>153</v>
      </c>
      <c r="BJ157">
        <v>5</v>
      </c>
      <c r="BK157">
        <v>-0.63500000000000001</v>
      </c>
      <c r="BL157">
        <v>8.9999999999999998E-4</v>
      </c>
    </row>
    <row r="158" spans="1:64" hidden="1" x14ac:dyDescent="0.2">
      <c r="A158">
        <v>171</v>
      </c>
      <c r="C158" t="s">
        <v>549</v>
      </c>
      <c r="D158" t="s">
        <v>54</v>
      </c>
      <c r="E158">
        <v>2015</v>
      </c>
      <c r="F158" t="s">
        <v>198</v>
      </c>
      <c r="G158" t="s">
        <v>199</v>
      </c>
      <c r="H158" t="s">
        <v>57</v>
      </c>
      <c r="K158" t="s">
        <v>79</v>
      </c>
      <c r="L158" t="s">
        <v>200</v>
      </c>
      <c r="M158" t="s">
        <v>81</v>
      </c>
      <c r="N158" t="s">
        <v>81</v>
      </c>
      <c r="O158" t="s">
        <v>62</v>
      </c>
      <c r="P158" t="s">
        <v>82</v>
      </c>
      <c r="Q158" t="s">
        <v>64</v>
      </c>
      <c r="R158" t="s">
        <v>65</v>
      </c>
      <c r="S158" t="s">
        <v>64</v>
      </c>
      <c r="T158" t="s">
        <v>74</v>
      </c>
      <c r="U158" t="s">
        <v>84</v>
      </c>
      <c r="V158">
        <v>422.07</v>
      </c>
      <c r="W158" t="s">
        <v>67</v>
      </c>
      <c r="X158">
        <v>16.57</v>
      </c>
      <c r="Y158" t="s">
        <v>96</v>
      </c>
      <c r="Z158">
        <v>8.1</v>
      </c>
      <c r="AA158" t="s">
        <v>67</v>
      </c>
      <c r="AB158">
        <v>0.05</v>
      </c>
      <c r="AC158">
        <v>1115.6199999999999</v>
      </c>
      <c r="AD158" t="s">
        <v>67</v>
      </c>
      <c r="AE158">
        <v>59.33</v>
      </c>
      <c r="AF158">
        <v>7.7</v>
      </c>
      <c r="AG158" t="s">
        <v>67</v>
      </c>
      <c r="AH158">
        <v>0.05</v>
      </c>
      <c r="AI158">
        <v>15</v>
      </c>
      <c r="AJ158" t="s">
        <v>67</v>
      </c>
      <c r="AK158">
        <v>0.5</v>
      </c>
      <c r="AL158">
        <v>15</v>
      </c>
      <c r="AM158" t="s">
        <v>67</v>
      </c>
      <c r="AN158">
        <v>0.5</v>
      </c>
      <c r="AO158">
        <v>694</v>
      </c>
      <c r="AP158">
        <v>0</v>
      </c>
      <c r="AQ158" t="s">
        <v>218</v>
      </c>
      <c r="AR158" t="s">
        <v>11</v>
      </c>
      <c r="AS158" t="s">
        <v>202</v>
      </c>
      <c r="AT158" t="s">
        <v>135</v>
      </c>
      <c r="AU158" t="s">
        <v>203</v>
      </c>
      <c r="AV158" t="s">
        <v>11</v>
      </c>
      <c r="AW158" t="s">
        <v>11</v>
      </c>
      <c r="AX158" t="s">
        <v>73</v>
      </c>
      <c r="AY158">
        <v>125.9516</v>
      </c>
      <c r="AZ158">
        <v>125.95156</v>
      </c>
      <c r="BA158">
        <v>2.77</v>
      </c>
      <c r="BC158">
        <v>23</v>
      </c>
      <c r="BD158">
        <v>194.46369999999999</v>
      </c>
      <c r="BE158">
        <v>194.4636678</v>
      </c>
      <c r="BF158">
        <v>4.1521999999999997</v>
      </c>
      <c r="BH158">
        <v>23</v>
      </c>
      <c r="BI158">
        <v>194</v>
      </c>
      <c r="BJ158">
        <v>5</v>
      </c>
      <c r="BK158">
        <v>0.43430000000000002</v>
      </c>
      <c r="BL158">
        <v>8.9999999999999998E-4</v>
      </c>
    </row>
    <row r="159" spans="1:64" x14ac:dyDescent="0.2">
      <c r="A159">
        <v>175</v>
      </c>
      <c r="B159" t="str">
        <f>ROW()-1&amp;"_AltersFish"</f>
        <v>158_AltersFish</v>
      </c>
      <c r="C159" t="str">
        <f>A159 &amp; "_" &amp; P159 &amp; "_" &amp;
SUBSTITUTE(TRIM(L159)," ","_") &amp;
"_pH" &amp; TEXT(Z159,"0.00") &amp;
"_T" &amp; TEXT(AI159,"0.00") &amp;
"_CO2" &amp; TEXT(V159,"0") &amp;
"_LANG"</f>
        <v>175_EMBRYO_Clupea_harengus_pH8.15_T6.20_CO2415_LANG</v>
      </c>
      <c r="D159" t="s">
        <v>54</v>
      </c>
      <c r="E159">
        <v>2018</v>
      </c>
      <c r="F159" t="s">
        <v>180</v>
      </c>
      <c r="G159" t="s">
        <v>181</v>
      </c>
      <c r="H159" t="s">
        <v>78</v>
      </c>
      <c r="I159" t="s">
        <v>540</v>
      </c>
      <c r="J159" t="s">
        <v>543</v>
      </c>
      <c r="K159" t="s">
        <v>79</v>
      </c>
      <c r="L159" t="s">
        <v>182</v>
      </c>
      <c r="M159" t="s">
        <v>81</v>
      </c>
      <c r="N159" t="s">
        <v>81</v>
      </c>
      <c r="O159" t="s">
        <v>62</v>
      </c>
      <c r="P159" t="s">
        <v>82</v>
      </c>
      <c r="Q159" t="s">
        <v>64</v>
      </c>
      <c r="R159" t="s">
        <v>83</v>
      </c>
      <c r="S159" t="s">
        <v>74</v>
      </c>
      <c r="T159" t="s">
        <v>64</v>
      </c>
      <c r="U159" t="s">
        <v>75</v>
      </c>
      <c r="V159">
        <v>415</v>
      </c>
      <c r="W159" t="s">
        <v>67</v>
      </c>
      <c r="X159">
        <v>10</v>
      </c>
      <c r="Y159" t="s">
        <v>183</v>
      </c>
      <c r="Z159">
        <v>8.15</v>
      </c>
      <c r="AA159" t="s">
        <v>67</v>
      </c>
      <c r="AB159">
        <v>0.02</v>
      </c>
      <c r="AC159">
        <v>408</v>
      </c>
      <c r="AD159" t="s">
        <v>67</v>
      </c>
      <c r="AE159">
        <v>10</v>
      </c>
      <c r="AF159">
        <v>8.17</v>
      </c>
      <c r="AG159" t="s">
        <v>67</v>
      </c>
      <c r="AH159">
        <v>0.02</v>
      </c>
      <c r="AI159">
        <v>6.2</v>
      </c>
      <c r="AJ159" t="s">
        <v>67</v>
      </c>
      <c r="AK159">
        <v>0.06</v>
      </c>
      <c r="AL159">
        <v>10</v>
      </c>
      <c r="AM159" t="s">
        <v>67</v>
      </c>
      <c r="AN159">
        <v>0.06</v>
      </c>
      <c r="AO159">
        <v>-7</v>
      </c>
      <c r="AP159">
        <v>3.9</v>
      </c>
      <c r="AQ159" t="s">
        <v>67</v>
      </c>
      <c r="AR159" t="s">
        <v>512</v>
      </c>
      <c r="AS159" t="s">
        <v>361</v>
      </c>
      <c r="AT159" t="s">
        <v>70</v>
      </c>
      <c r="AU159" t="s">
        <v>369</v>
      </c>
      <c r="AV159" t="s">
        <v>132</v>
      </c>
      <c r="AW159" t="s">
        <v>132</v>
      </c>
      <c r="AX159" t="s">
        <v>73</v>
      </c>
      <c r="AY159">
        <v>4.5273000000000003</v>
      </c>
      <c r="AZ159">
        <v>4.5272699999999997</v>
      </c>
      <c r="BA159">
        <v>0.96</v>
      </c>
      <c r="BB159">
        <f>BA159*SQRT(BC159)</f>
        <v>1.662768775266122</v>
      </c>
      <c r="BC159">
        <v>3</v>
      </c>
      <c r="BD159">
        <v>6.6726999999999999</v>
      </c>
      <c r="BE159">
        <v>6.6727272729999996</v>
      </c>
      <c r="BF159">
        <v>1.2363999999999999</v>
      </c>
      <c r="BG159">
        <f>BF159*SQRT(BH159)</f>
        <v>2.1415076184781596</v>
      </c>
      <c r="BH159">
        <v>3</v>
      </c>
      <c r="BI159">
        <v>16</v>
      </c>
      <c r="BJ159">
        <v>6</v>
      </c>
      <c r="BK159">
        <v>0.38790000000000002</v>
      </c>
      <c r="BL159">
        <v>7.9600000000000004E-2</v>
      </c>
    </row>
    <row r="160" spans="1:64" hidden="1" x14ac:dyDescent="0.2">
      <c r="A160">
        <v>141</v>
      </c>
      <c r="D160" t="s">
        <v>54</v>
      </c>
      <c r="E160">
        <v>2015</v>
      </c>
      <c r="F160" t="s">
        <v>91</v>
      </c>
      <c r="G160" t="s">
        <v>92</v>
      </c>
      <c r="H160" t="s">
        <v>78</v>
      </c>
      <c r="K160" t="s">
        <v>93</v>
      </c>
      <c r="L160" t="s">
        <v>94</v>
      </c>
      <c r="M160" t="s">
        <v>95</v>
      </c>
      <c r="N160" t="s">
        <v>61</v>
      </c>
      <c r="O160" t="s">
        <v>62</v>
      </c>
      <c r="P160" t="s">
        <v>196</v>
      </c>
      <c r="Q160" t="s">
        <v>64</v>
      </c>
      <c r="R160" t="s">
        <v>83</v>
      </c>
      <c r="S160" t="s">
        <v>74</v>
      </c>
      <c r="T160" t="s">
        <v>64</v>
      </c>
      <c r="U160" t="s">
        <v>75</v>
      </c>
      <c r="V160">
        <v>400</v>
      </c>
      <c r="W160">
        <v>6</v>
      </c>
      <c r="X160" t="s">
        <v>67</v>
      </c>
      <c r="Y160" t="s">
        <v>96</v>
      </c>
      <c r="Z160">
        <v>8.15</v>
      </c>
      <c r="AA160">
        <v>0.01</v>
      </c>
      <c r="AB160" t="s">
        <v>67</v>
      </c>
      <c r="AC160">
        <v>411</v>
      </c>
      <c r="AD160">
        <v>6</v>
      </c>
      <c r="AE160" t="s">
        <v>67</v>
      </c>
      <c r="AF160">
        <v>8.14</v>
      </c>
      <c r="AG160">
        <v>0.01</v>
      </c>
      <c r="AH160" t="s">
        <v>67</v>
      </c>
      <c r="AI160">
        <v>28.4</v>
      </c>
      <c r="AJ160">
        <v>0.01</v>
      </c>
      <c r="AK160" t="s">
        <v>67</v>
      </c>
      <c r="AL160">
        <v>29.8</v>
      </c>
      <c r="AM160">
        <v>0.02</v>
      </c>
      <c r="AN160" t="s">
        <v>67</v>
      </c>
      <c r="AO160">
        <v>11</v>
      </c>
      <c r="AP160">
        <v>1.4</v>
      </c>
      <c r="AQ160" t="s">
        <v>67</v>
      </c>
      <c r="AR160" t="s">
        <v>69</v>
      </c>
      <c r="AS160" t="s">
        <v>69</v>
      </c>
      <c r="AT160" t="s">
        <v>70</v>
      </c>
      <c r="AU160" t="s">
        <v>232</v>
      </c>
      <c r="AV160" t="s">
        <v>72</v>
      </c>
      <c r="AX160" t="s">
        <v>73</v>
      </c>
      <c r="AY160">
        <v>4.8780000000000001</v>
      </c>
      <c r="AZ160">
        <v>4.87805</v>
      </c>
      <c r="BA160">
        <v>0.13</v>
      </c>
      <c r="BC160">
        <v>4</v>
      </c>
      <c r="BD160">
        <v>4.9268000000000001</v>
      </c>
      <c r="BE160">
        <v>4.9268292679999997</v>
      </c>
      <c r="BF160">
        <v>8.1299999999999997E-2</v>
      </c>
      <c r="BH160">
        <v>4</v>
      </c>
      <c r="BI160" t="s">
        <v>67</v>
      </c>
      <c r="BJ160">
        <v>7</v>
      </c>
      <c r="BK160">
        <v>0.01</v>
      </c>
      <c r="BL160">
        <v>1E-3</v>
      </c>
    </row>
    <row r="161" spans="1:64" x14ac:dyDescent="0.2">
      <c r="A161">
        <v>175</v>
      </c>
      <c r="B161" t="str">
        <f>ROW()-1&amp;"_AltersFish"</f>
        <v>160_AltersFish</v>
      </c>
      <c r="C161" t="str">
        <f>A161 &amp; "_" &amp; P161 &amp; "_" &amp;
SUBSTITUTE(TRIM(L161)," ","_") &amp;
"_pH" &amp; TEXT(Z161,"0.00") &amp;
"_T" &amp; TEXT(AI161,"0.00") &amp;
"_CO2" &amp; TEXT(V161,"0") &amp;
"_LANG"</f>
        <v>175_EMBRYO_Clupea_harengus_pH8.15_T6.20_CO2415_LANG</v>
      </c>
      <c r="D161" t="s">
        <v>54</v>
      </c>
      <c r="E161">
        <v>2018</v>
      </c>
      <c r="F161" t="s">
        <v>180</v>
      </c>
      <c r="G161" t="s">
        <v>181</v>
      </c>
      <c r="H161" t="s">
        <v>78</v>
      </c>
      <c r="I161" t="s">
        <v>540</v>
      </c>
      <c r="J161" t="s">
        <v>543</v>
      </c>
      <c r="K161" t="s">
        <v>79</v>
      </c>
      <c r="L161" t="s">
        <v>182</v>
      </c>
      <c r="M161" t="s">
        <v>81</v>
      </c>
      <c r="N161" t="s">
        <v>81</v>
      </c>
      <c r="O161" t="s">
        <v>62</v>
      </c>
      <c r="P161" t="s">
        <v>82</v>
      </c>
      <c r="Q161" t="s">
        <v>64</v>
      </c>
      <c r="R161" t="s">
        <v>83</v>
      </c>
      <c r="S161" t="s">
        <v>74</v>
      </c>
      <c r="T161" t="s">
        <v>64</v>
      </c>
      <c r="U161" t="s">
        <v>75</v>
      </c>
      <c r="V161">
        <v>415</v>
      </c>
      <c r="W161" t="s">
        <v>67</v>
      </c>
      <c r="X161">
        <v>10</v>
      </c>
      <c r="Y161" t="s">
        <v>183</v>
      </c>
      <c r="Z161">
        <v>8.15</v>
      </c>
      <c r="AA161" t="s">
        <v>67</v>
      </c>
      <c r="AB161">
        <v>0.02</v>
      </c>
      <c r="AC161">
        <v>403</v>
      </c>
      <c r="AD161" t="s">
        <v>67</v>
      </c>
      <c r="AE161">
        <v>12</v>
      </c>
      <c r="AF161">
        <v>8.18</v>
      </c>
      <c r="AG161" t="s">
        <v>67</v>
      </c>
      <c r="AH161">
        <v>0.02</v>
      </c>
      <c r="AI161">
        <v>6.2</v>
      </c>
      <c r="AJ161" t="s">
        <v>67</v>
      </c>
      <c r="AK161">
        <v>0.06</v>
      </c>
      <c r="AL161">
        <v>14.1</v>
      </c>
      <c r="AM161" t="s">
        <v>67</v>
      </c>
      <c r="AN161">
        <v>0.2</v>
      </c>
      <c r="AO161">
        <v>-12</v>
      </c>
      <c r="AP161">
        <v>7.9</v>
      </c>
      <c r="AQ161" t="s">
        <v>67</v>
      </c>
      <c r="AR161" t="s">
        <v>184</v>
      </c>
      <c r="AS161" t="s">
        <v>145</v>
      </c>
      <c r="AT161" t="s">
        <v>70</v>
      </c>
      <c r="AU161" t="s">
        <v>185</v>
      </c>
      <c r="AV161" t="s">
        <v>11</v>
      </c>
      <c r="AW161" t="s">
        <v>11</v>
      </c>
      <c r="AX161" t="s">
        <v>90</v>
      </c>
      <c r="AY161">
        <v>5.5110000000000001</v>
      </c>
      <c r="AZ161">
        <v>94.488979999999998</v>
      </c>
      <c r="BA161">
        <v>1.3</v>
      </c>
      <c r="BB161">
        <f>BA161*SQRT(BC161)</f>
        <v>3.1843366656181313</v>
      </c>
      <c r="BC161">
        <v>6</v>
      </c>
      <c r="BD161">
        <v>8.9177999999999997</v>
      </c>
      <c r="BE161">
        <v>91.08</v>
      </c>
      <c r="BF161">
        <v>0.55110000000000003</v>
      </c>
      <c r="BG161">
        <f>BF161*SQRT(BH161)</f>
        <v>1.3499137972478095</v>
      </c>
      <c r="BH161">
        <v>6</v>
      </c>
      <c r="BI161">
        <v>11</v>
      </c>
      <c r="BJ161">
        <v>6</v>
      </c>
      <c r="BK161">
        <v>-3.6700000000000003E-2</v>
      </c>
      <c r="BL161">
        <v>2.0000000000000001E-4</v>
      </c>
    </row>
    <row r="162" spans="1:64" hidden="1" x14ac:dyDescent="0.2">
      <c r="A162">
        <v>233</v>
      </c>
      <c r="D162" t="s">
        <v>54</v>
      </c>
      <c r="E162">
        <v>2018</v>
      </c>
      <c r="F162" t="s">
        <v>208</v>
      </c>
      <c r="G162" t="s">
        <v>209</v>
      </c>
      <c r="H162" t="s">
        <v>78</v>
      </c>
      <c r="L162" t="s">
        <v>210</v>
      </c>
      <c r="P162" t="s">
        <v>63</v>
      </c>
      <c r="S162" t="s">
        <v>64</v>
      </c>
      <c r="T162" t="s">
        <v>64</v>
      </c>
      <c r="U162" t="s">
        <v>66</v>
      </c>
      <c r="V162">
        <v>500</v>
      </c>
      <c r="AC162">
        <v>1597</v>
      </c>
      <c r="AI162">
        <v>19.2</v>
      </c>
      <c r="AL162">
        <v>24.3</v>
      </c>
      <c r="AO162">
        <v>1097</v>
      </c>
      <c r="AP162">
        <v>5.0999999999999996</v>
      </c>
      <c r="AR162" t="s">
        <v>211</v>
      </c>
      <c r="AS162" t="s">
        <v>69</v>
      </c>
      <c r="AT162" t="s">
        <v>70</v>
      </c>
      <c r="AU162" t="s">
        <v>67</v>
      </c>
      <c r="AV162" t="s">
        <v>72</v>
      </c>
      <c r="AX162" t="s">
        <v>73</v>
      </c>
      <c r="AY162">
        <v>1.94</v>
      </c>
      <c r="AZ162">
        <v>1.94</v>
      </c>
      <c r="BA162">
        <v>3.3333333E-2</v>
      </c>
      <c r="BC162">
        <v>9</v>
      </c>
      <c r="BD162">
        <v>1.88</v>
      </c>
      <c r="BE162">
        <v>1.88</v>
      </c>
      <c r="BF162">
        <v>0.05</v>
      </c>
      <c r="BH162">
        <v>9</v>
      </c>
      <c r="BI162">
        <v>28</v>
      </c>
      <c r="BK162">
        <v>-3.1399999999999997E-2</v>
      </c>
      <c r="BL162">
        <v>1E-3</v>
      </c>
    </row>
    <row r="163" spans="1:64" x14ac:dyDescent="0.2">
      <c r="A163">
        <v>175</v>
      </c>
      <c r="B163" t="str">
        <f>ROW()-1&amp;"_AltersFish"</f>
        <v>162_AltersFish</v>
      </c>
      <c r="C163" t="str">
        <f>A163 &amp; "_" &amp; P163 &amp; "_" &amp;
SUBSTITUTE(TRIM(L163)," ","_") &amp;
"_pH" &amp; TEXT(Z163,"0.00") &amp;
"_T" &amp; TEXT(AI163,"0.00") &amp;
"_CO2" &amp; TEXT(V163,"0") &amp;
"_LANG"</f>
        <v>175_EMBRYO_Clupea_harengus_pH8.15_T6.20_CO2415_LANG</v>
      </c>
      <c r="D163" t="s">
        <v>54</v>
      </c>
      <c r="E163">
        <v>2018</v>
      </c>
      <c r="F163" t="s">
        <v>180</v>
      </c>
      <c r="G163" t="s">
        <v>181</v>
      </c>
      <c r="H163" t="s">
        <v>78</v>
      </c>
      <c r="I163" t="s">
        <v>540</v>
      </c>
      <c r="J163" t="s">
        <v>543</v>
      </c>
      <c r="K163" t="s">
        <v>79</v>
      </c>
      <c r="L163" t="s">
        <v>182</v>
      </c>
      <c r="M163" t="s">
        <v>81</v>
      </c>
      <c r="N163" t="s">
        <v>81</v>
      </c>
      <c r="O163" t="s">
        <v>62</v>
      </c>
      <c r="P163" t="s">
        <v>82</v>
      </c>
      <c r="Q163" t="s">
        <v>64</v>
      </c>
      <c r="R163" t="s">
        <v>83</v>
      </c>
      <c r="S163" t="s">
        <v>64</v>
      </c>
      <c r="T163" t="s">
        <v>74</v>
      </c>
      <c r="U163" t="s">
        <v>84</v>
      </c>
      <c r="V163">
        <v>415</v>
      </c>
      <c r="W163" t="s">
        <v>67</v>
      </c>
      <c r="X163">
        <v>10</v>
      </c>
      <c r="Y163" t="s">
        <v>183</v>
      </c>
      <c r="Z163">
        <v>8.15</v>
      </c>
      <c r="AA163" t="s">
        <v>67</v>
      </c>
      <c r="AB163">
        <v>0.02</v>
      </c>
      <c r="AC163">
        <v>1101</v>
      </c>
      <c r="AD163" t="s">
        <v>67</v>
      </c>
      <c r="AE163">
        <v>47</v>
      </c>
      <c r="AF163">
        <v>7.77</v>
      </c>
      <c r="AG163" t="s">
        <v>67</v>
      </c>
      <c r="AH163">
        <v>0.02</v>
      </c>
      <c r="AI163">
        <v>6.2</v>
      </c>
      <c r="AJ163" t="s">
        <v>67</v>
      </c>
      <c r="AK163">
        <v>0.06</v>
      </c>
      <c r="AL163">
        <v>6.2</v>
      </c>
      <c r="AM163" t="s">
        <v>67</v>
      </c>
      <c r="AN163">
        <v>0.06</v>
      </c>
      <c r="AO163">
        <v>686</v>
      </c>
      <c r="AP163">
        <v>0</v>
      </c>
      <c r="AQ163" t="s">
        <v>67</v>
      </c>
      <c r="AR163" t="s">
        <v>184</v>
      </c>
      <c r="AS163" t="s">
        <v>145</v>
      </c>
      <c r="AT163" t="s">
        <v>70</v>
      </c>
      <c r="AU163" t="s">
        <v>185</v>
      </c>
      <c r="AV163" t="s">
        <v>11</v>
      </c>
      <c r="AW163" t="s">
        <v>11</v>
      </c>
      <c r="AX163" t="s">
        <v>90</v>
      </c>
      <c r="AY163">
        <v>5.5110000000000001</v>
      </c>
      <c r="AZ163">
        <v>94.488979999999998</v>
      </c>
      <c r="BA163">
        <v>1.3</v>
      </c>
      <c r="BB163">
        <f>BA163*SQRT(BC163)</f>
        <v>3.1843366656181313</v>
      </c>
      <c r="BC163">
        <v>6</v>
      </c>
      <c r="BD163">
        <v>11.9739</v>
      </c>
      <c r="BE163">
        <v>88.03</v>
      </c>
      <c r="BF163">
        <v>1.6032</v>
      </c>
      <c r="BG163">
        <f>BF163*SQRT(BH163)</f>
        <v>3.9270219556299906</v>
      </c>
      <c r="BH163">
        <v>6</v>
      </c>
      <c r="BI163">
        <v>27</v>
      </c>
      <c r="BJ163">
        <v>6</v>
      </c>
      <c r="BK163">
        <v>-7.0900000000000005E-2</v>
      </c>
      <c r="BL163">
        <v>5.0000000000000001E-4</v>
      </c>
    </row>
    <row r="164" spans="1:64" hidden="1" x14ac:dyDescent="0.2">
      <c r="A164">
        <v>145</v>
      </c>
      <c r="D164" t="s">
        <v>54</v>
      </c>
      <c r="E164">
        <v>2016</v>
      </c>
      <c r="F164" t="s">
        <v>198</v>
      </c>
      <c r="G164" t="s">
        <v>124</v>
      </c>
      <c r="H164" t="s">
        <v>57</v>
      </c>
      <c r="K164" t="s">
        <v>234</v>
      </c>
      <c r="L164" t="s">
        <v>200</v>
      </c>
      <c r="M164" t="s">
        <v>81</v>
      </c>
      <c r="N164" t="s">
        <v>81</v>
      </c>
      <c r="O164" t="s">
        <v>62</v>
      </c>
      <c r="P164" t="s">
        <v>63</v>
      </c>
      <c r="Q164" t="s">
        <v>64</v>
      </c>
      <c r="R164" t="s">
        <v>65</v>
      </c>
      <c r="S164" t="s">
        <v>64</v>
      </c>
      <c r="T164" t="s">
        <v>74</v>
      </c>
      <c r="U164" t="s">
        <v>84</v>
      </c>
      <c r="V164">
        <v>410</v>
      </c>
      <c r="W164">
        <v>19.16</v>
      </c>
      <c r="X164" t="s">
        <v>67</v>
      </c>
      <c r="Y164" t="s">
        <v>96</v>
      </c>
      <c r="Z164">
        <v>8.08</v>
      </c>
      <c r="AA164">
        <v>0.05</v>
      </c>
      <c r="AB164" t="s">
        <v>67</v>
      </c>
      <c r="AC164">
        <v>1122</v>
      </c>
      <c r="AD164">
        <v>69.81</v>
      </c>
      <c r="AE164" t="s">
        <v>67</v>
      </c>
      <c r="AF164">
        <v>7.73</v>
      </c>
      <c r="AG164">
        <v>0.06</v>
      </c>
      <c r="AH164" t="s">
        <v>67</v>
      </c>
      <c r="AI164">
        <v>15.2</v>
      </c>
      <c r="AJ164">
        <v>0.7</v>
      </c>
      <c r="AK164" t="s">
        <v>67</v>
      </c>
      <c r="AL164">
        <v>15</v>
      </c>
      <c r="AM164">
        <v>0.6</v>
      </c>
      <c r="AN164" t="s">
        <v>67</v>
      </c>
      <c r="AO164">
        <v>712</v>
      </c>
      <c r="AP164">
        <v>-0.2</v>
      </c>
      <c r="AQ164" t="s">
        <v>218</v>
      </c>
      <c r="AR164" t="s">
        <v>235</v>
      </c>
      <c r="AS164" t="s">
        <v>236</v>
      </c>
      <c r="AT164" t="s">
        <v>70</v>
      </c>
      <c r="AU164" t="s">
        <v>237</v>
      </c>
      <c r="AV164" t="s">
        <v>132</v>
      </c>
      <c r="AX164" t="s">
        <v>73</v>
      </c>
      <c r="AY164">
        <v>5.3926999999999996</v>
      </c>
      <c r="AZ164">
        <v>5.39269</v>
      </c>
      <c r="BA164">
        <v>0.13</v>
      </c>
      <c r="BC164">
        <v>7</v>
      </c>
      <c r="BD164">
        <v>5.1677999999999997</v>
      </c>
      <c r="BE164">
        <v>5.1677600750000003</v>
      </c>
      <c r="BF164">
        <v>0.1012</v>
      </c>
      <c r="BH164">
        <v>7</v>
      </c>
      <c r="BI164">
        <v>240</v>
      </c>
      <c r="BJ164">
        <v>7</v>
      </c>
      <c r="BK164">
        <v>-4.2599999999999999E-2</v>
      </c>
      <c r="BL164">
        <v>1E-3</v>
      </c>
    </row>
    <row r="165" spans="1:64" hidden="1" x14ac:dyDescent="0.2">
      <c r="A165">
        <v>141</v>
      </c>
      <c r="D165" t="s">
        <v>54</v>
      </c>
      <c r="E165">
        <v>2015</v>
      </c>
      <c r="F165" t="s">
        <v>91</v>
      </c>
      <c r="G165" t="s">
        <v>92</v>
      </c>
      <c r="H165" t="s">
        <v>78</v>
      </c>
      <c r="K165" t="s">
        <v>93</v>
      </c>
      <c r="L165" t="s">
        <v>94</v>
      </c>
      <c r="M165" t="s">
        <v>95</v>
      </c>
      <c r="N165" t="s">
        <v>61</v>
      </c>
      <c r="O165" t="s">
        <v>62</v>
      </c>
      <c r="P165" t="s">
        <v>196</v>
      </c>
      <c r="Q165" t="s">
        <v>64</v>
      </c>
      <c r="R165" t="s">
        <v>83</v>
      </c>
      <c r="S165" t="s">
        <v>64</v>
      </c>
      <c r="T165" t="s">
        <v>74</v>
      </c>
      <c r="U165" t="s">
        <v>84</v>
      </c>
      <c r="V165">
        <v>400</v>
      </c>
      <c r="W165">
        <v>6</v>
      </c>
      <c r="X165" t="s">
        <v>67</v>
      </c>
      <c r="Y165" t="s">
        <v>96</v>
      </c>
      <c r="Z165">
        <v>8.15</v>
      </c>
      <c r="AA165">
        <v>0.01</v>
      </c>
      <c r="AB165" t="s">
        <v>67</v>
      </c>
      <c r="AC165">
        <v>634</v>
      </c>
      <c r="AD165">
        <v>13</v>
      </c>
      <c r="AE165" t="s">
        <v>67</v>
      </c>
      <c r="AF165">
        <v>8</v>
      </c>
      <c r="AG165">
        <v>0.01</v>
      </c>
      <c r="AH165" t="s">
        <v>67</v>
      </c>
      <c r="AI165">
        <v>28.4</v>
      </c>
      <c r="AJ165">
        <v>0.01</v>
      </c>
      <c r="AK165" t="s">
        <v>67</v>
      </c>
      <c r="AL165">
        <v>28.5</v>
      </c>
      <c r="AM165">
        <v>0.01</v>
      </c>
      <c r="AN165" t="s">
        <v>67</v>
      </c>
      <c r="AO165">
        <v>234</v>
      </c>
      <c r="AP165">
        <v>0.1</v>
      </c>
      <c r="AQ165" t="s">
        <v>67</v>
      </c>
      <c r="AR165" t="s">
        <v>69</v>
      </c>
      <c r="AS165" t="s">
        <v>69</v>
      </c>
      <c r="AT165" t="s">
        <v>70</v>
      </c>
      <c r="AU165" t="s">
        <v>232</v>
      </c>
      <c r="AV165" t="s">
        <v>72</v>
      </c>
      <c r="AX165" t="s">
        <v>73</v>
      </c>
      <c r="AY165">
        <v>4.8780000000000001</v>
      </c>
      <c r="AZ165">
        <v>4.87805</v>
      </c>
      <c r="BA165">
        <v>0.13</v>
      </c>
      <c r="BC165">
        <v>4</v>
      </c>
      <c r="BD165">
        <v>5.1056999999999997</v>
      </c>
      <c r="BE165">
        <v>5.1056910569999996</v>
      </c>
      <c r="BF165">
        <v>9.7600000000000006E-2</v>
      </c>
      <c r="BH165">
        <v>5</v>
      </c>
      <c r="BI165" t="s">
        <v>67</v>
      </c>
      <c r="BJ165">
        <v>7</v>
      </c>
      <c r="BK165">
        <v>4.5600000000000002E-2</v>
      </c>
      <c r="BL165">
        <v>1.1000000000000001E-3</v>
      </c>
    </row>
    <row r="166" spans="1:64" x14ac:dyDescent="0.2">
      <c r="A166">
        <v>175</v>
      </c>
      <c r="B166" t="str">
        <f>ROW()-1&amp;"_AltersFish"</f>
        <v>165_AltersFish</v>
      </c>
      <c r="C166" t="str">
        <f>A166 &amp; "_" &amp; P166 &amp; "_" &amp;
SUBSTITUTE(TRIM(L166)," ","_") &amp;
"_pH" &amp; TEXT(Z166,"0.00") &amp;
"_T" &amp; TEXT(AI166,"0.00") &amp;
"_CO2" &amp; TEXT(V166,"0") &amp;
"_LANG"</f>
        <v>175_EMBRYO_Clupea_harengus_pH8.15_T6.20_CO2415_LANG</v>
      </c>
      <c r="D166" t="s">
        <v>54</v>
      </c>
      <c r="E166">
        <v>2018</v>
      </c>
      <c r="F166" t="s">
        <v>180</v>
      </c>
      <c r="G166" t="s">
        <v>181</v>
      </c>
      <c r="H166" t="s">
        <v>78</v>
      </c>
      <c r="I166" t="s">
        <v>540</v>
      </c>
      <c r="J166" t="s">
        <v>543</v>
      </c>
      <c r="K166" t="s">
        <v>79</v>
      </c>
      <c r="L166" t="s">
        <v>182</v>
      </c>
      <c r="M166" t="s">
        <v>81</v>
      </c>
      <c r="N166" t="s">
        <v>81</v>
      </c>
      <c r="O166" t="s">
        <v>62</v>
      </c>
      <c r="P166" t="s">
        <v>82</v>
      </c>
      <c r="Q166" t="s">
        <v>64</v>
      </c>
      <c r="R166" t="s">
        <v>83</v>
      </c>
      <c r="S166" t="s">
        <v>74</v>
      </c>
      <c r="T166" t="s">
        <v>64</v>
      </c>
      <c r="U166" t="s">
        <v>75</v>
      </c>
      <c r="V166">
        <v>415</v>
      </c>
      <c r="W166" t="s">
        <v>67</v>
      </c>
      <c r="X166">
        <v>10</v>
      </c>
      <c r="Y166" t="s">
        <v>183</v>
      </c>
      <c r="Z166">
        <v>8.15</v>
      </c>
      <c r="AA166" t="s">
        <v>67</v>
      </c>
      <c r="AB166">
        <v>0.02</v>
      </c>
      <c r="AC166">
        <v>408</v>
      </c>
      <c r="AD166" t="s">
        <v>67</v>
      </c>
      <c r="AE166">
        <v>10</v>
      </c>
      <c r="AF166">
        <v>8.17</v>
      </c>
      <c r="AG166" t="s">
        <v>67</v>
      </c>
      <c r="AH166">
        <v>0.02</v>
      </c>
      <c r="AI166">
        <v>6.2</v>
      </c>
      <c r="AJ166" t="s">
        <v>67</v>
      </c>
      <c r="AK166">
        <v>0.06</v>
      </c>
      <c r="AL166">
        <v>10</v>
      </c>
      <c r="AM166" t="s">
        <v>67</v>
      </c>
      <c r="AN166">
        <v>0.06</v>
      </c>
      <c r="AO166">
        <v>-7</v>
      </c>
      <c r="AP166">
        <v>3.9</v>
      </c>
      <c r="AQ166" t="s">
        <v>67</v>
      </c>
      <c r="AR166" t="s">
        <v>184</v>
      </c>
      <c r="AS166" t="s">
        <v>145</v>
      </c>
      <c r="AT166" t="s">
        <v>70</v>
      </c>
      <c r="AU166" t="s">
        <v>185</v>
      </c>
      <c r="AV166" t="s">
        <v>11</v>
      </c>
      <c r="AW166" t="s">
        <v>11</v>
      </c>
      <c r="AX166" t="s">
        <v>90</v>
      </c>
      <c r="AY166">
        <v>5.5110000000000001</v>
      </c>
      <c r="AZ166">
        <v>94.488979999999998</v>
      </c>
      <c r="BA166">
        <v>1.3</v>
      </c>
      <c r="BB166">
        <f>BA166*SQRT(BC166)</f>
        <v>3.1843366656181313</v>
      </c>
      <c r="BC166">
        <v>6</v>
      </c>
      <c r="BD166">
        <v>7.3146000000000004</v>
      </c>
      <c r="BE166">
        <v>92.69</v>
      </c>
      <c r="BF166">
        <v>2.4047999999999998</v>
      </c>
      <c r="BG166">
        <f>BF166*SQRT(BH166)</f>
        <v>5.8905329334449856</v>
      </c>
      <c r="BH166">
        <v>6</v>
      </c>
      <c r="BI166">
        <v>16</v>
      </c>
      <c r="BJ166">
        <v>6</v>
      </c>
      <c r="BK166">
        <v>-1.9300000000000001E-2</v>
      </c>
      <c r="BL166">
        <v>8.9999999999999998E-4</v>
      </c>
    </row>
    <row r="167" spans="1:64" hidden="1" x14ac:dyDescent="0.2">
      <c r="A167">
        <v>145</v>
      </c>
      <c r="D167" t="s">
        <v>54</v>
      </c>
      <c r="E167">
        <v>2016</v>
      </c>
      <c r="F167" t="s">
        <v>198</v>
      </c>
      <c r="G167" t="s">
        <v>124</v>
      </c>
      <c r="H167" t="s">
        <v>57</v>
      </c>
      <c r="K167" t="s">
        <v>234</v>
      </c>
      <c r="L167" t="s">
        <v>200</v>
      </c>
      <c r="M167" t="s">
        <v>81</v>
      </c>
      <c r="N167" t="s">
        <v>81</v>
      </c>
      <c r="O167" t="s">
        <v>62</v>
      </c>
      <c r="P167" t="s">
        <v>63</v>
      </c>
      <c r="Q167" t="s">
        <v>64</v>
      </c>
      <c r="R167" t="s">
        <v>65</v>
      </c>
      <c r="S167" t="s">
        <v>64</v>
      </c>
      <c r="T167" t="s">
        <v>64</v>
      </c>
      <c r="U167" t="s">
        <v>66</v>
      </c>
      <c r="V167">
        <v>410</v>
      </c>
      <c r="W167">
        <v>19.16</v>
      </c>
      <c r="X167" t="s">
        <v>67</v>
      </c>
      <c r="Y167" t="s">
        <v>96</v>
      </c>
      <c r="Z167">
        <v>8.08</v>
      </c>
      <c r="AA167">
        <v>0.05</v>
      </c>
      <c r="AB167" t="s">
        <v>67</v>
      </c>
      <c r="AC167">
        <v>1086</v>
      </c>
      <c r="AD167">
        <v>93.68</v>
      </c>
      <c r="AE167" t="s">
        <v>67</v>
      </c>
      <c r="AF167">
        <v>7.71</v>
      </c>
      <c r="AG167">
        <v>0.06</v>
      </c>
      <c r="AH167" t="s">
        <v>67</v>
      </c>
      <c r="AI167">
        <v>15.2</v>
      </c>
      <c r="AJ167">
        <v>0.7</v>
      </c>
      <c r="AK167" t="s">
        <v>67</v>
      </c>
      <c r="AL167">
        <v>17.899999999999999</v>
      </c>
      <c r="AM167">
        <v>0.5</v>
      </c>
      <c r="AN167" t="s">
        <v>67</v>
      </c>
      <c r="AO167">
        <v>676</v>
      </c>
      <c r="AP167">
        <v>2.7</v>
      </c>
      <c r="AQ167" t="s">
        <v>218</v>
      </c>
      <c r="AR167" t="s">
        <v>248</v>
      </c>
      <c r="AS167" t="s">
        <v>249</v>
      </c>
      <c r="AT167" t="s">
        <v>135</v>
      </c>
      <c r="AU167" t="s">
        <v>250</v>
      </c>
      <c r="AV167" t="s">
        <v>251</v>
      </c>
      <c r="AX167" t="s">
        <v>73</v>
      </c>
      <c r="AY167">
        <v>11.4848</v>
      </c>
      <c r="AZ167">
        <v>11.484819999999999</v>
      </c>
      <c r="BA167">
        <v>0.33</v>
      </c>
      <c r="BC167">
        <v>7</v>
      </c>
      <c r="BD167">
        <v>8.6812000000000005</v>
      </c>
      <c r="BE167">
        <v>8.681214421</v>
      </c>
      <c r="BF167">
        <v>0.14230000000000001</v>
      </c>
      <c r="BH167">
        <v>7</v>
      </c>
      <c r="BI167">
        <v>240</v>
      </c>
      <c r="BJ167">
        <v>7</v>
      </c>
      <c r="BK167">
        <v>-0.27989999999999998</v>
      </c>
      <c r="BL167">
        <v>1.1000000000000001E-3</v>
      </c>
    </row>
    <row r="168" spans="1:64" hidden="1" x14ac:dyDescent="0.2">
      <c r="A168">
        <v>233</v>
      </c>
      <c r="D168" t="s">
        <v>54</v>
      </c>
      <c r="E168">
        <v>2018</v>
      </c>
      <c r="F168" t="s">
        <v>208</v>
      </c>
      <c r="G168" t="s">
        <v>209</v>
      </c>
      <c r="H168" t="s">
        <v>78</v>
      </c>
      <c r="L168" t="s">
        <v>210</v>
      </c>
      <c r="P168" t="s">
        <v>63</v>
      </c>
      <c r="S168" t="s">
        <v>74</v>
      </c>
      <c r="T168" t="s">
        <v>64</v>
      </c>
      <c r="U168" t="s">
        <v>75</v>
      </c>
      <c r="V168">
        <v>500</v>
      </c>
      <c r="AC168">
        <v>542</v>
      </c>
      <c r="AI168">
        <v>19.2</v>
      </c>
      <c r="AL168">
        <v>24.3</v>
      </c>
      <c r="AO168">
        <v>42</v>
      </c>
      <c r="AP168">
        <v>5.0999999999999996</v>
      </c>
      <c r="AR168" t="s">
        <v>211</v>
      </c>
      <c r="AS168" t="s">
        <v>69</v>
      </c>
      <c r="AT168" t="s">
        <v>70</v>
      </c>
      <c r="AU168" t="s">
        <v>67</v>
      </c>
      <c r="AV168" t="s">
        <v>72</v>
      </c>
      <c r="AX168" t="s">
        <v>73</v>
      </c>
      <c r="AY168">
        <v>1.94</v>
      </c>
      <c r="AZ168">
        <v>1.94</v>
      </c>
      <c r="BA168">
        <v>3.3333333E-2</v>
      </c>
      <c r="BC168">
        <v>9</v>
      </c>
      <c r="BD168">
        <v>1.78</v>
      </c>
      <c r="BE168">
        <v>1.78</v>
      </c>
      <c r="BF168">
        <v>0.05</v>
      </c>
      <c r="BH168">
        <v>9</v>
      </c>
      <c r="BI168">
        <v>28</v>
      </c>
      <c r="BK168">
        <v>-8.6099999999999996E-2</v>
      </c>
      <c r="BL168">
        <v>1.1000000000000001E-3</v>
      </c>
    </row>
    <row r="169" spans="1:64" hidden="1" x14ac:dyDescent="0.2">
      <c r="A169">
        <v>170</v>
      </c>
      <c r="C169" t="s">
        <v>549</v>
      </c>
      <c r="D169" t="s">
        <v>54</v>
      </c>
      <c r="E169">
        <v>2014</v>
      </c>
      <c r="F169" t="s">
        <v>55</v>
      </c>
      <c r="G169" t="s">
        <v>56</v>
      </c>
      <c r="H169" t="s">
        <v>57</v>
      </c>
      <c r="K169" t="s">
        <v>58</v>
      </c>
      <c r="L169" t="s">
        <v>59</v>
      </c>
      <c r="M169" t="s">
        <v>60</v>
      </c>
      <c r="N169" t="s">
        <v>61</v>
      </c>
      <c r="O169" t="s">
        <v>62</v>
      </c>
      <c r="P169" t="s">
        <v>82</v>
      </c>
      <c r="Q169" t="s">
        <v>64</v>
      </c>
      <c r="R169" t="s">
        <v>65</v>
      </c>
      <c r="S169" t="s">
        <v>64</v>
      </c>
      <c r="T169" t="s">
        <v>74</v>
      </c>
      <c r="U169" t="s">
        <v>84</v>
      </c>
      <c r="V169">
        <v>371.86</v>
      </c>
      <c r="W169" t="s">
        <v>67</v>
      </c>
      <c r="X169">
        <v>51.93</v>
      </c>
      <c r="Y169" t="s">
        <v>68</v>
      </c>
      <c r="Z169">
        <v>8.02</v>
      </c>
      <c r="AA169" t="s">
        <v>67</v>
      </c>
      <c r="AB169">
        <v>0.05</v>
      </c>
      <c r="AC169">
        <v>1383.81</v>
      </c>
      <c r="AD169" t="s">
        <v>67</v>
      </c>
      <c r="AE169">
        <v>113.55</v>
      </c>
      <c r="AF169">
        <v>7.52</v>
      </c>
      <c r="AG169" t="s">
        <v>67</v>
      </c>
      <c r="AH169">
        <v>0.04</v>
      </c>
      <c r="AI169">
        <v>25.9</v>
      </c>
      <c r="AJ169" t="s">
        <v>67</v>
      </c>
      <c r="AK169">
        <v>0.7</v>
      </c>
      <c r="AL169">
        <v>26.2</v>
      </c>
      <c r="AM169" t="s">
        <v>67</v>
      </c>
      <c r="AN169">
        <v>0.5</v>
      </c>
      <c r="AO169">
        <v>1012</v>
      </c>
      <c r="AP169">
        <v>0.3</v>
      </c>
      <c r="AQ169" t="s">
        <v>67</v>
      </c>
      <c r="AR169" t="s">
        <v>252</v>
      </c>
      <c r="AS169" t="s">
        <v>134</v>
      </c>
      <c r="AT169" t="s">
        <v>135</v>
      </c>
      <c r="AU169" t="s">
        <v>253</v>
      </c>
      <c r="AV169" t="s">
        <v>137</v>
      </c>
      <c r="AW169" t="s">
        <v>132</v>
      </c>
      <c r="AX169" t="s">
        <v>73</v>
      </c>
      <c r="AY169">
        <v>36.610199999999999</v>
      </c>
      <c r="AZ169">
        <v>36.610169999999997</v>
      </c>
      <c r="BA169">
        <v>1.05</v>
      </c>
      <c r="BC169">
        <v>5</v>
      </c>
      <c r="BD169">
        <v>30.508500000000002</v>
      </c>
      <c r="BE169">
        <v>30.508474580000001</v>
      </c>
      <c r="BF169">
        <v>0.50029999999999997</v>
      </c>
      <c r="BH169">
        <v>5</v>
      </c>
      <c r="BI169">
        <v>90</v>
      </c>
      <c r="BJ169">
        <v>3</v>
      </c>
      <c r="BK169">
        <v>-0.18229999999999999</v>
      </c>
      <c r="BL169">
        <v>1.1000000000000001E-3</v>
      </c>
    </row>
    <row r="170" spans="1:64" hidden="1" x14ac:dyDescent="0.2">
      <c r="A170">
        <v>139</v>
      </c>
      <c r="D170" t="s">
        <v>54</v>
      </c>
      <c r="E170">
        <v>2018</v>
      </c>
      <c r="F170" t="s">
        <v>214</v>
      </c>
      <c r="G170" t="s">
        <v>154</v>
      </c>
      <c r="H170" t="s">
        <v>78</v>
      </c>
      <c r="K170" t="s">
        <v>194</v>
      </c>
      <c r="L170" t="s">
        <v>215</v>
      </c>
      <c r="M170" t="s">
        <v>120</v>
      </c>
      <c r="N170" t="s">
        <v>120</v>
      </c>
      <c r="O170" t="s">
        <v>62</v>
      </c>
      <c r="P170" t="s">
        <v>63</v>
      </c>
      <c r="Q170" t="s">
        <v>64</v>
      </c>
      <c r="R170" t="s">
        <v>83</v>
      </c>
      <c r="S170" t="s">
        <v>74</v>
      </c>
      <c r="T170" t="s">
        <v>64</v>
      </c>
      <c r="U170" t="s">
        <v>75</v>
      </c>
      <c r="V170">
        <v>458</v>
      </c>
      <c r="W170" t="s">
        <v>67</v>
      </c>
      <c r="X170">
        <v>30</v>
      </c>
      <c r="Y170" t="s">
        <v>68</v>
      </c>
      <c r="Z170">
        <v>7.98</v>
      </c>
      <c r="AA170" t="s">
        <v>67</v>
      </c>
      <c r="AB170">
        <v>0.03</v>
      </c>
      <c r="AC170">
        <v>468</v>
      </c>
      <c r="AD170" t="s">
        <v>67</v>
      </c>
      <c r="AE170">
        <v>31</v>
      </c>
      <c r="AF170">
        <v>7.99</v>
      </c>
      <c r="AG170" t="s">
        <v>67</v>
      </c>
      <c r="AH170">
        <v>0.03</v>
      </c>
      <c r="AI170">
        <v>-1</v>
      </c>
      <c r="AJ170" t="s">
        <v>67</v>
      </c>
      <c r="AK170">
        <v>0.1</v>
      </c>
      <c r="AL170">
        <v>2.2000000000000002</v>
      </c>
      <c r="AM170" t="s">
        <v>67</v>
      </c>
      <c r="AN170">
        <v>0.1</v>
      </c>
      <c r="AO170">
        <v>10</v>
      </c>
      <c r="AP170">
        <v>3.2</v>
      </c>
      <c r="AQ170" t="s">
        <v>67</v>
      </c>
      <c r="AR170" t="s">
        <v>216</v>
      </c>
      <c r="AS170" t="s">
        <v>166</v>
      </c>
      <c r="AT170" t="s">
        <v>135</v>
      </c>
      <c r="AU170" t="s">
        <v>217</v>
      </c>
      <c r="AV170" t="s">
        <v>132</v>
      </c>
      <c r="AX170" t="s">
        <v>73</v>
      </c>
      <c r="AY170">
        <v>33.409999999999997</v>
      </c>
      <c r="AZ170">
        <v>33.409999999999997</v>
      </c>
      <c r="BA170">
        <v>0.7</v>
      </c>
      <c r="BC170">
        <v>10</v>
      </c>
      <c r="BD170">
        <v>39.68</v>
      </c>
      <c r="BE170">
        <v>39.68</v>
      </c>
      <c r="BF170">
        <v>1.01</v>
      </c>
      <c r="BH170">
        <v>8</v>
      </c>
      <c r="BI170">
        <v>28</v>
      </c>
      <c r="BJ170">
        <v>3</v>
      </c>
      <c r="BK170">
        <v>0.17199999999999999</v>
      </c>
      <c r="BL170">
        <v>1.1000000000000001E-3</v>
      </c>
    </row>
    <row r="171" spans="1:64" x14ac:dyDescent="0.2">
      <c r="A171">
        <v>175</v>
      </c>
      <c r="B171" t="str">
        <f>ROW()-1&amp;"_AltersFish"</f>
        <v>170_AltersFish</v>
      </c>
      <c r="C171" t="str">
        <f>A171 &amp; "_" &amp; P171 &amp; "_" &amp;
SUBSTITUTE(TRIM(L171)," ","_") &amp;
"_pH" &amp; TEXT(Z171,"0.00") &amp;
"_T" &amp; TEXT(AI171,"0.00") &amp;
"_CO2" &amp; TEXT(V171,"0") &amp;
"_LANG"</f>
        <v>175_EMBRYO_Clupea_harengus_pH8.15_T6.20_CO2415_LANG</v>
      </c>
      <c r="D171" t="s">
        <v>54</v>
      </c>
      <c r="E171">
        <v>2018</v>
      </c>
      <c r="F171" t="s">
        <v>180</v>
      </c>
      <c r="G171" t="s">
        <v>181</v>
      </c>
      <c r="H171" t="s">
        <v>78</v>
      </c>
      <c r="I171" t="s">
        <v>540</v>
      </c>
      <c r="J171" t="s">
        <v>543</v>
      </c>
      <c r="K171" t="s">
        <v>79</v>
      </c>
      <c r="L171" t="s">
        <v>182</v>
      </c>
      <c r="M171" t="s">
        <v>81</v>
      </c>
      <c r="N171" t="s">
        <v>81</v>
      </c>
      <c r="O171" t="s">
        <v>62</v>
      </c>
      <c r="P171" t="s">
        <v>82</v>
      </c>
      <c r="Q171" t="s">
        <v>64</v>
      </c>
      <c r="R171" t="s">
        <v>83</v>
      </c>
      <c r="S171" t="s">
        <v>64</v>
      </c>
      <c r="T171" t="s">
        <v>64</v>
      </c>
      <c r="U171" t="s">
        <v>66</v>
      </c>
      <c r="V171">
        <v>415</v>
      </c>
      <c r="W171" t="s">
        <v>67</v>
      </c>
      <c r="X171">
        <v>10</v>
      </c>
      <c r="Y171" t="s">
        <v>183</v>
      </c>
      <c r="Z171">
        <v>8.15</v>
      </c>
      <c r="AA171" t="s">
        <v>67</v>
      </c>
      <c r="AB171">
        <v>0.02</v>
      </c>
      <c r="AC171">
        <v>1050</v>
      </c>
      <c r="AD171" t="s">
        <v>67</v>
      </c>
      <c r="AE171">
        <v>29</v>
      </c>
      <c r="AF171">
        <v>7.78</v>
      </c>
      <c r="AG171" t="s">
        <v>67</v>
      </c>
      <c r="AH171">
        <v>0.02</v>
      </c>
      <c r="AI171">
        <v>6.2</v>
      </c>
      <c r="AJ171" t="s">
        <v>67</v>
      </c>
      <c r="AK171">
        <v>0.06</v>
      </c>
      <c r="AL171">
        <v>14.1</v>
      </c>
      <c r="AM171" t="s">
        <v>67</v>
      </c>
      <c r="AN171">
        <v>0.2</v>
      </c>
      <c r="AO171">
        <v>635</v>
      </c>
      <c r="AP171">
        <v>7.9</v>
      </c>
      <c r="AQ171" t="s">
        <v>67</v>
      </c>
      <c r="AR171" t="s">
        <v>184</v>
      </c>
      <c r="AS171" t="s">
        <v>145</v>
      </c>
      <c r="AT171" t="s">
        <v>70</v>
      </c>
      <c r="AU171" t="s">
        <v>185</v>
      </c>
      <c r="AV171" t="s">
        <v>11</v>
      </c>
      <c r="AW171" t="s">
        <v>11</v>
      </c>
      <c r="AX171" t="s">
        <v>90</v>
      </c>
      <c r="AY171">
        <v>5.5110000000000001</v>
      </c>
      <c r="AZ171">
        <v>94.488979999999998</v>
      </c>
      <c r="BA171">
        <v>1.3</v>
      </c>
      <c r="BB171">
        <f>BA171*SQRT(BC171)</f>
        <v>3.1843366656181313</v>
      </c>
      <c r="BC171">
        <v>6</v>
      </c>
      <c r="BD171">
        <v>16.633299999999998</v>
      </c>
      <c r="BE171">
        <v>83.37</v>
      </c>
      <c r="BF171">
        <v>3.0059999999999998</v>
      </c>
      <c r="BG171">
        <f>BF171*SQRT(BH171)</f>
        <v>7.3631661668062325</v>
      </c>
      <c r="BH171">
        <v>6</v>
      </c>
      <c r="BI171">
        <v>11</v>
      </c>
      <c r="BJ171">
        <v>6</v>
      </c>
      <c r="BK171">
        <v>-0.12520000000000001</v>
      </c>
      <c r="BL171">
        <v>1.5E-3</v>
      </c>
    </row>
    <row r="172" spans="1:64" x14ac:dyDescent="0.2">
      <c r="A172">
        <v>175</v>
      </c>
      <c r="B172" t="str">
        <f>ROW()-1&amp;"_AltersFish"</f>
        <v>171_AltersFish</v>
      </c>
      <c r="C172" t="str">
        <f>A172 &amp; "_" &amp; P172 &amp; "_" &amp;
SUBSTITUTE(TRIM(L172)," ","_") &amp;
"_pH" &amp; TEXT(Z172,"0.00") &amp;
"_T" &amp; TEXT(AI172,"0.00") &amp;
"_CO2" &amp; TEXT(V172,"0") &amp;
"_LANG"</f>
        <v>175_EMBRYO_Clupea_harengus_pH8.15_T6.20_CO2415_LANG</v>
      </c>
      <c r="D172" t="s">
        <v>54</v>
      </c>
      <c r="E172">
        <v>2018</v>
      </c>
      <c r="F172" t="s">
        <v>180</v>
      </c>
      <c r="G172" t="s">
        <v>181</v>
      </c>
      <c r="H172" t="s">
        <v>78</v>
      </c>
      <c r="I172" t="s">
        <v>540</v>
      </c>
      <c r="J172" t="s">
        <v>543</v>
      </c>
      <c r="K172" t="s">
        <v>79</v>
      </c>
      <c r="L172" t="s">
        <v>182</v>
      </c>
      <c r="M172" t="s">
        <v>81</v>
      </c>
      <c r="N172" t="s">
        <v>81</v>
      </c>
      <c r="O172" t="s">
        <v>62</v>
      </c>
      <c r="P172" t="s">
        <v>82</v>
      </c>
      <c r="Q172" t="s">
        <v>64</v>
      </c>
      <c r="R172" t="s">
        <v>83</v>
      </c>
      <c r="S172" t="s">
        <v>64</v>
      </c>
      <c r="T172" t="s">
        <v>64</v>
      </c>
      <c r="U172" t="s">
        <v>66</v>
      </c>
      <c r="V172">
        <v>415</v>
      </c>
      <c r="W172" t="s">
        <v>67</v>
      </c>
      <c r="X172">
        <v>10</v>
      </c>
      <c r="Y172" t="s">
        <v>183</v>
      </c>
      <c r="Z172">
        <v>8.15</v>
      </c>
      <c r="AA172" t="s">
        <v>67</v>
      </c>
      <c r="AB172">
        <v>0.02</v>
      </c>
      <c r="AC172">
        <v>1050</v>
      </c>
      <c r="AD172" t="s">
        <v>67</v>
      </c>
      <c r="AE172">
        <v>46</v>
      </c>
      <c r="AF172">
        <v>7.79</v>
      </c>
      <c r="AG172" t="s">
        <v>67</v>
      </c>
      <c r="AH172">
        <v>0.03</v>
      </c>
      <c r="AI172">
        <v>6.2</v>
      </c>
      <c r="AJ172" t="s">
        <v>67</v>
      </c>
      <c r="AK172">
        <v>0.06</v>
      </c>
      <c r="AL172">
        <v>10</v>
      </c>
      <c r="AM172" t="s">
        <v>67</v>
      </c>
      <c r="AN172">
        <v>0.06</v>
      </c>
      <c r="AO172">
        <v>635</v>
      </c>
      <c r="AP172">
        <v>3.9</v>
      </c>
      <c r="AQ172" t="s">
        <v>67</v>
      </c>
      <c r="AR172" t="s">
        <v>184</v>
      </c>
      <c r="AS172" t="s">
        <v>145</v>
      </c>
      <c r="AT172" t="s">
        <v>70</v>
      </c>
      <c r="AU172" t="s">
        <v>185</v>
      </c>
      <c r="AV172" t="s">
        <v>11</v>
      </c>
      <c r="AW172" t="s">
        <v>11</v>
      </c>
      <c r="AX172" t="s">
        <v>90</v>
      </c>
      <c r="AY172">
        <v>5.5110000000000001</v>
      </c>
      <c r="AZ172">
        <v>94.488979999999998</v>
      </c>
      <c r="BA172">
        <v>1.3</v>
      </c>
      <c r="BB172">
        <f>BA172*SQRT(BC172)</f>
        <v>3.1843366656181313</v>
      </c>
      <c r="BC172">
        <v>6</v>
      </c>
      <c r="BD172">
        <v>13.0762</v>
      </c>
      <c r="BE172">
        <v>86.92</v>
      </c>
      <c r="BF172">
        <v>4.2584999999999997</v>
      </c>
      <c r="BG172">
        <f>BF172*SQRT(BH172)</f>
        <v>10.431152069642163</v>
      </c>
      <c r="BH172">
        <v>6</v>
      </c>
      <c r="BI172">
        <v>16</v>
      </c>
      <c r="BJ172">
        <v>6</v>
      </c>
      <c r="BK172">
        <v>-8.3500000000000005E-2</v>
      </c>
      <c r="BL172">
        <v>2.5999999999999999E-3</v>
      </c>
    </row>
    <row r="173" spans="1:64" hidden="1" x14ac:dyDescent="0.2">
      <c r="A173">
        <v>160</v>
      </c>
      <c r="D173" t="s">
        <v>54</v>
      </c>
      <c r="E173">
        <v>2018</v>
      </c>
      <c r="F173" t="s">
        <v>254</v>
      </c>
      <c r="G173" t="s">
        <v>255</v>
      </c>
      <c r="H173" t="s">
        <v>78</v>
      </c>
      <c r="K173" t="s">
        <v>189</v>
      </c>
      <c r="L173" t="s">
        <v>190</v>
      </c>
      <c r="M173" t="s">
        <v>156</v>
      </c>
      <c r="N173" t="s">
        <v>156</v>
      </c>
      <c r="O173" t="s">
        <v>110</v>
      </c>
      <c r="P173" t="s">
        <v>63</v>
      </c>
      <c r="Q173" t="s">
        <v>74</v>
      </c>
      <c r="R173" t="s">
        <v>83</v>
      </c>
      <c r="S173" t="s">
        <v>64</v>
      </c>
      <c r="T173" t="s">
        <v>64</v>
      </c>
      <c r="U173" t="s">
        <v>66</v>
      </c>
      <c r="V173">
        <v>500</v>
      </c>
      <c r="W173" t="s">
        <v>67</v>
      </c>
      <c r="X173" t="s">
        <v>67</v>
      </c>
      <c r="Y173" t="s">
        <v>67</v>
      </c>
      <c r="Z173" t="s">
        <v>67</v>
      </c>
      <c r="AA173" t="s">
        <v>67</v>
      </c>
      <c r="AB173" t="s">
        <v>67</v>
      </c>
      <c r="AC173">
        <v>1434</v>
      </c>
      <c r="AD173" t="s">
        <v>67</v>
      </c>
      <c r="AE173">
        <v>108</v>
      </c>
      <c r="AF173">
        <v>7.62</v>
      </c>
      <c r="AG173" t="s">
        <v>67</v>
      </c>
      <c r="AH173">
        <v>0.03</v>
      </c>
      <c r="AI173">
        <v>19</v>
      </c>
      <c r="AJ173" t="s">
        <v>67</v>
      </c>
      <c r="AK173">
        <v>0.2</v>
      </c>
      <c r="AL173">
        <v>24</v>
      </c>
      <c r="AM173" t="s">
        <v>67</v>
      </c>
      <c r="AN173">
        <v>0.2</v>
      </c>
      <c r="AO173">
        <v>934</v>
      </c>
      <c r="AP173">
        <v>5</v>
      </c>
      <c r="AQ173" t="s">
        <v>67</v>
      </c>
      <c r="AR173" t="s">
        <v>256</v>
      </c>
      <c r="AS173" t="s">
        <v>98</v>
      </c>
      <c r="AT173" t="s">
        <v>70</v>
      </c>
      <c r="AU173" t="s">
        <v>226</v>
      </c>
      <c r="AV173" t="s">
        <v>72</v>
      </c>
      <c r="AX173" t="s">
        <v>73</v>
      </c>
      <c r="AY173">
        <v>6.1</v>
      </c>
      <c r="AZ173">
        <v>6.1</v>
      </c>
      <c r="BA173">
        <v>0.18</v>
      </c>
      <c r="BC173">
        <v>15</v>
      </c>
      <c r="BD173">
        <v>7.9</v>
      </c>
      <c r="BE173">
        <v>7.9</v>
      </c>
      <c r="BF173">
        <v>0.12909999999999999</v>
      </c>
      <c r="BH173">
        <v>15</v>
      </c>
      <c r="BI173">
        <v>28</v>
      </c>
      <c r="BJ173">
        <v>3</v>
      </c>
      <c r="BK173">
        <v>0.2586</v>
      </c>
      <c r="BL173">
        <v>1.1000000000000001E-3</v>
      </c>
    </row>
    <row r="174" spans="1:64" x14ac:dyDescent="0.2">
      <c r="A174">
        <v>175</v>
      </c>
      <c r="B174" t="str">
        <f>ROW()-1&amp;"_AltersFish"</f>
        <v>173_AltersFish</v>
      </c>
      <c r="C174" t="str">
        <f>A174 &amp; "_" &amp; P174 &amp; "_" &amp;
SUBSTITUTE(TRIM(L174)," ","_") &amp;
"_pH" &amp; TEXT(Z174,"0.00") &amp;
"_T" &amp; TEXT(AI174,"0.00") &amp;
"_CO2" &amp; TEXT(V174,"0") &amp;
"_LANG"</f>
        <v>175_EMBRYO_Clupea_harengus_pH8.15_T6.20_CO2415_LANG</v>
      </c>
      <c r="D174" t="s">
        <v>54</v>
      </c>
      <c r="E174">
        <v>2018</v>
      </c>
      <c r="F174" t="s">
        <v>180</v>
      </c>
      <c r="G174" t="s">
        <v>181</v>
      </c>
      <c r="H174" t="s">
        <v>78</v>
      </c>
      <c r="I174" t="s">
        <v>540</v>
      </c>
      <c r="J174" t="s">
        <v>543</v>
      </c>
      <c r="K174" t="s">
        <v>79</v>
      </c>
      <c r="L174" t="s">
        <v>182</v>
      </c>
      <c r="M174" t="s">
        <v>81</v>
      </c>
      <c r="N174" t="s">
        <v>81</v>
      </c>
      <c r="O174" t="s">
        <v>62</v>
      </c>
      <c r="P174" t="s">
        <v>82</v>
      </c>
      <c r="Q174" t="s">
        <v>64</v>
      </c>
      <c r="R174" t="s">
        <v>83</v>
      </c>
      <c r="S174" t="s">
        <v>64</v>
      </c>
      <c r="T174" t="s">
        <v>74</v>
      </c>
      <c r="U174" t="s">
        <v>84</v>
      </c>
      <c r="V174">
        <v>415</v>
      </c>
      <c r="W174" t="s">
        <v>67</v>
      </c>
      <c r="X174">
        <v>10</v>
      </c>
      <c r="Y174" t="s">
        <v>183</v>
      </c>
      <c r="Z174">
        <v>8.15</v>
      </c>
      <c r="AA174" t="s">
        <v>67</v>
      </c>
      <c r="AB174">
        <v>0.02</v>
      </c>
      <c r="AC174">
        <v>1101</v>
      </c>
      <c r="AD174" t="s">
        <v>67</v>
      </c>
      <c r="AE174">
        <v>47</v>
      </c>
      <c r="AF174">
        <v>7.77</v>
      </c>
      <c r="AG174" t="s">
        <v>67</v>
      </c>
      <c r="AH174">
        <v>0.02</v>
      </c>
      <c r="AI174">
        <v>6.2</v>
      </c>
      <c r="AJ174" t="s">
        <v>67</v>
      </c>
      <c r="AK174">
        <v>0.06</v>
      </c>
      <c r="AL174">
        <v>6.2</v>
      </c>
      <c r="AM174" t="s">
        <v>67</v>
      </c>
      <c r="AN174">
        <v>0.06</v>
      </c>
      <c r="AO174">
        <v>686</v>
      </c>
      <c r="AP174">
        <v>0</v>
      </c>
      <c r="AQ174" t="s">
        <v>67</v>
      </c>
      <c r="AR174" t="s">
        <v>368</v>
      </c>
      <c r="AS174" t="s">
        <v>134</v>
      </c>
      <c r="AT174" t="s">
        <v>135</v>
      </c>
      <c r="AU174" t="s">
        <v>369</v>
      </c>
      <c r="AV174" t="s">
        <v>137</v>
      </c>
      <c r="AW174" t="s">
        <v>132</v>
      </c>
      <c r="AX174" t="s">
        <v>73</v>
      </c>
      <c r="AY174">
        <v>5.5552000000000001</v>
      </c>
      <c r="AZ174">
        <v>5.5551599999999999</v>
      </c>
      <c r="BA174">
        <v>0.37</v>
      </c>
      <c r="BB174">
        <f>BA174*SQRT(BC174)</f>
        <v>0.5232590180780452</v>
      </c>
      <c r="BC174">
        <v>2</v>
      </c>
      <c r="BD174">
        <v>6.0782999999999996</v>
      </c>
      <c r="BE174">
        <v>6.078291815</v>
      </c>
      <c r="BF174">
        <v>1.36</v>
      </c>
      <c r="BG174">
        <f>BF174*SQRT(BH174)</f>
        <v>1.9233304448274096</v>
      </c>
      <c r="BH174">
        <v>2</v>
      </c>
      <c r="BI174">
        <v>27</v>
      </c>
      <c r="BJ174">
        <v>6</v>
      </c>
      <c r="BK174">
        <v>0.09</v>
      </c>
      <c r="BL174">
        <v>5.4600000000000003E-2</v>
      </c>
    </row>
    <row r="175" spans="1:64" x14ac:dyDescent="0.2">
      <c r="A175">
        <v>175</v>
      </c>
      <c r="B175" t="str">
        <f>ROW()-1&amp;"_AltersFish"</f>
        <v>174_AltersFish</v>
      </c>
      <c r="C175" t="str">
        <f>A175 &amp; "_" &amp; P175 &amp; "_" &amp;
SUBSTITUTE(TRIM(L175)," ","_") &amp;
"_pH" &amp; TEXT(Z175,"0.00") &amp;
"_T" &amp; TEXT(AI175,"0.00") &amp;
"_CO2" &amp; TEXT(V175,"0") &amp;
"_LANG"</f>
        <v>175_EMBRYO_Clupea_harengus_pH8.15_T6.20_CO2415_LANG</v>
      </c>
      <c r="D175" t="s">
        <v>54</v>
      </c>
      <c r="E175">
        <v>2018</v>
      </c>
      <c r="F175" t="s">
        <v>180</v>
      </c>
      <c r="G175" t="s">
        <v>181</v>
      </c>
      <c r="H175" t="s">
        <v>78</v>
      </c>
      <c r="I175" t="s">
        <v>540</v>
      </c>
      <c r="J175" t="s">
        <v>543</v>
      </c>
      <c r="K175" t="s">
        <v>79</v>
      </c>
      <c r="L175" t="s">
        <v>182</v>
      </c>
      <c r="M175" t="s">
        <v>81</v>
      </c>
      <c r="N175" t="s">
        <v>81</v>
      </c>
      <c r="O175" t="s">
        <v>62</v>
      </c>
      <c r="P175" t="s">
        <v>82</v>
      </c>
      <c r="Q175" t="s">
        <v>64</v>
      </c>
      <c r="R175" t="s">
        <v>83</v>
      </c>
      <c r="S175" t="s">
        <v>64</v>
      </c>
      <c r="T175" t="s">
        <v>64</v>
      </c>
      <c r="U175" t="s">
        <v>66</v>
      </c>
      <c r="V175">
        <v>415</v>
      </c>
      <c r="W175" t="s">
        <v>67</v>
      </c>
      <c r="X175">
        <v>10</v>
      </c>
      <c r="Y175" t="s">
        <v>183</v>
      </c>
      <c r="Z175">
        <v>8.15</v>
      </c>
      <c r="AA175" t="s">
        <v>67</v>
      </c>
      <c r="AB175">
        <v>0.02</v>
      </c>
      <c r="AC175">
        <v>1050</v>
      </c>
      <c r="AD175" t="s">
        <v>67</v>
      </c>
      <c r="AE175">
        <v>29</v>
      </c>
      <c r="AF175">
        <v>7.78</v>
      </c>
      <c r="AG175" t="s">
        <v>67</v>
      </c>
      <c r="AH175">
        <v>0.02</v>
      </c>
      <c r="AI175">
        <v>6.2</v>
      </c>
      <c r="AJ175" t="s">
        <v>67</v>
      </c>
      <c r="AK175">
        <v>0.06</v>
      </c>
      <c r="AL175">
        <v>14.1</v>
      </c>
      <c r="AM175" t="s">
        <v>67</v>
      </c>
      <c r="AN175">
        <v>0.2</v>
      </c>
      <c r="AO175">
        <v>635</v>
      </c>
      <c r="AP175">
        <v>7.9</v>
      </c>
      <c r="AQ175" t="s">
        <v>67</v>
      </c>
      <c r="AR175" t="s">
        <v>368</v>
      </c>
      <c r="AS175" t="s">
        <v>134</v>
      </c>
      <c r="AT175" t="s">
        <v>135</v>
      </c>
      <c r="AU175" t="s">
        <v>369</v>
      </c>
      <c r="AV175" t="s">
        <v>137</v>
      </c>
      <c r="AW175" t="s">
        <v>132</v>
      </c>
      <c r="AX175" t="s">
        <v>73</v>
      </c>
      <c r="AY175">
        <v>5.5552000000000001</v>
      </c>
      <c r="AZ175">
        <v>5.5551599999999999</v>
      </c>
      <c r="BA175">
        <v>0.37</v>
      </c>
      <c r="BB175">
        <f>BA175*SQRT(BC175)</f>
        <v>0.5232590180780452</v>
      </c>
      <c r="BC175">
        <v>2</v>
      </c>
      <c r="BD175">
        <v>12.555199999999999</v>
      </c>
      <c r="BE175">
        <v>12.55516014</v>
      </c>
      <c r="BF175">
        <v>0.82210000000000005</v>
      </c>
      <c r="BG175">
        <f>BF175*SQRT(BH175)</f>
        <v>1.1626249696269215</v>
      </c>
      <c r="BH175">
        <v>2</v>
      </c>
      <c r="BI175">
        <v>11</v>
      </c>
      <c r="BJ175">
        <v>6</v>
      </c>
      <c r="BK175">
        <v>0.81540000000000001</v>
      </c>
      <c r="BL175">
        <v>8.8000000000000005E-3</v>
      </c>
    </row>
    <row r="176" spans="1:64" hidden="1" x14ac:dyDescent="0.2">
      <c r="A176">
        <v>151</v>
      </c>
      <c r="C176" t="s">
        <v>549</v>
      </c>
      <c r="D176" t="s">
        <v>54</v>
      </c>
      <c r="E176">
        <v>2015</v>
      </c>
      <c r="F176" t="s">
        <v>262</v>
      </c>
      <c r="G176" t="s">
        <v>263</v>
      </c>
      <c r="H176" t="s">
        <v>57</v>
      </c>
      <c r="K176" t="s">
        <v>264</v>
      </c>
      <c r="L176" t="s">
        <v>265</v>
      </c>
      <c r="M176" t="s">
        <v>81</v>
      </c>
      <c r="N176" t="s">
        <v>81</v>
      </c>
      <c r="O176" t="s">
        <v>62</v>
      </c>
      <c r="P176" t="s">
        <v>82</v>
      </c>
      <c r="Q176" t="s">
        <v>64</v>
      </c>
      <c r="R176" t="s">
        <v>65</v>
      </c>
      <c r="S176" t="s">
        <v>64</v>
      </c>
      <c r="T176" t="s">
        <v>64</v>
      </c>
      <c r="U176" t="s">
        <v>66</v>
      </c>
      <c r="V176">
        <v>518</v>
      </c>
      <c r="W176">
        <v>19.899999999999999</v>
      </c>
      <c r="X176" t="s">
        <v>67</v>
      </c>
      <c r="Y176" t="s">
        <v>96</v>
      </c>
      <c r="Z176">
        <v>8.02</v>
      </c>
      <c r="AA176">
        <v>0.01</v>
      </c>
      <c r="AB176" t="s">
        <v>67</v>
      </c>
      <c r="AC176">
        <v>1049</v>
      </c>
      <c r="AD176">
        <v>45.9</v>
      </c>
      <c r="AE176" t="s">
        <v>67</v>
      </c>
      <c r="AF176">
        <v>7.81</v>
      </c>
      <c r="AG176">
        <v>0.01</v>
      </c>
      <c r="AH176" t="s">
        <v>67</v>
      </c>
      <c r="AI176">
        <v>16.3</v>
      </c>
      <c r="AJ176">
        <v>0</v>
      </c>
      <c r="AK176" t="s">
        <v>67</v>
      </c>
      <c r="AL176">
        <v>19.100000000000001</v>
      </c>
      <c r="AM176">
        <v>0.1</v>
      </c>
      <c r="AN176" t="s">
        <v>67</v>
      </c>
      <c r="AO176">
        <v>531</v>
      </c>
      <c r="AP176">
        <v>2.8</v>
      </c>
      <c r="AQ176" t="s">
        <v>67</v>
      </c>
      <c r="AR176" t="s">
        <v>266</v>
      </c>
      <c r="AS176" t="s">
        <v>266</v>
      </c>
      <c r="AT176" t="s">
        <v>135</v>
      </c>
      <c r="AU176" t="s">
        <v>203</v>
      </c>
      <c r="AV176" t="s">
        <v>11</v>
      </c>
      <c r="AW176" t="s">
        <v>11</v>
      </c>
      <c r="AX176" t="s">
        <v>73</v>
      </c>
      <c r="AY176">
        <v>150.9128</v>
      </c>
      <c r="AZ176">
        <v>150.91278</v>
      </c>
      <c r="BA176">
        <v>3.25</v>
      </c>
      <c r="BC176">
        <v>9</v>
      </c>
      <c r="BD176">
        <v>107.91079999999999</v>
      </c>
      <c r="BE176">
        <v>107.91075050000001</v>
      </c>
      <c r="BF176">
        <v>2.8397999999999999</v>
      </c>
      <c r="BH176">
        <v>9</v>
      </c>
      <c r="BI176">
        <v>108</v>
      </c>
      <c r="BJ176">
        <v>4</v>
      </c>
      <c r="BK176">
        <v>-0.33539999999999998</v>
      </c>
      <c r="BL176">
        <v>1.1999999999999999E-3</v>
      </c>
    </row>
    <row r="177" spans="1:64" x14ac:dyDescent="0.2">
      <c r="A177">
        <v>175</v>
      </c>
      <c r="B177" t="str">
        <f>ROW()-1&amp;"_AltersFish"</f>
        <v>176_AltersFish</v>
      </c>
      <c r="C177" t="str">
        <f>A177 &amp; "_" &amp; P177 &amp; "_" &amp;
SUBSTITUTE(TRIM(L177)," ","_") &amp;
"_pH" &amp; TEXT(Z177,"0.00") &amp;
"_T" &amp; TEXT(AI177,"0.00") &amp;
"_CO2" &amp; TEXT(V177,"0") &amp;
"_LANG"</f>
        <v>175_EMBRYO_Clupea_harengus_pH8.15_T6.20_CO2415_LANG</v>
      </c>
      <c r="D177" t="s">
        <v>54</v>
      </c>
      <c r="E177">
        <v>2018</v>
      </c>
      <c r="F177" t="s">
        <v>180</v>
      </c>
      <c r="G177" t="s">
        <v>181</v>
      </c>
      <c r="H177" t="s">
        <v>78</v>
      </c>
      <c r="I177" t="s">
        <v>540</v>
      </c>
      <c r="J177" t="s">
        <v>543</v>
      </c>
      <c r="K177" t="s">
        <v>79</v>
      </c>
      <c r="L177" t="s">
        <v>182</v>
      </c>
      <c r="M177" t="s">
        <v>81</v>
      </c>
      <c r="N177" t="s">
        <v>81</v>
      </c>
      <c r="O177" t="s">
        <v>62</v>
      </c>
      <c r="P177" t="s">
        <v>82</v>
      </c>
      <c r="Q177" t="s">
        <v>64</v>
      </c>
      <c r="R177" t="s">
        <v>83</v>
      </c>
      <c r="S177" t="s">
        <v>74</v>
      </c>
      <c r="T177" t="s">
        <v>64</v>
      </c>
      <c r="U177" t="s">
        <v>75</v>
      </c>
      <c r="V177">
        <v>415</v>
      </c>
      <c r="W177" t="s">
        <v>67</v>
      </c>
      <c r="X177">
        <v>10</v>
      </c>
      <c r="Y177" t="s">
        <v>183</v>
      </c>
      <c r="Z177">
        <v>8.15</v>
      </c>
      <c r="AA177" t="s">
        <v>67</v>
      </c>
      <c r="AB177">
        <v>0.02</v>
      </c>
      <c r="AC177">
        <v>403</v>
      </c>
      <c r="AD177" t="s">
        <v>67</v>
      </c>
      <c r="AE177">
        <v>12</v>
      </c>
      <c r="AF177">
        <v>8.18</v>
      </c>
      <c r="AG177" t="s">
        <v>67</v>
      </c>
      <c r="AH177">
        <v>0.02</v>
      </c>
      <c r="AI177">
        <v>6.2</v>
      </c>
      <c r="AJ177" t="s">
        <v>67</v>
      </c>
      <c r="AK177">
        <v>0.06</v>
      </c>
      <c r="AL177">
        <v>14.1</v>
      </c>
      <c r="AM177" t="s">
        <v>67</v>
      </c>
      <c r="AN177">
        <v>0.2</v>
      </c>
      <c r="AO177">
        <v>-12</v>
      </c>
      <c r="AP177">
        <v>7.9</v>
      </c>
      <c r="AQ177" t="s">
        <v>67</v>
      </c>
      <c r="AR177" t="s">
        <v>368</v>
      </c>
      <c r="AS177" t="s">
        <v>134</v>
      </c>
      <c r="AT177" t="s">
        <v>135</v>
      </c>
      <c r="AU177" t="s">
        <v>369</v>
      </c>
      <c r="AV177" t="s">
        <v>137</v>
      </c>
      <c r="AW177" t="s">
        <v>132</v>
      </c>
      <c r="AX177" t="s">
        <v>73</v>
      </c>
      <c r="AY177">
        <v>5.5552000000000001</v>
      </c>
      <c r="AZ177">
        <v>5.5551599999999999</v>
      </c>
      <c r="BA177">
        <v>0.37</v>
      </c>
      <c r="BB177">
        <f>BA177*SQRT(BC177)</f>
        <v>0.5232590180780452</v>
      </c>
      <c r="BC177">
        <v>2</v>
      </c>
      <c r="BD177">
        <v>11.6335</v>
      </c>
      <c r="BE177">
        <v>11.63345196</v>
      </c>
      <c r="BF177">
        <v>0.9466</v>
      </c>
      <c r="BG177">
        <f>BF177*SQRT(BH177)</f>
        <v>1.3386945581423719</v>
      </c>
      <c r="BH177">
        <v>2</v>
      </c>
      <c r="BI177">
        <v>11</v>
      </c>
      <c r="BJ177">
        <v>6</v>
      </c>
      <c r="BK177">
        <v>0.73919999999999997</v>
      </c>
      <c r="BL177">
        <v>1.11E-2</v>
      </c>
    </row>
    <row r="178" spans="1:64" x14ac:dyDescent="0.2">
      <c r="A178">
        <v>175</v>
      </c>
      <c r="B178" t="str">
        <f>ROW()-1&amp;"_AltersFish"</f>
        <v>177_AltersFish</v>
      </c>
      <c r="C178" t="str">
        <f>A178 &amp; "_" &amp; P178 &amp; "_" &amp;
SUBSTITUTE(TRIM(L178)," ","_") &amp;
"_pH" &amp; TEXT(Z178,"0.00") &amp;
"_T" &amp; TEXT(AI178,"0.00") &amp;
"_CO2" &amp; TEXT(V178,"0") &amp;
"_LANG"</f>
        <v>175_EMBRYO_Clupea_harengus_pH8.15_T6.20_CO2415_LANG</v>
      </c>
      <c r="D178" t="s">
        <v>54</v>
      </c>
      <c r="E178">
        <v>2018</v>
      </c>
      <c r="F178" t="s">
        <v>180</v>
      </c>
      <c r="G178" t="s">
        <v>181</v>
      </c>
      <c r="H178" t="s">
        <v>78</v>
      </c>
      <c r="I178" t="s">
        <v>540</v>
      </c>
      <c r="J178" t="s">
        <v>543</v>
      </c>
      <c r="K178" t="s">
        <v>79</v>
      </c>
      <c r="L178" t="s">
        <v>182</v>
      </c>
      <c r="M178" t="s">
        <v>81</v>
      </c>
      <c r="N178" t="s">
        <v>81</v>
      </c>
      <c r="O178" t="s">
        <v>62</v>
      </c>
      <c r="P178" t="s">
        <v>82</v>
      </c>
      <c r="Q178" t="s">
        <v>64</v>
      </c>
      <c r="R178" t="s">
        <v>83</v>
      </c>
      <c r="S178" t="s">
        <v>64</v>
      </c>
      <c r="T178" t="s">
        <v>64</v>
      </c>
      <c r="U178" t="s">
        <v>66</v>
      </c>
      <c r="V178">
        <v>415</v>
      </c>
      <c r="W178" t="s">
        <v>67</v>
      </c>
      <c r="X178">
        <v>10</v>
      </c>
      <c r="Y178" t="s">
        <v>183</v>
      </c>
      <c r="Z178">
        <v>8.15</v>
      </c>
      <c r="AA178" t="s">
        <v>67</v>
      </c>
      <c r="AB178">
        <v>0.02</v>
      </c>
      <c r="AC178">
        <v>1050</v>
      </c>
      <c r="AD178" t="s">
        <v>67</v>
      </c>
      <c r="AE178">
        <v>46</v>
      </c>
      <c r="AF178">
        <v>7.79</v>
      </c>
      <c r="AG178" t="s">
        <v>67</v>
      </c>
      <c r="AH178">
        <v>0.03</v>
      </c>
      <c r="AI178">
        <v>6.2</v>
      </c>
      <c r="AJ178" t="s">
        <v>67</v>
      </c>
      <c r="AK178">
        <v>0.06</v>
      </c>
      <c r="AL178">
        <v>10</v>
      </c>
      <c r="AM178" t="s">
        <v>67</v>
      </c>
      <c r="AN178">
        <v>0.06</v>
      </c>
      <c r="AO178">
        <v>635</v>
      </c>
      <c r="AP178">
        <v>3.9</v>
      </c>
      <c r="AQ178" t="s">
        <v>67</v>
      </c>
      <c r="AR178" t="s">
        <v>368</v>
      </c>
      <c r="AS178" t="s">
        <v>134</v>
      </c>
      <c r="AT178" t="s">
        <v>135</v>
      </c>
      <c r="AU178" t="s">
        <v>369</v>
      </c>
      <c r="AV178" t="s">
        <v>137</v>
      </c>
      <c r="AW178" t="s">
        <v>132</v>
      </c>
      <c r="AX178" t="s">
        <v>73</v>
      </c>
      <c r="AY178">
        <v>5.5552000000000001</v>
      </c>
      <c r="AZ178">
        <v>5.5551599999999999</v>
      </c>
      <c r="BA178">
        <v>0.37</v>
      </c>
      <c r="BB178">
        <f>BA178*SQRT(BC178)</f>
        <v>0.5232590180780452</v>
      </c>
      <c r="BC178">
        <v>2</v>
      </c>
      <c r="BD178">
        <v>8.0213999999999999</v>
      </c>
      <c r="BE178">
        <v>8.0213523129999995</v>
      </c>
      <c r="BF178">
        <v>0.67259999999999998</v>
      </c>
      <c r="BG178">
        <f>BF178*SQRT(BH178)</f>
        <v>0.95120004205214381</v>
      </c>
      <c r="BH178">
        <v>2</v>
      </c>
      <c r="BI178">
        <v>16</v>
      </c>
      <c r="BJ178">
        <v>6</v>
      </c>
      <c r="BK178">
        <v>0.3674</v>
      </c>
      <c r="BL178">
        <v>1.1599999999999999E-2</v>
      </c>
    </row>
    <row r="179" spans="1:64" x14ac:dyDescent="0.2">
      <c r="A179">
        <v>175</v>
      </c>
      <c r="B179" t="str">
        <f>ROW()-1&amp;"_AltersFish"</f>
        <v>178_AltersFish</v>
      </c>
      <c r="C179" t="str">
        <f>A179 &amp; "_" &amp; P179 &amp; "_" &amp;
SUBSTITUTE(TRIM(L179)," ","_") &amp;
"_pH" &amp; TEXT(Z179,"0.00") &amp;
"_T" &amp; TEXT(AI179,"0.00") &amp;
"_CO2" &amp; TEXT(V179,"0") &amp;
"_LANG"</f>
        <v>175_EMBRYO_Clupea_harengus_pH8.15_T6.20_CO2415_LANG</v>
      </c>
      <c r="D179" t="s">
        <v>54</v>
      </c>
      <c r="E179">
        <v>2018</v>
      </c>
      <c r="F179" t="s">
        <v>180</v>
      </c>
      <c r="G179" t="s">
        <v>181</v>
      </c>
      <c r="H179" t="s">
        <v>78</v>
      </c>
      <c r="I179" t="s">
        <v>540</v>
      </c>
      <c r="J179" t="s">
        <v>543</v>
      </c>
      <c r="K179" t="s">
        <v>79</v>
      </c>
      <c r="L179" t="s">
        <v>182</v>
      </c>
      <c r="M179" t="s">
        <v>81</v>
      </c>
      <c r="N179" t="s">
        <v>81</v>
      </c>
      <c r="O179" t="s">
        <v>62</v>
      </c>
      <c r="P179" t="s">
        <v>82</v>
      </c>
      <c r="Q179" t="s">
        <v>64</v>
      </c>
      <c r="R179" t="s">
        <v>83</v>
      </c>
      <c r="S179" t="s">
        <v>74</v>
      </c>
      <c r="T179" t="s">
        <v>64</v>
      </c>
      <c r="U179" t="s">
        <v>75</v>
      </c>
      <c r="V179">
        <v>415</v>
      </c>
      <c r="W179" t="s">
        <v>67</v>
      </c>
      <c r="X179">
        <v>10</v>
      </c>
      <c r="Y179" t="s">
        <v>183</v>
      </c>
      <c r="Z179">
        <v>8.15</v>
      </c>
      <c r="AA179" t="s">
        <v>67</v>
      </c>
      <c r="AB179">
        <v>0.02</v>
      </c>
      <c r="AC179">
        <v>408</v>
      </c>
      <c r="AD179" t="s">
        <v>67</v>
      </c>
      <c r="AE179">
        <v>10</v>
      </c>
      <c r="AF179">
        <v>8.17</v>
      </c>
      <c r="AG179" t="s">
        <v>67</v>
      </c>
      <c r="AH179">
        <v>0.02</v>
      </c>
      <c r="AI179">
        <v>6.2</v>
      </c>
      <c r="AJ179" t="s">
        <v>67</v>
      </c>
      <c r="AK179">
        <v>0.06</v>
      </c>
      <c r="AL179">
        <v>10</v>
      </c>
      <c r="AM179" t="s">
        <v>67</v>
      </c>
      <c r="AN179">
        <v>0.06</v>
      </c>
      <c r="AO179">
        <v>-7</v>
      </c>
      <c r="AP179">
        <v>3.9</v>
      </c>
      <c r="AQ179" t="s">
        <v>67</v>
      </c>
      <c r="AR179" t="s">
        <v>368</v>
      </c>
      <c r="AS179" t="s">
        <v>134</v>
      </c>
      <c r="AT179" t="s">
        <v>135</v>
      </c>
      <c r="AU179" t="s">
        <v>369</v>
      </c>
      <c r="AV179" t="s">
        <v>137</v>
      </c>
      <c r="AW179" t="s">
        <v>132</v>
      </c>
      <c r="AX179" t="s">
        <v>73</v>
      </c>
      <c r="AY179">
        <v>5.5552000000000001</v>
      </c>
      <c r="AZ179">
        <v>5.5551599999999999</v>
      </c>
      <c r="BA179">
        <v>0.37</v>
      </c>
      <c r="BB179">
        <f>BA179*SQRT(BC179)</f>
        <v>0.5232590180780452</v>
      </c>
      <c r="BC179">
        <v>2</v>
      </c>
      <c r="BD179">
        <v>7.6726000000000001</v>
      </c>
      <c r="BE179">
        <v>7.6725978650000002</v>
      </c>
      <c r="BF179">
        <v>0.67259999999999998</v>
      </c>
      <c r="BG179">
        <f>BF179*SQRT(BH179)</f>
        <v>0.95120004205214381</v>
      </c>
      <c r="BH179">
        <v>2</v>
      </c>
      <c r="BI179">
        <v>16</v>
      </c>
      <c r="BJ179">
        <v>6</v>
      </c>
      <c r="BK179">
        <v>0.32290000000000002</v>
      </c>
      <c r="BL179">
        <v>1.2200000000000001E-2</v>
      </c>
    </row>
    <row r="180" spans="1:64" hidden="1" x14ac:dyDescent="0.2">
      <c r="A180">
        <v>142</v>
      </c>
      <c r="D180" t="s">
        <v>54</v>
      </c>
      <c r="E180">
        <v>2017</v>
      </c>
      <c r="F180" t="s">
        <v>193</v>
      </c>
      <c r="G180" t="s">
        <v>181</v>
      </c>
      <c r="H180" t="s">
        <v>78</v>
      </c>
      <c r="K180" t="s">
        <v>194</v>
      </c>
      <c r="L180" t="s">
        <v>195</v>
      </c>
      <c r="M180" t="s">
        <v>120</v>
      </c>
      <c r="N180" t="s">
        <v>120</v>
      </c>
      <c r="O180" t="s">
        <v>106</v>
      </c>
      <c r="P180" t="s">
        <v>196</v>
      </c>
      <c r="Q180" t="s">
        <v>64</v>
      </c>
      <c r="R180" t="s">
        <v>83</v>
      </c>
      <c r="S180" t="s">
        <v>64</v>
      </c>
      <c r="T180" t="s">
        <v>64</v>
      </c>
      <c r="U180" t="s">
        <v>66</v>
      </c>
      <c r="V180">
        <v>439</v>
      </c>
      <c r="W180">
        <v>16.079999999999998</v>
      </c>
      <c r="X180" t="s">
        <v>67</v>
      </c>
      <c r="Y180" t="s">
        <v>67</v>
      </c>
      <c r="Z180" t="s">
        <v>67</v>
      </c>
      <c r="AA180" t="s">
        <v>67</v>
      </c>
      <c r="AB180" t="s">
        <v>67</v>
      </c>
      <c r="AC180">
        <v>1027</v>
      </c>
      <c r="AD180">
        <v>9.0299999999999994</v>
      </c>
      <c r="AE180" t="s">
        <v>67</v>
      </c>
      <c r="AF180" t="s">
        <v>67</v>
      </c>
      <c r="AG180" t="s">
        <v>67</v>
      </c>
      <c r="AH180" t="s">
        <v>67</v>
      </c>
      <c r="AI180">
        <v>-0.6</v>
      </c>
      <c r="AJ180">
        <v>0.17</v>
      </c>
      <c r="AK180" t="s">
        <v>67</v>
      </c>
      <c r="AL180">
        <v>4.2</v>
      </c>
      <c r="AM180">
        <v>0.56000000000000005</v>
      </c>
      <c r="AN180" t="s">
        <v>67</v>
      </c>
      <c r="AO180">
        <v>588</v>
      </c>
      <c r="AP180">
        <v>4.8</v>
      </c>
      <c r="AQ180" t="s">
        <v>67</v>
      </c>
      <c r="AR180" t="s">
        <v>69</v>
      </c>
      <c r="AS180" t="s">
        <v>69</v>
      </c>
      <c r="AT180" t="s">
        <v>70</v>
      </c>
      <c r="AU180" t="s">
        <v>197</v>
      </c>
      <c r="AV180" t="s">
        <v>72</v>
      </c>
      <c r="AX180" t="s">
        <v>73</v>
      </c>
      <c r="AY180">
        <v>0.90200000000000002</v>
      </c>
      <c r="AZ180">
        <v>0.90200000000000002</v>
      </c>
      <c r="BA180">
        <v>0.01</v>
      </c>
      <c r="BC180">
        <v>5</v>
      </c>
      <c r="BD180">
        <v>0.92700000000000005</v>
      </c>
      <c r="BE180">
        <v>0.92700000000000005</v>
      </c>
      <c r="BF180">
        <v>0.03</v>
      </c>
      <c r="BH180">
        <v>5</v>
      </c>
      <c r="BI180">
        <v>56</v>
      </c>
      <c r="BJ180">
        <v>1</v>
      </c>
      <c r="BK180">
        <v>2.7300000000000001E-2</v>
      </c>
      <c r="BL180">
        <v>1.1999999999999999E-3</v>
      </c>
    </row>
    <row r="181" spans="1:64" x14ac:dyDescent="0.2">
      <c r="A181">
        <v>175</v>
      </c>
      <c r="B181" t="str">
        <f>ROW()-1&amp;"_AltersFish"</f>
        <v>180_AltersFish</v>
      </c>
      <c r="C181" t="str">
        <f>A181 &amp; "_" &amp; P181 &amp; "_" &amp;
SUBSTITUTE(TRIM(L181)," ","_") &amp;
"_pH" &amp; TEXT(Z181,"0.00") &amp;
"_T" &amp; TEXT(AI181,"0.00") &amp;
"_CO2" &amp; TEXT(V181,"0") &amp;
"_LANG"</f>
        <v>175_EMBRYO_Clupea_harengus_pH8.15_T6.20_CO2415_LANG</v>
      </c>
      <c r="D181" t="s">
        <v>54</v>
      </c>
      <c r="E181">
        <v>2018</v>
      </c>
      <c r="F181" t="s">
        <v>180</v>
      </c>
      <c r="G181" t="s">
        <v>181</v>
      </c>
      <c r="H181" t="s">
        <v>78</v>
      </c>
      <c r="I181" t="s">
        <v>540</v>
      </c>
      <c r="J181" t="s">
        <v>543</v>
      </c>
      <c r="K181" t="s">
        <v>79</v>
      </c>
      <c r="L181" t="s">
        <v>182</v>
      </c>
      <c r="M181" t="s">
        <v>81</v>
      </c>
      <c r="N181" t="s">
        <v>81</v>
      </c>
      <c r="O181" t="s">
        <v>62</v>
      </c>
      <c r="P181" t="s">
        <v>82</v>
      </c>
      <c r="Q181" t="s">
        <v>64</v>
      </c>
      <c r="R181" t="s">
        <v>83</v>
      </c>
      <c r="S181" t="s">
        <v>74</v>
      </c>
      <c r="T181" t="s">
        <v>64</v>
      </c>
      <c r="U181" t="s">
        <v>75</v>
      </c>
      <c r="V181">
        <v>415</v>
      </c>
      <c r="W181" t="s">
        <v>67</v>
      </c>
      <c r="X181">
        <v>10</v>
      </c>
      <c r="Y181" t="s">
        <v>183</v>
      </c>
      <c r="Z181">
        <v>8.15</v>
      </c>
      <c r="AA181" t="s">
        <v>67</v>
      </c>
      <c r="AB181">
        <v>0.02</v>
      </c>
      <c r="AC181">
        <v>403</v>
      </c>
      <c r="AD181" t="s">
        <v>67</v>
      </c>
      <c r="AE181">
        <v>12</v>
      </c>
      <c r="AF181">
        <v>8.18</v>
      </c>
      <c r="AG181" t="s">
        <v>67</v>
      </c>
      <c r="AH181">
        <v>0.02</v>
      </c>
      <c r="AI181">
        <v>6.2</v>
      </c>
      <c r="AJ181" t="s">
        <v>67</v>
      </c>
      <c r="AK181">
        <v>0.06</v>
      </c>
      <c r="AL181">
        <v>14.1</v>
      </c>
      <c r="AM181" t="s">
        <v>67</v>
      </c>
      <c r="AN181">
        <v>0.2</v>
      </c>
      <c r="AO181">
        <v>-12</v>
      </c>
      <c r="AP181">
        <v>7.9</v>
      </c>
      <c r="AQ181" t="s">
        <v>67</v>
      </c>
      <c r="AR181" t="s">
        <v>108</v>
      </c>
      <c r="AS181" t="s">
        <v>98</v>
      </c>
      <c r="AT181" t="s">
        <v>70</v>
      </c>
      <c r="AU181" t="s">
        <v>109</v>
      </c>
      <c r="AV181" t="s">
        <v>115</v>
      </c>
      <c r="AW181" t="s">
        <v>11</v>
      </c>
      <c r="AX181" t="s">
        <v>73</v>
      </c>
      <c r="AY181">
        <v>10.039</v>
      </c>
      <c r="AZ181">
        <v>10.039020000000001</v>
      </c>
      <c r="BA181">
        <v>0.24</v>
      </c>
      <c r="BB181">
        <f>BA181*SQRT(BC181)</f>
        <v>1.85903200617956</v>
      </c>
      <c r="BC181">
        <v>60</v>
      </c>
      <c r="BD181">
        <v>9.9024000000000001</v>
      </c>
      <c r="BE181">
        <v>9.9024390239999995</v>
      </c>
      <c r="BF181">
        <v>0.34150000000000003</v>
      </c>
      <c r="BG181">
        <f>BF181*SQRT(BH181)</f>
        <v>2.6452476254596662</v>
      </c>
      <c r="BH181">
        <v>60</v>
      </c>
      <c r="BI181">
        <v>11</v>
      </c>
      <c r="BJ181">
        <v>6</v>
      </c>
      <c r="BK181">
        <v>-1.37E-2</v>
      </c>
      <c r="BL181">
        <v>1.8E-3</v>
      </c>
    </row>
    <row r="182" spans="1:64" hidden="1" x14ac:dyDescent="0.2">
      <c r="A182">
        <v>145</v>
      </c>
      <c r="D182" t="s">
        <v>54</v>
      </c>
      <c r="E182">
        <v>2016</v>
      </c>
      <c r="F182" t="s">
        <v>198</v>
      </c>
      <c r="G182" t="s">
        <v>124</v>
      </c>
      <c r="H182" t="s">
        <v>57</v>
      </c>
      <c r="K182" t="s">
        <v>234</v>
      </c>
      <c r="L182" t="s">
        <v>200</v>
      </c>
      <c r="M182" t="s">
        <v>81</v>
      </c>
      <c r="N182" t="s">
        <v>81</v>
      </c>
      <c r="O182" t="s">
        <v>62</v>
      </c>
      <c r="P182" t="s">
        <v>63</v>
      </c>
      <c r="Q182" t="s">
        <v>64</v>
      </c>
      <c r="R182" t="s">
        <v>65</v>
      </c>
      <c r="S182" t="s">
        <v>64</v>
      </c>
      <c r="T182" t="s">
        <v>64</v>
      </c>
      <c r="U182" t="s">
        <v>66</v>
      </c>
      <c r="V182">
        <v>410</v>
      </c>
      <c r="W182">
        <v>19.16</v>
      </c>
      <c r="X182" t="s">
        <v>67</v>
      </c>
      <c r="Y182" t="s">
        <v>96</v>
      </c>
      <c r="Z182">
        <v>8.08</v>
      </c>
      <c r="AA182">
        <v>0.05</v>
      </c>
      <c r="AB182" t="s">
        <v>67</v>
      </c>
      <c r="AC182">
        <v>1084</v>
      </c>
      <c r="AD182">
        <v>73.39</v>
      </c>
      <c r="AE182" t="s">
        <v>67</v>
      </c>
      <c r="AF182">
        <v>7.71</v>
      </c>
      <c r="AG182">
        <v>7.0000000000000007E-2</v>
      </c>
      <c r="AH182" t="s">
        <v>67</v>
      </c>
      <c r="AI182">
        <v>15.2</v>
      </c>
      <c r="AJ182">
        <v>0.7</v>
      </c>
      <c r="AK182" t="s">
        <v>67</v>
      </c>
      <c r="AL182">
        <v>19.7</v>
      </c>
      <c r="AM182">
        <v>0.7</v>
      </c>
      <c r="AN182" t="s">
        <v>67</v>
      </c>
      <c r="AO182">
        <v>674</v>
      </c>
      <c r="AP182">
        <v>4.5</v>
      </c>
      <c r="AQ182" t="s">
        <v>218</v>
      </c>
      <c r="AR182" t="s">
        <v>235</v>
      </c>
      <c r="AS182" t="s">
        <v>236</v>
      </c>
      <c r="AT182" t="s">
        <v>70</v>
      </c>
      <c r="AU182" t="s">
        <v>237</v>
      </c>
      <c r="AV182" t="s">
        <v>132</v>
      </c>
      <c r="AX182" t="s">
        <v>73</v>
      </c>
      <c r="AY182">
        <v>5.3926999999999996</v>
      </c>
      <c r="AZ182">
        <v>5.39269</v>
      </c>
      <c r="BA182">
        <v>0.13</v>
      </c>
      <c r="BC182">
        <v>7</v>
      </c>
      <c r="BD182">
        <v>4.2679999999999998</v>
      </c>
      <c r="BE182">
        <v>4.2680412370000003</v>
      </c>
      <c r="BF182">
        <v>0.1012</v>
      </c>
      <c r="BH182">
        <v>7</v>
      </c>
      <c r="BI182">
        <v>240</v>
      </c>
      <c r="BJ182">
        <v>7</v>
      </c>
      <c r="BK182">
        <v>-0.2339</v>
      </c>
      <c r="BL182">
        <v>1.1999999999999999E-3</v>
      </c>
    </row>
    <row r="183" spans="1:64" x14ac:dyDescent="0.2">
      <c r="A183">
        <v>175</v>
      </c>
      <c r="B183" t="str">
        <f>ROW()-1&amp;"_AltersFish"</f>
        <v>182_AltersFish</v>
      </c>
      <c r="C183" t="str">
        <f>A183 &amp; "_" &amp; P183 &amp; "_" &amp;
SUBSTITUTE(TRIM(L183)," ","_") &amp;
"_pH" &amp; TEXT(Z183,"0.00") &amp;
"_T" &amp; TEXT(AI183,"0.00") &amp;
"_CO2" &amp; TEXT(V183,"0") &amp;
"_LANG"</f>
        <v>175_EMBRYO_Clupea_harengus_pH8.15_T6.20_CO2415_LANG</v>
      </c>
      <c r="D183" t="s">
        <v>54</v>
      </c>
      <c r="E183">
        <v>2018</v>
      </c>
      <c r="F183" t="s">
        <v>180</v>
      </c>
      <c r="G183" t="s">
        <v>181</v>
      </c>
      <c r="H183" t="s">
        <v>78</v>
      </c>
      <c r="I183" t="s">
        <v>540</v>
      </c>
      <c r="J183" t="s">
        <v>543</v>
      </c>
      <c r="K183" t="s">
        <v>79</v>
      </c>
      <c r="L183" t="s">
        <v>182</v>
      </c>
      <c r="M183" t="s">
        <v>81</v>
      </c>
      <c r="N183" t="s">
        <v>81</v>
      </c>
      <c r="O183" t="s">
        <v>62</v>
      </c>
      <c r="P183" t="s">
        <v>82</v>
      </c>
      <c r="Q183" t="s">
        <v>64</v>
      </c>
      <c r="R183" t="s">
        <v>83</v>
      </c>
      <c r="S183" t="s">
        <v>74</v>
      </c>
      <c r="T183" t="s">
        <v>64</v>
      </c>
      <c r="U183" t="s">
        <v>75</v>
      </c>
      <c r="V183">
        <v>415</v>
      </c>
      <c r="W183" t="s">
        <v>67</v>
      </c>
      <c r="X183">
        <v>10</v>
      </c>
      <c r="Y183" t="s">
        <v>183</v>
      </c>
      <c r="Z183">
        <v>8.15</v>
      </c>
      <c r="AA183" t="s">
        <v>67</v>
      </c>
      <c r="AB183">
        <v>0.02</v>
      </c>
      <c r="AC183">
        <v>408</v>
      </c>
      <c r="AD183" t="s">
        <v>67</v>
      </c>
      <c r="AE183">
        <v>10</v>
      </c>
      <c r="AF183">
        <v>8.17</v>
      </c>
      <c r="AG183" t="s">
        <v>67</v>
      </c>
      <c r="AH183">
        <v>0.02</v>
      </c>
      <c r="AI183">
        <v>6.2</v>
      </c>
      <c r="AJ183" t="s">
        <v>67</v>
      </c>
      <c r="AK183">
        <v>0.06</v>
      </c>
      <c r="AL183">
        <v>10</v>
      </c>
      <c r="AM183" t="s">
        <v>67</v>
      </c>
      <c r="AN183">
        <v>0.06</v>
      </c>
      <c r="AO183">
        <v>-7</v>
      </c>
      <c r="AP183">
        <v>3.9</v>
      </c>
      <c r="AQ183" t="s">
        <v>67</v>
      </c>
      <c r="AR183" t="s">
        <v>108</v>
      </c>
      <c r="AS183" t="s">
        <v>98</v>
      </c>
      <c r="AT183" t="s">
        <v>70</v>
      </c>
      <c r="AU183" t="s">
        <v>109</v>
      </c>
      <c r="AV183" t="s">
        <v>115</v>
      </c>
      <c r="AW183" t="s">
        <v>11</v>
      </c>
      <c r="AX183" t="s">
        <v>73</v>
      </c>
      <c r="AY183">
        <v>10.039</v>
      </c>
      <c r="AZ183">
        <v>10.039020000000001</v>
      </c>
      <c r="BA183">
        <v>0.24</v>
      </c>
      <c r="BB183">
        <f>BA183*SQRT(BC183)</f>
        <v>1.85903200617956</v>
      </c>
      <c r="BC183">
        <v>60</v>
      </c>
      <c r="BD183">
        <v>9.9024000000000001</v>
      </c>
      <c r="BE183">
        <v>9.9024390239999995</v>
      </c>
      <c r="BF183">
        <v>0.34150000000000003</v>
      </c>
      <c r="BG183">
        <f>BF183*SQRT(BH183)</f>
        <v>2.6452476254596662</v>
      </c>
      <c r="BH183">
        <v>60</v>
      </c>
      <c r="BI183">
        <v>16</v>
      </c>
      <c r="BJ183">
        <v>6</v>
      </c>
      <c r="BK183">
        <v>-1.37E-2</v>
      </c>
      <c r="BL183">
        <v>1.8E-3</v>
      </c>
    </row>
    <row r="184" spans="1:64" x14ac:dyDescent="0.2">
      <c r="A184">
        <v>175</v>
      </c>
      <c r="B184" t="str">
        <f>ROW()-1&amp;"_AltersFish"</f>
        <v>183_AltersFish</v>
      </c>
      <c r="C184" t="str">
        <f>A184 &amp; "_" &amp; P184 &amp; "_" &amp;
SUBSTITUTE(TRIM(L184)," ","_") &amp;
"_pH" &amp; TEXT(Z184,"0.00") &amp;
"_T" &amp; TEXT(AI184,"0.00") &amp;
"_CO2" &amp; TEXT(V184,"0") &amp;
"_LANG"</f>
        <v>175_EMBRYO_Clupea_harengus_pH8.15_T6.20_CO2415_LANG</v>
      </c>
      <c r="D184" t="s">
        <v>54</v>
      </c>
      <c r="E184">
        <v>2018</v>
      </c>
      <c r="F184" t="s">
        <v>180</v>
      </c>
      <c r="G184" t="s">
        <v>181</v>
      </c>
      <c r="H184" t="s">
        <v>78</v>
      </c>
      <c r="I184" t="s">
        <v>540</v>
      </c>
      <c r="J184" t="s">
        <v>543</v>
      </c>
      <c r="K184" t="s">
        <v>79</v>
      </c>
      <c r="L184" t="s">
        <v>182</v>
      </c>
      <c r="M184" t="s">
        <v>81</v>
      </c>
      <c r="N184" t="s">
        <v>81</v>
      </c>
      <c r="O184" t="s">
        <v>62</v>
      </c>
      <c r="P184" t="s">
        <v>82</v>
      </c>
      <c r="Q184" t="s">
        <v>64</v>
      </c>
      <c r="R184" t="s">
        <v>83</v>
      </c>
      <c r="S184" t="s">
        <v>64</v>
      </c>
      <c r="T184" t="s">
        <v>64</v>
      </c>
      <c r="U184" t="s">
        <v>66</v>
      </c>
      <c r="V184">
        <v>415</v>
      </c>
      <c r="W184" t="s">
        <v>67</v>
      </c>
      <c r="X184">
        <v>10</v>
      </c>
      <c r="Y184" t="s">
        <v>183</v>
      </c>
      <c r="Z184">
        <v>8.15</v>
      </c>
      <c r="AA184" t="s">
        <v>67</v>
      </c>
      <c r="AB184">
        <v>0.02</v>
      </c>
      <c r="AC184">
        <v>1050</v>
      </c>
      <c r="AD184" t="s">
        <v>67</v>
      </c>
      <c r="AE184">
        <v>46</v>
      </c>
      <c r="AF184">
        <v>7.79</v>
      </c>
      <c r="AG184" t="s">
        <v>67</v>
      </c>
      <c r="AH184">
        <v>0.03</v>
      </c>
      <c r="AI184">
        <v>6.2</v>
      </c>
      <c r="AJ184" t="s">
        <v>67</v>
      </c>
      <c r="AK184">
        <v>0.06</v>
      </c>
      <c r="AL184">
        <v>10</v>
      </c>
      <c r="AM184" t="s">
        <v>67</v>
      </c>
      <c r="AN184">
        <v>0.06</v>
      </c>
      <c r="AO184">
        <v>635</v>
      </c>
      <c r="AP184">
        <v>3.9</v>
      </c>
      <c r="AQ184" t="s">
        <v>67</v>
      </c>
      <c r="AR184" t="s">
        <v>108</v>
      </c>
      <c r="AS184" t="s">
        <v>98</v>
      </c>
      <c r="AT184" t="s">
        <v>70</v>
      </c>
      <c r="AU184" t="s">
        <v>109</v>
      </c>
      <c r="AV184" t="s">
        <v>115</v>
      </c>
      <c r="AW184" t="s">
        <v>11</v>
      </c>
      <c r="AX184" t="s">
        <v>73</v>
      </c>
      <c r="AY184">
        <v>10.039</v>
      </c>
      <c r="AZ184">
        <v>10.039020000000001</v>
      </c>
      <c r="BA184">
        <v>0.24</v>
      </c>
      <c r="BB184">
        <f>BA184*SQRT(BC184)</f>
        <v>1.85903200617956</v>
      </c>
      <c r="BC184">
        <v>60</v>
      </c>
      <c r="BD184">
        <v>9.9024000000000001</v>
      </c>
      <c r="BE184">
        <v>9.9024390239999995</v>
      </c>
      <c r="BF184">
        <v>0.34150000000000003</v>
      </c>
      <c r="BG184">
        <f>BF184*SQRT(BH184)</f>
        <v>2.6452476254596662</v>
      </c>
      <c r="BH184">
        <v>60</v>
      </c>
      <c r="BI184">
        <v>16</v>
      </c>
      <c r="BJ184">
        <v>6</v>
      </c>
      <c r="BK184">
        <v>-1.37E-2</v>
      </c>
      <c r="BL184">
        <v>1.8E-3</v>
      </c>
    </row>
    <row r="185" spans="1:64" x14ac:dyDescent="0.2">
      <c r="A185">
        <v>175</v>
      </c>
      <c r="B185" t="str">
        <f>ROW()-1&amp;"_AltersFish"</f>
        <v>184_AltersFish</v>
      </c>
      <c r="C185" t="str">
        <f>A185 &amp; "_" &amp; P185 &amp; "_" &amp;
SUBSTITUTE(TRIM(L185)," ","_") &amp;
"_pH" &amp; TEXT(Z185,"0.00") &amp;
"_T" &amp; TEXT(AI185,"0.00") &amp;
"_CO2" &amp; TEXT(V185,"0") &amp;
"_LANG"</f>
        <v>175_EMBRYO_Clupea_harengus_pH8.15_T6.20_CO2415_LANG</v>
      </c>
      <c r="D185" t="s">
        <v>54</v>
      </c>
      <c r="E185">
        <v>2018</v>
      </c>
      <c r="F185" t="s">
        <v>180</v>
      </c>
      <c r="G185" t="s">
        <v>181</v>
      </c>
      <c r="H185" t="s">
        <v>78</v>
      </c>
      <c r="I185" t="s">
        <v>540</v>
      </c>
      <c r="J185" t="s">
        <v>543</v>
      </c>
      <c r="K185" t="s">
        <v>79</v>
      </c>
      <c r="L185" t="s">
        <v>182</v>
      </c>
      <c r="M185" t="s">
        <v>81</v>
      </c>
      <c r="N185" t="s">
        <v>81</v>
      </c>
      <c r="O185" t="s">
        <v>62</v>
      </c>
      <c r="P185" t="s">
        <v>82</v>
      </c>
      <c r="Q185" t="s">
        <v>64</v>
      </c>
      <c r="R185" t="s">
        <v>83</v>
      </c>
      <c r="S185" t="s">
        <v>64</v>
      </c>
      <c r="T185" t="s">
        <v>64</v>
      </c>
      <c r="U185" t="s">
        <v>66</v>
      </c>
      <c r="V185">
        <v>415</v>
      </c>
      <c r="W185" t="s">
        <v>67</v>
      </c>
      <c r="X185">
        <v>10</v>
      </c>
      <c r="Y185" t="s">
        <v>183</v>
      </c>
      <c r="Z185">
        <v>8.15</v>
      </c>
      <c r="AA185" t="s">
        <v>67</v>
      </c>
      <c r="AB185">
        <v>0.02</v>
      </c>
      <c r="AC185">
        <v>1050</v>
      </c>
      <c r="AD185" t="s">
        <v>67</v>
      </c>
      <c r="AE185">
        <v>29</v>
      </c>
      <c r="AF185">
        <v>7.78</v>
      </c>
      <c r="AG185" t="s">
        <v>67</v>
      </c>
      <c r="AH185">
        <v>0.02</v>
      </c>
      <c r="AI185">
        <v>6.2</v>
      </c>
      <c r="AJ185" t="s">
        <v>67</v>
      </c>
      <c r="AK185">
        <v>0.06</v>
      </c>
      <c r="AL185">
        <v>14.1</v>
      </c>
      <c r="AM185" t="s">
        <v>67</v>
      </c>
      <c r="AN185">
        <v>0.2</v>
      </c>
      <c r="AO185">
        <v>635</v>
      </c>
      <c r="AP185">
        <v>7.9</v>
      </c>
      <c r="AQ185" t="s">
        <v>67</v>
      </c>
      <c r="AR185" t="s">
        <v>108</v>
      </c>
      <c r="AS185" t="s">
        <v>98</v>
      </c>
      <c r="AT185" t="s">
        <v>70</v>
      </c>
      <c r="AU185" t="s">
        <v>109</v>
      </c>
      <c r="AV185" t="s">
        <v>115</v>
      </c>
      <c r="AW185" t="s">
        <v>11</v>
      </c>
      <c r="AX185" t="s">
        <v>73</v>
      </c>
      <c r="AY185">
        <v>10.039</v>
      </c>
      <c r="AZ185">
        <v>10.039020000000001</v>
      </c>
      <c r="BA185">
        <v>0.24</v>
      </c>
      <c r="BB185">
        <f>BA185*SQRT(BC185)</f>
        <v>1.85903200617956</v>
      </c>
      <c r="BC185">
        <v>60</v>
      </c>
      <c r="BD185">
        <v>9.9024000000000001</v>
      </c>
      <c r="BE185">
        <v>9.9024390239999995</v>
      </c>
      <c r="BF185">
        <v>0.34150000000000003</v>
      </c>
      <c r="BG185">
        <f>BF185*SQRT(BH185)</f>
        <v>2.6452476254596662</v>
      </c>
      <c r="BH185">
        <v>60</v>
      </c>
      <c r="BI185">
        <v>11</v>
      </c>
      <c r="BJ185">
        <v>6</v>
      </c>
      <c r="BK185">
        <v>-1.37E-2</v>
      </c>
      <c r="BL185">
        <v>1.8E-3</v>
      </c>
    </row>
    <row r="186" spans="1:64" hidden="1" x14ac:dyDescent="0.2">
      <c r="A186">
        <v>163</v>
      </c>
      <c r="D186" t="s">
        <v>54</v>
      </c>
      <c r="E186">
        <v>2018</v>
      </c>
      <c r="F186" t="s">
        <v>273</v>
      </c>
      <c r="G186" t="s">
        <v>230</v>
      </c>
      <c r="H186" t="s">
        <v>78</v>
      </c>
      <c r="K186" t="s">
        <v>79</v>
      </c>
      <c r="L186" t="s">
        <v>274</v>
      </c>
      <c r="M186" t="s">
        <v>95</v>
      </c>
      <c r="N186" t="s">
        <v>61</v>
      </c>
      <c r="O186" t="s">
        <v>62</v>
      </c>
      <c r="P186" t="s">
        <v>63</v>
      </c>
      <c r="Q186" t="s">
        <v>64</v>
      </c>
      <c r="R186" t="s">
        <v>65</v>
      </c>
      <c r="S186" t="s">
        <v>74</v>
      </c>
      <c r="T186" t="s">
        <v>64</v>
      </c>
      <c r="U186" t="s">
        <v>75</v>
      </c>
      <c r="V186">
        <v>435</v>
      </c>
      <c r="W186" t="s">
        <v>67</v>
      </c>
      <c r="X186">
        <v>38</v>
      </c>
      <c r="Y186" t="s">
        <v>67</v>
      </c>
      <c r="Z186" t="s">
        <v>67</v>
      </c>
      <c r="AA186" t="s">
        <v>67</v>
      </c>
      <c r="AB186" t="s">
        <v>67</v>
      </c>
      <c r="AC186">
        <v>475</v>
      </c>
      <c r="AD186" t="s">
        <v>67</v>
      </c>
      <c r="AE186">
        <v>44</v>
      </c>
      <c r="AF186" t="s">
        <v>67</v>
      </c>
      <c r="AG186" t="s">
        <v>67</v>
      </c>
      <c r="AH186" t="s">
        <v>67</v>
      </c>
      <c r="AI186">
        <v>28.8</v>
      </c>
      <c r="AJ186" t="s">
        <v>67</v>
      </c>
      <c r="AK186">
        <v>0.2</v>
      </c>
      <c r="AL186">
        <v>31.1</v>
      </c>
      <c r="AM186" t="s">
        <v>67</v>
      </c>
      <c r="AN186">
        <v>0.3</v>
      </c>
      <c r="AO186">
        <v>40</v>
      </c>
      <c r="AP186">
        <v>2.2999999999999998</v>
      </c>
      <c r="AQ186" t="s">
        <v>67</v>
      </c>
      <c r="AR186" t="s">
        <v>87</v>
      </c>
      <c r="AS186" t="s">
        <v>88</v>
      </c>
      <c r="AT186" t="s">
        <v>70</v>
      </c>
      <c r="AU186" t="s">
        <v>89</v>
      </c>
      <c r="AV186" t="s">
        <v>88</v>
      </c>
      <c r="AX186" t="s">
        <v>90</v>
      </c>
      <c r="AY186">
        <v>85.3125</v>
      </c>
      <c r="AZ186">
        <v>85.3125</v>
      </c>
      <c r="BA186">
        <v>1.8103</v>
      </c>
      <c r="BC186">
        <v>8</v>
      </c>
      <c r="BD186">
        <v>81.05</v>
      </c>
      <c r="BE186">
        <v>81.05</v>
      </c>
      <c r="BF186">
        <v>2.2524999999999999</v>
      </c>
      <c r="BH186">
        <v>8</v>
      </c>
      <c r="BI186">
        <v>77</v>
      </c>
      <c r="BJ186">
        <v>6</v>
      </c>
      <c r="BK186">
        <v>-5.1299999999999998E-2</v>
      </c>
      <c r="BL186">
        <v>1.1999999999999999E-3</v>
      </c>
    </row>
    <row r="187" spans="1:64" x14ac:dyDescent="0.2">
      <c r="A187">
        <v>175</v>
      </c>
      <c r="B187" t="str">
        <f>ROW()-1&amp;"_AltersFish"</f>
        <v>186_AltersFish</v>
      </c>
      <c r="C187" t="str">
        <f>A187 &amp; "_" &amp; P187 &amp; "_" &amp;
SUBSTITUTE(TRIM(L187)," ","_") &amp;
"_pH" &amp; TEXT(Z187,"0.00") &amp;
"_T" &amp; TEXT(AI187,"0.00") &amp;
"_CO2" &amp; TEXT(V187,"0") &amp;
"_LANG"</f>
        <v>175_EMBRYO_Clupea_harengus_pH8.15_T6.20_CO2415_LANG</v>
      </c>
      <c r="D187" t="s">
        <v>54</v>
      </c>
      <c r="E187">
        <v>2018</v>
      </c>
      <c r="F187" t="s">
        <v>180</v>
      </c>
      <c r="G187" t="s">
        <v>181</v>
      </c>
      <c r="H187" t="s">
        <v>78</v>
      </c>
      <c r="I187" t="s">
        <v>540</v>
      </c>
      <c r="J187" t="s">
        <v>543</v>
      </c>
      <c r="K187" t="s">
        <v>79</v>
      </c>
      <c r="L187" t="s">
        <v>182</v>
      </c>
      <c r="M187" t="s">
        <v>81</v>
      </c>
      <c r="N187" t="s">
        <v>81</v>
      </c>
      <c r="O187" t="s">
        <v>62</v>
      </c>
      <c r="P187" t="s">
        <v>82</v>
      </c>
      <c r="Q187" t="s">
        <v>64</v>
      </c>
      <c r="R187" t="s">
        <v>83</v>
      </c>
      <c r="S187" t="s">
        <v>64</v>
      </c>
      <c r="T187" t="s">
        <v>74</v>
      </c>
      <c r="U187" t="s">
        <v>84</v>
      </c>
      <c r="V187">
        <v>415</v>
      </c>
      <c r="W187" t="s">
        <v>67</v>
      </c>
      <c r="X187">
        <v>10</v>
      </c>
      <c r="Y187" t="s">
        <v>183</v>
      </c>
      <c r="Z187">
        <v>8.15</v>
      </c>
      <c r="AA187" t="s">
        <v>67</v>
      </c>
      <c r="AB187">
        <v>0.02</v>
      </c>
      <c r="AC187">
        <v>1101</v>
      </c>
      <c r="AD187" t="s">
        <v>67</v>
      </c>
      <c r="AE187">
        <v>47</v>
      </c>
      <c r="AF187">
        <v>7.77</v>
      </c>
      <c r="AG187" t="s">
        <v>67</v>
      </c>
      <c r="AH187">
        <v>0.02</v>
      </c>
      <c r="AI187">
        <v>6.2</v>
      </c>
      <c r="AJ187" t="s">
        <v>67</v>
      </c>
      <c r="AK187">
        <v>0.06</v>
      </c>
      <c r="AL187">
        <v>6.2</v>
      </c>
      <c r="AM187" t="s">
        <v>67</v>
      </c>
      <c r="AN187">
        <v>0.06</v>
      </c>
      <c r="AO187">
        <v>686</v>
      </c>
      <c r="AP187">
        <v>0</v>
      </c>
      <c r="AQ187" t="s">
        <v>67</v>
      </c>
      <c r="AR187" t="s">
        <v>108</v>
      </c>
      <c r="AS187" t="s">
        <v>98</v>
      </c>
      <c r="AT187" t="s">
        <v>70</v>
      </c>
      <c r="AU187" t="s">
        <v>109</v>
      </c>
      <c r="AV187" t="s">
        <v>115</v>
      </c>
      <c r="AW187" t="s">
        <v>11</v>
      </c>
      <c r="AX187" t="s">
        <v>73</v>
      </c>
      <c r="AY187">
        <v>10.039</v>
      </c>
      <c r="AZ187">
        <v>10.039020000000001</v>
      </c>
      <c r="BA187">
        <v>0.24</v>
      </c>
      <c r="BB187">
        <f>BA187*SQRT(BC187)</f>
        <v>1.85903200617956</v>
      </c>
      <c r="BC187">
        <v>60</v>
      </c>
      <c r="BD187">
        <v>9.9024000000000001</v>
      </c>
      <c r="BE187">
        <v>9.9024390239999995</v>
      </c>
      <c r="BF187">
        <v>0.34150000000000003</v>
      </c>
      <c r="BG187">
        <f>BF187*SQRT(BH187)</f>
        <v>2.6452476254596662</v>
      </c>
      <c r="BH187">
        <v>60</v>
      </c>
      <c r="BI187">
        <v>27</v>
      </c>
      <c r="BJ187">
        <v>6</v>
      </c>
      <c r="BK187">
        <v>-1.37E-2</v>
      </c>
      <c r="BL187">
        <v>1.8E-3</v>
      </c>
    </row>
    <row r="188" spans="1:64" x14ac:dyDescent="0.2">
      <c r="A188">
        <v>175</v>
      </c>
      <c r="B188" t="str">
        <f>ROW()-1&amp;"_AltersFish"</f>
        <v>187_AltersFish</v>
      </c>
      <c r="C188" t="str">
        <f>A188 &amp; "_" &amp; P188 &amp; "_" &amp;
SUBSTITUTE(TRIM(L188)," ","_") &amp;
"_pH" &amp; TEXT(Z188,"0.00") &amp;
"_T" &amp; TEXT(AI188,"0.00") &amp;
"_CO2" &amp; TEXT(V188,"0") &amp;
"_LANG"</f>
        <v>175_EMBRYO_Clupea_harengus_pH8.15_T6.20_CO2415_LANG</v>
      </c>
      <c r="D188" t="s">
        <v>54</v>
      </c>
      <c r="E188">
        <v>2018</v>
      </c>
      <c r="F188" t="s">
        <v>180</v>
      </c>
      <c r="G188" t="s">
        <v>181</v>
      </c>
      <c r="H188" t="s">
        <v>78</v>
      </c>
      <c r="I188" t="s">
        <v>540</v>
      </c>
      <c r="J188" t="s">
        <v>543</v>
      </c>
      <c r="K188" t="s">
        <v>79</v>
      </c>
      <c r="L188" t="s">
        <v>182</v>
      </c>
      <c r="M188" t="s">
        <v>81</v>
      </c>
      <c r="N188" t="s">
        <v>81</v>
      </c>
      <c r="O188" t="s">
        <v>62</v>
      </c>
      <c r="P188" t="s">
        <v>82</v>
      </c>
      <c r="Q188" t="s">
        <v>64</v>
      </c>
      <c r="R188" t="s">
        <v>83</v>
      </c>
      <c r="S188" t="s">
        <v>64</v>
      </c>
      <c r="T188" t="s">
        <v>64</v>
      </c>
      <c r="U188" t="s">
        <v>66</v>
      </c>
      <c r="V188">
        <v>415</v>
      </c>
      <c r="W188" t="s">
        <v>67</v>
      </c>
      <c r="X188">
        <v>10</v>
      </c>
      <c r="Y188" t="s">
        <v>183</v>
      </c>
      <c r="Z188">
        <v>8.15</v>
      </c>
      <c r="AA188" t="s">
        <v>67</v>
      </c>
      <c r="AB188">
        <v>0.02</v>
      </c>
      <c r="AC188">
        <v>1050</v>
      </c>
      <c r="AD188" t="s">
        <v>67</v>
      </c>
      <c r="AE188">
        <v>29</v>
      </c>
      <c r="AF188">
        <v>7.78</v>
      </c>
      <c r="AG188" t="s">
        <v>67</v>
      </c>
      <c r="AH188">
        <v>0.02</v>
      </c>
      <c r="AI188">
        <v>6.2</v>
      </c>
      <c r="AJ188" t="s">
        <v>67</v>
      </c>
      <c r="AK188">
        <v>0.06</v>
      </c>
      <c r="AL188">
        <v>14.1</v>
      </c>
      <c r="AM188" t="s">
        <v>67</v>
      </c>
      <c r="AN188">
        <v>0.2</v>
      </c>
      <c r="AO188">
        <v>635</v>
      </c>
      <c r="AP188">
        <v>7.9</v>
      </c>
      <c r="AQ188" t="s">
        <v>67</v>
      </c>
      <c r="AR188" t="s">
        <v>104</v>
      </c>
      <c r="AS188" t="s">
        <v>105</v>
      </c>
      <c r="AT188" t="s">
        <v>70</v>
      </c>
      <c r="AU188" t="s">
        <v>295</v>
      </c>
      <c r="AV188" t="s">
        <v>88</v>
      </c>
      <c r="AW188" t="s">
        <v>151</v>
      </c>
      <c r="AX188" t="s">
        <v>90</v>
      </c>
      <c r="AY188">
        <v>75.415899999999993</v>
      </c>
      <c r="AZ188">
        <v>75.415899999999993</v>
      </c>
      <c r="BA188">
        <v>2.9575</v>
      </c>
      <c r="BB188">
        <f>BA188*SQRT(BC188)</f>
        <v>7.2443659142812482</v>
      </c>
      <c r="BC188">
        <v>6</v>
      </c>
      <c r="BD188">
        <v>49.5379</v>
      </c>
      <c r="BE188">
        <v>49.537892790000001</v>
      </c>
      <c r="BF188">
        <v>0.55449999999999999</v>
      </c>
      <c r="BG188">
        <f>BF188*SQRT(BH188)</f>
        <v>1.3582420623732721</v>
      </c>
      <c r="BH188">
        <v>6</v>
      </c>
      <c r="BI188">
        <v>11</v>
      </c>
      <c r="BJ188">
        <v>6</v>
      </c>
      <c r="BK188">
        <v>-0.42030000000000001</v>
      </c>
      <c r="BL188">
        <v>1.6999999999999999E-3</v>
      </c>
    </row>
    <row r="189" spans="1:64" x14ac:dyDescent="0.2">
      <c r="A189">
        <v>175</v>
      </c>
      <c r="B189" t="str">
        <f>ROW()-1&amp;"_AltersFish"</f>
        <v>188_AltersFish</v>
      </c>
      <c r="C189" t="str">
        <f>A189 &amp; "_" &amp; P189 &amp; "_" &amp;
SUBSTITUTE(TRIM(L189)," ","_") &amp;
"_pH" &amp; TEXT(Z189,"0.00") &amp;
"_T" &amp; TEXT(AI189,"0.00") &amp;
"_CO2" &amp; TEXT(V189,"0") &amp;
"_LANG"</f>
        <v>175_EMBRYO_Clupea_harengus_pH8.15_T6.20_CO2415_LANG</v>
      </c>
      <c r="D189" t="s">
        <v>54</v>
      </c>
      <c r="E189">
        <v>2018</v>
      </c>
      <c r="F189" t="s">
        <v>180</v>
      </c>
      <c r="G189" t="s">
        <v>181</v>
      </c>
      <c r="H189" t="s">
        <v>78</v>
      </c>
      <c r="I189" t="s">
        <v>540</v>
      </c>
      <c r="J189" t="s">
        <v>543</v>
      </c>
      <c r="K189" t="s">
        <v>79</v>
      </c>
      <c r="L189" t="s">
        <v>182</v>
      </c>
      <c r="M189" t="s">
        <v>81</v>
      </c>
      <c r="N189" t="s">
        <v>81</v>
      </c>
      <c r="O189" t="s">
        <v>62</v>
      </c>
      <c r="P189" t="s">
        <v>82</v>
      </c>
      <c r="Q189" t="s">
        <v>64</v>
      </c>
      <c r="R189" t="s">
        <v>83</v>
      </c>
      <c r="S189" t="s">
        <v>74</v>
      </c>
      <c r="T189" t="s">
        <v>64</v>
      </c>
      <c r="U189" t="s">
        <v>75</v>
      </c>
      <c r="V189">
        <v>415</v>
      </c>
      <c r="W189" t="s">
        <v>67</v>
      </c>
      <c r="X189">
        <v>10</v>
      </c>
      <c r="Y189" t="s">
        <v>183</v>
      </c>
      <c r="Z189">
        <v>8.15</v>
      </c>
      <c r="AA189" t="s">
        <v>67</v>
      </c>
      <c r="AB189">
        <v>0.02</v>
      </c>
      <c r="AC189">
        <v>403</v>
      </c>
      <c r="AD189" t="s">
        <v>67</v>
      </c>
      <c r="AE189">
        <v>12</v>
      </c>
      <c r="AF189">
        <v>8.18</v>
      </c>
      <c r="AG189" t="s">
        <v>67</v>
      </c>
      <c r="AH189">
        <v>0.02</v>
      </c>
      <c r="AI189">
        <v>6.2</v>
      </c>
      <c r="AJ189" t="s">
        <v>67</v>
      </c>
      <c r="AK189">
        <v>0.06</v>
      </c>
      <c r="AL189">
        <v>14.1</v>
      </c>
      <c r="AM189" t="s">
        <v>67</v>
      </c>
      <c r="AN189">
        <v>0.2</v>
      </c>
      <c r="AO189">
        <v>-12</v>
      </c>
      <c r="AP189">
        <v>7.9</v>
      </c>
      <c r="AQ189" t="s">
        <v>67</v>
      </c>
      <c r="AR189" t="s">
        <v>104</v>
      </c>
      <c r="AS189" t="s">
        <v>105</v>
      </c>
      <c r="AT189" t="s">
        <v>70</v>
      </c>
      <c r="AU189" t="s">
        <v>295</v>
      </c>
      <c r="AV189" t="s">
        <v>88</v>
      </c>
      <c r="AW189" t="s">
        <v>151</v>
      </c>
      <c r="AX189" t="s">
        <v>90</v>
      </c>
      <c r="AY189">
        <v>75.415899999999993</v>
      </c>
      <c r="AZ189">
        <v>75.415899999999993</v>
      </c>
      <c r="BA189">
        <v>2.9575</v>
      </c>
      <c r="BB189">
        <f>BA189*SQRT(BC189)</f>
        <v>7.2443659142812482</v>
      </c>
      <c r="BC189">
        <v>6</v>
      </c>
      <c r="BD189">
        <v>50.831800000000001</v>
      </c>
      <c r="BE189">
        <v>50.831792980000003</v>
      </c>
      <c r="BF189">
        <v>1.2939000000000001</v>
      </c>
      <c r="BG189">
        <f>BF189*SQRT(BH189)</f>
        <v>3.1693947781871539</v>
      </c>
      <c r="BH189">
        <v>6</v>
      </c>
      <c r="BI189">
        <v>11</v>
      </c>
      <c r="BJ189">
        <v>6</v>
      </c>
      <c r="BK189">
        <v>-0.39450000000000002</v>
      </c>
      <c r="BL189">
        <v>2.2000000000000001E-3</v>
      </c>
    </row>
    <row r="190" spans="1:64" hidden="1" x14ac:dyDescent="0.2">
      <c r="A190">
        <v>233</v>
      </c>
      <c r="D190" t="s">
        <v>54</v>
      </c>
      <c r="E190">
        <v>2018</v>
      </c>
      <c r="F190" t="s">
        <v>208</v>
      </c>
      <c r="G190" t="s">
        <v>209</v>
      </c>
      <c r="H190" t="s">
        <v>78</v>
      </c>
      <c r="L190" t="s">
        <v>210</v>
      </c>
      <c r="P190" t="s">
        <v>63</v>
      </c>
      <c r="S190" t="s">
        <v>64</v>
      </c>
      <c r="T190" t="s">
        <v>74</v>
      </c>
      <c r="U190" t="s">
        <v>84</v>
      </c>
      <c r="V190">
        <v>500</v>
      </c>
      <c r="AC190">
        <v>1540</v>
      </c>
      <c r="AI190">
        <v>19.2</v>
      </c>
      <c r="AL190">
        <v>19.3</v>
      </c>
      <c r="AO190">
        <v>1040</v>
      </c>
      <c r="AP190">
        <v>0.1</v>
      </c>
      <c r="AQ190" t="s">
        <v>276</v>
      </c>
      <c r="AR190" t="s">
        <v>277</v>
      </c>
      <c r="AS190" t="s">
        <v>278</v>
      </c>
      <c r="AT190" t="s">
        <v>135</v>
      </c>
      <c r="AU190" t="s">
        <v>279</v>
      </c>
      <c r="AV190" t="s">
        <v>132</v>
      </c>
      <c r="AX190" t="s">
        <v>73</v>
      </c>
      <c r="AY190">
        <v>1.0900966459999999</v>
      </c>
      <c r="AZ190">
        <v>1.0901000000000001</v>
      </c>
      <c r="BA190">
        <v>3.2609436999999998E-2</v>
      </c>
      <c r="BC190">
        <v>9</v>
      </c>
      <c r="BD190">
        <v>0.841023309</v>
      </c>
      <c r="BE190">
        <v>0.841023309</v>
      </c>
      <c r="BF190">
        <v>1.6259237999999999E-2</v>
      </c>
      <c r="BH190">
        <v>9</v>
      </c>
      <c r="BI190">
        <v>28</v>
      </c>
      <c r="BK190">
        <v>-0.25940000000000002</v>
      </c>
      <c r="BL190">
        <v>1.2999999999999999E-3</v>
      </c>
    </row>
    <row r="191" spans="1:64" hidden="1" x14ac:dyDescent="0.2">
      <c r="A191">
        <v>141</v>
      </c>
      <c r="D191" t="s">
        <v>54</v>
      </c>
      <c r="E191">
        <v>2015</v>
      </c>
      <c r="F191" t="s">
        <v>91</v>
      </c>
      <c r="G191" t="s">
        <v>92</v>
      </c>
      <c r="H191" t="s">
        <v>78</v>
      </c>
      <c r="K191" t="s">
        <v>93</v>
      </c>
      <c r="L191" t="s">
        <v>94</v>
      </c>
      <c r="M191" t="s">
        <v>95</v>
      </c>
      <c r="N191" t="s">
        <v>61</v>
      </c>
      <c r="O191" t="s">
        <v>62</v>
      </c>
      <c r="P191" t="s">
        <v>196</v>
      </c>
      <c r="Q191" t="s">
        <v>64</v>
      </c>
      <c r="R191" t="s">
        <v>83</v>
      </c>
      <c r="S191" t="s">
        <v>64</v>
      </c>
      <c r="T191" t="s">
        <v>74</v>
      </c>
      <c r="U191" t="s">
        <v>84</v>
      </c>
      <c r="V191">
        <v>400</v>
      </c>
      <c r="W191">
        <v>6</v>
      </c>
      <c r="X191" t="s">
        <v>67</v>
      </c>
      <c r="Y191" t="s">
        <v>96</v>
      </c>
      <c r="Z191">
        <v>8.15</v>
      </c>
      <c r="AA191">
        <v>0.01</v>
      </c>
      <c r="AB191" t="s">
        <v>67</v>
      </c>
      <c r="AC191">
        <v>1087</v>
      </c>
      <c r="AD191">
        <v>25</v>
      </c>
      <c r="AE191" t="s">
        <v>67</v>
      </c>
      <c r="AF191">
        <v>7.81</v>
      </c>
      <c r="AG191">
        <v>0.01</v>
      </c>
      <c r="AH191" t="s">
        <v>67</v>
      </c>
      <c r="AI191">
        <v>28.4</v>
      </c>
      <c r="AJ191">
        <v>0.01</v>
      </c>
      <c r="AK191" t="s">
        <v>67</v>
      </c>
      <c r="AL191">
        <v>28.5</v>
      </c>
      <c r="AM191">
        <v>0.01</v>
      </c>
      <c r="AN191" t="s">
        <v>67</v>
      </c>
      <c r="AO191">
        <v>687</v>
      </c>
      <c r="AP191">
        <v>0.1</v>
      </c>
      <c r="AQ191" t="s">
        <v>67</v>
      </c>
      <c r="AR191" t="s">
        <v>69</v>
      </c>
      <c r="AS191" t="s">
        <v>69</v>
      </c>
      <c r="AT191" t="s">
        <v>70</v>
      </c>
      <c r="AU191" t="s">
        <v>232</v>
      </c>
      <c r="AV191" t="s">
        <v>72</v>
      </c>
      <c r="AX191" t="s">
        <v>73</v>
      </c>
      <c r="AY191">
        <v>4.8780000000000001</v>
      </c>
      <c r="AZ191">
        <v>4.87805</v>
      </c>
      <c r="BA191">
        <v>0.13</v>
      </c>
      <c r="BC191">
        <v>4</v>
      </c>
      <c r="BD191">
        <v>5.1056999999999997</v>
      </c>
      <c r="BE191">
        <v>5.1056910569999996</v>
      </c>
      <c r="BF191">
        <v>0.13009999999999999</v>
      </c>
      <c r="BH191">
        <v>4</v>
      </c>
      <c r="BI191" t="s">
        <v>67</v>
      </c>
      <c r="BJ191">
        <v>7</v>
      </c>
      <c r="BK191">
        <v>4.5600000000000002E-2</v>
      </c>
      <c r="BL191">
        <v>1.4E-3</v>
      </c>
    </row>
    <row r="192" spans="1:64" hidden="1" x14ac:dyDescent="0.2">
      <c r="A192">
        <v>141</v>
      </c>
      <c r="D192" t="s">
        <v>54</v>
      </c>
      <c r="E192">
        <v>2015</v>
      </c>
      <c r="F192" t="s">
        <v>91</v>
      </c>
      <c r="G192" t="s">
        <v>92</v>
      </c>
      <c r="H192" t="s">
        <v>78</v>
      </c>
      <c r="K192" t="s">
        <v>93</v>
      </c>
      <c r="L192" t="s">
        <v>94</v>
      </c>
      <c r="M192" t="s">
        <v>95</v>
      </c>
      <c r="N192" t="s">
        <v>61</v>
      </c>
      <c r="O192" t="s">
        <v>62</v>
      </c>
      <c r="P192" t="s">
        <v>196</v>
      </c>
      <c r="Q192" t="s">
        <v>64</v>
      </c>
      <c r="R192" t="s">
        <v>83</v>
      </c>
      <c r="S192" t="s">
        <v>64</v>
      </c>
      <c r="T192" t="s">
        <v>64</v>
      </c>
      <c r="U192" t="s">
        <v>66</v>
      </c>
      <c r="V192">
        <v>400</v>
      </c>
      <c r="W192">
        <v>6</v>
      </c>
      <c r="X192" t="s">
        <v>67</v>
      </c>
      <c r="Y192" t="s">
        <v>96</v>
      </c>
      <c r="Z192">
        <v>8.15</v>
      </c>
      <c r="AA192">
        <v>0.01</v>
      </c>
      <c r="AB192" t="s">
        <v>67</v>
      </c>
      <c r="AC192">
        <v>642</v>
      </c>
      <c r="AD192">
        <v>12</v>
      </c>
      <c r="AE192" t="s">
        <v>67</v>
      </c>
      <c r="AF192">
        <v>8</v>
      </c>
      <c r="AG192">
        <v>0.01</v>
      </c>
      <c r="AH192" t="s">
        <v>67</v>
      </c>
      <c r="AI192">
        <v>28.4</v>
      </c>
      <c r="AJ192">
        <v>0.01</v>
      </c>
      <c r="AK192" t="s">
        <v>67</v>
      </c>
      <c r="AL192">
        <v>30.1</v>
      </c>
      <c r="AM192">
        <v>0.01</v>
      </c>
      <c r="AN192" t="s">
        <v>67</v>
      </c>
      <c r="AO192">
        <v>242</v>
      </c>
      <c r="AP192">
        <v>1.7</v>
      </c>
      <c r="AQ192" t="s">
        <v>67</v>
      </c>
      <c r="AR192" t="s">
        <v>69</v>
      </c>
      <c r="AS192" t="s">
        <v>69</v>
      </c>
      <c r="AT192" t="s">
        <v>70</v>
      </c>
      <c r="AU192" t="s">
        <v>232</v>
      </c>
      <c r="AV192" t="s">
        <v>72</v>
      </c>
      <c r="AX192" t="s">
        <v>73</v>
      </c>
      <c r="AY192">
        <v>4.8780000000000001</v>
      </c>
      <c r="AZ192">
        <v>4.87805</v>
      </c>
      <c r="BA192">
        <v>0.13</v>
      </c>
      <c r="BC192">
        <v>4</v>
      </c>
      <c r="BD192">
        <v>5.0731999999999999</v>
      </c>
      <c r="BE192">
        <v>5.0731707320000003</v>
      </c>
      <c r="BF192">
        <v>0.13009999999999999</v>
      </c>
      <c r="BH192">
        <v>1</v>
      </c>
      <c r="BI192" t="s">
        <v>67</v>
      </c>
      <c r="BJ192">
        <v>7</v>
      </c>
      <c r="BK192">
        <v>3.9199999999999999E-2</v>
      </c>
      <c r="BL192">
        <v>1.4E-3</v>
      </c>
    </row>
    <row r="193" spans="1:64" x14ac:dyDescent="0.2">
      <c r="A193">
        <v>175</v>
      </c>
      <c r="B193" t="str">
        <f>ROW()-1&amp;"_AltersFish"</f>
        <v>192_AltersFish</v>
      </c>
      <c r="C193" t="str">
        <f>A193 &amp; "_" &amp; P193 &amp; "_" &amp;
SUBSTITUTE(TRIM(L193)," ","_") &amp;
"_pH" &amp; TEXT(Z193,"0.00") &amp;
"_T" &amp; TEXT(AI193,"0.00") &amp;
"_CO2" &amp; TEXT(V193,"0") &amp;
"_LANG"</f>
        <v>175_EMBRYO_Clupea_harengus_pH8.15_T6.20_CO2415_LANG</v>
      </c>
      <c r="D193" t="s">
        <v>54</v>
      </c>
      <c r="E193">
        <v>2018</v>
      </c>
      <c r="F193" t="s">
        <v>180</v>
      </c>
      <c r="G193" t="s">
        <v>181</v>
      </c>
      <c r="H193" t="s">
        <v>78</v>
      </c>
      <c r="I193" t="s">
        <v>540</v>
      </c>
      <c r="J193" t="s">
        <v>543</v>
      </c>
      <c r="K193" t="s">
        <v>79</v>
      </c>
      <c r="L193" t="s">
        <v>182</v>
      </c>
      <c r="M193" t="s">
        <v>81</v>
      </c>
      <c r="N193" t="s">
        <v>81</v>
      </c>
      <c r="O193" t="s">
        <v>62</v>
      </c>
      <c r="P193" t="s">
        <v>82</v>
      </c>
      <c r="Q193" t="s">
        <v>64</v>
      </c>
      <c r="R193" t="s">
        <v>83</v>
      </c>
      <c r="S193" t="s">
        <v>64</v>
      </c>
      <c r="T193" t="s">
        <v>74</v>
      </c>
      <c r="U193" t="s">
        <v>84</v>
      </c>
      <c r="V193">
        <v>415</v>
      </c>
      <c r="W193" t="s">
        <v>67</v>
      </c>
      <c r="X193">
        <v>10</v>
      </c>
      <c r="Y193" t="s">
        <v>183</v>
      </c>
      <c r="Z193">
        <v>8.15</v>
      </c>
      <c r="AA193" t="s">
        <v>67</v>
      </c>
      <c r="AB193">
        <v>0.02</v>
      </c>
      <c r="AC193">
        <v>1101</v>
      </c>
      <c r="AD193" t="s">
        <v>67</v>
      </c>
      <c r="AE193">
        <v>47</v>
      </c>
      <c r="AF193">
        <v>7.77</v>
      </c>
      <c r="AG193" t="s">
        <v>67</v>
      </c>
      <c r="AH193">
        <v>0.02</v>
      </c>
      <c r="AI193">
        <v>6.2</v>
      </c>
      <c r="AJ193" t="s">
        <v>67</v>
      </c>
      <c r="AK193">
        <v>0.06</v>
      </c>
      <c r="AL193">
        <v>6.2</v>
      </c>
      <c r="AM193" t="s">
        <v>67</v>
      </c>
      <c r="AN193">
        <v>0.06</v>
      </c>
      <c r="AO193">
        <v>686</v>
      </c>
      <c r="AP193">
        <v>0</v>
      </c>
      <c r="AQ193" t="s">
        <v>67</v>
      </c>
      <c r="AR193" t="s">
        <v>104</v>
      </c>
      <c r="AS193" t="s">
        <v>105</v>
      </c>
      <c r="AT193" t="s">
        <v>70</v>
      </c>
      <c r="AU193" t="s">
        <v>295</v>
      </c>
      <c r="AV193" t="s">
        <v>88</v>
      </c>
      <c r="AW193" t="s">
        <v>151</v>
      </c>
      <c r="AX193" t="s">
        <v>90</v>
      </c>
      <c r="AY193">
        <v>75.415899999999993</v>
      </c>
      <c r="AZ193">
        <v>75.415899999999993</v>
      </c>
      <c r="BA193">
        <v>2.9575</v>
      </c>
      <c r="BB193">
        <f>BA193*SQRT(BC193)</f>
        <v>7.2443659142812482</v>
      </c>
      <c r="BC193">
        <v>6</v>
      </c>
      <c r="BD193">
        <v>64.325299999999999</v>
      </c>
      <c r="BE193">
        <v>64.325323479999994</v>
      </c>
      <c r="BF193">
        <v>1.8484</v>
      </c>
      <c r="BG193">
        <f>BF193*SQRT(BH193)</f>
        <v>4.5276368405604259</v>
      </c>
      <c r="BH193">
        <v>6</v>
      </c>
      <c r="BI193">
        <v>27</v>
      </c>
      <c r="BJ193">
        <v>6</v>
      </c>
      <c r="BK193">
        <v>-0.15909999999999999</v>
      </c>
      <c r="BL193">
        <v>2.3999999999999998E-3</v>
      </c>
    </row>
    <row r="194" spans="1:64" hidden="1" x14ac:dyDescent="0.2">
      <c r="A194">
        <v>142</v>
      </c>
      <c r="D194" t="s">
        <v>54</v>
      </c>
      <c r="E194">
        <v>2017</v>
      </c>
      <c r="F194" t="s">
        <v>193</v>
      </c>
      <c r="G194" t="s">
        <v>181</v>
      </c>
      <c r="H194" t="s">
        <v>78</v>
      </c>
      <c r="K194" t="s">
        <v>194</v>
      </c>
      <c r="L194" t="s">
        <v>215</v>
      </c>
      <c r="M194" t="s">
        <v>120</v>
      </c>
      <c r="N194" t="s">
        <v>120</v>
      </c>
      <c r="O194" t="s">
        <v>62</v>
      </c>
      <c r="P194" t="s">
        <v>196</v>
      </c>
      <c r="Q194" t="s">
        <v>64</v>
      </c>
      <c r="R194" t="s">
        <v>83</v>
      </c>
      <c r="S194" t="s">
        <v>74</v>
      </c>
      <c r="T194" t="s">
        <v>64</v>
      </c>
      <c r="U194" t="s">
        <v>75</v>
      </c>
      <c r="V194">
        <v>439</v>
      </c>
      <c r="W194">
        <v>16.079999999999998</v>
      </c>
      <c r="X194" t="s">
        <v>67</v>
      </c>
      <c r="Y194" t="s">
        <v>67</v>
      </c>
      <c r="Z194" t="s">
        <v>67</v>
      </c>
      <c r="AA194" t="s">
        <v>67</v>
      </c>
      <c r="AB194" t="s">
        <v>67</v>
      </c>
      <c r="AC194">
        <v>525</v>
      </c>
      <c r="AD194">
        <v>21.07</v>
      </c>
      <c r="AE194" t="s">
        <v>67</v>
      </c>
      <c r="AF194" t="s">
        <v>67</v>
      </c>
      <c r="AG194" t="s">
        <v>67</v>
      </c>
      <c r="AH194" t="s">
        <v>67</v>
      </c>
      <c r="AI194">
        <v>-0.6</v>
      </c>
      <c r="AJ194">
        <v>0.17</v>
      </c>
      <c r="AK194" t="s">
        <v>67</v>
      </c>
      <c r="AL194">
        <v>4</v>
      </c>
      <c r="AM194">
        <v>0.44</v>
      </c>
      <c r="AN194" t="s">
        <v>67</v>
      </c>
      <c r="AO194">
        <v>86</v>
      </c>
      <c r="AP194">
        <v>4.5999999999999996</v>
      </c>
      <c r="AQ194" t="s">
        <v>67</v>
      </c>
      <c r="AR194" t="s">
        <v>69</v>
      </c>
      <c r="AS194" t="s">
        <v>69</v>
      </c>
      <c r="AT194" t="s">
        <v>70</v>
      </c>
      <c r="AU194" t="s">
        <v>197</v>
      </c>
      <c r="AV194" t="s">
        <v>72</v>
      </c>
      <c r="AX194" t="s">
        <v>73</v>
      </c>
      <c r="AY194">
        <v>1.395</v>
      </c>
      <c r="AZ194">
        <v>1.395</v>
      </c>
      <c r="BA194">
        <v>0.04</v>
      </c>
      <c r="BC194">
        <v>5</v>
      </c>
      <c r="BD194">
        <v>1.2729999999999999</v>
      </c>
      <c r="BE194">
        <v>1.2729999999999999</v>
      </c>
      <c r="BF194">
        <v>0.03</v>
      </c>
      <c r="BH194">
        <v>5</v>
      </c>
      <c r="BI194">
        <v>56</v>
      </c>
      <c r="BJ194">
        <v>1</v>
      </c>
      <c r="BK194">
        <v>-9.1499999999999998E-2</v>
      </c>
      <c r="BL194">
        <v>1.4E-3</v>
      </c>
    </row>
    <row r="195" spans="1:64" hidden="1" x14ac:dyDescent="0.2">
      <c r="A195">
        <v>160</v>
      </c>
      <c r="D195" t="s">
        <v>54</v>
      </c>
      <c r="E195">
        <v>2018</v>
      </c>
      <c r="F195" t="s">
        <v>254</v>
      </c>
      <c r="G195" t="s">
        <v>255</v>
      </c>
      <c r="H195" t="s">
        <v>78</v>
      </c>
      <c r="K195" t="s">
        <v>189</v>
      </c>
      <c r="L195" t="s">
        <v>190</v>
      </c>
      <c r="M195" t="s">
        <v>156</v>
      </c>
      <c r="N195" t="s">
        <v>156</v>
      </c>
      <c r="O195" t="s">
        <v>110</v>
      </c>
      <c r="P195" t="s">
        <v>63</v>
      </c>
      <c r="Q195" t="s">
        <v>74</v>
      </c>
      <c r="R195" t="s">
        <v>83</v>
      </c>
      <c r="S195" t="s">
        <v>64</v>
      </c>
      <c r="T195" t="s">
        <v>74</v>
      </c>
      <c r="U195" t="s">
        <v>84</v>
      </c>
      <c r="V195">
        <v>500</v>
      </c>
      <c r="W195" t="s">
        <v>67</v>
      </c>
      <c r="X195" t="s">
        <v>67</v>
      </c>
      <c r="Y195" t="s">
        <v>67</v>
      </c>
      <c r="Z195" t="s">
        <v>67</v>
      </c>
      <c r="AA195" t="s">
        <v>67</v>
      </c>
      <c r="AB195" t="s">
        <v>67</v>
      </c>
      <c r="AC195">
        <v>1497</v>
      </c>
      <c r="AD195" t="s">
        <v>67</v>
      </c>
      <c r="AE195">
        <v>33</v>
      </c>
      <c r="AF195">
        <v>7.61</v>
      </c>
      <c r="AG195" t="s">
        <v>67</v>
      </c>
      <c r="AH195">
        <v>0.03</v>
      </c>
      <c r="AI195">
        <v>19</v>
      </c>
      <c r="AJ195" t="s">
        <v>67</v>
      </c>
      <c r="AK195">
        <v>0.2</v>
      </c>
      <c r="AL195">
        <v>19</v>
      </c>
      <c r="AM195" t="s">
        <v>67</v>
      </c>
      <c r="AN195">
        <v>0.1</v>
      </c>
      <c r="AO195">
        <v>997</v>
      </c>
      <c r="AP195">
        <v>0</v>
      </c>
      <c r="AQ195" t="s">
        <v>67</v>
      </c>
      <c r="AR195" t="s">
        <v>256</v>
      </c>
      <c r="AS195" t="s">
        <v>98</v>
      </c>
      <c r="AT195" t="s">
        <v>70</v>
      </c>
      <c r="AU195" t="s">
        <v>226</v>
      </c>
      <c r="AV195" t="s">
        <v>72</v>
      </c>
      <c r="AX195" t="s">
        <v>73</v>
      </c>
      <c r="AY195">
        <v>6.1</v>
      </c>
      <c r="AZ195">
        <v>6.1</v>
      </c>
      <c r="BA195">
        <v>0.18</v>
      </c>
      <c r="BC195">
        <v>15</v>
      </c>
      <c r="BD195">
        <v>6.9</v>
      </c>
      <c r="BE195">
        <v>6.9</v>
      </c>
      <c r="BF195">
        <v>0.15490000000000001</v>
      </c>
      <c r="BH195">
        <v>15</v>
      </c>
      <c r="BI195">
        <v>28</v>
      </c>
      <c r="BJ195">
        <v>3</v>
      </c>
      <c r="BK195">
        <v>0.1232</v>
      </c>
      <c r="BL195">
        <v>1.4E-3</v>
      </c>
    </row>
    <row r="196" spans="1:64" hidden="1" x14ac:dyDescent="0.2">
      <c r="A196">
        <v>163</v>
      </c>
      <c r="D196" t="s">
        <v>54</v>
      </c>
      <c r="E196">
        <v>2018</v>
      </c>
      <c r="F196" t="s">
        <v>273</v>
      </c>
      <c r="G196" t="s">
        <v>230</v>
      </c>
      <c r="H196" t="s">
        <v>78</v>
      </c>
      <c r="K196" t="s">
        <v>79</v>
      </c>
      <c r="L196" t="s">
        <v>274</v>
      </c>
      <c r="M196" t="s">
        <v>95</v>
      </c>
      <c r="N196" t="s">
        <v>61</v>
      </c>
      <c r="O196" t="s">
        <v>62</v>
      </c>
      <c r="P196" t="s">
        <v>63</v>
      </c>
      <c r="Q196" t="s">
        <v>64</v>
      </c>
      <c r="R196" t="s">
        <v>65</v>
      </c>
      <c r="S196" t="s">
        <v>64</v>
      </c>
      <c r="T196" t="s">
        <v>74</v>
      </c>
      <c r="U196" t="s">
        <v>84</v>
      </c>
      <c r="V196">
        <v>435</v>
      </c>
      <c r="W196" t="s">
        <v>67</v>
      </c>
      <c r="X196">
        <v>38</v>
      </c>
      <c r="Y196" t="s">
        <v>67</v>
      </c>
      <c r="Z196" t="s">
        <v>67</v>
      </c>
      <c r="AA196" t="s">
        <v>67</v>
      </c>
      <c r="AB196" t="s">
        <v>67</v>
      </c>
      <c r="AC196">
        <v>992</v>
      </c>
      <c r="AD196" t="s">
        <v>67</v>
      </c>
      <c r="AE196">
        <v>19</v>
      </c>
      <c r="AF196" t="s">
        <v>67</v>
      </c>
      <c r="AG196" t="s">
        <v>67</v>
      </c>
      <c r="AH196" t="s">
        <v>67</v>
      </c>
      <c r="AI196">
        <v>28.8</v>
      </c>
      <c r="AJ196" t="s">
        <v>67</v>
      </c>
      <c r="AK196">
        <v>0.2</v>
      </c>
      <c r="AL196">
        <v>28.8</v>
      </c>
      <c r="AM196" t="s">
        <v>67</v>
      </c>
      <c r="AN196">
        <v>0.2</v>
      </c>
      <c r="AO196">
        <v>557</v>
      </c>
      <c r="AP196">
        <v>0</v>
      </c>
      <c r="AQ196" t="s">
        <v>67</v>
      </c>
      <c r="AR196" t="s">
        <v>87</v>
      </c>
      <c r="AS196" t="s">
        <v>88</v>
      </c>
      <c r="AT196" t="s">
        <v>70</v>
      </c>
      <c r="AU196" t="s">
        <v>89</v>
      </c>
      <c r="AV196" t="s">
        <v>88</v>
      </c>
      <c r="AX196" t="s">
        <v>90</v>
      </c>
      <c r="AY196">
        <v>85.3125</v>
      </c>
      <c r="AZ196">
        <v>85.3125</v>
      </c>
      <c r="BA196">
        <v>1.8103</v>
      </c>
      <c r="BC196">
        <v>8</v>
      </c>
      <c r="BD196">
        <v>90.237499999999997</v>
      </c>
      <c r="BE196">
        <v>90.237499999999997</v>
      </c>
      <c r="BF196">
        <v>2.8006000000000002</v>
      </c>
      <c r="BH196">
        <v>8</v>
      </c>
      <c r="BI196">
        <v>77</v>
      </c>
      <c r="BJ196">
        <v>6</v>
      </c>
      <c r="BK196">
        <v>5.6099999999999997E-2</v>
      </c>
      <c r="BL196">
        <v>1.4E-3</v>
      </c>
    </row>
    <row r="197" spans="1:64" x14ac:dyDescent="0.2">
      <c r="A197">
        <v>175</v>
      </c>
      <c r="B197" t="str">
        <f>ROW()-1&amp;"_AltersFish"</f>
        <v>196_AltersFish</v>
      </c>
      <c r="C197" t="str">
        <f>A197 &amp; "_" &amp; P197 &amp; "_" &amp;
SUBSTITUTE(TRIM(L197)," ","_") &amp;
"_pH" &amp; TEXT(Z197,"0.00") &amp;
"_T" &amp; TEXT(AI197,"0.00") &amp;
"_CO2" &amp; TEXT(V197,"0") &amp;
"_LANG"</f>
        <v>175_EMBRYO_Clupea_harengus_pH8.15_T6.20_CO2415_LANG</v>
      </c>
      <c r="D197" t="s">
        <v>54</v>
      </c>
      <c r="E197">
        <v>2018</v>
      </c>
      <c r="F197" t="s">
        <v>180</v>
      </c>
      <c r="G197" t="s">
        <v>181</v>
      </c>
      <c r="H197" t="s">
        <v>78</v>
      </c>
      <c r="I197" t="s">
        <v>540</v>
      </c>
      <c r="J197" t="s">
        <v>543</v>
      </c>
      <c r="K197" t="s">
        <v>79</v>
      </c>
      <c r="L197" t="s">
        <v>182</v>
      </c>
      <c r="M197" t="s">
        <v>81</v>
      </c>
      <c r="N197" t="s">
        <v>81</v>
      </c>
      <c r="O197" t="s">
        <v>62</v>
      </c>
      <c r="P197" t="s">
        <v>82</v>
      </c>
      <c r="Q197" t="s">
        <v>64</v>
      </c>
      <c r="R197" t="s">
        <v>83</v>
      </c>
      <c r="S197" t="s">
        <v>74</v>
      </c>
      <c r="T197" t="s">
        <v>64</v>
      </c>
      <c r="U197" t="s">
        <v>75</v>
      </c>
      <c r="V197">
        <v>415</v>
      </c>
      <c r="W197" t="s">
        <v>67</v>
      </c>
      <c r="X197">
        <v>10</v>
      </c>
      <c r="Y197" t="s">
        <v>183</v>
      </c>
      <c r="Z197">
        <v>8.15</v>
      </c>
      <c r="AA197" t="s">
        <v>67</v>
      </c>
      <c r="AB197">
        <v>0.02</v>
      </c>
      <c r="AC197">
        <v>408</v>
      </c>
      <c r="AD197" t="s">
        <v>67</v>
      </c>
      <c r="AE197">
        <v>10</v>
      </c>
      <c r="AF197">
        <v>8.17</v>
      </c>
      <c r="AG197" t="s">
        <v>67</v>
      </c>
      <c r="AH197">
        <v>0.02</v>
      </c>
      <c r="AI197">
        <v>6.2</v>
      </c>
      <c r="AJ197" t="s">
        <v>67</v>
      </c>
      <c r="AK197">
        <v>0.06</v>
      </c>
      <c r="AL197">
        <v>10</v>
      </c>
      <c r="AM197" t="s">
        <v>67</v>
      </c>
      <c r="AN197">
        <v>0.06</v>
      </c>
      <c r="AO197">
        <v>-7</v>
      </c>
      <c r="AP197">
        <v>3.9</v>
      </c>
      <c r="AQ197" t="s">
        <v>67</v>
      </c>
      <c r="AR197" t="s">
        <v>104</v>
      </c>
      <c r="AS197" t="s">
        <v>105</v>
      </c>
      <c r="AT197" t="s">
        <v>70</v>
      </c>
      <c r="AU197" t="s">
        <v>295</v>
      </c>
      <c r="AV197" t="s">
        <v>88</v>
      </c>
      <c r="AW197" t="s">
        <v>151</v>
      </c>
      <c r="AX197" t="s">
        <v>90</v>
      </c>
      <c r="AY197">
        <v>75.415899999999993</v>
      </c>
      <c r="AZ197">
        <v>75.415899999999993</v>
      </c>
      <c r="BA197">
        <v>2.9575</v>
      </c>
      <c r="BB197">
        <f>BA197*SQRT(BC197)</f>
        <v>7.2443659142812482</v>
      </c>
      <c r="BC197">
        <v>6</v>
      </c>
      <c r="BD197">
        <v>73.937200000000004</v>
      </c>
      <c r="BE197">
        <v>73.937153420000001</v>
      </c>
      <c r="BF197">
        <v>6.4695</v>
      </c>
      <c r="BG197">
        <f>BF197*SQRT(BH197)</f>
        <v>15.84697389093577</v>
      </c>
      <c r="BH197">
        <v>6</v>
      </c>
      <c r="BI197">
        <v>16</v>
      </c>
      <c r="BJ197">
        <v>6</v>
      </c>
      <c r="BK197">
        <v>-1.9800000000000002E-2</v>
      </c>
      <c r="BL197">
        <v>9.1999999999999998E-3</v>
      </c>
    </row>
    <row r="198" spans="1:64" hidden="1" x14ac:dyDescent="0.2">
      <c r="A198">
        <v>151</v>
      </c>
      <c r="C198" t="s">
        <v>549</v>
      </c>
      <c r="D198" t="s">
        <v>54</v>
      </c>
      <c r="E198">
        <v>2015</v>
      </c>
      <c r="F198" t="s">
        <v>262</v>
      </c>
      <c r="G198" t="s">
        <v>263</v>
      </c>
      <c r="H198" t="s">
        <v>57</v>
      </c>
      <c r="K198" t="s">
        <v>264</v>
      </c>
      <c r="L198" t="s">
        <v>265</v>
      </c>
      <c r="M198" t="s">
        <v>81</v>
      </c>
      <c r="N198" t="s">
        <v>81</v>
      </c>
      <c r="O198" t="s">
        <v>62</v>
      </c>
      <c r="P198" t="s">
        <v>82</v>
      </c>
      <c r="Q198" t="s">
        <v>64</v>
      </c>
      <c r="R198" t="s">
        <v>65</v>
      </c>
      <c r="S198" t="s">
        <v>64</v>
      </c>
      <c r="T198" t="s">
        <v>74</v>
      </c>
      <c r="U198" t="s">
        <v>84</v>
      </c>
      <c r="V198">
        <v>518</v>
      </c>
      <c r="W198">
        <v>19.899999999999999</v>
      </c>
      <c r="X198" t="s">
        <v>67</v>
      </c>
      <c r="Y198" t="s">
        <v>96</v>
      </c>
      <c r="Z198">
        <v>8.02</v>
      </c>
      <c r="AA198">
        <v>0.01</v>
      </c>
      <c r="AB198" t="s">
        <v>67</v>
      </c>
      <c r="AC198">
        <v>947</v>
      </c>
      <c r="AD198">
        <v>39.700000000000003</v>
      </c>
      <c r="AE198" t="s">
        <v>67</v>
      </c>
      <c r="AF198">
        <v>7.82</v>
      </c>
      <c r="AG198">
        <v>0.01</v>
      </c>
      <c r="AH198" t="s">
        <v>67</v>
      </c>
      <c r="AI198">
        <v>16.3</v>
      </c>
      <c r="AJ198">
        <v>0</v>
      </c>
      <c r="AK198" t="s">
        <v>67</v>
      </c>
      <c r="AL198">
        <v>16.2</v>
      </c>
      <c r="AM198">
        <v>0.1</v>
      </c>
      <c r="AN198" t="s">
        <v>67</v>
      </c>
      <c r="AO198">
        <v>429</v>
      </c>
      <c r="AP198">
        <v>-0.1</v>
      </c>
      <c r="AQ198" t="s">
        <v>67</v>
      </c>
      <c r="AR198" t="s">
        <v>266</v>
      </c>
      <c r="AS198" t="s">
        <v>266</v>
      </c>
      <c r="AT198" t="s">
        <v>135</v>
      </c>
      <c r="AU198" t="s">
        <v>203</v>
      </c>
      <c r="AV198" t="s">
        <v>11</v>
      </c>
      <c r="AW198" t="s">
        <v>11</v>
      </c>
      <c r="AX198" t="s">
        <v>73</v>
      </c>
      <c r="AY198">
        <v>150.9128</v>
      </c>
      <c r="AZ198">
        <v>150.91278</v>
      </c>
      <c r="BA198">
        <v>3.25</v>
      </c>
      <c r="BC198">
        <v>9</v>
      </c>
      <c r="BD198">
        <v>153.7525</v>
      </c>
      <c r="BE198">
        <v>153.75253549999999</v>
      </c>
      <c r="BF198">
        <v>4.8681999999999999</v>
      </c>
      <c r="BH198">
        <v>9</v>
      </c>
      <c r="BI198">
        <v>154</v>
      </c>
      <c r="BJ198">
        <v>4</v>
      </c>
      <c r="BK198">
        <v>1.8599999999999998E-2</v>
      </c>
      <c r="BL198">
        <v>1.5E-3</v>
      </c>
    </row>
    <row r="199" spans="1:64" x14ac:dyDescent="0.2">
      <c r="A199">
        <v>175</v>
      </c>
      <c r="B199" t="str">
        <f>ROW()-1&amp;"_AltersFish"</f>
        <v>198_AltersFish</v>
      </c>
      <c r="C199" t="str">
        <f>A199 &amp; "_" &amp; P199 &amp; "_" &amp;
SUBSTITUTE(TRIM(L199)," ","_") &amp;
"_pH" &amp; TEXT(Z199,"0.00") &amp;
"_T" &amp; TEXT(AI199,"0.00") &amp;
"_CO2" &amp; TEXT(V199,"0") &amp;
"_LANG"</f>
        <v>175_EMBRYO_Clupea_harengus_pH8.15_T6.20_CO2415_LANG</v>
      </c>
      <c r="D199" t="s">
        <v>54</v>
      </c>
      <c r="E199">
        <v>2018</v>
      </c>
      <c r="F199" t="s">
        <v>180</v>
      </c>
      <c r="G199" t="s">
        <v>181</v>
      </c>
      <c r="H199" t="s">
        <v>78</v>
      </c>
      <c r="I199" t="s">
        <v>540</v>
      </c>
      <c r="J199" t="s">
        <v>543</v>
      </c>
      <c r="K199" t="s">
        <v>79</v>
      </c>
      <c r="L199" t="s">
        <v>182</v>
      </c>
      <c r="M199" t="s">
        <v>81</v>
      </c>
      <c r="N199" t="s">
        <v>81</v>
      </c>
      <c r="O199" t="s">
        <v>62</v>
      </c>
      <c r="P199" t="s">
        <v>82</v>
      </c>
      <c r="Q199" t="s">
        <v>64</v>
      </c>
      <c r="R199" t="s">
        <v>83</v>
      </c>
      <c r="S199" t="s">
        <v>64</v>
      </c>
      <c r="T199" t="s">
        <v>64</v>
      </c>
      <c r="U199" t="s">
        <v>66</v>
      </c>
      <c r="V199">
        <v>415</v>
      </c>
      <c r="W199" t="s">
        <v>67</v>
      </c>
      <c r="X199">
        <v>10</v>
      </c>
      <c r="Y199" t="s">
        <v>183</v>
      </c>
      <c r="Z199">
        <v>8.15</v>
      </c>
      <c r="AA199" t="s">
        <v>67</v>
      </c>
      <c r="AB199">
        <v>0.02</v>
      </c>
      <c r="AC199">
        <v>1050</v>
      </c>
      <c r="AD199" t="s">
        <v>67</v>
      </c>
      <c r="AE199">
        <v>46</v>
      </c>
      <c r="AF199">
        <v>7.79</v>
      </c>
      <c r="AG199" t="s">
        <v>67</v>
      </c>
      <c r="AH199">
        <v>0.03</v>
      </c>
      <c r="AI199">
        <v>6.2</v>
      </c>
      <c r="AJ199" t="s">
        <v>67</v>
      </c>
      <c r="AK199">
        <v>0.06</v>
      </c>
      <c r="AL199">
        <v>10</v>
      </c>
      <c r="AM199" t="s">
        <v>67</v>
      </c>
      <c r="AN199">
        <v>0.06</v>
      </c>
      <c r="AO199">
        <v>635</v>
      </c>
      <c r="AP199">
        <v>3.9</v>
      </c>
      <c r="AQ199" t="s">
        <v>67</v>
      </c>
      <c r="AR199" t="s">
        <v>104</v>
      </c>
      <c r="AS199" t="s">
        <v>105</v>
      </c>
      <c r="AT199" t="s">
        <v>70</v>
      </c>
      <c r="AU199" t="s">
        <v>295</v>
      </c>
      <c r="AV199" t="s">
        <v>88</v>
      </c>
      <c r="AW199" t="s">
        <v>151</v>
      </c>
      <c r="AX199" t="s">
        <v>90</v>
      </c>
      <c r="AY199">
        <v>75.415899999999993</v>
      </c>
      <c r="AZ199">
        <v>75.415899999999993</v>
      </c>
      <c r="BA199">
        <v>2.9575</v>
      </c>
      <c r="BB199">
        <f>BA199*SQRT(BC199)</f>
        <v>7.2443659142812482</v>
      </c>
      <c r="BC199">
        <v>6</v>
      </c>
      <c r="BD199">
        <v>74.676500000000004</v>
      </c>
      <c r="BE199">
        <v>74.676524950000001</v>
      </c>
      <c r="BF199">
        <v>7.5785999999999998</v>
      </c>
      <c r="BG199">
        <f>BF199*SQRT(BH199)</f>
        <v>18.563702964656592</v>
      </c>
      <c r="BH199">
        <v>6</v>
      </c>
      <c r="BI199">
        <v>16</v>
      </c>
      <c r="BJ199">
        <v>6</v>
      </c>
      <c r="BK199">
        <v>-9.9000000000000008E-3</v>
      </c>
      <c r="BL199">
        <v>1.18E-2</v>
      </c>
    </row>
    <row r="200" spans="1:64" x14ac:dyDescent="0.2">
      <c r="A200">
        <v>141</v>
      </c>
      <c r="B200" t="str">
        <f>ROW()-1&amp;"_AltersFish"</f>
        <v>199_AltersFish</v>
      </c>
      <c r="C200" t="str">
        <f>A200 &amp; "_" &amp; P200 &amp; "_" &amp;
SUBSTITUTE(TRIM(L200)," ","_") &amp;
"_pH" &amp; TEXT(Z200,"0.00") &amp;
"_T" &amp; TEXT(AI200,"0.00") &amp;
"_CO2" &amp; TEXT(V200,"0") &amp;
"_LANG"</f>
        <v>141_EMBRYO_Amphiprion_melanopus_pH8.15_T28.40_CO2400_LANG</v>
      </c>
      <c r="D200" t="s">
        <v>54</v>
      </c>
      <c r="E200">
        <v>2015</v>
      </c>
      <c r="F200" t="s">
        <v>91</v>
      </c>
      <c r="G200" t="s">
        <v>92</v>
      </c>
      <c r="H200" t="s">
        <v>78</v>
      </c>
      <c r="I200" t="s">
        <v>540</v>
      </c>
      <c r="J200" t="s">
        <v>543</v>
      </c>
      <c r="K200" t="s">
        <v>93</v>
      </c>
      <c r="L200" t="s">
        <v>94</v>
      </c>
      <c r="M200" t="s">
        <v>95</v>
      </c>
      <c r="N200" t="s">
        <v>61</v>
      </c>
      <c r="O200" t="s">
        <v>62</v>
      </c>
      <c r="P200" t="s">
        <v>82</v>
      </c>
      <c r="Q200" t="s">
        <v>64</v>
      </c>
      <c r="R200" t="s">
        <v>83</v>
      </c>
      <c r="S200" t="s">
        <v>64</v>
      </c>
      <c r="T200" t="s">
        <v>74</v>
      </c>
      <c r="U200" t="s">
        <v>84</v>
      </c>
      <c r="V200">
        <v>400</v>
      </c>
      <c r="W200">
        <v>6</v>
      </c>
      <c r="X200" t="s">
        <v>67</v>
      </c>
      <c r="Y200" t="s">
        <v>96</v>
      </c>
      <c r="Z200">
        <v>8.15</v>
      </c>
      <c r="AA200">
        <v>0.01</v>
      </c>
      <c r="AB200" t="s">
        <v>67</v>
      </c>
      <c r="AC200">
        <v>1087</v>
      </c>
      <c r="AD200">
        <v>25</v>
      </c>
      <c r="AE200" t="s">
        <v>67</v>
      </c>
      <c r="AF200">
        <v>7.81</v>
      </c>
      <c r="AG200">
        <v>0.01</v>
      </c>
      <c r="AH200" t="s">
        <v>67</v>
      </c>
      <c r="AI200">
        <v>28.4</v>
      </c>
      <c r="AJ200">
        <v>0.01</v>
      </c>
      <c r="AK200" t="s">
        <v>67</v>
      </c>
      <c r="AL200">
        <v>28.5</v>
      </c>
      <c r="AM200">
        <v>0.01</v>
      </c>
      <c r="AN200" t="s">
        <v>67</v>
      </c>
      <c r="AO200">
        <v>687</v>
      </c>
      <c r="AP200">
        <v>0.1</v>
      </c>
      <c r="AQ200" t="s">
        <v>67</v>
      </c>
      <c r="AR200" t="s">
        <v>171</v>
      </c>
      <c r="AS200" t="s">
        <v>159</v>
      </c>
      <c r="AT200" t="s">
        <v>135</v>
      </c>
      <c r="AU200" t="s">
        <v>99</v>
      </c>
      <c r="AV200" t="s">
        <v>11</v>
      </c>
      <c r="AW200" t="s">
        <v>72</v>
      </c>
      <c r="AX200" t="s">
        <v>73</v>
      </c>
      <c r="AY200">
        <v>0.42320000000000002</v>
      </c>
      <c r="AZ200">
        <v>0.42320000000000002</v>
      </c>
      <c r="BA200">
        <v>3.3999999999999998E-3</v>
      </c>
      <c r="BB200">
        <f>BA200*SQRT(BC200)</f>
        <v>6.7999999999999996E-3</v>
      </c>
      <c r="BC200">
        <v>4</v>
      </c>
      <c r="BD200">
        <v>0.39329999999999998</v>
      </c>
      <c r="BE200">
        <v>0.393300971</v>
      </c>
      <c r="BF200">
        <v>4.1000000000000003E-3</v>
      </c>
      <c r="BG200">
        <f>BF200*SQRT(BH200)</f>
        <v>8.2000000000000007E-3</v>
      </c>
      <c r="BH200">
        <v>4</v>
      </c>
      <c r="BI200" t="s">
        <v>67</v>
      </c>
      <c r="BJ200">
        <v>7</v>
      </c>
      <c r="BK200">
        <v>-7.3300000000000004E-2</v>
      </c>
      <c r="BL200">
        <v>2.0000000000000001E-4</v>
      </c>
    </row>
    <row r="201" spans="1:64" x14ac:dyDescent="0.2">
      <c r="A201">
        <v>141</v>
      </c>
      <c r="B201" t="str">
        <f>ROW()-1&amp;"_AltersFish"</f>
        <v>200_AltersFish</v>
      </c>
      <c r="C201" t="str">
        <f>A201 &amp; "_" &amp; P201 &amp; "_" &amp;
SUBSTITUTE(TRIM(L201)," ","_") &amp;
"_pH" &amp; TEXT(Z201,"0.00") &amp;
"_T" &amp; TEXT(AI201,"0.00") &amp;
"_CO2" &amp; TEXT(V201,"0") &amp;
"_LANG"</f>
        <v>141_EMBRYO_Amphiprion_melanopus_pH8.15_T28.40_CO2400_LANG</v>
      </c>
      <c r="D201" t="s">
        <v>54</v>
      </c>
      <c r="E201">
        <v>2015</v>
      </c>
      <c r="F201" t="s">
        <v>91</v>
      </c>
      <c r="G201" t="s">
        <v>92</v>
      </c>
      <c r="H201" t="s">
        <v>78</v>
      </c>
      <c r="I201" t="s">
        <v>540</v>
      </c>
      <c r="J201" t="s">
        <v>543</v>
      </c>
      <c r="K201" t="s">
        <v>93</v>
      </c>
      <c r="L201" t="s">
        <v>94</v>
      </c>
      <c r="M201" t="s">
        <v>95</v>
      </c>
      <c r="N201" t="s">
        <v>61</v>
      </c>
      <c r="O201" t="s">
        <v>62</v>
      </c>
      <c r="P201" t="s">
        <v>82</v>
      </c>
      <c r="Q201" t="s">
        <v>64</v>
      </c>
      <c r="R201" t="s">
        <v>83</v>
      </c>
      <c r="S201" t="s">
        <v>64</v>
      </c>
      <c r="T201" t="s">
        <v>74</v>
      </c>
      <c r="U201" t="s">
        <v>84</v>
      </c>
      <c r="V201">
        <v>400</v>
      </c>
      <c r="W201">
        <v>6</v>
      </c>
      <c r="X201" t="s">
        <v>67</v>
      </c>
      <c r="Y201" t="s">
        <v>96</v>
      </c>
      <c r="Z201">
        <v>8.15</v>
      </c>
      <c r="AA201">
        <v>0.01</v>
      </c>
      <c r="AB201" t="s">
        <v>67</v>
      </c>
      <c r="AC201">
        <v>634</v>
      </c>
      <c r="AD201">
        <v>13</v>
      </c>
      <c r="AE201" t="s">
        <v>67</v>
      </c>
      <c r="AF201">
        <v>8</v>
      </c>
      <c r="AG201">
        <v>0.01</v>
      </c>
      <c r="AH201" t="s">
        <v>67</v>
      </c>
      <c r="AI201">
        <v>28.4</v>
      </c>
      <c r="AJ201">
        <v>0.01</v>
      </c>
      <c r="AK201" t="s">
        <v>67</v>
      </c>
      <c r="AL201">
        <v>28.5</v>
      </c>
      <c r="AM201">
        <v>0.01</v>
      </c>
      <c r="AN201" t="s">
        <v>67</v>
      </c>
      <c r="AO201">
        <v>234</v>
      </c>
      <c r="AP201">
        <v>0.1</v>
      </c>
      <c r="AQ201" t="s">
        <v>67</v>
      </c>
      <c r="AR201" t="s">
        <v>171</v>
      </c>
      <c r="AS201" t="s">
        <v>159</v>
      </c>
      <c r="AT201" t="s">
        <v>135</v>
      </c>
      <c r="AU201" t="s">
        <v>99</v>
      </c>
      <c r="AV201" t="s">
        <v>11</v>
      </c>
      <c r="AW201" t="s">
        <v>72</v>
      </c>
      <c r="AX201" t="s">
        <v>73</v>
      </c>
      <c r="AY201">
        <v>0.42320000000000002</v>
      </c>
      <c r="AZ201">
        <v>0.42320000000000002</v>
      </c>
      <c r="BA201">
        <v>3.3999999999999998E-3</v>
      </c>
      <c r="BB201">
        <f>BA201*SQRT(BC201)</f>
        <v>6.7999999999999996E-3</v>
      </c>
      <c r="BC201">
        <v>4</v>
      </c>
      <c r="BD201">
        <v>0.40620000000000001</v>
      </c>
      <c r="BE201">
        <v>0.40621359200000001</v>
      </c>
      <c r="BF201">
        <v>7.4999999999999997E-3</v>
      </c>
      <c r="BG201">
        <f>BF201*SQRT(BH201)</f>
        <v>1.6770509831248424E-2</v>
      </c>
      <c r="BH201">
        <v>5</v>
      </c>
      <c r="BI201" t="s">
        <v>67</v>
      </c>
      <c r="BJ201">
        <v>7</v>
      </c>
      <c r="BK201">
        <v>-4.1000000000000002E-2</v>
      </c>
      <c r="BL201">
        <v>4.0000000000000002E-4</v>
      </c>
    </row>
    <row r="202" spans="1:64" x14ac:dyDescent="0.2">
      <c r="A202">
        <v>141</v>
      </c>
      <c r="B202" t="str">
        <f>ROW()-1&amp;"_AltersFish"</f>
        <v>201_AltersFish</v>
      </c>
      <c r="C202" t="str">
        <f>A202 &amp; "_" &amp; P202 &amp; "_" &amp;
SUBSTITUTE(TRIM(L202)," ","_") &amp;
"_pH" &amp; TEXT(Z202,"0.00") &amp;
"_T" &amp; TEXT(AI202,"0.00") &amp;
"_CO2" &amp; TEXT(V202,"0") &amp;
"_LANG"</f>
        <v>141_EMBRYO_Amphiprion_melanopus_pH8.15_T28.40_CO2400_LANG</v>
      </c>
      <c r="D202" t="s">
        <v>54</v>
      </c>
      <c r="E202">
        <v>2015</v>
      </c>
      <c r="F202" t="s">
        <v>91</v>
      </c>
      <c r="G202" t="s">
        <v>92</v>
      </c>
      <c r="H202" t="s">
        <v>78</v>
      </c>
      <c r="I202" t="s">
        <v>540</v>
      </c>
      <c r="J202" t="s">
        <v>543</v>
      </c>
      <c r="K202" t="s">
        <v>93</v>
      </c>
      <c r="L202" t="s">
        <v>94</v>
      </c>
      <c r="M202" t="s">
        <v>95</v>
      </c>
      <c r="N202" t="s">
        <v>61</v>
      </c>
      <c r="O202" t="s">
        <v>62</v>
      </c>
      <c r="P202" t="s">
        <v>82</v>
      </c>
      <c r="Q202" t="s">
        <v>64</v>
      </c>
      <c r="R202" t="s">
        <v>83</v>
      </c>
      <c r="S202" t="s">
        <v>74</v>
      </c>
      <c r="T202" t="s">
        <v>64</v>
      </c>
      <c r="U202" t="s">
        <v>75</v>
      </c>
      <c r="V202">
        <v>400</v>
      </c>
      <c r="W202">
        <v>6</v>
      </c>
      <c r="X202" t="s">
        <v>67</v>
      </c>
      <c r="Y202" t="s">
        <v>96</v>
      </c>
      <c r="Z202">
        <v>8.15</v>
      </c>
      <c r="AA202">
        <v>0.01</v>
      </c>
      <c r="AB202" t="s">
        <v>67</v>
      </c>
      <c r="AC202">
        <v>411</v>
      </c>
      <c r="AD202">
        <v>6</v>
      </c>
      <c r="AE202" t="s">
        <v>67</v>
      </c>
      <c r="AF202">
        <v>8.14</v>
      </c>
      <c r="AG202">
        <v>0.01</v>
      </c>
      <c r="AH202" t="s">
        <v>67</v>
      </c>
      <c r="AI202">
        <v>28.4</v>
      </c>
      <c r="AJ202">
        <v>0.01</v>
      </c>
      <c r="AK202" t="s">
        <v>67</v>
      </c>
      <c r="AL202">
        <v>29.8</v>
      </c>
      <c r="AM202">
        <v>0.02</v>
      </c>
      <c r="AN202" t="s">
        <v>67</v>
      </c>
      <c r="AO202">
        <v>11</v>
      </c>
      <c r="AP202">
        <v>1.4</v>
      </c>
      <c r="AQ202" t="s">
        <v>67</v>
      </c>
      <c r="AR202" t="s">
        <v>171</v>
      </c>
      <c r="AS202" t="s">
        <v>159</v>
      </c>
      <c r="AT202" t="s">
        <v>135</v>
      </c>
      <c r="AU202" t="s">
        <v>99</v>
      </c>
      <c r="AV202" t="s">
        <v>11</v>
      </c>
      <c r="AW202" t="s">
        <v>72</v>
      </c>
      <c r="AX202" t="s">
        <v>73</v>
      </c>
      <c r="AY202">
        <v>0.42320000000000002</v>
      </c>
      <c r="AZ202">
        <v>0.42320000000000002</v>
      </c>
      <c r="BA202">
        <v>3.3999999999999998E-3</v>
      </c>
      <c r="BB202">
        <f>BA202*SQRT(BC202)</f>
        <v>6.7999999999999996E-3</v>
      </c>
      <c r="BC202">
        <v>4</v>
      </c>
      <c r="BD202">
        <v>0.40960000000000002</v>
      </c>
      <c r="BE202">
        <v>0.40961164999999999</v>
      </c>
      <c r="BF202">
        <v>8.2000000000000007E-3</v>
      </c>
      <c r="BG202">
        <f>BF202*SQRT(BH202)</f>
        <v>1.6400000000000001E-2</v>
      </c>
      <c r="BH202">
        <v>4</v>
      </c>
      <c r="BI202" t="s">
        <v>67</v>
      </c>
      <c r="BJ202">
        <v>7</v>
      </c>
      <c r="BK202">
        <v>-3.2599999999999997E-2</v>
      </c>
      <c r="BL202">
        <v>5.0000000000000001E-4</v>
      </c>
    </row>
    <row r="203" spans="1:64" hidden="1" x14ac:dyDescent="0.2">
      <c r="A203">
        <v>132</v>
      </c>
      <c r="D203" t="s">
        <v>54</v>
      </c>
      <c r="E203">
        <v>2015</v>
      </c>
      <c r="F203" t="s">
        <v>283</v>
      </c>
      <c r="G203" t="s">
        <v>181</v>
      </c>
      <c r="H203" t="s">
        <v>284</v>
      </c>
      <c r="K203" t="s">
        <v>285</v>
      </c>
      <c r="L203" t="s">
        <v>286</v>
      </c>
      <c r="M203" t="s">
        <v>81</v>
      </c>
      <c r="N203" t="s">
        <v>81</v>
      </c>
      <c r="O203" t="s">
        <v>62</v>
      </c>
      <c r="P203" t="s">
        <v>196</v>
      </c>
      <c r="Q203" t="s">
        <v>64</v>
      </c>
      <c r="R203" t="s">
        <v>83</v>
      </c>
      <c r="S203" t="s">
        <v>64</v>
      </c>
      <c r="T203" t="s">
        <v>64</v>
      </c>
      <c r="U203" t="s">
        <v>66</v>
      </c>
      <c r="V203">
        <v>372</v>
      </c>
      <c r="W203" t="s">
        <v>67</v>
      </c>
      <c r="X203">
        <v>51.9</v>
      </c>
      <c r="Y203" t="s">
        <v>68</v>
      </c>
      <c r="Z203">
        <v>8.02</v>
      </c>
      <c r="AA203" t="s">
        <v>67</v>
      </c>
      <c r="AB203">
        <v>0.05</v>
      </c>
      <c r="AC203">
        <v>1481</v>
      </c>
      <c r="AD203" t="s">
        <v>67</v>
      </c>
      <c r="AE203">
        <v>107.7</v>
      </c>
      <c r="AF203">
        <v>7.49</v>
      </c>
      <c r="AG203" t="s">
        <v>67</v>
      </c>
      <c r="AH203">
        <v>0.03</v>
      </c>
      <c r="AI203">
        <v>25.9</v>
      </c>
      <c r="AJ203" t="s">
        <v>67</v>
      </c>
      <c r="AK203">
        <v>0.7</v>
      </c>
      <c r="AL203">
        <v>30.1</v>
      </c>
      <c r="AM203" t="s">
        <v>67</v>
      </c>
      <c r="AN203">
        <v>0.5</v>
      </c>
      <c r="AO203">
        <v>1109</v>
      </c>
      <c r="AP203">
        <v>4.2</v>
      </c>
      <c r="AQ203" t="s">
        <v>67</v>
      </c>
      <c r="AR203" t="s">
        <v>287</v>
      </c>
      <c r="AS203" t="s">
        <v>134</v>
      </c>
      <c r="AT203" t="s">
        <v>135</v>
      </c>
      <c r="AU203" t="s">
        <v>288</v>
      </c>
      <c r="AV203" t="s">
        <v>137</v>
      </c>
      <c r="AX203" t="s">
        <v>73</v>
      </c>
      <c r="AY203">
        <v>3.97</v>
      </c>
      <c r="AZ203">
        <v>3.97</v>
      </c>
      <c r="BA203">
        <v>0.15509999999999999</v>
      </c>
      <c r="BC203">
        <v>6</v>
      </c>
      <c r="BD203">
        <v>4.99</v>
      </c>
      <c r="BE203">
        <v>4.99</v>
      </c>
      <c r="BF203">
        <v>0.02</v>
      </c>
      <c r="BH203">
        <v>6</v>
      </c>
      <c r="BI203">
        <v>31</v>
      </c>
      <c r="BJ203">
        <v>3</v>
      </c>
      <c r="BK203">
        <v>0.22869999999999999</v>
      </c>
      <c r="BL203">
        <v>1.5E-3</v>
      </c>
    </row>
    <row r="204" spans="1:64" hidden="1" x14ac:dyDescent="0.2">
      <c r="A204">
        <v>171</v>
      </c>
      <c r="D204" t="s">
        <v>54</v>
      </c>
      <c r="E204">
        <v>2015</v>
      </c>
      <c r="F204" t="s">
        <v>198</v>
      </c>
      <c r="G204" t="s">
        <v>199</v>
      </c>
      <c r="H204" t="s">
        <v>57</v>
      </c>
      <c r="K204" t="s">
        <v>79</v>
      </c>
      <c r="L204" t="s">
        <v>200</v>
      </c>
      <c r="M204" t="s">
        <v>81</v>
      </c>
      <c r="N204" t="s">
        <v>81</v>
      </c>
      <c r="O204" t="s">
        <v>62</v>
      </c>
      <c r="P204" t="s">
        <v>63</v>
      </c>
      <c r="Q204" t="s">
        <v>64</v>
      </c>
      <c r="R204" t="s">
        <v>65</v>
      </c>
      <c r="S204" t="s">
        <v>64</v>
      </c>
      <c r="T204" t="s">
        <v>64</v>
      </c>
      <c r="U204" t="s">
        <v>66</v>
      </c>
      <c r="V204">
        <v>422.07</v>
      </c>
      <c r="W204" t="s">
        <v>67</v>
      </c>
      <c r="X204">
        <v>16.57</v>
      </c>
      <c r="Y204" t="s">
        <v>96</v>
      </c>
      <c r="Z204">
        <v>8.1</v>
      </c>
      <c r="AA204" t="s">
        <v>67</v>
      </c>
      <c r="AB204">
        <v>0.05</v>
      </c>
      <c r="AC204">
        <v>1075</v>
      </c>
      <c r="AD204" t="s">
        <v>67</v>
      </c>
      <c r="AE204">
        <v>67.099999999999994</v>
      </c>
      <c r="AF204">
        <v>7.7</v>
      </c>
      <c r="AG204" t="s">
        <v>67</v>
      </c>
      <c r="AH204">
        <v>0.05</v>
      </c>
      <c r="AI204">
        <v>15</v>
      </c>
      <c r="AJ204" t="s">
        <v>67</v>
      </c>
      <c r="AK204">
        <v>0.5</v>
      </c>
      <c r="AL204">
        <v>18</v>
      </c>
      <c r="AM204" t="s">
        <v>67</v>
      </c>
      <c r="AN204">
        <v>0.5</v>
      </c>
      <c r="AO204">
        <v>653</v>
      </c>
      <c r="AP204">
        <v>3</v>
      </c>
      <c r="AQ204" t="s">
        <v>218</v>
      </c>
      <c r="AR204" t="s">
        <v>69</v>
      </c>
      <c r="AS204" t="s">
        <v>69</v>
      </c>
      <c r="AT204" t="s">
        <v>70</v>
      </c>
      <c r="AU204" t="s">
        <v>227</v>
      </c>
      <c r="AV204" t="s">
        <v>72</v>
      </c>
      <c r="AX204" t="s">
        <v>73</v>
      </c>
      <c r="AY204">
        <v>0.16800000000000001</v>
      </c>
      <c r="AZ204">
        <v>0.16800000000000001</v>
      </c>
      <c r="BA204">
        <v>0.01</v>
      </c>
      <c r="BC204">
        <v>37</v>
      </c>
      <c r="BD204">
        <v>0.152</v>
      </c>
      <c r="BE204">
        <v>0.152</v>
      </c>
      <c r="BF204">
        <v>4.0000000000000001E-3</v>
      </c>
      <c r="BH204">
        <v>37</v>
      </c>
      <c r="BI204">
        <v>155</v>
      </c>
      <c r="BJ204">
        <v>5</v>
      </c>
      <c r="BK204">
        <v>-0.10009999999999999</v>
      </c>
      <c r="BL204">
        <v>1.6000000000000001E-3</v>
      </c>
    </row>
    <row r="205" spans="1:64" hidden="1" x14ac:dyDescent="0.2">
      <c r="A205">
        <v>160</v>
      </c>
      <c r="D205" t="s">
        <v>54</v>
      </c>
      <c r="E205">
        <v>2018</v>
      </c>
      <c r="F205" t="s">
        <v>254</v>
      </c>
      <c r="G205" t="s">
        <v>255</v>
      </c>
      <c r="H205" t="s">
        <v>78</v>
      </c>
      <c r="K205" t="s">
        <v>189</v>
      </c>
      <c r="L205" t="s">
        <v>190</v>
      </c>
      <c r="M205" t="s">
        <v>156</v>
      </c>
      <c r="N205" t="s">
        <v>156</v>
      </c>
      <c r="O205" t="s">
        <v>110</v>
      </c>
      <c r="P205" t="s">
        <v>63</v>
      </c>
      <c r="Q205" t="s">
        <v>74</v>
      </c>
      <c r="R205" t="s">
        <v>83</v>
      </c>
      <c r="S205" t="s">
        <v>74</v>
      </c>
      <c r="T205" t="s">
        <v>64</v>
      </c>
      <c r="U205" t="s">
        <v>75</v>
      </c>
      <c r="V205">
        <v>500</v>
      </c>
      <c r="W205" t="s">
        <v>67</v>
      </c>
      <c r="X205" t="s">
        <v>67</v>
      </c>
      <c r="Y205" t="s">
        <v>67</v>
      </c>
      <c r="Z205" t="s">
        <v>67</v>
      </c>
      <c r="AA205" t="s">
        <v>67</v>
      </c>
      <c r="AB205" t="s">
        <v>67</v>
      </c>
      <c r="AC205">
        <v>509</v>
      </c>
      <c r="AD205" t="s">
        <v>67</v>
      </c>
      <c r="AE205">
        <v>9</v>
      </c>
      <c r="AF205">
        <v>8.01</v>
      </c>
      <c r="AG205" t="s">
        <v>67</v>
      </c>
      <c r="AH205">
        <v>0.02</v>
      </c>
      <c r="AI205">
        <v>19</v>
      </c>
      <c r="AJ205" t="s">
        <v>67</v>
      </c>
      <c r="AK205">
        <v>0.2</v>
      </c>
      <c r="AL205">
        <v>24</v>
      </c>
      <c r="AM205" t="s">
        <v>67</v>
      </c>
      <c r="AN205">
        <v>0.3</v>
      </c>
      <c r="AO205">
        <v>9</v>
      </c>
      <c r="AP205">
        <v>5</v>
      </c>
      <c r="AQ205" t="s">
        <v>67</v>
      </c>
      <c r="AR205" t="s">
        <v>256</v>
      </c>
      <c r="AS205" t="s">
        <v>98</v>
      </c>
      <c r="AT205" t="s">
        <v>70</v>
      </c>
      <c r="AU205" t="s">
        <v>226</v>
      </c>
      <c r="AV205" t="s">
        <v>72</v>
      </c>
      <c r="AX205" t="s">
        <v>73</v>
      </c>
      <c r="AY205">
        <v>6.1</v>
      </c>
      <c r="AZ205">
        <v>6.1</v>
      </c>
      <c r="BA205">
        <v>0.18</v>
      </c>
      <c r="BC205">
        <v>15</v>
      </c>
      <c r="BD205">
        <v>7.8</v>
      </c>
      <c r="BE205">
        <v>7.8</v>
      </c>
      <c r="BF205">
        <v>0.20660000000000001</v>
      </c>
      <c r="BH205">
        <v>15</v>
      </c>
      <c r="BI205">
        <v>28</v>
      </c>
      <c r="BJ205">
        <v>3</v>
      </c>
      <c r="BK205">
        <v>0.24579999999999999</v>
      </c>
      <c r="BL205">
        <v>1.6000000000000001E-3</v>
      </c>
    </row>
    <row r="206" spans="1:64" hidden="1" x14ac:dyDescent="0.2">
      <c r="A206">
        <v>171</v>
      </c>
      <c r="C206" t="s">
        <v>549</v>
      </c>
      <c r="D206" t="s">
        <v>54</v>
      </c>
      <c r="E206">
        <v>2015</v>
      </c>
      <c r="F206" t="s">
        <v>198</v>
      </c>
      <c r="G206" t="s">
        <v>199</v>
      </c>
      <c r="H206" t="s">
        <v>57</v>
      </c>
      <c r="K206" t="s">
        <v>79</v>
      </c>
      <c r="L206" t="s">
        <v>200</v>
      </c>
      <c r="M206" t="s">
        <v>81</v>
      </c>
      <c r="N206" t="s">
        <v>81</v>
      </c>
      <c r="O206" t="s">
        <v>62</v>
      </c>
      <c r="P206" t="s">
        <v>82</v>
      </c>
      <c r="Q206" t="s">
        <v>64</v>
      </c>
      <c r="R206" t="s">
        <v>65</v>
      </c>
      <c r="S206" t="s">
        <v>64</v>
      </c>
      <c r="T206" t="s">
        <v>64</v>
      </c>
      <c r="U206" t="s">
        <v>66</v>
      </c>
      <c r="V206">
        <v>422.07</v>
      </c>
      <c r="W206" t="s">
        <v>67</v>
      </c>
      <c r="X206">
        <v>16.57</v>
      </c>
      <c r="Y206" t="s">
        <v>96</v>
      </c>
      <c r="Z206">
        <v>8.1</v>
      </c>
      <c r="AA206" t="s">
        <v>67</v>
      </c>
      <c r="AB206">
        <v>0.05</v>
      </c>
      <c r="AC206">
        <v>1075</v>
      </c>
      <c r="AD206" t="s">
        <v>67</v>
      </c>
      <c r="AE206">
        <v>67.099999999999994</v>
      </c>
      <c r="AF206">
        <v>7.7</v>
      </c>
      <c r="AG206" t="s">
        <v>67</v>
      </c>
      <c r="AH206">
        <v>0.05</v>
      </c>
      <c r="AI206">
        <v>15</v>
      </c>
      <c r="AJ206" t="s">
        <v>67</v>
      </c>
      <c r="AK206">
        <v>0.5</v>
      </c>
      <c r="AL206">
        <v>18</v>
      </c>
      <c r="AM206" t="s">
        <v>67</v>
      </c>
      <c r="AN206">
        <v>0.5</v>
      </c>
      <c r="AO206">
        <v>653</v>
      </c>
      <c r="AP206">
        <v>3</v>
      </c>
      <c r="AQ206" t="s">
        <v>218</v>
      </c>
      <c r="AR206" t="s">
        <v>11</v>
      </c>
      <c r="AS206" t="s">
        <v>202</v>
      </c>
      <c r="AT206" t="s">
        <v>135</v>
      </c>
      <c r="AU206" t="s">
        <v>203</v>
      </c>
      <c r="AV206" t="s">
        <v>11</v>
      </c>
      <c r="AW206" t="s">
        <v>11</v>
      </c>
      <c r="AX206" t="s">
        <v>73</v>
      </c>
      <c r="AY206">
        <v>125.9516</v>
      </c>
      <c r="AZ206">
        <v>125.95156</v>
      </c>
      <c r="BA206">
        <v>2.77</v>
      </c>
      <c r="BC206">
        <v>23</v>
      </c>
      <c r="BD206">
        <v>125.2595</v>
      </c>
      <c r="BE206">
        <v>125.2595156</v>
      </c>
      <c r="BF206">
        <v>4.1521999999999997</v>
      </c>
      <c r="BH206">
        <v>23</v>
      </c>
      <c r="BI206">
        <v>125</v>
      </c>
      <c r="BJ206">
        <v>5</v>
      </c>
      <c r="BK206">
        <v>-5.4999999999999997E-3</v>
      </c>
      <c r="BL206">
        <v>1.6000000000000001E-3</v>
      </c>
    </row>
    <row r="207" spans="1:64" hidden="1" x14ac:dyDescent="0.2">
      <c r="A207">
        <v>151</v>
      </c>
      <c r="C207" t="s">
        <v>549</v>
      </c>
      <c r="D207" t="s">
        <v>54</v>
      </c>
      <c r="E207">
        <v>2015</v>
      </c>
      <c r="F207" t="s">
        <v>262</v>
      </c>
      <c r="G207" t="s">
        <v>263</v>
      </c>
      <c r="H207" t="s">
        <v>57</v>
      </c>
      <c r="K207" t="s">
        <v>264</v>
      </c>
      <c r="L207" t="s">
        <v>265</v>
      </c>
      <c r="M207" t="s">
        <v>81</v>
      </c>
      <c r="N207" t="s">
        <v>81</v>
      </c>
      <c r="O207" t="s">
        <v>62</v>
      </c>
      <c r="P207" t="s">
        <v>82</v>
      </c>
      <c r="Q207" t="s">
        <v>64</v>
      </c>
      <c r="R207" t="s">
        <v>65</v>
      </c>
      <c r="S207" t="s">
        <v>74</v>
      </c>
      <c r="T207" t="s">
        <v>64</v>
      </c>
      <c r="U207" t="s">
        <v>75</v>
      </c>
      <c r="V207">
        <v>518</v>
      </c>
      <c r="W207">
        <v>19.899999999999999</v>
      </c>
      <c r="X207" t="s">
        <v>67</v>
      </c>
      <c r="Y207" t="s">
        <v>96</v>
      </c>
      <c r="Z207">
        <v>8.02</v>
      </c>
      <c r="AA207">
        <v>0.01</v>
      </c>
      <c r="AB207" t="s">
        <v>67</v>
      </c>
      <c r="AC207">
        <v>532</v>
      </c>
      <c r="AD207">
        <v>22.4</v>
      </c>
      <c r="AE207" t="s">
        <v>67</v>
      </c>
      <c r="AF207">
        <v>8.06</v>
      </c>
      <c r="AG207">
        <v>0</v>
      </c>
      <c r="AH207" t="s">
        <v>67</v>
      </c>
      <c r="AI207">
        <v>16.3</v>
      </c>
      <c r="AJ207">
        <v>0</v>
      </c>
      <c r="AK207" t="s">
        <v>67</v>
      </c>
      <c r="AL207">
        <v>19.2</v>
      </c>
      <c r="AM207">
        <v>0.1</v>
      </c>
      <c r="AN207" t="s">
        <v>67</v>
      </c>
      <c r="AO207">
        <v>14</v>
      </c>
      <c r="AP207">
        <v>2.9</v>
      </c>
      <c r="AQ207" t="s">
        <v>67</v>
      </c>
      <c r="AR207" t="s">
        <v>266</v>
      </c>
      <c r="AS207" t="s">
        <v>266</v>
      </c>
      <c r="AT207" t="s">
        <v>135</v>
      </c>
      <c r="AU207" t="s">
        <v>203</v>
      </c>
      <c r="AV207" t="s">
        <v>11</v>
      </c>
      <c r="AW207" t="s">
        <v>11</v>
      </c>
      <c r="AX207" t="s">
        <v>73</v>
      </c>
      <c r="AY207">
        <v>150.9128</v>
      </c>
      <c r="AZ207">
        <v>150.91278</v>
      </c>
      <c r="BA207">
        <v>3.25</v>
      </c>
      <c r="BC207">
        <v>9</v>
      </c>
      <c r="BD207">
        <v>108.7221</v>
      </c>
      <c r="BE207">
        <v>108.7221095</v>
      </c>
      <c r="BF207">
        <v>3.6511</v>
      </c>
      <c r="BH207">
        <v>9</v>
      </c>
      <c r="BI207">
        <v>109</v>
      </c>
      <c r="BJ207">
        <v>4</v>
      </c>
      <c r="BK207">
        <v>-0.32790000000000002</v>
      </c>
      <c r="BL207">
        <v>1.6000000000000001E-3</v>
      </c>
    </row>
    <row r="208" spans="1:64" hidden="1" x14ac:dyDescent="0.2">
      <c r="A208">
        <v>170</v>
      </c>
      <c r="C208" t="s">
        <v>549</v>
      </c>
      <c r="D208" t="s">
        <v>54</v>
      </c>
      <c r="E208">
        <v>2014</v>
      </c>
      <c r="F208" t="s">
        <v>55</v>
      </c>
      <c r="G208" t="s">
        <v>56</v>
      </c>
      <c r="H208" t="s">
        <v>57</v>
      </c>
      <c r="K208" t="s">
        <v>58</v>
      </c>
      <c r="L208" t="s">
        <v>59</v>
      </c>
      <c r="M208" t="s">
        <v>60</v>
      </c>
      <c r="N208" t="s">
        <v>61</v>
      </c>
      <c r="O208" t="s">
        <v>62</v>
      </c>
      <c r="P208" t="s">
        <v>82</v>
      </c>
      <c r="Q208" t="s">
        <v>64</v>
      </c>
      <c r="R208" t="s">
        <v>65</v>
      </c>
      <c r="S208" t="s">
        <v>74</v>
      </c>
      <c r="T208" t="s">
        <v>64</v>
      </c>
      <c r="U208" t="s">
        <v>75</v>
      </c>
      <c r="V208">
        <v>371.86</v>
      </c>
      <c r="W208" t="s">
        <v>67</v>
      </c>
      <c r="X208">
        <v>51.93</v>
      </c>
      <c r="Y208" t="s">
        <v>68</v>
      </c>
      <c r="Z208">
        <v>8.02</v>
      </c>
      <c r="AA208" t="s">
        <v>67</v>
      </c>
      <c r="AB208">
        <v>0.05</v>
      </c>
      <c r="AC208">
        <v>382.16</v>
      </c>
      <c r="AD208" t="s">
        <v>67</v>
      </c>
      <c r="AE208">
        <v>87.53</v>
      </c>
      <c r="AF208">
        <v>8</v>
      </c>
      <c r="AG208" t="s">
        <v>67</v>
      </c>
      <c r="AH208">
        <v>7.0000000000000007E-2</v>
      </c>
      <c r="AI208">
        <v>25.9</v>
      </c>
      <c r="AJ208" t="s">
        <v>67</v>
      </c>
      <c r="AK208">
        <v>0.7</v>
      </c>
      <c r="AL208">
        <v>29.9</v>
      </c>
      <c r="AM208" t="s">
        <v>67</v>
      </c>
      <c r="AN208">
        <v>0.2</v>
      </c>
      <c r="AO208">
        <v>10</v>
      </c>
      <c r="AP208">
        <v>4</v>
      </c>
      <c r="AQ208" t="s">
        <v>67</v>
      </c>
      <c r="AR208" t="s">
        <v>252</v>
      </c>
      <c r="AS208" t="s">
        <v>134</v>
      </c>
      <c r="AT208" t="s">
        <v>135</v>
      </c>
      <c r="AU208" t="s">
        <v>253</v>
      </c>
      <c r="AV208" t="s">
        <v>137</v>
      </c>
      <c r="AW208" t="s">
        <v>132</v>
      </c>
      <c r="AX208" t="s">
        <v>73</v>
      </c>
      <c r="AY208">
        <v>36.610199999999999</v>
      </c>
      <c r="AZ208">
        <v>36.610169999999997</v>
      </c>
      <c r="BA208">
        <v>1.05</v>
      </c>
      <c r="BC208">
        <v>5</v>
      </c>
      <c r="BD208">
        <v>66.610200000000006</v>
      </c>
      <c r="BE208">
        <v>66.610169490000004</v>
      </c>
      <c r="BF208">
        <v>1.8647</v>
      </c>
      <c r="BH208">
        <v>5</v>
      </c>
      <c r="BI208">
        <v>90</v>
      </c>
      <c r="BJ208">
        <v>3</v>
      </c>
      <c r="BK208">
        <v>0.59850000000000003</v>
      </c>
      <c r="BL208">
        <v>1.6000000000000001E-3</v>
      </c>
    </row>
    <row r="209" spans="1:64" hidden="1" x14ac:dyDescent="0.2">
      <c r="A209">
        <v>194</v>
      </c>
      <c r="D209" t="s">
        <v>54</v>
      </c>
      <c r="E209">
        <v>2012</v>
      </c>
      <c r="F209" t="s">
        <v>289</v>
      </c>
      <c r="G209" t="s">
        <v>290</v>
      </c>
      <c r="H209" t="s">
        <v>78</v>
      </c>
      <c r="K209" t="s">
        <v>93</v>
      </c>
      <c r="L209" t="s">
        <v>94</v>
      </c>
      <c r="M209" t="s">
        <v>95</v>
      </c>
      <c r="N209" t="s">
        <v>61</v>
      </c>
      <c r="O209" t="s">
        <v>62</v>
      </c>
      <c r="P209" t="s">
        <v>63</v>
      </c>
      <c r="Q209" t="s">
        <v>74</v>
      </c>
      <c r="R209" t="s">
        <v>83</v>
      </c>
      <c r="S209" t="s">
        <v>74</v>
      </c>
      <c r="T209" t="s">
        <v>64</v>
      </c>
      <c r="U209" t="s">
        <v>75</v>
      </c>
      <c r="V209">
        <v>438</v>
      </c>
      <c r="W209" t="s">
        <v>67</v>
      </c>
      <c r="X209">
        <v>46</v>
      </c>
      <c r="Y209" t="s">
        <v>96</v>
      </c>
      <c r="Z209">
        <v>8.1199999999999992</v>
      </c>
      <c r="AA209" t="s">
        <v>67</v>
      </c>
      <c r="AB209">
        <v>0.04</v>
      </c>
      <c r="AC209">
        <v>462</v>
      </c>
      <c r="AD209" t="s">
        <v>67</v>
      </c>
      <c r="AE209">
        <v>52</v>
      </c>
      <c r="AF209">
        <v>8.11</v>
      </c>
      <c r="AG209" t="s">
        <v>67</v>
      </c>
      <c r="AH209">
        <v>0.04</v>
      </c>
      <c r="AI209">
        <v>28.6</v>
      </c>
      <c r="AJ209" t="s">
        <v>67</v>
      </c>
      <c r="AK209">
        <v>0.54</v>
      </c>
      <c r="AL209">
        <v>31.7</v>
      </c>
      <c r="AM209" t="s">
        <v>67</v>
      </c>
      <c r="AN209">
        <v>0.5</v>
      </c>
      <c r="AO209">
        <v>24</v>
      </c>
      <c r="AP209">
        <v>3.1</v>
      </c>
      <c r="AQ209" t="s">
        <v>291</v>
      </c>
      <c r="AR209" t="s">
        <v>292</v>
      </c>
      <c r="AS209" t="s">
        <v>293</v>
      </c>
      <c r="AT209" t="s">
        <v>70</v>
      </c>
      <c r="AU209" t="s">
        <v>294</v>
      </c>
      <c r="AV209" t="s">
        <v>72</v>
      </c>
      <c r="AX209" t="s">
        <v>73</v>
      </c>
      <c r="AY209">
        <v>29.79</v>
      </c>
      <c r="AZ209">
        <v>29.79</v>
      </c>
      <c r="BA209">
        <v>0.83</v>
      </c>
      <c r="BC209">
        <v>35</v>
      </c>
      <c r="BD209">
        <v>28.54</v>
      </c>
      <c r="BE209">
        <v>28.54</v>
      </c>
      <c r="BF209">
        <v>0.83</v>
      </c>
      <c r="BH209">
        <v>42</v>
      </c>
      <c r="BI209">
        <v>21</v>
      </c>
      <c r="BJ209">
        <v>5</v>
      </c>
      <c r="BK209">
        <v>-4.2900000000000001E-2</v>
      </c>
      <c r="BL209">
        <v>1.6000000000000001E-3</v>
      </c>
    </row>
    <row r="210" spans="1:64" x14ac:dyDescent="0.2">
      <c r="A210">
        <v>141</v>
      </c>
      <c r="B210" t="str">
        <f>ROW()-1&amp;"_AltersFish"</f>
        <v>209_AltersFish</v>
      </c>
      <c r="C210" t="str">
        <f>A210 &amp; "_" &amp; P210 &amp; "_" &amp;
SUBSTITUTE(TRIM(L210)," ","_") &amp;
"_pH" &amp; TEXT(Z210,"0.00") &amp;
"_T" &amp; TEXT(AI210,"0.00") &amp;
"_CO2" &amp; TEXT(V210,"0") &amp;
"_LANG"</f>
        <v>141_EMBRYO_Amphiprion_melanopus_pH8.15_T28.40_CO2400_LANG</v>
      </c>
      <c r="D210" t="s">
        <v>54</v>
      </c>
      <c r="E210">
        <v>2015</v>
      </c>
      <c r="F210" t="s">
        <v>91</v>
      </c>
      <c r="G210" t="s">
        <v>92</v>
      </c>
      <c r="H210" t="s">
        <v>78</v>
      </c>
      <c r="I210" t="s">
        <v>540</v>
      </c>
      <c r="J210" t="s">
        <v>543</v>
      </c>
      <c r="K210" t="s">
        <v>93</v>
      </c>
      <c r="L210" t="s">
        <v>94</v>
      </c>
      <c r="M210" t="s">
        <v>95</v>
      </c>
      <c r="N210" t="s">
        <v>61</v>
      </c>
      <c r="O210" t="s">
        <v>62</v>
      </c>
      <c r="P210" t="s">
        <v>82</v>
      </c>
      <c r="Q210" t="s">
        <v>64</v>
      </c>
      <c r="R210" t="s">
        <v>83</v>
      </c>
      <c r="S210" t="s">
        <v>64</v>
      </c>
      <c r="T210" t="s">
        <v>64</v>
      </c>
      <c r="U210" t="s">
        <v>66</v>
      </c>
      <c r="V210">
        <v>400</v>
      </c>
      <c r="W210">
        <v>6</v>
      </c>
      <c r="X210" t="s">
        <v>67</v>
      </c>
      <c r="Y210" t="s">
        <v>96</v>
      </c>
      <c r="Z210">
        <v>8.15</v>
      </c>
      <c r="AA210">
        <v>0.01</v>
      </c>
      <c r="AB210" t="s">
        <v>67</v>
      </c>
      <c r="AC210">
        <v>1126</v>
      </c>
      <c r="AD210">
        <v>24</v>
      </c>
      <c r="AE210" t="s">
        <v>67</v>
      </c>
      <c r="AF210">
        <v>7.79</v>
      </c>
      <c r="AG210">
        <v>0.01</v>
      </c>
      <c r="AH210" t="s">
        <v>67</v>
      </c>
      <c r="AI210">
        <v>28.4</v>
      </c>
      <c r="AJ210">
        <v>0.01</v>
      </c>
      <c r="AK210" t="s">
        <v>67</v>
      </c>
      <c r="AL210">
        <v>29.8</v>
      </c>
      <c r="AM210">
        <v>0.02</v>
      </c>
      <c r="AN210" t="s">
        <v>67</v>
      </c>
      <c r="AO210">
        <v>726</v>
      </c>
      <c r="AP210">
        <v>1.4</v>
      </c>
      <c r="AQ210" t="s">
        <v>67</v>
      </c>
      <c r="AR210" t="s">
        <v>171</v>
      </c>
      <c r="AS210" t="s">
        <v>159</v>
      </c>
      <c r="AT210" t="s">
        <v>135</v>
      </c>
      <c r="AU210" t="s">
        <v>99</v>
      </c>
      <c r="AV210" t="s">
        <v>11</v>
      </c>
      <c r="AW210" t="s">
        <v>72</v>
      </c>
      <c r="AX210" t="s">
        <v>73</v>
      </c>
      <c r="AY210">
        <v>0.42320000000000002</v>
      </c>
      <c r="AZ210">
        <v>0.42320000000000002</v>
      </c>
      <c r="BA210">
        <v>3.3999999999999998E-3</v>
      </c>
      <c r="BB210">
        <f>BA210*SQRT(BC210)</f>
        <v>6.7999999999999996E-3</v>
      </c>
      <c r="BC210">
        <v>4</v>
      </c>
      <c r="BD210">
        <v>0.3967</v>
      </c>
      <c r="BE210">
        <v>0.39669902899999998</v>
      </c>
      <c r="BF210">
        <v>8.2000000000000007E-3</v>
      </c>
      <c r="BG210">
        <f>BF210*SQRT(BH210)</f>
        <v>1.6400000000000001E-2</v>
      </c>
      <c r="BH210">
        <v>4</v>
      </c>
      <c r="BI210" t="s">
        <v>67</v>
      </c>
      <c r="BJ210">
        <v>7</v>
      </c>
      <c r="BK210">
        <v>-6.4699999999999994E-2</v>
      </c>
      <c r="BL210">
        <v>5.0000000000000001E-4</v>
      </c>
    </row>
    <row r="211" spans="1:64" hidden="1" x14ac:dyDescent="0.2">
      <c r="A211">
        <v>145</v>
      </c>
      <c r="D211" t="s">
        <v>54</v>
      </c>
      <c r="E211">
        <v>2016</v>
      </c>
      <c r="F211" t="s">
        <v>198</v>
      </c>
      <c r="G211" t="s">
        <v>124</v>
      </c>
      <c r="H211" t="s">
        <v>57</v>
      </c>
      <c r="K211" t="s">
        <v>234</v>
      </c>
      <c r="L211" t="s">
        <v>200</v>
      </c>
      <c r="M211" t="s">
        <v>81</v>
      </c>
      <c r="N211" t="s">
        <v>81</v>
      </c>
      <c r="O211" t="s">
        <v>62</v>
      </c>
      <c r="P211" t="s">
        <v>63</v>
      </c>
      <c r="Q211" t="s">
        <v>64</v>
      </c>
      <c r="R211" t="s">
        <v>65</v>
      </c>
      <c r="S211" t="s">
        <v>74</v>
      </c>
      <c r="T211" t="s">
        <v>64</v>
      </c>
      <c r="U211" t="s">
        <v>75</v>
      </c>
      <c r="V211">
        <v>410</v>
      </c>
      <c r="W211">
        <v>19.16</v>
      </c>
      <c r="X211" t="s">
        <v>67</v>
      </c>
      <c r="Y211" t="s">
        <v>96</v>
      </c>
      <c r="Z211">
        <v>8.08</v>
      </c>
      <c r="AA211">
        <v>0.05</v>
      </c>
      <c r="AB211" t="s">
        <v>67</v>
      </c>
      <c r="AC211">
        <v>440</v>
      </c>
      <c r="AD211">
        <v>27.7</v>
      </c>
      <c r="AE211" t="s">
        <v>67</v>
      </c>
      <c r="AF211">
        <v>8</v>
      </c>
      <c r="AG211">
        <v>0.11</v>
      </c>
      <c r="AH211" t="s">
        <v>67</v>
      </c>
      <c r="AI211">
        <v>15.2</v>
      </c>
      <c r="AJ211">
        <v>0.7</v>
      </c>
      <c r="AK211" t="s">
        <v>67</v>
      </c>
      <c r="AL211">
        <v>20.2</v>
      </c>
      <c r="AM211">
        <v>0.6</v>
      </c>
      <c r="AN211" t="s">
        <v>67</v>
      </c>
      <c r="AO211">
        <v>29</v>
      </c>
      <c r="AP211">
        <v>5</v>
      </c>
      <c r="AQ211" t="s">
        <v>218</v>
      </c>
      <c r="AR211" t="s">
        <v>248</v>
      </c>
      <c r="AS211" t="s">
        <v>249</v>
      </c>
      <c r="AT211" t="s">
        <v>135</v>
      </c>
      <c r="AU211" t="s">
        <v>250</v>
      </c>
      <c r="AV211" t="s">
        <v>251</v>
      </c>
      <c r="AX211" t="s">
        <v>73</v>
      </c>
      <c r="AY211">
        <v>11.4848</v>
      </c>
      <c r="AZ211">
        <v>11.484819999999999</v>
      </c>
      <c r="BA211">
        <v>0.33</v>
      </c>
      <c r="BC211">
        <v>7</v>
      </c>
      <c r="BD211">
        <v>7.8273000000000001</v>
      </c>
      <c r="BE211">
        <v>7.8273244780000004</v>
      </c>
      <c r="BF211">
        <v>0.22770000000000001</v>
      </c>
      <c r="BH211">
        <v>7</v>
      </c>
      <c r="BI211">
        <v>240</v>
      </c>
      <c r="BJ211">
        <v>7</v>
      </c>
      <c r="BK211">
        <v>-0.38340000000000002</v>
      </c>
      <c r="BL211">
        <v>1.6999999999999999E-3</v>
      </c>
    </row>
    <row r="212" spans="1:64" x14ac:dyDescent="0.2">
      <c r="A212">
        <v>141</v>
      </c>
      <c r="B212" t="str">
        <f>ROW()-1&amp;"_AltersFish"</f>
        <v>211_AltersFish</v>
      </c>
      <c r="C212" t="str">
        <f>A212 &amp; "_" &amp; P212 &amp; "_" &amp;
SUBSTITUTE(TRIM(L212)," ","_") &amp;
"_pH" &amp; TEXT(Z212,"0.00") &amp;
"_T" &amp; TEXT(AI212,"0.00") &amp;
"_CO2" &amp; TEXT(V212,"0") &amp;
"_LANG"</f>
        <v>141_EMBRYO_Amphiprion_melanopus_pH8.15_T28.40_CO2400_LANG</v>
      </c>
      <c r="D212" t="s">
        <v>54</v>
      </c>
      <c r="E212">
        <v>2015</v>
      </c>
      <c r="F212" t="s">
        <v>91</v>
      </c>
      <c r="G212" t="s">
        <v>92</v>
      </c>
      <c r="H212" t="s">
        <v>78</v>
      </c>
      <c r="I212" t="s">
        <v>540</v>
      </c>
      <c r="J212" t="s">
        <v>543</v>
      </c>
      <c r="K212" t="s">
        <v>93</v>
      </c>
      <c r="L212" t="s">
        <v>94</v>
      </c>
      <c r="M212" t="s">
        <v>95</v>
      </c>
      <c r="N212" t="s">
        <v>61</v>
      </c>
      <c r="O212" t="s">
        <v>62</v>
      </c>
      <c r="P212" t="s">
        <v>82</v>
      </c>
      <c r="Q212" t="s">
        <v>64</v>
      </c>
      <c r="R212" t="s">
        <v>83</v>
      </c>
      <c r="S212" t="s">
        <v>64</v>
      </c>
      <c r="T212" t="s">
        <v>74</v>
      </c>
      <c r="U212" t="s">
        <v>84</v>
      </c>
      <c r="V212">
        <v>400</v>
      </c>
      <c r="W212">
        <v>6</v>
      </c>
      <c r="X212" t="s">
        <v>67</v>
      </c>
      <c r="Y212" t="s">
        <v>96</v>
      </c>
      <c r="Z212">
        <v>8.15</v>
      </c>
      <c r="AA212">
        <v>0.01</v>
      </c>
      <c r="AB212" t="s">
        <v>67</v>
      </c>
      <c r="AC212">
        <v>1087</v>
      </c>
      <c r="AD212">
        <v>25</v>
      </c>
      <c r="AE212" t="s">
        <v>67</v>
      </c>
      <c r="AF212">
        <v>7.81</v>
      </c>
      <c r="AG212">
        <v>0.01</v>
      </c>
      <c r="AH212" t="s">
        <v>67</v>
      </c>
      <c r="AI212">
        <v>28.4</v>
      </c>
      <c r="AJ212">
        <v>0.01</v>
      </c>
      <c r="AK212" t="s">
        <v>67</v>
      </c>
      <c r="AL212">
        <v>28.5</v>
      </c>
      <c r="AM212">
        <v>0.01</v>
      </c>
      <c r="AN212" t="s">
        <v>67</v>
      </c>
      <c r="AO212">
        <v>687</v>
      </c>
      <c r="AP212">
        <v>0.1</v>
      </c>
      <c r="AQ212" t="s">
        <v>67</v>
      </c>
      <c r="AR212" t="s">
        <v>97</v>
      </c>
      <c r="AS212" t="s">
        <v>98</v>
      </c>
      <c r="AT212" t="s">
        <v>70</v>
      </c>
      <c r="AU212" t="s">
        <v>99</v>
      </c>
      <c r="AV212" t="s">
        <v>72</v>
      </c>
      <c r="AW212" t="s">
        <v>11</v>
      </c>
      <c r="AX212" t="s">
        <v>73</v>
      </c>
      <c r="AY212">
        <v>3.2444000000000002</v>
      </c>
      <c r="AZ212">
        <v>3.24444</v>
      </c>
      <c r="BA212">
        <v>0.01</v>
      </c>
      <c r="BB212">
        <f>BA212*SQRT(BC212)</f>
        <v>0.02</v>
      </c>
      <c r="BC212">
        <v>4</v>
      </c>
      <c r="BD212">
        <v>3.1259000000000001</v>
      </c>
      <c r="BE212">
        <v>3.1259259259999999</v>
      </c>
      <c r="BF212">
        <v>2.2200000000000001E-2</v>
      </c>
      <c r="BG212">
        <f>BF212*SQRT(BH212)</f>
        <v>4.4400000000000002E-2</v>
      </c>
      <c r="BH212">
        <v>4</v>
      </c>
      <c r="BI212" t="s">
        <v>67</v>
      </c>
      <c r="BJ212">
        <v>7</v>
      </c>
      <c r="BK212">
        <v>-3.7199999999999997E-2</v>
      </c>
      <c r="BL212">
        <v>1E-4</v>
      </c>
    </row>
    <row r="213" spans="1:64" hidden="1" x14ac:dyDescent="0.2">
      <c r="A213">
        <v>145</v>
      </c>
      <c r="D213" t="s">
        <v>54</v>
      </c>
      <c r="E213">
        <v>2016</v>
      </c>
      <c r="F213" t="s">
        <v>198</v>
      </c>
      <c r="G213" t="s">
        <v>124</v>
      </c>
      <c r="H213" t="s">
        <v>57</v>
      </c>
      <c r="K213" t="s">
        <v>234</v>
      </c>
      <c r="L213" t="s">
        <v>200</v>
      </c>
      <c r="M213" t="s">
        <v>81</v>
      </c>
      <c r="N213" t="s">
        <v>81</v>
      </c>
      <c r="O213" t="s">
        <v>62</v>
      </c>
      <c r="P213" t="s">
        <v>63</v>
      </c>
      <c r="Q213" t="s">
        <v>64</v>
      </c>
      <c r="R213" t="s">
        <v>65</v>
      </c>
      <c r="S213" t="s">
        <v>64</v>
      </c>
      <c r="T213" t="s">
        <v>64</v>
      </c>
      <c r="U213" t="s">
        <v>66</v>
      </c>
      <c r="V213">
        <v>410</v>
      </c>
      <c r="W213">
        <v>19.16</v>
      </c>
      <c r="X213" t="s">
        <v>67</v>
      </c>
      <c r="Y213" t="s">
        <v>96</v>
      </c>
      <c r="Z213">
        <v>8.08</v>
      </c>
      <c r="AA213">
        <v>0.05</v>
      </c>
      <c r="AB213" t="s">
        <v>67</v>
      </c>
      <c r="AC213">
        <v>1084</v>
      </c>
      <c r="AD213">
        <v>73.39</v>
      </c>
      <c r="AE213" t="s">
        <v>67</v>
      </c>
      <c r="AF213">
        <v>7.71</v>
      </c>
      <c r="AG213">
        <v>7.0000000000000007E-2</v>
      </c>
      <c r="AH213" t="s">
        <v>67</v>
      </c>
      <c r="AI213">
        <v>15.2</v>
      </c>
      <c r="AJ213">
        <v>0.7</v>
      </c>
      <c r="AK213" t="s">
        <v>67</v>
      </c>
      <c r="AL213">
        <v>19.7</v>
      </c>
      <c r="AM213">
        <v>0.7</v>
      </c>
      <c r="AN213" t="s">
        <v>67</v>
      </c>
      <c r="AO213">
        <v>674</v>
      </c>
      <c r="AP213">
        <v>4.5</v>
      </c>
      <c r="AQ213" t="s">
        <v>218</v>
      </c>
      <c r="AR213" t="s">
        <v>248</v>
      </c>
      <c r="AS213" t="s">
        <v>249</v>
      </c>
      <c r="AT213" t="s">
        <v>135</v>
      </c>
      <c r="AU213" t="s">
        <v>250</v>
      </c>
      <c r="AV213" t="s">
        <v>251</v>
      </c>
      <c r="AX213" t="s">
        <v>73</v>
      </c>
      <c r="AY213">
        <v>11.4848</v>
      </c>
      <c r="AZ213">
        <v>11.484819999999999</v>
      </c>
      <c r="BA213">
        <v>0.33</v>
      </c>
      <c r="BC213">
        <v>7</v>
      </c>
      <c r="BD213">
        <v>8.2543000000000006</v>
      </c>
      <c r="BE213">
        <v>8.2542694500000007</v>
      </c>
      <c r="BF213">
        <v>0.2419</v>
      </c>
      <c r="BH213">
        <v>7</v>
      </c>
      <c r="BI213">
        <v>240</v>
      </c>
      <c r="BJ213">
        <v>7</v>
      </c>
      <c r="BK213">
        <v>-0.33029999999999998</v>
      </c>
      <c r="BL213">
        <v>1.6999999999999999E-3</v>
      </c>
    </row>
    <row r="214" spans="1:64" hidden="1" x14ac:dyDescent="0.2">
      <c r="A214">
        <v>142</v>
      </c>
      <c r="D214" t="s">
        <v>54</v>
      </c>
      <c r="E214">
        <v>2017</v>
      </c>
      <c r="F214" t="s">
        <v>193</v>
      </c>
      <c r="G214" t="s">
        <v>181</v>
      </c>
      <c r="H214" t="s">
        <v>78</v>
      </c>
      <c r="K214" t="s">
        <v>194</v>
      </c>
      <c r="L214" t="s">
        <v>215</v>
      </c>
      <c r="M214" t="s">
        <v>120</v>
      </c>
      <c r="N214" t="s">
        <v>120</v>
      </c>
      <c r="O214" t="s">
        <v>62</v>
      </c>
      <c r="P214" t="s">
        <v>196</v>
      </c>
      <c r="Q214" t="s">
        <v>64</v>
      </c>
      <c r="R214" t="s">
        <v>83</v>
      </c>
      <c r="S214" t="s">
        <v>64</v>
      </c>
      <c r="T214" t="s">
        <v>64</v>
      </c>
      <c r="U214" t="s">
        <v>66</v>
      </c>
      <c r="V214">
        <v>439</v>
      </c>
      <c r="W214">
        <v>16.079999999999998</v>
      </c>
      <c r="X214" t="s">
        <v>67</v>
      </c>
      <c r="Y214" t="s">
        <v>67</v>
      </c>
      <c r="Z214" t="s">
        <v>67</v>
      </c>
      <c r="AA214" t="s">
        <v>67</v>
      </c>
      <c r="AB214" t="s">
        <v>67</v>
      </c>
      <c r="AC214">
        <v>1027</v>
      </c>
      <c r="AD214">
        <v>9.0299999999999994</v>
      </c>
      <c r="AE214" t="s">
        <v>67</v>
      </c>
      <c r="AF214" t="s">
        <v>67</v>
      </c>
      <c r="AG214" t="s">
        <v>67</v>
      </c>
      <c r="AH214" t="s">
        <v>67</v>
      </c>
      <c r="AI214">
        <v>-0.6</v>
      </c>
      <c r="AJ214">
        <v>0.17</v>
      </c>
      <c r="AK214" t="s">
        <v>67</v>
      </c>
      <c r="AL214">
        <v>4.2</v>
      </c>
      <c r="AM214">
        <v>0.56000000000000005</v>
      </c>
      <c r="AN214" t="s">
        <v>67</v>
      </c>
      <c r="AO214">
        <v>588</v>
      </c>
      <c r="AP214">
        <v>4.8</v>
      </c>
      <c r="AQ214" t="s">
        <v>67</v>
      </c>
      <c r="AR214" t="s">
        <v>69</v>
      </c>
      <c r="AS214" t="s">
        <v>69</v>
      </c>
      <c r="AT214" t="s">
        <v>70</v>
      </c>
      <c r="AU214" t="s">
        <v>197</v>
      </c>
      <c r="AV214" t="s">
        <v>72</v>
      </c>
      <c r="AX214" t="s">
        <v>73</v>
      </c>
      <c r="AY214">
        <v>1.395</v>
      </c>
      <c r="AZ214">
        <v>1.395</v>
      </c>
      <c r="BA214">
        <v>0.04</v>
      </c>
      <c r="BC214">
        <v>5</v>
      </c>
      <c r="BD214">
        <v>1.341</v>
      </c>
      <c r="BE214">
        <v>1.341</v>
      </c>
      <c r="BF214">
        <v>0.04</v>
      </c>
      <c r="BH214">
        <v>5</v>
      </c>
      <c r="BI214">
        <v>56</v>
      </c>
      <c r="BJ214">
        <v>1</v>
      </c>
      <c r="BK214">
        <v>-3.95E-2</v>
      </c>
      <c r="BL214">
        <v>1.6999999999999999E-3</v>
      </c>
    </row>
    <row r="215" spans="1:64" x14ac:dyDescent="0.2">
      <c r="A215">
        <v>141</v>
      </c>
      <c r="B215" t="str">
        <f>ROW()-1&amp;"_AltersFish"</f>
        <v>214_AltersFish</v>
      </c>
      <c r="C215" t="str">
        <f>A215 &amp; "_" &amp; P215 &amp; "_" &amp;
SUBSTITUTE(TRIM(L215)," ","_") &amp;
"_pH" &amp; TEXT(Z215,"0.00") &amp;
"_T" &amp; TEXT(AI215,"0.00") &amp;
"_CO2" &amp; TEXT(V215,"0") &amp;
"_LANG"</f>
        <v>141_EMBRYO_Amphiprion_melanopus_pH8.15_T28.40_CO2400_LANG</v>
      </c>
      <c r="D215" t="s">
        <v>54</v>
      </c>
      <c r="E215">
        <v>2015</v>
      </c>
      <c r="F215" t="s">
        <v>91</v>
      </c>
      <c r="G215" t="s">
        <v>92</v>
      </c>
      <c r="H215" t="s">
        <v>78</v>
      </c>
      <c r="I215" t="s">
        <v>540</v>
      </c>
      <c r="J215" t="s">
        <v>543</v>
      </c>
      <c r="K215" t="s">
        <v>93</v>
      </c>
      <c r="L215" t="s">
        <v>94</v>
      </c>
      <c r="M215" t="s">
        <v>95</v>
      </c>
      <c r="N215" t="s">
        <v>61</v>
      </c>
      <c r="O215" t="s">
        <v>62</v>
      </c>
      <c r="P215" t="s">
        <v>82</v>
      </c>
      <c r="Q215" t="s">
        <v>64</v>
      </c>
      <c r="R215" t="s">
        <v>83</v>
      </c>
      <c r="S215" t="s">
        <v>74</v>
      </c>
      <c r="T215" t="s">
        <v>64</v>
      </c>
      <c r="U215" t="s">
        <v>75</v>
      </c>
      <c r="V215">
        <v>400</v>
      </c>
      <c r="W215">
        <v>6</v>
      </c>
      <c r="X215" t="s">
        <v>67</v>
      </c>
      <c r="Y215" t="s">
        <v>96</v>
      </c>
      <c r="Z215">
        <v>8.15</v>
      </c>
      <c r="AA215">
        <v>0.01</v>
      </c>
      <c r="AB215" t="s">
        <v>67</v>
      </c>
      <c r="AC215">
        <v>411</v>
      </c>
      <c r="AD215">
        <v>6</v>
      </c>
      <c r="AE215" t="s">
        <v>67</v>
      </c>
      <c r="AF215">
        <v>8.14</v>
      </c>
      <c r="AG215">
        <v>0.01</v>
      </c>
      <c r="AH215" t="s">
        <v>67</v>
      </c>
      <c r="AI215">
        <v>28.4</v>
      </c>
      <c r="AJ215">
        <v>0.01</v>
      </c>
      <c r="AK215" t="s">
        <v>67</v>
      </c>
      <c r="AL215">
        <v>29.8</v>
      </c>
      <c r="AM215">
        <v>0.02</v>
      </c>
      <c r="AN215" t="s">
        <v>67</v>
      </c>
      <c r="AO215">
        <v>11</v>
      </c>
      <c r="AP215">
        <v>1.4</v>
      </c>
      <c r="AQ215" t="s">
        <v>67</v>
      </c>
      <c r="AR215" t="s">
        <v>97</v>
      </c>
      <c r="AS215" t="s">
        <v>98</v>
      </c>
      <c r="AT215" t="s">
        <v>70</v>
      </c>
      <c r="AU215" t="s">
        <v>99</v>
      </c>
      <c r="AV215" t="s">
        <v>72</v>
      </c>
      <c r="AW215" t="s">
        <v>11</v>
      </c>
      <c r="AX215" t="s">
        <v>73</v>
      </c>
      <c r="AY215">
        <v>3.2444000000000002</v>
      </c>
      <c r="AZ215">
        <v>3.24444</v>
      </c>
      <c r="BA215">
        <v>0.01</v>
      </c>
      <c r="BB215">
        <f>BA215*SQRT(BC215)</f>
        <v>0.02</v>
      </c>
      <c r="BC215">
        <v>4</v>
      </c>
      <c r="BD215">
        <v>3.1556000000000002</v>
      </c>
      <c r="BE215">
        <v>3.1555555559999999</v>
      </c>
      <c r="BF215">
        <v>1.4800000000000001E-2</v>
      </c>
      <c r="BG215">
        <f>BF215*SQRT(BH215)</f>
        <v>2.9600000000000001E-2</v>
      </c>
      <c r="BH215">
        <v>4</v>
      </c>
      <c r="BI215" t="s">
        <v>67</v>
      </c>
      <c r="BJ215">
        <v>7</v>
      </c>
      <c r="BK215">
        <v>-2.7799999999999998E-2</v>
      </c>
      <c r="BL215">
        <v>1E-4</v>
      </c>
    </row>
    <row r="216" spans="1:64" x14ac:dyDescent="0.2">
      <c r="A216">
        <v>141</v>
      </c>
      <c r="B216" t="str">
        <f>ROW()-1&amp;"_AltersFish"</f>
        <v>215_AltersFish</v>
      </c>
      <c r="C216" t="str">
        <f>A216 &amp; "_" &amp; P216 &amp; "_" &amp;
SUBSTITUTE(TRIM(L216)," ","_") &amp;
"_pH" &amp; TEXT(Z216,"0.00") &amp;
"_T" &amp; TEXT(AI216,"0.00") &amp;
"_CO2" &amp; TEXT(V216,"0") &amp;
"_LANG"</f>
        <v>141_EMBRYO_Amphiprion_melanopus_pH8.15_T28.40_CO2400_LANG</v>
      </c>
      <c r="D216" t="s">
        <v>54</v>
      </c>
      <c r="E216">
        <v>2015</v>
      </c>
      <c r="F216" t="s">
        <v>91</v>
      </c>
      <c r="G216" t="s">
        <v>92</v>
      </c>
      <c r="H216" t="s">
        <v>78</v>
      </c>
      <c r="I216" t="s">
        <v>540</v>
      </c>
      <c r="J216" t="s">
        <v>543</v>
      </c>
      <c r="K216" t="s">
        <v>93</v>
      </c>
      <c r="L216" t="s">
        <v>94</v>
      </c>
      <c r="M216" t="s">
        <v>95</v>
      </c>
      <c r="N216" t="s">
        <v>61</v>
      </c>
      <c r="O216" t="s">
        <v>62</v>
      </c>
      <c r="P216" t="s">
        <v>82</v>
      </c>
      <c r="Q216" t="s">
        <v>64</v>
      </c>
      <c r="R216" t="s">
        <v>83</v>
      </c>
      <c r="S216" t="s">
        <v>64</v>
      </c>
      <c r="T216" t="s">
        <v>74</v>
      </c>
      <c r="U216" t="s">
        <v>84</v>
      </c>
      <c r="V216">
        <v>400</v>
      </c>
      <c r="W216">
        <v>6</v>
      </c>
      <c r="X216" t="s">
        <v>67</v>
      </c>
      <c r="Y216" t="s">
        <v>96</v>
      </c>
      <c r="Z216">
        <v>8.15</v>
      </c>
      <c r="AA216">
        <v>0.01</v>
      </c>
      <c r="AB216" t="s">
        <v>67</v>
      </c>
      <c r="AC216">
        <v>634</v>
      </c>
      <c r="AD216">
        <v>13</v>
      </c>
      <c r="AE216" t="s">
        <v>67</v>
      </c>
      <c r="AF216">
        <v>8</v>
      </c>
      <c r="AG216">
        <v>0.01</v>
      </c>
      <c r="AH216" t="s">
        <v>67</v>
      </c>
      <c r="AI216">
        <v>28.4</v>
      </c>
      <c r="AJ216">
        <v>0.01</v>
      </c>
      <c r="AK216" t="s">
        <v>67</v>
      </c>
      <c r="AL216">
        <v>28.5</v>
      </c>
      <c r="AM216">
        <v>0.01</v>
      </c>
      <c r="AN216" t="s">
        <v>67</v>
      </c>
      <c r="AO216">
        <v>234</v>
      </c>
      <c r="AP216">
        <v>0.1</v>
      </c>
      <c r="AQ216" t="s">
        <v>67</v>
      </c>
      <c r="AR216" t="s">
        <v>97</v>
      </c>
      <c r="AS216" t="s">
        <v>98</v>
      </c>
      <c r="AT216" t="s">
        <v>70</v>
      </c>
      <c r="AU216" t="s">
        <v>99</v>
      </c>
      <c r="AV216" t="s">
        <v>72</v>
      </c>
      <c r="AW216" t="s">
        <v>11</v>
      </c>
      <c r="AX216" t="s">
        <v>73</v>
      </c>
      <c r="AY216">
        <v>3.2444000000000002</v>
      </c>
      <c r="AZ216">
        <v>3.24444</v>
      </c>
      <c r="BA216">
        <v>0.01</v>
      </c>
      <c r="BB216">
        <f>BA216*SQRT(BC216)</f>
        <v>0.02</v>
      </c>
      <c r="BC216">
        <v>4</v>
      </c>
      <c r="BD216">
        <v>3.2888999999999999</v>
      </c>
      <c r="BE216">
        <v>3.2888888889999999</v>
      </c>
      <c r="BF216">
        <v>1.4800000000000001E-2</v>
      </c>
      <c r="BG216">
        <f>BF216*SQRT(BH216)</f>
        <v>3.3093806066996891E-2</v>
      </c>
      <c r="BH216">
        <v>5</v>
      </c>
      <c r="BI216" t="s">
        <v>67</v>
      </c>
      <c r="BJ216">
        <v>7</v>
      </c>
      <c r="BK216">
        <v>1.3599999999999999E-2</v>
      </c>
      <c r="BL216">
        <v>1E-4</v>
      </c>
    </row>
    <row r="217" spans="1:64" hidden="1" x14ac:dyDescent="0.2">
      <c r="A217">
        <v>171</v>
      </c>
      <c r="D217" t="s">
        <v>54</v>
      </c>
      <c r="E217">
        <v>2015</v>
      </c>
      <c r="F217" t="s">
        <v>198</v>
      </c>
      <c r="G217" t="s">
        <v>199</v>
      </c>
      <c r="H217" t="s">
        <v>57</v>
      </c>
      <c r="K217" t="s">
        <v>79</v>
      </c>
      <c r="L217" t="s">
        <v>200</v>
      </c>
      <c r="M217" t="s">
        <v>81</v>
      </c>
      <c r="N217" t="s">
        <v>81</v>
      </c>
      <c r="O217" t="s">
        <v>62</v>
      </c>
      <c r="P217" t="s">
        <v>63</v>
      </c>
      <c r="Q217" t="s">
        <v>64</v>
      </c>
      <c r="R217" t="s">
        <v>65</v>
      </c>
      <c r="S217" t="s">
        <v>74</v>
      </c>
      <c r="T217" t="s">
        <v>64</v>
      </c>
      <c r="U217" t="s">
        <v>75</v>
      </c>
      <c r="V217">
        <v>422.07</v>
      </c>
      <c r="W217" t="s">
        <v>67</v>
      </c>
      <c r="X217">
        <v>16.57</v>
      </c>
      <c r="Y217" t="s">
        <v>96</v>
      </c>
      <c r="Z217">
        <v>8.1</v>
      </c>
      <c r="AA217" t="s">
        <v>67</v>
      </c>
      <c r="AB217">
        <v>0.05</v>
      </c>
      <c r="AC217">
        <v>414.68</v>
      </c>
      <c r="AD217" t="s">
        <v>67</v>
      </c>
      <c r="AE217">
        <v>5.22</v>
      </c>
      <c r="AF217">
        <v>8.1</v>
      </c>
      <c r="AG217" t="s">
        <v>67</v>
      </c>
      <c r="AH217">
        <v>0.05</v>
      </c>
      <c r="AI217">
        <v>15</v>
      </c>
      <c r="AJ217" t="s">
        <v>67</v>
      </c>
      <c r="AK217">
        <v>0.5</v>
      </c>
      <c r="AL217">
        <v>18</v>
      </c>
      <c r="AM217" t="s">
        <v>67</v>
      </c>
      <c r="AN217">
        <v>0.5</v>
      </c>
      <c r="AO217">
        <v>-7</v>
      </c>
      <c r="AP217">
        <v>3</v>
      </c>
      <c r="AQ217" t="s">
        <v>218</v>
      </c>
      <c r="AR217" t="s">
        <v>69</v>
      </c>
      <c r="AS217" t="s">
        <v>69</v>
      </c>
      <c r="AT217" t="s">
        <v>70</v>
      </c>
      <c r="AU217" t="s">
        <v>227</v>
      </c>
      <c r="AV217" t="s">
        <v>72</v>
      </c>
      <c r="AX217" t="s">
        <v>73</v>
      </c>
      <c r="AY217">
        <v>0.16800000000000001</v>
      </c>
      <c r="AZ217">
        <v>0.16800000000000001</v>
      </c>
      <c r="BA217">
        <v>0.01</v>
      </c>
      <c r="BC217">
        <v>37</v>
      </c>
      <c r="BD217">
        <v>0.17199999999999999</v>
      </c>
      <c r="BE217">
        <v>0.17199999999999999</v>
      </c>
      <c r="BF217">
        <v>5.0000000000000001E-3</v>
      </c>
      <c r="BH217">
        <v>37</v>
      </c>
      <c r="BI217">
        <v>143</v>
      </c>
      <c r="BJ217">
        <v>5</v>
      </c>
      <c r="BK217">
        <v>2.35E-2</v>
      </c>
      <c r="BL217">
        <v>1.6999999999999999E-3</v>
      </c>
    </row>
    <row r="218" spans="1:64" hidden="1" x14ac:dyDescent="0.2">
      <c r="A218">
        <v>209</v>
      </c>
      <c r="D218" t="s">
        <v>54</v>
      </c>
      <c r="E218">
        <v>2020</v>
      </c>
      <c r="F218" t="s">
        <v>223</v>
      </c>
      <c r="G218" t="s">
        <v>224</v>
      </c>
      <c r="H218" t="s">
        <v>78</v>
      </c>
      <c r="K218" t="s">
        <v>205</v>
      </c>
      <c r="L218" t="s">
        <v>225</v>
      </c>
      <c r="M218" t="s">
        <v>120</v>
      </c>
      <c r="N218" t="s">
        <v>120</v>
      </c>
      <c r="O218" t="s">
        <v>110</v>
      </c>
      <c r="P218" t="s">
        <v>63</v>
      </c>
      <c r="Q218" t="s">
        <v>64</v>
      </c>
      <c r="R218" t="s">
        <v>83</v>
      </c>
      <c r="S218" t="s">
        <v>64</v>
      </c>
      <c r="T218" t="s">
        <v>74</v>
      </c>
      <c r="U218" t="s">
        <v>84</v>
      </c>
      <c r="V218">
        <v>437.09</v>
      </c>
      <c r="W218" t="s">
        <v>67</v>
      </c>
      <c r="X218">
        <v>21.6</v>
      </c>
      <c r="Y218" t="s">
        <v>68</v>
      </c>
      <c r="Z218">
        <v>8.0299999999999994</v>
      </c>
      <c r="AA218" t="s">
        <v>67</v>
      </c>
      <c r="AB218">
        <v>0.02</v>
      </c>
      <c r="AC218">
        <v>1123.5</v>
      </c>
      <c r="AD218" t="s">
        <v>67</v>
      </c>
      <c r="AE218">
        <v>86.23</v>
      </c>
      <c r="AF218">
        <v>7.64</v>
      </c>
      <c r="AG218" t="s">
        <v>67</v>
      </c>
      <c r="AH218">
        <v>0.03</v>
      </c>
      <c r="AI218">
        <v>5.6</v>
      </c>
      <c r="AJ218" t="s">
        <v>67</v>
      </c>
      <c r="AK218">
        <v>0.19</v>
      </c>
      <c r="AL218">
        <v>5.6</v>
      </c>
      <c r="AM218" t="s">
        <v>67</v>
      </c>
      <c r="AN218">
        <v>0.21</v>
      </c>
      <c r="AO218">
        <v>686</v>
      </c>
      <c r="AP218">
        <v>-0.1</v>
      </c>
      <c r="AQ218" t="s">
        <v>67</v>
      </c>
      <c r="AR218" t="s">
        <v>98</v>
      </c>
      <c r="AS218" t="s">
        <v>98</v>
      </c>
      <c r="AT218" t="s">
        <v>70</v>
      </c>
      <c r="AU218" t="s">
        <v>226</v>
      </c>
      <c r="AV218" t="s">
        <v>72</v>
      </c>
      <c r="AX218" t="s">
        <v>73</v>
      </c>
      <c r="AY218">
        <v>16.43</v>
      </c>
      <c r="AZ218">
        <v>16.43</v>
      </c>
      <c r="BA218">
        <v>0.2</v>
      </c>
      <c r="BC218">
        <v>6</v>
      </c>
      <c r="BD218">
        <v>16.3</v>
      </c>
      <c r="BE218">
        <v>16.3</v>
      </c>
      <c r="BF218">
        <v>0.65</v>
      </c>
      <c r="BH218">
        <v>5</v>
      </c>
      <c r="BI218">
        <v>120</v>
      </c>
      <c r="BJ218">
        <v>12</v>
      </c>
      <c r="BK218">
        <v>-7.9000000000000008E-3</v>
      </c>
      <c r="BL218">
        <v>1.6999999999999999E-3</v>
      </c>
    </row>
    <row r="219" spans="1:64" x14ac:dyDescent="0.2">
      <c r="A219">
        <v>141</v>
      </c>
      <c r="B219" t="str">
        <f>ROW()-1&amp;"_AltersFish"</f>
        <v>218_AltersFish</v>
      </c>
      <c r="C219" t="str">
        <f>A219 &amp; "_" &amp; P219 &amp; "_" &amp;
SUBSTITUTE(TRIM(L219)," ","_") &amp;
"_pH" &amp; TEXT(Z219,"0.00") &amp;
"_T" &amp; TEXT(AI219,"0.00") &amp;
"_CO2" &amp; TEXT(V219,"0") &amp;
"_LANG"</f>
        <v>141_EMBRYO_Amphiprion_melanopus_pH8.15_T28.40_CO2400_LANG</v>
      </c>
      <c r="D219" t="s">
        <v>54</v>
      </c>
      <c r="E219">
        <v>2015</v>
      </c>
      <c r="F219" t="s">
        <v>91</v>
      </c>
      <c r="G219" t="s">
        <v>92</v>
      </c>
      <c r="H219" t="s">
        <v>78</v>
      </c>
      <c r="I219" t="s">
        <v>540</v>
      </c>
      <c r="J219" t="s">
        <v>543</v>
      </c>
      <c r="K219" t="s">
        <v>93</v>
      </c>
      <c r="L219" t="s">
        <v>94</v>
      </c>
      <c r="M219" t="s">
        <v>95</v>
      </c>
      <c r="N219" t="s">
        <v>61</v>
      </c>
      <c r="O219" t="s">
        <v>62</v>
      </c>
      <c r="P219" t="s">
        <v>82</v>
      </c>
      <c r="Q219" t="s">
        <v>64</v>
      </c>
      <c r="R219" t="s">
        <v>83</v>
      </c>
      <c r="S219" t="s">
        <v>64</v>
      </c>
      <c r="T219" t="s">
        <v>64</v>
      </c>
      <c r="U219" t="s">
        <v>66</v>
      </c>
      <c r="V219">
        <v>400</v>
      </c>
      <c r="W219">
        <v>6</v>
      </c>
      <c r="X219" t="s">
        <v>67</v>
      </c>
      <c r="Y219" t="s">
        <v>96</v>
      </c>
      <c r="Z219">
        <v>8.15</v>
      </c>
      <c r="AA219">
        <v>0.01</v>
      </c>
      <c r="AB219" t="s">
        <v>67</v>
      </c>
      <c r="AC219">
        <v>1126</v>
      </c>
      <c r="AD219">
        <v>24</v>
      </c>
      <c r="AE219" t="s">
        <v>67</v>
      </c>
      <c r="AF219">
        <v>7.79</v>
      </c>
      <c r="AG219">
        <v>0.01</v>
      </c>
      <c r="AH219" t="s">
        <v>67</v>
      </c>
      <c r="AI219">
        <v>28.4</v>
      </c>
      <c r="AJ219">
        <v>0.01</v>
      </c>
      <c r="AK219" t="s">
        <v>67</v>
      </c>
      <c r="AL219">
        <v>29.8</v>
      </c>
      <c r="AM219">
        <v>0.02</v>
      </c>
      <c r="AN219" t="s">
        <v>67</v>
      </c>
      <c r="AO219">
        <v>726</v>
      </c>
      <c r="AP219">
        <v>1.4</v>
      </c>
      <c r="AQ219" t="s">
        <v>67</v>
      </c>
      <c r="AR219" t="s">
        <v>97</v>
      </c>
      <c r="AS219" t="s">
        <v>98</v>
      </c>
      <c r="AT219" t="s">
        <v>70</v>
      </c>
      <c r="AU219" t="s">
        <v>99</v>
      </c>
      <c r="AV219" t="s">
        <v>72</v>
      </c>
      <c r="AW219" t="s">
        <v>11</v>
      </c>
      <c r="AX219" t="s">
        <v>73</v>
      </c>
      <c r="AY219">
        <v>3.2444000000000002</v>
      </c>
      <c r="AZ219">
        <v>3.24444</v>
      </c>
      <c r="BA219">
        <v>0.01</v>
      </c>
      <c r="BB219">
        <f>BA219*SQRT(BC219)</f>
        <v>0.02</v>
      </c>
      <c r="BC219">
        <v>4</v>
      </c>
      <c r="BD219">
        <v>3.0295999999999998</v>
      </c>
      <c r="BE219">
        <v>3.0296296300000001</v>
      </c>
      <c r="BF219">
        <v>3.6999999999999998E-2</v>
      </c>
      <c r="BG219">
        <f>BF219*SQRT(BH219)</f>
        <v>7.3999999999999996E-2</v>
      </c>
      <c r="BH219">
        <v>4</v>
      </c>
      <c r="BI219" t="s">
        <v>67</v>
      </c>
      <c r="BJ219">
        <v>7</v>
      </c>
      <c r="BK219">
        <v>-6.8500000000000005E-2</v>
      </c>
      <c r="BL219">
        <v>2.0000000000000001E-4</v>
      </c>
    </row>
    <row r="220" spans="1:64" x14ac:dyDescent="0.2">
      <c r="A220">
        <v>141</v>
      </c>
      <c r="B220" t="str">
        <f>ROW()-1&amp;"_AltersFish"</f>
        <v>219_AltersFish</v>
      </c>
      <c r="C220" t="str">
        <f>A220 &amp; "_" &amp; P220 &amp; "_" &amp;
SUBSTITUTE(TRIM(L220)," ","_") &amp;
"_pH" &amp; TEXT(Z220,"0.00") &amp;
"_T" &amp; TEXT(AI220,"0.00") &amp;
"_CO2" &amp; TEXT(V220,"0") &amp;
"_LANG"</f>
        <v>141_EMBRYO_Amphiprion_melanopus_pH8.15_T28.40_CO2400_LANG</v>
      </c>
      <c r="D220" t="s">
        <v>54</v>
      </c>
      <c r="E220">
        <v>2015</v>
      </c>
      <c r="F220" t="s">
        <v>91</v>
      </c>
      <c r="G220" t="s">
        <v>92</v>
      </c>
      <c r="H220" t="s">
        <v>78</v>
      </c>
      <c r="I220" t="s">
        <v>540</v>
      </c>
      <c r="J220" t="s">
        <v>543</v>
      </c>
      <c r="K220" t="s">
        <v>93</v>
      </c>
      <c r="L220" t="s">
        <v>94</v>
      </c>
      <c r="M220" t="s">
        <v>95</v>
      </c>
      <c r="N220" t="s">
        <v>61</v>
      </c>
      <c r="O220" t="s">
        <v>62</v>
      </c>
      <c r="P220" t="s">
        <v>82</v>
      </c>
      <c r="Q220" t="s">
        <v>64</v>
      </c>
      <c r="R220" t="s">
        <v>83</v>
      </c>
      <c r="S220" t="s">
        <v>64</v>
      </c>
      <c r="T220" t="s">
        <v>74</v>
      </c>
      <c r="U220" t="s">
        <v>84</v>
      </c>
      <c r="V220">
        <v>400</v>
      </c>
      <c r="W220">
        <v>6</v>
      </c>
      <c r="X220" t="s">
        <v>67</v>
      </c>
      <c r="Y220" t="s">
        <v>96</v>
      </c>
      <c r="Z220">
        <v>8.15</v>
      </c>
      <c r="AA220">
        <v>0.01</v>
      </c>
      <c r="AB220" t="s">
        <v>67</v>
      </c>
      <c r="AC220">
        <v>634</v>
      </c>
      <c r="AD220">
        <v>13</v>
      </c>
      <c r="AE220" t="s">
        <v>67</v>
      </c>
      <c r="AF220">
        <v>8</v>
      </c>
      <c r="AG220">
        <v>0.01</v>
      </c>
      <c r="AH220" t="s">
        <v>67</v>
      </c>
      <c r="AI220">
        <v>28.4</v>
      </c>
      <c r="AJ220">
        <v>0.01</v>
      </c>
      <c r="AK220" t="s">
        <v>67</v>
      </c>
      <c r="AL220">
        <v>28.5</v>
      </c>
      <c r="AM220">
        <v>0.01</v>
      </c>
      <c r="AN220" t="s">
        <v>67</v>
      </c>
      <c r="AO220">
        <v>234</v>
      </c>
      <c r="AP220">
        <v>0.1</v>
      </c>
      <c r="AQ220" t="s">
        <v>67</v>
      </c>
      <c r="AR220" t="s">
        <v>448</v>
      </c>
      <c r="AS220" t="s">
        <v>88</v>
      </c>
      <c r="AT220" t="s">
        <v>70</v>
      </c>
      <c r="AU220" t="s">
        <v>89</v>
      </c>
      <c r="AV220" t="s">
        <v>88</v>
      </c>
      <c r="AW220" t="s">
        <v>151</v>
      </c>
      <c r="AX220" t="s">
        <v>90</v>
      </c>
      <c r="AY220">
        <v>46.698099999999997</v>
      </c>
      <c r="AZ220">
        <v>46.69811</v>
      </c>
      <c r="BA220">
        <v>4.5282999999999998</v>
      </c>
      <c r="BB220">
        <f>BA220*SQRT(BC220)</f>
        <v>9.0565999999999995</v>
      </c>
      <c r="BC220">
        <v>4</v>
      </c>
      <c r="BD220">
        <v>37.924500000000002</v>
      </c>
      <c r="BE220">
        <v>37.924528299999999</v>
      </c>
      <c r="BF220">
        <v>3.1132</v>
      </c>
      <c r="BG220">
        <f>BF220*SQRT(BH220)</f>
        <v>6.9613268275523454</v>
      </c>
      <c r="BH220">
        <v>5</v>
      </c>
      <c r="BI220" t="s">
        <v>67</v>
      </c>
      <c r="BJ220">
        <v>7</v>
      </c>
      <c r="BK220">
        <v>-0.20810000000000001</v>
      </c>
      <c r="BL220">
        <v>1.61E-2</v>
      </c>
    </row>
    <row r="221" spans="1:64" x14ac:dyDescent="0.2">
      <c r="A221">
        <v>141</v>
      </c>
      <c r="B221" t="str">
        <f>ROW()-1&amp;"_AltersFish"</f>
        <v>220_AltersFish</v>
      </c>
      <c r="C221" t="str">
        <f>A221 &amp; "_" &amp; P221 &amp; "_" &amp;
SUBSTITUTE(TRIM(L221)," ","_") &amp;
"_pH" &amp; TEXT(Z221,"0.00") &amp;
"_T" &amp; TEXT(AI221,"0.00") &amp;
"_CO2" &amp; TEXT(V221,"0") &amp;
"_LANG"</f>
        <v>141_EMBRYO_Amphiprion_melanopus_pH8.15_T28.40_CO2400_LANG</v>
      </c>
      <c r="D221" t="s">
        <v>54</v>
      </c>
      <c r="E221">
        <v>2015</v>
      </c>
      <c r="F221" t="s">
        <v>91</v>
      </c>
      <c r="G221" t="s">
        <v>92</v>
      </c>
      <c r="H221" t="s">
        <v>78</v>
      </c>
      <c r="I221" t="s">
        <v>540</v>
      </c>
      <c r="J221" t="s">
        <v>543</v>
      </c>
      <c r="K221" t="s">
        <v>93</v>
      </c>
      <c r="L221" t="s">
        <v>94</v>
      </c>
      <c r="M221" t="s">
        <v>95</v>
      </c>
      <c r="N221" t="s">
        <v>61</v>
      </c>
      <c r="O221" t="s">
        <v>62</v>
      </c>
      <c r="P221" t="s">
        <v>82</v>
      </c>
      <c r="Q221" t="s">
        <v>64</v>
      </c>
      <c r="R221" t="s">
        <v>83</v>
      </c>
      <c r="S221" t="s">
        <v>64</v>
      </c>
      <c r="T221" t="s">
        <v>74</v>
      </c>
      <c r="U221" t="s">
        <v>84</v>
      </c>
      <c r="V221">
        <v>400</v>
      </c>
      <c r="W221">
        <v>6</v>
      </c>
      <c r="X221" t="s">
        <v>67</v>
      </c>
      <c r="Y221" t="s">
        <v>96</v>
      </c>
      <c r="Z221">
        <v>8.15</v>
      </c>
      <c r="AA221">
        <v>0.01</v>
      </c>
      <c r="AB221" t="s">
        <v>67</v>
      </c>
      <c r="AC221">
        <v>1087</v>
      </c>
      <c r="AD221">
        <v>25</v>
      </c>
      <c r="AE221" t="s">
        <v>67</v>
      </c>
      <c r="AF221">
        <v>7.81</v>
      </c>
      <c r="AG221">
        <v>0.01</v>
      </c>
      <c r="AH221" t="s">
        <v>67</v>
      </c>
      <c r="AI221">
        <v>28.4</v>
      </c>
      <c r="AJ221">
        <v>0.01</v>
      </c>
      <c r="AK221" t="s">
        <v>67</v>
      </c>
      <c r="AL221">
        <v>28.5</v>
      </c>
      <c r="AM221">
        <v>0.01</v>
      </c>
      <c r="AN221" t="s">
        <v>67</v>
      </c>
      <c r="AO221">
        <v>687</v>
      </c>
      <c r="AP221">
        <v>0.1</v>
      </c>
      <c r="AQ221" t="s">
        <v>67</v>
      </c>
      <c r="AR221" t="s">
        <v>448</v>
      </c>
      <c r="AS221" t="s">
        <v>88</v>
      </c>
      <c r="AT221" t="s">
        <v>70</v>
      </c>
      <c r="AU221" t="s">
        <v>89</v>
      </c>
      <c r="AV221" t="s">
        <v>88</v>
      </c>
      <c r="AW221" t="s">
        <v>151</v>
      </c>
      <c r="AX221" t="s">
        <v>90</v>
      </c>
      <c r="AY221">
        <v>46.698099999999997</v>
      </c>
      <c r="AZ221">
        <v>46.69811</v>
      </c>
      <c r="BA221">
        <v>4.5282999999999998</v>
      </c>
      <c r="BB221">
        <f>BA221*SQRT(BC221)</f>
        <v>9.0565999999999995</v>
      </c>
      <c r="BC221">
        <v>4</v>
      </c>
      <c r="BD221">
        <v>28.867899999999999</v>
      </c>
      <c r="BE221">
        <v>28.86792453</v>
      </c>
      <c r="BF221">
        <v>3.9622999999999999</v>
      </c>
      <c r="BG221">
        <f>BF221*SQRT(BH221)</f>
        <v>7.9245999999999999</v>
      </c>
      <c r="BH221">
        <v>4</v>
      </c>
      <c r="BI221" t="s">
        <v>67</v>
      </c>
      <c r="BJ221">
        <v>7</v>
      </c>
      <c r="BK221">
        <v>-0.48099999999999998</v>
      </c>
      <c r="BL221">
        <v>2.8199999999999999E-2</v>
      </c>
    </row>
    <row r="222" spans="1:64" x14ac:dyDescent="0.2">
      <c r="A222">
        <v>141</v>
      </c>
      <c r="B222" t="str">
        <f>ROW()-1&amp;"_AltersFish"</f>
        <v>221_AltersFish</v>
      </c>
      <c r="C222" t="str">
        <f>A222 &amp; "_" &amp; P222 &amp; "_" &amp;
SUBSTITUTE(TRIM(L222)," ","_") &amp;
"_pH" &amp; TEXT(Z222,"0.00") &amp;
"_T" &amp; TEXT(AI222,"0.00") &amp;
"_CO2" &amp; TEXT(V222,"0") &amp;
"_LANG"</f>
        <v>141_EMBRYO_Amphiprion_melanopus_pH8.15_T28.40_CO2400_LANG</v>
      </c>
      <c r="D222" t="s">
        <v>54</v>
      </c>
      <c r="E222">
        <v>2015</v>
      </c>
      <c r="F222" t="s">
        <v>91</v>
      </c>
      <c r="G222" t="s">
        <v>92</v>
      </c>
      <c r="H222" t="s">
        <v>78</v>
      </c>
      <c r="I222" t="s">
        <v>540</v>
      </c>
      <c r="J222" t="s">
        <v>543</v>
      </c>
      <c r="K222" t="s">
        <v>93</v>
      </c>
      <c r="L222" t="s">
        <v>94</v>
      </c>
      <c r="M222" t="s">
        <v>95</v>
      </c>
      <c r="N222" t="s">
        <v>61</v>
      </c>
      <c r="O222" t="s">
        <v>62</v>
      </c>
      <c r="P222" t="s">
        <v>82</v>
      </c>
      <c r="Q222" t="s">
        <v>64</v>
      </c>
      <c r="R222" t="s">
        <v>83</v>
      </c>
      <c r="S222" t="s">
        <v>64</v>
      </c>
      <c r="T222" t="s">
        <v>64</v>
      </c>
      <c r="U222" t="s">
        <v>66</v>
      </c>
      <c r="V222">
        <v>400</v>
      </c>
      <c r="W222">
        <v>6</v>
      </c>
      <c r="X222" t="s">
        <v>67</v>
      </c>
      <c r="Y222" t="s">
        <v>96</v>
      </c>
      <c r="Z222">
        <v>8.15</v>
      </c>
      <c r="AA222">
        <v>0.01</v>
      </c>
      <c r="AB222" t="s">
        <v>67</v>
      </c>
      <c r="AC222">
        <v>1126</v>
      </c>
      <c r="AD222">
        <v>24</v>
      </c>
      <c r="AE222" t="s">
        <v>67</v>
      </c>
      <c r="AF222">
        <v>7.79</v>
      </c>
      <c r="AG222">
        <v>0.01</v>
      </c>
      <c r="AH222" t="s">
        <v>67</v>
      </c>
      <c r="AI222">
        <v>28.4</v>
      </c>
      <c r="AJ222">
        <v>0.01</v>
      </c>
      <c r="AK222" t="s">
        <v>67</v>
      </c>
      <c r="AL222">
        <v>29.8</v>
      </c>
      <c r="AM222">
        <v>0.02</v>
      </c>
      <c r="AN222" t="s">
        <v>67</v>
      </c>
      <c r="AO222">
        <v>726</v>
      </c>
      <c r="AP222">
        <v>1.4</v>
      </c>
      <c r="AQ222" t="s">
        <v>67</v>
      </c>
      <c r="AR222" t="s">
        <v>448</v>
      </c>
      <c r="AS222" t="s">
        <v>88</v>
      </c>
      <c r="AT222" t="s">
        <v>70</v>
      </c>
      <c r="AU222" t="s">
        <v>89</v>
      </c>
      <c r="AV222" t="s">
        <v>88</v>
      </c>
      <c r="AW222" t="s">
        <v>151</v>
      </c>
      <c r="AX222" t="s">
        <v>90</v>
      </c>
      <c r="AY222">
        <v>46.698099999999997</v>
      </c>
      <c r="AZ222">
        <v>46.69811</v>
      </c>
      <c r="BA222">
        <v>4.5282999999999998</v>
      </c>
      <c r="BB222">
        <f>BA222*SQRT(BC222)</f>
        <v>9.0565999999999995</v>
      </c>
      <c r="BC222">
        <v>4</v>
      </c>
      <c r="BD222">
        <v>7.9245000000000001</v>
      </c>
      <c r="BE222">
        <v>7.9245283019999997</v>
      </c>
      <c r="BF222">
        <v>1.6980999999999999</v>
      </c>
      <c r="BG222">
        <f>BF222*SQRT(BH222)</f>
        <v>3.3961999999999999</v>
      </c>
      <c r="BH222">
        <v>4</v>
      </c>
      <c r="BI222" t="s">
        <v>67</v>
      </c>
      <c r="BJ222">
        <v>7</v>
      </c>
      <c r="BK222">
        <v>-1.7737000000000001</v>
      </c>
      <c r="BL222">
        <v>5.5300000000000002E-2</v>
      </c>
    </row>
    <row r="223" spans="1:64" x14ac:dyDescent="0.2">
      <c r="A223">
        <v>141</v>
      </c>
      <c r="B223" t="str">
        <f>ROW()-1&amp;"_AltersFish"</f>
        <v>222_AltersFish</v>
      </c>
      <c r="C223" t="str">
        <f>A223 &amp; "_" &amp; P223 &amp; "_" &amp;
SUBSTITUTE(TRIM(L223)," ","_") &amp;
"_pH" &amp; TEXT(Z223,"0.00") &amp;
"_T" &amp; TEXT(AI223,"0.00") &amp;
"_CO2" &amp; TEXT(V223,"0") &amp;
"_LANG"</f>
        <v>141_EMBRYO_Amphiprion_melanopus_pH8.15_T28.40_CO2400_LANG</v>
      </c>
      <c r="D223" t="s">
        <v>54</v>
      </c>
      <c r="E223">
        <v>2015</v>
      </c>
      <c r="F223" t="s">
        <v>91</v>
      </c>
      <c r="G223" t="s">
        <v>92</v>
      </c>
      <c r="H223" t="s">
        <v>78</v>
      </c>
      <c r="I223" t="s">
        <v>540</v>
      </c>
      <c r="J223" t="s">
        <v>543</v>
      </c>
      <c r="K223" t="s">
        <v>93</v>
      </c>
      <c r="L223" t="s">
        <v>94</v>
      </c>
      <c r="M223" t="s">
        <v>95</v>
      </c>
      <c r="N223" t="s">
        <v>61</v>
      </c>
      <c r="O223" t="s">
        <v>62</v>
      </c>
      <c r="P223" t="s">
        <v>82</v>
      </c>
      <c r="Q223" t="s">
        <v>64</v>
      </c>
      <c r="R223" t="s">
        <v>83</v>
      </c>
      <c r="S223" t="s">
        <v>74</v>
      </c>
      <c r="T223" t="s">
        <v>64</v>
      </c>
      <c r="U223" t="s">
        <v>75</v>
      </c>
      <c r="V223">
        <v>400</v>
      </c>
      <c r="W223">
        <v>6</v>
      </c>
      <c r="X223" t="s">
        <v>67</v>
      </c>
      <c r="Y223" t="s">
        <v>96</v>
      </c>
      <c r="Z223">
        <v>8.15</v>
      </c>
      <c r="AA223">
        <v>0.01</v>
      </c>
      <c r="AB223" t="s">
        <v>67</v>
      </c>
      <c r="AC223">
        <v>411</v>
      </c>
      <c r="AD223">
        <v>6</v>
      </c>
      <c r="AE223" t="s">
        <v>67</v>
      </c>
      <c r="AF223">
        <v>8.14</v>
      </c>
      <c r="AG223">
        <v>0.01</v>
      </c>
      <c r="AH223" t="s">
        <v>67</v>
      </c>
      <c r="AI223">
        <v>28.4</v>
      </c>
      <c r="AJ223">
        <v>0.01</v>
      </c>
      <c r="AK223" t="s">
        <v>67</v>
      </c>
      <c r="AL223">
        <v>29.8</v>
      </c>
      <c r="AM223">
        <v>0.02</v>
      </c>
      <c r="AN223" t="s">
        <v>67</v>
      </c>
      <c r="AO223">
        <v>11</v>
      </c>
      <c r="AP223">
        <v>1.4</v>
      </c>
      <c r="AQ223" t="s">
        <v>67</v>
      </c>
      <c r="AR223" t="s">
        <v>448</v>
      </c>
      <c r="AS223" t="s">
        <v>88</v>
      </c>
      <c r="AT223" t="s">
        <v>70</v>
      </c>
      <c r="AU223" t="s">
        <v>89</v>
      </c>
      <c r="AV223" t="s">
        <v>88</v>
      </c>
      <c r="AW223" t="s">
        <v>151</v>
      </c>
      <c r="AX223" t="s">
        <v>90</v>
      </c>
      <c r="AY223">
        <v>46.698099999999997</v>
      </c>
      <c r="AZ223">
        <v>46.69811</v>
      </c>
      <c r="BA223">
        <v>4.5282999999999998</v>
      </c>
      <c r="BB223">
        <f>BA223*SQRT(BC223)</f>
        <v>9.0565999999999995</v>
      </c>
      <c r="BC223">
        <v>4</v>
      </c>
      <c r="BD223">
        <v>7.6414999999999997</v>
      </c>
      <c r="BE223">
        <v>7.6415094339999996</v>
      </c>
      <c r="BF223">
        <v>1.6980999999999999</v>
      </c>
      <c r="BG223">
        <f>BF223*SQRT(BH223)</f>
        <v>3.3961999999999999</v>
      </c>
      <c r="BH223">
        <v>4</v>
      </c>
      <c r="BI223" t="s">
        <v>67</v>
      </c>
      <c r="BJ223">
        <v>7</v>
      </c>
      <c r="BK223">
        <v>-1.8101</v>
      </c>
      <c r="BL223">
        <v>5.8799999999999998E-2</v>
      </c>
    </row>
    <row r="224" spans="1:64" hidden="1" x14ac:dyDescent="0.2">
      <c r="A224">
        <v>171</v>
      </c>
      <c r="D224" t="s">
        <v>54</v>
      </c>
      <c r="E224">
        <v>2015</v>
      </c>
      <c r="F224" t="s">
        <v>198</v>
      </c>
      <c r="G224" t="s">
        <v>199</v>
      </c>
      <c r="H224" t="s">
        <v>57</v>
      </c>
      <c r="K224" t="s">
        <v>79</v>
      </c>
      <c r="L224" t="s">
        <v>200</v>
      </c>
      <c r="M224" t="s">
        <v>81</v>
      </c>
      <c r="N224" t="s">
        <v>81</v>
      </c>
      <c r="O224" t="s">
        <v>62</v>
      </c>
      <c r="P224" t="s">
        <v>63</v>
      </c>
      <c r="Q224" t="s">
        <v>64</v>
      </c>
      <c r="R224" t="s">
        <v>65</v>
      </c>
      <c r="S224" t="s">
        <v>64</v>
      </c>
      <c r="T224" t="s">
        <v>64</v>
      </c>
      <c r="U224" t="s">
        <v>66</v>
      </c>
      <c r="V224">
        <v>422.07</v>
      </c>
      <c r="W224" t="s">
        <v>67</v>
      </c>
      <c r="X224">
        <v>16.57</v>
      </c>
      <c r="Y224" t="s">
        <v>96</v>
      </c>
      <c r="Z224">
        <v>8.1</v>
      </c>
      <c r="AA224" t="s">
        <v>67</v>
      </c>
      <c r="AB224">
        <v>0.05</v>
      </c>
      <c r="AC224">
        <v>1078.21</v>
      </c>
      <c r="AD224" t="s">
        <v>67</v>
      </c>
      <c r="AE224">
        <v>53.06</v>
      </c>
      <c r="AF224">
        <v>7.7</v>
      </c>
      <c r="AG224" t="s">
        <v>67</v>
      </c>
      <c r="AH224">
        <v>0.05</v>
      </c>
      <c r="AI224">
        <v>15</v>
      </c>
      <c r="AJ224" t="s">
        <v>67</v>
      </c>
      <c r="AK224">
        <v>0.5</v>
      </c>
      <c r="AL224">
        <v>20</v>
      </c>
      <c r="AM224" t="s">
        <v>67</v>
      </c>
      <c r="AN224">
        <v>0.5</v>
      </c>
      <c r="AO224">
        <v>656</v>
      </c>
      <c r="AP224">
        <v>5</v>
      </c>
      <c r="AQ224" t="s">
        <v>218</v>
      </c>
      <c r="AR224" t="s">
        <v>69</v>
      </c>
      <c r="AS224" t="s">
        <v>69</v>
      </c>
      <c r="AT224" t="s">
        <v>70</v>
      </c>
      <c r="AU224" t="s">
        <v>227</v>
      </c>
      <c r="AV224" t="s">
        <v>72</v>
      </c>
      <c r="AX224" t="s">
        <v>73</v>
      </c>
      <c r="AY224">
        <v>0.16800000000000001</v>
      </c>
      <c r="AZ224">
        <v>0.16800000000000001</v>
      </c>
      <c r="BA224">
        <v>0.01</v>
      </c>
      <c r="BC224">
        <v>37</v>
      </c>
      <c r="BD224">
        <v>9.9000000000000005E-2</v>
      </c>
      <c r="BE224">
        <v>9.9000000000000005E-2</v>
      </c>
      <c r="BF224">
        <v>3.0000000000000001E-3</v>
      </c>
      <c r="BH224">
        <v>37</v>
      </c>
      <c r="BI224">
        <v>187</v>
      </c>
      <c r="BJ224">
        <v>5</v>
      </c>
      <c r="BK224">
        <v>-0.52880000000000005</v>
      </c>
      <c r="BL224">
        <v>1.8E-3</v>
      </c>
    </row>
    <row r="225" spans="1:64" hidden="1" x14ac:dyDescent="0.2">
      <c r="A225">
        <v>145</v>
      </c>
      <c r="D225" t="s">
        <v>54</v>
      </c>
      <c r="E225">
        <v>2016</v>
      </c>
      <c r="F225" t="s">
        <v>198</v>
      </c>
      <c r="G225" t="s">
        <v>124</v>
      </c>
      <c r="H225" t="s">
        <v>57</v>
      </c>
      <c r="K225" t="s">
        <v>234</v>
      </c>
      <c r="L225" t="s">
        <v>200</v>
      </c>
      <c r="M225" t="s">
        <v>81</v>
      </c>
      <c r="N225" t="s">
        <v>81</v>
      </c>
      <c r="O225" t="s">
        <v>62</v>
      </c>
      <c r="P225" t="s">
        <v>63</v>
      </c>
      <c r="Q225" t="s">
        <v>64</v>
      </c>
      <c r="R225" t="s">
        <v>65</v>
      </c>
      <c r="S225" t="s">
        <v>74</v>
      </c>
      <c r="T225" t="s">
        <v>64</v>
      </c>
      <c r="U225" t="s">
        <v>75</v>
      </c>
      <c r="V225">
        <v>410</v>
      </c>
      <c r="W225">
        <v>19.16</v>
      </c>
      <c r="X225" t="s">
        <v>67</v>
      </c>
      <c r="Y225" t="s">
        <v>96</v>
      </c>
      <c r="Z225">
        <v>8.08</v>
      </c>
      <c r="AA225">
        <v>0.05</v>
      </c>
      <c r="AB225" t="s">
        <v>67</v>
      </c>
      <c r="AC225">
        <v>413</v>
      </c>
      <c r="AD225">
        <v>19.420000000000002</v>
      </c>
      <c r="AE225" t="s">
        <v>67</v>
      </c>
      <c r="AF225">
        <v>8.08</v>
      </c>
      <c r="AG225">
        <v>0.12</v>
      </c>
      <c r="AH225" t="s">
        <v>67</v>
      </c>
      <c r="AI225">
        <v>15.2</v>
      </c>
      <c r="AJ225">
        <v>0.7</v>
      </c>
      <c r="AK225" t="s">
        <v>67</v>
      </c>
      <c r="AL225">
        <v>18.100000000000001</v>
      </c>
      <c r="AM225">
        <v>0.6</v>
      </c>
      <c r="AN225" t="s">
        <v>67</v>
      </c>
      <c r="AO225">
        <v>3</v>
      </c>
      <c r="AP225">
        <v>2.9</v>
      </c>
      <c r="AQ225" t="s">
        <v>218</v>
      </c>
      <c r="AR225" t="s">
        <v>235</v>
      </c>
      <c r="AS225" t="s">
        <v>236</v>
      </c>
      <c r="AT225" t="s">
        <v>70</v>
      </c>
      <c r="AU225" t="s">
        <v>237</v>
      </c>
      <c r="AV225" t="s">
        <v>132</v>
      </c>
      <c r="AX225" t="s">
        <v>73</v>
      </c>
      <c r="AY225">
        <v>5.3926999999999996</v>
      </c>
      <c r="AZ225">
        <v>5.39269</v>
      </c>
      <c r="BA225">
        <v>0.13</v>
      </c>
      <c r="BC225">
        <v>7</v>
      </c>
      <c r="BD225">
        <v>4.5603999999999996</v>
      </c>
      <c r="BE225">
        <v>4.5604498590000002</v>
      </c>
      <c r="BF225">
        <v>0.1575</v>
      </c>
      <c r="BH225">
        <v>7</v>
      </c>
      <c r="BI225">
        <v>240</v>
      </c>
      <c r="BJ225">
        <v>7</v>
      </c>
      <c r="BK225">
        <v>-0.1676</v>
      </c>
      <c r="BL225">
        <v>1.8E-3</v>
      </c>
    </row>
    <row r="226" spans="1:64" x14ac:dyDescent="0.2">
      <c r="A226">
        <v>174</v>
      </c>
      <c r="B226" t="str">
        <f>ROW()-1&amp;"_AltersFish"</f>
        <v>225_AltersFish</v>
      </c>
      <c r="C226" t="str">
        <f>A226 &amp; "_" &amp; P226 &amp; "_" &amp;
SUBSTITUTE(TRIM(L226)," ","_") &amp;
"_pH" &amp; TEXT(Z226,"0.00") &amp;
"_T" &amp; TEXT(AI226,"0.00") &amp;
"_CO2" &amp; TEXT(V226,"0") &amp;
"_LANG"</f>
        <v>174_LARVA_Menidia_menidia_pH8.20_T19.70_CO2345_LANG</v>
      </c>
      <c r="D226" t="s">
        <v>54</v>
      </c>
      <c r="E226">
        <v>2018</v>
      </c>
      <c r="F226" t="s">
        <v>76</v>
      </c>
      <c r="G226" t="s">
        <v>77</v>
      </c>
      <c r="H226" t="s">
        <v>78</v>
      </c>
      <c r="I226" t="s">
        <v>540</v>
      </c>
      <c r="J226" t="s">
        <v>543</v>
      </c>
      <c r="K226" t="s">
        <v>79</v>
      </c>
      <c r="L226" t="s">
        <v>80</v>
      </c>
      <c r="M226" t="s">
        <v>81</v>
      </c>
      <c r="N226" t="s">
        <v>81</v>
      </c>
      <c r="O226" t="s">
        <v>110</v>
      </c>
      <c r="P226" t="s">
        <v>107</v>
      </c>
      <c r="Q226" t="s">
        <v>64</v>
      </c>
      <c r="R226" t="s">
        <v>83</v>
      </c>
      <c r="S226" t="s">
        <v>74</v>
      </c>
      <c r="T226" t="s">
        <v>64</v>
      </c>
      <c r="U226" t="s">
        <v>75</v>
      </c>
      <c r="V226">
        <v>345</v>
      </c>
      <c r="W226" t="s">
        <v>67</v>
      </c>
      <c r="X226" t="s">
        <v>67</v>
      </c>
      <c r="Y226" t="s">
        <v>85</v>
      </c>
      <c r="Z226">
        <v>8.1999999999999993</v>
      </c>
      <c r="AA226" t="s">
        <v>67</v>
      </c>
      <c r="AB226" t="s">
        <v>67</v>
      </c>
      <c r="AC226">
        <v>353</v>
      </c>
      <c r="AD226" t="s">
        <v>67</v>
      </c>
      <c r="AE226" t="s">
        <v>67</v>
      </c>
      <c r="AF226">
        <v>8.23</v>
      </c>
      <c r="AG226" t="s">
        <v>67</v>
      </c>
      <c r="AH226" t="s">
        <v>67</v>
      </c>
      <c r="AI226">
        <v>19.7</v>
      </c>
      <c r="AJ226" t="s">
        <v>67</v>
      </c>
      <c r="AK226" t="s">
        <v>67</v>
      </c>
      <c r="AL226">
        <v>28.2</v>
      </c>
      <c r="AM226" t="s">
        <v>67</v>
      </c>
      <c r="AN226" t="s">
        <v>67</v>
      </c>
      <c r="AO226">
        <v>8</v>
      </c>
      <c r="AP226">
        <v>8.5</v>
      </c>
      <c r="AQ226" t="s">
        <v>111</v>
      </c>
      <c r="AR226" t="s">
        <v>112</v>
      </c>
      <c r="AS226" t="s">
        <v>113</v>
      </c>
      <c r="AT226" t="s">
        <v>70</v>
      </c>
      <c r="AU226" t="s">
        <v>114</v>
      </c>
      <c r="AV226" t="s">
        <v>115</v>
      </c>
      <c r="AW226" t="s">
        <v>72</v>
      </c>
      <c r="AX226" t="s">
        <v>73</v>
      </c>
      <c r="AY226">
        <v>0.33</v>
      </c>
      <c r="AZ226">
        <v>0.33</v>
      </c>
      <c r="BA226">
        <v>2.2000000000000001E-3</v>
      </c>
      <c r="BB226">
        <f>BA226*SQRT(BC226)</f>
        <v>4.9193495504995383E-3</v>
      </c>
      <c r="BC226">
        <v>5</v>
      </c>
      <c r="BD226">
        <v>0.44</v>
      </c>
      <c r="BE226">
        <v>0.44</v>
      </c>
      <c r="BF226">
        <v>7.7999999999999996E-3</v>
      </c>
      <c r="BG226">
        <f>BF226*SQRT(BH226)</f>
        <v>2.4665765749313361E-2</v>
      </c>
      <c r="BH226">
        <v>10</v>
      </c>
      <c r="BI226">
        <v>14</v>
      </c>
      <c r="BJ226">
        <v>5</v>
      </c>
      <c r="BK226">
        <v>0.28770000000000001</v>
      </c>
      <c r="BL226">
        <v>4.0000000000000002E-4</v>
      </c>
    </row>
    <row r="227" spans="1:64" x14ac:dyDescent="0.2">
      <c r="A227">
        <v>174</v>
      </c>
      <c r="B227" t="str">
        <f>ROW()-1&amp;"_AltersFish"</f>
        <v>226_AltersFish</v>
      </c>
      <c r="C227" t="str">
        <f>A227 &amp; "_" &amp; P227 &amp; "_" &amp;
SUBSTITUTE(TRIM(L227)," ","_") &amp;
"_pH" &amp; TEXT(Z227,"0.00") &amp;
"_T" &amp; TEXT(AI227,"0.00") &amp;
"_CO2" &amp; TEXT(V227,"0") &amp;
"_LANG"</f>
        <v>174_LARVA_Menidia_menidia_pH8.20_T19.70_CO2345_LANG</v>
      </c>
      <c r="D227" t="s">
        <v>54</v>
      </c>
      <c r="E227">
        <v>2018</v>
      </c>
      <c r="F227" t="s">
        <v>76</v>
      </c>
      <c r="G227" t="s">
        <v>77</v>
      </c>
      <c r="H227" t="s">
        <v>78</v>
      </c>
      <c r="I227" t="s">
        <v>540</v>
      </c>
      <c r="J227" t="s">
        <v>543</v>
      </c>
      <c r="K227" t="s">
        <v>79</v>
      </c>
      <c r="L227" t="s">
        <v>80</v>
      </c>
      <c r="M227" t="s">
        <v>81</v>
      </c>
      <c r="N227" t="s">
        <v>81</v>
      </c>
      <c r="O227" t="s">
        <v>110</v>
      </c>
      <c r="P227" t="s">
        <v>107</v>
      </c>
      <c r="Q227" t="s">
        <v>64</v>
      </c>
      <c r="R227" t="s">
        <v>83</v>
      </c>
      <c r="S227" t="s">
        <v>64</v>
      </c>
      <c r="T227" t="s">
        <v>64</v>
      </c>
      <c r="U227" t="s">
        <v>66</v>
      </c>
      <c r="V227">
        <v>345</v>
      </c>
      <c r="W227" t="s">
        <v>67</v>
      </c>
      <c r="X227" t="s">
        <v>67</v>
      </c>
      <c r="Y227" t="s">
        <v>85</v>
      </c>
      <c r="Z227">
        <v>8.1999999999999993</v>
      </c>
      <c r="AA227" t="s">
        <v>67</v>
      </c>
      <c r="AB227" t="s">
        <v>67</v>
      </c>
      <c r="AC227">
        <v>2328</v>
      </c>
      <c r="AD227" t="s">
        <v>67</v>
      </c>
      <c r="AE227" t="s">
        <v>67</v>
      </c>
      <c r="AF227">
        <v>7.5</v>
      </c>
      <c r="AG227" t="s">
        <v>67</v>
      </c>
      <c r="AH227" t="s">
        <v>67</v>
      </c>
      <c r="AI227">
        <v>19.7</v>
      </c>
      <c r="AJ227" t="s">
        <v>67</v>
      </c>
      <c r="AK227" t="s">
        <v>67</v>
      </c>
      <c r="AL227">
        <v>28</v>
      </c>
      <c r="AM227" t="s">
        <v>67</v>
      </c>
      <c r="AN227" t="s">
        <v>67</v>
      </c>
      <c r="AO227">
        <v>1983</v>
      </c>
      <c r="AP227">
        <v>8.3000000000000007</v>
      </c>
      <c r="AQ227" t="s">
        <v>111</v>
      </c>
      <c r="AR227" t="s">
        <v>112</v>
      </c>
      <c r="AS227" t="s">
        <v>113</v>
      </c>
      <c r="AT227" t="s">
        <v>70</v>
      </c>
      <c r="AU227" t="s">
        <v>114</v>
      </c>
      <c r="AV227" t="s">
        <v>115</v>
      </c>
      <c r="AW227" t="s">
        <v>72</v>
      </c>
      <c r="AX227" t="s">
        <v>73</v>
      </c>
      <c r="AY227">
        <v>0.33</v>
      </c>
      <c r="AZ227">
        <v>0.33</v>
      </c>
      <c r="BA227">
        <v>2.2000000000000001E-3</v>
      </c>
      <c r="BB227">
        <f>BA227*SQRT(BC227)</f>
        <v>4.9193495504995383E-3</v>
      </c>
      <c r="BC227">
        <v>5</v>
      </c>
      <c r="BD227">
        <v>0.43</v>
      </c>
      <c r="BE227">
        <v>0.43</v>
      </c>
      <c r="BF227">
        <v>6.7999999999999996E-3</v>
      </c>
      <c r="BG227">
        <f>BF227*SQRT(BH227)</f>
        <v>2.1503488089144981E-2</v>
      </c>
      <c r="BH227">
        <v>10</v>
      </c>
      <c r="BI227">
        <v>14</v>
      </c>
      <c r="BJ227">
        <v>5</v>
      </c>
      <c r="BK227">
        <v>0.26469999999999999</v>
      </c>
      <c r="BL227">
        <v>2.9999999999999997E-4</v>
      </c>
    </row>
    <row r="228" spans="1:64" x14ac:dyDescent="0.2">
      <c r="A228">
        <v>174</v>
      </c>
      <c r="B228" t="str">
        <f>ROW()-1&amp;"_AltersFish"</f>
        <v>227_AltersFish</v>
      </c>
      <c r="C228" t="str">
        <f>A228 &amp; "_" &amp; P228 &amp; "_" &amp;
SUBSTITUTE(TRIM(L228)," ","_") &amp;
"_pH" &amp; TEXT(Z228,"0.00") &amp;
"_T" &amp; TEXT(AI228,"0.00") &amp;
"_CO2" &amp; TEXT(V228,"0") &amp;
"_LANG"</f>
        <v>174_LARVA_Menidia_menidia_pH8.20_T19.70_CO2345_LANG</v>
      </c>
      <c r="D228" t="s">
        <v>54</v>
      </c>
      <c r="E228">
        <v>2018</v>
      </c>
      <c r="F228" t="s">
        <v>76</v>
      </c>
      <c r="G228" t="s">
        <v>77</v>
      </c>
      <c r="H228" t="s">
        <v>78</v>
      </c>
      <c r="I228" t="s">
        <v>540</v>
      </c>
      <c r="J228" t="s">
        <v>543</v>
      </c>
      <c r="K228" t="s">
        <v>79</v>
      </c>
      <c r="L228" t="s">
        <v>80</v>
      </c>
      <c r="M228" t="s">
        <v>81</v>
      </c>
      <c r="N228" t="s">
        <v>81</v>
      </c>
      <c r="O228" t="s">
        <v>110</v>
      </c>
      <c r="P228" t="s">
        <v>107</v>
      </c>
      <c r="Q228" t="s">
        <v>64</v>
      </c>
      <c r="R228" t="s">
        <v>83</v>
      </c>
      <c r="S228" t="s">
        <v>74</v>
      </c>
      <c r="T228" t="s">
        <v>64</v>
      </c>
      <c r="U228" t="s">
        <v>75</v>
      </c>
      <c r="V228">
        <v>345</v>
      </c>
      <c r="W228" t="s">
        <v>67</v>
      </c>
      <c r="X228" t="s">
        <v>67</v>
      </c>
      <c r="Y228" t="s">
        <v>85</v>
      </c>
      <c r="Z228">
        <v>8.1999999999999993</v>
      </c>
      <c r="AA228" t="s">
        <v>67</v>
      </c>
      <c r="AB228" t="s">
        <v>67</v>
      </c>
      <c r="AC228">
        <v>379</v>
      </c>
      <c r="AD228" t="s">
        <v>67</v>
      </c>
      <c r="AE228" t="s">
        <v>67</v>
      </c>
      <c r="AF228">
        <v>8.18</v>
      </c>
      <c r="AG228" t="s">
        <v>67</v>
      </c>
      <c r="AH228" t="s">
        <v>67</v>
      </c>
      <c r="AI228">
        <v>19.7</v>
      </c>
      <c r="AJ228" t="s">
        <v>67</v>
      </c>
      <c r="AK228" t="s">
        <v>67</v>
      </c>
      <c r="AL228">
        <v>23.6</v>
      </c>
      <c r="AM228" t="s">
        <v>67</v>
      </c>
      <c r="AN228" t="s">
        <v>67</v>
      </c>
      <c r="AO228">
        <v>34</v>
      </c>
      <c r="AP228">
        <v>3.9</v>
      </c>
      <c r="AQ228" t="s">
        <v>111</v>
      </c>
      <c r="AR228" t="s">
        <v>112</v>
      </c>
      <c r="AS228" t="s">
        <v>113</v>
      </c>
      <c r="AT228" t="s">
        <v>70</v>
      </c>
      <c r="AU228" t="s">
        <v>114</v>
      </c>
      <c r="AV228" t="s">
        <v>115</v>
      </c>
      <c r="AW228" t="s">
        <v>72</v>
      </c>
      <c r="AX228" t="s">
        <v>73</v>
      </c>
      <c r="AY228">
        <v>0.33</v>
      </c>
      <c r="AZ228">
        <v>0.33</v>
      </c>
      <c r="BA228">
        <v>2.2000000000000001E-3</v>
      </c>
      <c r="BB228">
        <f>BA228*SQRT(BC228)</f>
        <v>4.9193495504995383E-3</v>
      </c>
      <c r="BC228">
        <v>5</v>
      </c>
      <c r="BD228">
        <v>0.39</v>
      </c>
      <c r="BE228">
        <v>0.39</v>
      </c>
      <c r="BF228">
        <v>4.3E-3</v>
      </c>
      <c r="BG228">
        <f>BF228*SQRT(BH228)</f>
        <v>1.3597793938724031E-2</v>
      </c>
      <c r="BH228">
        <v>10</v>
      </c>
      <c r="BI228">
        <v>16</v>
      </c>
      <c r="BJ228">
        <v>5</v>
      </c>
      <c r="BK228">
        <v>0.1671</v>
      </c>
      <c r="BL228">
        <v>2.0000000000000001E-4</v>
      </c>
    </row>
    <row r="229" spans="1:64" x14ac:dyDescent="0.2">
      <c r="A229">
        <v>174</v>
      </c>
      <c r="B229" t="str">
        <f>ROW()-1&amp;"_AltersFish"</f>
        <v>228_AltersFish</v>
      </c>
      <c r="C229" t="str">
        <f>A229 &amp; "_" &amp; P229 &amp; "_" &amp;
SUBSTITUTE(TRIM(L229)," ","_") &amp;
"_pH" &amp; TEXT(Z229,"0.00") &amp;
"_T" &amp; TEXT(AI229,"0.00") &amp;
"_CO2" &amp; TEXT(V229,"0") &amp;
"_LANG"</f>
        <v>174_LARVA_Menidia_menidia_pH8.20_T19.70_CO2345_LANG</v>
      </c>
      <c r="D229" t="s">
        <v>54</v>
      </c>
      <c r="E229">
        <v>2018</v>
      </c>
      <c r="F229" t="s">
        <v>76</v>
      </c>
      <c r="G229" t="s">
        <v>77</v>
      </c>
      <c r="H229" t="s">
        <v>78</v>
      </c>
      <c r="I229" t="s">
        <v>540</v>
      </c>
      <c r="J229" t="s">
        <v>543</v>
      </c>
      <c r="K229" t="s">
        <v>79</v>
      </c>
      <c r="L229" t="s">
        <v>80</v>
      </c>
      <c r="M229" t="s">
        <v>81</v>
      </c>
      <c r="N229" t="s">
        <v>81</v>
      </c>
      <c r="O229" t="s">
        <v>110</v>
      </c>
      <c r="P229" t="s">
        <v>107</v>
      </c>
      <c r="Q229" t="s">
        <v>64</v>
      </c>
      <c r="R229" t="s">
        <v>83</v>
      </c>
      <c r="S229" t="s">
        <v>64</v>
      </c>
      <c r="T229" t="s">
        <v>64</v>
      </c>
      <c r="U229" t="s">
        <v>66</v>
      </c>
      <c r="V229">
        <v>345</v>
      </c>
      <c r="W229" t="s">
        <v>67</v>
      </c>
      <c r="X229" t="s">
        <v>67</v>
      </c>
      <c r="Y229" t="s">
        <v>85</v>
      </c>
      <c r="Z229">
        <v>8.1999999999999993</v>
      </c>
      <c r="AA229" t="s">
        <v>67</v>
      </c>
      <c r="AB229" t="s">
        <v>67</v>
      </c>
      <c r="AC229">
        <v>4720</v>
      </c>
      <c r="AD229" t="s">
        <v>67</v>
      </c>
      <c r="AE229" t="s">
        <v>67</v>
      </c>
      <c r="AF229">
        <v>7.2</v>
      </c>
      <c r="AG229" t="s">
        <v>67</v>
      </c>
      <c r="AH229" t="s">
        <v>67</v>
      </c>
      <c r="AI229">
        <v>19.7</v>
      </c>
      <c r="AJ229" t="s">
        <v>67</v>
      </c>
      <c r="AK229" t="s">
        <v>67</v>
      </c>
      <c r="AL229">
        <v>28.2</v>
      </c>
      <c r="AM229" t="s">
        <v>67</v>
      </c>
      <c r="AN229" t="s">
        <v>67</v>
      </c>
      <c r="AO229">
        <v>4375</v>
      </c>
      <c r="AP229">
        <v>8.5</v>
      </c>
      <c r="AQ229" t="s">
        <v>111</v>
      </c>
      <c r="AR229" t="s">
        <v>112</v>
      </c>
      <c r="AS229" t="s">
        <v>113</v>
      </c>
      <c r="AT229" t="s">
        <v>70</v>
      </c>
      <c r="AU229" t="s">
        <v>114</v>
      </c>
      <c r="AV229" t="s">
        <v>115</v>
      </c>
      <c r="AW229" t="s">
        <v>72</v>
      </c>
      <c r="AX229" t="s">
        <v>73</v>
      </c>
      <c r="AY229">
        <v>0.33</v>
      </c>
      <c r="AZ229">
        <v>0.33</v>
      </c>
      <c r="BA229">
        <v>2.2000000000000001E-3</v>
      </c>
      <c r="BB229">
        <f>BA229*SQRT(BC229)</f>
        <v>4.9193495504995383E-3</v>
      </c>
      <c r="BC229">
        <v>5</v>
      </c>
      <c r="BD229">
        <v>0.38</v>
      </c>
      <c r="BE229">
        <v>0.38</v>
      </c>
      <c r="BF229">
        <v>8.8999999999999999E-3</v>
      </c>
      <c r="BG229">
        <f>BF229*SQRT(BH229)</f>
        <v>1.9901004999748128E-2</v>
      </c>
      <c r="BH229">
        <v>5</v>
      </c>
      <c r="BI229">
        <v>14</v>
      </c>
      <c r="BJ229">
        <v>5</v>
      </c>
      <c r="BK229">
        <v>0.1411</v>
      </c>
      <c r="BL229">
        <v>5.9999999999999995E-4</v>
      </c>
    </row>
    <row r="230" spans="1:64" x14ac:dyDescent="0.2">
      <c r="A230">
        <v>174</v>
      </c>
      <c r="B230" t="str">
        <f>ROW()-1&amp;"_AltersFish"</f>
        <v>229_AltersFish</v>
      </c>
      <c r="C230" t="str">
        <f>A230 &amp; "_" &amp; P230 &amp; "_" &amp;
SUBSTITUTE(TRIM(L230)," ","_") &amp;
"_pH" &amp; TEXT(Z230,"0.00") &amp;
"_T" &amp; TEXT(AI230,"0.00") &amp;
"_CO2" &amp; TEXT(V230,"0") &amp;
"_LANG"</f>
        <v>174_LARVA_Menidia_menidia_pH8.20_T19.70_CO2345_LANG</v>
      </c>
      <c r="D230" t="s">
        <v>54</v>
      </c>
      <c r="E230">
        <v>2018</v>
      </c>
      <c r="F230" t="s">
        <v>76</v>
      </c>
      <c r="G230" t="s">
        <v>77</v>
      </c>
      <c r="H230" t="s">
        <v>78</v>
      </c>
      <c r="I230" t="s">
        <v>540</v>
      </c>
      <c r="J230" t="s">
        <v>543</v>
      </c>
      <c r="K230" t="s">
        <v>79</v>
      </c>
      <c r="L230" t="s">
        <v>80</v>
      </c>
      <c r="M230" t="s">
        <v>81</v>
      </c>
      <c r="N230" t="s">
        <v>81</v>
      </c>
      <c r="O230" t="s">
        <v>110</v>
      </c>
      <c r="P230" t="s">
        <v>107</v>
      </c>
      <c r="Q230" t="s">
        <v>64</v>
      </c>
      <c r="R230" t="s">
        <v>83</v>
      </c>
      <c r="S230" t="s">
        <v>64</v>
      </c>
      <c r="T230" t="s">
        <v>64</v>
      </c>
      <c r="U230" t="s">
        <v>66</v>
      </c>
      <c r="V230">
        <v>345</v>
      </c>
      <c r="W230" t="s">
        <v>67</v>
      </c>
      <c r="X230" t="s">
        <v>67</v>
      </c>
      <c r="Y230" t="s">
        <v>85</v>
      </c>
      <c r="Z230">
        <v>8.1999999999999993</v>
      </c>
      <c r="AA230" t="s">
        <v>67</v>
      </c>
      <c r="AB230" t="s">
        <v>67</v>
      </c>
      <c r="AC230">
        <v>2192</v>
      </c>
      <c r="AD230" t="s">
        <v>67</v>
      </c>
      <c r="AE230" t="s">
        <v>67</v>
      </c>
      <c r="AF230">
        <v>7.5</v>
      </c>
      <c r="AG230" t="s">
        <v>67</v>
      </c>
      <c r="AH230" t="s">
        <v>67</v>
      </c>
      <c r="AI230">
        <v>19.7</v>
      </c>
      <c r="AJ230" t="s">
        <v>67</v>
      </c>
      <c r="AK230" t="s">
        <v>67</v>
      </c>
      <c r="AL230">
        <v>23.8</v>
      </c>
      <c r="AM230" t="s">
        <v>67</v>
      </c>
      <c r="AN230" t="s">
        <v>67</v>
      </c>
      <c r="AO230">
        <v>1847</v>
      </c>
      <c r="AP230">
        <v>4.0999999999999996</v>
      </c>
      <c r="AQ230" t="s">
        <v>111</v>
      </c>
      <c r="AR230" t="s">
        <v>112</v>
      </c>
      <c r="AS230" t="s">
        <v>113</v>
      </c>
      <c r="AT230" t="s">
        <v>70</v>
      </c>
      <c r="AU230" t="s">
        <v>114</v>
      </c>
      <c r="AV230" t="s">
        <v>115</v>
      </c>
      <c r="AW230" t="s">
        <v>72</v>
      </c>
      <c r="AX230" t="s">
        <v>73</v>
      </c>
      <c r="AY230">
        <v>0.33</v>
      </c>
      <c r="AZ230">
        <v>0.33</v>
      </c>
      <c r="BA230">
        <v>2.2000000000000001E-3</v>
      </c>
      <c r="BB230">
        <f>BA230*SQRT(BC230)</f>
        <v>4.9193495504995383E-3</v>
      </c>
      <c r="BC230">
        <v>5</v>
      </c>
      <c r="BD230">
        <v>0.36</v>
      </c>
      <c r="BE230">
        <v>0.36</v>
      </c>
      <c r="BF230">
        <v>4.3E-3</v>
      </c>
      <c r="BG230">
        <f>BF230*SQRT(BH230)</f>
        <v>1.9230184606498193E-2</v>
      </c>
      <c r="BH230">
        <v>20</v>
      </c>
      <c r="BI230">
        <v>16</v>
      </c>
      <c r="BJ230">
        <v>5</v>
      </c>
      <c r="BK230">
        <v>8.6999999999999994E-2</v>
      </c>
      <c r="BL230">
        <v>2.0000000000000001E-4</v>
      </c>
    </row>
    <row r="231" spans="1:64" hidden="1" x14ac:dyDescent="0.2">
      <c r="A231">
        <v>132</v>
      </c>
      <c r="D231" t="s">
        <v>54</v>
      </c>
      <c r="E231">
        <v>2015</v>
      </c>
      <c r="F231" t="s">
        <v>283</v>
      </c>
      <c r="G231" t="s">
        <v>181</v>
      </c>
      <c r="H231" t="s">
        <v>284</v>
      </c>
      <c r="K231" t="s">
        <v>285</v>
      </c>
      <c r="L231" t="s">
        <v>286</v>
      </c>
      <c r="M231" t="s">
        <v>81</v>
      </c>
      <c r="N231" t="s">
        <v>81</v>
      </c>
      <c r="O231" t="s">
        <v>62</v>
      </c>
      <c r="P231" t="s">
        <v>196</v>
      </c>
      <c r="Q231" t="s">
        <v>64</v>
      </c>
      <c r="R231" t="s">
        <v>83</v>
      </c>
      <c r="S231" t="s">
        <v>64</v>
      </c>
      <c r="T231" t="s">
        <v>74</v>
      </c>
      <c r="U231" t="s">
        <v>84</v>
      </c>
      <c r="V231">
        <v>372</v>
      </c>
      <c r="W231" t="s">
        <v>67</v>
      </c>
      <c r="X231">
        <v>51.9</v>
      </c>
      <c r="Y231" t="s">
        <v>68</v>
      </c>
      <c r="Z231">
        <v>8.02</v>
      </c>
      <c r="AA231" t="s">
        <v>67</v>
      </c>
      <c r="AB231">
        <v>0.05</v>
      </c>
      <c r="AC231">
        <v>1384</v>
      </c>
      <c r="AD231" t="s">
        <v>67</v>
      </c>
      <c r="AE231">
        <v>113.6</v>
      </c>
      <c r="AF231">
        <v>7.52</v>
      </c>
      <c r="AG231" t="s">
        <v>67</v>
      </c>
      <c r="AH231">
        <v>0.04</v>
      </c>
      <c r="AI231">
        <v>25.9</v>
      </c>
      <c r="AJ231" t="s">
        <v>67</v>
      </c>
      <c r="AK231">
        <v>0.7</v>
      </c>
      <c r="AL231">
        <v>26.2</v>
      </c>
      <c r="AM231" t="s">
        <v>67</v>
      </c>
      <c r="AN231">
        <v>0.5</v>
      </c>
      <c r="AO231">
        <v>1012</v>
      </c>
      <c r="AP231">
        <v>0.3</v>
      </c>
      <c r="AQ231" t="s">
        <v>67</v>
      </c>
      <c r="AR231" t="s">
        <v>287</v>
      </c>
      <c r="AS231" t="s">
        <v>134</v>
      </c>
      <c r="AT231" t="s">
        <v>135</v>
      </c>
      <c r="AU231" t="s">
        <v>288</v>
      </c>
      <c r="AV231" t="s">
        <v>137</v>
      </c>
      <c r="AX231" t="s">
        <v>73</v>
      </c>
      <c r="AY231">
        <v>3.97</v>
      </c>
      <c r="AZ231">
        <v>3.97</v>
      </c>
      <c r="BA231">
        <v>0.15509999999999999</v>
      </c>
      <c r="BC231">
        <v>6</v>
      </c>
      <c r="BD231">
        <v>3.74</v>
      </c>
      <c r="BE231">
        <v>3.74</v>
      </c>
      <c r="BF231">
        <v>7.7600000000000002E-2</v>
      </c>
      <c r="BH231">
        <v>6</v>
      </c>
      <c r="BI231">
        <v>31</v>
      </c>
      <c r="BJ231">
        <v>3</v>
      </c>
      <c r="BK231">
        <v>-5.9700000000000003E-2</v>
      </c>
      <c r="BL231">
        <v>2E-3</v>
      </c>
    </row>
    <row r="232" spans="1:64" hidden="1" x14ac:dyDescent="0.2">
      <c r="A232">
        <v>194</v>
      </c>
      <c r="D232" t="s">
        <v>54</v>
      </c>
      <c r="E232">
        <v>2012</v>
      </c>
      <c r="F232" t="s">
        <v>289</v>
      </c>
      <c r="G232" t="s">
        <v>290</v>
      </c>
      <c r="H232" t="s">
        <v>78</v>
      </c>
      <c r="K232" t="s">
        <v>93</v>
      </c>
      <c r="L232" t="s">
        <v>94</v>
      </c>
      <c r="M232" t="s">
        <v>95</v>
      </c>
      <c r="N232" t="s">
        <v>61</v>
      </c>
      <c r="O232" t="s">
        <v>62</v>
      </c>
      <c r="P232" t="s">
        <v>63</v>
      </c>
      <c r="Q232" t="s">
        <v>74</v>
      </c>
      <c r="R232" t="s">
        <v>83</v>
      </c>
      <c r="S232" t="s">
        <v>64</v>
      </c>
      <c r="T232" t="s">
        <v>64</v>
      </c>
      <c r="U232" t="s">
        <v>66</v>
      </c>
      <c r="V232">
        <v>438</v>
      </c>
      <c r="W232" t="s">
        <v>67</v>
      </c>
      <c r="X232">
        <v>46</v>
      </c>
      <c r="Y232" t="s">
        <v>96</v>
      </c>
      <c r="Z232">
        <v>8.1199999999999992</v>
      </c>
      <c r="AA232" t="s">
        <v>67</v>
      </c>
      <c r="AB232">
        <v>0.04</v>
      </c>
      <c r="AC232">
        <v>1012</v>
      </c>
      <c r="AD232" t="s">
        <v>67</v>
      </c>
      <c r="AE232">
        <v>123</v>
      </c>
      <c r="AF232">
        <v>7.78</v>
      </c>
      <c r="AG232" t="s">
        <v>67</v>
      </c>
      <c r="AH232">
        <v>0.04</v>
      </c>
      <c r="AI232">
        <v>28.6</v>
      </c>
      <c r="AJ232" t="s">
        <v>67</v>
      </c>
      <c r="AK232">
        <v>0.54</v>
      </c>
      <c r="AL232">
        <v>31.4</v>
      </c>
      <c r="AM232" t="s">
        <v>67</v>
      </c>
      <c r="AN232">
        <v>0.59</v>
      </c>
      <c r="AO232">
        <v>574</v>
      </c>
      <c r="AP232">
        <v>2.9</v>
      </c>
      <c r="AQ232" t="s">
        <v>291</v>
      </c>
      <c r="AR232" t="s">
        <v>292</v>
      </c>
      <c r="AS232" t="s">
        <v>293</v>
      </c>
      <c r="AT232" t="s">
        <v>70</v>
      </c>
      <c r="AU232" t="s">
        <v>294</v>
      </c>
      <c r="AV232" t="s">
        <v>72</v>
      </c>
      <c r="AX232" t="s">
        <v>73</v>
      </c>
      <c r="AY232">
        <v>29.79</v>
      </c>
      <c r="AZ232">
        <v>29.79</v>
      </c>
      <c r="BA232">
        <v>0.83</v>
      </c>
      <c r="BC232">
        <v>35</v>
      </c>
      <c r="BD232">
        <v>24.16</v>
      </c>
      <c r="BE232">
        <v>24.16</v>
      </c>
      <c r="BF232">
        <v>0.84</v>
      </c>
      <c r="BH232">
        <v>39</v>
      </c>
      <c r="BI232">
        <v>21</v>
      </c>
      <c r="BJ232">
        <v>5</v>
      </c>
      <c r="BK232">
        <v>-0.20949999999999999</v>
      </c>
      <c r="BL232">
        <v>2E-3</v>
      </c>
    </row>
    <row r="233" spans="1:64" hidden="1" x14ac:dyDescent="0.2">
      <c r="A233">
        <v>194</v>
      </c>
      <c r="D233" t="s">
        <v>54</v>
      </c>
      <c r="E233">
        <v>2012</v>
      </c>
      <c r="F233" t="s">
        <v>289</v>
      </c>
      <c r="G233" t="s">
        <v>290</v>
      </c>
      <c r="H233" t="s">
        <v>78</v>
      </c>
      <c r="K233" t="s">
        <v>93</v>
      </c>
      <c r="L233" t="s">
        <v>94</v>
      </c>
      <c r="M233" t="s">
        <v>95</v>
      </c>
      <c r="N233" t="s">
        <v>61</v>
      </c>
      <c r="O233" t="s">
        <v>62</v>
      </c>
      <c r="P233" t="s">
        <v>63</v>
      </c>
      <c r="Q233" t="s">
        <v>74</v>
      </c>
      <c r="R233" t="s">
        <v>83</v>
      </c>
      <c r="S233" t="s">
        <v>74</v>
      </c>
      <c r="T233" t="s">
        <v>64</v>
      </c>
      <c r="U233" t="s">
        <v>75</v>
      </c>
      <c r="V233">
        <v>438</v>
      </c>
      <c r="W233" t="s">
        <v>67</v>
      </c>
      <c r="X233">
        <v>46</v>
      </c>
      <c r="Y233" t="s">
        <v>96</v>
      </c>
      <c r="Z233">
        <v>8.1199999999999992</v>
      </c>
      <c r="AA233" t="s">
        <v>67</v>
      </c>
      <c r="AB233">
        <v>0.04</v>
      </c>
      <c r="AC233">
        <v>443</v>
      </c>
      <c r="AD233" t="s">
        <v>67</v>
      </c>
      <c r="AE233">
        <v>52</v>
      </c>
      <c r="AF233">
        <v>8.1300000000000008</v>
      </c>
      <c r="AG233" t="s">
        <v>67</v>
      </c>
      <c r="AH233">
        <v>0.04</v>
      </c>
      <c r="AI233">
        <v>28.6</v>
      </c>
      <c r="AJ233" t="s">
        <v>67</v>
      </c>
      <c r="AK233">
        <v>0.54</v>
      </c>
      <c r="AL233">
        <v>30</v>
      </c>
      <c r="AM233" t="s">
        <v>67</v>
      </c>
      <c r="AN233">
        <v>0.26</v>
      </c>
      <c r="AO233">
        <v>5</v>
      </c>
      <c r="AP233">
        <v>1.4</v>
      </c>
      <c r="AQ233" t="s">
        <v>291</v>
      </c>
      <c r="AR233" t="s">
        <v>292</v>
      </c>
      <c r="AS233" t="s">
        <v>293</v>
      </c>
      <c r="AT233" t="s">
        <v>70</v>
      </c>
      <c r="AU233" t="s">
        <v>294</v>
      </c>
      <c r="AV233" t="s">
        <v>72</v>
      </c>
      <c r="AX233" t="s">
        <v>73</v>
      </c>
      <c r="AY233">
        <v>29.79</v>
      </c>
      <c r="AZ233">
        <v>29.79</v>
      </c>
      <c r="BA233">
        <v>0.83</v>
      </c>
      <c r="BC233">
        <v>35</v>
      </c>
      <c r="BD233">
        <v>29.79</v>
      </c>
      <c r="BE233">
        <v>29.79</v>
      </c>
      <c r="BF233">
        <v>1.04</v>
      </c>
      <c r="BH233">
        <v>39</v>
      </c>
      <c r="BI233">
        <v>21</v>
      </c>
      <c r="BJ233">
        <v>5</v>
      </c>
      <c r="BK233">
        <v>0</v>
      </c>
      <c r="BL233">
        <v>2E-3</v>
      </c>
    </row>
    <row r="234" spans="1:64" hidden="1" x14ac:dyDescent="0.2">
      <c r="A234">
        <v>145</v>
      </c>
      <c r="D234" t="s">
        <v>54</v>
      </c>
      <c r="E234">
        <v>2016</v>
      </c>
      <c r="F234" t="s">
        <v>198</v>
      </c>
      <c r="G234" t="s">
        <v>124</v>
      </c>
      <c r="H234" t="s">
        <v>57</v>
      </c>
      <c r="K234" t="s">
        <v>234</v>
      </c>
      <c r="L234" t="s">
        <v>200</v>
      </c>
      <c r="M234" t="s">
        <v>81</v>
      </c>
      <c r="N234" t="s">
        <v>81</v>
      </c>
      <c r="O234" t="s">
        <v>62</v>
      </c>
      <c r="P234" t="s">
        <v>63</v>
      </c>
      <c r="Q234" t="s">
        <v>64</v>
      </c>
      <c r="R234" t="s">
        <v>65</v>
      </c>
      <c r="S234" t="s">
        <v>64</v>
      </c>
      <c r="T234" t="s">
        <v>64</v>
      </c>
      <c r="U234" t="s">
        <v>66</v>
      </c>
      <c r="V234">
        <v>410</v>
      </c>
      <c r="W234">
        <v>19.16</v>
      </c>
      <c r="X234" t="s">
        <v>67</v>
      </c>
      <c r="Y234" t="s">
        <v>96</v>
      </c>
      <c r="Z234">
        <v>8.08</v>
      </c>
      <c r="AA234">
        <v>0.05</v>
      </c>
      <c r="AB234" t="s">
        <v>67</v>
      </c>
      <c r="AC234">
        <v>1086</v>
      </c>
      <c r="AD234">
        <v>93.68</v>
      </c>
      <c r="AE234" t="s">
        <v>67</v>
      </c>
      <c r="AF234">
        <v>7.71</v>
      </c>
      <c r="AG234">
        <v>0.06</v>
      </c>
      <c r="AH234" t="s">
        <v>67</v>
      </c>
      <c r="AI234">
        <v>15.2</v>
      </c>
      <c r="AJ234">
        <v>0.7</v>
      </c>
      <c r="AK234" t="s">
        <v>67</v>
      </c>
      <c r="AL234">
        <v>17.899999999999999</v>
      </c>
      <c r="AM234">
        <v>0.5</v>
      </c>
      <c r="AN234" t="s">
        <v>67</v>
      </c>
      <c r="AO234">
        <v>676</v>
      </c>
      <c r="AP234">
        <v>2.7</v>
      </c>
      <c r="AQ234" t="s">
        <v>201</v>
      </c>
      <c r="AR234" t="s">
        <v>248</v>
      </c>
      <c r="AS234" t="s">
        <v>249</v>
      </c>
      <c r="AT234" t="s">
        <v>135</v>
      </c>
      <c r="AU234" t="s">
        <v>250</v>
      </c>
      <c r="AV234" t="s">
        <v>251</v>
      </c>
      <c r="AX234" t="s">
        <v>73</v>
      </c>
      <c r="AY234">
        <v>12.466799999999999</v>
      </c>
      <c r="AZ234">
        <v>12.46679</v>
      </c>
      <c r="BA234">
        <v>0.47</v>
      </c>
      <c r="BC234">
        <v>7</v>
      </c>
      <c r="BD234">
        <v>10.502800000000001</v>
      </c>
      <c r="BE234">
        <v>10.5028463</v>
      </c>
      <c r="BF234">
        <v>0.25619999999999998</v>
      </c>
      <c r="BH234">
        <v>7</v>
      </c>
      <c r="BI234">
        <v>240</v>
      </c>
      <c r="BJ234">
        <v>7</v>
      </c>
      <c r="BK234">
        <v>-0.1714</v>
      </c>
      <c r="BL234">
        <v>2E-3</v>
      </c>
    </row>
    <row r="235" spans="1:64" hidden="1" x14ac:dyDescent="0.2">
      <c r="A235">
        <v>142</v>
      </c>
      <c r="D235" t="s">
        <v>54</v>
      </c>
      <c r="E235">
        <v>2017</v>
      </c>
      <c r="F235" t="s">
        <v>193</v>
      </c>
      <c r="G235" t="s">
        <v>181</v>
      </c>
      <c r="H235" t="s">
        <v>78</v>
      </c>
      <c r="K235" t="s">
        <v>194</v>
      </c>
      <c r="L235" t="s">
        <v>215</v>
      </c>
      <c r="M235" t="s">
        <v>120</v>
      </c>
      <c r="N235" t="s">
        <v>120</v>
      </c>
      <c r="O235" t="s">
        <v>62</v>
      </c>
      <c r="P235" t="s">
        <v>196</v>
      </c>
      <c r="Q235" t="s">
        <v>64</v>
      </c>
      <c r="R235" t="s">
        <v>83</v>
      </c>
      <c r="S235" t="s">
        <v>64</v>
      </c>
      <c r="T235" t="s">
        <v>74</v>
      </c>
      <c r="U235" t="s">
        <v>84</v>
      </c>
      <c r="V235">
        <v>439</v>
      </c>
      <c r="W235">
        <v>16.079999999999998</v>
      </c>
      <c r="X235" t="s">
        <v>67</v>
      </c>
      <c r="Y235" t="s">
        <v>67</v>
      </c>
      <c r="Z235" t="s">
        <v>67</v>
      </c>
      <c r="AA235" t="s">
        <v>67</v>
      </c>
      <c r="AB235" t="s">
        <v>67</v>
      </c>
      <c r="AC235">
        <v>954</v>
      </c>
      <c r="AD235">
        <v>50.38</v>
      </c>
      <c r="AE235" t="s">
        <v>67</v>
      </c>
      <c r="AF235" t="s">
        <v>67</v>
      </c>
      <c r="AG235" t="s">
        <v>67</v>
      </c>
      <c r="AH235" t="s">
        <v>67</v>
      </c>
      <c r="AI235">
        <v>-0.6</v>
      </c>
      <c r="AJ235">
        <v>0.17</v>
      </c>
      <c r="AK235" t="s">
        <v>67</v>
      </c>
      <c r="AL235">
        <v>-0.5</v>
      </c>
      <c r="AM235">
        <v>0.16</v>
      </c>
      <c r="AN235" t="s">
        <v>67</v>
      </c>
      <c r="AO235">
        <v>515</v>
      </c>
      <c r="AP235">
        <v>0.2</v>
      </c>
      <c r="AQ235" t="s">
        <v>67</v>
      </c>
      <c r="AR235" t="s">
        <v>69</v>
      </c>
      <c r="AS235" t="s">
        <v>69</v>
      </c>
      <c r="AT235" t="s">
        <v>70</v>
      </c>
      <c r="AU235" t="s">
        <v>197</v>
      </c>
      <c r="AV235" t="s">
        <v>72</v>
      </c>
      <c r="AX235" t="s">
        <v>73</v>
      </c>
      <c r="AY235">
        <v>1.395</v>
      </c>
      <c r="AZ235">
        <v>1.395</v>
      </c>
      <c r="BA235">
        <v>0.04</v>
      </c>
      <c r="BC235">
        <v>5</v>
      </c>
      <c r="BD235">
        <v>1.444</v>
      </c>
      <c r="BE235">
        <v>1.444</v>
      </c>
      <c r="BF235">
        <v>0.05</v>
      </c>
      <c r="BH235">
        <v>5</v>
      </c>
      <c r="BI235">
        <v>56</v>
      </c>
      <c r="BJ235">
        <v>1</v>
      </c>
      <c r="BK235">
        <v>3.4500000000000003E-2</v>
      </c>
      <c r="BL235">
        <v>2E-3</v>
      </c>
    </row>
    <row r="236" spans="1:64" x14ac:dyDescent="0.2">
      <c r="A236">
        <v>174</v>
      </c>
      <c r="B236" t="str">
        <f>ROW()-1&amp;"_AltersFish"</f>
        <v>235_AltersFish</v>
      </c>
      <c r="C236" t="str">
        <f>A236 &amp; "_" &amp; P236 &amp; "_" &amp;
SUBSTITUTE(TRIM(L236)," ","_") &amp;
"_pH" &amp; TEXT(Z236,"0.00") &amp;
"_T" &amp; TEXT(AI236,"0.00") &amp;
"_CO2" &amp; TEXT(V236,"0") &amp;
"_LANG"</f>
        <v>174_LARVA_Menidia_menidia_pH8.20_T19.70_CO2345_LANG</v>
      </c>
      <c r="D236" t="s">
        <v>54</v>
      </c>
      <c r="E236">
        <v>2018</v>
      </c>
      <c r="F236" t="s">
        <v>76</v>
      </c>
      <c r="G236" t="s">
        <v>77</v>
      </c>
      <c r="H236" t="s">
        <v>78</v>
      </c>
      <c r="I236" t="s">
        <v>540</v>
      </c>
      <c r="J236" t="s">
        <v>543</v>
      </c>
      <c r="K236" t="s">
        <v>79</v>
      </c>
      <c r="L236" t="s">
        <v>80</v>
      </c>
      <c r="M236" t="s">
        <v>81</v>
      </c>
      <c r="N236" t="s">
        <v>81</v>
      </c>
      <c r="O236" t="s">
        <v>110</v>
      </c>
      <c r="P236" t="s">
        <v>107</v>
      </c>
      <c r="Q236" t="s">
        <v>64</v>
      </c>
      <c r="R236" t="s">
        <v>83</v>
      </c>
      <c r="S236" t="s">
        <v>64</v>
      </c>
      <c r="T236" t="s">
        <v>64</v>
      </c>
      <c r="U236" t="s">
        <v>66</v>
      </c>
      <c r="V236">
        <v>345</v>
      </c>
      <c r="W236" t="s">
        <v>67</v>
      </c>
      <c r="X236" t="s">
        <v>67</v>
      </c>
      <c r="Y236" t="s">
        <v>85</v>
      </c>
      <c r="Z236">
        <v>8.1999999999999993</v>
      </c>
      <c r="AA236" t="s">
        <v>67</v>
      </c>
      <c r="AB236" t="s">
        <v>67</v>
      </c>
      <c r="AC236">
        <v>4386</v>
      </c>
      <c r="AD236" t="s">
        <v>67</v>
      </c>
      <c r="AE236" t="s">
        <v>67</v>
      </c>
      <c r="AF236">
        <v>7.21</v>
      </c>
      <c r="AG236" t="s">
        <v>67</v>
      </c>
      <c r="AH236" t="s">
        <v>67</v>
      </c>
      <c r="AI236">
        <v>19.7</v>
      </c>
      <c r="AJ236" t="s">
        <v>67</v>
      </c>
      <c r="AK236" t="s">
        <v>67</v>
      </c>
      <c r="AL236">
        <v>23.9</v>
      </c>
      <c r="AM236" t="s">
        <v>67</v>
      </c>
      <c r="AN236" t="s">
        <v>67</v>
      </c>
      <c r="AO236">
        <v>4041</v>
      </c>
      <c r="AP236">
        <v>4.2</v>
      </c>
      <c r="AQ236" t="s">
        <v>111</v>
      </c>
      <c r="AR236" t="s">
        <v>112</v>
      </c>
      <c r="AS236" t="s">
        <v>113</v>
      </c>
      <c r="AT236" t="s">
        <v>70</v>
      </c>
      <c r="AU236" t="s">
        <v>114</v>
      </c>
      <c r="AV236" t="s">
        <v>115</v>
      </c>
      <c r="AW236" t="s">
        <v>72</v>
      </c>
      <c r="AX236" t="s">
        <v>73</v>
      </c>
      <c r="AY236">
        <v>0.33</v>
      </c>
      <c r="AZ236">
        <v>0.33</v>
      </c>
      <c r="BA236">
        <v>2.2000000000000001E-3</v>
      </c>
      <c r="BB236">
        <f>BA236*SQRT(BC236)</f>
        <v>4.9193495504995383E-3</v>
      </c>
      <c r="BC236">
        <v>5</v>
      </c>
      <c r="BD236">
        <v>0.35</v>
      </c>
      <c r="BE236">
        <v>0.35</v>
      </c>
      <c r="BF236">
        <v>5.5999999999999999E-3</v>
      </c>
      <c r="BG236">
        <f>BF236*SQRT(BH236)</f>
        <v>1.7708754896942926E-2</v>
      </c>
      <c r="BH236">
        <v>10</v>
      </c>
      <c r="BI236">
        <v>16</v>
      </c>
      <c r="BJ236">
        <v>5</v>
      </c>
      <c r="BK236">
        <v>5.8799999999999998E-2</v>
      </c>
      <c r="BL236">
        <v>2.9999999999999997E-4</v>
      </c>
    </row>
    <row r="237" spans="1:64" hidden="1" x14ac:dyDescent="0.2">
      <c r="A237">
        <v>145</v>
      </c>
      <c r="D237" t="s">
        <v>54</v>
      </c>
      <c r="E237">
        <v>2016</v>
      </c>
      <c r="F237" t="s">
        <v>198</v>
      </c>
      <c r="G237" t="s">
        <v>124</v>
      </c>
      <c r="H237" t="s">
        <v>57</v>
      </c>
      <c r="K237" t="s">
        <v>234</v>
      </c>
      <c r="L237" t="s">
        <v>200</v>
      </c>
      <c r="M237" t="s">
        <v>81</v>
      </c>
      <c r="N237" t="s">
        <v>81</v>
      </c>
      <c r="O237" t="s">
        <v>62</v>
      </c>
      <c r="P237" t="s">
        <v>63</v>
      </c>
      <c r="Q237" t="s">
        <v>64</v>
      </c>
      <c r="R237" t="s">
        <v>65</v>
      </c>
      <c r="S237" t="s">
        <v>64</v>
      </c>
      <c r="T237" t="s">
        <v>64</v>
      </c>
      <c r="U237" t="s">
        <v>66</v>
      </c>
      <c r="V237">
        <v>410</v>
      </c>
      <c r="W237">
        <v>19.16</v>
      </c>
      <c r="X237" t="s">
        <v>67</v>
      </c>
      <c r="Y237" t="s">
        <v>96</v>
      </c>
      <c r="Z237">
        <v>8.08</v>
      </c>
      <c r="AA237">
        <v>0.05</v>
      </c>
      <c r="AB237" t="s">
        <v>67</v>
      </c>
      <c r="AC237">
        <v>1086</v>
      </c>
      <c r="AD237">
        <v>93.68</v>
      </c>
      <c r="AE237" t="s">
        <v>67</v>
      </c>
      <c r="AF237">
        <v>7.71</v>
      </c>
      <c r="AG237">
        <v>0.06</v>
      </c>
      <c r="AH237" t="s">
        <v>67</v>
      </c>
      <c r="AI237">
        <v>15.2</v>
      </c>
      <c r="AJ237">
        <v>0.7</v>
      </c>
      <c r="AK237" t="s">
        <v>67</v>
      </c>
      <c r="AL237">
        <v>17.899999999999999</v>
      </c>
      <c r="AM237">
        <v>0.5</v>
      </c>
      <c r="AN237" t="s">
        <v>67</v>
      </c>
      <c r="AO237">
        <v>676</v>
      </c>
      <c r="AP237">
        <v>2.7</v>
      </c>
      <c r="AQ237" t="s">
        <v>218</v>
      </c>
      <c r="AR237" t="s">
        <v>235</v>
      </c>
      <c r="AS237" t="s">
        <v>236</v>
      </c>
      <c r="AT237" t="s">
        <v>70</v>
      </c>
      <c r="AU237" t="s">
        <v>237</v>
      </c>
      <c r="AV237" t="s">
        <v>132</v>
      </c>
      <c r="AX237" t="s">
        <v>73</v>
      </c>
      <c r="AY237">
        <v>5.3926999999999996</v>
      </c>
      <c r="AZ237">
        <v>5.39269</v>
      </c>
      <c r="BA237">
        <v>0.13</v>
      </c>
      <c r="BC237">
        <v>7</v>
      </c>
      <c r="BD237">
        <v>4.1218000000000004</v>
      </c>
      <c r="BE237">
        <v>4.1218369260000003</v>
      </c>
      <c r="BF237">
        <v>0.1575</v>
      </c>
      <c r="BH237">
        <v>7</v>
      </c>
      <c r="BI237">
        <v>240</v>
      </c>
      <c r="BJ237">
        <v>7</v>
      </c>
      <c r="BK237">
        <v>-0.26869999999999999</v>
      </c>
      <c r="BL237">
        <v>2.0999999999999999E-3</v>
      </c>
    </row>
    <row r="238" spans="1:64" x14ac:dyDescent="0.2">
      <c r="A238">
        <v>174</v>
      </c>
      <c r="B238" t="str">
        <f>ROW()-1&amp;"_AltersFish"</f>
        <v>237_AltersFish</v>
      </c>
      <c r="C238" t="str">
        <f>A238 &amp; "_" &amp; P238 &amp; "_" &amp;
SUBSTITUTE(TRIM(L238)," ","_") &amp;
"_pH" &amp; TEXT(Z238,"0.00") &amp;
"_T" &amp; TEXT(AI238,"0.00") &amp;
"_CO2" &amp; TEXT(V238,"0") &amp;
"_LANG"</f>
        <v>174_LARVA_Menidia_menidia_pH8.20_T19.70_CO2345_LANG</v>
      </c>
      <c r="D238" t="s">
        <v>54</v>
      </c>
      <c r="E238">
        <v>2018</v>
      </c>
      <c r="F238" t="s">
        <v>76</v>
      </c>
      <c r="G238" t="s">
        <v>77</v>
      </c>
      <c r="H238" t="s">
        <v>78</v>
      </c>
      <c r="I238" t="s">
        <v>540</v>
      </c>
      <c r="J238" t="s">
        <v>543</v>
      </c>
      <c r="K238" t="s">
        <v>79</v>
      </c>
      <c r="L238" t="s">
        <v>80</v>
      </c>
      <c r="M238" t="s">
        <v>81</v>
      </c>
      <c r="N238" t="s">
        <v>81</v>
      </c>
      <c r="O238" t="s">
        <v>110</v>
      </c>
      <c r="P238" t="s">
        <v>107</v>
      </c>
      <c r="Q238" t="s">
        <v>64</v>
      </c>
      <c r="R238" t="s">
        <v>83</v>
      </c>
      <c r="S238" t="s">
        <v>64</v>
      </c>
      <c r="T238" t="s">
        <v>74</v>
      </c>
      <c r="U238" t="s">
        <v>84</v>
      </c>
      <c r="V238">
        <v>345</v>
      </c>
      <c r="W238" t="s">
        <v>67</v>
      </c>
      <c r="X238" t="s">
        <v>67</v>
      </c>
      <c r="Y238" t="s">
        <v>85</v>
      </c>
      <c r="Z238">
        <v>8.1999999999999993</v>
      </c>
      <c r="AA238" t="s">
        <v>67</v>
      </c>
      <c r="AB238" t="s">
        <v>67</v>
      </c>
      <c r="AC238">
        <v>4066</v>
      </c>
      <c r="AD238" t="s">
        <v>67</v>
      </c>
      <c r="AE238" t="s">
        <v>67</v>
      </c>
      <c r="AF238">
        <v>7.21</v>
      </c>
      <c r="AG238" t="s">
        <v>67</v>
      </c>
      <c r="AH238" t="s">
        <v>67</v>
      </c>
      <c r="AI238">
        <v>19.7</v>
      </c>
      <c r="AJ238" t="s">
        <v>67</v>
      </c>
      <c r="AK238" t="s">
        <v>67</v>
      </c>
      <c r="AL238">
        <v>19.7</v>
      </c>
      <c r="AM238" t="s">
        <v>67</v>
      </c>
      <c r="AN238" t="s">
        <v>67</v>
      </c>
      <c r="AO238">
        <v>3721</v>
      </c>
      <c r="AP238">
        <v>0</v>
      </c>
      <c r="AQ238" t="s">
        <v>111</v>
      </c>
      <c r="AR238" t="s">
        <v>112</v>
      </c>
      <c r="AS238" t="s">
        <v>113</v>
      </c>
      <c r="AT238" t="s">
        <v>70</v>
      </c>
      <c r="AU238" t="s">
        <v>114</v>
      </c>
      <c r="AV238" t="s">
        <v>115</v>
      </c>
      <c r="AW238" t="s">
        <v>72</v>
      </c>
      <c r="AX238" t="s">
        <v>73</v>
      </c>
      <c r="AY238">
        <v>0.33</v>
      </c>
      <c r="AZ238">
        <v>0.33</v>
      </c>
      <c r="BA238">
        <v>2.2000000000000001E-3</v>
      </c>
      <c r="BB238">
        <f>BA238*SQRT(BC238)</f>
        <v>4.9193495504995383E-3</v>
      </c>
      <c r="BC238">
        <v>5</v>
      </c>
      <c r="BD238">
        <v>0.33</v>
      </c>
      <c r="BE238">
        <v>0.33</v>
      </c>
      <c r="BF238">
        <v>3.3999999999999998E-3</v>
      </c>
      <c r="BG238">
        <f>BF238*SQRT(BH238)</f>
        <v>7.6026311234992849E-3</v>
      </c>
      <c r="BH238">
        <v>5</v>
      </c>
      <c r="BI238">
        <v>25</v>
      </c>
      <c r="BJ238">
        <v>5</v>
      </c>
      <c r="BK238">
        <v>0</v>
      </c>
      <c r="BL238">
        <v>1E-4</v>
      </c>
    </row>
    <row r="239" spans="1:64" x14ac:dyDescent="0.2">
      <c r="A239">
        <v>174</v>
      </c>
      <c r="B239" t="str">
        <f>ROW()-1&amp;"_AltersFish"</f>
        <v>238_AltersFish</v>
      </c>
      <c r="C239" t="str">
        <f>A239 &amp; "_" &amp; P239 &amp; "_" &amp;
SUBSTITUTE(TRIM(L239)," ","_") &amp;
"_pH" &amp; TEXT(Z239,"0.00") &amp;
"_T" &amp; TEXT(AI239,"0.00") &amp;
"_CO2" &amp; TEXT(V239,"0") &amp;
"_LANG"</f>
        <v>174_LARVA_Menidia_menidia_pH8.20_T19.70_CO2345_LANG</v>
      </c>
      <c r="D239" t="s">
        <v>54</v>
      </c>
      <c r="E239">
        <v>2018</v>
      </c>
      <c r="F239" t="s">
        <v>76</v>
      </c>
      <c r="G239" t="s">
        <v>77</v>
      </c>
      <c r="H239" t="s">
        <v>78</v>
      </c>
      <c r="I239" t="s">
        <v>540</v>
      </c>
      <c r="J239" t="s">
        <v>543</v>
      </c>
      <c r="K239" t="s">
        <v>79</v>
      </c>
      <c r="L239" t="s">
        <v>80</v>
      </c>
      <c r="M239" t="s">
        <v>81</v>
      </c>
      <c r="N239" t="s">
        <v>81</v>
      </c>
      <c r="O239" t="s">
        <v>110</v>
      </c>
      <c r="P239" t="s">
        <v>107</v>
      </c>
      <c r="Q239" t="s">
        <v>64</v>
      </c>
      <c r="R239" t="s">
        <v>83</v>
      </c>
      <c r="S239" t="s">
        <v>64</v>
      </c>
      <c r="T239" t="s">
        <v>74</v>
      </c>
      <c r="U239" t="s">
        <v>84</v>
      </c>
      <c r="V239">
        <v>345</v>
      </c>
      <c r="W239" t="s">
        <v>67</v>
      </c>
      <c r="X239" t="s">
        <v>67</v>
      </c>
      <c r="Y239" t="s">
        <v>85</v>
      </c>
      <c r="Z239">
        <v>8.1999999999999993</v>
      </c>
      <c r="AA239" t="s">
        <v>67</v>
      </c>
      <c r="AB239" t="s">
        <v>67</v>
      </c>
      <c r="AC239">
        <v>1964</v>
      </c>
      <c r="AD239" t="s">
        <v>67</v>
      </c>
      <c r="AE239" t="s">
        <v>67</v>
      </c>
      <c r="AF239">
        <v>7.51</v>
      </c>
      <c r="AG239" t="s">
        <v>67</v>
      </c>
      <c r="AH239" t="s">
        <v>67</v>
      </c>
      <c r="AI239">
        <v>19.7</v>
      </c>
      <c r="AJ239" t="s">
        <v>67</v>
      </c>
      <c r="AK239" t="s">
        <v>67</v>
      </c>
      <c r="AL239">
        <v>19.600000000000001</v>
      </c>
      <c r="AM239" t="s">
        <v>67</v>
      </c>
      <c r="AN239" t="s">
        <v>67</v>
      </c>
      <c r="AO239">
        <v>1619</v>
      </c>
      <c r="AP239">
        <v>-0.1</v>
      </c>
      <c r="AQ239" t="s">
        <v>111</v>
      </c>
      <c r="AR239" t="s">
        <v>112</v>
      </c>
      <c r="AS239" t="s">
        <v>113</v>
      </c>
      <c r="AT239" t="s">
        <v>70</v>
      </c>
      <c r="AU239" t="s">
        <v>114</v>
      </c>
      <c r="AV239" t="s">
        <v>115</v>
      </c>
      <c r="AW239" t="s">
        <v>72</v>
      </c>
      <c r="AX239" t="s">
        <v>73</v>
      </c>
      <c r="AY239">
        <v>0.33</v>
      </c>
      <c r="AZ239">
        <v>0.33</v>
      </c>
      <c r="BA239">
        <v>2.2000000000000001E-3</v>
      </c>
      <c r="BB239">
        <f>BA239*SQRT(BC239)</f>
        <v>4.9193495504995383E-3</v>
      </c>
      <c r="BC239">
        <v>5</v>
      </c>
      <c r="BD239">
        <v>0.32</v>
      </c>
      <c r="BE239">
        <v>0.32</v>
      </c>
      <c r="BF239">
        <v>2.2000000000000001E-3</v>
      </c>
      <c r="BG239">
        <f>BF239*SQRT(BH239)</f>
        <v>4.9193495504995383E-3</v>
      </c>
      <c r="BH239">
        <v>5</v>
      </c>
      <c r="BI239">
        <v>25</v>
      </c>
      <c r="BJ239">
        <v>5</v>
      </c>
      <c r="BK239">
        <v>-3.0800000000000001E-2</v>
      </c>
      <c r="BL239">
        <v>1E-4</v>
      </c>
    </row>
    <row r="240" spans="1:64" hidden="1" x14ac:dyDescent="0.2">
      <c r="A240">
        <v>141</v>
      </c>
      <c r="D240" t="s">
        <v>54</v>
      </c>
      <c r="E240">
        <v>2015</v>
      </c>
      <c r="F240" t="s">
        <v>91</v>
      </c>
      <c r="G240" t="s">
        <v>92</v>
      </c>
      <c r="H240" t="s">
        <v>78</v>
      </c>
      <c r="K240" t="s">
        <v>93</v>
      </c>
      <c r="L240" t="s">
        <v>94</v>
      </c>
      <c r="M240" t="s">
        <v>95</v>
      </c>
      <c r="N240" t="s">
        <v>61</v>
      </c>
      <c r="O240" t="s">
        <v>62</v>
      </c>
      <c r="P240" t="s">
        <v>196</v>
      </c>
      <c r="Q240" t="s">
        <v>64</v>
      </c>
      <c r="R240" t="s">
        <v>83</v>
      </c>
      <c r="S240" t="s">
        <v>64</v>
      </c>
      <c r="T240" t="s">
        <v>64</v>
      </c>
      <c r="U240" t="s">
        <v>66</v>
      </c>
      <c r="V240">
        <v>400</v>
      </c>
      <c r="W240">
        <v>6</v>
      </c>
      <c r="X240" t="s">
        <v>67</v>
      </c>
      <c r="Y240" t="s">
        <v>96</v>
      </c>
      <c r="Z240">
        <v>8.15</v>
      </c>
      <c r="AA240">
        <v>0.01</v>
      </c>
      <c r="AB240" t="s">
        <v>67</v>
      </c>
      <c r="AC240">
        <v>658</v>
      </c>
      <c r="AD240">
        <v>13</v>
      </c>
      <c r="AE240" t="s">
        <v>67</v>
      </c>
      <c r="AF240">
        <v>8</v>
      </c>
      <c r="AG240">
        <v>0.01</v>
      </c>
      <c r="AH240" t="s">
        <v>67</v>
      </c>
      <c r="AI240">
        <v>28.4</v>
      </c>
      <c r="AJ240">
        <v>0.01</v>
      </c>
      <c r="AK240" t="s">
        <v>67</v>
      </c>
      <c r="AL240">
        <v>31.5</v>
      </c>
      <c r="AM240">
        <v>0.01</v>
      </c>
      <c r="AN240" t="s">
        <v>67</v>
      </c>
      <c r="AO240">
        <v>258</v>
      </c>
      <c r="AP240">
        <v>3.1</v>
      </c>
      <c r="AQ240" t="s">
        <v>67</v>
      </c>
      <c r="AR240" t="s">
        <v>69</v>
      </c>
      <c r="AS240" t="s">
        <v>69</v>
      </c>
      <c r="AT240" t="s">
        <v>70</v>
      </c>
      <c r="AU240" t="s">
        <v>232</v>
      </c>
      <c r="AV240" t="s">
        <v>72</v>
      </c>
      <c r="AX240" t="s">
        <v>73</v>
      </c>
      <c r="AY240">
        <v>4.8780000000000001</v>
      </c>
      <c r="AZ240">
        <v>4.87805</v>
      </c>
      <c r="BA240">
        <v>0.13</v>
      </c>
      <c r="BC240">
        <v>4</v>
      </c>
      <c r="BD240">
        <v>5.1056999999999997</v>
      </c>
      <c r="BE240">
        <v>5.1056910569999996</v>
      </c>
      <c r="BF240">
        <v>0.1951</v>
      </c>
      <c r="BH240">
        <v>2</v>
      </c>
      <c r="BI240" t="s">
        <v>67</v>
      </c>
      <c r="BJ240">
        <v>7</v>
      </c>
      <c r="BK240">
        <v>4.5600000000000002E-2</v>
      </c>
      <c r="BL240">
        <v>2.2000000000000001E-3</v>
      </c>
    </row>
    <row r="241" spans="1:64" x14ac:dyDescent="0.2">
      <c r="A241">
        <v>174</v>
      </c>
      <c r="B241" t="str">
        <f>ROW()-1&amp;"_AltersFish"</f>
        <v>240_AltersFish</v>
      </c>
      <c r="C241" t="str">
        <f>A241 &amp; "_" &amp; P241 &amp; "_" &amp;
SUBSTITUTE(TRIM(L241)," ","_") &amp;
"_pH" &amp; TEXT(Z241,"0.00") &amp;
"_T" &amp; TEXT(AI241,"0.00") &amp;
"_CO2" &amp; TEXT(V241,"0") &amp;
"_LANG"</f>
        <v>174_EMBRYO_Menidia_menidia_pH8.20_T19.70_CO2345_LANG</v>
      </c>
      <c r="D241" t="s">
        <v>54</v>
      </c>
      <c r="E241">
        <v>2018</v>
      </c>
      <c r="F241" t="s">
        <v>76</v>
      </c>
      <c r="G241" t="s">
        <v>77</v>
      </c>
      <c r="H241" t="s">
        <v>78</v>
      </c>
      <c r="I241" t="s">
        <v>540</v>
      </c>
      <c r="J241" t="s">
        <v>543</v>
      </c>
      <c r="K241" t="s">
        <v>79</v>
      </c>
      <c r="L241" t="s">
        <v>80</v>
      </c>
      <c r="M241" t="s">
        <v>81</v>
      </c>
      <c r="N241" t="s">
        <v>81</v>
      </c>
      <c r="O241" t="s">
        <v>62</v>
      </c>
      <c r="P241" t="s">
        <v>82</v>
      </c>
      <c r="Q241" t="s">
        <v>64</v>
      </c>
      <c r="R241" t="s">
        <v>83</v>
      </c>
      <c r="S241" t="s">
        <v>64</v>
      </c>
      <c r="T241" t="s">
        <v>74</v>
      </c>
      <c r="U241" t="s">
        <v>84</v>
      </c>
      <c r="V241">
        <v>345</v>
      </c>
      <c r="W241" t="s">
        <v>67</v>
      </c>
      <c r="X241" t="s">
        <v>67</v>
      </c>
      <c r="Y241" t="s">
        <v>85</v>
      </c>
      <c r="Z241">
        <v>8.1999999999999993</v>
      </c>
      <c r="AA241" t="s">
        <v>67</v>
      </c>
      <c r="AB241" t="s">
        <v>67</v>
      </c>
      <c r="AC241">
        <v>1964</v>
      </c>
      <c r="AD241" t="s">
        <v>67</v>
      </c>
      <c r="AE241" t="s">
        <v>67</v>
      </c>
      <c r="AF241">
        <v>7.51</v>
      </c>
      <c r="AG241" t="s">
        <v>67</v>
      </c>
      <c r="AH241" t="s">
        <v>67</v>
      </c>
      <c r="AI241">
        <v>19.7</v>
      </c>
      <c r="AJ241" t="s">
        <v>67</v>
      </c>
      <c r="AK241" t="s">
        <v>67</v>
      </c>
      <c r="AL241">
        <v>19.600000000000001</v>
      </c>
      <c r="AM241" t="s">
        <v>67</v>
      </c>
      <c r="AN241" t="s">
        <v>67</v>
      </c>
      <c r="AO241">
        <v>1619</v>
      </c>
      <c r="AP241">
        <v>-0.1</v>
      </c>
      <c r="AQ241" t="s">
        <v>111</v>
      </c>
      <c r="AR241" t="s">
        <v>146</v>
      </c>
      <c r="AS241" t="s">
        <v>98</v>
      </c>
      <c r="AT241" t="s">
        <v>70</v>
      </c>
      <c r="AU241" t="s">
        <v>109</v>
      </c>
      <c r="AV241" t="s">
        <v>115</v>
      </c>
      <c r="AW241" t="s">
        <v>11</v>
      </c>
      <c r="AX241" t="s">
        <v>73</v>
      </c>
      <c r="AY241">
        <v>5.55</v>
      </c>
      <c r="AZ241">
        <v>5.55</v>
      </c>
      <c r="BA241">
        <v>1.23E-2</v>
      </c>
      <c r="BB241">
        <f>BA241*SQRT(BC241)</f>
        <v>2.7503636123247414E-2</v>
      </c>
      <c r="BC241">
        <v>5</v>
      </c>
      <c r="BD241">
        <v>5.62</v>
      </c>
      <c r="BE241">
        <v>5.62</v>
      </c>
      <c r="BF241">
        <v>1.01E-2</v>
      </c>
      <c r="BG241">
        <f>BF241*SQRT(BH241)</f>
        <v>2.2584286572747875E-2</v>
      </c>
      <c r="BH241">
        <v>5</v>
      </c>
      <c r="BI241">
        <v>10</v>
      </c>
      <c r="BJ241">
        <v>5</v>
      </c>
      <c r="BK241">
        <v>1.2500000000000001E-2</v>
      </c>
      <c r="BL241">
        <v>1E-4</v>
      </c>
    </row>
    <row r="242" spans="1:64" x14ac:dyDescent="0.2">
      <c r="A242">
        <v>174</v>
      </c>
      <c r="B242" t="str">
        <f>ROW()-1&amp;"_AltersFish"</f>
        <v>241_AltersFish</v>
      </c>
      <c r="C242" t="str">
        <f>A242 &amp; "_" &amp; P242 &amp; "_" &amp;
SUBSTITUTE(TRIM(L242)," ","_") &amp;
"_pH" &amp; TEXT(Z242,"0.00") &amp;
"_T" &amp; TEXT(AI242,"0.00") &amp;
"_CO2" &amp; TEXT(V242,"0") &amp;
"_LANG"</f>
        <v>174_EMBRYO_Menidia_menidia_pH8.20_T19.70_CO2345_LANG</v>
      </c>
      <c r="D242" t="s">
        <v>54</v>
      </c>
      <c r="E242">
        <v>2018</v>
      </c>
      <c r="F242" t="s">
        <v>76</v>
      </c>
      <c r="G242" t="s">
        <v>77</v>
      </c>
      <c r="H242" t="s">
        <v>78</v>
      </c>
      <c r="I242" t="s">
        <v>540</v>
      </c>
      <c r="J242" t="s">
        <v>543</v>
      </c>
      <c r="K242" t="s">
        <v>79</v>
      </c>
      <c r="L242" t="s">
        <v>80</v>
      </c>
      <c r="M242" t="s">
        <v>81</v>
      </c>
      <c r="N242" t="s">
        <v>81</v>
      </c>
      <c r="O242" t="s">
        <v>62</v>
      </c>
      <c r="P242" t="s">
        <v>82</v>
      </c>
      <c r="Q242" t="s">
        <v>64</v>
      </c>
      <c r="R242" t="s">
        <v>83</v>
      </c>
      <c r="S242" t="s">
        <v>64</v>
      </c>
      <c r="T242" t="s">
        <v>74</v>
      </c>
      <c r="U242" t="s">
        <v>84</v>
      </c>
      <c r="V242">
        <v>345</v>
      </c>
      <c r="W242" t="s">
        <v>67</v>
      </c>
      <c r="X242" t="s">
        <v>67</v>
      </c>
      <c r="Y242" t="s">
        <v>85</v>
      </c>
      <c r="Z242">
        <v>8.1999999999999993</v>
      </c>
      <c r="AA242" t="s">
        <v>67</v>
      </c>
      <c r="AB242" t="s">
        <v>67</v>
      </c>
      <c r="AC242">
        <v>4066</v>
      </c>
      <c r="AD242" t="s">
        <v>67</v>
      </c>
      <c r="AE242" t="s">
        <v>67</v>
      </c>
      <c r="AF242">
        <v>7.21</v>
      </c>
      <c r="AG242" t="s">
        <v>67</v>
      </c>
      <c r="AH242" t="s">
        <v>67</v>
      </c>
      <c r="AI242">
        <v>19.7</v>
      </c>
      <c r="AJ242" t="s">
        <v>67</v>
      </c>
      <c r="AK242" t="s">
        <v>67</v>
      </c>
      <c r="AL242">
        <v>19.7</v>
      </c>
      <c r="AM242" t="s">
        <v>67</v>
      </c>
      <c r="AN242" t="s">
        <v>67</v>
      </c>
      <c r="AO242">
        <v>3721</v>
      </c>
      <c r="AP242">
        <v>0</v>
      </c>
      <c r="AQ242" t="s">
        <v>111</v>
      </c>
      <c r="AR242" t="s">
        <v>146</v>
      </c>
      <c r="AS242" t="s">
        <v>98</v>
      </c>
      <c r="AT242" t="s">
        <v>70</v>
      </c>
      <c r="AU242" t="s">
        <v>109</v>
      </c>
      <c r="AV242" t="s">
        <v>115</v>
      </c>
      <c r="AW242" t="s">
        <v>11</v>
      </c>
      <c r="AX242" t="s">
        <v>73</v>
      </c>
      <c r="AY242">
        <v>5.55</v>
      </c>
      <c r="AZ242">
        <v>5.55</v>
      </c>
      <c r="BA242">
        <v>1.23E-2</v>
      </c>
      <c r="BB242">
        <f>BA242*SQRT(BC242)</f>
        <v>2.7503636123247414E-2</v>
      </c>
      <c r="BC242">
        <v>5</v>
      </c>
      <c r="BD242">
        <v>5.42</v>
      </c>
      <c r="BE242">
        <v>5.42</v>
      </c>
      <c r="BF242">
        <v>8.8999999999999999E-3</v>
      </c>
      <c r="BG242">
        <f>BF242*SQRT(BH242)</f>
        <v>1.9901004999748128E-2</v>
      </c>
      <c r="BH242">
        <v>5</v>
      </c>
      <c r="BI242">
        <v>10</v>
      </c>
      <c r="BJ242">
        <v>5</v>
      </c>
      <c r="BK242">
        <v>-2.3699999999999999E-2</v>
      </c>
      <c r="BL242">
        <v>1E-4</v>
      </c>
    </row>
    <row r="243" spans="1:64" hidden="1" x14ac:dyDescent="0.2">
      <c r="A243">
        <v>142</v>
      </c>
      <c r="D243" t="s">
        <v>54</v>
      </c>
      <c r="E243">
        <v>2017</v>
      </c>
      <c r="F243" t="s">
        <v>193</v>
      </c>
      <c r="G243" t="s">
        <v>181</v>
      </c>
      <c r="H243" t="s">
        <v>78</v>
      </c>
      <c r="K243" t="s">
        <v>194</v>
      </c>
      <c r="L243" t="s">
        <v>299</v>
      </c>
      <c r="M243" t="s">
        <v>120</v>
      </c>
      <c r="N243" t="s">
        <v>120</v>
      </c>
      <c r="O243" t="s">
        <v>62</v>
      </c>
      <c r="P243" t="s">
        <v>196</v>
      </c>
      <c r="Q243" t="s">
        <v>64</v>
      </c>
      <c r="R243" t="s">
        <v>83</v>
      </c>
      <c r="S243" t="s">
        <v>64</v>
      </c>
      <c r="T243" t="s">
        <v>64</v>
      </c>
      <c r="U243" t="s">
        <v>66</v>
      </c>
      <c r="V243">
        <v>439</v>
      </c>
      <c r="W243">
        <v>16.079999999999998</v>
      </c>
      <c r="X243" t="s">
        <v>67</v>
      </c>
      <c r="Y243" t="s">
        <v>67</v>
      </c>
      <c r="Z243" t="s">
        <v>67</v>
      </c>
      <c r="AA243" t="s">
        <v>67</v>
      </c>
      <c r="AB243" t="s">
        <v>67</v>
      </c>
      <c r="AC243">
        <v>1027</v>
      </c>
      <c r="AD243">
        <v>9.0299999999999994</v>
      </c>
      <c r="AE243" t="s">
        <v>67</v>
      </c>
      <c r="AF243" t="s">
        <v>67</v>
      </c>
      <c r="AG243" t="s">
        <v>67</v>
      </c>
      <c r="AH243" t="s">
        <v>67</v>
      </c>
      <c r="AI243">
        <v>-0.6</v>
      </c>
      <c r="AJ243">
        <v>0.17</v>
      </c>
      <c r="AK243" t="s">
        <v>67</v>
      </c>
      <c r="AL243">
        <v>4.2</v>
      </c>
      <c r="AM243">
        <v>0.56000000000000005</v>
      </c>
      <c r="AN243" t="s">
        <v>67</v>
      </c>
      <c r="AO243">
        <v>588</v>
      </c>
      <c r="AP243">
        <v>4.8</v>
      </c>
      <c r="AQ243" t="s">
        <v>67</v>
      </c>
      <c r="AR243" t="s">
        <v>69</v>
      </c>
      <c r="AS243" t="s">
        <v>69</v>
      </c>
      <c r="AT243" t="s">
        <v>70</v>
      </c>
      <c r="AU243" t="s">
        <v>197</v>
      </c>
      <c r="AV243" t="s">
        <v>72</v>
      </c>
      <c r="AX243" t="s">
        <v>73</v>
      </c>
      <c r="AY243">
        <v>1.298</v>
      </c>
      <c r="AZ243">
        <v>1.298</v>
      </c>
      <c r="BA243">
        <v>0.06</v>
      </c>
      <c r="BC243">
        <v>5</v>
      </c>
      <c r="BD243">
        <v>1.08</v>
      </c>
      <c r="BE243">
        <v>1.08</v>
      </c>
      <c r="BF243">
        <v>0.01</v>
      </c>
      <c r="BH243">
        <v>5</v>
      </c>
      <c r="BI243">
        <v>56</v>
      </c>
      <c r="BJ243">
        <v>1</v>
      </c>
      <c r="BK243">
        <v>-0.18390000000000001</v>
      </c>
      <c r="BL243">
        <v>2.2000000000000001E-3</v>
      </c>
    </row>
    <row r="244" spans="1:64" x14ac:dyDescent="0.2">
      <c r="A244">
        <v>174</v>
      </c>
      <c r="B244" t="str">
        <f>ROW()-1&amp;"_AltersFish"</f>
        <v>243_AltersFish</v>
      </c>
      <c r="C244" t="str">
        <f>A244 &amp; "_" &amp; P244 &amp; "_" &amp;
SUBSTITUTE(TRIM(L244)," ","_") &amp;
"_pH" &amp; TEXT(Z244,"0.00") &amp;
"_T" &amp; TEXT(AI244,"0.00") &amp;
"_CO2" &amp; TEXT(V244,"0") &amp;
"_LANG"</f>
        <v>174_EMBRYO_Menidia_menidia_pH8.20_T19.70_CO2345_LANG</v>
      </c>
      <c r="D244" t="s">
        <v>54</v>
      </c>
      <c r="E244">
        <v>2018</v>
      </c>
      <c r="F244" t="s">
        <v>76</v>
      </c>
      <c r="G244" t="s">
        <v>77</v>
      </c>
      <c r="H244" t="s">
        <v>78</v>
      </c>
      <c r="I244" t="s">
        <v>540</v>
      </c>
      <c r="J244" t="s">
        <v>543</v>
      </c>
      <c r="K244" t="s">
        <v>79</v>
      </c>
      <c r="L244" t="s">
        <v>80</v>
      </c>
      <c r="M244" t="s">
        <v>81</v>
      </c>
      <c r="N244" t="s">
        <v>81</v>
      </c>
      <c r="O244" t="s">
        <v>62</v>
      </c>
      <c r="P244" t="s">
        <v>82</v>
      </c>
      <c r="Q244" t="s">
        <v>64</v>
      </c>
      <c r="R244" t="s">
        <v>83</v>
      </c>
      <c r="S244" t="s">
        <v>74</v>
      </c>
      <c r="T244" t="s">
        <v>64</v>
      </c>
      <c r="U244" t="s">
        <v>75</v>
      </c>
      <c r="V244">
        <v>345</v>
      </c>
      <c r="W244" t="s">
        <v>67</v>
      </c>
      <c r="X244" t="s">
        <v>67</v>
      </c>
      <c r="Y244" t="s">
        <v>85</v>
      </c>
      <c r="Z244">
        <v>8.1999999999999993</v>
      </c>
      <c r="AA244" t="s">
        <v>67</v>
      </c>
      <c r="AB244" t="s">
        <v>67</v>
      </c>
      <c r="AC244">
        <v>379</v>
      </c>
      <c r="AD244" t="s">
        <v>67</v>
      </c>
      <c r="AE244" t="s">
        <v>67</v>
      </c>
      <c r="AF244">
        <v>8.18</v>
      </c>
      <c r="AG244" t="s">
        <v>67</v>
      </c>
      <c r="AH244" t="s">
        <v>67</v>
      </c>
      <c r="AI244">
        <v>19.7</v>
      </c>
      <c r="AJ244" t="s">
        <v>67</v>
      </c>
      <c r="AK244" t="s">
        <v>67</v>
      </c>
      <c r="AL244">
        <v>23.6</v>
      </c>
      <c r="AM244" t="s">
        <v>67</v>
      </c>
      <c r="AN244" t="s">
        <v>67</v>
      </c>
      <c r="AO244">
        <v>34</v>
      </c>
      <c r="AP244">
        <v>3.9</v>
      </c>
      <c r="AQ244" t="s">
        <v>111</v>
      </c>
      <c r="AR244" t="s">
        <v>146</v>
      </c>
      <c r="AS244" t="s">
        <v>98</v>
      </c>
      <c r="AT244" t="s">
        <v>70</v>
      </c>
      <c r="AU244" t="s">
        <v>109</v>
      </c>
      <c r="AV244" t="s">
        <v>115</v>
      </c>
      <c r="AW244" t="s">
        <v>11</v>
      </c>
      <c r="AX244" t="s">
        <v>73</v>
      </c>
      <c r="AY244">
        <v>5.55</v>
      </c>
      <c r="AZ244">
        <v>5.55</v>
      </c>
      <c r="BA244">
        <v>1.23E-2</v>
      </c>
      <c r="BB244">
        <f>BA244*SQRT(BC244)</f>
        <v>2.7503636123247414E-2</v>
      </c>
      <c r="BC244">
        <v>5</v>
      </c>
      <c r="BD244">
        <v>5.4050000000000002</v>
      </c>
      <c r="BE244">
        <v>5.4050000000000002</v>
      </c>
      <c r="BF244">
        <v>1.32E-2</v>
      </c>
      <c r="BG244">
        <f>BF244*SQRT(BH244)</f>
        <v>4.1742065114222612E-2</v>
      </c>
      <c r="BH244">
        <v>10</v>
      </c>
      <c r="BI244">
        <v>6</v>
      </c>
      <c r="BJ244">
        <v>5</v>
      </c>
      <c r="BK244">
        <v>-2.6499999999999999E-2</v>
      </c>
      <c r="BL244">
        <v>1E-4</v>
      </c>
    </row>
    <row r="245" spans="1:64" x14ac:dyDescent="0.2">
      <c r="A245">
        <v>174</v>
      </c>
      <c r="B245" t="str">
        <f>ROW()-1&amp;"_AltersFish"</f>
        <v>244_AltersFish</v>
      </c>
      <c r="C245" t="str">
        <f>A245 &amp; "_" &amp; P245 &amp; "_" &amp;
SUBSTITUTE(TRIM(L245)," ","_") &amp;
"_pH" &amp; TEXT(Z245,"0.00") &amp;
"_T" &amp; TEXT(AI245,"0.00") &amp;
"_CO2" &amp; TEXT(V245,"0") &amp;
"_LANG"</f>
        <v>174_EMBRYO_Menidia_menidia_pH8.20_T19.70_CO2345_LANG</v>
      </c>
      <c r="D245" t="s">
        <v>54</v>
      </c>
      <c r="E245">
        <v>2018</v>
      </c>
      <c r="F245" t="s">
        <v>76</v>
      </c>
      <c r="G245" t="s">
        <v>77</v>
      </c>
      <c r="H245" t="s">
        <v>78</v>
      </c>
      <c r="I245" t="s">
        <v>540</v>
      </c>
      <c r="J245" t="s">
        <v>543</v>
      </c>
      <c r="K245" t="s">
        <v>79</v>
      </c>
      <c r="L245" t="s">
        <v>80</v>
      </c>
      <c r="M245" t="s">
        <v>81</v>
      </c>
      <c r="N245" t="s">
        <v>81</v>
      </c>
      <c r="O245" t="s">
        <v>62</v>
      </c>
      <c r="P245" t="s">
        <v>82</v>
      </c>
      <c r="Q245" t="s">
        <v>64</v>
      </c>
      <c r="R245" t="s">
        <v>83</v>
      </c>
      <c r="S245" t="s">
        <v>64</v>
      </c>
      <c r="T245" t="s">
        <v>64</v>
      </c>
      <c r="U245" t="s">
        <v>66</v>
      </c>
      <c r="V245">
        <v>345</v>
      </c>
      <c r="W245" t="s">
        <v>67</v>
      </c>
      <c r="X245" t="s">
        <v>67</v>
      </c>
      <c r="Y245" t="s">
        <v>85</v>
      </c>
      <c r="Z245">
        <v>8.1999999999999993</v>
      </c>
      <c r="AA245" t="s">
        <v>67</v>
      </c>
      <c r="AB245" t="s">
        <v>67</v>
      </c>
      <c r="AC245">
        <v>2192</v>
      </c>
      <c r="AD245" t="s">
        <v>67</v>
      </c>
      <c r="AE245" t="s">
        <v>67</v>
      </c>
      <c r="AF245">
        <v>7.5</v>
      </c>
      <c r="AG245" t="s">
        <v>67</v>
      </c>
      <c r="AH245" t="s">
        <v>67</v>
      </c>
      <c r="AI245">
        <v>19.7</v>
      </c>
      <c r="AJ245" t="s">
        <v>67</v>
      </c>
      <c r="AK245" t="s">
        <v>67</v>
      </c>
      <c r="AL245">
        <v>23.8</v>
      </c>
      <c r="AM245" t="s">
        <v>67</v>
      </c>
      <c r="AN245" t="s">
        <v>67</v>
      </c>
      <c r="AO245">
        <v>1847</v>
      </c>
      <c r="AP245">
        <v>4.0999999999999996</v>
      </c>
      <c r="AQ245" t="s">
        <v>111</v>
      </c>
      <c r="AR245" t="s">
        <v>146</v>
      </c>
      <c r="AS245" t="s">
        <v>98</v>
      </c>
      <c r="AT245" t="s">
        <v>70</v>
      </c>
      <c r="AU245" t="s">
        <v>109</v>
      </c>
      <c r="AV245" t="s">
        <v>115</v>
      </c>
      <c r="AW245" t="s">
        <v>11</v>
      </c>
      <c r="AX245" t="s">
        <v>73</v>
      </c>
      <c r="AY245">
        <v>5.55</v>
      </c>
      <c r="AZ245">
        <v>5.55</v>
      </c>
      <c r="BA245">
        <v>1.23E-2</v>
      </c>
      <c r="BB245">
        <f>BA245*SQRT(BC245)</f>
        <v>2.7503636123247414E-2</v>
      </c>
      <c r="BC245">
        <v>5</v>
      </c>
      <c r="BD245">
        <v>5.1375000000000002</v>
      </c>
      <c r="BE245">
        <v>5.1375000000000002</v>
      </c>
      <c r="BF245">
        <v>1.14E-2</v>
      </c>
      <c r="BG245">
        <f>BF245*SQRT(BH245)</f>
        <v>5.098234988699521E-2</v>
      </c>
      <c r="BH245">
        <v>20</v>
      </c>
      <c r="BI245">
        <v>6</v>
      </c>
      <c r="BJ245">
        <v>5</v>
      </c>
      <c r="BK245">
        <v>-7.7200000000000005E-2</v>
      </c>
      <c r="BL245">
        <v>1E-4</v>
      </c>
    </row>
    <row r="246" spans="1:64" hidden="1" x14ac:dyDescent="0.2">
      <c r="A246">
        <v>135</v>
      </c>
      <c r="D246" t="s">
        <v>54</v>
      </c>
      <c r="E246">
        <v>2012</v>
      </c>
      <c r="F246" t="s">
        <v>219</v>
      </c>
      <c r="G246" t="s">
        <v>220</v>
      </c>
      <c r="H246" t="s">
        <v>78</v>
      </c>
      <c r="K246" t="s">
        <v>194</v>
      </c>
      <c r="L246" t="s">
        <v>221</v>
      </c>
      <c r="M246" t="s">
        <v>120</v>
      </c>
      <c r="N246" t="s">
        <v>120</v>
      </c>
      <c r="O246" t="s">
        <v>62</v>
      </c>
      <c r="P246" t="s">
        <v>196</v>
      </c>
      <c r="Q246" t="s">
        <v>64</v>
      </c>
      <c r="R246" t="s">
        <v>83</v>
      </c>
      <c r="S246" t="s">
        <v>74</v>
      </c>
      <c r="T246" t="s">
        <v>64</v>
      </c>
      <c r="U246" t="s">
        <v>75</v>
      </c>
      <c r="V246">
        <v>357</v>
      </c>
      <c r="W246">
        <v>18.260000000000002</v>
      </c>
      <c r="X246" t="s">
        <v>67</v>
      </c>
      <c r="Y246" t="s">
        <v>96</v>
      </c>
      <c r="Z246">
        <v>8.25</v>
      </c>
      <c r="AA246">
        <v>0.02</v>
      </c>
      <c r="AB246" t="s">
        <v>67</v>
      </c>
      <c r="AC246">
        <v>461</v>
      </c>
      <c r="AD246">
        <v>13.69</v>
      </c>
      <c r="AE246" t="s">
        <v>67</v>
      </c>
      <c r="AF246">
        <v>7.91</v>
      </c>
      <c r="AG246">
        <v>0.02</v>
      </c>
      <c r="AH246" t="s">
        <v>67</v>
      </c>
      <c r="AI246">
        <v>1.5</v>
      </c>
      <c r="AJ246">
        <v>0.09</v>
      </c>
      <c r="AK246" t="s">
        <v>67</v>
      </c>
      <c r="AL246">
        <v>7.3</v>
      </c>
      <c r="AM246">
        <v>7.0000000000000007E-2</v>
      </c>
      <c r="AN246" t="s">
        <v>67</v>
      </c>
      <c r="AO246">
        <v>105</v>
      </c>
      <c r="AP246">
        <v>5.8</v>
      </c>
      <c r="AQ246" t="s">
        <v>67</v>
      </c>
      <c r="AR246" t="s">
        <v>222</v>
      </c>
      <c r="AS246" t="s">
        <v>69</v>
      </c>
      <c r="AT246" t="s">
        <v>70</v>
      </c>
      <c r="AU246" t="s">
        <v>67</v>
      </c>
      <c r="AV246" t="s">
        <v>72</v>
      </c>
      <c r="AX246" t="s">
        <v>73</v>
      </c>
      <c r="AY246">
        <v>1.69</v>
      </c>
      <c r="AZ246">
        <v>1.69</v>
      </c>
      <c r="BA246">
        <v>0.03</v>
      </c>
      <c r="BC246">
        <v>9</v>
      </c>
      <c r="BD246">
        <v>1.57</v>
      </c>
      <c r="BE246">
        <v>1.57</v>
      </c>
      <c r="BF246">
        <v>7.0000000000000007E-2</v>
      </c>
      <c r="BH246">
        <v>5</v>
      </c>
      <c r="BI246">
        <v>32</v>
      </c>
      <c r="BJ246">
        <v>1</v>
      </c>
      <c r="BK246">
        <v>-7.3700000000000002E-2</v>
      </c>
      <c r="BL246">
        <v>2.3E-3</v>
      </c>
    </row>
    <row r="247" spans="1:64" x14ac:dyDescent="0.2">
      <c r="A247">
        <v>174</v>
      </c>
      <c r="B247" t="str">
        <f>ROW()-1&amp;"_AltersFish"</f>
        <v>246_AltersFish</v>
      </c>
      <c r="C247" t="str">
        <f>A247 &amp; "_" &amp; P247 &amp; "_" &amp;
SUBSTITUTE(TRIM(L247)," ","_") &amp;
"_pH" &amp; TEXT(Z247,"0.00") &amp;
"_T" &amp; TEXT(AI247,"0.00") &amp;
"_CO2" &amp; TEXT(V247,"0") &amp;
"_LANG"</f>
        <v>174_EMBRYO_Menidia_menidia_pH8.20_T19.70_CO2345_LANG</v>
      </c>
      <c r="D247" t="s">
        <v>54</v>
      </c>
      <c r="E247">
        <v>2018</v>
      </c>
      <c r="F247" t="s">
        <v>76</v>
      </c>
      <c r="G247" t="s">
        <v>77</v>
      </c>
      <c r="H247" t="s">
        <v>78</v>
      </c>
      <c r="I247" t="s">
        <v>540</v>
      </c>
      <c r="J247" t="s">
        <v>543</v>
      </c>
      <c r="K247" t="s">
        <v>79</v>
      </c>
      <c r="L247" t="s">
        <v>80</v>
      </c>
      <c r="M247" t="s">
        <v>81</v>
      </c>
      <c r="N247" t="s">
        <v>81</v>
      </c>
      <c r="O247" t="s">
        <v>62</v>
      </c>
      <c r="P247" t="s">
        <v>82</v>
      </c>
      <c r="Q247" t="s">
        <v>64</v>
      </c>
      <c r="R247" t="s">
        <v>83</v>
      </c>
      <c r="S247" t="s">
        <v>64</v>
      </c>
      <c r="T247" t="s">
        <v>64</v>
      </c>
      <c r="U247" t="s">
        <v>66</v>
      </c>
      <c r="V247">
        <v>345</v>
      </c>
      <c r="W247" t="s">
        <v>67</v>
      </c>
      <c r="X247" t="s">
        <v>67</v>
      </c>
      <c r="Y247" t="s">
        <v>85</v>
      </c>
      <c r="Z247">
        <v>8.1999999999999993</v>
      </c>
      <c r="AA247" t="s">
        <v>67</v>
      </c>
      <c r="AB247" t="s">
        <v>67</v>
      </c>
      <c r="AC247">
        <v>4386</v>
      </c>
      <c r="AD247" t="s">
        <v>67</v>
      </c>
      <c r="AE247" t="s">
        <v>67</v>
      </c>
      <c r="AF247">
        <v>7.21</v>
      </c>
      <c r="AG247" t="s">
        <v>67</v>
      </c>
      <c r="AH247" t="s">
        <v>67</v>
      </c>
      <c r="AI247">
        <v>19.7</v>
      </c>
      <c r="AJ247" t="s">
        <v>67</v>
      </c>
      <c r="AK247" t="s">
        <v>67</v>
      </c>
      <c r="AL247">
        <v>23.9</v>
      </c>
      <c r="AM247" t="s">
        <v>67</v>
      </c>
      <c r="AN247" t="s">
        <v>67</v>
      </c>
      <c r="AO247">
        <v>4041</v>
      </c>
      <c r="AP247">
        <v>4.2</v>
      </c>
      <c r="AQ247" t="s">
        <v>111</v>
      </c>
      <c r="AR247" t="s">
        <v>146</v>
      </c>
      <c r="AS247" t="s">
        <v>98</v>
      </c>
      <c r="AT247" t="s">
        <v>70</v>
      </c>
      <c r="AU247" t="s">
        <v>109</v>
      </c>
      <c r="AV247" t="s">
        <v>115</v>
      </c>
      <c r="AW247" t="s">
        <v>11</v>
      </c>
      <c r="AX247" t="s">
        <v>73</v>
      </c>
      <c r="AY247">
        <v>5.55</v>
      </c>
      <c r="AZ247">
        <v>5.55</v>
      </c>
      <c r="BA247">
        <v>1.23E-2</v>
      </c>
      <c r="BB247">
        <f>BA247*SQRT(BC247)</f>
        <v>2.7503636123247414E-2</v>
      </c>
      <c r="BC247">
        <v>5</v>
      </c>
      <c r="BD247">
        <v>5.0250000000000004</v>
      </c>
      <c r="BE247">
        <v>5.0250000000000004</v>
      </c>
      <c r="BF247">
        <v>1.18E-2</v>
      </c>
      <c r="BG247">
        <f>BF247*SQRT(BH247)</f>
        <v>3.731487638998688E-2</v>
      </c>
      <c r="BH247">
        <v>10</v>
      </c>
      <c r="BI247">
        <v>6</v>
      </c>
      <c r="BJ247">
        <v>5</v>
      </c>
      <c r="BK247">
        <v>-9.9400000000000002E-2</v>
      </c>
      <c r="BL247">
        <v>1E-4</v>
      </c>
    </row>
    <row r="248" spans="1:64" hidden="1" x14ac:dyDescent="0.2">
      <c r="A248">
        <v>141</v>
      </c>
      <c r="D248" t="s">
        <v>54</v>
      </c>
      <c r="E248">
        <v>2015</v>
      </c>
      <c r="F248" t="s">
        <v>91</v>
      </c>
      <c r="G248" t="s">
        <v>92</v>
      </c>
      <c r="H248" t="s">
        <v>78</v>
      </c>
      <c r="K248" t="s">
        <v>93</v>
      </c>
      <c r="L248" t="s">
        <v>94</v>
      </c>
      <c r="M248" t="s">
        <v>95</v>
      </c>
      <c r="N248" t="s">
        <v>61</v>
      </c>
      <c r="O248" t="s">
        <v>62</v>
      </c>
      <c r="P248" t="s">
        <v>196</v>
      </c>
      <c r="Q248" t="s">
        <v>64</v>
      </c>
      <c r="R248" t="s">
        <v>83</v>
      </c>
      <c r="S248" t="s">
        <v>64</v>
      </c>
      <c r="T248" t="s">
        <v>74</v>
      </c>
      <c r="U248" t="s">
        <v>84</v>
      </c>
      <c r="V248">
        <v>400</v>
      </c>
      <c r="W248">
        <v>6</v>
      </c>
      <c r="X248" t="s">
        <v>67</v>
      </c>
      <c r="Y248" t="s">
        <v>96</v>
      </c>
      <c r="Z248">
        <v>8.15</v>
      </c>
      <c r="AA248">
        <v>0.01</v>
      </c>
      <c r="AB248" t="s">
        <v>67</v>
      </c>
      <c r="AC248">
        <v>634</v>
      </c>
      <c r="AD248">
        <v>13</v>
      </c>
      <c r="AE248" t="s">
        <v>67</v>
      </c>
      <c r="AF248">
        <v>8</v>
      </c>
      <c r="AG248">
        <v>0.01</v>
      </c>
      <c r="AH248" t="s">
        <v>67</v>
      </c>
      <c r="AI248">
        <v>28.4</v>
      </c>
      <c r="AJ248">
        <v>0.01</v>
      </c>
      <c r="AK248" t="s">
        <v>67</v>
      </c>
      <c r="AL248">
        <v>28.5</v>
      </c>
      <c r="AM248">
        <v>0.01</v>
      </c>
      <c r="AN248" t="s">
        <v>67</v>
      </c>
      <c r="AO248">
        <v>234</v>
      </c>
      <c r="AP248">
        <v>0.1</v>
      </c>
      <c r="AQ248" t="s">
        <v>67</v>
      </c>
      <c r="AR248" t="s">
        <v>300</v>
      </c>
      <c r="AS248" t="s">
        <v>301</v>
      </c>
      <c r="AT248" t="s">
        <v>70</v>
      </c>
      <c r="AU248" t="s">
        <v>99</v>
      </c>
      <c r="AV248" t="s">
        <v>151</v>
      </c>
      <c r="AX248" t="s">
        <v>90</v>
      </c>
      <c r="AY248">
        <v>2454.5455000000002</v>
      </c>
      <c r="AZ248">
        <v>2454.5454500000001</v>
      </c>
      <c r="BA248">
        <v>71.77</v>
      </c>
      <c r="BC248">
        <v>4</v>
      </c>
      <c r="BD248">
        <v>2224.8804</v>
      </c>
      <c r="BE248">
        <v>2224.8803830000002</v>
      </c>
      <c r="BF248">
        <v>86.124399999999994</v>
      </c>
      <c r="BH248">
        <v>5</v>
      </c>
      <c r="BI248" t="s">
        <v>67</v>
      </c>
      <c r="BJ248">
        <v>7</v>
      </c>
      <c r="BK248">
        <v>-9.8199999999999996E-2</v>
      </c>
      <c r="BL248">
        <v>2.3999999999999998E-3</v>
      </c>
    </row>
    <row r="249" spans="1:64" x14ac:dyDescent="0.2">
      <c r="A249">
        <v>174</v>
      </c>
      <c r="B249" t="str">
        <f>ROW()-1&amp;"_AltersFish"</f>
        <v>248_AltersFish</v>
      </c>
      <c r="C249" t="str">
        <f>A249 &amp; "_" &amp; P249 &amp; "_" &amp;
SUBSTITUTE(TRIM(L249)," ","_") &amp;
"_pH" &amp; TEXT(Z249,"0.00") &amp;
"_T" &amp; TEXT(AI249,"0.00") &amp;
"_CO2" &amp; TEXT(V249,"0") &amp;
"_LANG"</f>
        <v>174_EMBRYO_Menidia_menidia_pH8.20_T19.70_CO2345_LANG</v>
      </c>
      <c r="D249" t="s">
        <v>54</v>
      </c>
      <c r="E249">
        <v>2018</v>
      </c>
      <c r="F249" t="s">
        <v>76</v>
      </c>
      <c r="G249" t="s">
        <v>77</v>
      </c>
      <c r="H249" t="s">
        <v>78</v>
      </c>
      <c r="I249" t="s">
        <v>540</v>
      </c>
      <c r="J249" t="s">
        <v>543</v>
      </c>
      <c r="K249" t="s">
        <v>79</v>
      </c>
      <c r="L249" t="s">
        <v>80</v>
      </c>
      <c r="M249" t="s">
        <v>81</v>
      </c>
      <c r="N249" t="s">
        <v>81</v>
      </c>
      <c r="O249" t="s">
        <v>62</v>
      </c>
      <c r="P249" t="s">
        <v>82</v>
      </c>
      <c r="Q249" t="s">
        <v>64</v>
      </c>
      <c r="R249" t="s">
        <v>83</v>
      </c>
      <c r="S249" t="s">
        <v>74</v>
      </c>
      <c r="T249" t="s">
        <v>64</v>
      </c>
      <c r="U249" t="s">
        <v>75</v>
      </c>
      <c r="V249">
        <v>345</v>
      </c>
      <c r="W249" t="s">
        <v>67</v>
      </c>
      <c r="X249" t="s">
        <v>67</v>
      </c>
      <c r="Y249" t="s">
        <v>85</v>
      </c>
      <c r="Z249">
        <v>8.1999999999999993</v>
      </c>
      <c r="AA249" t="s">
        <v>67</v>
      </c>
      <c r="AB249" t="s">
        <v>67</v>
      </c>
      <c r="AC249">
        <v>353</v>
      </c>
      <c r="AD249" t="s">
        <v>67</v>
      </c>
      <c r="AE249" t="s">
        <v>67</v>
      </c>
      <c r="AF249">
        <v>8.23</v>
      </c>
      <c r="AG249" t="s">
        <v>67</v>
      </c>
      <c r="AH249" t="s">
        <v>67</v>
      </c>
      <c r="AI249">
        <v>19.7</v>
      </c>
      <c r="AJ249" t="s">
        <v>67</v>
      </c>
      <c r="AK249" t="s">
        <v>67</v>
      </c>
      <c r="AL249">
        <v>28.2</v>
      </c>
      <c r="AM249" t="s">
        <v>67</v>
      </c>
      <c r="AN249" t="s">
        <v>67</v>
      </c>
      <c r="AO249">
        <v>8</v>
      </c>
      <c r="AP249">
        <v>8.5</v>
      </c>
      <c r="AQ249" t="s">
        <v>111</v>
      </c>
      <c r="AR249" t="s">
        <v>146</v>
      </c>
      <c r="AS249" t="s">
        <v>98</v>
      </c>
      <c r="AT249" t="s">
        <v>70</v>
      </c>
      <c r="AU249" t="s">
        <v>109</v>
      </c>
      <c r="AV249" t="s">
        <v>115</v>
      </c>
      <c r="AW249" t="s">
        <v>11</v>
      </c>
      <c r="AX249" t="s">
        <v>73</v>
      </c>
      <c r="AY249">
        <v>5.55</v>
      </c>
      <c r="AZ249">
        <v>5.55</v>
      </c>
      <c r="BA249">
        <v>1.23E-2</v>
      </c>
      <c r="BB249">
        <f>BA249*SQRT(BC249)</f>
        <v>2.7503636123247414E-2</v>
      </c>
      <c r="BC249">
        <v>5</v>
      </c>
      <c r="BD249">
        <v>4.6500000000000004</v>
      </c>
      <c r="BE249">
        <v>4.6500000000000004</v>
      </c>
      <c r="BF249">
        <v>8.5000000000000006E-3</v>
      </c>
      <c r="BG249">
        <f>BF249*SQRT(BH249)</f>
        <v>2.6879360111431227E-2</v>
      </c>
      <c r="BH249">
        <v>10</v>
      </c>
      <c r="BI249">
        <v>5</v>
      </c>
      <c r="BJ249">
        <v>5</v>
      </c>
      <c r="BK249">
        <v>-0.1769</v>
      </c>
      <c r="BL249">
        <v>1E-4</v>
      </c>
    </row>
    <row r="250" spans="1:64" x14ac:dyDescent="0.2">
      <c r="A250">
        <v>174</v>
      </c>
      <c r="B250" t="str">
        <f>ROW()-1&amp;"_AltersFish"</f>
        <v>249_AltersFish</v>
      </c>
      <c r="C250" t="str">
        <f>A250 &amp; "_" &amp; P250 &amp; "_" &amp;
SUBSTITUTE(TRIM(L250)," ","_") &amp;
"_pH" &amp; TEXT(Z250,"0.00") &amp;
"_T" &amp; TEXT(AI250,"0.00") &amp;
"_CO2" &amp; TEXT(V250,"0") &amp;
"_LANG"</f>
        <v>174_EMBRYO_Menidia_menidia_pH8.20_T19.70_CO2345_LANG</v>
      </c>
      <c r="D250" t="s">
        <v>54</v>
      </c>
      <c r="E250">
        <v>2018</v>
      </c>
      <c r="F250" t="s">
        <v>76</v>
      </c>
      <c r="G250" t="s">
        <v>77</v>
      </c>
      <c r="H250" t="s">
        <v>78</v>
      </c>
      <c r="I250" t="s">
        <v>540</v>
      </c>
      <c r="J250" t="s">
        <v>543</v>
      </c>
      <c r="K250" t="s">
        <v>79</v>
      </c>
      <c r="L250" t="s">
        <v>80</v>
      </c>
      <c r="M250" t="s">
        <v>81</v>
      </c>
      <c r="N250" t="s">
        <v>81</v>
      </c>
      <c r="O250" t="s">
        <v>62</v>
      </c>
      <c r="P250" t="s">
        <v>82</v>
      </c>
      <c r="Q250" t="s">
        <v>64</v>
      </c>
      <c r="R250" t="s">
        <v>83</v>
      </c>
      <c r="S250" t="s">
        <v>64</v>
      </c>
      <c r="T250" t="s">
        <v>64</v>
      </c>
      <c r="U250" t="s">
        <v>66</v>
      </c>
      <c r="V250">
        <v>345</v>
      </c>
      <c r="W250" t="s">
        <v>67</v>
      </c>
      <c r="X250" t="s">
        <v>67</v>
      </c>
      <c r="Y250" t="s">
        <v>85</v>
      </c>
      <c r="Z250">
        <v>8.1999999999999993</v>
      </c>
      <c r="AA250" t="s">
        <v>67</v>
      </c>
      <c r="AB250" t="s">
        <v>67</v>
      </c>
      <c r="AC250">
        <v>2328</v>
      </c>
      <c r="AD250" t="s">
        <v>67</v>
      </c>
      <c r="AE250" t="s">
        <v>67</v>
      </c>
      <c r="AF250">
        <v>7.5</v>
      </c>
      <c r="AG250" t="s">
        <v>67</v>
      </c>
      <c r="AH250" t="s">
        <v>67</v>
      </c>
      <c r="AI250">
        <v>19.7</v>
      </c>
      <c r="AJ250" t="s">
        <v>67</v>
      </c>
      <c r="AK250" t="s">
        <v>67</v>
      </c>
      <c r="AL250">
        <v>28</v>
      </c>
      <c r="AM250" t="s">
        <v>67</v>
      </c>
      <c r="AN250" t="s">
        <v>67</v>
      </c>
      <c r="AO250">
        <v>1983</v>
      </c>
      <c r="AP250">
        <v>8.3000000000000007</v>
      </c>
      <c r="AQ250" t="s">
        <v>111</v>
      </c>
      <c r="AR250" t="s">
        <v>146</v>
      </c>
      <c r="AS250" t="s">
        <v>98</v>
      </c>
      <c r="AT250" t="s">
        <v>70</v>
      </c>
      <c r="AU250" t="s">
        <v>109</v>
      </c>
      <c r="AV250" t="s">
        <v>115</v>
      </c>
      <c r="AW250" t="s">
        <v>11</v>
      </c>
      <c r="AX250" t="s">
        <v>73</v>
      </c>
      <c r="AY250">
        <v>5.55</v>
      </c>
      <c r="AZ250">
        <v>5.55</v>
      </c>
      <c r="BA250">
        <v>1.23E-2</v>
      </c>
      <c r="BB250">
        <f>BA250*SQRT(BC250)</f>
        <v>2.7503636123247414E-2</v>
      </c>
      <c r="BC250">
        <v>5</v>
      </c>
      <c r="BD250">
        <v>4.6550000000000002</v>
      </c>
      <c r="BE250">
        <v>4.6550000000000002</v>
      </c>
      <c r="BF250">
        <v>1.06E-2</v>
      </c>
      <c r="BG250">
        <f>BF250*SQRT(BH250)</f>
        <v>3.3520143197784825E-2</v>
      </c>
      <c r="BH250">
        <v>10</v>
      </c>
      <c r="BI250">
        <v>5</v>
      </c>
      <c r="BJ250">
        <v>5</v>
      </c>
      <c r="BK250">
        <v>-0.1759</v>
      </c>
      <c r="BL250">
        <v>1E-4</v>
      </c>
    </row>
    <row r="251" spans="1:64" x14ac:dyDescent="0.2">
      <c r="A251">
        <v>174</v>
      </c>
      <c r="B251" t="str">
        <f>ROW()-1&amp;"_AltersFish"</f>
        <v>250_AltersFish</v>
      </c>
      <c r="C251" t="str">
        <f>A251 &amp; "_" &amp; P251 &amp; "_" &amp;
SUBSTITUTE(TRIM(L251)," ","_") &amp;
"_pH" &amp; TEXT(Z251,"0.00") &amp;
"_T" &amp; TEXT(AI251,"0.00") &amp;
"_CO2" &amp; TEXT(V251,"0") &amp;
"_LANG"</f>
        <v>174_EMBRYO_Menidia_menidia_pH8.20_T19.70_CO2345_LANG</v>
      </c>
      <c r="D251" t="s">
        <v>54</v>
      </c>
      <c r="E251">
        <v>2018</v>
      </c>
      <c r="F251" t="s">
        <v>76</v>
      </c>
      <c r="G251" t="s">
        <v>77</v>
      </c>
      <c r="H251" t="s">
        <v>78</v>
      </c>
      <c r="I251" t="s">
        <v>540</v>
      </c>
      <c r="J251" t="s">
        <v>543</v>
      </c>
      <c r="K251" t="s">
        <v>79</v>
      </c>
      <c r="L251" t="s">
        <v>80</v>
      </c>
      <c r="M251" t="s">
        <v>81</v>
      </c>
      <c r="N251" t="s">
        <v>81</v>
      </c>
      <c r="O251" t="s">
        <v>62</v>
      </c>
      <c r="P251" t="s">
        <v>82</v>
      </c>
      <c r="Q251" t="s">
        <v>64</v>
      </c>
      <c r="R251" t="s">
        <v>83</v>
      </c>
      <c r="S251" t="s">
        <v>64</v>
      </c>
      <c r="T251" t="s">
        <v>64</v>
      </c>
      <c r="U251" t="s">
        <v>66</v>
      </c>
      <c r="V251">
        <v>345</v>
      </c>
      <c r="W251" t="s">
        <v>67</v>
      </c>
      <c r="X251" t="s">
        <v>67</v>
      </c>
      <c r="Y251" t="s">
        <v>85</v>
      </c>
      <c r="Z251">
        <v>8.1999999999999993</v>
      </c>
      <c r="AA251" t="s">
        <v>67</v>
      </c>
      <c r="AB251" t="s">
        <v>67</v>
      </c>
      <c r="AC251">
        <v>4720</v>
      </c>
      <c r="AD251" t="s">
        <v>67</v>
      </c>
      <c r="AE251" t="s">
        <v>67</v>
      </c>
      <c r="AF251">
        <v>7.2</v>
      </c>
      <c r="AG251" t="s">
        <v>67</v>
      </c>
      <c r="AH251" t="s">
        <v>67</v>
      </c>
      <c r="AI251">
        <v>19.7</v>
      </c>
      <c r="AJ251" t="s">
        <v>67</v>
      </c>
      <c r="AK251" t="s">
        <v>67</v>
      </c>
      <c r="AL251">
        <v>28.2</v>
      </c>
      <c r="AM251" t="s">
        <v>67</v>
      </c>
      <c r="AN251" t="s">
        <v>67</v>
      </c>
      <c r="AO251">
        <v>4375</v>
      </c>
      <c r="AP251">
        <v>8.5</v>
      </c>
      <c r="AQ251" t="s">
        <v>111</v>
      </c>
      <c r="AR251" t="s">
        <v>146</v>
      </c>
      <c r="AS251" t="s">
        <v>98</v>
      </c>
      <c r="AT251" t="s">
        <v>70</v>
      </c>
      <c r="AU251" t="s">
        <v>109</v>
      </c>
      <c r="AV251" t="s">
        <v>115</v>
      </c>
      <c r="AW251" t="s">
        <v>11</v>
      </c>
      <c r="AX251" t="s">
        <v>73</v>
      </c>
      <c r="AY251">
        <v>5.55</v>
      </c>
      <c r="AZ251">
        <v>5.55</v>
      </c>
      <c r="BA251">
        <v>1.23E-2</v>
      </c>
      <c r="BB251">
        <f>BA251*SQRT(BC251)</f>
        <v>2.7503636123247414E-2</v>
      </c>
      <c r="BC251">
        <v>5</v>
      </c>
      <c r="BD251">
        <v>4.7</v>
      </c>
      <c r="BE251">
        <v>4.7</v>
      </c>
      <c r="BF251">
        <v>5.5999999999999999E-3</v>
      </c>
      <c r="BG251">
        <f>BF251*SQRT(BH251)</f>
        <v>1.2521980673998822E-2</v>
      </c>
      <c r="BH251">
        <v>5</v>
      </c>
      <c r="BI251">
        <v>5</v>
      </c>
      <c r="BJ251">
        <v>5</v>
      </c>
      <c r="BK251">
        <v>-0.16619999999999999</v>
      </c>
      <c r="BL251">
        <v>1E-4</v>
      </c>
    </row>
    <row r="252" spans="1:64" x14ac:dyDescent="0.2">
      <c r="A252">
        <v>174</v>
      </c>
      <c r="B252" t="str">
        <f>ROW()-1&amp;"_AltersFish"</f>
        <v>251_AltersFish</v>
      </c>
      <c r="C252" t="str">
        <f>A252 &amp; "_" &amp; P252 &amp; "_" &amp;
SUBSTITUTE(TRIM(L252)," ","_") &amp;
"_pH" &amp; TEXT(Z252,"0.00") &amp;
"_T" &amp; TEXT(AI252,"0.00") &amp;
"_CO2" &amp; TEXT(V252,"0") &amp;
"_LANG"</f>
        <v>174_LARVA_Menidia_menidia_pH8.20_T19.70_CO2345_LANG</v>
      </c>
      <c r="D252" t="s">
        <v>54</v>
      </c>
      <c r="E252">
        <v>2018</v>
      </c>
      <c r="F252" t="s">
        <v>76</v>
      </c>
      <c r="G252" t="s">
        <v>77</v>
      </c>
      <c r="H252" t="s">
        <v>78</v>
      </c>
      <c r="I252" t="s">
        <v>540</v>
      </c>
      <c r="J252" t="s">
        <v>543</v>
      </c>
      <c r="K252" t="s">
        <v>79</v>
      </c>
      <c r="L252" t="s">
        <v>80</v>
      </c>
      <c r="M252" t="s">
        <v>81</v>
      </c>
      <c r="N252" t="s">
        <v>81</v>
      </c>
      <c r="O252" t="s">
        <v>110</v>
      </c>
      <c r="P252" t="s">
        <v>107</v>
      </c>
      <c r="Q252" t="s">
        <v>64</v>
      </c>
      <c r="R252" t="s">
        <v>83</v>
      </c>
      <c r="S252" t="s">
        <v>64</v>
      </c>
      <c r="T252" t="s">
        <v>74</v>
      </c>
      <c r="U252" t="s">
        <v>84</v>
      </c>
      <c r="V252">
        <v>345</v>
      </c>
      <c r="W252" t="s">
        <v>67</v>
      </c>
      <c r="X252" t="s">
        <v>67</v>
      </c>
      <c r="Y252" t="s">
        <v>85</v>
      </c>
      <c r="Z252">
        <v>8.1999999999999993</v>
      </c>
      <c r="AA252" t="s">
        <v>67</v>
      </c>
      <c r="AB252" t="s">
        <v>67</v>
      </c>
      <c r="AC252">
        <v>1964</v>
      </c>
      <c r="AD252" t="s">
        <v>67</v>
      </c>
      <c r="AE252" t="s">
        <v>67</v>
      </c>
      <c r="AF252">
        <v>7.51</v>
      </c>
      <c r="AG252" t="s">
        <v>67</v>
      </c>
      <c r="AH252" t="s">
        <v>67</v>
      </c>
      <c r="AI252">
        <v>19.7</v>
      </c>
      <c r="AJ252" t="s">
        <v>67</v>
      </c>
      <c r="AK252" t="s">
        <v>67</v>
      </c>
      <c r="AL252">
        <v>19.600000000000001</v>
      </c>
      <c r="AM252" t="s">
        <v>67</v>
      </c>
      <c r="AN252" t="s">
        <v>67</v>
      </c>
      <c r="AO252">
        <v>1619</v>
      </c>
      <c r="AP252">
        <v>-0.1</v>
      </c>
      <c r="AQ252" t="s">
        <v>86</v>
      </c>
      <c r="AR252" t="s">
        <v>87</v>
      </c>
      <c r="AS252" t="s">
        <v>88</v>
      </c>
      <c r="AT252" t="s">
        <v>70</v>
      </c>
      <c r="AU252" t="s">
        <v>89</v>
      </c>
      <c r="AV252" t="s">
        <v>87</v>
      </c>
      <c r="AW252" t="s">
        <v>88</v>
      </c>
      <c r="AX252" t="s">
        <v>90</v>
      </c>
      <c r="AY252">
        <v>82</v>
      </c>
      <c r="AZ252">
        <v>82</v>
      </c>
      <c r="BA252">
        <v>0.89439999999999997</v>
      </c>
      <c r="BB252">
        <f>BA252*SQRT(BC252)</f>
        <v>1.999939199075812</v>
      </c>
      <c r="BC252">
        <v>5</v>
      </c>
      <c r="BD252">
        <v>77</v>
      </c>
      <c r="BE252">
        <v>77</v>
      </c>
      <c r="BF252">
        <v>1.2522</v>
      </c>
      <c r="BG252">
        <f>BF252*SQRT(BH252)</f>
        <v>2.8000043214252366</v>
      </c>
      <c r="BH252">
        <v>5</v>
      </c>
      <c r="BI252">
        <v>25</v>
      </c>
      <c r="BJ252">
        <v>5</v>
      </c>
      <c r="BK252">
        <v>-6.2899999999999998E-2</v>
      </c>
      <c r="BL252">
        <v>4.0000000000000002E-4</v>
      </c>
    </row>
    <row r="253" spans="1:64" hidden="1" x14ac:dyDescent="0.2">
      <c r="A253">
        <v>145</v>
      </c>
      <c r="D253" t="s">
        <v>54</v>
      </c>
      <c r="E253">
        <v>2016</v>
      </c>
      <c r="F253" t="s">
        <v>198</v>
      </c>
      <c r="G253" t="s">
        <v>124</v>
      </c>
      <c r="H253" t="s">
        <v>57</v>
      </c>
      <c r="K253" t="s">
        <v>234</v>
      </c>
      <c r="L253" t="s">
        <v>200</v>
      </c>
      <c r="M253" t="s">
        <v>81</v>
      </c>
      <c r="N253" t="s">
        <v>81</v>
      </c>
      <c r="O253" t="s">
        <v>62</v>
      </c>
      <c r="P253" t="s">
        <v>63</v>
      </c>
      <c r="Q253" t="s">
        <v>64</v>
      </c>
      <c r="R253" t="s">
        <v>65</v>
      </c>
      <c r="S253" t="s">
        <v>64</v>
      </c>
      <c r="T253" t="s">
        <v>74</v>
      </c>
      <c r="U253" t="s">
        <v>84</v>
      </c>
      <c r="V253">
        <v>410</v>
      </c>
      <c r="W253">
        <v>19.16</v>
      </c>
      <c r="X253" t="s">
        <v>67</v>
      </c>
      <c r="Y253" t="s">
        <v>96</v>
      </c>
      <c r="Z253">
        <v>8.08</v>
      </c>
      <c r="AA253">
        <v>0.05</v>
      </c>
      <c r="AB253" t="s">
        <v>67</v>
      </c>
      <c r="AC253">
        <v>1122</v>
      </c>
      <c r="AD253">
        <v>69.81</v>
      </c>
      <c r="AE253" t="s">
        <v>67</v>
      </c>
      <c r="AF253">
        <v>7.73</v>
      </c>
      <c r="AG253">
        <v>0.06</v>
      </c>
      <c r="AH253" t="s">
        <v>67</v>
      </c>
      <c r="AI253">
        <v>15.2</v>
      </c>
      <c r="AJ253">
        <v>0.7</v>
      </c>
      <c r="AK253" t="s">
        <v>67</v>
      </c>
      <c r="AL253">
        <v>15</v>
      </c>
      <c r="AM253">
        <v>0.6</v>
      </c>
      <c r="AN253" t="s">
        <v>67</v>
      </c>
      <c r="AO253">
        <v>712</v>
      </c>
      <c r="AP253">
        <v>-0.2</v>
      </c>
      <c r="AQ253" t="s">
        <v>218</v>
      </c>
      <c r="AR253" t="s">
        <v>248</v>
      </c>
      <c r="AS253" t="s">
        <v>249</v>
      </c>
      <c r="AT253" t="s">
        <v>135</v>
      </c>
      <c r="AU253" t="s">
        <v>250</v>
      </c>
      <c r="AV253" t="s">
        <v>251</v>
      </c>
      <c r="AX253" t="s">
        <v>73</v>
      </c>
      <c r="AY253">
        <v>11.4848</v>
      </c>
      <c r="AZ253">
        <v>11.484819999999999</v>
      </c>
      <c r="BA253">
        <v>0.33</v>
      </c>
      <c r="BC253">
        <v>7</v>
      </c>
      <c r="BD253">
        <v>9.3359000000000005</v>
      </c>
      <c r="BE253">
        <v>9.3358633780000009</v>
      </c>
      <c r="BF253">
        <v>0.37</v>
      </c>
      <c r="BH253">
        <v>7</v>
      </c>
      <c r="BI253">
        <v>240</v>
      </c>
      <c r="BJ253">
        <v>7</v>
      </c>
      <c r="BK253">
        <v>-0.2072</v>
      </c>
      <c r="BL253">
        <v>2.3999999999999998E-3</v>
      </c>
    </row>
    <row r="254" spans="1:64" hidden="1" x14ac:dyDescent="0.2">
      <c r="A254">
        <v>145</v>
      </c>
      <c r="D254" t="s">
        <v>54</v>
      </c>
      <c r="E254">
        <v>2016</v>
      </c>
      <c r="F254" t="s">
        <v>198</v>
      </c>
      <c r="G254" t="s">
        <v>124</v>
      </c>
      <c r="H254" t="s">
        <v>57</v>
      </c>
      <c r="K254" t="s">
        <v>234</v>
      </c>
      <c r="L254" t="s">
        <v>200</v>
      </c>
      <c r="M254" t="s">
        <v>81</v>
      </c>
      <c r="N254" t="s">
        <v>81</v>
      </c>
      <c r="O254" t="s">
        <v>62</v>
      </c>
      <c r="P254" t="s">
        <v>63</v>
      </c>
      <c r="Q254" t="s">
        <v>64</v>
      </c>
      <c r="R254" t="s">
        <v>65</v>
      </c>
      <c r="S254" t="s">
        <v>74</v>
      </c>
      <c r="T254" t="s">
        <v>64</v>
      </c>
      <c r="U254" t="s">
        <v>75</v>
      </c>
      <c r="V254">
        <v>410</v>
      </c>
      <c r="W254">
        <v>19.16</v>
      </c>
      <c r="X254" t="s">
        <v>67</v>
      </c>
      <c r="Y254" t="s">
        <v>96</v>
      </c>
      <c r="Z254">
        <v>8.08</v>
      </c>
      <c r="AA254">
        <v>0.05</v>
      </c>
      <c r="AB254" t="s">
        <v>67</v>
      </c>
      <c r="AC254">
        <v>413</v>
      </c>
      <c r="AD254">
        <v>19.420000000000002</v>
      </c>
      <c r="AE254" t="s">
        <v>67</v>
      </c>
      <c r="AF254">
        <v>8.08</v>
      </c>
      <c r="AG254">
        <v>0.12</v>
      </c>
      <c r="AH254" t="s">
        <v>67</v>
      </c>
      <c r="AI254">
        <v>15.2</v>
      </c>
      <c r="AJ254">
        <v>0.7</v>
      </c>
      <c r="AK254" t="s">
        <v>67</v>
      </c>
      <c r="AL254">
        <v>18.100000000000001</v>
      </c>
      <c r="AM254">
        <v>0.6</v>
      </c>
      <c r="AN254" t="s">
        <v>67</v>
      </c>
      <c r="AO254">
        <v>3</v>
      </c>
      <c r="AP254">
        <v>2.9</v>
      </c>
      <c r="AQ254" t="s">
        <v>218</v>
      </c>
      <c r="AR254" t="s">
        <v>248</v>
      </c>
      <c r="AS254" t="s">
        <v>249</v>
      </c>
      <c r="AT254" t="s">
        <v>135</v>
      </c>
      <c r="AU254" t="s">
        <v>250</v>
      </c>
      <c r="AV254" t="s">
        <v>251</v>
      </c>
      <c r="AX254" t="s">
        <v>73</v>
      </c>
      <c r="AY254">
        <v>11.4848</v>
      </c>
      <c r="AZ254">
        <v>11.484819999999999</v>
      </c>
      <c r="BA254">
        <v>0.33</v>
      </c>
      <c r="BC254">
        <v>7</v>
      </c>
      <c r="BD254">
        <v>9.2505000000000006</v>
      </c>
      <c r="BE254">
        <v>9.2504743830000002</v>
      </c>
      <c r="BF254">
        <v>0.37</v>
      </c>
      <c r="BH254">
        <v>7</v>
      </c>
      <c r="BI254">
        <v>240</v>
      </c>
      <c r="BJ254">
        <v>7</v>
      </c>
      <c r="BK254">
        <v>-0.21640000000000001</v>
      </c>
      <c r="BL254">
        <v>2.3999999999999998E-3</v>
      </c>
    </row>
    <row r="255" spans="1:64" x14ac:dyDescent="0.2">
      <c r="A255">
        <v>174</v>
      </c>
      <c r="B255" t="str">
        <f>ROW()-1&amp;"_AltersFish"</f>
        <v>254_AltersFish</v>
      </c>
      <c r="C255" t="str">
        <f>A255 &amp; "_" &amp; P255 &amp; "_" &amp;
SUBSTITUTE(TRIM(L255)," ","_") &amp;
"_pH" &amp; TEXT(Z255,"0.00") &amp;
"_T" &amp; TEXT(AI255,"0.00") &amp;
"_CO2" &amp; TEXT(V255,"0") &amp;
"_LANG"</f>
        <v>174_LARVA_Menidia_menidia_pH8.20_T19.70_CO2345_LANG</v>
      </c>
      <c r="D255" t="s">
        <v>54</v>
      </c>
      <c r="E255">
        <v>2018</v>
      </c>
      <c r="F255" t="s">
        <v>76</v>
      </c>
      <c r="G255" t="s">
        <v>77</v>
      </c>
      <c r="H255" t="s">
        <v>78</v>
      </c>
      <c r="I255" t="s">
        <v>540</v>
      </c>
      <c r="J255" t="s">
        <v>543</v>
      </c>
      <c r="K255" t="s">
        <v>79</v>
      </c>
      <c r="L255" t="s">
        <v>80</v>
      </c>
      <c r="M255" t="s">
        <v>81</v>
      </c>
      <c r="N255" t="s">
        <v>81</v>
      </c>
      <c r="O255" t="s">
        <v>110</v>
      </c>
      <c r="P255" t="s">
        <v>107</v>
      </c>
      <c r="Q255" t="s">
        <v>64</v>
      </c>
      <c r="R255" t="s">
        <v>83</v>
      </c>
      <c r="S255" t="s">
        <v>64</v>
      </c>
      <c r="T255" t="s">
        <v>74</v>
      </c>
      <c r="U255" t="s">
        <v>84</v>
      </c>
      <c r="V255">
        <v>345</v>
      </c>
      <c r="W255" t="s">
        <v>67</v>
      </c>
      <c r="X255" t="s">
        <v>67</v>
      </c>
      <c r="Y255" t="s">
        <v>85</v>
      </c>
      <c r="Z255">
        <v>8.1999999999999993</v>
      </c>
      <c r="AA255" t="s">
        <v>67</v>
      </c>
      <c r="AB255" t="s">
        <v>67</v>
      </c>
      <c r="AC255">
        <v>4066</v>
      </c>
      <c r="AD255" t="s">
        <v>67</v>
      </c>
      <c r="AE255" t="s">
        <v>67</v>
      </c>
      <c r="AF255">
        <v>7.21</v>
      </c>
      <c r="AG255" t="s">
        <v>67</v>
      </c>
      <c r="AH255" t="s">
        <v>67</v>
      </c>
      <c r="AI255">
        <v>19.7</v>
      </c>
      <c r="AJ255" t="s">
        <v>67</v>
      </c>
      <c r="AK255" t="s">
        <v>67</v>
      </c>
      <c r="AL255">
        <v>19.7</v>
      </c>
      <c r="AM255" t="s">
        <v>67</v>
      </c>
      <c r="AN255" t="s">
        <v>67</v>
      </c>
      <c r="AO255">
        <v>3721</v>
      </c>
      <c r="AP255">
        <v>0</v>
      </c>
      <c r="AQ255" t="s">
        <v>86</v>
      </c>
      <c r="AR255" t="s">
        <v>87</v>
      </c>
      <c r="AS255" t="s">
        <v>88</v>
      </c>
      <c r="AT255" t="s">
        <v>70</v>
      </c>
      <c r="AU255" t="s">
        <v>89</v>
      </c>
      <c r="AV255" t="s">
        <v>87</v>
      </c>
      <c r="AW255" t="s">
        <v>88</v>
      </c>
      <c r="AX255" t="s">
        <v>90</v>
      </c>
      <c r="AY255">
        <v>82</v>
      </c>
      <c r="AZ255">
        <v>82</v>
      </c>
      <c r="BA255">
        <v>0.89439999999999997</v>
      </c>
      <c r="BB255">
        <f>BA255*SQRT(BC255)</f>
        <v>1.999939199075812</v>
      </c>
      <c r="BC255">
        <v>5</v>
      </c>
      <c r="BD255">
        <v>75</v>
      </c>
      <c r="BE255">
        <v>75</v>
      </c>
      <c r="BF255">
        <v>1.9677</v>
      </c>
      <c r="BG255">
        <f>BF255*SQRT(BH255)</f>
        <v>4.3999109593263368</v>
      </c>
      <c r="BH255">
        <v>5</v>
      </c>
      <c r="BI255">
        <v>25</v>
      </c>
      <c r="BJ255">
        <v>5</v>
      </c>
      <c r="BK255">
        <v>-8.9200000000000002E-2</v>
      </c>
      <c r="BL255">
        <v>8.0000000000000004E-4</v>
      </c>
    </row>
    <row r="256" spans="1:64" x14ac:dyDescent="0.2">
      <c r="A256">
        <v>174</v>
      </c>
      <c r="B256" t="str">
        <f>ROW()-1&amp;"_AltersFish"</f>
        <v>255_AltersFish</v>
      </c>
      <c r="C256" t="str">
        <f>A256 &amp; "_" &amp; P256 &amp; "_" &amp;
SUBSTITUTE(TRIM(L256)," ","_") &amp;
"_pH" &amp; TEXT(Z256,"0.00") &amp;
"_T" &amp; TEXT(AI256,"0.00") &amp;
"_CO2" &amp; TEXT(V256,"0") &amp;
"_LANG"</f>
        <v>174_LARVA_Menidia_menidia_pH8.20_T19.70_CO2345_LANG</v>
      </c>
      <c r="D256" t="s">
        <v>54</v>
      </c>
      <c r="E256">
        <v>2018</v>
      </c>
      <c r="F256" t="s">
        <v>76</v>
      </c>
      <c r="G256" t="s">
        <v>77</v>
      </c>
      <c r="H256" t="s">
        <v>78</v>
      </c>
      <c r="I256" t="s">
        <v>540</v>
      </c>
      <c r="J256" t="s">
        <v>543</v>
      </c>
      <c r="K256" t="s">
        <v>79</v>
      </c>
      <c r="L256" t="s">
        <v>80</v>
      </c>
      <c r="M256" t="s">
        <v>81</v>
      </c>
      <c r="N256" t="s">
        <v>81</v>
      </c>
      <c r="O256" t="s">
        <v>110</v>
      </c>
      <c r="P256" t="s">
        <v>107</v>
      </c>
      <c r="Q256" t="s">
        <v>64</v>
      </c>
      <c r="R256" t="s">
        <v>83</v>
      </c>
      <c r="S256" t="s">
        <v>74</v>
      </c>
      <c r="T256" t="s">
        <v>64</v>
      </c>
      <c r="U256" t="s">
        <v>75</v>
      </c>
      <c r="V256">
        <v>345</v>
      </c>
      <c r="W256" t="s">
        <v>67</v>
      </c>
      <c r="X256" t="s">
        <v>67</v>
      </c>
      <c r="Y256" t="s">
        <v>85</v>
      </c>
      <c r="Z256">
        <v>8.1999999999999993</v>
      </c>
      <c r="AA256" t="s">
        <v>67</v>
      </c>
      <c r="AB256" t="s">
        <v>67</v>
      </c>
      <c r="AC256">
        <v>403</v>
      </c>
      <c r="AD256" t="s">
        <v>67</v>
      </c>
      <c r="AE256" t="s">
        <v>67</v>
      </c>
      <c r="AF256">
        <v>8.2100000000000009</v>
      </c>
      <c r="AG256" t="s">
        <v>67</v>
      </c>
      <c r="AH256" t="s">
        <v>67</v>
      </c>
      <c r="AI256">
        <v>19.7</v>
      </c>
      <c r="AJ256" t="s">
        <v>67</v>
      </c>
      <c r="AK256" t="s">
        <v>67</v>
      </c>
      <c r="AL256">
        <v>23.9</v>
      </c>
      <c r="AM256" t="s">
        <v>67</v>
      </c>
      <c r="AN256" t="s">
        <v>67</v>
      </c>
      <c r="AO256">
        <v>58</v>
      </c>
      <c r="AP256">
        <v>4.2</v>
      </c>
      <c r="AQ256" t="s">
        <v>86</v>
      </c>
      <c r="AR256" t="s">
        <v>87</v>
      </c>
      <c r="AS256" t="s">
        <v>88</v>
      </c>
      <c r="AT256" t="s">
        <v>70</v>
      </c>
      <c r="AU256" t="s">
        <v>89</v>
      </c>
      <c r="AV256" t="s">
        <v>87</v>
      </c>
      <c r="AW256" t="s">
        <v>88</v>
      </c>
      <c r="AX256" t="s">
        <v>90</v>
      </c>
      <c r="AY256">
        <v>82</v>
      </c>
      <c r="AZ256">
        <v>82</v>
      </c>
      <c r="BA256">
        <v>0.89439999999999997</v>
      </c>
      <c r="BB256">
        <f>BA256*SQRT(BC256)</f>
        <v>1.999939199075812</v>
      </c>
      <c r="BC256">
        <v>5</v>
      </c>
      <c r="BD256">
        <v>58</v>
      </c>
      <c r="BE256">
        <v>58</v>
      </c>
      <c r="BF256">
        <v>0.80989999999999995</v>
      </c>
      <c r="BG256">
        <f>BF256*SQRT(BH256)</f>
        <v>2.5611286769703705</v>
      </c>
      <c r="BH256">
        <v>10</v>
      </c>
      <c r="BI256">
        <v>16</v>
      </c>
      <c r="BJ256">
        <v>5</v>
      </c>
      <c r="BK256">
        <v>-0.3463</v>
      </c>
      <c r="BL256">
        <v>2.9999999999999997E-4</v>
      </c>
    </row>
    <row r="257" spans="1:64" x14ac:dyDescent="0.2">
      <c r="A257">
        <v>174</v>
      </c>
      <c r="B257" t="str">
        <f>ROW()-1&amp;"_AltersFish"</f>
        <v>256_AltersFish</v>
      </c>
      <c r="C257" t="str">
        <f>A257 &amp; "_" &amp; P257 &amp; "_" &amp;
SUBSTITUTE(TRIM(L257)," ","_") &amp;
"_pH" &amp; TEXT(Z257,"0.00") &amp;
"_T" &amp; TEXT(AI257,"0.00") &amp;
"_CO2" &amp; TEXT(V257,"0") &amp;
"_LANG"</f>
        <v>174_LARVA_Menidia_menidia_pH8.20_T19.70_CO2345_LANG</v>
      </c>
      <c r="D257" t="s">
        <v>54</v>
      </c>
      <c r="E257">
        <v>2018</v>
      </c>
      <c r="F257" t="s">
        <v>76</v>
      </c>
      <c r="G257" t="s">
        <v>77</v>
      </c>
      <c r="H257" t="s">
        <v>78</v>
      </c>
      <c r="I257" t="s">
        <v>540</v>
      </c>
      <c r="J257" t="s">
        <v>543</v>
      </c>
      <c r="K257" t="s">
        <v>79</v>
      </c>
      <c r="L257" t="s">
        <v>80</v>
      </c>
      <c r="M257" t="s">
        <v>81</v>
      </c>
      <c r="N257" t="s">
        <v>81</v>
      </c>
      <c r="O257" t="s">
        <v>110</v>
      </c>
      <c r="P257" t="s">
        <v>107</v>
      </c>
      <c r="Q257" t="s">
        <v>64</v>
      </c>
      <c r="R257" t="s">
        <v>83</v>
      </c>
      <c r="S257" t="s">
        <v>64</v>
      </c>
      <c r="T257" t="s">
        <v>64</v>
      </c>
      <c r="U257" t="s">
        <v>66</v>
      </c>
      <c r="V257">
        <v>345</v>
      </c>
      <c r="W257" t="s">
        <v>67</v>
      </c>
      <c r="X257" t="s">
        <v>67</v>
      </c>
      <c r="Y257" t="s">
        <v>85</v>
      </c>
      <c r="Z257">
        <v>8.1999999999999993</v>
      </c>
      <c r="AA257" t="s">
        <v>67</v>
      </c>
      <c r="AB257" t="s">
        <v>67</v>
      </c>
      <c r="AC257">
        <v>1977</v>
      </c>
      <c r="AD257" t="s">
        <v>67</v>
      </c>
      <c r="AE257" t="s">
        <v>67</v>
      </c>
      <c r="AF257">
        <v>7.62</v>
      </c>
      <c r="AG257" t="s">
        <v>67</v>
      </c>
      <c r="AH257" t="s">
        <v>67</v>
      </c>
      <c r="AI257">
        <v>19.7</v>
      </c>
      <c r="AJ257" t="s">
        <v>67</v>
      </c>
      <c r="AK257" t="s">
        <v>67</v>
      </c>
      <c r="AL257">
        <v>23.8</v>
      </c>
      <c r="AM257" t="s">
        <v>67</v>
      </c>
      <c r="AN257" t="s">
        <v>67</v>
      </c>
      <c r="AO257">
        <v>1632</v>
      </c>
      <c r="AP257">
        <v>4.0999999999999996</v>
      </c>
      <c r="AQ257" t="s">
        <v>86</v>
      </c>
      <c r="AR257" t="s">
        <v>87</v>
      </c>
      <c r="AS257" t="s">
        <v>88</v>
      </c>
      <c r="AT257" t="s">
        <v>70</v>
      </c>
      <c r="AU257" t="s">
        <v>89</v>
      </c>
      <c r="AV257" t="s">
        <v>87</v>
      </c>
      <c r="AW257" t="s">
        <v>88</v>
      </c>
      <c r="AX257" t="s">
        <v>90</v>
      </c>
      <c r="AY257">
        <v>82</v>
      </c>
      <c r="AZ257">
        <v>82</v>
      </c>
      <c r="BA257">
        <v>0.89439999999999997</v>
      </c>
      <c r="BB257">
        <f>BA257*SQRT(BC257)</f>
        <v>1.999939199075812</v>
      </c>
      <c r="BC257">
        <v>5</v>
      </c>
      <c r="BD257">
        <v>46.4</v>
      </c>
      <c r="BE257">
        <v>46.4</v>
      </c>
      <c r="BF257">
        <v>2.1025999999999998</v>
      </c>
      <c r="BG257">
        <f>BF257*SQRT(BH257)</f>
        <v>10.512999999999998</v>
      </c>
      <c r="BH257">
        <v>25</v>
      </c>
      <c r="BI257">
        <v>16</v>
      </c>
      <c r="BJ257">
        <v>5</v>
      </c>
      <c r="BK257">
        <v>-0.56940000000000002</v>
      </c>
      <c r="BL257">
        <v>2.2000000000000001E-3</v>
      </c>
    </row>
    <row r="258" spans="1:64" x14ac:dyDescent="0.2">
      <c r="A258">
        <v>174</v>
      </c>
      <c r="B258" t="str">
        <f>ROW()-1&amp;"_AltersFish"</f>
        <v>257_AltersFish</v>
      </c>
      <c r="C258" t="str">
        <f>A258 &amp; "_" &amp; P258 &amp; "_" &amp;
SUBSTITUTE(TRIM(L258)," ","_") &amp;
"_pH" &amp; TEXT(Z258,"0.00") &amp;
"_T" &amp; TEXT(AI258,"0.00") &amp;
"_CO2" &amp; TEXT(V258,"0") &amp;
"_LANG"</f>
        <v>174_LARVA_Menidia_menidia_pH8.20_T19.70_CO2345_LANG</v>
      </c>
      <c r="D258" t="s">
        <v>54</v>
      </c>
      <c r="E258">
        <v>2018</v>
      </c>
      <c r="F258" t="s">
        <v>76</v>
      </c>
      <c r="G258" t="s">
        <v>77</v>
      </c>
      <c r="H258" t="s">
        <v>78</v>
      </c>
      <c r="I258" t="s">
        <v>540</v>
      </c>
      <c r="J258" t="s">
        <v>543</v>
      </c>
      <c r="K258" t="s">
        <v>79</v>
      </c>
      <c r="L258" t="s">
        <v>80</v>
      </c>
      <c r="M258" t="s">
        <v>81</v>
      </c>
      <c r="N258" t="s">
        <v>81</v>
      </c>
      <c r="O258" t="s">
        <v>110</v>
      </c>
      <c r="P258" t="s">
        <v>107</v>
      </c>
      <c r="Q258" t="s">
        <v>64</v>
      </c>
      <c r="R258" t="s">
        <v>83</v>
      </c>
      <c r="S258" t="s">
        <v>64</v>
      </c>
      <c r="T258" t="s">
        <v>64</v>
      </c>
      <c r="U258" t="s">
        <v>66</v>
      </c>
      <c r="V258">
        <v>345</v>
      </c>
      <c r="W258" t="s">
        <v>67</v>
      </c>
      <c r="X258" t="s">
        <v>67</v>
      </c>
      <c r="Y258" t="s">
        <v>85</v>
      </c>
      <c r="Z258">
        <v>8.1999999999999993</v>
      </c>
      <c r="AA258" t="s">
        <v>67</v>
      </c>
      <c r="AB258" t="s">
        <v>67</v>
      </c>
      <c r="AC258">
        <v>4289</v>
      </c>
      <c r="AD258" t="s">
        <v>67</v>
      </c>
      <c r="AE258" t="s">
        <v>67</v>
      </c>
      <c r="AF258">
        <v>7.26</v>
      </c>
      <c r="AG258" t="s">
        <v>67</v>
      </c>
      <c r="AH258" t="s">
        <v>67</v>
      </c>
      <c r="AI258">
        <v>19.7</v>
      </c>
      <c r="AJ258" t="s">
        <v>67</v>
      </c>
      <c r="AK258" t="s">
        <v>67</v>
      </c>
      <c r="AL258">
        <v>23.9</v>
      </c>
      <c r="AM258" t="s">
        <v>67</v>
      </c>
      <c r="AN258" t="s">
        <v>67</v>
      </c>
      <c r="AO258">
        <v>3944</v>
      </c>
      <c r="AP258">
        <v>4.2</v>
      </c>
      <c r="AQ258" t="s">
        <v>86</v>
      </c>
      <c r="AR258" t="s">
        <v>87</v>
      </c>
      <c r="AS258" t="s">
        <v>88</v>
      </c>
      <c r="AT258" t="s">
        <v>70</v>
      </c>
      <c r="AU258" t="s">
        <v>89</v>
      </c>
      <c r="AV258" t="s">
        <v>87</v>
      </c>
      <c r="AW258" t="s">
        <v>88</v>
      </c>
      <c r="AX258" t="s">
        <v>90</v>
      </c>
      <c r="AY258">
        <v>82</v>
      </c>
      <c r="AZ258">
        <v>82</v>
      </c>
      <c r="BA258">
        <v>0.89439999999999997</v>
      </c>
      <c r="BB258">
        <f>BA258*SQRT(BC258)</f>
        <v>1.999939199075812</v>
      </c>
      <c r="BC258">
        <v>5</v>
      </c>
      <c r="BD258">
        <v>40.25</v>
      </c>
      <c r="BE258">
        <v>40.25</v>
      </c>
      <c r="BF258">
        <v>1.9041999999999999</v>
      </c>
      <c r="BG258">
        <f>BF258*SQRT(BH258)</f>
        <v>8.5158412855101986</v>
      </c>
      <c r="BH258">
        <v>20</v>
      </c>
      <c r="BI258">
        <v>16</v>
      </c>
      <c r="BJ258">
        <v>5</v>
      </c>
      <c r="BK258">
        <v>-0.71160000000000001</v>
      </c>
      <c r="BL258">
        <v>2.3999999999999998E-3</v>
      </c>
    </row>
    <row r="259" spans="1:64" x14ac:dyDescent="0.2">
      <c r="A259">
        <v>174</v>
      </c>
      <c r="B259" t="str">
        <f>ROW()-1&amp;"_AltersFish"</f>
        <v>258_AltersFish</v>
      </c>
      <c r="C259" t="str">
        <f>A259 &amp; "_" &amp; P259 &amp; "_" &amp;
SUBSTITUTE(TRIM(L259)," ","_") &amp;
"_pH" &amp; TEXT(Z259,"0.00") &amp;
"_T" &amp; TEXT(AI259,"0.00") &amp;
"_CO2" &amp; TEXT(V259,"0") &amp;
"_LANG"</f>
        <v>174_LARVA_Menidia_menidia_pH8.20_T19.70_CO2345_LANG</v>
      </c>
      <c r="D259" t="s">
        <v>54</v>
      </c>
      <c r="E259">
        <v>2018</v>
      </c>
      <c r="F259" t="s">
        <v>76</v>
      </c>
      <c r="G259" t="s">
        <v>77</v>
      </c>
      <c r="H259" t="s">
        <v>78</v>
      </c>
      <c r="I259" t="s">
        <v>540</v>
      </c>
      <c r="J259" t="s">
        <v>543</v>
      </c>
      <c r="K259" t="s">
        <v>79</v>
      </c>
      <c r="L259" t="s">
        <v>80</v>
      </c>
      <c r="M259" t="s">
        <v>81</v>
      </c>
      <c r="N259" t="s">
        <v>81</v>
      </c>
      <c r="O259" t="s">
        <v>110</v>
      </c>
      <c r="P259" t="s">
        <v>107</v>
      </c>
      <c r="Q259" t="s">
        <v>64</v>
      </c>
      <c r="R259" t="s">
        <v>83</v>
      </c>
      <c r="S259" t="s">
        <v>64</v>
      </c>
      <c r="T259" t="s">
        <v>64</v>
      </c>
      <c r="U259" t="s">
        <v>66</v>
      </c>
      <c r="V259">
        <v>345</v>
      </c>
      <c r="W259" t="s">
        <v>67</v>
      </c>
      <c r="X259" t="s">
        <v>67</v>
      </c>
      <c r="Y259" t="s">
        <v>85</v>
      </c>
      <c r="Z259">
        <v>8.1999999999999993</v>
      </c>
      <c r="AA259" t="s">
        <v>67</v>
      </c>
      <c r="AB259" t="s">
        <v>67</v>
      </c>
      <c r="AC259">
        <v>2328</v>
      </c>
      <c r="AD259" t="s">
        <v>67</v>
      </c>
      <c r="AE259" t="s">
        <v>67</v>
      </c>
      <c r="AF259">
        <v>7.5</v>
      </c>
      <c r="AG259" t="s">
        <v>67</v>
      </c>
      <c r="AH259" t="s">
        <v>67</v>
      </c>
      <c r="AI259">
        <v>19.7</v>
      </c>
      <c r="AJ259" t="s">
        <v>67</v>
      </c>
      <c r="AK259" t="s">
        <v>67</v>
      </c>
      <c r="AL259">
        <v>28</v>
      </c>
      <c r="AM259" t="s">
        <v>67</v>
      </c>
      <c r="AN259" t="s">
        <v>67</v>
      </c>
      <c r="AO259">
        <v>1983</v>
      </c>
      <c r="AP259">
        <v>8.3000000000000007</v>
      </c>
      <c r="AQ259" t="s">
        <v>86</v>
      </c>
      <c r="AR259" t="s">
        <v>87</v>
      </c>
      <c r="AS259" t="s">
        <v>88</v>
      </c>
      <c r="AT259" t="s">
        <v>70</v>
      </c>
      <c r="AU259" t="s">
        <v>89</v>
      </c>
      <c r="AV259" t="s">
        <v>87</v>
      </c>
      <c r="AW259" t="s">
        <v>88</v>
      </c>
      <c r="AX259" t="s">
        <v>90</v>
      </c>
      <c r="AY259">
        <v>82</v>
      </c>
      <c r="AZ259">
        <v>82</v>
      </c>
      <c r="BA259">
        <v>0.89439999999999997</v>
      </c>
      <c r="BB259">
        <f>BA259*SQRT(BC259)</f>
        <v>1.999939199075812</v>
      </c>
      <c r="BC259">
        <v>5</v>
      </c>
      <c r="BD259">
        <v>27</v>
      </c>
      <c r="BE259">
        <v>27</v>
      </c>
      <c r="BF259">
        <v>1.8</v>
      </c>
      <c r="BG259">
        <f>BF259*SQRT(BH259)</f>
        <v>5.6920997883030831</v>
      </c>
      <c r="BH259">
        <v>10</v>
      </c>
      <c r="BI259">
        <v>14</v>
      </c>
      <c r="BJ259">
        <v>5</v>
      </c>
      <c r="BK259">
        <v>-1.1109</v>
      </c>
      <c r="BL259">
        <v>4.5999999999999999E-3</v>
      </c>
    </row>
    <row r="260" spans="1:64" x14ac:dyDescent="0.2">
      <c r="A260">
        <v>174</v>
      </c>
      <c r="B260" t="str">
        <f>ROW()-1&amp;"_AltersFish"</f>
        <v>259_AltersFish</v>
      </c>
      <c r="C260" t="str">
        <f>A260 &amp; "_" &amp; P260 &amp; "_" &amp;
SUBSTITUTE(TRIM(L260)," ","_") &amp;
"_pH" &amp; TEXT(Z260,"0.00") &amp;
"_T" &amp; TEXT(AI260,"0.00") &amp;
"_CO2" &amp; TEXT(V260,"0") &amp;
"_LANG"</f>
        <v>174_LARVA_Menidia_menidia_pH8.20_T19.70_CO2345_LANG</v>
      </c>
      <c r="D260" t="s">
        <v>54</v>
      </c>
      <c r="E260">
        <v>2018</v>
      </c>
      <c r="F260" t="s">
        <v>76</v>
      </c>
      <c r="G260" t="s">
        <v>77</v>
      </c>
      <c r="H260" t="s">
        <v>78</v>
      </c>
      <c r="I260" t="s">
        <v>540</v>
      </c>
      <c r="J260" t="s">
        <v>543</v>
      </c>
      <c r="K260" t="s">
        <v>79</v>
      </c>
      <c r="L260" t="s">
        <v>80</v>
      </c>
      <c r="M260" t="s">
        <v>81</v>
      </c>
      <c r="N260" t="s">
        <v>81</v>
      </c>
      <c r="O260" t="s">
        <v>110</v>
      </c>
      <c r="P260" t="s">
        <v>107</v>
      </c>
      <c r="Q260" t="s">
        <v>64</v>
      </c>
      <c r="R260" t="s">
        <v>83</v>
      </c>
      <c r="S260" t="s">
        <v>74</v>
      </c>
      <c r="T260" t="s">
        <v>64</v>
      </c>
      <c r="U260" t="s">
        <v>75</v>
      </c>
      <c r="V260">
        <v>345</v>
      </c>
      <c r="W260" t="s">
        <v>67</v>
      </c>
      <c r="X260" t="s">
        <v>67</v>
      </c>
      <c r="Y260" t="s">
        <v>85</v>
      </c>
      <c r="Z260">
        <v>8.1999999999999993</v>
      </c>
      <c r="AA260" t="s">
        <v>67</v>
      </c>
      <c r="AB260" t="s">
        <v>67</v>
      </c>
      <c r="AC260">
        <v>353</v>
      </c>
      <c r="AD260" t="s">
        <v>67</v>
      </c>
      <c r="AE260" t="s">
        <v>67</v>
      </c>
      <c r="AF260">
        <v>8.23</v>
      </c>
      <c r="AG260" t="s">
        <v>67</v>
      </c>
      <c r="AH260" t="s">
        <v>67</v>
      </c>
      <c r="AI260">
        <v>19.7</v>
      </c>
      <c r="AJ260" t="s">
        <v>67</v>
      </c>
      <c r="AK260" t="s">
        <v>67</v>
      </c>
      <c r="AL260">
        <v>28.2</v>
      </c>
      <c r="AM260" t="s">
        <v>67</v>
      </c>
      <c r="AN260" t="s">
        <v>67</v>
      </c>
      <c r="AO260">
        <v>8</v>
      </c>
      <c r="AP260">
        <v>8.5</v>
      </c>
      <c r="AQ260" t="s">
        <v>86</v>
      </c>
      <c r="AR260" t="s">
        <v>87</v>
      </c>
      <c r="AS260" t="s">
        <v>88</v>
      </c>
      <c r="AT260" t="s">
        <v>70</v>
      </c>
      <c r="AU260" t="s">
        <v>89</v>
      </c>
      <c r="AV260" t="s">
        <v>87</v>
      </c>
      <c r="AW260" t="s">
        <v>88</v>
      </c>
      <c r="AX260" t="s">
        <v>90</v>
      </c>
      <c r="AY260">
        <v>82</v>
      </c>
      <c r="AZ260">
        <v>82</v>
      </c>
      <c r="BA260">
        <v>0.89439999999999997</v>
      </c>
      <c r="BB260">
        <f>BA260*SQRT(BC260)</f>
        <v>1.999939199075812</v>
      </c>
      <c r="BC260">
        <v>5</v>
      </c>
      <c r="BD260">
        <v>22.5</v>
      </c>
      <c r="BE260">
        <v>22.5</v>
      </c>
      <c r="BF260">
        <v>2.2574000000000001</v>
      </c>
      <c r="BG260">
        <f>BF260*SQRT(BH260)</f>
        <v>7.1385255900641003</v>
      </c>
      <c r="BH260">
        <v>10</v>
      </c>
      <c r="BI260">
        <v>14</v>
      </c>
      <c r="BJ260">
        <v>5</v>
      </c>
      <c r="BK260">
        <v>-1.2931999999999999</v>
      </c>
      <c r="BL260">
        <v>1.0200000000000001E-2</v>
      </c>
    </row>
    <row r="261" spans="1:64" hidden="1" x14ac:dyDescent="0.2">
      <c r="A261">
        <v>171</v>
      </c>
      <c r="C261" t="s">
        <v>549</v>
      </c>
      <c r="D261" t="s">
        <v>54</v>
      </c>
      <c r="E261">
        <v>2015</v>
      </c>
      <c r="F261" t="s">
        <v>198</v>
      </c>
      <c r="G261" t="s">
        <v>199</v>
      </c>
      <c r="H261" t="s">
        <v>57</v>
      </c>
      <c r="K261" t="s">
        <v>79</v>
      </c>
      <c r="L261" t="s">
        <v>200</v>
      </c>
      <c r="M261" t="s">
        <v>81</v>
      </c>
      <c r="N261" t="s">
        <v>81</v>
      </c>
      <c r="O261" t="s">
        <v>62</v>
      </c>
      <c r="P261" t="s">
        <v>82</v>
      </c>
      <c r="Q261" t="s">
        <v>64</v>
      </c>
      <c r="R261" t="s">
        <v>65</v>
      </c>
      <c r="S261" t="s">
        <v>74</v>
      </c>
      <c r="T261" t="s">
        <v>64</v>
      </c>
      <c r="U261" t="s">
        <v>75</v>
      </c>
      <c r="V261">
        <v>422.07</v>
      </c>
      <c r="W261" t="s">
        <v>67</v>
      </c>
      <c r="X261">
        <v>16.57</v>
      </c>
      <c r="Y261" t="s">
        <v>96</v>
      </c>
      <c r="Z261">
        <v>8.1</v>
      </c>
      <c r="AA261" t="s">
        <v>67</v>
      </c>
      <c r="AB261">
        <v>0.05</v>
      </c>
      <c r="AC261">
        <v>423.94</v>
      </c>
      <c r="AD261" t="s">
        <v>67</v>
      </c>
      <c r="AE261">
        <v>16.579999999999998</v>
      </c>
      <c r="AF261">
        <v>8.1</v>
      </c>
      <c r="AG261" t="s">
        <v>67</v>
      </c>
      <c r="AH261">
        <v>0.05</v>
      </c>
      <c r="AI261">
        <v>15</v>
      </c>
      <c r="AJ261" t="s">
        <v>67</v>
      </c>
      <c r="AK261">
        <v>0.5</v>
      </c>
      <c r="AL261">
        <v>20</v>
      </c>
      <c r="AM261" t="s">
        <v>67</v>
      </c>
      <c r="AN261">
        <v>0.5</v>
      </c>
      <c r="AO261">
        <v>2</v>
      </c>
      <c r="AP261">
        <v>5</v>
      </c>
      <c r="AQ261" t="s">
        <v>218</v>
      </c>
      <c r="AR261" t="s">
        <v>11</v>
      </c>
      <c r="AS261" t="s">
        <v>202</v>
      </c>
      <c r="AT261" t="s">
        <v>135</v>
      </c>
      <c r="AU261" t="s">
        <v>203</v>
      </c>
      <c r="AV261" t="s">
        <v>11</v>
      </c>
      <c r="AW261" t="s">
        <v>11</v>
      </c>
      <c r="AX261" t="s">
        <v>73</v>
      </c>
      <c r="AY261">
        <v>125.9516</v>
      </c>
      <c r="AZ261">
        <v>125.95156</v>
      </c>
      <c r="BA261">
        <v>2.77</v>
      </c>
      <c r="BC261">
        <v>23</v>
      </c>
      <c r="BD261">
        <v>119.72320000000001</v>
      </c>
      <c r="BE261">
        <v>119.7231834</v>
      </c>
      <c r="BF261">
        <v>5.5362999999999998</v>
      </c>
      <c r="BH261">
        <v>23</v>
      </c>
      <c r="BI261">
        <v>120</v>
      </c>
      <c r="BJ261">
        <v>5</v>
      </c>
      <c r="BK261">
        <v>-5.0700000000000002E-2</v>
      </c>
      <c r="BL261">
        <v>2.5999999999999999E-3</v>
      </c>
    </row>
    <row r="262" spans="1:64" x14ac:dyDescent="0.2">
      <c r="A262">
        <v>174</v>
      </c>
      <c r="B262" t="str">
        <f>ROW()-1&amp;"_AltersFish"</f>
        <v>261_AltersFish</v>
      </c>
      <c r="C262" t="str">
        <f>A262 &amp; "_" &amp; P262 &amp; "_" &amp;
SUBSTITUTE(TRIM(L262)," ","_") &amp;
"_pH" &amp; TEXT(Z262,"0.00") &amp;
"_T" &amp; TEXT(AI262,"0.00") &amp;
"_CO2" &amp; TEXT(V262,"0") &amp;
"_LANG"</f>
        <v>174_LARVA_Menidia_menidia_pH8.20_T19.70_CO2345_LANG</v>
      </c>
      <c r="D262" t="s">
        <v>54</v>
      </c>
      <c r="E262">
        <v>2018</v>
      </c>
      <c r="F262" t="s">
        <v>76</v>
      </c>
      <c r="G262" t="s">
        <v>77</v>
      </c>
      <c r="H262" t="s">
        <v>78</v>
      </c>
      <c r="I262" t="s">
        <v>540</v>
      </c>
      <c r="J262" t="s">
        <v>543</v>
      </c>
      <c r="K262" t="s">
        <v>79</v>
      </c>
      <c r="L262" t="s">
        <v>80</v>
      </c>
      <c r="M262" t="s">
        <v>81</v>
      </c>
      <c r="N262" t="s">
        <v>81</v>
      </c>
      <c r="O262" t="s">
        <v>110</v>
      </c>
      <c r="P262" t="s">
        <v>107</v>
      </c>
      <c r="Q262" t="s">
        <v>64</v>
      </c>
      <c r="R262" t="s">
        <v>83</v>
      </c>
      <c r="S262" t="s">
        <v>64</v>
      </c>
      <c r="T262" t="s">
        <v>64</v>
      </c>
      <c r="U262" t="s">
        <v>66</v>
      </c>
      <c r="V262">
        <v>345</v>
      </c>
      <c r="W262" t="s">
        <v>67</v>
      </c>
      <c r="X262" t="s">
        <v>67</v>
      </c>
      <c r="Y262" t="s">
        <v>85</v>
      </c>
      <c r="Z262">
        <v>8.1999999999999993</v>
      </c>
      <c r="AA262" t="s">
        <v>67</v>
      </c>
      <c r="AB262" t="s">
        <v>67</v>
      </c>
      <c r="AC262">
        <v>4720</v>
      </c>
      <c r="AD262" t="s">
        <v>67</v>
      </c>
      <c r="AE262" t="s">
        <v>67</v>
      </c>
      <c r="AF262">
        <v>7.2</v>
      </c>
      <c r="AG262" t="s">
        <v>67</v>
      </c>
      <c r="AH262" t="s">
        <v>67</v>
      </c>
      <c r="AI262">
        <v>19.7</v>
      </c>
      <c r="AJ262" t="s">
        <v>67</v>
      </c>
      <c r="AK262" t="s">
        <v>67</v>
      </c>
      <c r="AL262">
        <v>28.2</v>
      </c>
      <c r="AM262" t="s">
        <v>67</v>
      </c>
      <c r="AN262" t="s">
        <v>67</v>
      </c>
      <c r="AO262">
        <v>4375</v>
      </c>
      <c r="AP262">
        <v>8.5</v>
      </c>
      <c r="AQ262" t="s">
        <v>86</v>
      </c>
      <c r="AR262" t="s">
        <v>87</v>
      </c>
      <c r="AS262" t="s">
        <v>88</v>
      </c>
      <c r="AT262" t="s">
        <v>70</v>
      </c>
      <c r="AU262" t="s">
        <v>89</v>
      </c>
      <c r="AV262" t="s">
        <v>87</v>
      </c>
      <c r="AW262" t="s">
        <v>88</v>
      </c>
      <c r="AX262" t="s">
        <v>90</v>
      </c>
      <c r="AY262">
        <v>82</v>
      </c>
      <c r="AZ262">
        <v>82</v>
      </c>
      <c r="BA262">
        <v>0.89439999999999997</v>
      </c>
      <c r="BB262">
        <f>BA262*SQRT(BC262)</f>
        <v>1.999939199075812</v>
      </c>
      <c r="BC262">
        <v>5</v>
      </c>
      <c r="BD262">
        <v>9</v>
      </c>
      <c r="BE262">
        <v>9</v>
      </c>
      <c r="BF262">
        <v>0.53669999999999995</v>
      </c>
      <c r="BG262">
        <f>BF262*SQRT(BH262)</f>
        <v>1.200097683524137</v>
      </c>
      <c r="BH262">
        <v>5</v>
      </c>
      <c r="BI262">
        <v>14</v>
      </c>
      <c r="BJ262">
        <v>5</v>
      </c>
      <c r="BK262">
        <v>-2.2094999999999998</v>
      </c>
      <c r="BL262">
        <v>3.7000000000000002E-3</v>
      </c>
    </row>
    <row r="263" spans="1:64" hidden="1" x14ac:dyDescent="0.2">
      <c r="A263">
        <v>145</v>
      </c>
      <c r="D263" t="s">
        <v>54</v>
      </c>
      <c r="E263">
        <v>2016</v>
      </c>
      <c r="F263" t="s">
        <v>198</v>
      </c>
      <c r="G263" t="s">
        <v>124</v>
      </c>
      <c r="H263" t="s">
        <v>57</v>
      </c>
      <c r="K263" t="s">
        <v>234</v>
      </c>
      <c r="L263" t="s">
        <v>200</v>
      </c>
      <c r="M263" t="s">
        <v>81</v>
      </c>
      <c r="N263" t="s">
        <v>81</v>
      </c>
      <c r="O263" t="s">
        <v>62</v>
      </c>
      <c r="P263" t="s">
        <v>63</v>
      </c>
      <c r="Q263" t="s">
        <v>64</v>
      </c>
      <c r="R263" t="s">
        <v>65</v>
      </c>
      <c r="S263" t="s">
        <v>64</v>
      </c>
      <c r="T263" t="s">
        <v>64</v>
      </c>
      <c r="U263" t="s">
        <v>66</v>
      </c>
      <c r="V263">
        <v>410</v>
      </c>
      <c r="W263">
        <v>19.16</v>
      </c>
      <c r="X263" t="s">
        <v>67</v>
      </c>
      <c r="Y263" t="s">
        <v>96</v>
      </c>
      <c r="Z263">
        <v>8.08</v>
      </c>
      <c r="AA263">
        <v>0.05</v>
      </c>
      <c r="AB263" t="s">
        <v>67</v>
      </c>
      <c r="AC263">
        <v>1086</v>
      </c>
      <c r="AD263">
        <v>93.68</v>
      </c>
      <c r="AE263" t="s">
        <v>67</v>
      </c>
      <c r="AF263">
        <v>7.71</v>
      </c>
      <c r="AG263">
        <v>0.06</v>
      </c>
      <c r="AH263" t="s">
        <v>67</v>
      </c>
      <c r="AI263">
        <v>15.2</v>
      </c>
      <c r="AJ263">
        <v>0.7</v>
      </c>
      <c r="AK263" t="s">
        <v>67</v>
      </c>
      <c r="AL263">
        <v>17.899999999999999</v>
      </c>
      <c r="AM263">
        <v>0.5</v>
      </c>
      <c r="AN263" t="s">
        <v>67</v>
      </c>
      <c r="AO263">
        <v>676</v>
      </c>
      <c r="AP263">
        <v>2.7</v>
      </c>
      <c r="AQ263" t="s">
        <v>201</v>
      </c>
      <c r="AR263" t="s">
        <v>235</v>
      </c>
      <c r="AS263" t="s">
        <v>236</v>
      </c>
      <c r="AT263" t="s">
        <v>70</v>
      </c>
      <c r="AU263" t="s">
        <v>237</v>
      </c>
      <c r="AV263" t="s">
        <v>132</v>
      </c>
      <c r="AX263" t="s">
        <v>73</v>
      </c>
      <c r="AY263">
        <v>2.5697999999999999</v>
      </c>
      <c r="AZ263">
        <v>2.56982</v>
      </c>
      <c r="BA263">
        <v>0.12</v>
      </c>
      <c r="BC263">
        <v>7</v>
      </c>
      <c r="BD263">
        <v>3.5089000000000001</v>
      </c>
      <c r="BE263">
        <v>3.5089034680000002</v>
      </c>
      <c r="BF263">
        <v>6.7500000000000004E-2</v>
      </c>
      <c r="BH263">
        <v>7</v>
      </c>
      <c r="BI263">
        <v>240</v>
      </c>
      <c r="BJ263">
        <v>7</v>
      </c>
      <c r="BK263">
        <v>0.3115</v>
      </c>
      <c r="BL263">
        <v>2.7000000000000001E-3</v>
      </c>
    </row>
    <row r="264" spans="1:64" x14ac:dyDescent="0.2">
      <c r="A264">
        <v>174</v>
      </c>
      <c r="B264" t="str">
        <f>ROW()-1&amp;"_AltersFish"</f>
        <v>263_AltersFish</v>
      </c>
      <c r="C264" t="str">
        <f>A264 &amp; "_" &amp; P264 &amp; "_" &amp;
SUBSTITUTE(TRIM(L264)," ","_") &amp;
"_pH" &amp; TEXT(Z264,"0.00") &amp;
"_T" &amp; TEXT(AI264,"0.00") &amp;
"_CO2" &amp; TEXT(V264,"0") &amp;
"_LANG"</f>
        <v>174_EMBRYO_Menidia_menidia_pH8.20_T19.70_CO2345_LANG</v>
      </c>
      <c r="D264" t="s">
        <v>54</v>
      </c>
      <c r="E264">
        <v>2018</v>
      </c>
      <c r="F264" t="s">
        <v>76</v>
      </c>
      <c r="G264" t="s">
        <v>77</v>
      </c>
      <c r="H264" t="s">
        <v>78</v>
      </c>
      <c r="I264" t="s">
        <v>540</v>
      </c>
      <c r="J264" t="s">
        <v>543</v>
      </c>
      <c r="K264" t="s">
        <v>79</v>
      </c>
      <c r="L264" t="s">
        <v>80</v>
      </c>
      <c r="M264" t="s">
        <v>81</v>
      </c>
      <c r="N264" t="s">
        <v>81</v>
      </c>
      <c r="O264" t="s">
        <v>62</v>
      </c>
      <c r="P264" t="s">
        <v>82</v>
      </c>
      <c r="Q264" t="s">
        <v>64</v>
      </c>
      <c r="R264" t="s">
        <v>83</v>
      </c>
      <c r="S264" t="s">
        <v>64</v>
      </c>
      <c r="T264" t="s">
        <v>74</v>
      </c>
      <c r="U264" t="s">
        <v>84</v>
      </c>
      <c r="V264">
        <v>345</v>
      </c>
      <c r="W264" t="s">
        <v>67</v>
      </c>
      <c r="X264" t="s">
        <v>67</v>
      </c>
      <c r="Y264" t="s">
        <v>85</v>
      </c>
      <c r="Z264">
        <v>8.1999999999999993</v>
      </c>
      <c r="AA264" t="s">
        <v>67</v>
      </c>
      <c r="AB264" t="s">
        <v>67</v>
      </c>
      <c r="AC264">
        <v>4066</v>
      </c>
      <c r="AD264" t="s">
        <v>67</v>
      </c>
      <c r="AE264" t="s">
        <v>67</v>
      </c>
      <c r="AF264">
        <v>7.21</v>
      </c>
      <c r="AG264" t="s">
        <v>67</v>
      </c>
      <c r="AH264" t="s">
        <v>67</v>
      </c>
      <c r="AI264">
        <v>19.7</v>
      </c>
      <c r="AJ264" t="s">
        <v>67</v>
      </c>
      <c r="AK264" t="s">
        <v>67</v>
      </c>
      <c r="AL264">
        <v>19.7</v>
      </c>
      <c r="AM264" t="s">
        <v>67</v>
      </c>
      <c r="AN264" t="s">
        <v>67</v>
      </c>
      <c r="AO264">
        <v>3721</v>
      </c>
      <c r="AP264">
        <v>0</v>
      </c>
      <c r="AQ264" t="s">
        <v>86</v>
      </c>
      <c r="AR264" t="s">
        <v>87</v>
      </c>
      <c r="AS264" t="s">
        <v>88</v>
      </c>
      <c r="AT264" t="s">
        <v>70</v>
      </c>
      <c r="AU264" t="s">
        <v>89</v>
      </c>
      <c r="AV264" t="s">
        <v>87</v>
      </c>
      <c r="AW264" t="s">
        <v>88</v>
      </c>
      <c r="AX264" t="s">
        <v>90</v>
      </c>
      <c r="AY264">
        <v>96</v>
      </c>
      <c r="AZ264">
        <v>96</v>
      </c>
      <c r="BA264">
        <v>0.44719999999999999</v>
      </c>
      <c r="BB264">
        <f>BA264*SQRT(BC264)</f>
        <v>0.99996959953790598</v>
      </c>
      <c r="BC264">
        <v>5</v>
      </c>
      <c r="BD264">
        <v>94</v>
      </c>
      <c r="BE264">
        <v>94</v>
      </c>
      <c r="BF264">
        <v>0.62609999999999999</v>
      </c>
      <c r="BG264">
        <f>BF264*SQRT(BH264)</f>
        <v>1.4000021607126183</v>
      </c>
      <c r="BH264">
        <v>5</v>
      </c>
      <c r="BI264">
        <v>10</v>
      </c>
      <c r="BJ264">
        <v>5</v>
      </c>
      <c r="BK264">
        <v>-2.1100000000000001E-2</v>
      </c>
      <c r="BL264">
        <v>1E-4</v>
      </c>
    </row>
    <row r="265" spans="1:64" hidden="1" x14ac:dyDescent="0.2">
      <c r="A265">
        <v>145</v>
      </c>
      <c r="D265" t="s">
        <v>54</v>
      </c>
      <c r="E265">
        <v>2016</v>
      </c>
      <c r="F265" t="s">
        <v>198</v>
      </c>
      <c r="G265" t="s">
        <v>124</v>
      </c>
      <c r="H265" t="s">
        <v>57</v>
      </c>
      <c r="K265" t="s">
        <v>234</v>
      </c>
      <c r="L265" t="s">
        <v>200</v>
      </c>
      <c r="M265" t="s">
        <v>81</v>
      </c>
      <c r="N265" t="s">
        <v>81</v>
      </c>
      <c r="O265" t="s">
        <v>62</v>
      </c>
      <c r="P265" t="s">
        <v>63</v>
      </c>
      <c r="Q265" t="s">
        <v>64</v>
      </c>
      <c r="R265" t="s">
        <v>65</v>
      </c>
      <c r="S265" t="s">
        <v>74</v>
      </c>
      <c r="T265" t="s">
        <v>64</v>
      </c>
      <c r="U265" t="s">
        <v>75</v>
      </c>
      <c r="V265">
        <v>410</v>
      </c>
      <c r="W265">
        <v>19.16</v>
      </c>
      <c r="X265" t="s">
        <v>67</v>
      </c>
      <c r="Y265" t="s">
        <v>96</v>
      </c>
      <c r="Z265">
        <v>8.08</v>
      </c>
      <c r="AA265">
        <v>0.05</v>
      </c>
      <c r="AB265" t="s">
        <v>67</v>
      </c>
      <c r="AC265">
        <v>413</v>
      </c>
      <c r="AD265">
        <v>19.420000000000002</v>
      </c>
      <c r="AE265" t="s">
        <v>67</v>
      </c>
      <c r="AF265">
        <v>8.08</v>
      </c>
      <c r="AG265">
        <v>0.12</v>
      </c>
      <c r="AH265" t="s">
        <v>67</v>
      </c>
      <c r="AI265">
        <v>15.2</v>
      </c>
      <c r="AJ265">
        <v>0.7</v>
      </c>
      <c r="AK265" t="s">
        <v>67</v>
      </c>
      <c r="AL265">
        <v>18.100000000000001</v>
      </c>
      <c r="AM265">
        <v>0.6</v>
      </c>
      <c r="AN265" t="s">
        <v>67</v>
      </c>
      <c r="AO265">
        <v>3</v>
      </c>
      <c r="AP265">
        <v>2.9</v>
      </c>
      <c r="AQ265" t="s">
        <v>201</v>
      </c>
      <c r="AR265" t="s">
        <v>248</v>
      </c>
      <c r="AS265" t="s">
        <v>249</v>
      </c>
      <c r="AT265" t="s">
        <v>135</v>
      </c>
      <c r="AU265" t="s">
        <v>250</v>
      </c>
      <c r="AV265" t="s">
        <v>251</v>
      </c>
      <c r="AX265" t="s">
        <v>73</v>
      </c>
      <c r="AY265">
        <v>12.466799999999999</v>
      </c>
      <c r="AZ265">
        <v>12.46679</v>
      </c>
      <c r="BA265">
        <v>0.47</v>
      </c>
      <c r="BC265">
        <v>7</v>
      </c>
      <c r="BD265">
        <v>11.157500000000001</v>
      </c>
      <c r="BE265">
        <v>11.157495259999999</v>
      </c>
      <c r="BF265">
        <v>0.39850000000000002</v>
      </c>
      <c r="BH265">
        <v>7</v>
      </c>
      <c r="BI265">
        <v>240</v>
      </c>
      <c r="BJ265">
        <v>7</v>
      </c>
      <c r="BK265">
        <v>-0.111</v>
      </c>
      <c r="BL265">
        <v>2.7000000000000001E-3</v>
      </c>
    </row>
    <row r="266" spans="1:64" hidden="1" x14ac:dyDescent="0.2">
      <c r="A266">
        <v>145</v>
      </c>
      <c r="D266" t="s">
        <v>54</v>
      </c>
      <c r="E266">
        <v>2016</v>
      </c>
      <c r="F266" t="s">
        <v>198</v>
      </c>
      <c r="G266" t="s">
        <v>124</v>
      </c>
      <c r="H266" t="s">
        <v>57</v>
      </c>
      <c r="K266" t="s">
        <v>234</v>
      </c>
      <c r="L266" t="s">
        <v>200</v>
      </c>
      <c r="M266" t="s">
        <v>81</v>
      </c>
      <c r="N266" t="s">
        <v>81</v>
      </c>
      <c r="O266" t="s">
        <v>62</v>
      </c>
      <c r="P266" t="s">
        <v>63</v>
      </c>
      <c r="Q266" t="s">
        <v>64</v>
      </c>
      <c r="R266" t="s">
        <v>65</v>
      </c>
      <c r="S266" t="s">
        <v>74</v>
      </c>
      <c r="T266" t="s">
        <v>64</v>
      </c>
      <c r="U266" t="s">
        <v>75</v>
      </c>
      <c r="V266">
        <v>410</v>
      </c>
      <c r="W266">
        <v>19.16</v>
      </c>
      <c r="X266" t="s">
        <v>67</v>
      </c>
      <c r="Y266" t="s">
        <v>96</v>
      </c>
      <c r="Z266">
        <v>8.08</v>
      </c>
      <c r="AA266">
        <v>0.05</v>
      </c>
      <c r="AB266" t="s">
        <v>67</v>
      </c>
      <c r="AC266">
        <v>413</v>
      </c>
      <c r="AD266">
        <v>19.420000000000002</v>
      </c>
      <c r="AE266" t="s">
        <v>67</v>
      </c>
      <c r="AF266">
        <v>8.08</v>
      </c>
      <c r="AG266">
        <v>0.12</v>
      </c>
      <c r="AH266" t="s">
        <v>67</v>
      </c>
      <c r="AI266">
        <v>15.2</v>
      </c>
      <c r="AJ266">
        <v>0.7</v>
      </c>
      <c r="AK266" t="s">
        <v>67</v>
      </c>
      <c r="AL266">
        <v>18.100000000000001</v>
      </c>
      <c r="AM266">
        <v>0.6</v>
      </c>
      <c r="AN266" t="s">
        <v>67</v>
      </c>
      <c r="AO266">
        <v>3</v>
      </c>
      <c r="AP266">
        <v>2.9</v>
      </c>
      <c r="AQ266" t="s">
        <v>201</v>
      </c>
      <c r="AR266" t="s">
        <v>235</v>
      </c>
      <c r="AS266" t="s">
        <v>236</v>
      </c>
      <c r="AT266" t="s">
        <v>70</v>
      </c>
      <c r="AU266" t="s">
        <v>237</v>
      </c>
      <c r="AV266" t="s">
        <v>132</v>
      </c>
      <c r="AX266" t="s">
        <v>73</v>
      </c>
      <c r="AY266">
        <v>2.5697999999999999</v>
      </c>
      <c r="AZ266">
        <v>2.56982</v>
      </c>
      <c r="BA266">
        <v>0.12</v>
      </c>
      <c r="BC266">
        <v>7</v>
      </c>
      <c r="BD266">
        <v>3.4695</v>
      </c>
      <c r="BE266">
        <v>3.469540769</v>
      </c>
      <c r="BF266">
        <v>6.7500000000000004E-2</v>
      </c>
      <c r="BH266">
        <v>7</v>
      </c>
      <c r="BI266">
        <v>240</v>
      </c>
      <c r="BJ266">
        <v>7</v>
      </c>
      <c r="BK266">
        <v>0.30020000000000002</v>
      </c>
      <c r="BL266">
        <v>2.7000000000000001E-3</v>
      </c>
    </row>
    <row r="267" spans="1:64" x14ac:dyDescent="0.2">
      <c r="A267">
        <v>174</v>
      </c>
      <c r="B267" t="str">
        <f>ROW()-1&amp;"_AltersFish"</f>
        <v>266_AltersFish</v>
      </c>
      <c r="C267" t="str">
        <f>A267 &amp; "_" &amp; P267 &amp; "_" &amp;
SUBSTITUTE(TRIM(L267)," ","_") &amp;
"_pH" &amp; TEXT(Z267,"0.00") &amp;
"_T" &amp; TEXT(AI267,"0.00") &amp;
"_CO2" &amp; TEXT(V267,"0") &amp;
"_LANG"</f>
        <v>174_EMBRYO_Menidia_menidia_pH8.20_T19.70_CO2345_LANG</v>
      </c>
      <c r="D267" t="s">
        <v>54</v>
      </c>
      <c r="E267">
        <v>2018</v>
      </c>
      <c r="F267" t="s">
        <v>76</v>
      </c>
      <c r="G267" t="s">
        <v>77</v>
      </c>
      <c r="H267" t="s">
        <v>78</v>
      </c>
      <c r="I267" t="s">
        <v>540</v>
      </c>
      <c r="J267" t="s">
        <v>543</v>
      </c>
      <c r="K267" t="s">
        <v>79</v>
      </c>
      <c r="L267" t="s">
        <v>80</v>
      </c>
      <c r="M267" t="s">
        <v>81</v>
      </c>
      <c r="N267" t="s">
        <v>81</v>
      </c>
      <c r="O267" t="s">
        <v>62</v>
      </c>
      <c r="P267" t="s">
        <v>82</v>
      </c>
      <c r="Q267" t="s">
        <v>64</v>
      </c>
      <c r="R267" t="s">
        <v>83</v>
      </c>
      <c r="S267" t="s">
        <v>64</v>
      </c>
      <c r="T267" t="s">
        <v>64</v>
      </c>
      <c r="U267" t="s">
        <v>66</v>
      </c>
      <c r="V267">
        <v>345</v>
      </c>
      <c r="W267" t="s">
        <v>67</v>
      </c>
      <c r="X267" t="s">
        <v>67</v>
      </c>
      <c r="Y267" t="s">
        <v>85</v>
      </c>
      <c r="Z267">
        <v>8.1999999999999993</v>
      </c>
      <c r="AA267" t="s">
        <v>67</v>
      </c>
      <c r="AB267" t="s">
        <v>67</v>
      </c>
      <c r="AC267">
        <v>4289</v>
      </c>
      <c r="AD267" t="s">
        <v>67</v>
      </c>
      <c r="AE267" t="s">
        <v>67</v>
      </c>
      <c r="AF267">
        <v>7.26</v>
      </c>
      <c r="AG267" t="s">
        <v>67</v>
      </c>
      <c r="AH267" t="s">
        <v>67</v>
      </c>
      <c r="AI267">
        <v>19.7</v>
      </c>
      <c r="AJ267" t="s">
        <v>67</v>
      </c>
      <c r="AK267" t="s">
        <v>67</v>
      </c>
      <c r="AL267">
        <v>23.9</v>
      </c>
      <c r="AM267" t="s">
        <v>67</v>
      </c>
      <c r="AN267" t="s">
        <v>67</v>
      </c>
      <c r="AO267">
        <v>3944</v>
      </c>
      <c r="AP267">
        <v>4.2</v>
      </c>
      <c r="AQ267" t="s">
        <v>86</v>
      </c>
      <c r="AR267" t="s">
        <v>87</v>
      </c>
      <c r="AS267" t="s">
        <v>88</v>
      </c>
      <c r="AT267" t="s">
        <v>70</v>
      </c>
      <c r="AU267" t="s">
        <v>89</v>
      </c>
      <c r="AV267" t="s">
        <v>87</v>
      </c>
      <c r="AW267" t="s">
        <v>88</v>
      </c>
      <c r="AX267" t="s">
        <v>90</v>
      </c>
      <c r="AY267">
        <v>96</v>
      </c>
      <c r="AZ267">
        <v>96</v>
      </c>
      <c r="BA267">
        <v>0.44719999999999999</v>
      </c>
      <c r="BB267">
        <f>BA267*SQRT(BC267)</f>
        <v>0.99996959953790598</v>
      </c>
      <c r="BC267">
        <v>5</v>
      </c>
      <c r="BD267">
        <v>69.75</v>
      </c>
      <c r="BE267">
        <v>69.75</v>
      </c>
      <c r="BF267">
        <v>0.61639999999999995</v>
      </c>
      <c r="BG267">
        <f>BF267*SQRT(BH267)</f>
        <v>2.7566246026617405</v>
      </c>
      <c r="BH267">
        <v>20</v>
      </c>
      <c r="BI267">
        <v>6</v>
      </c>
      <c r="BJ267">
        <v>5</v>
      </c>
      <c r="BK267">
        <v>-0.31940000000000002</v>
      </c>
      <c r="BL267">
        <v>1E-4</v>
      </c>
    </row>
    <row r="268" spans="1:64" hidden="1" x14ac:dyDescent="0.2">
      <c r="A268">
        <v>145</v>
      </c>
      <c r="D268" t="s">
        <v>54</v>
      </c>
      <c r="E268">
        <v>2016</v>
      </c>
      <c r="F268" t="s">
        <v>198</v>
      </c>
      <c r="G268" t="s">
        <v>124</v>
      </c>
      <c r="H268" t="s">
        <v>57</v>
      </c>
      <c r="K268" t="s">
        <v>234</v>
      </c>
      <c r="L268" t="s">
        <v>200</v>
      </c>
      <c r="M268" t="s">
        <v>81</v>
      </c>
      <c r="N268" t="s">
        <v>81</v>
      </c>
      <c r="O268" t="s">
        <v>62</v>
      </c>
      <c r="P268" t="s">
        <v>63</v>
      </c>
      <c r="Q268" t="s">
        <v>64</v>
      </c>
      <c r="R268" t="s">
        <v>65</v>
      </c>
      <c r="S268" t="s">
        <v>64</v>
      </c>
      <c r="T268" t="s">
        <v>74</v>
      </c>
      <c r="U268" t="s">
        <v>84</v>
      </c>
      <c r="V268">
        <v>410</v>
      </c>
      <c r="W268">
        <v>19.16</v>
      </c>
      <c r="X268" t="s">
        <v>67</v>
      </c>
      <c r="Y268" t="s">
        <v>96</v>
      </c>
      <c r="Z268">
        <v>8.08</v>
      </c>
      <c r="AA268">
        <v>0.05</v>
      </c>
      <c r="AB268" t="s">
        <v>67</v>
      </c>
      <c r="AC268">
        <v>1122</v>
      </c>
      <c r="AD268">
        <v>69.81</v>
      </c>
      <c r="AE268" t="s">
        <v>67</v>
      </c>
      <c r="AF268">
        <v>7.73</v>
      </c>
      <c r="AG268">
        <v>0.06</v>
      </c>
      <c r="AH268" t="s">
        <v>67</v>
      </c>
      <c r="AI268">
        <v>15.2</v>
      </c>
      <c r="AJ268">
        <v>0.7</v>
      </c>
      <c r="AK268" t="s">
        <v>67</v>
      </c>
      <c r="AL268">
        <v>15</v>
      </c>
      <c r="AM268">
        <v>0.6</v>
      </c>
      <c r="AN268" t="s">
        <v>67</v>
      </c>
      <c r="AO268">
        <v>712</v>
      </c>
      <c r="AP268">
        <v>-0.2</v>
      </c>
      <c r="AQ268" t="s">
        <v>201</v>
      </c>
      <c r="AR268" t="s">
        <v>248</v>
      </c>
      <c r="AS268" t="s">
        <v>249</v>
      </c>
      <c r="AT268" t="s">
        <v>135</v>
      </c>
      <c r="AU268" t="s">
        <v>250</v>
      </c>
      <c r="AV268" t="s">
        <v>251</v>
      </c>
      <c r="AX268" t="s">
        <v>73</v>
      </c>
      <c r="AY268">
        <v>12.466799999999999</v>
      </c>
      <c r="AZ268">
        <v>12.46679</v>
      </c>
      <c r="BA268">
        <v>0.47</v>
      </c>
      <c r="BC268">
        <v>7</v>
      </c>
      <c r="BD268">
        <v>12.381399999999999</v>
      </c>
      <c r="BE268">
        <v>12.38140417</v>
      </c>
      <c r="BF268">
        <v>0.45540000000000003</v>
      </c>
      <c r="BH268">
        <v>7</v>
      </c>
      <c r="BI268">
        <v>240</v>
      </c>
      <c r="BJ268">
        <v>7</v>
      </c>
      <c r="BK268">
        <v>-6.8999999999999999E-3</v>
      </c>
      <c r="BL268">
        <v>2.8E-3</v>
      </c>
    </row>
    <row r="269" spans="1:64" hidden="1" x14ac:dyDescent="0.2">
      <c r="A269">
        <v>142</v>
      </c>
      <c r="D269" t="s">
        <v>54</v>
      </c>
      <c r="E269">
        <v>2017</v>
      </c>
      <c r="F269" t="s">
        <v>193</v>
      </c>
      <c r="G269" t="s">
        <v>181</v>
      </c>
      <c r="H269" t="s">
        <v>78</v>
      </c>
      <c r="K269" t="s">
        <v>194</v>
      </c>
      <c r="L269" t="s">
        <v>299</v>
      </c>
      <c r="M269" t="s">
        <v>120</v>
      </c>
      <c r="N269" t="s">
        <v>120</v>
      </c>
      <c r="O269" t="s">
        <v>62</v>
      </c>
      <c r="P269" t="s">
        <v>196</v>
      </c>
      <c r="Q269" t="s">
        <v>64</v>
      </c>
      <c r="R269" t="s">
        <v>83</v>
      </c>
      <c r="S269" t="s">
        <v>64</v>
      </c>
      <c r="T269" t="s">
        <v>74</v>
      </c>
      <c r="U269" t="s">
        <v>84</v>
      </c>
      <c r="V269">
        <v>439</v>
      </c>
      <c r="W269">
        <v>16.079999999999998</v>
      </c>
      <c r="X269" t="s">
        <v>67</v>
      </c>
      <c r="Y269" t="s">
        <v>67</v>
      </c>
      <c r="Z269" t="s">
        <v>67</v>
      </c>
      <c r="AA269" t="s">
        <v>67</v>
      </c>
      <c r="AB269" t="s">
        <v>67</v>
      </c>
      <c r="AC269">
        <v>954</v>
      </c>
      <c r="AD269">
        <v>50.38</v>
      </c>
      <c r="AE269" t="s">
        <v>67</v>
      </c>
      <c r="AF269" t="s">
        <v>67</v>
      </c>
      <c r="AG269" t="s">
        <v>67</v>
      </c>
      <c r="AH269" t="s">
        <v>67</v>
      </c>
      <c r="AI269">
        <v>-0.6</v>
      </c>
      <c r="AJ269">
        <v>0.17</v>
      </c>
      <c r="AK269" t="s">
        <v>67</v>
      </c>
      <c r="AL269">
        <v>-0.5</v>
      </c>
      <c r="AM269">
        <v>0.16</v>
      </c>
      <c r="AN269" t="s">
        <v>67</v>
      </c>
      <c r="AO269">
        <v>515</v>
      </c>
      <c r="AP269">
        <v>0.2</v>
      </c>
      <c r="AQ269" t="s">
        <v>67</v>
      </c>
      <c r="AR269" t="s">
        <v>69</v>
      </c>
      <c r="AS269" t="s">
        <v>69</v>
      </c>
      <c r="AT269" t="s">
        <v>70</v>
      </c>
      <c r="AU269" t="s">
        <v>197</v>
      </c>
      <c r="AV269" t="s">
        <v>72</v>
      </c>
      <c r="AX269" t="s">
        <v>73</v>
      </c>
      <c r="AY269">
        <v>1.298</v>
      </c>
      <c r="AZ269">
        <v>1.298</v>
      </c>
      <c r="BA269">
        <v>0.06</v>
      </c>
      <c r="BC269">
        <v>5</v>
      </c>
      <c r="BD269">
        <v>1.069</v>
      </c>
      <c r="BE269">
        <v>1.069</v>
      </c>
      <c r="BF269">
        <v>0.03</v>
      </c>
      <c r="BH269">
        <v>5</v>
      </c>
      <c r="BI269">
        <v>56</v>
      </c>
      <c r="BJ269">
        <v>1</v>
      </c>
      <c r="BK269">
        <v>-0.19409999999999999</v>
      </c>
      <c r="BL269">
        <v>2.8999999999999998E-3</v>
      </c>
    </row>
    <row r="270" spans="1:64" hidden="1" x14ac:dyDescent="0.2">
      <c r="A270">
        <v>145</v>
      </c>
      <c r="D270" t="s">
        <v>54</v>
      </c>
      <c r="E270">
        <v>2016</v>
      </c>
      <c r="F270" t="s">
        <v>198</v>
      </c>
      <c r="G270" t="s">
        <v>124</v>
      </c>
      <c r="H270" t="s">
        <v>57</v>
      </c>
      <c r="K270" t="s">
        <v>234</v>
      </c>
      <c r="L270" t="s">
        <v>200</v>
      </c>
      <c r="M270" t="s">
        <v>81</v>
      </c>
      <c r="N270" t="s">
        <v>81</v>
      </c>
      <c r="O270" t="s">
        <v>62</v>
      </c>
      <c r="P270" t="s">
        <v>63</v>
      </c>
      <c r="Q270" t="s">
        <v>64</v>
      </c>
      <c r="R270" t="s">
        <v>65</v>
      </c>
      <c r="S270" t="s">
        <v>74</v>
      </c>
      <c r="T270" t="s">
        <v>64</v>
      </c>
      <c r="U270" t="s">
        <v>75</v>
      </c>
      <c r="V270">
        <v>410</v>
      </c>
      <c r="W270">
        <v>19.16</v>
      </c>
      <c r="X270" t="s">
        <v>67</v>
      </c>
      <c r="Y270" t="s">
        <v>96</v>
      </c>
      <c r="Z270">
        <v>8.08</v>
      </c>
      <c r="AA270">
        <v>0.05</v>
      </c>
      <c r="AB270" t="s">
        <v>67</v>
      </c>
      <c r="AC270">
        <v>440</v>
      </c>
      <c r="AD270">
        <v>27.7</v>
      </c>
      <c r="AE270" t="s">
        <v>67</v>
      </c>
      <c r="AF270">
        <v>8</v>
      </c>
      <c r="AG270">
        <v>0.11</v>
      </c>
      <c r="AH270" t="s">
        <v>67</v>
      </c>
      <c r="AI270">
        <v>15.2</v>
      </c>
      <c r="AJ270">
        <v>0.7</v>
      </c>
      <c r="AK270" t="s">
        <v>67</v>
      </c>
      <c r="AL270">
        <v>20.2</v>
      </c>
      <c r="AM270">
        <v>0.6</v>
      </c>
      <c r="AN270" t="s">
        <v>67</v>
      </c>
      <c r="AO270">
        <v>29</v>
      </c>
      <c r="AP270">
        <v>5</v>
      </c>
      <c r="AQ270" t="s">
        <v>201</v>
      </c>
      <c r="AR270" t="s">
        <v>248</v>
      </c>
      <c r="AS270" t="s">
        <v>249</v>
      </c>
      <c r="AT270" t="s">
        <v>135</v>
      </c>
      <c r="AU270" t="s">
        <v>250</v>
      </c>
      <c r="AV270" t="s">
        <v>251</v>
      </c>
      <c r="AX270" t="s">
        <v>73</v>
      </c>
      <c r="AY270">
        <v>12.466799999999999</v>
      </c>
      <c r="AZ270">
        <v>12.46679</v>
      </c>
      <c r="BA270">
        <v>0.47</v>
      </c>
      <c r="BC270">
        <v>7</v>
      </c>
      <c r="BD270">
        <v>11.114800000000001</v>
      </c>
      <c r="BE270">
        <v>11.11480076</v>
      </c>
      <c r="BF270">
        <v>0.44119999999999998</v>
      </c>
      <c r="BH270">
        <v>7</v>
      </c>
      <c r="BI270">
        <v>240</v>
      </c>
      <c r="BJ270">
        <v>7</v>
      </c>
      <c r="BK270">
        <v>-0.1148</v>
      </c>
      <c r="BL270">
        <v>3.0000000000000001E-3</v>
      </c>
    </row>
    <row r="271" spans="1:64" x14ac:dyDescent="0.2">
      <c r="A271">
        <v>174</v>
      </c>
      <c r="B271" t="str">
        <f>ROW()-1&amp;"_AltersFish"</f>
        <v>270_AltersFish</v>
      </c>
      <c r="C271" t="str">
        <f>A271 &amp; "_" &amp; P271 &amp; "_" &amp;
SUBSTITUTE(TRIM(L271)," ","_") &amp;
"_pH" &amp; TEXT(Z271,"0.00") &amp;
"_T" &amp; TEXT(AI271,"0.00") &amp;
"_CO2" &amp; TEXT(V271,"0") &amp;
"_LANG"</f>
        <v>174_EMBRYO_Menidia_menidia_pH8.20_T19.70_CO2345_LANG</v>
      </c>
      <c r="D271" t="s">
        <v>54</v>
      </c>
      <c r="E271">
        <v>2018</v>
      </c>
      <c r="F271" t="s">
        <v>76</v>
      </c>
      <c r="G271" t="s">
        <v>77</v>
      </c>
      <c r="H271" t="s">
        <v>78</v>
      </c>
      <c r="I271" t="s">
        <v>540</v>
      </c>
      <c r="J271" t="s">
        <v>543</v>
      </c>
      <c r="K271" t="s">
        <v>79</v>
      </c>
      <c r="L271" t="s">
        <v>80</v>
      </c>
      <c r="M271" t="s">
        <v>81</v>
      </c>
      <c r="N271" t="s">
        <v>81</v>
      </c>
      <c r="O271" t="s">
        <v>62</v>
      </c>
      <c r="P271" t="s">
        <v>82</v>
      </c>
      <c r="Q271" t="s">
        <v>64</v>
      </c>
      <c r="R271" t="s">
        <v>83</v>
      </c>
      <c r="S271" t="s">
        <v>64</v>
      </c>
      <c r="T271" t="s">
        <v>64</v>
      </c>
      <c r="U271" t="s">
        <v>66</v>
      </c>
      <c r="V271">
        <v>345</v>
      </c>
      <c r="W271" t="s">
        <v>67</v>
      </c>
      <c r="X271" t="s">
        <v>67</v>
      </c>
      <c r="Y271" t="s">
        <v>85</v>
      </c>
      <c r="Z271">
        <v>8.1999999999999993</v>
      </c>
      <c r="AA271" t="s">
        <v>67</v>
      </c>
      <c r="AB271" t="s">
        <v>67</v>
      </c>
      <c r="AC271">
        <v>1977</v>
      </c>
      <c r="AD271" t="s">
        <v>67</v>
      </c>
      <c r="AE271" t="s">
        <v>67</v>
      </c>
      <c r="AF271">
        <v>7.62</v>
      </c>
      <c r="AG271" t="s">
        <v>67</v>
      </c>
      <c r="AH271" t="s">
        <v>67</v>
      </c>
      <c r="AI271">
        <v>19.7</v>
      </c>
      <c r="AJ271" t="s">
        <v>67</v>
      </c>
      <c r="AK271" t="s">
        <v>67</v>
      </c>
      <c r="AL271">
        <v>23.8</v>
      </c>
      <c r="AM271" t="s">
        <v>67</v>
      </c>
      <c r="AN271" t="s">
        <v>67</v>
      </c>
      <c r="AO271">
        <v>1632</v>
      </c>
      <c r="AP271">
        <v>4.0999999999999996</v>
      </c>
      <c r="AQ271" t="s">
        <v>86</v>
      </c>
      <c r="AR271" t="s">
        <v>87</v>
      </c>
      <c r="AS271" t="s">
        <v>88</v>
      </c>
      <c r="AT271" t="s">
        <v>70</v>
      </c>
      <c r="AU271" t="s">
        <v>89</v>
      </c>
      <c r="AV271" t="s">
        <v>87</v>
      </c>
      <c r="AW271" t="s">
        <v>88</v>
      </c>
      <c r="AX271" t="s">
        <v>90</v>
      </c>
      <c r="AY271">
        <v>96</v>
      </c>
      <c r="AZ271">
        <v>96</v>
      </c>
      <c r="BA271">
        <v>0.44719999999999999</v>
      </c>
      <c r="BB271">
        <f>BA271*SQRT(BC271)</f>
        <v>0.99996959953790598</v>
      </c>
      <c r="BC271">
        <v>5</v>
      </c>
      <c r="BD271">
        <v>76.400000000000006</v>
      </c>
      <c r="BE271">
        <v>76.400000000000006</v>
      </c>
      <c r="BF271">
        <v>0.67759999999999998</v>
      </c>
      <c r="BG271">
        <f>BF271*SQRT(BH271)</f>
        <v>3.3879999999999999</v>
      </c>
      <c r="BH271">
        <v>25</v>
      </c>
      <c r="BI271">
        <v>6</v>
      </c>
      <c r="BJ271">
        <v>5</v>
      </c>
      <c r="BK271">
        <v>-0.22839999999999999</v>
      </c>
      <c r="BL271">
        <v>1E-4</v>
      </c>
    </row>
    <row r="272" spans="1:64" hidden="1" x14ac:dyDescent="0.2">
      <c r="A272">
        <v>171</v>
      </c>
      <c r="D272" t="s">
        <v>54</v>
      </c>
      <c r="E272">
        <v>2015</v>
      </c>
      <c r="F272" t="s">
        <v>198</v>
      </c>
      <c r="G272" t="s">
        <v>199</v>
      </c>
      <c r="H272" t="s">
        <v>57</v>
      </c>
      <c r="K272" t="s">
        <v>79</v>
      </c>
      <c r="L272" t="s">
        <v>200</v>
      </c>
      <c r="M272" t="s">
        <v>81</v>
      </c>
      <c r="N272" t="s">
        <v>81</v>
      </c>
      <c r="O272" t="s">
        <v>62</v>
      </c>
      <c r="P272" t="s">
        <v>63</v>
      </c>
      <c r="Q272" t="s">
        <v>64</v>
      </c>
      <c r="R272" t="s">
        <v>65</v>
      </c>
      <c r="S272" t="s">
        <v>64</v>
      </c>
      <c r="T272" t="s">
        <v>64</v>
      </c>
      <c r="U272" t="s">
        <v>66</v>
      </c>
      <c r="V272">
        <v>422.07</v>
      </c>
      <c r="W272" t="s">
        <v>67</v>
      </c>
      <c r="X272">
        <v>16.57</v>
      </c>
      <c r="Y272" t="s">
        <v>96</v>
      </c>
      <c r="Z272">
        <v>8.1</v>
      </c>
      <c r="AA272" t="s">
        <v>67</v>
      </c>
      <c r="AB272">
        <v>0.05</v>
      </c>
      <c r="AC272">
        <v>1078.21</v>
      </c>
      <c r="AD272" t="s">
        <v>67</v>
      </c>
      <c r="AE272">
        <v>53.06</v>
      </c>
      <c r="AF272">
        <v>7.7</v>
      </c>
      <c r="AG272" t="s">
        <v>67</v>
      </c>
      <c r="AH272">
        <v>0.05</v>
      </c>
      <c r="AI272">
        <v>15</v>
      </c>
      <c r="AJ272" t="s">
        <v>67</v>
      </c>
      <c r="AK272">
        <v>0.5</v>
      </c>
      <c r="AL272">
        <v>20</v>
      </c>
      <c r="AM272" t="s">
        <v>67</v>
      </c>
      <c r="AN272">
        <v>0.5</v>
      </c>
      <c r="AO272">
        <v>656</v>
      </c>
      <c r="AP272">
        <v>5</v>
      </c>
      <c r="AQ272" t="s">
        <v>201</v>
      </c>
      <c r="AR272" t="s">
        <v>69</v>
      </c>
      <c r="AS272" t="s">
        <v>69</v>
      </c>
      <c r="AT272" t="s">
        <v>70</v>
      </c>
      <c r="AU272" t="s">
        <v>227</v>
      </c>
      <c r="AV272" t="s">
        <v>72</v>
      </c>
      <c r="AX272" t="s">
        <v>73</v>
      </c>
      <c r="AY272">
        <v>0.23400000000000001</v>
      </c>
      <c r="AZ272">
        <v>0.23400000000000001</v>
      </c>
      <c r="BA272">
        <v>0.01</v>
      </c>
      <c r="BC272">
        <v>77</v>
      </c>
      <c r="BD272">
        <v>0.14099999999999999</v>
      </c>
      <c r="BE272">
        <v>0.14099999999999999</v>
      </c>
      <c r="BF272">
        <v>7.0000000000000001E-3</v>
      </c>
      <c r="BH272">
        <v>77</v>
      </c>
      <c r="BI272">
        <v>176</v>
      </c>
      <c r="BJ272">
        <v>5</v>
      </c>
      <c r="BK272">
        <v>-0.50660000000000005</v>
      </c>
      <c r="BL272">
        <v>3.0999999999999999E-3</v>
      </c>
    </row>
    <row r="273" spans="1:64" hidden="1" x14ac:dyDescent="0.2">
      <c r="A273">
        <v>170</v>
      </c>
      <c r="C273" t="s">
        <v>549</v>
      </c>
      <c r="D273" t="s">
        <v>54</v>
      </c>
      <c r="E273">
        <v>2014</v>
      </c>
      <c r="F273" t="s">
        <v>55</v>
      </c>
      <c r="G273" t="s">
        <v>56</v>
      </c>
      <c r="H273" t="s">
        <v>57</v>
      </c>
      <c r="K273" t="s">
        <v>58</v>
      </c>
      <c r="L273" t="s">
        <v>59</v>
      </c>
      <c r="M273" t="s">
        <v>60</v>
      </c>
      <c r="N273" t="s">
        <v>61</v>
      </c>
      <c r="O273" t="s">
        <v>62</v>
      </c>
      <c r="P273" t="s">
        <v>82</v>
      </c>
      <c r="Q273" t="s">
        <v>64</v>
      </c>
      <c r="R273" t="s">
        <v>65</v>
      </c>
      <c r="S273" t="s">
        <v>64</v>
      </c>
      <c r="T273" t="s">
        <v>64</v>
      </c>
      <c r="U273" t="s">
        <v>66</v>
      </c>
      <c r="V273">
        <v>371.86</v>
      </c>
      <c r="W273" t="s">
        <v>67</v>
      </c>
      <c r="X273">
        <v>51.93</v>
      </c>
      <c r="Y273" t="s">
        <v>68</v>
      </c>
      <c r="Z273">
        <v>8.02</v>
      </c>
      <c r="AA273" t="s">
        <v>67</v>
      </c>
      <c r="AB273">
        <v>0.05</v>
      </c>
      <c r="AC273">
        <v>1481.1</v>
      </c>
      <c r="AD273" t="s">
        <v>67</v>
      </c>
      <c r="AE273">
        <v>107.72</v>
      </c>
      <c r="AF273">
        <v>7.49</v>
      </c>
      <c r="AG273" t="s">
        <v>67</v>
      </c>
      <c r="AH273">
        <v>0.03</v>
      </c>
      <c r="AI273">
        <v>25.9</v>
      </c>
      <c r="AJ273" t="s">
        <v>67</v>
      </c>
      <c r="AK273">
        <v>0.7</v>
      </c>
      <c r="AL273">
        <v>30.1</v>
      </c>
      <c r="AM273" t="s">
        <v>67</v>
      </c>
      <c r="AN273">
        <v>0.5</v>
      </c>
      <c r="AO273">
        <v>1109</v>
      </c>
      <c r="AP273">
        <v>4.2</v>
      </c>
      <c r="AQ273" t="s">
        <v>67</v>
      </c>
      <c r="AR273" t="s">
        <v>252</v>
      </c>
      <c r="AS273" t="s">
        <v>134</v>
      </c>
      <c r="AT273" t="s">
        <v>135</v>
      </c>
      <c r="AU273" t="s">
        <v>253</v>
      </c>
      <c r="AV273" t="s">
        <v>137</v>
      </c>
      <c r="AW273" t="s">
        <v>132</v>
      </c>
      <c r="AX273" t="s">
        <v>73</v>
      </c>
      <c r="AY273">
        <v>36.610199999999999</v>
      </c>
      <c r="AZ273">
        <v>36.610169999999997</v>
      </c>
      <c r="BA273">
        <v>1.05</v>
      </c>
      <c r="BC273">
        <v>5</v>
      </c>
      <c r="BD273">
        <v>38.644100000000002</v>
      </c>
      <c r="BE273">
        <v>38.644067800000002</v>
      </c>
      <c r="BF273">
        <v>1.8647</v>
      </c>
      <c r="BH273">
        <v>5</v>
      </c>
      <c r="BI273">
        <v>90</v>
      </c>
      <c r="BJ273">
        <v>3</v>
      </c>
      <c r="BK273">
        <v>5.4100000000000002E-2</v>
      </c>
      <c r="BL273">
        <v>3.0999999999999999E-3</v>
      </c>
    </row>
    <row r="274" spans="1:64" x14ac:dyDescent="0.2">
      <c r="A274">
        <v>174</v>
      </c>
      <c r="B274" t="str">
        <f>ROW()-1&amp;"_AltersFish"</f>
        <v>273_AltersFish</v>
      </c>
      <c r="C274" t="str">
        <f>A274 &amp; "_" &amp; P274 &amp; "_" &amp;
SUBSTITUTE(TRIM(L274)," ","_") &amp;
"_pH" &amp; TEXT(Z274,"0.00") &amp;
"_T" &amp; TEXT(AI274,"0.00") &amp;
"_CO2" &amp; TEXT(V274,"0") &amp;
"_LANG"</f>
        <v>174_EMBRYO_Menidia_menidia_pH8.20_T19.70_CO2345_LANG</v>
      </c>
      <c r="D274" t="s">
        <v>54</v>
      </c>
      <c r="E274">
        <v>2018</v>
      </c>
      <c r="F274" t="s">
        <v>76</v>
      </c>
      <c r="G274" t="s">
        <v>77</v>
      </c>
      <c r="H274" t="s">
        <v>78</v>
      </c>
      <c r="I274" t="s">
        <v>540</v>
      </c>
      <c r="J274" t="s">
        <v>543</v>
      </c>
      <c r="K274" t="s">
        <v>79</v>
      </c>
      <c r="L274" t="s">
        <v>80</v>
      </c>
      <c r="M274" t="s">
        <v>81</v>
      </c>
      <c r="N274" t="s">
        <v>81</v>
      </c>
      <c r="O274" t="s">
        <v>62</v>
      </c>
      <c r="P274" t="s">
        <v>82</v>
      </c>
      <c r="Q274" t="s">
        <v>64</v>
      </c>
      <c r="R274" t="s">
        <v>83</v>
      </c>
      <c r="S274" t="s">
        <v>64</v>
      </c>
      <c r="T274" t="s">
        <v>74</v>
      </c>
      <c r="U274" t="s">
        <v>84</v>
      </c>
      <c r="V274">
        <v>345</v>
      </c>
      <c r="W274" t="s">
        <v>67</v>
      </c>
      <c r="X274" t="s">
        <v>67</v>
      </c>
      <c r="Y274" t="s">
        <v>85</v>
      </c>
      <c r="Z274">
        <v>8.1999999999999993</v>
      </c>
      <c r="AA274" t="s">
        <v>67</v>
      </c>
      <c r="AB274" t="s">
        <v>67</v>
      </c>
      <c r="AC274">
        <v>1964</v>
      </c>
      <c r="AD274" t="s">
        <v>67</v>
      </c>
      <c r="AE274" t="s">
        <v>67</v>
      </c>
      <c r="AF274">
        <v>7.51</v>
      </c>
      <c r="AG274" t="s">
        <v>67</v>
      </c>
      <c r="AH274" t="s">
        <v>67</v>
      </c>
      <c r="AI274">
        <v>19.7</v>
      </c>
      <c r="AJ274" t="s">
        <v>67</v>
      </c>
      <c r="AK274" t="s">
        <v>67</v>
      </c>
      <c r="AL274">
        <v>19.600000000000001</v>
      </c>
      <c r="AM274" t="s">
        <v>67</v>
      </c>
      <c r="AN274" t="s">
        <v>67</v>
      </c>
      <c r="AO274">
        <v>1619</v>
      </c>
      <c r="AP274">
        <v>-0.1</v>
      </c>
      <c r="AQ274" t="s">
        <v>86</v>
      </c>
      <c r="AR274" t="s">
        <v>87</v>
      </c>
      <c r="AS274" t="s">
        <v>88</v>
      </c>
      <c r="AT274" t="s">
        <v>70</v>
      </c>
      <c r="AU274" t="s">
        <v>89</v>
      </c>
      <c r="AV274" t="s">
        <v>87</v>
      </c>
      <c r="AW274" t="s">
        <v>88</v>
      </c>
      <c r="AX274" t="s">
        <v>90</v>
      </c>
      <c r="AY274">
        <v>96</v>
      </c>
      <c r="AZ274">
        <v>96</v>
      </c>
      <c r="BA274">
        <v>0.44719999999999999</v>
      </c>
      <c r="BB274">
        <f>BA274*SQRT(BC274)</f>
        <v>0.99996959953790598</v>
      </c>
      <c r="BC274">
        <v>5</v>
      </c>
      <c r="BD274">
        <v>95</v>
      </c>
      <c r="BE274">
        <v>95</v>
      </c>
      <c r="BF274">
        <v>0.44719999999999999</v>
      </c>
      <c r="BG274">
        <f>BF274*SQRT(BH274)</f>
        <v>0.99996959953790598</v>
      </c>
      <c r="BH274">
        <v>5</v>
      </c>
      <c r="BI274">
        <v>10</v>
      </c>
      <c r="BJ274">
        <v>5</v>
      </c>
      <c r="BK274">
        <v>-1.0500000000000001E-2</v>
      </c>
      <c r="BL274">
        <v>1E-4</v>
      </c>
    </row>
    <row r="275" spans="1:64" hidden="1" x14ac:dyDescent="0.2">
      <c r="A275">
        <v>194</v>
      </c>
      <c r="D275" t="s">
        <v>54</v>
      </c>
      <c r="E275">
        <v>2012</v>
      </c>
      <c r="F275" t="s">
        <v>289</v>
      </c>
      <c r="G275" t="s">
        <v>290</v>
      </c>
      <c r="H275" t="s">
        <v>78</v>
      </c>
      <c r="K275" t="s">
        <v>93</v>
      </c>
      <c r="L275" t="s">
        <v>94</v>
      </c>
      <c r="M275" t="s">
        <v>95</v>
      </c>
      <c r="N275" t="s">
        <v>61</v>
      </c>
      <c r="O275" t="s">
        <v>62</v>
      </c>
      <c r="P275" t="s">
        <v>63</v>
      </c>
      <c r="Q275" t="s">
        <v>74</v>
      </c>
      <c r="R275" t="s">
        <v>83</v>
      </c>
      <c r="S275" t="s">
        <v>64</v>
      </c>
      <c r="T275" t="s">
        <v>74</v>
      </c>
      <c r="U275" t="s">
        <v>84</v>
      </c>
      <c r="V275">
        <v>438</v>
      </c>
      <c r="W275" t="s">
        <v>67</v>
      </c>
      <c r="X275">
        <v>46</v>
      </c>
      <c r="Y275" t="s">
        <v>96</v>
      </c>
      <c r="Z275">
        <v>8.1199999999999992</v>
      </c>
      <c r="AA275" t="s">
        <v>67</v>
      </c>
      <c r="AB275">
        <v>0.04</v>
      </c>
      <c r="AC275">
        <v>926</v>
      </c>
      <c r="AD275" t="s">
        <v>67</v>
      </c>
      <c r="AE275">
        <v>109</v>
      </c>
      <c r="AF275">
        <v>7.81</v>
      </c>
      <c r="AG275" t="s">
        <v>67</v>
      </c>
      <c r="AH275">
        <v>0.04</v>
      </c>
      <c r="AI275">
        <v>28.6</v>
      </c>
      <c r="AJ275" t="s">
        <v>67</v>
      </c>
      <c r="AK275">
        <v>0.54</v>
      </c>
      <c r="AL275">
        <v>28.6</v>
      </c>
      <c r="AM275" t="s">
        <v>67</v>
      </c>
      <c r="AN275">
        <v>0.18</v>
      </c>
      <c r="AO275">
        <v>488</v>
      </c>
      <c r="AP275">
        <v>0</v>
      </c>
      <c r="AQ275" t="s">
        <v>291</v>
      </c>
      <c r="AR275" t="s">
        <v>292</v>
      </c>
      <c r="AS275" t="s">
        <v>293</v>
      </c>
      <c r="AT275" t="s">
        <v>70</v>
      </c>
      <c r="AU275" t="s">
        <v>294</v>
      </c>
      <c r="AV275" t="s">
        <v>72</v>
      </c>
      <c r="AX275" t="s">
        <v>73</v>
      </c>
      <c r="AY275">
        <v>29.79</v>
      </c>
      <c r="AZ275">
        <v>29.79</v>
      </c>
      <c r="BA275">
        <v>0.83</v>
      </c>
      <c r="BC275">
        <v>35</v>
      </c>
      <c r="BD275">
        <v>25.41</v>
      </c>
      <c r="BE275">
        <v>25.41</v>
      </c>
      <c r="BF275">
        <v>1.25</v>
      </c>
      <c r="BH275">
        <v>29</v>
      </c>
      <c r="BI275">
        <v>21</v>
      </c>
      <c r="BJ275">
        <v>5</v>
      </c>
      <c r="BK275">
        <v>-0.159</v>
      </c>
      <c r="BL275">
        <v>3.2000000000000002E-3</v>
      </c>
    </row>
    <row r="276" spans="1:64" x14ac:dyDescent="0.2">
      <c r="A276">
        <v>174</v>
      </c>
      <c r="B276" t="str">
        <f>ROW()-1&amp;"_AltersFish"</f>
        <v>275_AltersFish</v>
      </c>
      <c r="C276" t="str">
        <f>A276 &amp; "_" &amp; P276 &amp; "_" &amp;
SUBSTITUTE(TRIM(L276)," ","_") &amp;
"_pH" &amp; TEXT(Z276,"0.00") &amp;
"_T" &amp; TEXT(AI276,"0.00") &amp;
"_CO2" &amp; TEXT(V276,"0") &amp;
"_LANG"</f>
        <v>174_EMBRYO_Menidia_menidia_pH8.20_T19.70_CO2345_LANG</v>
      </c>
      <c r="D276" t="s">
        <v>54</v>
      </c>
      <c r="E276">
        <v>2018</v>
      </c>
      <c r="F276" t="s">
        <v>76</v>
      </c>
      <c r="G276" t="s">
        <v>77</v>
      </c>
      <c r="H276" t="s">
        <v>78</v>
      </c>
      <c r="I276" t="s">
        <v>540</v>
      </c>
      <c r="J276" t="s">
        <v>543</v>
      </c>
      <c r="K276" t="s">
        <v>79</v>
      </c>
      <c r="L276" t="s">
        <v>80</v>
      </c>
      <c r="M276" t="s">
        <v>81</v>
      </c>
      <c r="N276" t="s">
        <v>81</v>
      </c>
      <c r="O276" t="s">
        <v>62</v>
      </c>
      <c r="P276" t="s">
        <v>82</v>
      </c>
      <c r="Q276" t="s">
        <v>64</v>
      </c>
      <c r="R276" t="s">
        <v>83</v>
      </c>
      <c r="S276" t="s">
        <v>74</v>
      </c>
      <c r="T276" t="s">
        <v>64</v>
      </c>
      <c r="U276" t="s">
        <v>75</v>
      </c>
      <c r="V276">
        <v>345</v>
      </c>
      <c r="W276" t="s">
        <v>67</v>
      </c>
      <c r="X276" t="s">
        <v>67</v>
      </c>
      <c r="Y276" t="s">
        <v>85</v>
      </c>
      <c r="Z276">
        <v>8.1999999999999993</v>
      </c>
      <c r="AA276" t="s">
        <v>67</v>
      </c>
      <c r="AB276" t="s">
        <v>67</v>
      </c>
      <c r="AC276">
        <v>403</v>
      </c>
      <c r="AD276" t="s">
        <v>67</v>
      </c>
      <c r="AE276" t="s">
        <v>67</v>
      </c>
      <c r="AF276">
        <v>8.2100000000000009</v>
      </c>
      <c r="AG276" t="s">
        <v>67</v>
      </c>
      <c r="AH276" t="s">
        <v>67</v>
      </c>
      <c r="AI276">
        <v>19.7</v>
      </c>
      <c r="AJ276" t="s">
        <v>67</v>
      </c>
      <c r="AK276" t="s">
        <v>67</v>
      </c>
      <c r="AL276">
        <v>23.9</v>
      </c>
      <c r="AM276" t="s">
        <v>67</v>
      </c>
      <c r="AN276" t="s">
        <v>67</v>
      </c>
      <c r="AO276">
        <v>58</v>
      </c>
      <c r="AP276">
        <v>4.2</v>
      </c>
      <c r="AQ276" t="s">
        <v>86</v>
      </c>
      <c r="AR276" t="s">
        <v>87</v>
      </c>
      <c r="AS276" t="s">
        <v>88</v>
      </c>
      <c r="AT276" t="s">
        <v>70</v>
      </c>
      <c r="AU276" t="s">
        <v>89</v>
      </c>
      <c r="AV276" t="s">
        <v>87</v>
      </c>
      <c r="AW276" t="s">
        <v>88</v>
      </c>
      <c r="AX276" t="s">
        <v>90</v>
      </c>
      <c r="AY276">
        <v>96</v>
      </c>
      <c r="AZ276">
        <v>96</v>
      </c>
      <c r="BA276">
        <v>0.44719999999999999</v>
      </c>
      <c r="BB276">
        <f>BA276*SQRT(BC276)</f>
        <v>0.99996959953790598</v>
      </c>
      <c r="BC276">
        <v>5</v>
      </c>
      <c r="BD276">
        <v>80</v>
      </c>
      <c r="BE276">
        <v>80</v>
      </c>
      <c r="BF276">
        <v>0.40500000000000003</v>
      </c>
      <c r="BG276">
        <f>BF276*SQRT(BH276)</f>
        <v>1.2807224523681937</v>
      </c>
      <c r="BH276">
        <v>10</v>
      </c>
      <c r="BI276">
        <v>6</v>
      </c>
      <c r="BJ276">
        <v>5</v>
      </c>
      <c r="BK276">
        <v>-0.18229999999999999</v>
      </c>
      <c r="BL276">
        <v>1E-4</v>
      </c>
    </row>
    <row r="277" spans="1:64" hidden="1" x14ac:dyDescent="0.2">
      <c r="A277">
        <v>142</v>
      </c>
      <c r="D277" t="s">
        <v>54</v>
      </c>
      <c r="E277">
        <v>2017</v>
      </c>
      <c r="F277" t="s">
        <v>193</v>
      </c>
      <c r="G277" t="s">
        <v>181</v>
      </c>
      <c r="H277" t="s">
        <v>78</v>
      </c>
      <c r="K277" t="s">
        <v>194</v>
      </c>
      <c r="L277" t="s">
        <v>299</v>
      </c>
      <c r="M277" t="s">
        <v>120</v>
      </c>
      <c r="N277" t="s">
        <v>120</v>
      </c>
      <c r="O277" t="s">
        <v>62</v>
      </c>
      <c r="P277" t="s">
        <v>196</v>
      </c>
      <c r="Q277" t="s">
        <v>64</v>
      </c>
      <c r="R277" t="s">
        <v>83</v>
      </c>
      <c r="S277" t="s">
        <v>74</v>
      </c>
      <c r="T277" t="s">
        <v>64</v>
      </c>
      <c r="U277" t="s">
        <v>75</v>
      </c>
      <c r="V277">
        <v>439</v>
      </c>
      <c r="W277">
        <v>16.079999999999998</v>
      </c>
      <c r="X277" t="s">
        <v>67</v>
      </c>
      <c r="Y277" t="s">
        <v>67</v>
      </c>
      <c r="Z277" t="s">
        <v>67</v>
      </c>
      <c r="AA277" t="s">
        <v>67</v>
      </c>
      <c r="AB277" t="s">
        <v>67</v>
      </c>
      <c r="AC277">
        <v>525</v>
      </c>
      <c r="AD277">
        <v>21.07</v>
      </c>
      <c r="AE277" t="s">
        <v>67</v>
      </c>
      <c r="AF277" t="s">
        <v>67</v>
      </c>
      <c r="AG277" t="s">
        <v>67</v>
      </c>
      <c r="AH277" t="s">
        <v>67</v>
      </c>
      <c r="AI277">
        <v>-0.6</v>
      </c>
      <c r="AJ277">
        <v>0.17</v>
      </c>
      <c r="AK277" t="s">
        <v>67</v>
      </c>
      <c r="AL277">
        <v>4</v>
      </c>
      <c r="AM277">
        <v>0.44</v>
      </c>
      <c r="AN277" t="s">
        <v>67</v>
      </c>
      <c r="AO277">
        <v>86</v>
      </c>
      <c r="AP277">
        <v>4.5999999999999996</v>
      </c>
      <c r="AQ277" t="s">
        <v>67</v>
      </c>
      <c r="AR277" t="s">
        <v>69</v>
      </c>
      <c r="AS277" t="s">
        <v>69</v>
      </c>
      <c r="AT277" t="s">
        <v>70</v>
      </c>
      <c r="AU277" t="s">
        <v>197</v>
      </c>
      <c r="AV277" t="s">
        <v>72</v>
      </c>
      <c r="AX277" t="s">
        <v>73</v>
      </c>
      <c r="AY277">
        <v>1.298</v>
      </c>
      <c r="AZ277">
        <v>1.298</v>
      </c>
      <c r="BA277">
        <v>0.06</v>
      </c>
      <c r="BC277">
        <v>5</v>
      </c>
      <c r="BD277">
        <v>1.1830000000000001</v>
      </c>
      <c r="BE277">
        <v>1.1830000000000001</v>
      </c>
      <c r="BF277">
        <v>0.04</v>
      </c>
      <c r="BH277">
        <v>5</v>
      </c>
      <c r="BI277">
        <v>56</v>
      </c>
      <c r="BJ277">
        <v>1</v>
      </c>
      <c r="BK277">
        <v>-9.2799999999999994E-2</v>
      </c>
      <c r="BL277">
        <v>3.3E-3</v>
      </c>
    </row>
    <row r="278" spans="1:64" hidden="1" x14ac:dyDescent="0.2">
      <c r="A278">
        <v>143</v>
      </c>
      <c r="D278" t="s">
        <v>54</v>
      </c>
      <c r="E278">
        <v>2020</v>
      </c>
      <c r="F278" t="s">
        <v>312</v>
      </c>
      <c r="G278" t="s">
        <v>263</v>
      </c>
      <c r="H278" t="s">
        <v>78</v>
      </c>
      <c r="K278" t="s">
        <v>313</v>
      </c>
      <c r="L278" t="s">
        <v>210</v>
      </c>
      <c r="M278" t="s">
        <v>156</v>
      </c>
      <c r="N278" t="s">
        <v>156</v>
      </c>
      <c r="O278" t="s">
        <v>62</v>
      </c>
      <c r="P278" t="s">
        <v>63</v>
      </c>
      <c r="Q278" t="s">
        <v>64</v>
      </c>
      <c r="R278" t="s">
        <v>83</v>
      </c>
      <c r="S278" t="s">
        <v>74</v>
      </c>
      <c r="T278" t="s">
        <v>64</v>
      </c>
      <c r="U278" t="s">
        <v>75</v>
      </c>
      <c r="V278">
        <v>655</v>
      </c>
      <c r="W278">
        <v>18</v>
      </c>
      <c r="X278" t="s">
        <v>67</v>
      </c>
      <c r="Y278" t="s">
        <v>183</v>
      </c>
      <c r="Z278">
        <v>7.97</v>
      </c>
      <c r="AA278">
        <v>0.01</v>
      </c>
      <c r="AB278" t="s">
        <v>67</v>
      </c>
      <c r="AC278">
        <v>788</v>
      </c>
      <c r="AD278">
        <v>22</v>
      </c>
      <c r="AE278" t="s">
        <v>67</v>
      </c>
      <c r="AF278">
        <v>7.92</v>
      </c>
      <c r="AG278">
        <v>0.01</v>
      </c>
      <c r="AH278" t="s">
        <v>67</v>
      </c>
      <c r="AI278">
        <v>16</v>
      </c>
      <c r="AJ278">
        <v>0.2</v>
      </c>
      <c r="AK278" t="s">
        <v>67</v>
      </c>
      <c r="AL278">
        <v>21.9</v>
      </c>
      <c r="AM278">
        <v>0.2</v>
      </c>
      <c r="AN278" t="s">
        <v>67</v>
      </c>
      <c r="AO278">
        <v>133</v>
      </c>
      <c r="AP278">
        <v>5.9</v>
      </c>
      <c r="AQ278" t="s">
        <v>314</v>
      </c>
      <c r="AR278" t="s">
        <v>315</v>
      </c>
      <c r="AS278" t="s">
        <v>316</v>
      </c>
      <c r="AT278" t="s">
        <v>135</v>
      </c>
      <c r="AU278" t="s">
        <v>67</v>
      </c>
      <c r="AV278" t="s">
        <v>132</v>
      </c>
      <c r="AX278" t="s">
        <v>73</v>
      </c>
      <c r="AY278">
        <v>6.39</v>
      </c>
      <c r="AZ278">
        <v>6.39</v>
      </c>
      <c r="BA278">
        <v>0.3</v>
      </c>
      <c r="BC278">
        <v>8</v>
      </c>
      <c r="BD278">
        <v>6.77</v>
      </c>
      <c r="BE278">
        <v>6.77</v>
      </c>
      <c r="BF278">
        <v>0.23</v>
      </c>
      <c r="BH278">
        <v>8</v>
      </c>
      <c r="BI278">
        <v>330</v>
      </c>
      <c r="BJ278">
        <v>3</v>
      </c>
      <c r="BK278">
        <v>5.7799999999999997E-2</v>
      </c>
      <c r="BL278">
        <v>3.3999999999999998E-3</v>
      </c>
    </row>
    <row r="279" spans="1:64" hidden="1" x14ac:dyDescent="0.2">
      <c r="A279">
        <v>147</v>
      </c>
      <c r="D279" t="s">
        <v>54</v>
      </c>
      <c r="E279">
        <v>2014</v>
      </c>
      <c r="F279" t="s">
        <v>317</v>
      </c>
      <c r="G279" t="s">
        <v>318</v>
      </c>
      <c r="H279" t="s">
        <v>78</v>
      </c>
      <c r="K279" t="s">
        <v>319</v>
      </c>
      <c r="L279" t="s">
        <v>320</v>
      </c>
      <c r="M279" t="s">
        <v>81</v>
      </c>
      <c r="N279" t="s">
        <v>81</v>
      </c>
      <c r="O279" t="s">
        <v>62</v>
      </c>
      <c r="P279" t="s">
        <v>63</v>
      </c>
      <c r="Q279" t="s">
        <v>74</v>
      </c>
      <c r="R279" t="s">
        <v>83</v>
      </c>
      <c r="S279" t="s">
        <v>74</v>
      </c>
      <c r="T279" t="s">
        <v>64</v>
      </c>
      <c r="U279" t="s">
        <v>75</v>
      </c>
      <c r="V279">
        <v>330</v>
      </c>
      <c r="W279">
        <v>9.5</v>
      </c>
      <c r="X279" t="s">
        <v>67</v>
      </c>
      <c r="Y279" t="s">
        <v>68</v>
      </c>
      <c r="Z279">
        <v>8.11</v>
      </c>
      <c r="AA279">
        <v>0.01</v>
      </c>
      <c r="AB279" t="s">
        <v>67</v>
      </c>
      <c r="AC279">
        <v>643</v>
      </c>
      <c r="AD279">
        <v>14.5</v>
      </c>
      <c r="AE279" t="s">
        <v>67</v>
      </c>
      <c r="AF279">
        <v>7.87</v>
      </c>
      <c r="AG279">
        <v>0.01</v>
      </c>
      <c r="AH279" t="s">
        <v>67</v>
      </c>
      <c r="AI279">
        <v>5.2</v>
      </c>
      <c r="AJ279">
        <v>0.11</v>
      </c>
      <c r="AK279" t="s">
        <v>67</v>
      </c>
      <c r="AL279">
        <v>17.899999999999999</v>
      </c>
      <c r="AM279">
        <v>0.03</v>
      </c>
      <c r="AN279" t="s">
        <v>67</v>
      </c>
      <c r="AO279">
        <v>313</v>
      </c>
      <c r="AP279">
        <v>12.7</v>
      </c>
      <c r="AQ279" t="s">
        <v>67</v>
      </c>
      <c r="AR279" t="s">
        <v>321</v>
      </c>
      <c r="AS279" t="s">
        <v>322</v>
      </c>
      <c r="AT279" t="s">
        <v>70</v>
      </c>
      <c r="AU279" t="s">
        <v>89</v>
      </c>
      <c r="AV279" t="s">
        <v>132</v>
      </c>
      <c r="AX279" t="s">
        <v>73</v>
      </c>
      <c r="AY279">
        <v>21.1371</v>
      </c>
      <c r="AZ279">
        <v>21.137139999999999</v>
      </c>
      <c r="BA279">
        <v>0.93</v>
      </c>
      <c r="BC279">
        <v>18</v>
      </c>
      <c r="BD279">
        <v>25.217099999999999</v>
      </c>
      <c r="BE279">
        <v>25.217142859999999</v>
      </c>
      <c r="BF279">
        <v>0.96</v>
      </c>
      <c r="BH279">
        <v>18</v>
      </c>
      <c r="BI279">
        <v>105</v>
      </c>
      <c r="BJ279">
        <v>2</v>
      </c>
      <c r="BK279">
        <v>0.17649999999999999</v>
      </c>
      <c r="BL279">
        <v>3.3999999999999998E-3</v>
      </c>
    </row>
    <row r="280" spans="1:64" hidden="1" x14ac:dyDescent="0.2">
      <c r="A280">
        <v>147</v>
      </c>
      <c r="D280" t="s">
        <v>54</v>
      </c>
      <c r="E280">
        <v>2014</v>
      </c>
      <c r="F280" t="s">
        <v>317</v>
      </c>
      <c r="G280" t="s">
        <v>318</v>
      </c>
      <c r="H280" t="s">
        <v>78</v>
      </c>
      <c r="K280" t="s">
        <v>319</v>
      </c>
      <c r="L280" t="s">
        <v>320</v>
      </c>
      <c r="M280" t="s">
        <v>81</v>
      </c>
      <c r="N280" t="s">
        <v>81</v>
      </c>
      <c r="O280" t="s">
        <v>62</v>
      </c>
      <c r="P280" t="s">
        <v>63</v>
      </c>
      <c r="Q280" t="s">
        <v>74</v>
      </c>
      <c r="R280" t="s">
        <v>83</v>
      </c>
      <c r="S280" t="s">
        <v>64</v>
      </c>
      <c r="T280" t="s">
        <v>64</v>
      </c>
      <c r="U280" t="s">
        <v>66</v>
      </c>
      <c r="V280">
        <v>330</v>
      </c>
      <c r="W280">
        <v>9.5</v>
      </c>
      <c r="X280" t="s">
        <v>67</v>
      </c>
      <c r="Y280" t="s">
        <v>68</v>
      </c>
      <c r="Z280">
        <v>8.11</v>
      </c>
      <c r="AA280">
        <v>0.01</v>
      </c>
      <c r="AB280" t="s">
        <v>67</v>
      </c>
      <c r="AC280">
        <v>1444</v>
      </c>
      <c r="AD280">
        <v>68.5</v>
      </c>
      <c r="AE280" t="s">
        <v>67</v>
      </c>
      <c r="AF280">
        <v>7.56</v>
      </c>
      <c r="AG280">
        <v>0.02</v>
      </c>
      <c r="AH280" t="s">
        <v>67</v>
      </c>
      <c r="AI280">
        <v>5.2</v>
      </c>
      <c r="AJ280">
        <v>0.11</v>
      </c>
      <c r="AK280" t="s">
        <v>67</v>
      </c>
      <c r="AL280">
        <v>13.6</v>
      </c>
      <c r="AM280">
        <v>0.08</v>
      </c>
      <c r="AN280" t="s">
        <v>67</v>
      </c>
      <c r="AO280">
        <v>1114</v>
      </c>
      <c r="AP280">
        <v>8.5</v>
      </c>
      <c r="AQ280" t="s">
        <v>67</v>
      </c>
      <c r="AR280" t="s">
        <v>321</v>
      </c>
      <c r="AS280" t="s">
        <v>322</v>
      </c>
      <c r="AT280" t="s">
        <v>70</v>
      </c>
      <c r="AU280" t="s">
        <v>89</v>
      </c>
      <c r="AV280" t="s">
        <v>132</v>
      </c>
      <c r="AX280" t="s">
        <v>73</v>
      </c>
      <c r="AY280">
        <v>21.1371</v>
      </c>
      <c r="AZ280">
        <v>21.137139999999999</v>
      </c>
      <c r="BA280">
        <v>0.93</v>
      </c>
      <c r="BC280">
        <v>18</v>
      </c>
      <c r="BD280">
        <v>24.154299999999999</v>
      </c>
      <c r="BE280">
        <v>24.15428571</v>
      </c>
      <c r="BF280">
        <v>0.92569999999999997</v>
      </c>
      <c r="BH280">
        <v>18</v>
      </c>
      <c r="BI280">
        <v>105</v>
      </c>
      <c r="BJ280">
        <v>2</v>
      </c>
      <c r="BK280">
        <v>0.13339999999999999</v>
      </c>
      <c r="BL280">
        <v>3.3999999999999998E-3</v>
      </c>
    </row>
    <row r="281" spans="1:64" x14ac:dyDescent="0.2">
      <c r="A281">
        <v>174</v>
      </c>
      <c r="B281" t="str">
        <f>ROW()-1&amp;"_AltersFish"</f>
        <v>280_AltersFish</v>
      </c>
      <c r="C281" t="str">
        <f>A281 &amp; "_" &amp; P281 &amp; "_" &amp;
SUBSTITUTE(TRIM(L281)," ","_") &amp;
"_pH" &amp; TEXT(Z281,"0.00") &amp;
"_T" &amp; TEXT(AI281,"0.00") &amp;
"_CO2" &amp; TEXT(V281,"0") &amp;
"_LANG"</f>
        <v>174_EMBRYO_Menidia_menidia_pH8.20_T19.70_CO2345_LANG</v>
      </c>
      <c r="D281" t="s">
        <v>54</v>
      </c>
      <c r="E281">
        <v>2018</v>
      </c>
      <c r="F281" t="s">
        <v>76</v>
      </c>
      <c r="G281" t="s">
        <v>77</v>
      </c>
      <c r="H281" t="s">
        <v>78</v>
      </c>
      <c r="I281" t="s">
        <v>540</v>
      </c>
      <c r="J281" t="s">
        <v>543</v>
      </c>
      <c r="K281" t="s">
        <v>79</v>
      </c>
      <c r="L281" t="s">
        <v>80</v>
      </c>
      <c r="M281" t="s">
        <v>81</v>
      </c>
      <c r="N281" t="s">
        <v>81</v>
      </c>
      <c r="O281" t="s">
        <v>62</v>
      </c>
      <c r="P281" t="s">
        <v>82</v>
      </c>
      <c r="Q281" t="s">
        <v>64</v>
      </c>
      <c r="R281" t="s">
        <v>83</v>
      </c>
      <c r="S281" t="s">
        <v>64</v>
      </c>
      <c r="T281" t="s">
        <v>64</v>
      </c>
      <c r="U281" t="s">
        <v>66</v>
      </c>
      <c r="V281">
        <v>345</v>
      </c>
      <c r="W281" t="s">
        <v>67</v>
      </c>
      <c r="X281" t="s">
        <v>67</v>
      </c>
      <c r="Y281" t="s">
        <v>85</v>
      </c>
      <c r="Z281">
        <v>8.1999999999999993</v>
      </c>
      <c r="AA281" t="s">
        <v>67</v>
      </c>
      <c r="AB281" t="s">
        <v>67</v>
      </c>
      <c r="AC281">
        <v>2328</v>
      </c>
      <c r="AD281" t="s">
        <v>67</v>
      </c>
      <c r="AE281" t="s">
        <v>67</v>
      </c>
      <c r="AF281">
        <v>7.5</v>
      </c>
      <c r="AG281" t="s">
        <v>67</v>
      </c>
      <c r="AH281" t="s">
        <v>67</v>
      </c>
      <c r="AI281">
        <v>19.7</v>
      </c>
      <c r="AJ281" t="s">
        <v>67</v>
      </c>
      <c r="AK281" t="s">
        <v>67</v>
      </c>
      <c r="AL281">
        <v>28</v>
      </c>
      <c r="AM281" t="s">
        <v>67</v>
      </c>
      <c r="AN281" t="s">
        <v>67</v>
      </c>
      <c r="AO281">
        <v>1983</v>
      </c>
      <c r="AP281">
        <v>8.3000000000000007</v>
      </c>
      <c r="AQ281" t="s">
        <v>86</v>
      </c>
      <c r="AR281" t="s">
        <v>87</v>
      </c>
      <c r="AS281" t="s">
        <v>88</v>
      </c>
      <c r="AT281" t="s">
        <v>70</v>
      </c>
      <c r="AU281" t="s">
        <v>89</v>
      </c>
      <c r="AV281" t="s">
        <v>87</v>
      </c>
      <c r="AW281" t="s">
        <v>88</v>
      </c>
      <c r="AX281" t="s">
        <v>90</v>
      </c>
      <c r="AY281">
        <v>96</v>
      </c>
      <c r="AZ281">
        <v>96</v>
      </c>
      <c r="BA281">
        <v>0.44719999999999999</v>
      </c>
      <c r="BB281">
        <f>BA281*SQRT(BC281)</f>
        <v>0.99996959953790598</v>
      </c>
      <c r="BC281">
        <v>5</v>
      </c>
      <c r="BD281">
        <v>58</v>
      </c>
      <c r="BE281">
        <v>58</v>
      </c>
      <c r="BF281">
        <v>0.6</v>
      </c>
      <c r="BG281">
        <f>BF281*SQRT(BH281)</f>
        <v>1.8973665961010275</v>
      </c>
      <c r="BH281">
        <v>10</v>
      </c>
      <c r="BI281">
        <v>5</v>
      </c>
      <c r="BJ281">
        <v>5</v>
      </c>
      <c r="BK281">
        <v>-0.50390000000000001</v>
      </c>
      <c r="BL281">
        <v>1E-4</v>
      </c>
    </row>
    <row r="282" spans="1:64" hidden="1" x14ac:dyDescent="0.2">
      <c r="A282">
        <v>233</v>
      </c>
      <c r="D282" t="s">
        <v>54</v>
      </c>
      <c r="E282">
        <v>2018</v>
      </c>
      <c r="F282" t="s">
        <v>208</v>
      </c>
      <c r="G282" t="s">
        <v>209</v>
      </c>
      <c r="H282" t="s">
        <v>78</v>
      </c>
      <c r="L282" t="s">
        <v>210</v>
      </c>
      <c r="P282" t="s">
        <v>63</v>
      </c>
      <c r="S282" t="s">
        <v>64</v>
      </c>
      <c r="T282" t="s">
        <v>64</v>
      </c>
      <c r="U282" t="s">
        <v>66</v>
      </c>
      <c r="V282">
        <v>500</v>
      </c>
      <c r="AC282">
        <v>1597</v>
      </c>
      <c r="AI282">
        <v>19.2</v>
      </c>
      <c r="AL282">
        <v>24.3</v>
      </c>
      <c r="AO282">
        <v>1097</v>
      </c>
      <c r="AP282">
        <v>5.0999999999999996</v>
      </c>
      <c r="AQ282" t="s">
        <v>276</v>
      </c>
      <c r="AR282" t="s">
        <v>277</v>
      </c>
      <c r="AS282" t="s">
        <v>278</v>
      </c>
      <c r="AT282" t="s">
        <v>135</v>
      </c>
      <c r="AU282" t="s">
        <v>279</v>
      </c>
      <c r="AV282" t="s">
        <v>132</v>
      </c>
      <c r="AX282" t="s">
        <v>73</v>
      </c>
      <c r="AY282">
        <v>1.0900966459999999</v>
      </c>
      <c r="AZ282">
        <v>1.0901000000000001</v>
      </c>
      <c r="BA282">
        <v>3.2609436999999998E-2</v>
      </c>
      <c r="BC282">
        <v>9</v>
      </c>
      <c r="BD282">
        <v>0.84866401400000002</v>
      </c>
      <c r="BE282">
        <v>0.84866401400000002</v>
      </c>
      <c r="BF282">
        <v>4.3411028999999997E-2</v>
      </c>
      <c r="BH282">
        <v>9</v>
      </c>
      <c r="BI282">
        <v>28</v>
      </c>
      <c r="BK282">
        <v>-0.25040000000000001</v>
      </c>
      <c r="BL282">
        <v>3.5000000000000001E-3</v>
      </c>
    </row>
    <row r="283" spans="1:64" x14ac:dyDescent="0.2">
      <c r="A283">
        <v>174</v>
      </c>
      <c r="B283" t="str">
        <f>ROW()-1&amp;"_AltersFish"</f>
        <v>282_AltersFish</v>
      </c>
      <c r="C283" t="str">
        <f>A283 &amp; "_" &amp; P283 &amp; "_" &amp;
SUBSTITUTE(TRIM(L283)," ","_") &amp;
"_pH" &amp; TEXT(Z283,"0.00") &amp;
"_T" &amp; TEXT(AI283,"0.00") &amp;
"_CO2" &amp; TEXT(V283,"0") &amp;
"_LANG"</f>
        <v>174_EMBRYO_Menidia_menidia_pH8.20_T19.70_CO2345_LANG</v>
      </c>
      <c r="D283" t="s">
        <v>54</v>
      </c>
      <c r="E283">
        <v>2018</v>
      </c>
      <c r="F283" t="s">
        <v>76</v>
      </c>
      <c r="G283" t="s">
        <v>77</v>
      </c>
      <c r="H283" t="s">
        <v>78</v>
      </c>
      <c r="I283" t="s">
        <v>540</v>
      </c>
      <c r="J283" t="s">
        <v>543</v>
      </c>
      <c r="K283" t="s">
        <v>79</v>
      </c>
      <c r="L283" t="s">
        <v>80</v>
      </c>
      <c r="M283" t="s">
        <v>81</v>
      </c>
      <c r="N283" t="s">
        <v>81</v>
      </c>
      <c r="O283" t="s">
        <v>62</v>
      </c>
      <c r="P283" t="s">
        <v>82</v>
      </c>
      <c r="Q283" t="s">
        <v>64</v>
      </c>
      <c r="R283" t="s">
        <v>83</v>
      </c>
      <c r="S283" t="s">
        <v>74</v>
      </c>
      <c r="T283" t="s">
        <v>64</v>
      </c>
      <c r="U283" t="s">
        <v>75</v>
      </c>
      <c r="V283">
        <v>345</v>
      </c>
      <c r="W283" t="s">
        <v>67</v>
      </c>
      <c r="X283" t="s">
        <v>67</v>
      </c>
      <c r="Y283" t="s">
        <v>85</v>
      </c>
      <c r="Z283">
        <v>8.1999999999999993</v>
      </c>
      <c r="AA283" t="s">
        <v>67</v>
      </c>
      <c r="AB283" t="s">
        <v>67</v>
      </c>
      <c r="AC283">
        <v>353</v>
      </c>
      <c r="AD283" t="s">
        <v>67</v>
      </c>
      <c r="AE283" t="s">
        <v>67</v>
      </c>
      <c r="AF283">
        <v>8.23</v>
      </c>
      <c r="AG283" t="s">
        <v>67</v>
      </c>
      <c r="AH283" t="s">
        <v>67</v>
      </c>
      <c r="AI283">
        <v>19.7</v>
      </c>
      <c r="AJ283" t="s">
        <v>67</v>
      </c>
      <c r="AK283" t="s">
        <v>67</v>
      </c>
      <c r="AL283">
        <v>28.2</v>
      </c>
      <c r="AM283" t="s">
        <v>67</v>
      </c>
      <c r="AN283" t="s">
        <v>67</v>
      </c>
      <c r="AO283">
        <v>8</v>
      </c>
      <c r="AP283">
        <v>8.5</v>
      </c>
      <c r="AQ283" t="s">
        <v>86</v>
      </c>
      <c r="AR283" t="s">
        <v>87</v>
      </c>
      <c r="AS283" t="s">
        <v>88</v>
      </c>
      <c r="AT283" t="s">
        <v>70</v>
      </c>
      <c r="AU283" t="s">
        <v>89</v>
      </c>
      <c r="AV283" t="s">
        <v>87</v>
      </c>
      <c r="AW283" t="s">
        <v>88</v>
      </c>
      <c r="AX283" t="s">
        <v>90</v>
      </c>
      <c r="AY283">
        <v>96</v>
      </c>
      <c r="AZ283">
        <v>96</v>
      </c>
      <c r="BA283">
        <v>0.44719999999999999</v>
      </c>
      <c r="BB283">
        <f>BA283*SQRT(BC283)</f>
        <v>0.99996959953790598</v>
      </c>
      <c r="BC283">
        <v>5</v>
      </c>
      <c r="BD283">
        <v>63</v>
      </c>
      <c r="BE283">
        <v>63</v>
      </c>
      <c r="BF283">
        <v>0.88090000000000002</v>
      </c>
      <c r="BG283">
        <f>BF283*SQRT(BH283)</f>
        <v>2.7856503908423256</v>
      </c>
      <c r="BH283">
        <v>10</v>
      </c>
      <c r="BI283">
        <v>5</v>
      </c>
      <c r="BJ283">
        <v>5</v>
      </c>
      <c r="BK283">
        <v>-0.42120000000000002</v>
      </c>
      <c r="BL283">
        <v>2.0000000000000001E-4</v>
      </c>
    </row>
    <row r="284" spans="1:64" hidden="1" x14ac:dyDescent="0.2">
      <c r="A284">
        <v>145</v>
      </c>
      <c r="D284" t="s">
        <v>54</v>
      </c>
      <c r="E284">
        <v>2016</v>
      </c>
      <c r="F284" t="s">
        <v>198</v>
      </c>
      <c r="G284" t="s">
        <v>124</v>
      </c>
      <c r="H284" t="s">
        <v>57</v>
      </c>
      <c r="K284" t="s">
        <v>234</v>
      </c>
      <c r="L284" t="s">
        <v>200</v>
      </c>
      <c r="M284" t="s">
        <v>81</v>
      </c>
      <c r="N284" t="s">
        <v>81</v>
      </c>
      <c r="O284" t="s">
        <v>62</v>
      </c>
      <c r="P284" t="s">
        <v>63</v>
      </c>
      <c r="Q284" t="s">
        <v>64</v>
      </c>
      <c r="R284" t="s">
        <v>65</v>
      </c>
      <c r="S284" t="s">
        <v>64</v>
      </c>
      <c r="T284" t="s">
        <v>74</v>
      </c>
      <c r="U284" t="s">
        <v>84</v>
      </c>
      <c r="V284">
        <v>410</v>
      </c>
      <c r="W284">
        <v>19.16</v>
      </c>
      <c r="X284" t="s">
        <v>67</v>
      </c>
      <c r="Y284" t="s">
        <v>96</v>
      </c>
      <c r="Z284">
        <v>8.08</v>
      </c>
      <c r="AA284">
        <v>0.05</v>
      </c>
      <c r="AB284" t="s">
        <v>67</v>
      </c>
      <c r="AC284">
        <v>1122</v>
      </c>
      <c r="AD284">
        <v>69.81</v>
      </c>
      <c r="AE284" t="s">
        <v>67</v>
      </c>
      <c r="AF284">
        <v>7.73</v>
      </c>
      <c r="AG284">
        <v>0.06</v>
      </c>
      <c r="AH284" t="s">
        <v>67</v>
      </c>
      <c r="AI284">
        <v>15.2</v>
      </c>
      <c r="AJ284">
        <v>0.7</v>
      </c>
      <c r="AK284" t="s">
        <v>67</v>
      </c>
      <c r="AL284">
        <v>15</v>
      </c>
      <c r="AM284">
        <v>0.6</v>
      </c>
      <c r="AN284" t="s">
        <v>67</v>
      </c>
      <c r="AO284">
        <v>712</v>
      </c>
      <c r="AP284">
        <v>-0.2</v>
      </c>
      <c r="AQ284" t="s">
        <v>201</v>
      </c>
      <c r="AR284" t="s">
        <v>235</v>
      </c>
      <c r="AS284" t="s">
        <v>236</v>
      </c>
      <c r="AT284" t="s">
        <v>70</v>
      </c>
      <c r="AU284" t="s">
        <v>237</v>
      </c>
      <c r="AV284" t="s">
        <v>132</v>
      </c>
      <c r="AX284" t="s">
        <v>73</v>
      </c>
      <c r="AY284">
        <v>2.5697999999999999</v>
      </c>
      <c r="AZ284">
        <v>2.56982</v>
      </c>
      <c r="BA284">
        <v>0.12</v>
      </c>
      <c r="BC284">
        <v>7</v>
      </c>
      <c r="BD284">
        <v>2.5697999999999999</v>
      </c>
      <c r="BE284">
        <v>2.5698219309999999</v>
      </c>
      <c r="BF284">
        <v>0.09</v>
      </c>
      <c r="BH284">
        <v>7</v>
      </c>
      <c r="BI284">
        <v>240</v>
      </c>
      <c r="BJ284">
        <v>7</v>
      </c>
      <c r="BK284">
        <v>0</v>
      </c>
      <c r="BL284">
        <v>3.5000000000000001E-3</v>
      </c>
    </row>
    <row r="285" spans="1:64" x14ac:dyDescent="0.2">
      <c r="A285">
        <v>174</v>
      </c>
      <c r="B285" t="str">
        <f>ROW()-1&amp;"_AltersFish"</f>
        <v>284_AltersFish</v>
      </c>
      <c r="C285" t="str">
        <f>A285 &amp; "_" &amp; P285 &amp; "_" &amp;
SUBSTITUTE(TRIM(L285)," ","_") &amp;
"_pH" &amp; TEXT(Z285,"0.00") &amp;
"_T" &amp; TEXT(AI285,"0.00") &amp;
"_CO2" &amp; TEXT(V285,"0") &amp;
"_LANG"</f>
        <v>174_EMBRYO_Menidia_menidia_pH8.20_T19.70_CO2345_LANG</v>
      </c>
      <c r="D285" t="s">
        <v>54</v>
      </c>
      <c r="E285">
        <v>2018</v>
      </c>
      <c r="F285" t="s">
        <v>76</v>
      </c>
      <c r="G285" t="s">
        <v>77</v>
      </c>
      <c r="H285" t="s">
        <v>78</v>
      </c>
      <c r="I285" t="s">
        <v>540</v>
      </c>
      <c r="J285" t="s">
        <v>543</v>
      </c>
      <c r="K285" t="s">
        <v>79</v>
      </c>
      <c r="L285" t="s">
        <v>80</v>
      </c>
      <c r="M285" t="s">
        <v>81</v>
      </c>
      <c r="N285" t="s">
        <v>81</v>
      </c>
      <c r="O285" t="s">
        <v>62</v>
      </c>
      <c r="P285" t="s">
        <v>82</v>
      </c>
      <c r="Q285" t="s">
        <v>64</v>
      </c>
      <c r="R285" t="s">
        <v>83</v>
      </c>
      <c r="S285" t="s">
        <v>64</v>
      </c>
      <c r="T285" t="s">
        <v>64</v>
      </c>
      <c r="U285" t="s">
        <v>66</v>
      </c>
      <c r="V285">
        <v>345</v>
      </c>
      <c r="W285" t="s">
        <v>67</v>
      </c>
      <c r="X285" t="s">
        <v>67</v>
      </c>
      <c r="Y285" t="s">
        <v>85</v>
      </c>
      <c r="Z285">
        <v>8.1999999999999993</v>
      </c>
      <c r="AA285" t="s">
        <v>67</v>
      </c>
      <c r="AB285" t="s">
        <v>67</v>
      </c>
      <c r="AC285">
        <v>4720</v>
      </c>
      <c r="AD285" t="s">
        <v>67</v>
      </c>
      <c r="AE285" t="s">
        <v>67</v>
      </c>
      <c r="AF285">
        <v>7.2</v>
      </c>
      <c r="AG285" t="s">
        <v>67</v>
      </c>
      <c r="AH285" t="s">
        <v>67</v>
      </c>
      <c r="AI285">
        <v>19.7</v>
      </c>
      <c r="AJ285" t="s">
        <v>67</v>
      </c>
      <c r="AK285" t="s">
        <v>67</v>
      </c>
      <c r="AL285">
        <v>28.2</v>
      </c>
      <c r="AM285" t="s">
        <v>67</v>
      </c>
      <c r="AN285" t="s">
        <v>67</v>
      </c>
      <c r="AO285">
        <v>4375</v>
      </c>
      <c r="AP285">
        <v>8.5</v>
      </c>
      <c r="AQ285" t="s">
        <v>86</v>
      </c>
      <c r="AR285" t="s">
        <v>87</v>
      </c>
      <c r="AS285" t="s">
        <v>88</v>
      </c>
      <c r="AT285" t="s">
        <v>70</v>
      </c>
      <c r="AU285" t="s">
        <v>89</v>
      </c>
      <c r="AV285" t="s">
        <v>87</v>
      </c>
      <c r="AW285" t="s">
        <v>88</v>
      </c>
      <c r="AX285" t="s">
        <v>90</v>
      </c>
      <c r="AY285">
        <v>96</v>
      </c>
      <c r="AZ285">
        <v>96</v>
      </c>
      <c r="BA285">
        <v>0.44719999999999999</v>
      </c>
      <c r="BB285">
        <f>BA285*SQRT(BC285)</f>
        <v>0.99996959953790598</v>
      </c>
      <c r="BC285">
        <v>5</v>
      </c>
      <c r="BD285">
        <v>72</v>
      </c>
      <c r="BE285">
        <v>72</v>
      </c>
      <c r="BF285">
        <v>1.1628000000000001</v>
      </c>
      <c r="BG285">
        <f>BF285*SQRT(BH285)</f>
        <v>2.6000998442367558</v>
      </c>
      <c r="BH285">
        <v>5</v>
      </c>
      <c r="BI285">
        <v>5</v>
      </c>
      <c r="BJ285">
        <v>5</v>
      </c>
      <c r="BK285">
        <v>-0.28770000000000001</v>
      </c>
      <c r="BL285">
        <v>2.9999999999999997E-4</v>
      </c>
    </row>
    <row r="286" spans="1:64" hidden="1" x14ac:dyDescent="0.2">
      <c r="A286">
        <v>151</v>
      </c>
      <c r="D286" t="s">
        <v>54</v>
      </c>
      <c r="E286">
        <v>2015</v>
      </c>
      <c r="F286" t="s">
        <v>262</v>
      </c>
      <c r="G286" t="s">
        <v>263</v>
      </c>
      <c r="H286" t="s">
        <v>57</v>
      </c>
      <c r="K286" t="s">
        <v>264</v>
      </c>
      <c r="L286" t="s">
        <v>265</v>
      </c>
      <c r="M286" t="s">
        <v>81</v>
      </c>
      <c r="N286" t="s">
        <v>81</v>
      </c>
      <c r="O286" t="s">
        <v>62</v>
      </c>
      <c r="P286" t="s">
        <v>63</v>
      </c>
      <c r="Q286" t="s">
        <v>64</v>
      </c>
      <c r="R286" t="s">
        <v>65</v>
      </c>
      <c r="S286" t="s">
        <v>64</v>
      </c>
      <c r="T286" t="s">
        <v>64</v>
      </c>
      <c r="U286" t="s">
        <v>66</v>
      </c>
      <c r="V286">
        <v>589</v>
      </c>
      <c r="W286">
        <v>50.9</v>
      </c>
      <c r="X286" t="s">
        <v>67</v>
      </c>
      <c r="Y286" t="s">
        <v>96</v>
      </c>
      <c r="Z286">
        <v>7.96</v>
      </c>
      <c r="AA286">
        <v>0.01</v>
      </c>
      <c r="AB286" t="s">
        <v>67</v>
      </c>
      <c r="AC286">
        <v>1014</v>
      </c>
      <c r="AD286">
        <v>115</v>
      </c>
      <c r="AE286" t="s">
        <v>67</v>
      </c>
      <c r="AF286">
        <v>7.68</v>
      </c>
      <c r="AG286">
        <v>0.01</v>
      </c>
      <c r="AH286" t="s">
        <v>67</v>
      </c>
      <c r="AI286">
        <v>16.399999999999999</v>
      </c>
      <c r="AJ286">
        <v>0.1</v>
      </c>
      <c r="AK286" t="s">
        <v>67</v>
      </c>
      <c r="AL286">
        <v>18.7</v>
      </c>
      <c r="AM286">
        <v>0.1</v>
      </c>
      <c r="AN286" t="s">
        <v>67</v>
      </c>
      <c r="AO286">
        <v>425</v>
      </c>
      <c r="AP286">
        <v>2.2999999999999998</v>
      </c>
      <c r="AQ286" t="s">
        <v>325</v>
      </c>
      <c r="AR286" t="s">
        <v>113</v>
      </c>
      <c r="AS286" t="s">
        <v>113</v>
      </c>
      <c r="AT286" t="s">
        <v>70</v>
      </c>
      <c r="AU286" t="s">
        <v>67</v>
      </c>
      <c r="AV286" t="s">
        <v>72</v>
      </c>
      <c r="AX286" t="s">
        <v>73</v>
      </c>
      <c r="AY286">
        <v>0.28520000000000001</v>
      </c>
      <c r="AZ286">
        <v>0.28520000000000001</v>
      </c>
      <c r="BA286">
        <v>0.02</v>
      </c>
      <c r="BC286">
        <v>4</v>
      </c>
      <c r="BD286">
        <v>0.46489999999999998</v>
      </c>
      <c r="BE286">
        <v>0.46488413499999998</v>
      </c>
      <c r="BF286">
        <v>1.14E-2</v>
      </c>
      <c r="BH286">
        <v>4</v>
      </c>
      <c r="BI286">
        <v>56</v>
      </c>
      <c r="BJ286">
        <v>4</v>
      </c>
      <c r="BK286">
        <v>0.48859999999999998</v>
      </c>
      <c r="BL286">
        <v>3.5999999999999999E-3</v>
      </c>
    </row>
    <row r="287" spans="1:64" x14ac:dyDescent="0.2">
      <c r="A287">
        <v>183</v>
      </c>
      <c r="B287" t="str">
        <f>ROW()-1&amp;"_AltersFish"</f>
        <v>286_AltersFish</v>
      </c>
      <c r="C287" t="str">
        <f>A287 &amp; "_" &amp; P287 &amp; "_" &amp;
SUBSTITUTE(TRIM(L287)," ","_") &amp;
"_pH" &amp; TEXT(Z287,"0.00") &amp;
"_T" &amp; TEXT(AI287,"0.00") &amp;
"_CO2" &amp; TEXT(V287,"0") &amp;
"_LANG"</f>
        <v>183_EMBRYO_Ammodytes_dubius_pH8.15_T4.90_CO2385_LANG</v>
      </c>
      <c r="D287" t="s">
        <v>54</v>
      </c>
      <c r="E287">
        <v>2019</v>
      </c>
      <c r="F287" t="s">
        <v>116</v>
      </c>
      <c r="G287" t="s">
        <v>117</v>
      </c>
      <c r="H287" t="s">
        <v>78</v>
      </c>
      <c r="I287" t="s">
        <v>540</v>
      </c>
      <c r="J287" t="s">
        <v>543</v>
      </c>
      <c r="K287" t="s">
        <v>79</v>
      </c>
      <c r="L287" t="s">
        <v>118</v>
      </c>
      <c r="M287" t="s">
        <v>119</v>
      </c>
      <c r="N287" t="s">
        <v>120</v>
      </c>
      <c r="O287" t="s">
        <v>62</v>
      </c>
      <c r="P287" t="s">
        <v>82</v>
      </c>
      <c r="Q287" t="s">
        <v>64</v>
      </c>
      <c r="R287" t="s">
        <v>83</v>
      </c>
      <c r="S287" t="s">
        <v>64</v>
      </c>
      <c r="T287" t="s">
        <v>74</v>
      </c>
      <c r="U287" t="s">
        <v>84</v>
      </c>
      <c r="V287">
        <v>385</v>
      </c>
      <c r="W287" t="s">
        <v>67</v>
      </c>
      <c r="X287">
        <v>11</v>
      </c>
      <c r="Y287" t="s">
        <v>121</v>
      </c>
      <c r="Z287">
        <v>8.15</v>
      </c>
      <c r="AA287" t="s">
        <v>67</v>
      </c>
      <c r="AB287">
        <v>0.06</v>
      </c>
      <c r="AC287">
        <v>2180</v>
      </c>
      <c r="AD287" t="s">
        <v>67</v>
      </c>
      <c r="AE287">
        <v>68</v>
      </c>
      <c r="AF287">
        <v>7.43</v>
      </c>
      <c r="AG287" t="s">
        <v>67</v>
      </c>
      <c r="AH287">
        <v>7.0000000000000007E-2</v>
      </c>
      <c r="AI287">
        <v>4.9000000000000004</v>
      </c>
      <c r="AJ287" t="s">
        <v>67</v>
      </c>
      <c r="AK287">
        <v>0.2</v>
      </c>
      <c r="AL287">
        <v>4.8</v>
      </c>
      <c r="AM287" t="s">
        <v>67</v>
      </c>
      <c r="AN287">
        <v>0.3</v>
      </c>
      <c r="AO287">
        <v>1795</v>
      </c>
      <c r="AP287">
        <v>-0.1</v>
      </c>
      <c r="AQ287" t="s">
        <v>67</v>
      </c>
      <c r="AR287" t="s">
        <v>305</v>
      </c>
      <c r="AS287" t="s">
        <v>159</v>
      </c>
      <c r="AT287" t="s">
        <v>135</v>
      </c>
      <c r="AU287" t="s">
        <v>160</v>
      </c>
      <c r="AV287" t="s">
        <v>11</v>
      </c>
      <c r="AW287" t="s">
        <v>72</v>
      </c>
      <c r="AX287" t="s">
        <v>73</v>
      </c>
      <c r="AY287">
        <v>0.16700000000000001</v>
      </c>
      <c r="AZ287">
        <v>0.16700000000000001</v>
      </c>
      <c r="BA287">
        <v>0.01</v>
      </c>
      <c r="BB287">
        <f>BA287*SQRT(BC287)</f>
        <v>6.1644140029689765E-2</v>
      </c>
      <c r="BC287">
        <v>38</v>
      </c>
      <c r="BD287">
        <v>0.14000000000000001</v>
      </c>
      <c r="BE287">
        <v>0.14000000000000001</v>
      </c>
      <c r="BF287">
        <v>3.8999999999999998E-3</v>
      </c>
      <c r="BG287">
        <f>BF287*SQRT(BH287)</f>
        <v>2.4972184525988109E-2</v>
      </c>
      <c r="BH287">
        <v>41</v>
      </c>
      <c r="BI287">
        <v>36</v>
      </c>
      <c r="BJ287">
        <v>2</v>
      </c>
      <c r="BK287">
        <v>-0.1764</v>
      </c>
      <c r="BL287">
        <v>2.3999999999999998E-3</v>
      </c>
    </row>
    <row r="288" spans="1:64" x14ac:dyDescent="0.2">
      <c r="A288">
        <v>183</v>
      </c>
      <c r="B288" t="str">
        <f>ROW()-1&amp;"_AltersFish"</f>
        <v>287_AltersFish</v>
      </c>
      <c r="C288" t="str">
        <f>A288 &amp; "_" &amp; P288 &amp; "_" &amp;
SUBSTITUTE(TRIM(L288)," ","_") &amp;
"_pH" &amp; TEXT(Z288,"0.00") &amp;
"_T" &amp; TEXT(AI288,"0.00") &amp;
"_CO2" &amp; TEXT(V288,"0") &amp;
"_LANG"</f>
        <v>183_EMBRYO_Ammodytes_dubius_pH8.15_T4.90_CO2385_LANG</v>
      </c>
      <c r="D288" t="s">
        <v>54</v>
      </c>
      <c r="E288">
        <v>2019</v>
      </c>
      <c r="F288" t="s">
        <v>116</v>
      </c>
      <c r="G288" t="s">
        <v>117</v>
      </c>
      <c r="H288" t="s">
        <v>78</v>
      </c>
      <c r="I288" t="s">
        <v>540</v>
      </c>
      <c r="J288" t="s">
        <v>543</v>
      </c>
      <c r="K288" t="s">
        <v>79</v>
      </c>
      <c r="L288" t="s">
        <v>118</v>
      </c>
      <c r="M288" t="s">
        <v>119</v>
      </c>
      <c r="N288" t="s">
        <v>120</v>
      </c>
      <c r="O288" t="s">
        <v>62</v>
      </c>
      <c r="P288" t="s">
        <v>82</v>
      </c>
      <c r="Q288" t="s">
        <v>64</v>
      </c>
      <c r="R288" t="s">
        <v>83</v>
      </c>
      <c r="S288" t="s">
        <v>74</v>
      </c>
      <c r="T288" t="s">
        <v>64</v>
      </c>
      <c r="U288" t="s">
        <v>75</v>
      </c>
      <c r="V288">
        <v>385</v>
      </c>
      <c r="W288" t="s">
        <v>67</v>
      </c>
      <c r="X288">
        <v>11</v>
      </c>
      <c r="Y288" t="s">
        <v>121</v>
      </c>
      <c r="Z288">
        <v>8.15</v>
      </c>
      <c r="AA288" t="s">
        <v>67</v>
      </c>
      <c r="AB288">
        <v>0.06</v>
      </c>
      <c r="AC288">
        <v>379</v>
      </c>
      <c r="AD288" t="s">
        <v>67</v>
      </c>
      <c r="AE288">
        <v>9</v>
      </c>
      <c r="AF288">
        <v>8.16</v>
      </c>
      <c r="AG288" t="s">
        <v>67</v>
      </c>
      <c r="AH288">
        <v>0.05</v>
      </c>
      <c r="AI288">
        <v>4.9000000000000004</v>
      </c>
      <c r="AJ288" t="s">
        <v>67</v>
      </c>
      <c r="AK288">
        <v>0.2</v>
      </c>
      <c r="AL288">
        <v>7.1</v>
      </c>
      <c r="AM288" t="s">
        <v>67</v>
      </c>
      <c r="AN288">
        <v>0.3</v>
      </c>
      <c r="AO288">
        <v>-6</v>
      </c>
      <c r="AP288">
        <v>2.2000000000000002</v>
      </c>
      <c r="AQ288" t="s">
        <v>67</v>
      </c>
      <c r="AR288" t="s">
        <v>305</v>
      </c>
      <c r="AS288" t="s">
        <v>159</v>
      </c>
      <c r="AT288" t="s">
        <v>135</v>
      </c>
      <c r="AU288" t="s">
        <v>160</v>
      </c>
      <c r="AV288" t="s">
        <v>11</v>
      </c>
      <c r="AW288" t="s">
        <v>72</v>
      </c>
      <c r="AX288" t="s">
        <v>73</v>
      </c>
      <c r="AY288">
        <v>0.16700000000000001</v>
      </c>
      <c r="AZ288">
        <v>0.16700000000000001</v>
      </c>
      <c r="BA288">
        <v>0.01</v>
      </c>
      <c r="BB288">
        <f>BA288*SQRT(BC288)</f>
        <v>6.1644140029689765E-2</v>
      </c>
      <c r="BC288">
        <v>38</v>
      </c>
      <c r="BD288">
        <v>0.184</v>
      </c>
      <c r="BE288">
        <v>0.184</v>
      </c>
      <c r="BF288">
        <v>5.7000000000000002E-3</v>
      </c>
      <c r="BG288">
        <f>BF288*SQRT(BH288)</f>
        <v>3.6049965325919531E-2</v>
      </c>
      <c r="BH288">
        <v>40</v>
      </c>
      <c r="BI288">
        <v>27</v>
      </c>
      <c r="BJ288">
        <v>2</v>
      </c>
      <c r="BK288">
        <v>9.69E-2</v>
      </c>
      <c r="BL288">
        <v>2.5000000000000001E-3</v>
      </c>
    </row>
    <row r="289" spans="1:64" hidden="1" x14ac:dyDescent="0.2">
      <c r="A289">
        <v>171</v>
      </c>
      <c r="D289" t="s">
        <v>54</v>
      </c>
      <c r="E289">
        <v>2015</v>
      </c>
      <c r="F289" t="s">
        <v>198</v>
      </c>
      <c r="G289" t="s">
        <v>199</v>
      </c>
      <c r="H289" t="s">
        <v>57</v>
      </c>
      <c r="K289" t="s">
        <v>79</v>
      </c>
      <c r="L289" t="s">
        <v>200</v>
      </c>
      <c r="M289" t="s">
        <v>81</v>
      </c>
      <c r="N289" t="s">
        <v>81</v>
      </c>
      <c r="O289" t="s">
        <v>62</v>
      </c>
      <c r="P289" t="s">
        <v>63</v>
      </c>
      <c r="Q289" t="s">
        <v>64</v>
      </c>
      <c r="R289" t="s">
        <v>65</v>
      </c>
      <c r="S289" t="s">
        <v>74</v>
      </c>
      <c r="T289" t="s">
        <v>64</v>
      </c>
      <c r="U289" t="s">
        <v>75</v>
      </c>
      <c r="V289">
        <v>422.07</v>
      </c>
      <c r="W289" t="s">
        <v>67</v>
      </c>
      <c r="X289">
        <v>16.57</v>
      </c>
      <c r="Y289" t="s">
        <v>96</v>
      </c>
      <c r="Z289">
        <v>8.1</v>
      </c>
      <c r="AA289" t="s">
        <v>67</v>
      </c>
      <c r="AB289">
        <v>0.05</v>
      </c>
      <c r="AC289">
        <v>414.68</v>
      </c>
      <c r="AD289" t="s">
        <v>67</v>
      </c>
      <c r="AE289">
        <v>5.22</v>
      </c>
      <c r="AF289">
        <v>8.1</v>
      </c>
      <c r="AG289" t="s">
        <v>67</v>
      </c>
      <c r="AH289">
        <v>0.05</v>
      </c>
      <c r="AI289">
        <v>15</v>
      </c>
      <c r="AJ289" t="s">
        <v>67</v>
      </c>
      <c r="AK289">
        <v>0.5</v>
      </c>
      <c r="AL289">
        <v>18</v>
      </c>
      <c r="AM289" t="s">
        <v>67</v>
      </c>
      <c r="AN289">
        <v>0.5</v>
      </c>
      <c r="AO289">
        <v>-7</v>
      </c>
      <c r="AP289">
        <v>3</v>
      </c>
      <c r="AQ289" t="s">
        <v>201</v>
      </c>
      <c r="AR289" t="s">
        <v>69</v>
      </c>
      <c r="AS289" t="s">
        <v>69</v>
      </c>
      <c r="AT289" t="s">
        <v>70</v>
      </c>
      <c r="AU289" t="s">
        <v>227</v>
      </c>
      <c r="AV289" t="s">
        <v>72</v>
      </c>
      <c r="AX289" t="s">
        <v>73</v>
      </c>
      <c r="AY289">
        <v>0.23400000000000001</v>
      </c>
      <c r="AZ289">
        <v>0.23400000000000001</v>
      </c>
      <c r="BA289">
        <v>0.01</v>
      </c>
      <c r="BC289">
        <v>77</v>
      </c>
      <c r="BD289">
        <v>0.106</v>
      </c>
      <c r="BE289">
        <v>0.106</v>
      </c>
      <c r="BF289">
        <v>6.0000000000000001E-3</v>
      </c>
      <c r="BH289">
        <v>77</v>
      </c>
      <c r="BI289">
        <v>157</v>
      </c>
      <c r="BJ289">
        <v>5</v>
      </c>
      <c r="BK289">
        <v>-0.79190000000000005</v>
      </c>
      <c r="BL289">
        <v>3.8999999999999998E-3</v>
      </c>
    </row>
    <row r="290" spans="1:64" hidden="1" x14ac:dyDescent="0.2">
      <c r="A290">
        <v>147</v>
      </c>
      <c r="D290" t="s">
        <v>54</v>
      </c>
      <c r="E290">
        <v>2014</v>
      </c>
      <c r="F290" t="s">
        <v>317</v>
      </c>
      <c r="G290" t="s">
        <v>318</v>
      </c>
      <c r="H290" t="s">
        <v>78</v>
      </c>
      <c r="K290" t="s">
        <v>319</v>
      </c>
      <c r="L290" t="s">
        <v>320</v>
      </c>
      <c r="M290" t="s">
        <v>81</v>
      </c>
      <c r="N290" t="s">
        <v>81</v>
      </c>
      <c r="O290" t="s">
        <v>62</v>
      </c>
      <c r="P290" t="s">
        <v>63</v>
      </c>
      <c r="Q290" t="s">
        <v>74</v>
      </c>
      <c r="R290" t="s">
        <v>83</v>
      </c>
      <c r="S290" t="s">
        <v>74</v>
      </c>
      <c r="T290" t="s">
        <v>64</v>
      </c>
      <c r="U290" t="s">
        <v>75</v>
      </c>
      <c r="V290">
        <v>330</v>
      </c>
      <c r="W290">
        <v>9.5</v>
      </c>
      <c r="X290" t="s">
        <v>67</v>
      </c>
      <c r="Y290" t="s">
        <v>68</v>
      </c>
      <c r="Z290">
        <v>8.11</v>
      </c>
      <c r="AA290">
        <v>0.01</v>
      </c>
      <c r="AB290" t="s">
        <v>67</v>
      </c>
      <c r="AC290">
        <v>473</v>
      </c>
      <c r="AD290">
        <v>12</v>
      </c>
      <c r="AE290" t="s">
        <v>67</v>
      </c>
      <c r="AF290">
        <v>7.99</v>
      </c>
      <c r="AG290">
        <v>0.01</v>
      </c>
      <c r="AH290" t="s">
        <v>67</v>
      </c>
      <c r="AI290">
        <v>5.2</v>
      </c>
      <c r="AJ290">
        <v>0.11</v>
      </c>
      <c r="AK290" t="s">
        <v>67</v>
      </c>
      <c r="AL290">
        <v>11.7</v>
      </c>
      <c r="AM290">
        <v>0.02</v>
      </c>
      <c r="AN290" t="s">
        <v>67</v>
      </c>
      <c r="AO290">
        <v>143</v>
      </c>
      <c r="AP290">
        <v>6.6</v>
      </c>
      <c r="AQ290" t="s">
        <v>67</v>
      </c>
      <c r="AR290" t="s">
        <v>321</v>
      </c>
      <c r="AS290" t="s">
        <v>322</v>
      </c>
      <c r="AT290" t="s">
        <v>70</v>
      </c>
      <c r="AU290" t="s">
        <v>89</v>
      </c>
      <c r="AV290" t="s">
        <v>132</v>
      </c>
      <c r="AX290" t="s">
        <v>73</v>
      </c>
      <c r="AY290">
        <v>21.1371</v>
      </c>
      <c r="AZ290">
        <v>21.137139999999999</v>
      </c>
      <c r="BA290">
        <v>0.93</v>
      </c>
      <c r="BC290">
        <v>18</v>
      </c>
      <c r="BD290">
        <v>20.8629</v>
      </c>
      <c r="BE290">
        <v>20.862857139999999</v>
      </c>
      <c r="BF290">
        <v>0.92569999999999997</v>
      </c>
      <c r="BH290">
        <v>18</v>
      </c>
      <c r="BI290">
        <v>105</v>
      </c>
      <c r="BJ290">
        <v>2</v>
      </c>
      <c r="BK290">
        <v>-1.3100000000000001E-2</v>
      </c>
      <c r="BL290">
        <v>3.8999999999999998E-3</v>
      </c>
    </row>
    <row r="291" spans="1:64" hidden="1" x14ac:dyDescent="0.2">
      <c r="A291">
        <v>159</v>
      </c>
      <c r="D291" t="s">
        <v>54</v>
      </c>
      <c r="E291">
        <v>2018</v>
      </c>
      <c r="F291" t="s">
        <v>326</v>
      </c>
      <c r="G291" t="s">
        <v>327</v>
      </c>
      <c r="H291" t="s">
        <v>78</v>
      </c>
      <c r="K291" t="s">
        <v>205</v>
      </c>
      <c r="L291" t="s">
        <v>225</v>
      </c>
      <c r="M291" t="s">
        <v>120</v>
      </c>
      <c r="N291" t="s">
        <v>120</v>
      </c>
      <c r="O291" t="s">
        <v>110</v>
      </c>
      <c r="P291" t="s">
        <v>196</v>
      </c>
      <c r="Q291" t="s">
        <v>64</v>
      </c>
      <c r="R291" t="s">
        <v>83</v>
      </c>
      <c r="S291" t="s">
        <v>74</v>
      </c>
      <c r="T291" t="s">
        <v>64</v>
      </c>
      <c r="U291" t="s">
        <v>75</v>
      </c>
      <c r="V291">
        <v>390</v>
      </c>
      <c r="W291" t="s">
        <v>67</v>
      </c>
      <c r="X291" t="s">
        <v>67</v>
      </c>
      <c r="Y291" t="s">
        <v>67</v>
      </c>
      <c r="Z291" t="s">
        <v>67</v>
      </c>
      <c r="AA291" t="s">
        <v>67</v>
      </c>
      <c r="AB291" t="s">
        <v>67</v>
      </c>
      <c r="AC291">
        <v>390</v>
      </c>
      <c r="AD291" t="s">
        <v>67</v>
      </c>
      <c r="AE291" t="s">
        <v>67</v>
      </c>
      <c r="AF291" t="s">
        <v>67</v>
      </c>
      <c r="AG291" t="s">
        <v>67</v>
      </c>
      <c r="AH291" t="s">
        <v>67</v>
      </c>
      <c r="AI291">
        <v>0</v>
      </c>
      <c r="AJ291" t="s">
        <v>67</v>
      </c>
      <c r="AK291" t="s">
        <v>67</v>
      </c>
      <c r="AL291">
        <v>8</v>
      </c>
      <c r="AM291" t="s">
        <v>67</v>
      </c>
      <c r="AN291" t="s">
        <v>67</v>
      </c>
      <c r="AO291">
        <v>0</v>
      </c>
      <c r="AP291">
        <v>8</v>
      </c>
      <c r="AQ291" t="s">
        <v>67</v>
      </c>
      <c r="AR291" t="s">
        <v>328</v>
      </c>
      <c r="AS291" t="s">
        <v>329</v>
      </c>
      <c r="AT291" t="s">
        <v>70</v>
      </c>
      <c r="AU291" t="s">
        <v>330</v>
      </c>
      <c r="AV291" t="s">
        <v>251</v>
      </c>
      <c r="AX291" t="s">
        <v>73</v>
      </c>
      <c r="AY291">
        <v>3.49</v>
      </c>
      <c r="AZ291">
        <v>3.49</v>
      </c>
      <c r="BA291">
        <v>0.19</v>
      </c>
      <c r="BC291">
        <v>5</v>
      </c>
      <c r="BD291">
        <v>3.88</v>
      </c>
      <c r="BE291">
        <v>3.88</v>
      </c>
      <c r="BF291">
        <v>0.12</v>
      </c>
      <c r="BH291">
        <v>4</v>
      </c>
      <c r="BI291">
        <v>120</v>
      </c>
      <c r="BJ291" t="s">
        <v>67</v>
      </c>
      <c r="BK291">
        <v>0.10589999999999999</v>
      </c>
      <c r="BL291">
        <v>3.8999999999999998E-3</v>
      </c>
    </row>
    <row r="292" spans="1:64" hidden="1" x14ac:dyDescent="0.2">
      <c r="A292">
        <v>233</v>
      </c>
      <c r="D292" t="s">
        <v>54</v>
      </c>
      <c r="E292">
        <v>2018</v>
      </c>
      <c r="F292" t="s">
        <v>208</v>
      </c>
      <c r="G292" t="s">
        <v>209</v>
      </c>
      <c r="H292" t="s">
        <v>78</v>
      </c>
      <c r="L292" t="s">
        <v>210</v>
      </c>
      <c r="P292" t="s">
        <v>63</v>
      </c>
      <c r="S292" t="s">
        <v>74</v>
      </c>
      <c r="T292" t="s">
        <v>64</v>
      </c>
      <c r="U292" t="s">
        <v>75</v>
      </c>
      <c r="V292">
        <v>500</v>
      </c>
      <c r="AC292">
        <v>542</v>
      </c>
      <c r="AI292">
        <v>19.2</v>
      </c>
      <c r="AL292">
        <v>24.3</v>
      </c>
      <c r="AO292">
        <v>42</v>
      </c>
      <c r="AP292">
        <v>5.0999999999999996</v>
      </c>
      <c r="AQ292" t="s">
        <v>276</v>
      </c>
      <c r="AR292" t="s">
        <v>331</v>
      </c>
      <c r="AS292" t="s">
        <v>332</v>
      </c>
      <c r="AT292" t="s">
        <v>333</v>
      </c>
      <c r="AU292" t="s">
        <v>334</v>
      </c>
      <c r="AV292" t="s">
        <v>132</v>
      </c>
      <c r="AX292" t="s">
        <v>73</v>
      </c>
      <c r="AY292">
        <v>0.90447698600000004</v>
      </c>
      <c r="AZ292">
        <v>0.90447999999999995</v>
      </c>
      <c r="BA292">
        <v>4.3955020999999997E-2</v>
      </c>
      <c r="BC292">
        <v>9</v>
      </c>
      <c r="BD292">
        <v>1.52252462</v>
      </c>
      <c r="BE292">
        <v>1.52252462</v>
      </c>
      <c r="BF292">
        <v>6.0391591000000001E-2</v>
      </c>
      <c r="BH292">
        <v>9</v>
      </c>
      <c r="BI292">
        <v>28</v>
      </c>
      <c r="BK292">
        <v>-0.52080000000000004</v>
      </c>
      <c r="BL292">
        <v>3.8999999999999998E-3</v>
      </c>
    </row>
    <row r="293" spans="1:64" hidden="1" x14ac:dyDescent="0.2">
      <c r="A293">
        <v>147</v>
      </c>
      <c r="D293" t="s">
        <v>54</v>
      </c>
      <c r="E293">
        <v>2014</v>
      </c>
      <c r="F293" t="s">
        <v>317</v>
      </c>
      <c r="G293" t="s">
        <v>318</v>
      </c>
      <c r="H293" t="s">
        <v>78</v>
      </c>
      <c r="K293" t="s">
        <v>319</v>
      </c>
      <c r="L293" t="s">
        <v>320</v>
      </c>
      <c r="M293" t="s">
        <v>81</v>
      </c>
      <c r="N293" t="s">
        <v>81</v>
      </c>
      <c r="O293" t="s">
        <v>62</v>
      </c>
      <c r="P293" t="s">
        <v>63</v>
      </c>
      <c r="Q293" t="s">
        <v>74</v>
      </c>
      <c r="R293" t="s">
        <v>83</v>
      </c>
      <c r="S293" t="s">
        <v>64</v>
      </c>
      <c r="T293" t="s">
        <v>64</v>
      </c>
      <c r="U293" t="s">
        <v>66</v>
      </c>
      <c r="V293">
        <v>330</v>
      </c>
      <c r="W293">
        <v>9.5</v>
      </c>
      <c r="X293" t="s">
        <v>67</v>
      </c>
      <c r="Y293" t="s">
        <v>68</v>
      </c>
      <c r="Z293">
        <v>8.11</v>
      </c>
      <c r="AA293">
        <v>0.01</v>
      </c>
      <c r="AB293" t="s">
        <v>67</v>
      </c>
      <c r="AC293">
        <v>1826</v>
      </c>
      <c r="AD293">
        <v>95</v>
      </c>
      <c r="AE293" t="s">
        <v>67</v>
      </c>
      <c r="AF293">
        <v>7.47</v>
      </c>
      <c r="AG293">
        <v>0.02</v>
      </c>
      <c r="AH293" t="s">
        <v>67</v>
      </c>
      <c r="AI293">
        <v>5.2</v>
      </c>
      <c r="AJ293">
        <v>0.11</v>
      </c>
      <c r="AK293" t="s">
        <v>67</v>
      </c>
      <c r="AL293">
        <v>17.899999999999999</v>
      </c>
      <c r="AM293">
        <v>7.0000000000000007E-2</v>
      </c>
      <c r="AN293" t="s">
        <v>67</v>
      </c>
      <c r="AO293">
        <v>1496</v>
      </c>
      <c r="AP293">
        <v>12.7</v>
      </c>
      <c r="AQ293" t="s">
        <v>67</v>
      </c>
      <c r="AR293" t="s">
        <v>321</v>
      </c>
      <c r="AS293" t="s">
        <v>322</v>
      </c>
      <c r="AT293" t="s">
        <v>70</v>
      </c>
      <c r="AU293" t="s">
        <v>89</v>
      </c>
      <c r="AV293" t="s">
        <v>132</v>
      </c>
      <c r="AX293" t="s">
        <v>73</v>
      </c>
      <c r="AY293">
        <v>21.1371</v>
      </c>
      <c r="AZ293">
        <v>21.137139999999999</v>
      </c>
      <c r="BA293">
        <v>0.93</v>
      </c>
      <c r="BC293">
        <v>18</v>
      </c>
      <c r="BD293">
        <v>22.131399999999999</v>
      </c>
      <c r="BE293">
        <v>22.131428570000001</v>
      </c>
      <c r="BF293">
        <v>0.99429999999999996</v>
      </c>
      <c r="BH293">
        <v>18</v>
      </c>
      <c r="BI293">
        <v>105</v>
      </c>
      <c r="BJ293">
        <v>2</v>
      </c>
      <c r="BK293">
        <v>4.5999999999999999E-2</v>
      </c>
      <c r="BL293">
        <v>3.8999999999999998E-3</v>
      </c>
    </row>
    <row r="294" spans="1:64" hidden="1" x14ac:dyDescent="0.2">
      <c r="A294">
        <v>194</v>
      </c>
      <c r="D294" t="s">
        <v>54</v>
      </c>
      <c r="E294">
        <v>2012</v>
      </c>
      <c r="F294" t="s">
        <v>289</v>
      </c>
      <c r="G294" t="s">
        <v>290</v>
      </c>
      <c r="H294" t="s">
        <v>78</v>
      </c>
      <c r="K294" t="s">
        <v>93</v>
      </c>
      <c r="L294" t="s">
        <v>94</v>
      </c>
      <c r="M294" t="s">
        <v>95</v>
      </c>
      <c r="N294" t="s">
        <v>61</v>
      </c>
      <c r="O294" t="s">
        <v>62</v>
      </c>
      <c r="P294" t="s">
        <v>63</v>
      </c>
      <c r="Q294" t="s">
        <v>74</v>
      </c>
      <c r="R294" t="s">
        <v>83</v>
      </c>
      <c r="S294" t="s">
        <v>64</v>
      </c>
      <c r="T294" t="s">
        <v>64</v>
      </c>
      <c r="U294" t="s">
        <v>66</v>
      </c>
      <c r="V294">
        <v>438</v>
      </c>
      <c r="W294" t="s">
        <v>67</v>
      </c>
      <c r="X294">
        <v>46</v>
      </c>
      <c r="Y294" t="s">
        <v>96</v>
      </c>
      <c r="Z294">
        <v>8.1199999999999992</v>
      </c>
      <c r="AA294" t="s">
        <v>67</v>
      </c>
      <c r="AB294">
        <v>0.04</v>
      </c>
      <c r="AC294">
        <v>974</v>
      </c>
      <c r="AD294" t="s">
        <v>67</v>
      </c>
      <c r="AE294">
        <v>114</v>
      </c>
      <c r="AF294">
        <v>7.79</v>
      </c>
      <c r="AG294" t="s">
        <v>67</v>
      </c>
      <c r="AH294">
        <v>0.04</v>
      </c>
      <c r="AI294">
        <v>28.6</v>
      </c>
      <c r="AJ294" t="s">
        <v>67</v>
      </c>
      <c r="AK294">
        <v>0.54</v>
      </c>
      <c r="AL294">
        <v>30</v>
      </c>
      <c r="AM294" t="s">
        <v>67</v>
      </c>
      <c r="AN294">
        <v>0.36</v>
      </c>
      <c r="AO294">
        <v>536</v>
      </c>
      <c r="AP294">
        <v>1.4</v>
      </c>
      <c r="AQ294" t="s">
        <v>291</v>
      </c>
      <c r="AR294" t="s">
        <v>292</v>
      </c>
      <c r="AS294" t="s">
        <v>293</v>
      </c>
      <c r="AT294" t="s">
        <v>70</v>
      </c>
      <c r="AU294" t="s">
        <v>294</v>
      </c>
      <c r="AV294" t="s">
        <v>72</v>
      </c>
      <c r="AX294" t="s">
        <v>73</v>
      </c>
      <c r="AY294">
        <v>29.79</v>
      </c>
      <c r="AZ294">
        <v>29.79</v>
      </c>
      <c r="BA294">
        <v>0.83</v>
      </c>
      <c r="BC294">
        <v>35</v>
      </c>
      <c r="BD294">
        <v>25.83</v>
      </c>
      <c r="BE294">
        <v>25.83</v>
      </c>
      <c r="BF294">
        <v>1.46</v>
      </c>
      <c r="BH294">
        <v>38</v>
      </c>
      <c r="BI294">
        <v>21</v>
      </c>
      <c r="BJ294">
        <v>5</v>
      </c>
      <c r="BK294">
        <v>-0.1426</v>
      </c>
      <c r="BL294">
        <v>4.0000000000000001E-3</v>
      </c>
    </row>
    <row r="295" spans="1:64" x14ac:dyDescent="0.2">
      <c r="A295">
        <v>183</v>
      </c>
      <c r="B295" t="str">
        <f>ROW()-1&amp;"_AltersFish"</f>
        <v>294_AltersFish</v>
      </c>
      <c r="C295" t="str">
        <f>A295 &amp; "_" &amp; P295 &amp; "_" &amp;
SUBSTITUTE(TRIM(L295)," ","_") &amp;
"_pH" &amp; TEXT(Z295,"0.00") &amp;
"_T" &amp; TEXT(AI295,"0.00") &amp;
"_CO2" &amp; TEXT(V295,"0") &amp;
"_LANG"</f>
        <v>183_EMBRYO_Ammodytes_dubius_pH8.15_T4.90_CO2385_LANG</v>
      </c>
      <c r="D295" t="s">
        <v>54</v>
      </c>
      <c r="E295">
        <v>2019</v>
      </c>
      <c r="F295" t="s">
        <v>116</v>
      </c>
      <c r="G295" t="s">
        <v>117</v>
      </c>
      <c r="H295" t="s">
        <v>78</v>
      </c>
      <c r="I295" t="s">
        <v>540</v>
      </c>
      <c r="J295" t="s">
        <v>543</v>
      </c>
      <c r="K295" t="s">
        <v>79</v>
      </c>
      <c r="L295" t="s">
        <v>118</v>
      </c>
      <c r="M295" t="s">
        <v>119</v>
      </c>
      <c r="N295" t="s">
        <v>120</v>
      </c>
      <c r="O295" t="s">
        <v>62</v>
      </c>
      <c r="P295" t="s">
        <v>82</v>
      </c>
      <c r="Q295" t="s">
        <v>64</v>
      </c>
      <c r="R295" t="s">
        <v>83</v>
      </c>
      <c r="S295" t="s">
        <v>64</v>
      </c>
      <c r="T295" t="s">
        <v>64</v>
      </c>
      <c r="U295" t="s">
        <v>66</v>
      </c>
      <c r="V295">
        <v>385</v>
      </c>
      <c r="W295" t="s">
        <v>67</v>
      </c>
      <c r="X295">
        <v>11</v>
      </c>
      <c r="Y295" t="s">
        <v>121</v>
      </c>
      <c r="Z295">
        <v>8.15</v>
      </c>
      <c r="AA295" t="s">
        <v>67</v>
      </c>
      <c r="AB295">
        <v>0.06</v>
      </c>
      <c r="AC295">
        <v>1076</v>
      </c>
      <c r="AD295" t="s">
        <v>67</v>
      </c>
      <c r="AE295">
        <v>29</v>
      </c>
      <c r="AF295">
        <v>7.74</v>
      </c>
      <c r="AG295" t="s">
        <v>67</v>
      </c>
      <c r="AH295">
        <v>7.0000000000000007E-2</v>
      </c>
      <c r="AI295">
        <v>4.9000000000000004</v>
      </c>
      <c r="AJ295" t="s">
        <v>67</v>
      </c>
      <c r="AK295">
        <v>0.2</v>
      </c>
      <c r="AL295">
        <v>7</v>
      </c>
      <c r="AM295" t="s">
        <v>67</v>
      </c>
      <c r="AN295">
        <v>0.3</v>
      </c>
      <c r="AO295">
        <v>691</v>
      </c>
      <c r="AP295">
        <v>2.1</v>
      </c>
      <c r="AQ295" t="s">
        <v>67</v>
      </c>
      <c r="AR295" t="s">
        <v>305</v>
      </c>
      <c r="AS295" t="s">
        <v>159</v>
      </c>
      <c r="AT295" t="s">
        <v>135</v>
      </c>
      <c r="AU295" t="s">
        <v>160</v>
      </c>
      <c r="AV295" t="s">
        <v>11</v>
      </c>
      <c r="AW295" t="s">
        <v>72</v>
      </c>
      <c r="AX295" t="s">
        <v>73</v>
      </c>
      <c r="AY295">
        <v>0.16700000000000001</v>
      </c>
      <c r="AZ295">
        <v>0.16700000000000001</v>
      </c>
      <c r="BA295">
        <v>0.01</v>
      </c>
      <c r="BB295">
        <f>BA295*SQRT(BC295)</f>
        <v>6.1644140029689765E-2</v>
      </c>
      <c r="BC295">
        <v>38</v>
      </c>
      <c r="BD295">
        <v>0.14799999999999999</v>
      </c>
      <c r="BE295">
        <v>0.14799999999999999</v>
      </c>
      <c r="BF295">
        <v>4.5999999999999999E-3</v>
      </c>
      <c r="BG295">
        <f>BF295*SQRT(BH295)</f>
        <v>2.909295447354909E-2</v>
      </c>
      <c r="BH295">
        <v>40</v>
      </c>
      <c r="BI295">
        <v>29</v>
      </c>
      <c r="BJ295">
        <v>2</v>
      </c>
      <c r="BK295">
        <v>-0.1208</v>
      </c>
      <c r="BL295">
        <v>2.5000000000000001E-3</v>
      </c>
    </row>
    <row r="296" spans="1:64" hidden="1" x14ac:dyDescent="0.2">
      <c r="A296">
        <v>153</v>
      </c>
      <c r="D296" t="s">
        <v>54</v>
      </c>
      <c r="E296">
        <v>2017</v>
      </c>
      <c r="F296" t="s">
        <v>335</v>
      </c>
      <c r="G296" t="s">
        <v>220</v>
      </c>
      <c r="H296" t="s">
        <v>78</v>
      </c>
      <c r="K296" t="s">
        <v>205</v>
      </c>
      <c r="L296" t="s">
        <v>225</v>
      </c>
      <c r="M296" t="s">
        <v>120</v>
      </c>
      <c r="N296" t="s">
        <v>120</v>
      </c>
      <c r="O296" t="s">
        <v>110</v>
      </c>
      <c r="P296" t="s">
        <v>63</v>
      </c>
      <c r="Q296" t="s">
        <v>64</v>
      </c>
      <c r="R296" t="s">
        <v>83</v>
      </c>
      <c r="S296" t="s">
        <v>64</v>
      </c>
      <c r="T296" t="s">
        <v>74</v>
      </c>
      <c r="U296" t="s">
        <v>84</v>
      </c>
      <c r="V296">
        <v>437</v>
      </c>
      <c r="W296" t="s">
        <v>67</v>
      </c>
      <c r="X296">
        <v>21.6</v>
      </c>
      <c r="Y296" t="s">
        <v>68</v>
      </c>
      <c r="Z296">
        <v>8.0299999999999994</v>
      </c>
      <c r="AA296" t="s">
        <v>67</v>
      </c>
      <c r="AB296">
        <v>0.02</v>
      </c>
      <c r="AC296">
        <v>1124</v>
      </c>
      <c r="AD296" t="s">
        <v>67</v>
      </c>
      <c r="AE296">
        <v>86.23</v>
      </c>
      <c r="AF296">
        <v>7.64</v>
      </c>
      <c r="AG296" t="s">
        <v>67</v>
      </c>
      <c r="AH296">
        <v>0.03</v>
      </c>
      <c r="AI296">
        <v>5.6</v>
      </c>
      <c r="AJ296" t="s">
        <v>67</v>
      </c>
      <c r="AK296">
        <v>0.19</v>
      </c>
      <c r="AL296">
        <v>5.6</v>
      </c>
      <c r="AM296" t="s">
        <v>67</v>
      </c>
      <c r="AN296">
        <v>0.21</v>
      </c>
      <c r="AO296">
        <v>687</v>
      </c>
      <c r="AP296">
        <v>0</v>
      </c>
      <c r="AQ296" t="s">
        <v>67</v>
      </c>
      <c r="AR296" t="s">
        <v>336</v>
      </c>
      <c r="AS296" t="s">
        <v>337</v>
      </c>
      <c r="AT296" t="s">
        <v>70</v>
      </c>
      <c r="AU296" t="s">
        <v>67</v>
      </c>
      <c r="AV296" t="s">
        <v>132</v>
      </c>
      <c r="AX296" t="s">
        <v>73</v>
      </c>
      <c r="AY296">
        <v>0.73909999999999998</v>
      </c>
      <c r="AZ296">
        <v>0.73912999999999995</v>
      </c>
      <c r="BA296">
        <v>3.2599999999999997E-2</v>
      </c>
      <c r="BC296">
        <v>6</v>
      </c>
      <c r="BD296">
        <v>0.71740000000000004</v>
      </c>
      <c r="BE296">
        <v>0.717391</v>
      </c>
      <c r="BF296">
        <v>3.2599999999999997E-2</v>
      </c>
      <c r="BH296">
        <v>5</v>
      </c>
      <c r="BI296">
        <v>120</v>
      </c>
      <c r="BJ296">
        <v>6</v>
      </c>
      <c r="BK296">
        <v>-2.9899999999999999E-2</v>
      </c>
      <c r="BL296">
        <v>4.0000000000000001E-3</v>
      </c>
    </row>
    <row r="297" spans="1:64" hidden="1" x14ac:dyDescent="0.2">
      <c r="A297">
        <v>145</v>
      </c>
      <c r="D297" t="s">
        <v>54</v>
      </c>
      <c r="E297">
        <v>2016</v>
      </c>
      <c r="F297" t="s">
        <v>198</v>
      </c>
      <c r="G297" t="s">
        <v>124</v>
      </c>
      <c r="H297" t="s">
        <v>57</v>
      </c>
      <c r="K297" t="s">
        <v>234</v>
      </c>
      <c r="L297" t="s">
        <v>200</v>
      </c>
      <c r="M297" t="s">
        <v>81</v>
      </c>
      <c r="N297" t="s">
        <v>81</v>
      </c>
      <c r="O297" t="s">
        <v>62</v>
      </c>
      <c r="P297" t="s">
        <v>63</v>
      </c>
      <c r="Q297" t="s">
        <v>64</v>
      </c>
      <c r="R297" t="s">
        <v>65</v>
      </c>
      <c r="S297" t="s">
        <v>64</v>
      </c>
      <c r="T297" t="s">
        <v>64</v>
      </c>
      <c r="U297" t="s">
        <v>66</v>
      </c>
      <c r="V297">
        <v>410</v>
      </c>
      <c r="W297">
        <v>19.16</v>
      </c>
      <c r="X297" t="s">
        <v>67</v>
      </c>
      <c r="Y297" t="s">
        <v>96</v>
      </c>
      <c r="Z297">
        <v>8.08</v>
      </c>
      <c r="AA297">
        <v>0.05</v>
      </c>
      <c r="AB297" t="s">
        <v>67</v>
      </c>
      <c r="AC297">
        <v>1084</v>
      </c>
      <c r="AD297">
        <v>73.39</v>
      </c>
      <c r="AE297" t="s">
        <v>67</v>
      </c>
      <c r="AF297">
        <v>7.71</v>
      </c>
      <c r="AG297">
        <v>7.0000000000000007E-2</v>
      </c>
      <c r="AH297" t="s">
        <v>67</v>
      </c>
      <c r="AI297">
        <v>15.2</v>
      </c>
      <c r="AJ297">
        <v>0.7</v>
      </c>
      <c r="AK297" t="s">
        <v>67</v>
      </c>
      <c r="AL297">
        <v>19.7</v>
      </c>
      <c r="AM297">
        <v>0.7</v>
      </c>
      <c r="AN297" t="s">
        <v>67</v>
      </c>
      <c r="AO297">
        <v>674</v>
      </c>
      <c r="AP297">
        <v>4.5</v>
      </c>
      <c r="AQ297" t="s">
        <v>201</v>
      </c>
      <c r="AR297" t="s">
        <v>235</v>
      </c>
      <c r="AS297" t="s">
        <v>236</v>
      </c>
      <c r="AT297" t="s">
        <v>70</v>
      </c>
      <c r="AU297" t="s">
        <v>237</v>
      </c>
      <c r="AV297" t="s">
        <v>132</v>
      </c>
      <c r="AX297" t="s">
        <v>73</v>
      </c>
      <c r="AY297">
        <v>2.5697999999999999</v>
      </c>
      <c r="AZ297">
        <v>2.56982</v>
      </c>
      <c r="BA297">
        <v>0.12</v>
      </c>
      <c r="BC297">
        <v>7</v>
      </c>
      <c r="BD297">
        <v>2.4573999999999998</v>
      </c>
      <c r="BE297">
        <v>2.4573570760000001</v>
      </c>
      <c r="BF297">
        <v>0.1012</v>
      </c>
      <c r="BH297">
        <v>7</v>
      </c>
      <c r="BI297">
        <v>240</v>
      </c>
      <c r="BJ297">
        <v>7</v>
      </c>
      <c r="BK297">
        <v>-4.48E-2</v>
      </c>
      <c r="BL297">
        <v>4.0000000000000001E-3</v>
      </c>
    </row>
    <row r="298" spans="1:64" hidden="1" x14ac:dyDescent="0.2">
      <c r="A298">
        <v>145</v>
      </c>
      <c r="D298" t="s">
        <v>54</v>
      </c>
      <c r="E298">
        <v>2016</v>
      </c>
      <c r="F298" t="s">
        <v>198</v>
      </c>
      <c r="G298" t="s">
        <v>124</v>
      </c>
      <c r="H298" t="s">
        <v>57</v>
      </c>
      <c r="K298" t="s">
        <v>234</v>
      </c>
      <c r="L298" t="s">
        <v>200</v>
      </c>
      <c r="M298" t="s">
        <v>81</v>
      </c>
      <c r="N298" t="s">
        <v>81</v>
      </c>
      <c r="O298" t="s">
        <v>62</v>
      </c>
      <c r="P298" t="s">
        <v>63</v>
      </c>
      <c r="Q298" t="s">
        <v>64</v>
      </c>
      <c r="R298" t="s">
        <v>65</v>
      </c>
      <c r="S298" t="s">
        <v>64</v>
      </c>
      <c r="T298" t="s">
        <v>64</v>
      </c>
      <c r="U298" t="s">
        <v>66</v>
      </c>
      <c r="V298">
        <v>410</v>
      </c>
      <c r="W298">
        <v>19.16</v>
      </c>
      <c r="X298" t="s">
        <v>67</v>
      </c>
      <c r="Y298" t="s">
        <v>96</v>
      </c>
      <c r="Z298">
        <v>8.08</v>
      </c>
      <c r="AA298">
        <v>0.05</v>
      </c>
      <c r="AB298" t="s">
        <v>67</v>
      </c>
      <c r="AC298">
        <v>1084</v>
      </c>
      <c r="AD298">
        <v>73.39</v>
      </c>
      <c r="AE298" t="s">
        <v>67</v>
      </c>
      <c r="AF298">
        <v>7.71</v>
      </c>
      <c r="AG298">
        <v>7.0000000000000007E-2</v>
      </c>
      <c r="AH298" t="s">
        <v>67</v>
      </c>
      <c r="AI298">
        <v>15.2</v>
      </c>
      <c r="AJ298">
        <v>0.7</v>
      </c>
      <c r="AK298" t="s">
        <v>67</v>
      </c>
      <c r="AL298">
        <v>19.7</v>
      </c>
      <c r="AM298">
        <v>0.7</v>
      </c>
      <c r="AN298" t="s">
        <v>67</v>
      </c>
      <c r="AO298">
        <v>674</v>
      </c>
      <c r="AP298">
        <v>4.5</v>
      </c>
      <c r="AQ298" t="s">
        <v>201</v>
      </c>
      <c r="AR298" t="s">
        <v>248</v>
      </c>
      <c r="AS298" t="s">
        <v>249</v>
      </c>
      <c r="AT298" t="s">
        <v>135</v>
      </c>
      <c r="AU298" t="s">
        <v>250</v>
      </c>
      <c r="AV298" t="s">
        <v>251</v>
      </c>
      <c r="AX298" t="s">
        <v>73</v>
      </c>
      <c r="AY298">
        <v>12.466799999999999</v>
      </c>
      <c r="AZ298">
        <v>12.46679</v>
      </c>
      <c r="BA298">
        <v>0.47</v>
      </c>
      <c r="BC298">
        <v>7</v>
      </c>
      <c r="BD298">
        <v>11.072100000000001</v>
      </c>
      <c r="BE298">
        <v>11.07210626</v>
      </c>
      <c r="BF298">
        <v>0.56930000000000003</v>
      </c>
      <c r="BH298">
        <v>7</v>
      </c>
      <c r="BI298">
        <v>240</v>
      </c>
      <c r="BJ298">
        <v>7</v>
      </c>
      <c r="BK298">
        <v>-0.1186</v>
      </c>
      <c r="BL298">
        <v>4.1000000000000003E-3</v>
      </c>
    </row>
    <row r="299" spans="1:64" hidden="1" x14ac:dyDescent="0.2">
      <c r="A299">
        <v>171</v>
      </c>
      <c r="D299" t="s">
        <v>54</v>
      </c>
      <c r="E299">
        <v>2015</v>
      </c>
      <c r="F299" t="s">
        <v>198</v>
      </c>
      <c r="G299" t="s">
        <v>199</v>
      </c>
      <c r="H299" t="s">
        <v>57</v>
      </c>
      <c r="K299" t="s">
        <v>79</v>
      </c>
      <c r="L299" t="s">
        <v>200</v>
      </c>
      <c r="M299" t="s">
        <v>81</v>
      </c>
      <c r="N299" t="s">
        <v>81</v>
      </c>
      <c r="O299" t="s">
        <v>62</v>
      </c>
      <c r="P299" t="s">
        <v>63</v>
      </c>
      <c r="Q299" t="s">
        <v>64</v>
      </c>
      <c r="R299" t="s">
        <v>65</v>
      </c>
      <c r="S299" t="s">
        <v>74</v>
      </c>
      <c r="T299" t="s">
        <v>64</v>
      </c>
      <c r="U299" t="s">
        <v>75</v>
      </c>
      <c r="V299">
        <v>422.07</v>
      </c>
      <c r="W299" t="s">
        <v>67</v>
      </c>
      <c r="X299">
        <v>16.57</v>
      </c>
      <c r="Y299" t="s">
        <v>96</v>
      </c>
      <c r="Z299">
        <v>8.1</v>
      </c>
      <c r="AA299" t="s">
        <v>67</v>
      </c>
      <c r="AB299">
        <v>0.05</v>
      </c>
      <c r="AC299">
        <v>423.94</v>
      </c>
      <c r="AD299" t="s">
        <v>67</v>
      </c>
      <c r="AE299">
        <v>16.579999999999998</v>
      </c>
      <c r="AF299">
        <v>8.1</v>
      </c>
      <c r="AG299" t="s">
        <v>67</v>
      </c>
      <c r="AH299">
        <v>0.05</v>
      </c>
      <c r="AI299">
        <v>15</v>
      </c>
      <c r="AJ299" t="s">
        <v>67</v>
      </c>
      <c r="AK299">
        <v>0.5</v>
      </c>
      <c r="AL299">
        <v>20</v>
      </c>
      <c r="AM299" t="s">
        <v>67</v>
      </c>
      <c r="AN299">
        <v>0.5</v>
      </c>
      <c r="AO299">
        <v>2</v>
      </c>
      <c r="AP299">
        <v>5</v>
      </c>
      <c r="AQ299" t="s">
        <v>201</v>
      </c>
      <c r="AR299" t="s">
        <v>69</v>
      </c>
      <c r="AS299" t="s">
        <v>69</v>
      </c>
      <c r="AT299" t="s">
        <v>70</v>
      </c>
      <c r="AU299" t="s">
        <v>227</v>
      </c>
      <c r="AV299" t="s">
        <v>72</v>
      </c>
      <c r="AX299" t="s">
        <v>73</v>
      </c>
      <c r="AY299">
        <v>0.23400000000000001</v>
      </c>
      <c r="AZ299">
        <v>0.23400000000000001</v>
      </c>
      <c r="BA299">
        <v>0.01</v>
      </c>
      <c r="BC299">
        <v>77</v>
      </c>
      <c r="BD299">
        <v>0.187</v>
      </c>
      <c r="BE299">
        <v>0.187</v>
      </c>
      <c r="BF299">
        <v>1.0999999999999999E-2</v>
      </c>
      <c r="BH299">
        <v>77</v>
      </c>
      <c r="BI299">
        <v>181</v>
      </c>
      <c r="BJ299">
        <v>5</v>
      </c>
      <c r="BK299">
        <v>-0.22420000000000001</v>
      </c>
      <c r="BL299">
        <v>4.1000000000000003E-3</v>
      </c>
    </row>
    <row r="300" spans="1:64" x14ac:dyDescent="0.2">
      <c r="A300">
        <v>183</v>
      </c>
      <c r="B300" t="str">
        <f>ROW()-1&amp;"_AltersFish"</f>
        <v>299_AltersFish</v>
      </c>
      <c r="C300" t="str">
        <f>A300 &amp; "_" &amp; P300 &amp; "_" &amp;
SUBSTITUTE(TRIM(L300)," ","_") &amp;
"_pH" &amp; TEXT(Z300,"0.00") &amp;
"_T" &amp; TEXT(AI300,"0.00") &amp;
"_CO2" &amp; TEXT(V300,"0") &amp;
"_LANG"</f>
        <v>183_EMBRYO_Ammodytes_dubius_pH8.15_T4.90_CO2385_LANG</v>
      </c>
      <c r="D300" t="s">
        <v>54</v>
      </c>
      <c r="E300">
        <v>2019</v>
      </c>
      <c r="F300" t="s">
        <v>116</v>
      </c>
      <c r="G300" t="s">
        <v>117</v>
      </c>
      <c r="H300" t="s">
        <v>78</v>
      </c>
      <c r="I300" t="s">
        <v>540</v>
      </c>
      <c r="J300" t="s">
        <v>543</v>
      </c>
      <c r="K300" t="s">
        <v>79</v>
      </c>
      <c r="L300" t="s">
        <v>118</v>
      </c>
      <c r="M300" t="s">
        <v>119</v>
      </c>
      <c r="N300" t="s">
        <v>120</v>
      </c>
      <c r="O300" t="s">
        <v>62</v>
      </c>
      <c r="P300" t="s">
        <v>82</v>
      </c>
      <c r="Q300" t="s">
        <v>64</v>
      </c>
      <c r="R300" t="s">
        <v>83</v>
      </c>
      <c r="S300" t="s">
        <v>74</v>
      </c>
      <c r="T300" t="s">
        <v>64</v>
      </c>
      <c r="U300" t="s">
        <v>75</v>
      </c>
      <c r="V300">
        <v>385</v>
      </c>
      <c r="W300" t="s">
        <v>67</v>
      </c>
      <c r="X300">
        <v>11</v>
      </c>
      <c r="Y300" t="s">
        <v>121</v>
      </c>
      <c r="Z300">
        <v>8.15</v>
      </c>
      <c r="AA300" t="s">
        <v>67</v>
      </c>
      <c r="AB300">
        <v>0.06</v>
      </c>
      <c r="AC300">
        <v>404</v>
      </c>
      <c r="AD300" t="s">
        <v>67</v>
      </c>
      <c r="AE300">
        <v>9</v>
      </c>
      <c r="AF300">
        <v>8.15</v>
      </c>
      <c r="AG300" t="s">
        <v>67</v>
      </c>
      <c r="AH300">
        <v>0.04</v>
      </c>
      <c r="AI300">
        <v>4.9000000000000004</v>
      </c>
      <c r="AJ300" t="s">
        <v>67</v>
      </c>
      <c r="AK300">
        <v>0.2</v>
      </c>
      <c r="AL300">
        <v>10</v>
      </c>
      <c r="AM300" t="s">
        <v>67</v>
      </c>
      <c r="AN300">
        <v>0.4</v>
      </c>
      <c r="AO300">
        <v>19</v>
      </c>
      <c r="AP300">
        <v>5.0999999999999996</v>
      </c>
      <c r="AQ300" t="s">
        <v>67</v>
      </c>
      <c r="AR300" t="s">
        <v>305</v>
      </c>
      <c r="AS300" t="s">
        <v>159</v>
      </c>
      <c r="AT300" t="s">
        <v>135</v>
      </c>
      <c r="AU300" t="s">
        <v>160</v>
      </c>
      <c r="AV300" t="s">
        <v>11</v>
      </c>
      <c r="AW300" t="s">
        <v>72</v>
      </c>
      <c r="AX300" t="s">
        <v>73</v>
      </c>
      <c r="AY300">
        <v>0.16700000000000001</v>
      </c>
      <c r="AZ300">
        <v>0.16700000000000001</v>
      </c>
      <c r="BA300">
        <v>0.01</v>
      </c>
      <c r="BB300">
        <f>BA300*SQRT(BC300)</f>
        <v>6.1644140029689765E-2</v>
      </c>
      <c r="BC300">
        <v>38</v>
      </c>
      <c r="BD300">
        <v>0.159</v>
      </c>
      <c r="BE300">
        <v>0.159</v>
      </c>
      <c r="BF300">
        <v>5.3E-3</v>
      </c>
      <c r="BG300">
        <f>BF300*SQRT(BH300)</f>
        <v>2.8044963897284662E-2</v>
      </c>
      <c r="BH300">
        <v>28</v>
      </c>
      <c r="BI300">
        <v>20</v>
      </c>
      <c r="BJ300">
        <v>2</v>
      </c>
      <c r="BK300">
        <v>-4.9099999999999998E-2</v>
      </c>
      <c r="BL300">
        <v>2.7000000000000001E-3</v>
      </c>
    </row>
    <row r="301" spans="1:64" hidden="1" x14ac:dyDescent="0.2">
      <c r="A301">
        <v>147</v>
      </c>
      <c r="D301" t="s">
        <v>54</v>
      </c>
      <c r="E301">
        <v>2014</v>
      </c>
      <c r="F301" t="s">
        <v>317</v>
      </c>
      <c r="G301" t="s">
        <v>318</v>
      </c>
      <c r="H301" t="s">
        <v>78</v>
      </c>
      <c r="K301" t="s">
        <v>319</v>
      </c>
      <c r="L301" t="s">
        <v>320</v>
      </c>
      <c r="M301" t="s">
        <v>81</v>
      </c>
      <c r="N301" t="s">
        <v>81</v>
      </c>
      <c r="O301" t="s">
        <v>62</v>
      </c>
      <c r="P301" t="s">
        <v>63</v>
      </c>
      <c r="Q301" t="s">
        <v>74</v>
      </c>
      <c r="R301" t="s">
        <v>83</v>
      </c>
      <c r="S301" t="s">
        <v>64</v>
      </c>
      <c r="T301" t="s">
        <v>64</v>
      </c>
      <c r="U301" t="s">
        <v>66</v>
      </c>
      <c r="V301">
        <v>330</v>
      </c>
      <c r="W301">
        <v>9.5</v>
      </c>
      <c r="X301" t="s">
        <v>67</v>
      </c>
      <c r="Y301" t="s">
        <v>68</v>
      </c>
      <c r="Z301">
        <v>8.11</v>
      </c>
      <c r="AA301">
        <v>0.01</v>
      </c>
      <c r="AB301" t="s">
        <v>67</v>
      </c>
      <c r="AC301">
        <v>1549</v>
      </c>
      <c r="AD301">
        <v>85.5</v>
      </c>
      <c r="AE301" t="s">
        <v>67</v>
      </c>
      <c r="AF301">
        <v>7.54</v>
      </c>
      <c r="AG301">
        <v>0.03</v>
      </c>
      <c r="AH301" t="s">
        <v>67</v>
      </c>
      <c r="AI301">
        <v>5.2</v>
      </c>
      <c r="AJ301">
        <v>0.11</v>
      </c>
      <c r="AK301" t="s">
        <v>67</v>
      </c>
      <c r="AL301">
        <v>15.7</v>
      </c>
      <c r="AM301">
        <v>0.04</v>
      </c>
      <c r="AN301" t="s">
        <v>67</v>
      </c>
      <c r="AO301">
        <v>1219</v>
      </c>
      <c r="AP301">
        <v>10.6</v>
      </c>
      <c r="AQ301" t="s">
        <v>67</v>
      </c>
      <c r="AR301" t="s">
        <v>321</v>
      </c>
      <c r="AS301" t="s">
        <v>322</v>
      </c>
      <c r="AT301" t="s">
        <v>70</v>
      </c>
      <c r="AU301" t="s">
        <v>89</v>
      </c>
      <c r="AV301" t="s">
        <v>132</v>
      </c>
      <c r="AX301" t="s">
        <v>73</v>
      </c>
      <c r="AY301">
        <v>21.1371</v>
      </c>
      <c r="AZ301">
        <v>21.137139999999999</v>
      </c>
      <c r="BA301">
        <v>0.93</v>
      </c>
      <c r="BC301">
        <v>18</v>
      </c>
      <c r="BD301">
        <v>23.0229</v>
      </c>
      <c r="BE301">
        <v>23.022857139999999</v>
      </c>
      <c r="BF301">
        <v>1.0971</v>
      </c>
      <c r="BH301">
        <v>18</v>
      </c>
      <c r="BI301">
        <v>105</v>
      </c>
      <c r="BJ301">
        <v>2</v>
      </c>
      <c r="BK301">
        <v>8.5500000000000007E-2</v>
      </c>
      <c r="BL301">
        <v>4.1999999999999997E-3</v>
      </c>
    </row>
    <row r="302" spans="1:64" hidden="1" x14ac:dyDescent="0.2">
      <c r="A302">
        <v>147</v>
      </c>
      <c r="D302" t="s">
        <v>54</v>
      </c>
      <c r="E302">
        <v>2014</v>
      </c>
      <c r="F302" t="s">
        <v>317</v>
      </c>
      <c r="G302" t="s">
        <v>318</v>
      </c>
      <c r="H302" t="s">
        <v>78</v>
      </c>
      <c r="K302" t="s">
        <v>319</v>
      </c>
      <c r="L302" t="s">
        <v>320</v>
      </c>
      <c r="M302" t="s">
        <v>81</v>
      </c>
      <c r="N302" t="s">
        <v>81</v>
      </c>
      <c r="O302" t="s">
        <v>62</v>
      </c>
      <c r="P302" t="s">
        <v>63</v>
      </c>
      <c r="Q302" t="s">
        <v>74</v>
      </c>
      <c r="R302" t="s">
        <v>83</v>
      </c>
      <c r="S302" t="s">
        <v>64</v>
      </c>
      <c r="T302" t="s">
        <v>64</v>
      </c>
      <c r="U302" t="s">
        <v>66</v>
      </c>
      <c r="V302">
        <v>330</v>
      </c>
      <c r="W302">
        <v>9.5</v>
      </c>
      <c r="X302" t="s">
        <v>67</v>
      </c>
      <c r="Y302" t="s">
        <v>68</v>
      </c>
      <c r="Z302">
        <v>8.11</v>
      </c>
      <c r="AA302">
        <v>0.01</v>
      </c>
      <c r="AB302" t="s">
        <v>67</v>
      </c>
      <c r="AC302">
        <v>1303</v>
      </c>
      <c r="AD302">
        <v>61.5</v>
      </c>
      <c r="AE302" t="s">
        <v>67</v>
      </c>
      <c r="AF302">
        <v>7.59</v>
      </c>
      <c r="AG302">
        <v>0.02</v>
      </c>
      <c r="AH302" t="s">
        <v>67</v>
      </c>
      <c r="AI302">
        <v>5.2</v>
      </c>
      <c r="AJ302">
        <v>0.11</v>
      </c>
      <c r="AK302" t="s">
        <v>67</v>
      </c>
      <c r="AL302">
        <v>11.7</v>
      </c>
      <c r="AM302">
        <v>0.03</v>
      </c>
      <c r="AN302" t="s">
        <v>67</v>
      </c>
      <c r="AO302">
        <v>973</v>
      </c>
      <c r="AP302">
        <v>6.6</v>
      </c>
      <c r="AQ302" t="s">
        <v>67</v>
      </c>
      <c r="AR302" t="s">
        <v>321</v>
      </c>
      <c r="AS302" t="s">
        <v>322</v>
      </c>
      <c r="AT302" t="s">
        <v>70</v>
      </c>
      <c r="AU302" t="s">
        <v>89</v>
      </c>
      <c r="AV302" t="s">
        <v>132</v>
      </c>
      <c r="AX302" t="s">
        <v>73</v>
      </c>
      <c r="AY302">
        <v>21.1371</v>
      </c>
      <c r="AZ302">
        <v>21.137139999999999</v>
      </c>
      <c r="BA302">
        <v>0.93</v>
      </c>
      <c r="BC302">
        <v>18</v>
      </c>
      <c r="BD302">
        <v>21.445699999999999</v>
      </c>
      <c r="BE302">
        <v>21.445714290000002</v>
      </c>
      <c r="BF302">
        <v>1.0286</v>
      </c>
      <c r="BH302">
        <v>18</v>
      </c>
      <c r="BI302">
        <v>105</v>
      </c>
      <c r="BJ302">
        <v>2</v>
      </c>
      <c r="BK302">
        <v>1.4500000000000001E-2</v>
      </c>
      <c r="BL302">
        <v>4.1999999999999997E-3</v>
      </c>
    </row>
    <row r="303" spans="1:64" x14ac:dyDescent="0.2">
      <c r="A303">
        <v>183</v>
      </c>
      <c r="B303" t="str">
        <f>ROW()-1&amp;"_AltersFish"</f>
        <v>302_AltersFish</v>
      </c>
      <c r="C303" t="str">
        <f>A303 &amp; "_" &amp; P303 &amp; "_" &amp;
SUBSTITUTE(TRIM(L303)," ","_") &amp;
"_pH" &amp; TEXT(Z303,"0.00") &amp;
"_T" &amp; TEXT(AI303,"0.00") &amp;
"_CO2" &amp; TEXT(V303,"0") &amp;
"_LANG"</f>
        <v>183_EMBRYO_Ammodytes_dubius_pH8.15_T4.90_CO2385_LANG</v>
      </c>
      <c r="D303" t="s">
        <v>54</v>
      </c>
      <c r="E303">
        <v>2019</v>
      </c>
      <c r="F303" t="s">
        <v>116</v>
      </c>
      <c r="G303" t="s">
        <v>117</v>
      </c>
      <c r="H303" t="s">
        <v>78</v>
      </c>
      <c r="I303" t="s">
        <v>540</v>
      </c>
      <c r="J303" t="s">
        <v>543</v>
      </c>
      <c r="K303" t="s">
        <v>79</v>
      </c>
      <c r="L303" t="s">
        <v>118</v>
      </c>
      <c r="M303" t="s">
        <v>119</v>
      </c>
      <c r="N303" t="s">
        <v>120</v>
      </c>
      <c r="O303" t="s">
        <v>62</v>
      </c>
      <c r="P303" t="s">
        <v>82</v>
      </c>
      <c r="Q303" t="s">
        <v>64</v>
      </c>
      <c r="R303" t="s">
        <v>83</v>
      </c>
      <c r="S303" t="s">
        <v>64</v>
      </c>
      <c r="T303" t="s">
        <v>74</v>
      </c>
      <c r="U303" t="s">
        <v>84</v>
      </c>
      <c r="V303">
        <v>385</v>
      </c>
      <c r="W303" t="s">
        <v>67</v>
      </c>
      <c r="X303">
        <v>11</v>
      </c>
      <c r="Y303" t="s">
        <v>121</v>
      </c>
      <c r="Z303">
        <v>8.15</v>
      </c>
      <c r="AA303" t="s">
        <v>67</v>
      </c>
      <c r="AB303">
        <v>0.06</v>
      </c>
      <c r="AC303">
        <v>1103</v>
      </c>
      <c r="AD303" t="s">
        <v>67</v>
      </c>
      <c r="AE303">
        <v>49</v>
      </c>
      <c r="AF303">
        <v>7.72</v>
      </c>
      <c r="AG303" t="s">
        <v>67</v>
      </c>
      <c r="AH303">
        <v>0.04</v>
      </c>
      <c r="AI303">
        <v>4.9000000000000004</v>
      </c>
      <c r="AJ303" t="s">
        <v>67</v>
      </c>
      <c r="AK303">
        <v>0.2</v>
      </c>
      <c r="AL303">
        <v>4.9000000000000004</v>
      </c>
      <c r="AM303" t="s">
        <v>67</v>
      </c>
      <c r="AN303">
        <v>0.2</v>
      </c>
      <c r="AO303">
        <v>718</v>
      </c>
      <c r="AP303">
        <v>0</v>
      </c>
      <c r="AQ303" t="s">
        <v>67</v>
      </c>
      <c r="AR303" t="s">
        <v>305</v>
      </c>
      <c r="AS303" t="s">
        <v>159</v>
      </c>
      <c r="AT303" t="s">
        <v>135</v>
      </c>
      <c r="AU303" t="s">
        <v>160</v>
      </c>
      <c r="AV303" t="s">
        <v>11</v>
      </c>
      <c r="AW303" t="s">
        <v>72</v>
      </c>
      <c r="AX303" t="s">
        <v>73</v>
      </c>
      <c r="AY303">
        <v>0.16700000000000001</v>
      </c>
      <c r="AZ303">
        <v>0.16700000000000001</v>
      </c>
      <c r="BA303">
        <v>0.01</v>
      </c>
      <c r="BB303">
        <f>BA303*SQRT(BC303)</f>
        <v>6.1644140029689765E-2</v>
      </c>
      <c r="BC303">
        <v>38</v>
      </c>
      <c r="BD303">
        <v>0.124</v>
      </c>
      <c r="BE303">
        <v>0.124</v>
      </c>
      <c r="BF303">
        <v>6.1000000000000004E-3</v>
      </c>
      <c r="BG303">
        <f>BF303*SQRT(BH303)</f>
        <v>3.8094487790230232E-2</v>
      </c>
      <c r="BH303">
        <v>39</v>
      </c>
      <c r="BI303">
        <v>36</v>
      </c>
      <c r="BJ303">
        <v>2</v>
      </c>
      <c r="BK303">
        <v>-0.29770000000000002</v>
      </c>
      <c r="BL303">
        <v>4.0000000000000001E-3</v>
      </c>
    </row>
    <row r="304" spans="1:64" hidden="1" x14ac:dyDescent="0.2">
      <c r="A304">
        <v>147</v>
      </c>
      <c r="D304" t="s">
        <v>54</v>
      </c>
      <c r="E304">
        <v>2014</v>
      </c>
      <c r="F304" t="s">
        <v>317</v>
      </c>
      <c r="G304" t="s">
        <v>318</v>
      </c>
      <c r="H304" t="s">
        <v>78</v>
      </c>
      <c r="K304" t="s">
        <v>319</v>
      </c>
      <c r="L304" t="s">
        <v>320</v>
      </c>
      <c r="M304" t="s">
        <v>81</v>
      </c>
      <c r="N304" t="s">
        <v>81</v>
      </c>
      <c r="O304" t="s">
        <v>62</v>
      </c>
      <c r="P304" t="s">
        <v>63</v>
      </c>
      <c r="Q304" t="s">
        <v>74</v>
      </c>
      <c r="R304" t="s">
        <v>83</v>
      </c>
      <c r="S304" t="s">
        <v>74</v>
      </c>
      <c r="T304" t="s">
        <v>64</v>
      </c>
      <c r="U304" t="s">
        <v>75</v>
      </c>
      <c r="V304">
        <v>330</v>
      </c>
      <c r="W304">
        <v>9.5</v>
      </c>
      <c r="X304" t="s">
        <v>67</v>
      </c>
      <c r="Y304" t="s">
        <v>68</v>
      </c>
      <c r="Z304">
        <v>8.11</v>
      </c>
      <c r="AA304">
        <v>0.01</v>
      </c>
      <c r="AB304" t="s">
        <v>67</v>
      </c>
      <c r="AC304">
        <v>581</v>
      </c>
      <c r="AD304">
        <v>12.5</v>
      </c>
      <c r="AE304" t="s">
        <v>67</v>
      </c>
      <c r="AF304">
        <v>7.91</v>
      </c>
      <c r="AG304">
        <v>0.01</v>
      </c>
      <c r="AH304" t="s">
        <v>67</v>
      </c>
      <c r="AI304">
        <v>5.2</v>
      </c>
      <c r="AJ304">
        <v>0.11</v>
      </c>
      <c r="AK304" t="s">
        <v>67</v>
      </c>
      <c r="AL304">
        <v>15.8</v>
      </c>
      <c r="AM304">
        <v>0.04</v>
      </c>
      <c r="AN304" t="s">
        <v>67</v>
      </c>
      <c r="AO304">
        <v>251</v>
      </c>
      <c r="AP304">
        <v>10.7</v>
      </c>
      <c r="AQ304" t="s">
        <v>67</v>
      </c>
      <c r="AR304" t="s">
        <v>321</v>
      </c>
      <c r="AS304" t="s">
        <v>322</v>
      </c>
      <c r="AT304" t="s">
        <v>70</v>
      </c>
      <c r="AU304" t="s">
        <v>89</v>
      </c>
      <c r="AV304" t="s">
        <v>132</v>
      </c>
      <c r="AX304" t="s">
        <v>73</v>
      </c>
      <c r="AY304">
        <v>21.1371</v>
      </c>
      <c r="AZ304">
        <v>21.137139999999999</v>
      </c>
      <c r="BA304">
        <v>0.93</v>
      </c>
      <c r="BC304">
        <v>18</v>
      </c>
      <c r="BD304">
        <v>20.965699999999998</v>
      </c>
      <c r="BE304">
        <v>20.965714290000001</v>
      </c>
      <c r="BF304">
        <v>1.0286</v>
      </c>
      <c r="BH304">
        <v>18</v>
      </c>
      <c r="BI304">
        <v>105</v>
      </c>
      <c r="BJ304">
        <v>2</v>
      </c>
      <c r="BK304">
        <v>-8.0999999999999996E-3</v>
      </c>
      <c r="BL304">
        <v>4.3E-3</v>
      </c>
    </row>
    <row r="305" spans="1:64" hidden="1" x14ac:dyDescent="0.2">
      <c r="A305">
        <v>161</v>
      </c>
      <c r="D305" t="s">
        <v>54</v>
      </c>
      <c r="E305">
        <v>2019</v>
      </c>
      <c r="F305" t="s">
        <v>174</v>
      </c>
      <c r="G305" t="s">
        <v>175</v>
      </c>
      <c r="H305" t="s">
        <v>78</v>
      </c>
      <c r="K305" t="s">
        <v>79</v>
      </c>
      <c r="L305" t="s">
        <v>176</v>
      </c>
      <c r="M305" t="s">
        <v>81</v>
      </c>
      <c r="N305" t="s">
        <v>81</v>
      </c>
      <c r="O305" t="s">
        <v>62</v>
      </c>
      <c r="P305" t="s">
        <v>63</v>
      </c>
      <c r="Q305" t="s">
        <v>74</v>
      </c>
      <c r="R305" t="s">
        <v>83</v>
      </c>
      <c r="S305" t="s">
        <v>64</v>
      </c>
      <c r="T305" t="s">
        <v>64</v>
      </c>
      <c r="U305" t="s">
        <v>66</v>
      </c>
      <c r="V305">
        <v>489</v>
      </c>
      <c r="W305" t="s">
        <v>67</v>
      </c>
      <c r="X305">
        <v>54</v>
      </c>
      <c r="Y305" t="s">
        <v>67</v>
      </c>
      <c r="Z305">
        <v>8.01</v>
      </c>
      <c r="AA305" t="s">
        <v>67</v>
      </c>
      <c r="AB305">
        <v>0.12</v>
      </c>
      <c r="AC305">
        <v>1523</v>
      </c>
      <c r="AD305" t="s">
        <v>67</v>
      </c>
      <c r="AE305">
        <v>16</v>
      </c>
      <c r="AF305">
        <v>7.6</v>
      </c>
      <c r="AG305" t="s">
        <v>67</v>
      </c>
      <c r="AH305">
        <v>0.31</v>
      </c>
      <c r="AI305">
        <v>19.600000000000001</v>
      </c>
      <c r="AJ305" t="s">
        <v>67</v>
      </c>
      <c r="AK305">
        <v>0.5</v>
      </c>
      <c r="AL305">
        <v>24.2</v>
      </c>
      <c r="AM305" t="s">
        <v>67</v>
      </c>
      <c r="AN305">
        <v>0.4</v>
      </c>
      <c r="AO305">
        <v>1034</v>
      </c>
      <c r="AP305">
        <v>4.5999999999999996</v>
      </c>
      <c r="AQ305" t="s">
        <v>67</v>
      </c>
      <c r="AR305" t="s">
        <v>341</v>
      </c>
      <c r="AS305" t="s">
        <v>278</v>
      </c>
      <c r="AT305" t="s">
        <v>135</v>
      </c>
      <c r="AU305" t="s">
        <v>342</v>
      </c>
      <c r="AV305" t="s">
        <v>132</v>
      </c>
      <c r="AX305" t="s">
        <v>73</v>
      </c>
      <c r="AY305">
        <v>789.1</v>
      </c>
      <c r="AZ305">
        <v>789.1</v>
      </c>
      <c r="BA305">
        <v>11.09</v>
      </c>
      <c r="BC305">
        <v>5</v>
      </c>
      <c r="BD305">
        <v>733.3</v>
      </c>
      <c r="BE305">
        <v>733.3</v>
      </c>
      <c r="BF305">
        <v>47.136299999999999</v>
      </c>
      <c r="BH305">
        <v>5</v>
      </c>
      <c r="BI305">
        <v>28</v>
      </c>
      <c r="BJ305">
        <v>3</v>
      </c>
      <c r="BK305">
        <v>-7.3300000000000004E-2</v>
      </c>
      <c r="BL305">
        <v>4.3E-3</v>
      </c>
    </row>
    <row r="306" spans="1:64" hidden="1" x14ac:dyDescent="0.2">
      <c r="A306">
        <v>161</v>
      </c>
      <c r="D306" t="s">
        <v>54</v>
      </c>
      <c r="E306">
        <v>2019</v>
      </c>
      <c r="F306" t="s">
        <v>174</v>
      </c>
      <c r="G306" t="s">
        <v>175</v>
      </c>
      <c r="H306" t="s">
        <v>78</v>
      </c>
      <c r="K306" t="s">
        <v>79</v>
      </c>
      <c r="L306" t="s">
        <v>176</v>
      </c>
      <c r="M306" t="s">
        <v>81</v>
      </c>
      <c r="N306" t="s">
        <v>81</v>
      </c>
      <c r="O306" t="s">
        <v>62</v>
      </c>
      <c r="P306" t="s">
        <v>63</v>
      </c>
      <c r="Q306" t="s">
        <v>74</v>
      </c>
      <c r="R306" t="s">
        <v>83</v>
      </c>
      <c r="S306" t="s">
        <v>64</v>
      </c>
      <c r="T306" t="s">
        <v>64</v>
      </c>
      <c r="U306" t="s">
        <v>66</v>
      </c>
      <c r="V306">
        <v>489</v>
      </c>
      <c r="W306" t="s">
        <v>67</v>
      </c>
      <c r="X306">
        <v>54</v>
      </c>
      <c r="Y306" t="s">
        <v>67</v>
      </c>
      <c r="Z306">
        <v>8.01</v>
      </c>
      <c r="AA306" t="s">
        <v>67</v>
      </c>
      <c r="AB306">
        <v>0.12</v>
      </c>
      <c r="AC306">
        <v>1523</v>
      </c>
      <c r="AD306" t="s">
        <v>67</v>
      </c>
      <c r="AE306">
        <v>16</v>
      </c>
      <c r="AF306">
        <v>7.6</v>
      </c>
      <c r="AG306" t="s">
        <v>67</v>
      </c>
      <c r="AH306">
        <v>0.31</v>
      </c>
      <c r="AI306">
        <v>19.600000000000001</v>
      </c>
      <c r="AJ306" t="s">
        <v>67</v>
      </c>
      <c r="AK306">
        <v>0.5</v>
      </c>
      <c r="AL306">
        <v>24.2</v>
      </c>
      <c r="AM306" t="s">
        <v>67</v>
      </c>
      <c r="AN306">
        <v>0.4</v>
      </c>
      <c r="AO306">
        <v>1034</v>
      </c>
      <c r="AP306">
        <v>4.5999999999999996</v>
      </c>
      <c r="AQ306" t="s">
        <v>67</v>
      </c>
      <c r="AR306" t="s">
        <v>341</v>
      </c>
      <c r="AS306" t="s">
        <v>278</v>
      </c>
      <c r="AT306" t="s">
        <v>135</v>
      </c>
      <c r="AU306" t="s">
        <v>342</v>
      </c>
      <c r="AV306" t="s">
        <v>132</v>
      </c>
      <c r="AX306" t="s">
        <v>73</v>
      </c>
      <c r="AY306">
        <v>789.1</v>
      </c>
      <c r="AZ306">
        <v>789.1</v>
      </c>
      <c r="BA306">
        <v>11.09</v>
      </c>
      <c r="BC306">
        <v>5</v>
      </c>
      <c r="BD306">
        <v>733.3</v>
      </c>
      <c r="BE306">
        <v>733.3</v>
      </c>
      <c r="BF306">
        <v>47.136299999999999</v>
      </c>
      <c r="BH306">
        <v>5</v>
      </c>
      <c r="BI306">
        <v>28</v>
      </c>
      <c r="BJ306">
        <v>3</v>
      </c>
      <c r="BK306">
        <v>-7.3300000000000004E-2</v>
      </c>
      <c r="BL306">
        <v>4.3E-3</v>
      </c>
    </row>
    <row r="307" spans="1:64" x14ac:dyDescent="0.2">
      <c r="A307">
        <v>183</v>
      </c>
      <c r="B307" t="str">
        <f>ROW()-1&amp;"_AltersFish"</f>
        <v>306_AltersFish</v>
      </c>
      <c r="C307" t="str">
        <f>A307 &amp; "_" &amp; P307 &amp; "_" &amp;
SUBSTITUTE(TRIM(L307)," ","_") &amp;
"_pH" &amp; TEXT(Z307,"0.00") &amp;
"_T" &amp; TEXT(AI307,"0.00") &amp;
"_CO2" &amp; TEXT(V307,"0") &amp;
"_LANG"</f>
        <v>183_EMBRYO_Ammodytes_dubius_pH8.15_T4.90_CO2385_LANG</v>
      </c>
      <c r="D307" t="s">
        <v>54</v>
      </c>
      <c r="E307">
        <v>2019</v>
      </c>
      <c r="F307" t="s">
        <v>116</v>
      </c>
      <c r="G307" t="s">
        <v>117</v>
      </c>
      <c r="H307" t="s">
        <v>78</v>
      </c>
      <c r="I307" t="s">
        <v>540</v>
      </c>
      <c r="J307" t="s">
        <v>543</v>
      </c>
      <c r="K307" t="s">
        <v>79</v>
      </c>
      <c r="L307" t="s">
        <v>118</v>
      </c>
      <c r="M307" t="s">
        <v>119</v>
      </c>
      <c r="N307" t="s">
        <v>120</v>
      </c>
      <c r="O307" t="s">
        <v>62</v>
      </c>
      <c r="P307" t="s">
        <v>82</v>
      </c>
      <c r="Q307" t="s">
        <v>64</v>
      </c>
      <c r="R307" t="s">
        <v>83</v>
      </c>
      <c r="S307" t="s">
        <v>64</v>
      </c>
      <c r="T307" t="s">
        <v>64</v>
      </c>
      <c r="U307" t="s">
        <v>66</v>
      </c>
      <c r="V307">
        <v>385</v>
      </c>
      <c r="W307" t="s">
        <v>67</v>
      </c>
      <c r="X307">
        <v>11</v>
      </c>
      <c r="Y307" t="s">
        <v>121</v>
      </c>
      <c r="Z307">
        <v>8.15</v>
      </c>
      <c r="AA307" t="s">
        <v>67</v>
      </c>
      <c r="AB307">
        <v>0.06</v>
      </c>
      <c r="AC307">
        <v>2155</v>
      </c>
      <c r="AD307" t="s">
        <v>67</v>
      </c>
      <c r="AE307">
        <v>74</v>
      </c>
      <c r="AF307">
        <v>7.45</v>
      </c>
      <c r="AG307" t="s">
        <v>67</v>
      </c>
      <c r="AH307">
        <v>0.08</v>
      </c>
      <c r="AI307">
        <v>4.9000000000000004</v>
      </c>
      <c r="AJ307" t="s">
        <v>67</v>
      </c>
      <c r="AK307">
        <v>0.2</v>
      </c>
      <c r="AL307">
        <v>7.2</v>
      </c>
      <c r="AM307" t="s">
        <v>67</v>
      </c>
      <c r="AN307">
        <v>0.3</v>
      </c>
      <c r="AO307">
        <v>1770</v>
      </c>
      <c r="AP307">
        <v>2.2999999999999998</v>
      </c>
      <c r="AQ307" t="s">
        <v>67</v>
      </c>
      <c r="AR307" t="s">
        <v>305</v>
      </c>
      <c r="AS307" t="s">
        <v>159</v>
      </c>
      <c r="AT307" t="s">
        <v>135</v>
      </c>
      <c r="AU307" t="s">
        <v>160</v>
      </c>
      <c r="AV307" t="s">
        <v>11</v>
      </c>
      <c r="AW307" t="s">
        <v>72</v>
      </c>
      <c r="AX307" t="s">
        <v>73</v>
      </c>
      <c r="AY307">
        <v>0.16700000000000001</v>
      </c>
      <c r="AZ307">
        <v>0.16700000000000001</v>
      </c>
      <c r="BA307">
        <v>0.01</v>
      </c>
      <c r="BB307">
        <f>BA307*SQRT(BC307)</f>
        <v>6.1644140029689765E-2</v>
      </c>
      <c r="BC307">
        <v>38</v>
      </c>
      <c r="BD307">
        <v>0.13900000000000001</v>
      </c>
      <c r="BE307">
        <v>0.13900000000000001</v>
      </c>
      <c r="BF307">
        <v>7.1000000000000004E-3</v>
      </c>
      <c r="BG307">
        <f>BF307*SQRT(BH307)</f>
        <v>4.9190242934956115E-2</v>
      </c>
      <c r="BH307">
        <v>48</v>
      </c>
      <c r="BI307">
        <v>28</v>
      </c>
      <c r="BJ307">
        <v>2</v>
      </c>
      <c r="BK307">
        <v>-0.1835</v>
      </c>
      <c r="BL307">
        <v>4.1999999999999997E-3</v>
      </c>
    </row>
    <row r="308" spans="1:64" hidden="1" x14ac:dyDescent="0.2">
      <c r="A308">
        <v>146</v>
      </c>
      <c r="D308" t="s">
        <v>54</v>
      </c>
      <c r="E308">
        <v>2016</v>
      </c>
      <c r="F308" t="s">
        <v>347</v>
      </c>
      <c r="G308" t="s">
        <v>348</v>
      </c>
      <c r="H308" t="s">
        <v>78</v>
      </c>
      <c r="K308" t="s">
        <v>349</v>
      </c>
      <c r="L308" t="s">
        <v>125</v>
      </c>
      <c r="M308" t="s">
        <v>126</v>
      </c>
      <c r="N308" t="s">
        <v>81</v>
      </c>
      <c r="O308" t="s">
        <v>62</v>
      </c>
      <c r="P308" t="s">
        <v>63</v>
      </c>
      <c r="Q308" t="s">
        <v>74</v>
      </c>
      <c r="R308" t="s">
        <v>83</v>
      </c>
      <c r="S308" t="s">
        <v>64</v>
      </c>
      <c r="T308" t="s">
        <v>64</v>
      </c>
      <c r="U308" t="s">
        <v>66</v>
      </c>
      <c r="V308">
        <v>360</v>
      </c>
      <c r="W308" t="s">
        <v>67</v>
      </c>
      <c r="X308">
        <v>35.299999999999997</v>
      </c>
      <c r="Y308" t="s">
        <v>68</v>
      </c>
      <c r="Z308">
        <v>8.01</v>
      </c>
      <c r="AA308" t="s">
        <v>67</v>
      </c>
      <c r="AB308">
        <v>0.04</v>
      </c>
      <c r="AC308">
        <v>952</v>
      </c>
      <c r="AD308" t="s">
        <v>67</v>
      </c>
      <c r="AE308">
        <v>52.1</v>
      </c>
      <c r="AF308">
        <v>7.61</v>
      </c>
      <c r="AG308" t="s">
        <v>67</v>
      </c>
      <c r="AH308">
        <v>0.03</v>
      </c>
      <c r="AI308">
        <v>19.2</v>
      </c>
      <c r="AJ308" t="s">
        <v>67</v>
      </c>
      <c r="AK308">
        <v>0.3</v>
      </c>
      <c r="AL308">
        <v>23</v>
      </c>
      <c r="AM308" t="s">
        <v>67</v>
      </c>
      <c r="AN308">
        <v>0.32</v>
      </c>
      <c r="AO308">
        <v>592</v>
      </c>
      <c r="AP308">
        <v>3.8</v>
      </c>
      <c r="AQ308" t="s">
        <v>350</v>
      </c>
      <c r="AR308" t="s">
        <v>351</v>
      </c>
      <c r="AS308" t="s">
        <v>351</v>
      </c>
      <c r="AT308" t="s">
        <v>135</v>
      </c>
      <c r="AU308" t="s">
        <v>352</v>
      </c>
      <c r="AV308" t="s">
        <v>251</v>
      </c>
      <c r="AX308" t="s">
        <v>73</v>
      </c>
      <c r="AY308">
        <v>167</v>
      </c>
      <c r="AZ308">
        <v>167</v>
      </c>
      <c r="BA308">
        <v>7</v>
      </c>
      <c r="BC308">
        <v>10</v>
      </c>
      <c r="BD308">
        <v>157</v>
      </c>
      <c r="BE308">
        <v>157</v>
      </c>
      <c r="BF308">
        <v>8</v>
      </c>
      <c r="BH308">
        <v>10</v>
      </c>
      <c r="BI308">
        <v>28</v>
      </c>
      <c r="BJ308">
        <v>6</v>
      </c>
      <c r="BK308">
        <v>-6.1699999999999998E-2</v>
      </c>
      <c r="BL308">
        <v>4.4000000000000003E-3</v>
      </c>
    </row>
    <row r="309" spans="1:64" hidden="1" x14ac:dyDescent="0.2">
      <c r="A309">
        <v>147</v>
      </c>
      <c r="D309" t="s">
        <v>54</v>
      </c>
      <c r="E309">
        <v>2014</v>
      </c>
      <c r="F309" t="s">
        <v>317</v>
      </c>
      <c r="G309" t="s">
        <v>318</v>
      </c>
      <c r="H309" t="s">
        <v>78</v>
      </c>
      <c r="K309" t="s">
        <v>319</v>
      </c>
      <c r="L309" t="s">
        <v>320</v>
      </c>
      <c r="M309" t="s">
        <v>81</v>
      </c>
      <c r="N309" t="s">
        <v>81</v>
      </c>
      <c r="O309" t="s">
        <v>62</v>
      </c>
      <c r="P309" t="s">
        <v>63</v>
      </c>
      <c r="Q309" t="s">
        <v>74</v>
      </c>
      <c r="R309" t="s">
        <v>83</v>
      </c>
      <c r="S309" t="s">
        <v>74</v>
      </c>
      <c r="T309" t="s">
        <v>64</v>
      </c>
      <c r="U309" t="s">
        <v>75</v>
      </c>
      <c r="V309">
        <v>330</v>
      </c>
      <c r="W309">
        <v>9.5</v>
      </c>
      <c r="X309" t="s">
        <v>67</v>
      </c>
      <c r="Y309" t="s">
        <v>68</v>
      </c>
      <c r="Z309">
        <v>8.11</v>
      </c>
      <c r="AA309">
        <v>0.01</v>
      </c>
      <c r="AB309" t="s">
        <v>67</v>
      </c>
      <c r="AC309">
        <v>527</v>
      </c>
      <c r="AD309">
        <v>13.5</v>
      </c>
      <c r="AE309" t="s">
        <v>67</v>
      </c>
      <c r="AF309">
        <v>7.95</v>
      </c>
      <c r="AG309">
        <v>0.01</v>
      </c>
      <c r="AH309" t="s">
        <v>67</v>
      </c>
      <c r="AI309">
        <v>5.2</v>
      </c>
      <c r="AJ309">
        <v>0.11</v>
      </c>
      <c r="AK309" t="s">
        <v>67</v>
      </c>
      <c r="AL309">
        <v>13.6</v>
      </c>
      <c r="AM309">
        <v>7.0000000000000007E-2</v>
      </c>
      <c r="AN309" t="s">
        <v>67</v>
      </c>
      <c r="AO309">
        <v>197</v>
      </c>
      <c r="AP309">
        <v>8.4</v>
      </c>
      <c r="AQ309" t="s">
        <v>67</v>
      </c>
      <c r="AR309" t="s">
        <v>321</v>
      </c>
      <c r="AS309" t="s">
        <v>322</v>
      </c>
      <c r="AT309" t="s">
        <v>70</v>
      </c>
      <c r="AU309" t="s">
        <v>89</v>
      </c>
      <c r="AV309" t="s">
        <v>132</v>
      </c>
      <c r="AX309" t="s">
        <v>73</v>
      </c>
      <c r="AY309">
        <v>21.1371</v>
      </c>
      <c r="AZ309">
        <v>21.137139999999999</v>
      </c>
      <c r="BA309">
        <v>0.93</v>
      </c>
      <c r="BC309">
        <v>18</v>
      </c>
      <c r="BD309">
        <v>23.4343</v>
      </c>
      <c r="BE309">
        <v>23.434285710000001</v>
      </c>
      <c r="BF309">
        <v>1.1657</v>
      </c>
      <c r="BH309">
        <v>18</v>
      </c>
      <c r="BI309">
        <v>105</v>
      </c>
      <c r="BJ309">
        <v>2</v>
      </c>
      <c r="BK309">
        <v>0.1032</v>
      </c>
      <c r="BL309">
        <v>4.4000000000000003E-3</v>
      </c>
    </row>
    <row r="310" spans="1:64" hidden="1" x14ac:dyDescent="0.2">
      <c r="A310">
        <v>147</v>
      </c>
      <c r="D310" t="s">
        <v>54</v>
      </c>
      <c r="E310">
        <v>2014</v>
      </c>
      <c r="F310" t="s">
        <v>317</v>
      </c>
      <c r="G310" t="s">
        <v>318</v>
      </c>
      <c r="H310" t="s">
        <v>78</v>
      </c>
      <c r="K310" t="s">
        <v>319</v>
      </c>
      <c r="L310" t="s">
        <v>320</v>
      </c>
      <c r="M310" t="s">
        <v>81</v>
      </c>
      <c r="N310" t="s">
        <v>81</v>
      </c>
      <c r="O310" t="s">
        <v>62</v>
      </c>
      <c r="P310" t="s">
        <v>63</v>
      </c>
      <c r="Q310" t="s">
        <v>74</v>
      </c>
      <c r="R310" t="s">
        <v>83</v>
      </c>
      <c r="S310" t="s">
        <v>74</v>
      </c>
      <c r="T310" t="s">
        <v>64</v>
      </c>
      <c r="U310" t="s">
        <v>75</v>
      </c>
      <c r="V310">
        <v>330</v>
      </c>
      <c r="W310">
        <v>9.5</v>
      </c>
      <c r="X310" t="s">
        <v>67</v>
      </c>
      <c r="Y310" t="s">
        <v>68</v>
      </c>
      <c r="Z310">
        <v>8.11</v>
      </c>
      <c r="AA310">
        <v>0.01</v>
      </c>
      <c r="AB310" t="s">
        <v>67</v>
      </c>
      <c r="AC310">
        <v>427</v>
      </c>
      <c r="AD310">
        <v>11</v>
      </c>
      <c r="AE310" t="s">
        <v>67</v>
      </c>
      <c r="AF310">
        <v>8.02</v>
      </c>
      <c r="AG310">
        <v>0.01</v>
      </c>
      <c r="AH310" t="s">
        <v>67</v>
      </c>
      <c r="AI310">
        <v>5.2</v>
      </c>
      <c r="AJ310">
        <v>0.11</v>
      </c>
      <c r="AK310" t="s">
        <v>67</v>
      </c>
      <c r="AL310">
        <v>10</v>
      </c>
      <c r="AM310">
        <v>0.02</v>
      </c>
      <c r="AN310" t="s">
        <v>67</v>
      </c>
      <c r="AO310">
        <v>97</v>
      </c>
      <c r="AP310">
        <v>4.9000000000000004</v>
      </c>
      <c r="AQ310" t="s">
        <v>67</v>
      </c>
      <c r="AR310" t="s">
        <v>321</v>
      </c>
      <c r="AS310" t="s">
        <v>322</v>
      </c>
      <c r="AT310" t="s">
        <v>70</v>
      </c>
      <c r="AU310" t="s">
        <v>89</v>
      </c>
      <c r="AV310" t="s">
        <v>132</v>
      </c>
      <c r="AX310" t="s">
        <v>73</v>
      </c>
      <c r="AY310">
        <v>21.1371</v>
      </c>
      <c r="AZ310">
        <v>21.137139999999999</v>
      </c>
      <c r="BA310">
        <v>0.93</v>
      </c>
      <c r="BC310">
        <v>18</v>
      </c>
      <c r="BD310">
        <v>19.1143</v>
      </c>
      <c r="BE310">
        <v>19.114285710000001</v>
      </c>
      <c r="BF310">
        <v>0.96</v>
      </c>
      <c r="BH310">
        <v>18</v>
      </c>
      <c r="BI310">
        <v>105</v>
      </c>
      <c r="BJ310">
        <v>2</v>
      </c>
      <c r="BK310">
        <v>-0.10059999999999999</v>
      </c>
      <c r="BL310">
        <v>4.4000000000000003E-3</v>
      </c>
    </row>
    <row r="311" spans="1:64" x14ac:dyDescent="0.2">
      <c r="A311">
        <v>183</v>
      </c>
      <c r="B311" t="str">
        <f>ROW()-1&amp;"_AltersFish"</f>
        <v>310_AltersFish</v>
      </c>
      <c r="C311" t="str">
        <f>A311 &amp; "_" &amp; P311 &amp; "_" &amp;
SUBSTITUTE(TRIM(L311)," ","_") &amp;
"_pH" &amp; TEXT(Z311,"0.00") &amp;
"_T" &amp; TEXT(AI311,"0.00") &amp;
"_CO2" &amp; TEXT(V311,"0") &amp;
"_LANG"</f>
        <v>183_EMBRYO_Ammodytes_dubius_pH8.15_T4.90_CO2386_LANG</v>
      </c>
      <c r="D311" t="s">
        <v>54</v>
      </c>
      <c r="E311">
        <v>2019</v>
      </c>
      <c r="F311" t="s">
        <v>116</v>
      </c>
      <c r="G311" t="s">
        <v>117</v>
      </c>
      <c r="H311" t="s">
        <v>78</v>
      </c>
      <c r="I311" t="s">
        <v>540</v>
      </c>
      <c r="J311" t="s">
        <v>543</v>
      </c>
      <c r="K311" t="s">
        <v>79</v>
      </c>
      <c r="L311" t="s">
        <v>118</v>
      </c>
      <c r="M311" t="s">
        <v>119</v>
      </c>
      <c r="N311" t="s">
        <v>120</v>
      </c>
      <c r="O311" t="s">
        <v>62</v>
      </c>
      <c r="P311" t="s">
        <v>82</v>
      </c>
      <c r="Q311" t="s">
        <v>64</v>
      </c>
      <c r="R311" t="s">
        <v>83</v>
      </c>
      <c r="S311" t="s">
        <v>64</v>
      </c>
      <c r="T311" t="s">
        <v>64</v>
      </c>
      <c r="U311" t="s">
        <v>66</v>
      </c>
      <c r="V311">
        <v>386</v>
      </c>
      <c r="W311" t="s">
        <v>67</v>
      </c>
      <c r="X311">
        <v>12</v>
      </c>
      <c r="Y311" t="s">
        <v>121</v>
      </c>
      <c r="Z311">
        <v>8.15</v>
      </c>
      <c r="AA311" t="s">
        <v>67</v>
      </c>
      <c r="AB311">
        <v>0.06</v>
      </c>
      <c r="AC311">
        <v>1051</v>
      </c>
      <c r="AD311" t="s">
        <v>67</v>
      </c>
      <c r="AE311">
        <v>10</v>
      </c>
      <c r="AF311">
        <v>7.76</v>
      </c>
      <c r="AG311" t="s">
        <v>67</v>
      </c>
      <c r="AH311">
        <v>0.04</v>
      </c>
      <c r="AI311">
        <v>4.9000000000000004</v>
      </c>
      <c r="AJ311" t="s">
        <v>67</v>
      </c>
      <c r="AK311">
        <v>0.2</v>
      </c>
      <c r="AL311">
        <v>9.6999999999999993</v>
      </c>
      <c r="AM311" t="s">
        <v>67</v>
      </c>
      <c r="AN311">
        <v>0.4</v>
      </c>
      <c r="AO311">
        <v>665</v>
      </c>
      <c r="AP311">
        <v>4.8</v>
      </c>
      <c r="AQ311" t="s">
        <v>67</v>
      </c>
      <c r="AR311" t="s">
        <v>305</v>
      </c>
      <c r="AS311" t="s">
        <v>159</v>
      </c>
      <c r="AT311" t="s">
        <v>135</v>
      </c>
      <c r="AU311" t="s">
        <v>160</v>
      </c>
      <c r="AV311" t="s">
        <v>11</v>
      </c>
      <c r="AW311" t="s">
        <v>72</v>
      </c>
      <c r="AX311" t="s">
        <v>73</v>
      </c>
      <c r="AY311">
        <v>0.16700000000000001</v>
      </c>
      <c r="AZ311">
        <v>0.16700000000000001</v>
      </c>
      <c r="BA311">
        <v>0.01</v>
      </c>
      <c r="BB311">
        <f>BA311*SQRT(BC311)</f>
        <v>6.1644140029689765E-2</v>
      </c>
      <c r="BC311">
        <v>38</v>
      </c>
      <c r="BD311">
        <v>0.114</v>
      </c>
      <c r="BE311">
        <v>0.114</v>
      </c>
      <c r="BF311">
        <v>7.1000000000000004E-3</v>
      </c>
      <c r="BG311">
        <f>BF311*SQRT(BH311)</f>
        <v>4.0163665171395906E-2</v>
      </c>
      <c r="BH311">
        <v>32</v>
      </c>
      <c r="BI311">
        <v>22</v>
      </c>
      <c r="BJ311">
        <v>2</v>
      </c>
      <c r="BK311">
        <v>-0.38179999999999997</v>
      </c>
      <c r="BL311">
        <v>5.4000000000000003E-3</v>
      </c>
    </row>
    <row r="312" spans="1:64" hidden="1" x14ac:dyDescent="0.2">
      <c r="A312">
        <v>147</v>
      </c>
      <c r="D312" t="s">
        <v>54</v>
      </c>
      <c r="E312">
        <v>2014</v>
      </c>
      <c r="F312" t="s">
        <v>317</v>
      </c>
      <c r="G312" t="s">
        <v>318</v>
      </c>
      <c r="H312" t="s">
        <v>78</v>
      </c>
      <c r="K312" t="s">
        <v>319</v>
      </c>
      <c r="L312" t="s">
        <v>320</v>
      </c>
      <c r="M312" t="s">
        <v>81</v>
      </c>
      <c r="N312" t="s">
        <v>81</v>
      </c>
      <c r="O312" t="s">
        <v>62</v>
      </c>
      <c r="P312" t="s">
        <v>63</v>
      </c>
      <c r="Q312" t="s">
        <v>74</v>
      </c>
      <c r="R312" t="s">
        <v>83</v>
      </c>
      <c r="S312" t="s">
        <v>64</v>
      </c>
      <c r="T312" t="s">
        <v>64</v>
      </c>
      <c r="U312" t="s">
        <v>66</v>
      </c>
      <c r="V312">
        <v>330</v>
      </c>
      <c r="W312">
        <v>9.5</v>
      </c>
      <c r="X312" t="s">
        <v>67</v>
      </c>
      <c r="Y312" t="s">
        <v>68</v>
      </c>
      <c r="Z312">
        <v>8.11</v>
      </c>
      <c r="AA312">
        <v>0.01</v>
      </c>
      <c r="AB312" t="s">
        <v>67</v>
      </c>
      <c r="AC312">
        <v>1113</v>
      </c>
      <c r="AD312">
        <v>61</v>
      </c>
      <c r="AE312" t="s">
        <v>67</v>
      </c>
      <c r="AF312">
        <v>7.64</v>
      </c>
      <c r="AG312">
        <v>0.02</v>
      </c>
      <c r="AH312" t="s">
        <v>67</v>
      </c>
      <c r="AI312">
        <v>5.2</v>
      </c>
      <c r="AJ312">
        <v>0.11</v>
      </c>
      <c r="AK312" t="s">
        <v>67</v>
      </c>
      <c r="AL312">
        <v>10</v>
      </c>
      <c r="AM312">
        <v>0.02</v>
      </c>
      <c r="AN312" t="s">
        <v>67</v>
      </c>
      <c r="AO312">
        <v>783</v>
      </c>
      <c r="AP312">
        <v>4.9000000000000004</v>
      </c>
      <c r="AQ312" t="s">
        <v>67</v>
      </c>
      <c r="AR312" t="s">
        <v>321</v>
      </c>
      <c r="AS312" t="s">
        <v>322</v>
      </c>
      <c r="AT312" t="s">
        <v>70</v>
      </c>
      <c r="AU312" t="s">
        <v>89</v>
      </c>
      <c r="AV312" t="s">
        <v>132</v>
      </c>
      <c r="AX312" t="s">
        <v>73</v>
      </c>
      <c r="AY312">
        <v>21.1371</v>
      </c>
      <c r="AZ312">
        <v>21.137139999999999</v>
      </c>
      <c r="BA312">
        <v>0.93</v>
      </c>
      <c r="BC312">
        <v>18</v>
      </c>
      <c r="BD312">
        <v>20.211400000000001</v>
      </c>
      <c r="BE312">
        <v>20.211428569999999</v>
      </c>
      <c r="BF312">
        <v>1.0286</v>
      </c>
      <c r="BH312">
        <v>18</v>
      </c>
      <c r="BI312">
        <v>105</v>
      </c>
      <c r="BJ312">
        <v>2</v>
      </c>
      <c r="BK312">
        <v>-4.48E-2</v>
      </c>
      <c r="BL312">
        <v>4.4999999999999997E-3</v>
      </c>
    </row>
    <row r="313" spans="1:64" x14ac:dyDescent="0.2">
      <c r="A313">
        <v>183</v>
      </c>
      <c r="B313" t="str">
        <f>ROW()-1&amp;"_AltersFish"</f>
        <v>312_AltersFish</v>
      </c>
      <c r="C313" t="str">
        <f>A313 &amp; "_" &amp; P313 &amp; "_" &amp;
SUBSTITUTE(TRIM(L313)," ","_") &amp;
"_pH" &amp; TEXT(Z313,"0.00") &amp;
"_T" &amp; TEXT(AI313,"0.00") &amp;
"_CO2" &amp; TEXT(V313,"0") &amp;
"_LANG"</f>
        <v>183_EMBRYO_Ammodytes_dubius_pH8.15_T4.90_CO2387_LANG</v>
      </c>
      <c r="D313" t="s">
        <v>54</v>
      </c>
      <c r="E313">
        <v>2019</v>
      </c>
      <c r="F313" t="s">
        <v>116</v>
      </c>
      <c r="G313" t="s">
        <v>117</v>
      </c>
      <c r="H313" t="s">
        <v>78</v>
      </c>
      <c r="I313" t="s">
        <v>540</v>
      </c>
      <c r="J313" t="s">
        <v>543</v>
      </c>
      <c r="K313" t="s">
        <v>79</v>
      </c>
      <c r="L313" t="s">
        <v>118</v>
      </c>
      <c r="M313" t="s">
        <v>119</v>
      </c>
      <c r="N313" t="s">
        <v>120</v>
      </c>
      <c r="O313" t="s">
        <v>62</v>
      </c>
      <c r="P313" t="s">
        <v>82</v>
      </c>
      <c r="Q313" t="s">
        <v>64</v>
      </c>
      <c r="R313" t="s">
        <v>83</v>
      </c>
      <c r="S313" t="s">
        <v>64</v>
      </c>
      <c r="T313" t="s">
        <v>64</v>
      </c>
      <c r="U313" t="s">
        <v>66</v>
      </c>
      <c r="V313">
        <v>387</v>
      </c>
      <c r="W313" t="s">
        <v>67</v>
      </c>
      <c r="X313">
        <v>13</v>
      </c>
      <c r="Y313" t="s">
        <v>121</v>
      </c>
      <c r="Z313">
        <v>8.15</v>
      </c>
      <c r="AA313" t="s">
        <v>67</v>
      </c>
      <c r="AB313">
        <v>0.06</v>
      </c>
      <c r="AC313">
        <v>2056</v>
      </c>
      <c r="AD313" t="s">
        <v>67</v>
      </c>
      <c r="AE313">
        <v>23</v>
      </c>
      <c r="AF313">
        <v>7.48</v>
      </c>
      <c r="AG313" t="s">
        <v>67</v>
      </c>
      <c r="AH313">
        <v>0.03</v>
      </c>
      <c r="AI313">
        <v>4.9000000000000004</v>
      </c>
      <c r="AJ313" t="s">
        <v>67</v>
      </c>
      <c r="AK313">
        <v>0.2</v>
      </c>
      <c r="AL313">
        <v>9.5</v>
      </c>
      <c r="AM313" t="s">
        <v>67</v>
      </c>
      <c r="AN313">
        <v>0.4</v>
      </c>
      <c r="AO313">
        <v>1669</v>
      </c>
      <c r="AP313">
        <v>4.5999999999999996</v>
      </c>
      <c r="AQ313" t="s">
        <v>67</v>
      </c>
      <c r="AR313" t="s">
        <v>305</v>
      </c>
      <c r="AS313" t="s">
        <v>159</v>
      </c>
      <c r="AT313" t="s">
        <v>135</v>
      </c>
      <c r="AU313" t="s">
        <v>160</v>
      </c>
      <c r="AV313" t="s">
        <v>11</v>
      </c>
      <c r="AW313" t="s">
        <v>72</v>
      </c>
      <c r="AX313" t="s">
        <v>73</v>
      </c>
      <c r="AY313">
        <v>0.16700000000000001</v>
      </c>
      <c r="AZ313">
        <v>0.16700000000000001</v>
      </c>
      <c r="BA313">
        <v>0.01</v>
      </c>
      <c r="BB313">
        <f>BA313*SQRT(BC313)</f>
        <v>6.1644140029689765E-2</v>
      </c>
      <c r="BC313">
        <v>38</v>
      </c>
      <c r="BD313">
        <v>0.123</v>
      </c>
      <c r="BE313">
        <v>0.123</v>
      </c>
      <c r="BF313">
        <v>1.3100000000000001E-2</v>
      </c>
      <c r="BG313">
        <f>BF313*SQRT(BH313)</f>
        <v>6.4176631260919256E-2</v>
      </c>
      <c r="BH313">
        <v>24</v>
      </c>
      <c r="BI313">
        <v>27</v>
      </c>
      <c r="BJ313">
        <v>2</v>
      </c>
      <c r="BK313">
        <v>-0.30580000000000002</v>
      </c>
      <c r="BL313">
        <v>1.29E-2</v>
      </c>
    </row>
    <row r="314" spans="1:64" hidden="1" x14ac:dyDescent="0.2">
      <c r="A314">
        <v>163</v>
      </c>
      <c r="D314" t="s">
        <v>54</v>
      </c>
      <c r="E314">
        <v>2018</v>
      </c>
      <c r="F314" t="s">
        <v>273</v>
      </c>
      <c r="G314" t="s">
        <v>230</v>
      </c>
      <c r="H314" t="s">
        <v>78</v>
      </c>
      <c r="K314" t="s">
        <v>79</v>
      </c>
      <c r="L314" t="s">
        <v>274</v>
      </c>
      <c r="M314" t="s">
        <v>95</v>
      </c>
      <c r="N314" t="s">
        <v>61</v>
      </c>
      <c r="O314" t="s">
        <v>62</v>
      </c>
      <c r="P314" t="s">
        <v>63</v>
      </c>
      <c r="Q314" t="s">
        <v>64</v>
      </c>
      <c r="R314" t="s">
        <v>65</v>
      </c>
      <c r="S314" t="s">
        <v>64</v>
      </c>
      <c r="T314" t="s">
        <v>64</v>
      </c>
      <c r="U314" t="s">
        <v>66</v>
      </c>
      <c r="V314">
        <v>435</v>
      </c>
      <c r="W314" t="s">
        <v>67</v>
      </c>
      <c r="X314">
        <v>38</v>
      </c>
      <c r="Y314" t="s">
        <v>67</v>
      </c>
      <c r="Z314" t="s">
        <v>67</v>
      </c>
      <c r="AA314" t="s">
        <v>67</v>
      </c>
      <c r="AB314" t="s">
        <v>67</v>
      </c>
      <c r="AC314">
        <v>981</v>
      </c>
      <c r="AD314" t="s">
        <v>67</v>
      </c>
      <c r="AE314">
        <v>8</v>
      </c>
      <c r="AF314" t="s">
        <v>67</v>
      </c>
      <c r="AG314" t="s">
        <v>67</v>
      </c>
      <c r="AH314" t="s">
        <v>67</v>
      </c>
      <c r="AI314">
        <v>28.8</v>
      </c>
      <c r="AJ314" t="s">
        <v>67</v>
      </c>
      <c r="AK314">
        <v>0.2</v>
      </c>
      <c r="AL314">
        <v>31.1</v>
      </c>
      <c r="AM314" t="s">
        <v>67</v>
      </c>
      <c r="AN314">
        <v>0.3</v>
      </c>
      <c r="AO314">
        <v>546</v>
      </c>
      <c r="AP314">
        <v>2.2999999999999998</v>
      </c>
      <c r="AQ314" t="s">
        <v>67</v>
      </c>
      <c r="AR314" t="s">
        <v>353</v>
      </c>
      <c r="AS314" t="s">
        <v>354</v>
      </c>
      <c r="AT314" t="s">
        <v>70</v>
      </c>
      <c r="AU314" t="s">
        <v>355</v>
      </c>
      <c r="AV314" t="s">
        <v>251</v>
      </c>
      <c r="AX314" t="s">
        <v>73</v>
      </c>
      <c r="AY314">
        <v>6.4000000000000003E-3</v>
      </c>
      <c r="AZ314">
        <v>6.3699999999999998E-3</v>
      </c>
      <c r="BA314">
        <v>2.9999999999999997E-4</v>
      </c>
      <c r="BC314">
        <v>38</v>
      </c>
      <c r="BD314">
        <v>6.7999999999999996E-3</v>
      </c>
      <c r="BE314">
        <v>6.7777779999999999E-3</v>
      </c>
      <c r="BF314">
        <v>4.0000000000000002E-4</v>
      </c>
      <c r="BH314">
        <v>36</v>
      </c>
      <c r="BI314">
        <v>31</v>
      </c>
      <c r="BJ314">
        <v>6</v>
      </c>
      <c r="BK314">
        <v>6.2300000000000001E-2</v>
      </c>
      <c r="BL314">
        <v>4.5999999999999999E-3</v>
      </c>
    </row>
    <row r="315" spans="1:64" hidden="1" x14ac:dyDescent="0.2">
      <c r="A315">
        <v>141</v>
      </c>
      <c r="D315" t="s">
        <v>54</v>
      </c>
      <c r="E315">
        <v>2015</v>
      </c>
      <c r="F315" t="s">
        <v>91</v>
      </c>
      <c r="G315" t="s">
        <v>92</v>
      </c>
      <c r="H315" t="s">
        <v>78</v>
      </c>
      <c r="K315" t="s">
        <v>93</v>
      </c>
      <c r="L315" t="s">
        <v>94</v>
      </c>
      <c r="M315" t="s">
        <v>95</v>
      </c>
      <c r="N315" t="s">
        <v>61</v>
      </c>
      <c r="O315" t="s">
        <v>62</v>
      </c>
      <c r="P315" t="s">
        <v>196</v>
      </c>
      <c r="Q315" t="s">
        <v>64</v>
      </c>
      <c r="R315" t="s">
        <v>83</v>
      </c>
      <c r="S315" t="s">
        <v>64</v>
      </c>
      <c r="T315" t="s">
        <v>74</v>
      </c>
      <c r="U315" t="s">
        <v>84</v>
      </c>
      <c r="V315">
        <v>400</v>
      </c>
      <c r="W315">
        <v>6</v>
      </c>
      <c r="X315" t="s">
        <v>67</v>
      </c>
      <c r="Y315" t="s">
        <v>96</v>
      </c>
      <c r="Z315">
        <v>8.15</v>
      </c>
      <c r="AA315">
        <v>0.01</v>
      </c>
      <c r="AB315" t="s">
        <v>67</v>
      </c>
      <c r="AC315">
        <v>1087</v>
      </c>
      <c r="AD315">
        <v>25</v>
      </c>
      <c r="AE315" t="s">
        <v>67</v>
      </c>
      <c r="AF315">
        <v>7.81</v>
      </c>
      <c r="AG315">
        <v>0.01</v>
      </c>
      <c r="AH315" t="s">
        <v>67</v>
      </c>
      <c r="AI315">
        <v>28.4</v>
      </c>
      <c r="AJ315">
        <v>0.01</v>
      </c>
      <c r="AK315" t="s">
        <v>67</v>
      </c>
      <c r="AL315">
        <v>28.5</v>
      </c>
      <c r="AM315">
        <v>0.01</v>
      </c>
      <c r="AN315" t="s">
        <v>67</v>
      </c>
      <c r="AO315">
        <v>687</v>
      </c>
      <c r="AP315">
        <v>0.1</v>
      </c>
      <c r="AQ315" t="s">
        <v>67</v>
      </c>
      <c r="AR315" t="s">
        <v>300</v>
      </c>
      <c r="AS315" t="s">
        <v>301</v>
      </c>
      <c r="AT315" t="s">
        <v>70</v>
      </c>
      <c r="AU315" t="s">
        <v>99</v>
      </c>
      <c r="AV315" t="s">
        <v>151</v>
      </c>
      <c r="AX315" t="s">
        <v>90</v>
      </c>
      <c r="AY315">
        <v>2454.5455000000002</v>
      </c>
      <c r="AZ315">
        <v>2454.5454500000001</v>
      </c>
      <c r="BA315">
        <v>71.77</v>
      </c>
      <c r="BC315">
        <v>4</v>
      </c>
      <c r="BD315">
        <v>1866.0287000000001</v>
      </c>
      <c r="BE315">
        <v>1866.0287080000001</v>
      </c>
      <c r="BF315">
        <v>114.8325</v>
      </c>
      <c r="BH315">
        <v>4</v>
      </c>
      <c r="BI315" t="s">
        <v>67</v>
      </c>
      <c r="BJ315">
        <v>7</v>
      </c>
      <c r="BK315">
        <v>-0.27410000000000001</v>
      </c>
      <c r="BL315">
        <v>4.5999999999999999E-3</v>
      </c>
    </row>
    <row r="316" spans="1:64" hidden="1" x14ac:dyDescent="0.2">
      <c r="A316">
        <v>159</v>
      </c>
      <c r="D316" t="s">
        <v>54</v>
      </c>
      <c r="E316">
        <v>2018</v>
      </c>
      <c r="F316" t="s">
        <v>326</v>
      </c>
      <c r="G316" t="s">
        <v>327</v>
      </c>
      <c r="H316" t="s">
        <v>78</v>
      </c>
      <c r="K316" t="s">
        <v>205</v>
      </c>
      <c r="L316" t="s">
        <v>225</v>
      </c>
      <c r="M316" t="s">
        <v>120</v>
      </c>
      <c r="N316" t="s">
        <v>120</v>
      </c>
      <c r="O316" t="s">
        <v>110</v>
      </c>
      <c r="P316" t="s">
        <v>196</v>
      </c>
      <c r="Q316" t="s">
        <v>64</v>
      </c>
      <c r="R316" t="s">
        <v>83</v>
      </c>
      <c r="S316" t="s">
        <v>64</v>
      </c>
      <c r="T316" t="s">
        <v>74</v>
      </c>
      <c r="U316" t="s">
        <v>84</v>
      </c>
      <c r="V316">
        <v>390</v>
      </c>
      <c r="W316" t="s">
        <v>67</v>
      </c>
      <c r="X316" t="s">
        <v>67</v>
      </c>
      <c r="Y316" t="s">
        <v>67</v>
      </c>
      <c r="Z316" t="s">
        <v>67</v>
      </c>
      <c r="AA316" t="s">
        <v>67</v>
      </c>
      <c r="AB316" t="s">
        <v>67</v>
      </c>
      <c r="AC316">
        <v>1170</v>
      </c>
      <c r="AD316" t="s">
        <v>67</v>
      </c>
      <c r="AE316" t="s">
        <v>67</v>
      </c>
      <c r="AF316" t="s">
        <v>67</v>
      </c>
      <c r="AG316" t="s">
        <v>67</v>
      </c>
      <c r="AH316" t="s">
        <v>67</v>
      </c>
      <c r="AI316">
        <v>0</v>
      </c>
      <c r="AJ316" t="s">
        <v>67</v>
      </c>
      <c r="AK316" t="s">
        <v>67</v>
      </c>
      <c r="AL316">
        <v>0</v>
      </c>
      <c r="AM316" t="s">
        <v>67</v>
      </c>
      <c r="AN316" t="s">
        <v>67</v>
      </c>
      <c r="AO316">
        <v>780</v>
      </c>
      <c r="AP316">
        <v>0</v>
      </c>
      <c r="AQ316" t="s">
        <v>67</v>
      </c>
      <c r="AR316" t="s">
        <v>328</v>
      </c>
      <c r="AS316" t="s">
        <v>329</v>
      </c>
      <c r="AT316" t="s">
        <v>70</v>
      </c>
      <c r="AU316" t="s">
        <v>330</v>
      </c>
      <c r="AV316" t="s">
        <v>251</v>
      </c>
      <c r="AX316" t="s">
        <v>73</v>
      </c>
      <c r="AY316">
        <v>3.49</v>
      </c>
      <c r="AZ316">
        <v>3.49</v>
      </c>
      <c r="BA316">
        <v>0.19</v>
      </c>
      <c r="BC316">
        <v>5</v>
      </c>
      <c r="BD316">
        <v>3.32</v>
      </c>
      <c r="BE316">
        <v>3.32</v>
      </c>
      <c r="BF316">
        <v>0.14000000000000001</v>
      </c>
      <c r="BH316">
        <v>5</v>
      </c>
      <c r="BI316">
        <v>120</v>
      </c>
      <c r="BJ316" t="s">
        <v>67</v>
      </c>
      <c r="BK316">
        <v>-4.99E-2</v>
      </c>
      <c r="BL316">
        <v>4.7000000000000002E-3</v>
      </c>
    </row>
    <row r="317" spans="1:64" x14ac:dyDescent="0.2">
      <c r="A317">
        <v>183</v>
      </c>
      <c r="B317" t="str">
        <f>ROW()-1&amp;"_AltersFish"</f>
        <v>316_AltersFish</v>
      </c>
      <c r="C317" t="str">
        <f>A317 &amp; "_" &amp; P317 &amp; "_" &amp;
SUBSTITUTE(TRIM(L317)," ","_") &amp;
"_pH" &amp; TEXT(Z317,"0.00") &amp;
"_T" &amp; TEXT(AI317,"0.00") &amp;
"_CO2" &amp; TEXT(V317,"0") &amp;
"_LANG"</f>
        <v>183_EMBRYO_Ammodytes_dubius_pH8.15_T4.90_CO2385_LANG</v>
      </c>
      <c r="D317" t="s">
        <v>54</v>
      </c>
      <c r="E317">
        <v>2019</v>
      </c>
      <c r="F317" t="s">
        <v>116</v>
      </c>
      <c r="G317" t="s">
        <v>117</v>
      </c>
      <c r="H317" t="s">
        <v>78</v>
      </c>
      <c r="I317" t="s">
        <v>540</v>
      </c>
      <c r="J317" t="s">
        <v>543</v>
      </c>
      <c r="K317" t="s">
        <v>79</v>
      </c>
      <c r="L317" t="s">
        <v>118</v>
      </c>
      <c r="M317" t="s">
        <v>119</v>
      </c>
      <c r="N317" t="s">
        <v>120</v>
      </c>
      <c r="O317" t="s">
        <v>62</v>
      </c>
      <c r="P317" t="s">
        <v>82</v>
      </c>
      <c r="Q317" t="s">
        <v>64</v>
      </c>
      <c r="R317" t="s">
        <v>83</v>
      </c>
      <c r="S317" t="s">
        <v>64</v>
      </c>
      <c r="T317" t="s">
        <v>74</v>
      </c>
      <c r="U317" t="s">
        <v>84</v>
      </c>
      <c r="V317">
        <v>385</v>
      </c>
      <c r="W317" t="s">
        <v>67</v>
      </c>
      <c r="X317">
        <v>11</v>
      </c>
      <c r="Y317" t="s">
        <v>121</v>
      </c>
      <c r="Z317">
        <v>8.15</v>
      </c>
      <c r="AA317" t="s">
        <v>67</v>
      </c>
      <c r="AB317">
        <v>0.06</v>
      </c>
      <c r="AC317">
        <v>2180</v>
      </c>
      <c r="AD317" t="s">
        <v>67</v>
      </c>
      <c r="AE317">
        <v>68</v>
      </c>
      <c r="AF317">
        <v>7.43</v>
      </c>
      <c r="AG317" t="s">
        <v>67</v>
      </c>
      <c r="AH317">
        <v>7.0000000000000007E-2</v>
      </c>
      <c r="AI317">
        <v>4.9000000000000004</v>
      </c>
      <c r="AJ317" t="s">
        <v>67</v>
      </c>
      <c r="AK317">
        <v>0.2</v>
      </c>
      <c r="AL317">
        <v>4.8</v>
      </c>
      <c r="AM317" t="s">
        <v>67</v>
      </c>
      <c r="AN317">
        <v>0.3</v>
      </c>
      <c r="AO317">
        <v>1795</v>
      </c>
      <c r="AP317">
        <v>-0.1</v>
      </c>
      <c r="AQ317" t="s">
        <v>67</v>
      </c>
      <c r="AR317" t="s">
        <v>122</v>
      </c>
      <c r="AS317" t="s">
        <v>98</v>
      </c>
      <c r="AT317" t="s">
        <v>70</v>
      </c>
      <c r="AU317" t="s">
        <v>109</v>
      </c>
      <c r="AV317" t="s">
        <v>72</v>
      </c>
      <c r="AW317" t="s">
        <v>11</v>
      </c>
      <c r="AX317" t="s">
        <v>73</v>
      </c>
      <c r="AY317">
        <v>5.47</v>
      </c>
      <c r="AZ317">
        <v>5.47</v>
      </c>
      <c r="BA317">
        <v>0.05</v>
      </c>
      <c r="BB317">
        <f>BA317*SQRT(BC317)</f>
        <v>0.30822070014844882</v>
      </c>
      <c r="BC317">
        <v>38</v>
      </c>
      <c r="BD317">
        <v>5.59</v>
      </c>
      <c r="BE317">
        <v>5.59</v>
      </c>
      <c r="BF317">
        <v>2.5000000000000001E-2</v>
      </c>
      <c r="BG317">
        <f>BF317*SQRT(BH317)</f>
        <v>0.16007810593582122</v>
      </c>
      <c r="BH317">
        <v>41</v>
      </c>
      <c r="BI317">
        <v>36</v>
      </c>
      <c r="BJ317">
        <v>2</v>
      </c>
      <c r="BK317">
        <v>2.1700000000000001E-2</v>
      </c>
      <c r="BL317">
        <v>1E-4</v>
      </c>
    </row>
    <row r="318" spans="1:64" hidden="1" x14ac:dyDescent="0.2">
      <c r="A318">
        <v>233</v>
      </c>
      <c r="D318" t="s">
        <v>54</v>
      </c>
      <c r="E318">
        <v>2018</v>
      </c>
      <c r="F318" t="s">
        <v>208</v>
      </c>
      <c r="G318" t="s">
        <v>209</v>
      </c>
      <c r="H318" t="s">
        <v>78</v>
      </c>
      <c r="L318" t="s">
        <v>210</v>
      </c>
      <c r="P318" t="s">
        <v>63</v>
      </c>
      <c r="S318" t="s">
        <v>64</v>
      </c>
      <c r="T318" t="s">
        <v>64</v>
      </c>
      <c r="U318" t="s">
        <v>66</v>
      </c>
      <c r="V318">
        <v>500</v>
      </c>
      <c r="AC318">
        <v>1597</v>
      </c>
      <c r="AI318">
        <v>19.2</v>
      </c>
      <c r="AL318">
        <v>24.3</v>
      </c>
      <c r="AO318">
        <v>1097</v>
      </c>
      <c r="AP318">
        <v>5.0999999999999996</v>
      </c>
      <c r="AQ318" t="s">
        <v>276</v>
      </c>
      <c r="AR318" t="s">
        <v>331</v>
      </c>
      <c r="AS318" t="s">
        <v>332</v>
      </c>
      <c r="AT318" t="s">
        <v>333</v>
      </c>
      <c r="AU318" t="s">
        <v>334</v>
      </c>
      <c r="AV318" t="s">
        <v>132</v>
      </c>
      <c r="AX318" t="s">
        <v>73</v>
      </c>
      <c r="AY318">
        <v>0.90447698600000004</v>
      </c>
      <c r="AZ318">
        <v>0.90447999999999995</v>
      </c>
      <c r="BA318">
        <v>4.3955020999999997E-2</v>
      </c>
      <c r="BC318">
        <v>9</v>
      </c>
      <c r="BD318">
        <v>2.012827975</v>
      </c>
      <c r="BE318">
        <v>2.012827975</v>
      </c>
      <c r="BF318">
        <v>9.8922077999999997E-2</v>
      </c>
      <c r="BH318">
        <v>9</v>
      </c>
      <c r="BI318">
        <v>28</v>
      </c>
      <c r="BK318">
        <v>-0.79990000000000006</v>
      </c>
      <c r="BL318">
        <v>4.7999999999999996E-3</v>
      </c>
    </row>
    <row r="319" spans="1:64" hidden="1" x14ac:dyDescent="0.2">
      <c r="A319">
        <v>142</v>
      </c>
      <c r="D319" t="s">
        <v>54</v>
      </c>
      <c r="E319">
        <v>2017</v>
      </c>
      <c r="F319" t="s">
        <v>193</v>
      </c>
      <c r="G319" t="s">
        <v>181</v>
      </c>
      <c r="H319" t="s">
        <v>78</v>
      </c>
      <c r="K319" t="s">
        <v>194</v>
      </c>
      <c r="L319" t="s">
        <v>299</v>
      </c>
      <c r="M319" t="s">
        <v>120</v>
      </c>
      <c r="N319" t="s">
        <v>120</v>
      </c>
      <c r="O319" t="s">
        <v>62</v>
      </c>
      <c r="P319" t="s">
        <v>196</v>
      </c>
      <c r="Q319" t="s">
        <v>64</v>
      </c>
      <c r="R319" t="s">
        <v>83</v>
      </c>
      <c r="S319" t="s">
        <v>64</v>
      </c>
      <c r="T319" t="s">
        <v>64</v>
      </c>
      <c r="U319" t="s">
        <v>66</v>
      </c>
      <c r="V319">
        <v>439</v>
      </c>
      <c r="W319">
        <v>16.079999999999998</v>
      </c>
      <c r="X319" t="s">
        <v>67</v>
      </c>
      <c r="Y319" t="s">
        <v>67</v>
      </c>
      <c r="Z319" t="s">
        <v>67</v>
      </c>
      <c r="AA319" t="s">
        <v>67</v>
      </c>
      <c r="AB319" t="s">
        <v>67</v>
      </c>
      <c r="AC319">
        <v>1027</v>
      </c>
      <c r="AD319">
        <v>9.0299999999999994</v>
      </c>
      <c r="AE319" t="s">
        <v>67</v>
      </c>
      <c r="AF319" t="s">
        <v>67</v>
      </c>
      <c r="AG319" t="s">
        <v>67</v>
      </c>
      <c r="AH319" t="s">
        <v>67</v>
      </c>
      <c r="AI319">
        <v>-0.6</v>
      </c>
      <c r="AJ319">
        <v>0.17</v>
      </c>
      <c r="AK319" t="s">
        <v>67</v>
      </c>
      <c r="AL319">
        <v>4.2</v>
      </c>
      <c r="AM319">
        <v>0.56000000000000005</v>
      </c>
      <c r="AN319" t="s">
        <v>67</v>
      </c>
      <c r="AO319">
        <v>588</v>
      </c>
      <c r="AP319">
        <v>4.8</v>
      </c>
      <c r="AQ319" t="s">
        <v>67</v>
      </c>
      <c r="AR319" t="s">
        <v>356</v>
      </c>
      <c r="AS319" t="s">
        <v>134</v>
      </c>
      <c r="AT319" t="s">
        <v>135</v>
      </c>
      <c r="AU319" t="s">
        <v>357</v>
      </c>
      <c r="AV319" t="s">
        <v>137</v>
      </c>
      <c r="AX319" t="s">
        <v>73</v>
      </c>
      <c r="AY319">
        <v>41.18</v>
      </c>
      <c r="AZ319">
        <v>41.18</v>
      </c>
      <c r="BA319">
        <v>2.2599999999999998</v>
      </c>
      <c r="BC319">
        <v>5</v>
      </c>
      <c r="BD319">
        <v>66.129000000000005</v>
      </c>
      <c r="BE319">
        <v>66.129032260000002</v>
      </c>
      <c r="BF319">
        <v>2.8226</v>
      </c>
      <c r="BH319">
        <v>5</v>
      </c>
      <c r="BI319">
        <v>42</v>
      </c>
      <c r="BJ319">
        <v>1</v>
      </c>
      <c r="BK319">
        <v>0.47370000000000001</v>
      </c>
      <c r="BL319">
        <v>4.7999999999999996E-3</v>
      </c>
    </row>
    <row r="320" spans="1:64" hidden="1" x14ac:dyDescent="0.2">
      <c r="A320">
        <v>159</v>
      </c>
      <c r="D320" t="s">
        <v>54</v>
      </c>
      <c r="E320">
        <v>2018</v>
      </c>
      <c r="F320" t="s">
        <v>326</v>
      </c>
      <c r="G320" t="s">
        <v>327</v>
      </c>
      <c r="H320" t="s">
        <v>78</v>
      </c>
      <c r="K320" t="s">
        <v>205</v>
      </c>
      <c r="L320" t="s">
        <v>225</v>
      </c>
      <c r="M320" t="s">
        <v>120</v>
      </c>
      <c r="N320" t="s">
        <v>120</v>
      </c>
      <c r="O320" t="s">
        <v>110</v>
      </c>
      <c r="P320" t="s">
        <v>196</v>
      </c>
      <c r="Q320" t="s">
        <v>64</v>
      </c>
      <c r="R320" t="s">
        <v>83</v>
      </c>
      <c r="S320" t="s">
        <v>64</v>
      </c>
      <c r="T320" t="s">
        <v>64</v>
      </c>
      <c r="U320" t="s">
        <v>66</v>
      </c>
      <c r="V320">
        <v>390</v>
      </c>
      <c r="W320" t="s">
        <v>67</v>
      </c>
      <c r="X320" t="s">
        <v>67</v>
      </c>
      <c r="Y320" t="s">
        <v>67</v>
      </c>
      <c r="Z320" t="s">
        <v>67</v>
      </c>
      <c r="AA320" t="s">
        <v>67</v>
      </c>
      <c r="AB320" t="s">
        <v>67</v>
      </c>
      <c r="AC320">
        <v>1170</v>
      </c>
      <c r="AD320" t="s">
        <v>67</v>
      </c>
      <c r="AE320" t="s">
        <v>67</v>
      </c>
      <c r="AF320" t="s">
        <v>67</v>
      </c>
      <c r="AG320" t="s">
        <v>67</v>
      </c>
      <c r="AH320" t="s">
        <v>67</v>
      </c>
      <c r="AI320">
        <v>0</v>
      </c>
      <c r="AJ320" t="s">
        <v>67</v>
      </c>
      <c r="AK320" t="s">
        <v>67</v>
      </c>
      <c r="AL320">
        <v>8</v>
      </c>
      <c r="AM320" t="s">
        <v>67</v>
      </c>
      <c r="AN320" t="s">
        <v>67</v>
      </c>
      <c r="AO320">
        <v>780</v>
      </c>
      <c r="AP320">
        <v>8</v>
      </c>
      <c r="AQ320" t="s">
        <v>67</v>
      </c>
      <c r="AR320" t="s">
        <v>328</v>
      </c>
      <c r="AS320" t="s">
        <v>329</v>
      </c>
      <c r="AT320" t="s">
        <v>70</v>
      </c>
      <c r="AU320" t="s">
        <v>330</v>
      </c>
      <c r="AV320" t="s">
        <v>251</v>
      </c>
      <c r="AX320" t="s">
        <v>73</v>
      </c>
      <c r="AY320">
        <v>3.49</v>
      </c>
      <c r="AZ320">
        <v>3.49</v>
      </c>
      <c r="BA320">
        <v>0.19</v>
      </c>
      <c r="BC320">
        <v>5</v>
      </c>
      <c r="BD320">
        <v>3.42</v>
      </c>
      <c r="BE320">
        <v>3.42</v>
      </c>
      <c r="BF320">
        <v>0.15</v>
      </c>
      <c r="BH320">
        <v>4</v>
      </c>
      <c r="BI320">
        <v>120</v>
      </c>
      <c r="BJ320" t="s">
        <v>67</v>
      </c>
      <c r="BK320">
        <v>-2.0299999999999999E-2</v>
      </c>
      <c r="BL320">
        <v>4.8999999999999998E-3</v>
      </c>
    </row>
    <row r="321" spans="1:64" hidden="1" x14ac:dyDescent="0.2">
      <c r="A321">
        <v>153</v>
      </c>
      <c r="D321" t="s">
        <v>54</v>
      </c>
      <c r="E321">
        <v>2017</v>
      </c>
      <c r="F321" t="s">
        <v>335</v>
      </c>
      <c r="G321" t="s">
        <v>220</v>
      </c>
      <c r="H321" t="s">
        <v>78</v>
      </c>
      <c r="K321" t="s">
        <v>205</v>
      </c>
      <c r="L321" t="s">
        <v>206</v>
      </c>
      <c r="M321" t="s">
        <v>81</v>
      </c>
      <c r="N321" t="s">
        <v>81</v>
      </c>
      <c r="O321" t="s">
        <v>110</v>
      </c>
      <c r="P321" t="s">
        <v>63</v>
      </c>
      <c r="Q321" t="s">
        <v>64</v>
      </c>
      <c r="R321" t="s">
        <v>83</v>
      </c>
      <c r="S321" t="s">
        <v>74</v>
      </c>
      <c r="T321" t="s">
        <v>64</v>
      </c>
      <c r="U321" t="s">
        <v>75</v>
      </c>
      <c r="V321">
        <v>435</v>
      </c>
      <c r="W321" t="s">
        <v>67</v>
      </c>
      <c r="X321">
        <v>49.9</v>
      </c>
      <c r="Y321" t="s">
        <v>68</v>
      </c>
      <c r="Z321">
        <v>8.01</v>
      </c>
      <c r="AA321" t="s">
        <v>67</v>
      </c>
      <c r="AB321">
        <v>0.04</v>
      </c>
      <c r="AC321">
        <v>548</v>
      </c>
      <c r="AD321" t="s">
        <v>67</v>
      </c>
      <c r="AE321">
        <v>92.69</v>
      </c>
      <c r="AF321">
        <v>7.87</v>
      </c>
      <c r="AG321" t="s">
        <v>67</v>
      </c>
      <c r="AH321">
        <v>0.06</v>
      </c>
      <c r="AI321">
        <v>8.1999999999999993</v>
      </c>
      <c r="AJ321" t="s">
        <v>67</v>
      </c>
      <c r="AK321">
        <v>0.11</v>
      </c>
      <c r="AL321">
        <v>15.8</v>
      </c>
      <c r="AM321" t="s">
        <v>67</v>
      </c>
      <c r="AN321">
        <v>0.25</v>
      </c>
      <c r="AO321">
        <v>113</v>
      </c>
      <c r="AP321">
        <v>7.6</v>
      </c>
      <c r="AQ321" t="s">
        <v>67</v>
      </c>
      <c r="AR321" t="s">
        <v>336</v>
      </c>
      <c r="AS321" t="s">
        <v>337</v>
      </c>
      <c r="AT321" t="s">
        <v>70</v>
      </c>
      <c r="AU321" t="s">
        <v>67</v>
      </c>
      <c r="AV321" t="s">
        <v>132</v>
      </c>
      <c r="AX321" t="s">
        <v>73</v>
      </c>
      <c r="AY321">
        <v>0.81540000000000001</v>
      </c>
      <c r="AZ321">
        <v>0.81538461500000003</v>
      </c>
      <c r="BA321">
        <v>0.02</v>
      </c>
      <c r="BC321">
        <v>5</v>
      </c>
      <c r="BD321">
        <v>0.62560000000000004</v>
      </c>
      <c r="BE321">
        <v>0.62564102600000004</v>
      </c>
      <c r="BF321">
        <v>4.1000000000000002E-2</v>
      </c>
      <c r="BH321">
        <v>4</v>
      </c>
      <c r="BI321">
        <v>120</v>
      </c>
      <c r="BJ321">
        <v>8</v>
      </c>
      <c r="BK321">
        <v>-0.26490000000000002</v>
      </c>
      <c r="BL321">
        <v>4.8999999999999998E-3</v>
      </c>
    </row>
    <row r="322" spans="1:64" hidden="1" x14ac:dyDescent="0.2">
      <c r="A322">
        <v>141</v>
      </c>
      <c r="D322" t="s">
        <v>54</v>
      </c>
      <c r="E322">
        <v>2015</v>
      </c>
      <c r="F322" t="s">
        <v>91</v>
      </c>
      <c r="G322" t="s">
        <v>92</v>
      </c>
      <c r="H322" t="s">
        <v>78</v>
      </c>
      <c r="K322" t="s">
        <v>93</v>
      </c>
      <c r="L322" t="s">
        <v>94</v>
      </c>
      <c r="M322" t="s">
        <v>95</v>
      </c>
      <c r="N322" t="s">
        <v>61</v>
      </c>
      <c r="O322" t="s">
        <v>62</v>
      </c>
      <c r="P322" t="s">
        <v>196</v>
      </c>
      <c r="Q322" t="s">
        <v>64</v>
      </c>
      <c r="R322" t="s">
        <v>83</v>
      </c>
      <c r="S322" t="s">
        <v>64</v>
      </c>
      <c r="T322" t="s">
        <v>64</v>
      </c>
      <c r="U322" t="s">
        <v>66</v>
      </c>
      <c r="V322">
        <v>400</v>
      </c>
      <c r="W322">
        <v>6</v>
      </c>
      <c r="X322" t="s">
        <v>67</v>
      </c>
      <c r="Y322" t="s">
        <v>96</v>
      </c>
      <c r="Z322">
        <v>8.15</v>
      </c>
      <c r="AA322">
        <v>0.01</v>
      </c>
      <c r="AB322" t="s">
        <v>67</v>
      </c>
      <c r="AC322">
        <v>658</v>
      </c>
      <c r="AD322">
        <v>13</v>
      </c>
      <c r="AE322" t="s">
        <v>67</v>
      </c>
      <c r="AF322">
        <v>8</v>
      </c>
      <c r="AG322">
        <v>0.01</v>
      </c>
      <c r="AH322" t="s">
        <v>67</v>
      </c>
      <c r="AI322">
        <v>28.4</v>
      </c>
      <c r="AJ322">
        <v>0.01</v>
      </c>
      <c r="AK322" t="s">
        <v>67</v>
      </c>
      <c r="AL322">
        <v>31.5</v>
      </c>
      <c r="AM322">
        <v>0.01</v>
      </c>
      <c r="AN322" t="s">
        <v>67</v>
      </c>
      <c r="AO322">
        <v>258</v>
      </c>
      <c r="AP322">
        <v>3.1</v>
      </c>
      <c r="AQ322" t="s">
        <v>67</v>
      </c>
      <c r="AR322" t="s">
        <v>358</v>
      </c>
      <c r="AS322" t="s">
        <v>359</v>
      </c>
      <c r="AT322" t="s">
        <v>135</v>
      </c>
      <c r="AU322" t="s">
        <v>232</v>
      </c>
      <c r="AV322" t="s">
        <v>72</v>
      </c>
      <c r="AX322" t="s">
        <v>73</v>
      </c>
      <c r="AY322">
        <v>1.1116999999999999</v>
      </c>
      <c r="AZ322">
        <v>1.1116900000000001</v>
      </c>
      <c r="BA322">
        <v>0.06</v>
      </c>
      <c r="BC322">
        <v>4</v>
      </c>
      <c r="BD322">
        <v>1.3403</v>
      </c>
      <c r="BE322">
        <v>1.34025974</v>
      </c>
      <c r="BF322">
        <v>5.7099999999999998E-2</v>
      </c>
      <c r="BH322">
        <v>2</v>
      </c>
      <c r="BI322" t="s">
        <v>67</v>
      </c>
      <c r="BJ322">
        <v>7</v>
      </c>
      <c r="BK322">
        <v>0.187</v>
      </c>
      <c r="BL322">
        <v>5.0000000000000001E-3</v>
      </c>
    </row>
    <row r="323" spans="1:64" hidden="1" x14ac:dyDescent="0.2">
      <c r="A323">
        <v>159</v>
      </c>
      <c r="D323" t="s">
        <v>54</v>
      </c>
      <c r="E323">
        <v>2018</v>
      </c>
      <c r="F323" t="s">
        <v>326</v>
      </c>
      <c r="G323" t="s">
        <v>327</v>
      </c>
      <c r="H323" t="s">
        <v>78</v>
      </c>
      <c r="K323" t="s">
        <v>205</v>
      </c>
      <c r="L323" t="s">
        <v>225</v>
      </c>
      <c r="M323" t="s">
        <v>120</v>
      </c>
      <c r="N323" t="s">
        <v>120</v>
      </c>
      <c r="O323" t="s">
        <v>110</v>
      </c>
      <c r="P323" t="s">
        <v>196</v>
      </c>
      <c r="Q323" t="s">
        <v>64</v>
      </c>
      <c r="R323" t="s">
        <v>83</v>
      </c>
      <c r="S323" t="s">
        <v>74</v>
      </c>
      <c r="T323" t="s">
        <v>64</v>
      </c>
      <c r="U323" t="s">
        <v>75</v>
      </c>
      <c r="V323">
        <v>390</v>
      </c>
      <c r="W323" t="s">
        <v>67</v>
      </c>
      <c r="X323" t="s">
        <v>67</v>
      </c>
      <c r="Y323" t="s">
        <v>67</v>
      </c>
      <c r="Z323" t="s">
        <v>67</v>
      </c>
      <c r="AA323" t="s">
        <v>67</v>
      </c>
      <c r="AB323" t="s">
        <v>67</v>
      </c>
      <c r="AC323">
        <v>390</v>
      </c>
      <c r="AD323" t="s">
        <v>67</v>
      </c>
      <c r="AE323" t="s">
        <v>67</v>
      </c>
      <c r="AF323" t="s">
        <v>67</v>
      </c>
      <c r="AG323" t="s">
        <v>67</v>
      </c>
      <c r="AH323" t="s">
        <v>67</v>
      </c>
      <c r="AI323">
        <v>0</v>
      </c>
      <c r="AJ323" t="s">
        <v>67</v>
      </c>
      <c r="AK323" t="s">
        <v>67</v>
      </c>
      <c r="AL323">
        <v>3</v>
      </c>
      <c r="AM323" t="s">
        <v>67</v>
      </c>
      <c r="AN323" t="s">
        <v>67</v>
      </c>
      <c r="AO323">
        <v>0</v>
      </c>
      <c r="AP323">
        <v>3</v>
      </c>
      <c r="AQ323" t="s">
        <v>67</v>
      </c>
      <c r="AR323" t="s">
        <v>328</v>
      </c>
      <c r="AS323" t="s">
        <v>329</v>
      </c>
      <c r="AT323" t="s">
        <v>70</v>
      </c>
      <c r="AU323" t="s">
        <v>330</v>
      </c>
      <c r="AV323" t="s">
        <v>251</v>
      </c>
      <c r="AX323" t="s">
        <v>73</v>
      </c>
      <c r="AY323">
        <v>3.49</v>
      </c>
      <c r="AZ323">
        <v>3.49</v>
      </c>
      <c r="BA323">
        <v>0.19</v>
      </c>
      <c r="BC323">
        <v>5</v>
      </c>
      <c r="BD323">
        <v>3.51</v>
      </c>
      <c r="BE323">
        <v>3.51</v>
      </c>
      <c r="BF323">
        <v>0.16</v>
      </c>
      <c r="BH323">
        <v>6</v>
      </c>
      <c r="BI323">
        <v>120</v>
      </c>
      <c r="BJ323" t="s">
        <v>67</v>
      </c>
      <c r="BK323">
        <v>5.7000000000000002E-3</v>
      </c>
      <c r="BL323">
        <v>5.0000000000000001E-3</v>
      </c>
    </row>
    <row r="324" spans="1:64" hidden="1" x14ac:dyDescent="0.2">
      <c r="A324">
        <v>145</v>
      </c>
      <c r="D324" t="s">
        <v>54</v>
      </c>
      <c r="E324">
        <v>2016</v>
      </c>
      <c r="F324" t="s">
        <v>198</v>
      </c>
      <c r="G324" t="s">
        <v>124</v>
      </c>
      <c r="H324" t="s">
        <v>57</v>
      </c>
      <c r="K324" t="s">
        <v>234</v>
      </c>
      <c r="L324" t="s">
        <v>200</v>
      </c>
      <c r="M324" t="s">
        <v>81</v>
      </c>
      <c r="N324" t="s">
        <v>81</v>
      </c>
      <c r="O324" t="s">
        <v>62</v>
      </c>
      <c r="P324" t="s">
        <v>63</v>
      </c>
      <c r="Q324" t="s">
        <v>64</v>
      </c>
      <c r="R324" t="s">
        <v>65</v>
      </c>
      <c r="S324" t="s">
        <v>74</v>
      </c>
      <c r="T324" t="s">
        <v>64</v>
      </c>
      <c r="U324" t="s">
        <v>75</v>
      </c>
      <c r="V324">
        <v>410</v>
      </c>
      <c r="W324">
        <v>19.16</v>
      </c>
      <c r="X324" t="s">
        <v>67</v>
      </c>
      <c r="Y324" t="s">
        <v>96</v>
      </c>
      <c r="Z324">
        <v>8.08</v>
      </c>
      <c r="AA324">
        <v>0.05</v>
      </c>
      <c r="AB324" t="s">
        <v>67</v>
      </c>
      <c r="AC324">
        <v>440</v>
      </c>
      <c r="AD324">
        <v>27.7</v>
      </c>
      <c r="AE324" t="s">
        <v>67</v>
      </c>
      <c r="AF324">
        <v>8</v>
      </c>
      <c r="AG324">
        <v>0.11</v>
      </c>
      <c r="AH324" t="s">
        <v>67</v>
      </c>
      <c r="AI324">
        <v>15.2</v>
      </c>
      <c r="AJ324">
        <v>0.7</v>
      </c>
      <c r="AK324" t="s">
        <v>67</v>
      </c>
      <c r="AL324">
        <v>20.2</v>
      </c>
      <c r="AM324">
        <v>0.6</v>
      </c>
      <c r="AN324" t="s">
        <v>67</v>
      </c>
      <c r="AO324">
        <v>29</v>
      </c>
      <c r="AP324">
        <v>5</v>
      </c>
      <c r="AQ324" t="s">
        <v>201</v>
      </c>
      <c r="AR324" t="s">
        <v>235</v>
      </c>
      <c r="AS324" t="s">
        <v>236</v>
      </c>
      <c r="AT324" t="s">
        <v>70</v>
      </c>
      <c r="AU324" t="s">
        <v>237</v>
      </c>
      <c r="AV324" t="s">
        <v>132</v>
      </c>
      <c r="AX324" t="s">
        <v>73</v>
      </c>
      <c r="AY324">
        <v>2.5697999999999999</v>
      </c>
      <c r="AZ324">
        <v>2.56982</v>
      </c>
      <c r="BA324">
        <v>0.12</v>
      </c>
      <c r="BC324">
        <v>7</v>
      </c>
      <c r="BD324">
        <v>2.5697999999999999</v>
      </c>
      <c r="BE324">
        <v>2.5698219309999999</v>
      </c>
      <c r="BF324">
        <v>0.13500000000000001</v>
      </c>
      <c r="BH324">
        <v>7</v>
      </c>
      <c r="BI324">
        <v>240</v>
      </c>
      <c r="BJ324">
        <v>7</v>
      </c>
      <c r="BK324">
        <v>0</v>
      </c>
      <c r="BL324">
        <v>5.1000000000000004E-3</v>
      </c>
    </row>
    <row r="325" spans="1:64" hidden="1" x14ac:dyDescent="0.2">
      <c r="A325">
        <v>147</v>
      </c>
      <c r="D325" t="s">
        <v>54</v>
      </c>
      <c r="E325">
        <v>2014</v>
      </c>
      <c r="F325" t="s">
        <v>317</v>
      </c>
      <c r="G325" t="s">
        <v>318</v>
      </c>
      <c r="H325" t="s">
        <v>78</v>
      </c>
      <c r="K325" t="s">
        <v>319</v>
      </c>
      <c r="L325" t="s">
        <v>320</v>
      </c>
      <c r="M325" t="s">
        <v>81</v>
      </c>
      <c r="N325" t="s">
        <v>81</v>
      </c>
      <c r="O325" t="s">
        <v>62</v>
      </c>
      <c r="P325" t="s">
        <v>63</v>
      </c>
      <c r="Q325" t="s">
        <v>74</v>
      </c>
      <c r="R325" t="s">
        <v>83</v>
      </c>
      <c r="S325" t="s">
        <v>74</v>
      </c>
      <c r="T325" t="s">
        <v>64</v>
      </c>
      <c r="U325" t="s">
        <v>75</v>
      </c>
      <c r="V325">
        <v>330</v>
      </c>
      <c r="W325">
        <v>9.5</v>
      </c>
      <c r="X325" t="s">
        <v>67</v>
      </c>
      <c r="Y325" t="s">
        <v>68</v>
      </c>
      <c r="Z325">
        <v>8.11</v>
      </c>
      <c r="AA325">
        <v>0.01</v>
      </c>
      <c r="AB325" t="s">
        <v>67</v>
      </c>
      <c r="AC325">
        <v>581</v>
      </c>
      <c r="AD325">
        <v>12.5</v>
      </c>
      <c r="AE325" t="s">
        <v>67</v>
      </c>
      <c r="AF325">
        <v>7.91</v>
      </c>
      <c r="AG325">
        <v>0.01</v>
      </c>
      <c r="AH325" t="s">
        <v>67</v>
      </c>
      <c r="AI325">
        <v>5.2</v>
      </c>
      <c r="AJ325">
        <v>0.11</v>
      </c>
      <c r="AK325" t="s">
        <v>67</v>
      </c>
      <c r="AL325">
        <v>15.8</v>
      </c>
      <c r="AM325">
        <v>0.04</v>
      </c>
      <c r="AN325" t="s">
        <v>67</v>
      </c>
      <c r="AO325">
        <v>251</v>
      </c>
      <c r="AP325">
        <v>10.7</v>
      </c>
      <c r="AQ325" t="s">
        <v>67</v>
      </c>
      <c r="AR325" t="s">
        <v>360</v>
      </c>
      <c r="AS325" t="s">
        <v>361</v>
      </c>
      <c r="AT325" t="s">
        <v>70</v>
      </c>
      <c r="AU325" t="s">
        <v>362</v>
      </c>
      <c r="AV325" t="s">
        <v>363</v>
      </c>
      <c r="AX325" t="s">
        <v>73</v>
      </c>
      <c r="AY325">
        <v>170.63659999999999</v>
      </c>
      <c r="AZ325">
        <v>170.63655</v>
      </c>
      <c r="BA325">
        <v>11.09</v>
      </c>
      <c r="BC325">
        <v>8</v>
      </c>
      <c r="BD325">
        <v>255.3279</v>
      </c>
      <c r="BE325">
        <v>255.3278689</v>
      </c>
      <c r="BF325">
        <v>7.7869000000000002</v>
      </c>
      <c r="BH325">
        <v>8</v>
      </c>
      <c r="BI325">
        <v>105</v>
      </c>
      <c r="BJ325">
        <v>2</v>
      </c>
      <c r="BK325">
        <v>0.40300000000000002</v>
      </c>
      <c r="BL325">
        <v>5.1999999999999998E-3</v>
      </c>
    </row>
    <row r="326" spans="1:64" hidden="1" x14ac:dyDescent="0.2">
      <c r="A326">
        <v>147</v>
      </c>
      <c r="D326" t="s">
        <v>54</v>
      </c>
      <c r="E326">
        <v>2014</v>
      </c>
      <c r="F326" t="s">
        <v>317</v>
      </c>
      <c r="G326" t="s">
        <v>318</v>
      </c>
      <c r="H326" t="s">
        <v>78</v>
      </c>
      <c r="K326" t="s">
        <v>319</v>
      </c>
      <c r="L326" t="s">
        <v>320</v>
      </c>
      <c r="M326" t="s">
        <v>81</v>
      </c>
      <c r="N326" t="s">
        <v>81</v>
      </c>
      <c r="O326" t="s">
        <v>62</v>
      </c>
      <c r="P326" t="s">
        <v>63</v>
      </c>
      <c r="Q326" t="s">
        <v>74</v>
      </c>
      <c r="R326" t="s">
        <v>83</v>
      </c>
      <c r="S326" t="s">
        <v>64</v>
      </c>
      <c r="T326" t="s">
        <v>74</v>
      </c>
      <c r="U326" t="s">
        <v>84</v>
      </c>
      <c r="V326">
        <v>330</v>
      </c>
      <c r="W326">
        <v>9.5</v>
      </c>
      <c r="X326" t="s">
        <v>67</v>
      </c>
      <c r="Y326" t="s">
        <v>68</v>
      </c>
      <c r="Z326">
        <v>8.11</v>
      </c>
      <c r="AA326">
        <v>0.01</v>
      </c>
      <c r="AB326" t="s">
        <v>67</v>
      </c>
      <c r="AC326">
        <v>889</v>
      </c>
      <c r="AD326">
        <v>43.5</v>
      </c>
      <c r="AE326" t="s">
        <v>67</v>
      </c>
      <c r="AF326">
        <v>7.71</v>
      </c>
      <c r="AG326">
        <v>0.03</v>
      </c>
      <c r="AH326" t="s">
        <v>67</v>
      </c>
      <c r="AI326">
        <v>5.2</v>
      </c>
      <c r="AJ326">
        <v>0.11</v>
      </c>
      <c r="AK326" t="s">
        <v>67</v>
      </c>
      <c r="AL326">
        <v>5.0999999999999996</v>
      </c>
      <c r="AM326">
        <v>0.11</v>
      </c>
      <c r="AN326" t="s">
        <v>67</v>
      </c>
      <c r="AO326">
        <v>559</v>
      </c>
      <c r="AP326">
        <v>0</v>
      </c>
      <c r="AQ326" t="s">
        <v>67</v>
      </c>
      <c r="AR326" t="s">
        <v>321</v>
      </c>
      <c r="AS326" t="s">
        <v>322</v>
      </c>
      <c r="AT326" t="s">
        <v>70</v>
      </c>
      <c r="AU326" t="s">
        <v>89</v>
      </c>
      <c r="AV326" t="s">
        <v>132</v>
      </c>
      <c r="AX326" t="s">
        <v>73</v>
      </c>
      <c r="AY326">
        <v>21.1371</v>
      </c>
      <c r="AZ326">
        <v>21.137139999999999</v>
      </c>
      <c r="BA326">
        <v>0.93</v>
      </c>
      <c r="BC326">
        <v>18</v>
      </c>
      <c r="BD326">
        <v>18.4971</v>
      </c>
      <c r="BE326">
        <v>18.49714286</v>
      </c>
      <c r="BF326">
        <v>1.0629</v>
      </c>
      <c r="BH326">
        <v>18</v>
      </c>
      <c r="BI326">
        <v>105</v>
      </c>
      <c r="BJ326">
        <v>2</v>
      </c>
      <c r="BK326">
        <v>-0.13339999999999999</v>
      </c>
      <c r="BL326">
        <v>5.1999999999999998E-3</v>
      </c>
    </row>
    <row r="327" spans="1:64" hidden="1" x14ac:dyDescent="0.2">
      <c r="A327">
        <v>171</v>
      </c>
      <c r="D327" t="s">
        <v>54</v>
      </c>
      <c r="E327">
        <v>2015</v>
      </c>
      <c r="F327" t="s">
        <v>198</v>
      </c>
      <c r="G327" t="s">
        <v>199</v>
      </c>
      <c r="H327" t="s">
        <v>57</v>
      </c>
      <c r="K327" t="s">
        <v>79</v>
      </c>
      <c r="L327" t="s">
        <v>200</v>
      </c>
      <c r="M327" t="s">
        <v>81</v>
      </c>
      <c r="N327" t="s">
        <v>81</v>
      </c>
      <c r="O327" t="s">
        <v>62</v>
      </c>
      <c r="P327" t="s">
        <v>63</v>
      </c>
      <c r="Q327" t="s">
        <v>64</v>
      </c>
      <c r="R327" t="s">
        <v>65</v>
      </c>
      <c r="S327" t="s">
        <v>64</v>
      </c>
      <c r="T327" t="s">
        <v>64</v>
      </c>
      <c r="U327" t="s">
        <v>66</v>
      </c>
      <c r="V327">
        <v>422.07</v>
      </c>
      <c r="W327" t="s">
        <v>67</v>
      </c>
      <c r="X327">
        <v>16.57</v>
      </c>
      <c r="Y327" t="s">
        <v>96</v>
      </c>
      <c r="Z327">
        <v>8.1</v>
      </c>
      <c r="AA327" t="s">
        <v>67</v>
      </c>
      <c r="AB327">
        <v>0.05</v>
      </c>
      <c r="AC327">
        <v>1075</v>
      </c>
      <c r="AD327" t="s">
        <v>67</v>
      </c>
      <c r="AE327">
        <v>67.099999999999994</v>
      </c>
      <c r="AF327">
        <v>7.7</v>
      </c>
      <c r="AG327" t="s">
        <v>67</v>
      </c>
      <c r="AH327">
        <v>0.05</v>
      </c>
      <c r="AI327">
        <v>15</v>
      </c>
      <c r="AJ327" t="s">
        <v>67</v>
      </c>
      <c r="AK327">
        <v>0.5</v>
      </c>
      <c r="AL327">
        <v>18</v>
      </c>
      <c r="AM327" t="s">
        <v>67</v>
      </c>
      <c r="AN327">
        <v>0.5</v>
      </c>
      <c r="AO327">
        <v>653</v>
      </c>
      <c r="AP327">
        <v>3</v>
      </c>
      <c r="AQ327" t="s">
        <v>201</v>
      </c>
      <c r="AR327" t="s">
        <v>364</v>
      </c>
      <c r="AS327" t="s">
        <v>88</v>
      </c>
      <c r="AT327" t="s">
        <v>70</v>
      </c>
      <c r="AU327" t="s">
        <v>89</v>
      </c>
      <c r="AV327" t="s">
        <v>88</v>
      </c>
      <c r="AX327" t="s">
        <v>90</v>
      </c>
      <c r="AY327">
        <v>93.273499999999999</v>
      </c>
      <c r="AZ327">
        <v>93.273539999999997</v>
      </c>
      <c r="BA327">
        <v>6.7264999999999997</v>
      </c>
      <c r="BC327">
        <v>77</v>
      </c>
      <c r="BD327">
        <v>100</v>
      </c>
      <c r="BE327">
        <v>100</v>
      </c>
      <c r="BF327">
        <v>0.44840000000000002</v>
      </c>
      <c r="BH327">
        <v>77</v>
      </c>
      <c r="BI327">
        <v>153</v>
      </c>
      <c r="BJ327">
        <v>5</v>
      </c>
      <c r="BK327">
        <v>6.9599999999999995E-2</v>
      </c>
      <c r="BL327">
        <v>5.1999999999999998E-3</v>
      </c>
    </row>
    <row r="328" spans="1:64" x14ac:dyDescent="0.2">
      <c r="A328">
        <v>183</v>
      </c>
      <c r="B328" t="str">
        <f>ROW()-1&amp;"_AltersFish"</f>
        <v>327_AltersFish</v>
      </c>
      <c r="C328" t="str">
        <f>A328 &amp; "_" &amp; P328 &amp; "_" &amp;
SUBSTITUTE(TRIM(L328)," ","_") &amp;
"_pH" &amp; TEXT(Z328,"0.00") &amp;
"_T" &amp; TEXT(AI328,"0.00") &amp;
"_CO2" &amp; TEXT(V328,"0") &amp;
"_LANG"</f>
        <v>183_EMBRYO_Ammodytes_dubius_pH8.15_T4.90_CO2385_LANG</v>
      </c>
      <c r="D328" t="s">
        <v>54</v>
      </c>
      <c r="E328">
        <v>2019</v>
      </c>
      <c r="F328" t="s">
        <v>116</v>
      </c>
      <c r="G328" t="s">
        <v>117</v>
      </c>
      <c r="H328" t="s">
        <v>78</v>
      </c>
      <c r="I328" t="s">
        <v>540</v>
      </c>
      <c r="J328" t="s">
        <v>543</v>
      </c>
      <c r="K328" t="s">
        <v>79</v>
      </c>
      <c r="L328" t="s">
        <v>118</v>
      </c>
      <c r="M328" t="s">
        <v>119</v>
      </c>
      <c r="N328" t="s">
        <v>120</v>
      </c>
      <c r="O328" t="s">
        <v>62</v>
      </c>
      <c r="P328" t="s">
        <v>82</v>
      </c>
      <c r="Q328" t="s">
        <v>64</v>
      </c>
      <c r="R328" t="s">
        <v>83</v>
      </c>
      <c r="S328" t="s">
        <v>64</v>
      </c>
      <c r="T328" t="s">
        <v>64</v>
      </c>
      <c r="U328" t="s">
        <v>66</v>
      </c>
      <c r="V328">
        <v>385</v>
      </c>
      <c r="W328" t="s">
        <v>67</v>
      </c>
      <c r="X328">
        <v>11</v>
      </c>
      <c r="Y328" t="s">
        <v>121</v>
      </c>
      <c r="Z328">
        <v>8.15</v>
      </c>
      <c r="AA328" t="s">
        <v>67</v>
      </c>
      <c r="AB328">
        <v>0.06</v>
      </c>
      <c r="AC328">
        <v>1076</v>
      </c>
      <c r="AD328" t="s">
        <v>67</v>
      </c>
      <c r="AE328">
        <v>29</v>
      </c>
      <c r="AF328">
        <v>7.74</v>
      </c>
      <c r="AG328" t="s">
        <v>67</v>
      </c>
      <c r="AH328">
        <v>7.0000000000000007E-2</v>
      </c>
      <c r="AI328">
        <v>4.9000000000000004</v>
      </c>
      <c r="AJ328" t="s">
        <v>67</v>
      </c>
      <c r="AK328">
        <v>0.2</v>
      </c>
      <c r="AL328">
        <v>7</v>
      </c>
      <c r="AM328" t="s">
        <v>67</v>
      </c>
      <c r="AN328">
        <v>0.3</v>
      </c>
      <c r="AO328">
        <v>691</v>
      </c>
      <c r="AP328">
        <v>2.1</v>
      </c>
      <c r="AQ328" t="s">
        <v>67</v>
      </c>
      <c r="AR328" t="s">
        <v>122</v>
      </c>
      <c r="AS328" t="s">
        <v>98</v>
      </c>
      <c r="AT328" t="s">
        <v>70</v>
      </c>
      <c r="AU328" t="s">
        <v>109</v>
      </c>
      <c r="AV328" t="s">
        <v>72</v>
      </c>
      <c r="AW328" t="s">
        <v>11</v>
      </c>
      <c r="AX328" t="s">
        <v>73</v>
      </c>
      <c r="AY328">
        <v>5.47</v>
      </c>
      <c r="AZ328">
        <v>5.47</v>
      </c>
      <c r="BA328">
        <v>0.05</v>
      </c>
      <c r="BB328">
        <f>BA328*SQRT(BC328)</f>
        <v>0.30822070014844882</v>
      </c>
      <c r="BC328">
        <v>38</v>
      </c>
      <c r="BD328">
        <v>5.22</v>
      </c>
      <c r="BE328">
        <v>5.22</v>
      </c>
      <c r="BF328">
        <v>3.1600000000000003E-2</v>
      </c>
      <c r="BG328">
        <f>BF328*SQRT(BH328)</f>
        <v>0.1998559481226416</v>
      </c>
      <c r="BH328">
        <v>40</v>
      </c>
      <c r="BI328">
        <v>29</v>
      </c>
      <c r="BJ328">
        <v>2</v>
      </c>
      <c r="BK328">
        <v>-4.6800000000000001E-2</v>
      </c>
      <c r="BL328">
        <v>1E-4</v>
      </c>
    </row>
    <row r="329" spans="1:64" hidden="1" x14ac:dyDescent="0.2">
      <c r="A329">
        <v>159</v>
      </c>
      <c r="D329" t="s">
        <v>54</v>
      </c>
      <c r="E329">
        <v>2018</v>
      </c>
      <c r="F329" t="s">
        <v>326</v>
      </c>
      <c r="G329" t="s">
        <v>327</v>
      </c>
      <c r="H329" t="s">
        <v>78</v>
      </c>
      <c r="K329" t="s">
        <v>205</v>
      </c>
      <c r="L329" t="s">
        <v>225</v>
      </c>
      <c r="M329" t="s">
        <v>120</v>
      </c>
      <c r="N329" t="s">
        <v>120</v>
      </c>
      <c r="O329" t="s">
        <v>110</v>
      </c>
      <c r="P329" t="s">
        <v>196</v>
      </c>
      <c r="Q329" t="s">
        <v>64</v>
      </c>
      <c r="R329" t="s">
        <v>83</v>
      </c>
      <c r="S329" t="s">
        <v>64</v>
      </c>
      <c r="T329" t="s">
        <v>64</v>
      </c>
      <c r="U329" t="s">
        <v>66</v>
      </c>
      <c r="V329">
        <v>390</v>
      </c>
      <c r="W329" t="s">
        <v>67</v>
      </c>
      <c r="X329" t="s">
        <v>67</v>
      </c>
      <c r="Y329" t="s">
        <v>67</v>
      </c>
      <c r="Z329" t="s">
        <v>67</v>
      </c>
      <c r="AA329" t="s">
        <v>67</v>
      </c>
      <c r="AB329" t="s">
        <v>67</v>
      </c>
      <c r="AC329">
        <v>1170</v>
      </c>
      <c r="AD329" t="s">
        <v>67</v>
      </c>
      <c r="AE329" t="s">
        <v>67</v>
      </c>
      <c r="AF329" t="s">
        <v>67</v>
      </c>
      <c r="AG329" t="s">
        <v>67</v>
      </c>
      <c r="AH329" t="s">
        <v>67</v>
      </c>
      <c r="AI329">
        <v>0</v>
      </c>
      <c r="AJ329" t="s">
        <v>67</v>
      </c>
      <c r="AK329" t="s">
        <v>67</v>
      </c>
      <c r="AL329">
        <v>3</v>
      </c>
      <c r="AM329" t="s">
        <v>67</v>
      </c>
      <c r="AN329" t="s">
        <v>67</v>
      </c>
      <c r="AO329">
        <v>780</v>
      </c>
      <c r="AP329">
        <v>3</v>
      </c>
      <c r="AQ329" t="s">
        <v>67</v>
      </c>
      <c r="AR329" t="s">
        <v>328</v>
      </c>
      <c r="AS329" t="s">
        <v>329</v>
      </c>
      <c r="AT329" t="s">
        <v>70</v>
      </c>
      <c r="AU329" t="s">
        <v>330</v>
      </c>
      <c r="AV329" t="s">
        <v>251</v>
      </c>
      <c r="AX329" t="s">
        <v>73</v>
      </c>
      <c r="AY329">
        <v>3.49</v>
      </c>
      <c r="AZ329">
        <v>3.49</v>
      </c>
      <c r="BA329">
        <v>0.19</v>
      </c>
      <c r="BC329">
        <v>5</v>
      </c>
      <c r="BD329">
        <v>3.06</v>
      </c>
      <c r="BE329">
        <v>3.06</v>
      </c>
      <c r="BF329">
        <v>0.15</v>
      </c>
      <c r="BH329">
        <v>6</v>
      </c>
      <c r="BI329">
        <v>120</v>
      </c>
      <c r="BJ329" t="s">
        <v>67</v>
      </c>
      <c r="BK329">
        <v>-0.13150000000000001</v>
      </c>
      <c r="BL329">
        <v>5.4000000000000003E-3</v>
      </c>
    </row>
    <row r="330" spans="1:64" x14ac:dyDescent="0.2">
      <c r="A330">
        <v>183</v>
      </c>
      <c r="B330" t="str">
        <f>ROW()-1&amp;"_AltersFish"</f>
        <v>329_AltersFish</v>
      </c>
      <c r="C330" t="str">
        <f>A330 &amp; "_" &amp; P330 &amp; "_" &amp;
SUBSTITUTE(TRIM(L330)," ","_") &amp;
"_pH" &amp; TEXT(Z330,"0.00") &amp;
"_T" &amp; TEXT(AI330,"0.00") &amp;
"_CO2" &amp; TEXT(V330,"0") &amp;
"_LANG"</f>
        <v>183_EMBRYO_Ammodytes_dubius_pH8.15_T4.90_CO2385_LANG</v>
      </c>
      <c r="D330" t="s">
        <v>54</v>
      </c>
      <c r="E330">
        <v>2019</v>
      </c>
      <c r="F330" t="s">
        <v>116</v>
      </c>
      <c r="G330" t="s">
        <v>117</v>
      </c>
      <c r="H330" t="s">
        <v>78</v>
      </c>
      <c r="I330" t="s">
        <v>540</v>
      </c>
      <c r="J330" t="s">
        <v>543</v>
      </c>
      <c r="K330" t="s">
        <v>79</v>
      </c>
      <c r="L330" t="s">
        <v>118</v>
      </c>
      <c r="M330" t="s">
        <v>119</v>
      </c>
      <c r="N330" t="s">
        <v>120</v>
      </c>
      <c r="O330" t="s">
        <v>62</v>
      </c>
      <c r="P330" t="s">
        <v>82</v>
      </c>
      <c r="Q330" t="s">
        <v>64</v>
      </c>
      <c r="R330" t="s">
        <v>83</v>
      </c>
      <c r="S330" t="s">
        <v>64</v>
      </c>
      <c r="T330" t="s">
        <v>64</v>
      </c>
      <c r="U330" t="s">
        <v>66</v>
      </c>
      <c r="V330">
        <v>385</v>
      </c>
      <c r="W330" t="s">
        <v>67</v>
      </c>
      <c r="X330">
        <v>11</v>
      </c>
      <c r="Y330" t="s">
        <v>121</v>
      </c>
      <c r="Z330">
        <v>8.15</v>
      </c>
      <c r="AA330" t="s">
        <v>67</v>
      </c>
      <c r="AB330">
        <v>0.06</v>
      </c>
      <c r="AC330">
        <v>2155</v>
      </c>
      <c r="AD330" t="s">
        <v>67</v>
      </c>
      <c r="AE330">
        <v>74</v>
      </c>
      <c r="AF330">
        <v>7.45</v>
      </c>
      <c r="AG330" t="s">
        <v>67</v>
      </c>
      <c r="AH330">
        <v>0.08</v>
      </c>
      <c r="AI330">
        <v>4.9000000000000004</v>
      </c>
      <c r="AJ330" t="s">
        <v>67</v>
      </c>
      <c r="AK330">
        <v>0.2</v>
      </c>
      <c r="AL330">
        <v>7.2</v>
      </c>
      <c r="AM330" t="s">
        <v>67</v>
      </c>
      <c r="AN330">
        <v>0.3</v>
      </c>
      <c r="AO330">
        <v>1770</v>
      </c>
      <c r="AP330">
        <v>2.2999999999999998</v>
      </c>
      <c r="AQ330" t="s">
        <v>67</v>
      </c>
      <c r="AR330" t="s">
        <v>122</v>
      </c>
      <c r="AS330" t="s">
        <v>98</v>
      </c>
      <c r="AT330" t="s">
        <v>70</v>
      </c>
      <c r="AU330" t="s">
        <v>109</v>
      </c>
      <c r="AV330" t="s">
        <v>72</v>
      </c>
      <c r="AW330" t="s">
        <v>11</v>
      </c>
      <c r="AX330" t="s">
        <v>73</v>
      </c>
      <c r="AY330">
        <v>5.47</v>
      </c>
      <c r="AZ330">
        <v>5.47</v>
      </c>
      <c r="BA330">
        <v>0.05</v>
      </c>
      <c r="BB330">
        <f>BA330*SQRT(BC330)</f>
        <v>0.30822070014844882</v>
      </c>
      <c r="BC330">
        <v>38</v>
      </c>
      <c r="BD330">
        <v>5.12</v>
      </c>
      <c r="BE330">
        <v>5.12</v>
      </c>
      <c r="BF330">
        <v>3.1800000000000002E-2</v>
      </c>
      <c r="BG330">
        <f>BF330*SQRT(BH330)</f>
        <v>0.22031686272276119</v>
      </c>
      <c r="BH330">
        <v>48</v>
      </c>
      <c r="BI330">
        <v>28</v>
      </c>
      <c r="BJ330">
        <v>2</v>
      </c>
      <c r="BK330">
        <v>-6.6100000000000006E-2</v>
      </c>
      <c r="BL330">
        <v>1E-4</v>
      </c>
    </row>
    <row r="331" spans="1:64" hidden="1" x14ac:dyDescent="0.2">
      <c r="A331">
        <v>147</v>
      </c>
      <c r="D331" t="s">
        <v>54</v>
      </c>
      <c r="E331">
        <v>2014</v>
      </c>
      <c r="F331" t="s">
        <v>317</v>
      </c>
      <c r="G331" t="s">
        <v>318</v>
      </c>
      <c r="H331" t="s">
        <v>78</v>
      </c>
      <c r="K331" t="s">
        <v>319</v>
      </c>
      <c r="L331" t="s">
        <v>320</v>
      </c>
      <c r="M331" t="s">
        <v>81</v>
      </c>
      <c r="N331" t="s">
        <v>81</v>
      </c>
      <c r="O331" t="s">
        <v>62</v>
      </c>
      <c r="P331" t="s">
        <v>63</v>
      </c>
      <c r="Q331" t="s">
        <v>74</v>
      </c>
      <c r="R331" t="s">
        <v>83</v>
      </c>
      <c r="S331" t="s">
        <v>64</v>
      </c>
      <c r="T331" t="s">
        <v>64</v>
      </c>
      <c r="U331" t="s">
        <v>66</v>
      </c>
      <c r="V331">
        <v>330</v>
      </c>
      <c r="W331">
        <v>9.5</v>
      </c>
      <c r="X331" t="s">
        <v>67</v>
      </c>
      <c r="Y331" t="s">
        <v>68</v>
      </c>
      <c r="Z331">
        <v>8.11</v>
      </c>
      <c r="AA331">
        <v>0.01</v>
      </c>
      <c r="AB331" t="s">
        <v>67</v>
      </c>
      <c r="AC331">
        <v>1549</v>
      </c>
      <c r="AD331">
        <v>85.5</v>
      </c>
      <c r="AE331" t="s">
        <v>67</v>
      </c>
      <c r="AF331">
        <v>7.54</v>
      </c>
      <c r="AG331">
        <v>0.03</v>
      </c>
      <c r="AH331" t="s">
        <v>67</v>
      </c>
      <c r="AI331">
        <v>5.2</v>
      </c>
      <c r="AJ331">
        <v>0.11</v>
      </c>
      <c r="AK331" t="s">
        <v>67</v>
      </c>
      <c r="AL331">
        <v>15.7</v>
      </c>
      <c r="AM331">
        <v>0.04</v>
      </c>
      <c r="AN331" t="s">
        <v>67</v>
      </c>
      <c r="AO331">
        <v>1219</v>
      </c>
      <c r="AP331">
        <v>10.6</v>
      </c>
      <c r="AQ331" t="s">
        <v>67</v>
      </c>
      <c r="AR331" t="s">
        <v>360</v>
      </c>
      <c r="AS331" t="s">
        <v>361</v>
      </c>
      <c r="AT331" t="s">
        <v>70</v>
      </c>
      <c r="AU331" t="s">
        <v>362</v>
      </c>
      <c r="AV331" t="s">
        <v>363</v>
      </c>
      <c r="AX331" t="s">
        <v>73</v>
      </c>
      <c r="AY331">
        <v>170.63659999999999</v>
      </c>
      <c r="AZ331">
        <v>170.63655</v>
      </c>
      <c r="BA331">
        <v>11.09</v>
      </c>
      <c r="BC331">
        <v>8</v>
      </c>
      <c r="BD331">
        <v>247.1311</v>
      </c>
      <c r="BE331">
        <v>247.1311475</v>
      </c>
      <c r="BF331">
        <v>9.0164000000000009</v>
      </c>
      <c r="BH331">
        <v>8</v>
      </c>
      <c r="BI331">
        <v>105</v>
      </c>
      <c r="BJ331">
        <v>2</v>
      </c>
      <c r="BK331">
        <v>0.37040000000000001</v>
      </c>
      <c r="BL331">
        <v>5.5999999999999999E-3</v>
      </c>
    </row>
    <row r="332" spans="1:64" hidden="1" x14ac:dyDescent="0.2">
      <c r="A332">
        <v>147</v>
      </c>
      <c r="D332" t="s">
        <v>54</v>
      </c>
      <c r="E332">
        <v>2014</v>
      </c>
      <c r="F332" t="s">
        <v>317</v>
      </c>
      <c r="G332" t="s">
        <v>318</v>
      </c>
      <c r="H332" t="s">
        <v>78</v>
      </c>
      <c r="K332" t="s">
        <v>319</v>
      </c>
      <c r="L332" t="s">
        <v>320</v>
      </c>
      <c r="M332" t="s">
        <v>81</v>
      </c>
      <c r="N332" t="s">
        <v>81</v>
      </c>
      <c r="O332" t="s">
        <v>62</v>
      </c>
      <c r="P332" t="s">
        <v>63</v>
      </c>
      <c r="Q332" t="s">
        <v>74</v>
      </c>
      <c r="R332" t="s">
        <v>83</v>
      </c>
      <c r="S332" t="s">
        <v>64</v>
      </c>
      <c r="T332" t="s">
        <v>64</v>
      </c>
      <c r="U332" t="s">
        <v>66</v>
      </c>
      <c r="V332">
        <v>330</v>
      </c>
      <c r="W332">
        <v>9.5</v>
      </c>
      <c r="X332" t="s">
        <v>67</v>
      </c>
      <c r="Y332" t="s">
        <v>68</v>
      </c>
      <c r="Z332">
        <v>8.11</v>
      </c>
      <c r="AA332">
        <v>0.01</v>
      </c>
      <c r="AB332" t="s">
        <v>67</v>
      </c>
      <c r="AC332">
        <v>1826</v>
      </c>
      <c r="AD332">
        <v>95</v>
      </c>
      <c r="AE332" t="s">
        <v>67</v>
      </c>
      <c r="AF332">
        <v>7.47</v>
      </c>
      <c r="AG332">
        <v>0.02</v>
      </c>
      <c r="AH332" t="s">
        <v>67</v>
      </c>
      <c r="AI332">
        <v>5.2</v>
      </c>
      <c r="AJ332">
        <v>0.11</v>
      </c>
      <c r="AK332" t="s">
        <v>67</v>
      </c>
      <c r="AL332">
        <v>17.899999999999999</v>
      </c>
      <c r="AM332">
        <v>7.0000000000000007E-2</v>
      </c>
      <c r="AN332" t="s">
        <v>67</v>
      </c>
      <c r="AO332">
        <v>1496</v>
      </c>
      <c r="AP332">
        <v>12.7</v>
      </c>
      <c r="AQ332" t="s">
        <v>67</v>
      </c>
      <c r="AR332" t="s">
        <v>360</v>
      </c>
      <c r="AS332" t="s">
        <v>361</v>
      </c>
      <c r="AT332" t="s">
        <v>70</v>
      </c>
      <c r="AU332" t="s">
        <v>362</v>
      </c>
      <c r="AV332" t="s">
        <v>363</v>
      </c>
      <c r="AX332" t="s">
        <v>73</v>
      </c>
      <c r="AY332">
        <v>170.63659999999999</v>
      </c>
      <c r="AZ332">
        <v>170.63655</v>
      </c>
      <c r="BA332">
        <v>11.09</v>
      </c>
      <c r="BC332">
        <v>8</v>
      </c>
      <c r="BD332">
        <v>268.44260000000003</v>
      </c>
      <c r="BE332">
        <v>268.44262300000003</v>
      </c>
      <c r="BF332">
        <v>9.8361000000000001</v>
      </c>
      <c r="BH332">
        <v>8</v>
      </c>
      <c r="BI332">
        <v>105</v>
      </c>
      <c r="BJ332">
        <v>2</v>
      </c>
      <c r="BK332">
        <v>0.4531</v>
      </c>
      <c r="BL332">
        <v>5.5999999999999999E-3</v>
      </c>
    </row>
    <row r="333" spans="1:64" hidden="1" x14ac:dyDescent="0.2">
      <c r="A333">
        <v>141</v>
      </c>
      <c r="D333" t="s">
        <v>54</v>
      </c>
      <c r="E333">
        <v>2015</v>
      </c>
      <c r="F333" t="s">
        <v>91</v>
      </c>
      <c r="G333" t="s">
        <v>92</v>
      </c>
      <c r="H333" t="s">
        <v>78</v>
      </c>
      <c r="K333" t="s">
        <v>93</v>
      </c>
      <c r="L333" t="s">
        <v>94</v>
      </c>
      <c r="M333" t="s">
        <v>95</v>
      </c>
      <c r="N333" t="s">
        <v>61</v>
      </c>
      <c r="O333" t="s">
        <v>62</v>
      </c>
      <c r="P333" t="s">
        <v>196</v>
      </c>
      <c r="Q333" t="s">
        <v>64</v>
      </c>
      <c r="R333" t="s">
        <v>83</v>
      </c>
      <c r="S333" t="s">
        <v>64</v>
      </c>
      <c r="T333" t="s">
        <v>64</v>
      </c>
      <c r="U333" t="s">
        <v>66</v>
      </c>
      <c r="V333">
        <v>400</v>
      </c>
      <c r="W333">
        <v>6</v>
      </c>
      <c r="X333" t="s">
        <v>67</v>
      </c>
      <c r="Y333" t="s">
        <v>96</v>
      </c>
      <c r="Z333">
        <v>8.15</v>
      </c>
      <c r="AA333">
        <v>0.01</v>
      </c>
      <c r="AB333" t="s">
        <v>67</v>
      </c>
      <c r="AC333">
        <v>642</v>
      </c>
      <c r="AD333">
        <v>12</v>
      </c>
      <c r="AE333" t="s">
        <v>67</v>
      </c>
      <c r="AF333">
        <v>8</v>
      </c>
      <c r="AG333">
        <v>0.01</v>
      </c>
      <c r="AH333" t="s">
        <v>67</v>
      </c>
      <c r="AI333">
        <v>28.4</v>
      </c>
      <c r="AJ333">
        <v>0.01</v>
      </c>
      <c r="AK333" t="s">
        <v>67</v>
      </c>
      <c r="AL333">
        <v>30.1</v>
      </c>
      <c r="AM333">
        <v>0.01</v>
      </c>
      <c r="AN333" t="s">
        <v>67</v>
      </c>
      <c r="AO333">
        <v>242</v>
      </c>
      <c r="AP333">
        <v>1.7</v>
      </c>
      <c r="AQ333" t="s">
        <v>67</v>
      </c>
      <c r="AR333" t="s">
        <v>358</v>
      </c>
      <c r="AS333" t="s">
        <v>359</v>
      </c>
      <c r="AT333" t="s">
        <v>135</v>
      </c>
      <c r="AU333" t="s">
        <v>232</v>
      </c>
      <c r="AV333" t="s">
        <v>72</v>
      </c>
      <c r="AX333" t="s">
        <v>73</v>
      </c>
      <c r="AY333">
        <v>1.1116999999999999</v>
      </c>
      <c r="AZ333">
        <v>1.1116900000000001</v>
      </c>
      <c r="BA333">
        <v>0.06</v>
      </c>
      <c r="BC333">
        <v>4</v>
      </c>
      <c r="BD333">
        <v>1.0545</v>
      </c>
      <c r="BE333">
        <v>1.054545455</v>
      </c>
      <c r="BF333">
        <v>5.1900000000000002E-2</v>
      </c>
      <c r="BH333">
        <v>1</v>
      </c>
      <c r="BI333" t="s">
        <v>67</v>
      </c>
      <c r="BJ333">
        <v>7</v>
      </c>
      <c r="BK333">
        <v>-5.28E-2</v>
      </c>
      <c r="BL333">
        <v>5.5999999999999999E-3</v>
      </c>
    </row>
    <row r="334" spans="1:64" x14ac:dyDescent="0.2">
      <c r="A334">
        <v>183</v>
      </c>
      <c r="B334" t="str">
        <f>ROW()-1&amp;"_AltersFish"</f>
        <v>333_AltersFish</v>
      </c>
      <c r="C334" t="str">
        <f>A334 &amp; "_" &amp; P334 &amp; "_" &amp;
SUBSTITUTE(TRIM(L334)," ","_") &amp;
"_pH" &amp; TEXT(Z334,"0.00") &amp;
"_T" &amp; TEXT(AI334,"0.00") &amp;
"_CO2" &amp; TEXT(V334,"0") &amp;
"_LANG"</f>
        <v>183_EMBRYO_Ammodytes_dubius_pH8.15_T4.90_CO2385_LANG</v>
      </c>
      <c r="D334" t="s">
        <v>54</v>
      </c>
      <c r="E334">
        <v>2019</v>
      </c>
      <c r="F334" t="s">
        <v>116</v>
      </c>
      <c r="G334" t="s">
        <v>117</v>
      </c>
      <c r="H334" t="s">
        <v>78</v>
      </c>
      <c r="I334" t="s">
        <v>540</v>
      </c>
      <c r="J334" t="s">
        <v>543</v>
      </c>
      <c r="K334" t="s">
        <v>79</v>
      </c>
      <c r="L334" t="s">
        <v>118</v>
      </c>
      <c r="M334" t="s">
        <v>119</v>
      </c>
      <c r="N334" t="s">
        <v>120</v>
      </c>
      <c r="O334" t="s">
        <v>62</v>
      </c>
      <c r="P334" t="s">
        <v>82</v>
      </c>
      <c r="Q334" t="s">
        <v>64</v>
      </c>
      <c r="R334" t="s">
        <v>83</v>
      </c>
      <c r="S334" t="s">
        <v>74</v>
      </c>
      <c r="T334" t="s">
        <v>64</v>
      </c>
      <c r="U334" t="s">
        <v>75</v>
      </c>
      <c r="V334">
        <v>385</v>
      </c>
      <c r="W334" t="s">
        <v>67</v>
      </c>
      <c r="X334">
        <v>11</v>
      </c>
      <c r="Y334" t="s">
        <v>121</v>
      </c>
      <c r="Z334">
        <v>8.15</v>
      </c>
      <c r="AA334" t="s">
        <v>67</v>
      </c>
      <c r="AB334">
        <v>0.06</v>
      </c>
      <c r="AC334">
        <v>379</v>
      </c>
      <c r="AD334" t="s">
        <v>67</v>
      </c>
      <c r="AE334">
        <v>9</v>
      </c>
      <c r="AF334">
        <v>8.16</v>
      </c>
      <c r="AG334" t="s">
        <v>67</v>
      </c>
      <c r="AH334">
        <v>0.05</v>
      </c>
      <c r="AI334">
        <v>4.9000000000000004</v>
      </c>
      <c r="AJ334" t="s">
        <v>67</v>
      </c>
      <c r="AK334">
        <v>0.2</v>
      </c>
      <c r="AL334">
        <v>7.1</v>
      </c>
      <c r="AM334" t="s">
        <v>67</v>
      </c>
      <c r="AN334">
        <v>0.3</v>
      </c>
      <c r="AO334">
        <v>-6</v>
      </c>
      <c r="AP334">
        <v>2.2000000000000002</v>
      </c>
      <c r="AQ334" t="s">
        <v>67</v>
      </c>
      <c r="AR334" t="s">
        <v>122</v>
      </c>
      <c r="AS334" t="s">
        <v>98</v>
      </c>
      <c r="AT334" t="s">
        <v>70</v>
      </c>
      <c r="AU334" t="s">
        <v>109</v>
      </c>
      <c r="AV334" t="s">
        <v>72</v>
      </c>
      <c r="AW334" t="s">
        <v>11</v>
      </c>
      <c r="AX334" t="s">
        <v>73</v>
      </c>
      <c r="AY334">
        <v>5.47</v>
      </c>
      <c r="AZ334">
        <v>5.47</v>
      </c>
      <c r="BA334">
        <v>0.05</v>
      </c>
      <c r="BB334">
        <f>BA334*SQRT(BC334)</f>
        <v>0.30822070014844882</v>
      </c>
      <c r="BC334">
        <v>38</v>
      </c>
      <c r="BD334">
        <v>5.24</v>
      </c>
      <c r="BE334">
        <v>5.24</v>
      </c>
      <c r="BF334">
        <v>3.6400000000000002E-2</v>
      </c>
      <c r="BG334">
        <f>BF334*SQRT(BH334)</f>
        <v>0.23021381366025803</v>
      </c>
      <c r="BH334">
        <v>40</v>
      </c>
      <c r="BI334">
        <v>27</v>
      </c>
      <c r="BJ334">
        <v>2</v>
      </c>
      <c r="BK334">
        <v>-4.2999999999999997E-2</v>
      </c>
      <c r="BL334">
        <v>1E-4</v>
      </c>
    </row>
    <row r="335" spans="1:64" x14ac:dyDescent="0.2">
      <c r="A335">
        <v>183</v>
      </c>
      <c r="B335" t="str">
        <f>ROW()-1&amp;"_AltersFish"</f>
        <v>334_AltersFish</v>
      </c>
      <c r="C335" t="str">
        <f>A335 &amp; "_" &amp; P335 &amp; "_" &amp;
SUBSTITUTE(TRIM(L335)," ","_") &amp;
"_pH" &amp; TEXT(Z335,"0.00") &amp;
"_T" &amp; TEXT(AI335,"0.00") &amp;
"_CO2" &amp; TEXT(V335,"0") &amp;
"_LANG"</f>
        <v>183_EMBRYO_Ammodytes_dubius_pH8.15_T4.90_CO2385_LANG</v>
      </c>
      <c r="D335" t="s">
        <v>54</v>
      </c>
      <c r="E335">
        <v>2019</v>
      </c>
      <c r="F335" t="s">
        <v>116</v>
      </c>
      <c r="G335" t="s">
        <v>117</v>
      </c>
      <c r="H335" t="s">
        <v>78</v>
      </c>
      <c r="I335" t="s">
        <v>540</v>
      </c>
      <c r="J335" t="s">
        <v>543</v>
      </c>
      <c r="K335" t="s">
        <v>79</v>
      </c>
      <c r="L335" t="s">
        <v>118</v>
      </c>
      <c r="M335" t="s">
        <v>119</v>
      </c>
      <c r="N335" t="s">
        <v>120</v>
      </c>
      <c r="O335" t="s">
        <v>62</v>
      </c>
      <c r="P335" t="s">
        <v>82</v>
      </c>
      <c r="Q335" t="s">
        <v>64</v>
      </c>
      <c r="R335" t="s">
        <v>83</v>
      </c>
      <c r="S335" t="s">
        <v>74</v>
      </c>
      <c r="T335" t="s">
        <v>64</v>
      </c>
      <c r="U335" t="s">
        <v>75</v>
      </c>
      <c r="V335">
        <v>385</v>
      </c>
      <c r="W335" t="s">
        <v>67</v>
      </c>
      <c r="X335">
        <v>11</v>
      </c>
      <c r="Y335" t="s">
        <v>121</v>
      </c>
      <c r="Z335">
        <v>8.15</v>
      </c>
      <c r="AA335" t="s">
        <v>67</v>
      </c>
      <c r="AB335">
        <v>0.06</v>
      </c>
      <c r="AC335">
        <v>404</v>
      </c>
      <c r="AD335" t="s">
        <v>67</v>
      </c>
      <c r="AE335">
        <v>9</v>
      </c>
      <c r="AF335">
        <v>8.15</v>
      </c>
      <c r="AG335" t="s">
        <v>67</v>
      </c>
      <c r="AH335">
        <v>0.04</v>
      </c>
      <c r="AI335">
        <v>4.9000000000000004</v>
      </c>
      <c r="AJ335" t="s">
        <v>67</v>
      </c>
      <c r="AK335">
        <v>0.2</v>
      </c>
      <c r="AL335">
        <v>10</v>
      </c>
      <c r="AM335" t="s">
        <v>67</v>
      </c>
      <c r="AN335">
        <v>0.4</v>
      </c>
      <c r="AO335">
        <v>19</v>
      </c>
      <c r="AP335">
        <v>5.0999999999999996</v>
      </c>
      <c r="AQ335" t="s">
        <v>67</v>
      </c>
      <c r="AR335" t="s">
        <v>122</v>
      </c>
      <c r="AS335" t="s">
        <v>98</v>
      </c>
      <c r="AT335" t="s">
        <v>70</v>
      </c>
      <c r="AU335" t="s">
        <v>109</v>
      </c>
      <c r="AV335" t="s">
        <v>72</v>
      </c>
      <c r="AW335" t="s">
        <v>11</v>
      </c>
      <c r="AX335" t="s">
        <v>73</v>
      </c>
      <c r="AY335">
        <v>5.47</v>
      </c>
      <c r="AZ335">
        <v>5.47</v>
      </c>
      <c r="BA335">
        <v>0.05</v>
      </c>
      <c r="BB335">
        <f>BA335*SQRT(BC335)</f>
        <v>0.30822070014844882</v>
      </c>
      <c r="BC335">
        <v>38</v>
      </c>
      <c r="BD335">
        <v>5.41</v>
      </c>
      <c r="BE335">
        <v>5.41</v>
      </c>
      <c r="BF335">
        <v>3.78E-2</v>
      </c>
      <c r="BG335">
        <f>BF335*SQRT(BH335)</f>
        <v>0.20001879911648307</v>
      </c>
      <c r="BH335">
        <v>28</v>
      </c>
      <c r="BI335">
        <v>20</v>
      </c>
      <c r="BJ335">
        <v>2</v>
      </c>
      <c r="BK335">
        <v>-1.0999999999999999E-2</v>
      </c>
      <c r="BL335">
        <v>1E-4</v>
      </c>
    </row>
    <row r="336" spans="1:64" hidden="1" x14ac:dyDescent="0.2">
      <c r="A336">
        <v>153</v>
      </c>
      <c r="D336" t="s">
        <v>54</v>
      </c>
      <c r="E336">
        <v>2017</v>
      </c>
      <c r="F336" t="s">
        <v>335</v>
      </c>
      <c r="G336" t="s">
        <v>220</v>
      </c>
      <c r="H336" t="s">
        <v>78</v>
      </c>
      <c r="K336" t="s">
        <v>205</v>
      </c>
      <c r="L336" t="s">
        <v>225</v>
      </c>
      <c r="M336" t="s">
        <v>120</v>
      </c>
      <c r="N336" t="s">
        <v>120</v>
      </c>
      <c r="O336" t="s">
        <v>110</v>
      </c>
      <c r="P336" t="s">
        <v>63</v>
      </c>
      <c r="Q336" t="s">
        <v>64</v>
      </c>
      <c r="R336" t="s">
        <v>83</v>
      </c>
      <c r="S336" t="s">
        <v>74</v>
      </c>
      <c r="T336" t="s">
        <v>64</v>
      </c>
      <c r="U336" t="s">
        <v>75</v>
      </c>
      <c r="V336">
        <v>437</v>
      </c>
      <c r="W336" t="s">
        <v>67</v>
      </c>
      <c r="X336">
        <v>21.6</v>
      </c>
      <c r="Y336" t="s">
        <v>68</v>
      </c>
      <c r="Z336">
        <v>8.0299999999999994</v>
      </c>
      <c r="AA336" t="s">
        <v>67</v>
      </c>
      <c r="AB336">
        <v>0.02</v>
      </c>
      <c r="AC336">
        <v>441</v>
      </c>
      <c r="AD336" t="s">
        <v>67</v>
      </c>
      <c r="AE336">
        <v>29.1</v>
      </c>
      <c r="AF336">
        <v>8.0500000000000007</v>
      </c>
      <c r="AG336" t="s">
        <v>67</v>
      </c>
      <c r="AH336">
        <v>0.02</v>
      </c>
      <c r="AI336">
        <v>5.6</v>
      </c>
      <c r="AJ336" t="s">
        <v>67</v>
      </c>
      <c r="AK336">
        <v>0.19</v>
      </c>
      <c r="AL336">
        <v>8.1999999999999993</v>
      </c>
      <c r="AM336" t="s">
        <v>67</v>
      </c>
      <c r="AN336">
        <v>0.13</v>
      </c>
      <c r="AO336">
        <v>4</v>
      </c>
      <c r="AP336">
        <v>2.6</v>
      </c>
      <c r="AQ336" t="s">
        <v>67</v>
      </c>
      <c r="AR336" t="s">
        <v>336</v>
      </c>
      <c r="AS336" t="s">
        <v>337</v>
      </c>
      <c r="AT336" t="s">
        <v>70</v>
      </c>
      <c r="AU336" t="s">
        <v>67</v>
      </c>
      <c r="AV336" t="s">
        <v>132</v>
      </c>
      <c r="AX336" t="s">
        <v>73</v>
      </c>
      <c r="AY336">
        <v>0.73909999999999998</v>
      </c>
      <c r="AZ336">
        <v>0.73912999999999995</v>
      </c>
      <c r="BA336">
        <v>3.2599999999999997E-2</v>
      </c>
      <c r="BC336">
        <v>6</v>
      </c>
      <c r="BD336">
        <v>0.60870000000000002</v>
      </c>
      <c r="BE336">
        <v>0.60869600000000001</v>
      </c>
      <c r="BF336">
        <v>3.6999999999999998E-2</v>
      </c>
      <c r="BH336">
        <v>6</v>
      </c>
      <c r="BI336">
        <v>120</v>
      </c>
      <c r="BJ336">
        <v>6</v>
      </c>
      <c r="BK336">
        <v>-0.19420000000000001</v>
      </c>
      <c r="BL336">
        <v>5.5999999999999999E-3</v>
      </c>
    </row>
    <row r="337" spans="1:64" x14ac:dyDescent="0.2">
      <c r="A337">
        <v>183</v>
      </c>
      <c r="B337" t="str">
        <f>ROW()-1&amp;"_AltersFish"</f>
        <v>336_AltersFish</v>
      </c>
      <c r="C337" t="str">
        <f>A337 &amp; "_" &amp; P337 &amp; "_" &amp;
SUBSTITUTE(TRIM(L337)," ","_") &amp;
"_pH" &amp; TEXT(Z337,"0.00") &amp;
"_T" &amp; TEXT(AI337,"0.00") &amp;
"_CO2" &amp; TEXT(V337,"0") &amp;
"_LANG"</f>
        <v>183_EMBRYO_Ammodytes_dubius_pH8.15_T4.90_CO2386_LANG</v>
      </c>
      <c r="D337" t="s">
        <v>54</v>
      </c>
      <c r="E337">
        <v>2019</v>
      </c>
      <c r="F337" t="s">
        <v>116</v>
      </c>
      <c r="G337" t="s">
        <v>117</v>
      </c>
      <c r="H337" t="s">
        <v>78</v>
      </c>
      <c r="I337" t="s">
        <v>540</v>
      </c>
      <c r="J337" t="s">
        <v>543</v>
      </c>
      <c r="K337" t="s">
        <v>79</v>
      </c>
      <c r="L337" t="s">
        <v>118</v>
      </c>
      <c r="M337" t="s">
        <v>119</v>
      </c>
      <c r="N337" t="s">
        <v>120</v>
      </c>
      <c r="O337" t="s">
        <v>62</v>
      </c>
      <c r="P337" t="s">
        <v>82</v>
      </c>
      <c r="Q337" t="s">
        <v>64</v>
      </c>
      <c r="R337" t="s">
        <v>83</v>
      </c>
      <c r="S337" t="s">
        <v>64</v>
      </c>
      <c r="T337" t="s">
        <v>64</v>
      </c>
      <c r="U337" t="s">
        <v>66</v>
      </c>
      <c r="V337">
        <v>386</v>
      </c>
      <c r="W337" t="s">
        <v>67</v>
      </c>
      <c r="X337">
        <v>12</v>
      </c>
      <c r="Y337" t="s">
        <v>121</v>
      </c>
      <c r="Z337">
        <v>8.15</v>
      </c>
      <c r="AA337" t="s">
        <v>67</v>
      </c>
      <c r="AB337">
        <v>0.06</v>
      </c>
      <c r="AC337">
        <v>1051</v>
      </c>
      <c r="AD337" t="s">
        <v>67</v>
      </c>
      <c r="AE337">
        <v>10</v>
      </c>
      <c r="AF337">
        <v>7.76</v>
      </c>
      <c r="AG337" t="s">
        <v>67</v>
      </c>
      <c r="AH337">
        <v>0.04</v>
      </c>
      <c r="AI337">
        <v>4.9000000000000004</v>
      </c>
      <c r="AJ337" t="s">
        <v>67</v>
      </c>
      <c r="AK337">
        <v>0.2</v>
      </c>
      <c r="AL337">
        <v>9.6999999999999993</v>
      </c>
      <c r="AM337" t="s">
        <v>67</v>
      </c>
      <c r="AN337">
        <v>0.4</v>
      </c>
      <c r="AO337">
        <v>665</v>
      </c>
      <c r="AP337">
        <v>4.8</v>
      </c>
      <c r="AQ337" t="s">
        <v>67</v>
      </c>
      <c r="AR337" t="s">
        <v>122</v>
      </c>
      <c r="AS337" t="s">
        <v>98</v>
      </c>
      <c r="AT337" t="s">
        <v>70</v>
      </c>
      <c r="AU337" t="s">
        <v>109</v>
      </c>
      <c r="AV337" t="s">
        <v>72</v>
      </c>
      <c r="AW337" t="s">
        <v>11</v>
      </c>
      <c r="AX337" t="s">
        <v>73</v>
      </c>
      <c r="AY337">
        <v>5.47</v>
      </c>
      <c r="AZ337">
        <v>5.47</v>
      </c>
      <c r="BA337">
        <v>0.05</v>
      </c>
      <c r="BB337">
        <f>BA337*SQRT(BC337)</f>
        <v>0.30822070014844882</v>
      </c>
      <c r="BC337">
        <v>38</v>
      </c>
      <c r="BD337">
        <v>5.34</v>
      </c>
      <c r="BE337">
        <v>5.34</v>
      </c>
      <c r="BF337">
        <v>4.07E-2</v>
      </c>
      <c r="BG337">
        <f>BF337*SQRT(BH337)</f>
        <v>0.2302339679543399</v>
      </c>
      <c r="BH337">
        <v>32</v>
      </c>
      <c r="BI337">
        <v>22</v>
      </c>
      <c r="BJ337">
        <v>2</v>
      </c>
      <c r="BK337">
        <v>-2.41E-2</v>
      </c>
      <c r="BL337">
        <v>1E-4</v>
      </c>
    </row>
    <row r="338" spans="1:64" hidden="1" x14ac:dyDescent="0.2">
      <c r="A338">
        <v>147</v>
      </c>
      <c r="D338" t="s">
        <v>54</v>
      </c>
      <c r="E338">
        <v>2014</v>
      </c>
      <c r="F338" t="s">
        <v>317</v>
      </c>
      <c r="G338" t="s">
        <v>318</v>
      </c>
      <c r="H338" t="s">
        <v>78</v>
      </c>
      <c r="K338" t="s">
        <v>319</v>
      </c>
      <c r="L338" t="s">
        <v>320</v>
      </c>
      <c r="M338" t="s">
        <v>81</v>
      </c>
      <c r="N338" t="s">
        <v>81</v>
      </c>
      <c r="O338" t="s">
        <v>62</v>
      </c>
      <c r="P338" t="s">
        <v>63</v>
      </c>
      <c r="Q338" t="s">
        <v>74</v>
      </c>
      <c r="R338" t="s">
        <v>83</v>
      </c>
      <c r="S338" t="s">
        <v>64</v>
      </c>
      <c r="T338" t="s">
        <v>64</v>
      </c>
      <c r="U338" t="s">
        <v>66</v>
      </c>
      <c r="V338">
        <v>330</v>
      </c>
      <c r="W338">
        <v>9.5</v>
      </c>
      <c r="X338" t="s">
        <v>67</v>
      </c>
      <c r="Y338" t="s">
        <v>68</v>
      </c>
      <c r="Z338">
        <v>8.11</v>
      </c>
      <c r="AA338">
        <v>0.01</v>
      </c>
      <c r="AB338" t="s">
        <v>67</v>
      </c>
      <c r="AC338">
        <v>1444</v>
      </c>
      <c r="AD338">
        <v>68.5</v>
      </c>
      <c r="AE338" t="s">
        <v>67</v>
      </c>
      <c r="AF338">
        <v>7.56</v>
      </c>
      <c r="AG338">
        <v>0.02</v>
      </c>
      <c r="AH338" t="s">
        <v>67</v>
      </c>
      <c r="AI338">
        <v>5.2</v>
      </c>
      <c r="AJ338">
        <v>0.11</v>
      </c>
      <c r="AK338" t="s">
        <v>67</v>
      </c>
      <c r="AL338">
        <v>13.6</v>
      </c>
      <c r="AM338">
        <v>0.08</v>
      </c>
      <c r="AN338" t="s">
        <v>67</v>
      </c>
      <c r="AO338">
        <v>1114</v>
      </c>
      <c r="AP338">
        <v>8.5</v>
      </c>
      <c r="AQ338" t="s">
        <v>67</v>
      </c>
      <c r="AR338" t="s">
        <v>360</v>
      </c>
      <c r="AS338" t="s">
        <v>361</v>
      </c>
      <c r="AT338" t="s">
        <v>70</v>
      </c>
      <c r="AU338" t="s">
        <v>362</v>
      </c>
      <c r="AV338" t="s">
        <v>363</v>
      </c>
      <c r="AX338" t="s">
        <v>73</v>
      </c>
      <c r="AY338">
        <v>170.63659999999999</v>
      </c>
      <c r="AZ338">
        <v>170.63655</v>
      </c>
      <c r="BA338">
        <v>11.09</v>
      </c>
      <c r="BC338">
        <v>8</v>
      </c>
      <c r="BD338">
        <v>231.96719999999999</v>
      </c>
      <c r="BE338">
        <v>231.96721310000001</v>
      </c>
      <c r="BF338">
        <v>9.0164000000000009</v>
      </c>
      <c r="BH338">
        <v>8</v>
      </c>
      <c r="BI338">
        <v>105</v>
      </c>
      <c r="BJ338">
        <v>2</v>
      </c>
      <c r="BK338">
        <v>0.30709999999999998</v>
      </c>
      <c r="BL338">
        <v>5.7000000000000002E-3</v>
      </c>
    </row>
    <row r="339" spans="1:64" x14ac:dyDescent="0.2">
      <c r="A339">
        <v>183</v>
      </c>
      <c r="B339" t="str">
        <f>ROW()-1&amp;"_AltersFish"</f>
        <v>338_AltersFish</v>
      </c>
      <c r="C339" t="str">
        <f>A339 &amp; "_" &amp; P339 &amp; "_" &amp;
SUBSTITUTE(TRIM(L339)," ","_") &amp;
"_pH" &amp; TEXT(Z339,"0.00") &amp;
"_T" &amp; TEXT(AI339,"0.00") &amp;
"_CO2" &amp; TEXT(V339,"0") &amp;
"_LANG"</f>
        <v>183_EMBRYO_Ammodytes_dubius_pH8.15_T4.90_CO2385_LANG</v>
      </c>
      <c r="D339" t="s">
        <v>54</v>
      </c>
      <c r="E339">
        <v>2019</v>
      </c>
      <c r="F339" t="s">
        <v>116</v>
      </c>
      <c r="G339" t="s">
        <v>117</v>
      </c>
      <c r="H339" t="s">
        <v>78</v>
      </c>
      <c r="I339" t="s">
        <v>540</v>
      </c>
      <c r="J339" t="s">
        <v>543</v>
      </c>
      <c r="K339" t="s">
        <v>79</v>
      </c>
      <c r="L339" t="s">
        <v>118</v>
      </c>
      <c r="M339" t="s">
        <v>119</v>
      </c>
      <c r="N339" t="s">
        <v>120</v>
      </c>
      <c r="O339" t="s">
        <v>62</v>
      </c>
      <c r="P339" t="s">
        <v>82</v>
      </c>
      <c r="Q339" t="s">
        <v>64</v>
      </c>
      <c r="R339" t="s">
        <v>83</v>
      </c>
      <c r="S339" t="s">
        <v>64</v>
      </c>
      <c r="T339" t="s">
        <v>74</v>
      </c>
      <c r="U339" t="s">
        <v>84</v>
      </c>
      <c r="V339">
        <v>385</v>
      </c>
      <c r="W339" t="s">
        <v>67</v>
      </c>
      <c r="X339">
        <v>11</v>
      </c>
      <c r="Y339" t="s">
        <v>121</v>
      </c>
      <c r="Z339">
        <v>8.15</v>
      </c>
      <c r="AA339" t="s">
        <v>67</v>
      </c>
      <c r="AB339">
        <v>0.06</v>
      </c>
      <c r="AC339">
        <v>1103</v>
      </c>
      <c r="AD339" t="s">
        <v>67</v>
      </c>
      <c r="AE339">
        <v>49</v>
      </c>
      <c r="AF339">
        <v>7.72</v>
      </c>
      <c r="AG339" t="s">
        <v>67</v>
      </c>
      <c r="AH339">
        <v>0.04</v>
      </c>
      <c r="AI339">
        <v>4.9000000000000004</v>
      </c>
      <c r="AJ339" t="s">
        <v>67</v>
      </c>
      <c r="AK339">
        <v>0.2</v>
      </c>
      <c r="AL339">
        <v>4.9000000000000004</v>
      </c>
      <c r="AM339" t="s">
        <v>67</v>
      </c>
      <c r="AN339">
        <v>0.2</v>
      </c>
      <c r="AO339">
        <v>718</v>
      </c>
      <c r="AP339">
        <v>0</v>
      </c>
      <c r="AQ339" t="s">
        <v>67</v>
      </c>
      <c r="AR339" t="s">
        <v>122</v>
      </c>
      <c r="AS339" t="s">
        <v>98</v>
      </c>
      <c r="AT339" t="s">
        <v>70</v>
      </c>
      <c r="AU339" t="s">
        <v>109</v>
      </c>
      <c r="AV339" t="s">
        <v>72</v>
      </c>
      <c r="AW339" t="s">
        <v>11</v>
      </c>
      <c r="AX339" t="s">
        <v>73</v>
      </c>
      <c r="AY339">
        <v>5.47</v>
      </c>
      <c r="AZ339">
        <v>5.47</v>
      </c>
      <c r="BA339">
        <v>0.05</v>
      </c>
      <c r="BB339">
        <f>BA339*SQRT(BC339)</f>
        <v>0.30822070014844882</v>
      </c>
      <c r="BC339">
        <v>38</v>
      </c>
      <c r="BD339">
        <v>5.42</v>
      </c>
      <c r="BE339">
        <v>5.42</v>
      </c>
      <c r="BF339">
        <v>5.4399999999999997E-2</v>
      </c>
      <c r="BG339">
        <f>BF339*SQRT(BH339)</f>
        <v>0.33972789111287283</v>
      </c>
      <c r="BH339">
        <v>39</v>
      </c>
      <c r="BI339">
        <v>36</v>
      </c>
      <c r="BJ339">
        <v>2</v>
      </c>
      <c r="BK339">
        <v>-9.1999999999999998E-3</v>
      </c>
      <c r="BL339">
        <v>2.0000000000000001E-4</v>
      </c>
    </row>
    <row r="340" spans="1:64" x14ac:dyDescent="0.2">
      <c r="A340">
        <v>183</v>
      </c>
      <c r="B340" t="str">
        <f>ROW()-1&amp;"_AltersFish"</f>
        <v>339_AltersFish</v>
      </c>
      <c r="C340" t="str">
        <f>A340 &amp; "_" &amp; P340 &amp; "_" &amp;
SUBSTITUTE(TRIM(L340)," ","_") &amp;
"_pH" &amp; TEXT(Z340,"0.00") &amp;
"_T" &amp; TEXT(AI340,"0.00") &amp;
"_CO2" &amp; TEXT(V340,"0") &amp;
"_LANG"</f>
        <v>183_EMBRYO_Ammodytes_dubius_pH8.15_T4.90_CO2387_LANG</v>
      </c>
      <c r="D340" t="s">
        <v>54</v>
      </c>
      <c r="E340">
        <v>2019</v>
      </c>
      <c r="F340" t="s">
        <v>116</v>
      </c>
      <c r="G340" t="s">
        <v>117</v>
      </c>
      <c r="H340" t="s">
        <v>78</v>
      </c>
      <c r="I340" t="s">
        <v>540</v>
      </c>
      <c r="J340" t="s">
        <v>543</v>
      </c>
      <c r="K340" t="s">
        <v>79</v>
      </c>
      <c r="L340" t="s">
        <v>118</v>
      </c>
      <c r="M340" t="s">
        <v>119</v>
      </c>
      <c r="N340" t="s">
        <v>120</v>
      </c>
      <c r="O340" t="s">
        <v>62</v>
      </c>
      <c r="P340" t="s">
        <v>82</v>
      </c>
      <c r="Q340" t="s">
        <v>64</v>
      </c>
      <c r="R340" t="s">
        <v>83</v>
      </c>
      <c r="S340" t="s">
        <v>64</v>
      </c>
      <c r="T340" t="s">
        <v>64</v>
      </c>
      <c r="U340" t="s">
        <v>66</v>
      </c>
      <c r="V340">
        <v>387</v>
      </c>
      <c r="W340" t="s">
        <v>67</v>
      </c>
      <c r="X340">
        <v>13</v>
      </c>
      <c r="Y340" t="s">
        <v>121</v>
      </c>
      <c r="Z340">
        <v>8.15</v>
      </c>
      <c r="AA340" t="s">
        <v>67</v>
      </c>
      <c r="AB340">
        <v>0.06</v>
      </c>
      <c r="AC340">
        <v>2056</v>
      </c>
      <c r="AD340" t="s">
        <v>67</v>
      </c>
      <c r="AE340">
        <v>23</v>
      </c>
      <c r="AF340">
        <v>7.48</v>
      </c>
      <c r="AG340" t="s">
        <v>67</v>
      </c>
      <c r="AH340">
        <v>0.03</v>
      </c>
      <c r="AI340">
        <v>4.9000000000000004</v>
      </c>
      <c r="AJ340" t="s">
        <v>67</v>
      </c>
      <c r="AK340">
        <v>0.2</v>
      </c>
      <c r="AL340">
        <v>9.5</v>
      </c>
      <c r="AM340" t="s">
        <v>67</v>
      </c>
      <c r="AN340">
        <v>0.4</v>
      </c>
      <c r="AO340">
        <v>1669</v>
      </c>
      <c r="AP340">
        <v>4.5999999999999996</v>
      </c>
      <c r="AQ340" t="s">
        <v>67</v>
      </c>
      <c r="AR340" t="s">
        <v>122</v>
      </c>
      <c r="AS340" t="s">
        <v>98</v>
      </c>
      <c r="AT340" t="s">
        <v>70</v>
      </c>
      <c r="AU340" t="s">
        <v>109</v>
      </c>
      <c r="AV340" t="s">
        <v>72</v>
      </c>
      <c r="AW340" t="s">
        <v>11</v>
      </c>
      <c r="AX340" t="s">
        <v>73</v>
      </c>
      <c r="AY340">
        <v>5.47</v>
      </c>
      <c r="AZ340">
        <v>5.47</v>
      </c>
      <c r="BA340">
        <v>0.05</v>
      </c>
      <c r="BB340">
        <f>BA340*SQRT(BC340)</f>
        <v>0.30822070014844882</v>
      </c>
      <c r="BC340">
        <v>38</v>
      </c>
      <c r="BD340">
        <v>5.23</v>
      </c>
      <c r="BE340">
        <v>5.23</v>
      </c>
      <c r="BF340">
        <v>5.9200000000000003E-2</v>
      </c>
      <c r="BG340">
        <f>BF340*SQRT(BH340)</f>
        <v>0.29001958554552826</v>
      </c>
      <c r="BH340">
        <v>24</v>
      </c>
      <c r="BI340">
        <v>27</v>
      </c>
      <c r="BJ340">
        <v>2</v>
      </c>
      <c r="BK340">
        <v>-4.4900000000000002E-2</v>
      </c>
      <c r="BL340">
        <v>2.0000000000000001E-4</v>
      </c>
    </row>
    <row r="341" spans="1:64" x14ac:dyDescent="0.2">
      <c r="A341">
        <v>169</v>
      </c>
      <c r="B341" t="str">
        <f>ROW()-1&amp;"_AltersFish"</f>
        <v>340_AltersFish</v>
      </c>
      <c r="C341" t="str">
        <f>A341 &amp; "_" &amp; P341 &amp; "_" &amp;
SUBSTITUTE(TRIM(L341)," ","_") &amp;
"_pH" &amp; TEXT(Z341,"0.00") &amp;
"_T" &amp; TEXT(AI341,"0.00") &amp;
"_CO2" &amp; TEXT(V341,"0") &amp;
"_LANG"</f>
        <v>169_LARVA_Solea_senegalensis_pH8.02_T18.20_CO2400_LANG</v>
      </c>
      <c r="D341" t="s">
        <v>54</v>
      </c>
      <c r="E341">
        <v>2014</v>
      </c>
      <c r="F341" t="s">
        <v>123</v>
      </c>
      <c r="G341" t="s">
        <v>124</v>
      </c>
      <c r="H341" t="s">
        <v>78</v>
      </c>
      <c r="I341" t="s">
        <v>540</v>
      </c>
      <c r="J341" t="s">
        <v>543</v>
      </c>
      <c r="K341" t="s">
        <v>79</v>
      </c>
      <c r="L341" t="s">
        <v>125</v>
      </c>
      <c r="M341" t="s">
        <v>126</v>
      </c>
      <c r="N341" t="s">
        <v>81</v>
      </c>
      <c r="O341" t="s">
        <v>106</v>
      </c>
      <c r="P341" t="s">
        <v>107</v>
      </c>
      <c r="Q341" t="s">
        <v>64</v>
      </c>
      <c r="R341" t="s">
        <v>83</v>
      </c>
      <c r="S341" t="s">
        <v>74</v>
      </c>
      <c r="T341" t="s">
        <v>64</v>
      </c>
      <c r="U341" t="s">
        <v>75</v>
      </c>
      <c r="V341">
        <v>400</v>
      </c>
      <c r="W341" t="s">
        <v>67</v>
      </c>
      <c r="X341">
        <v>66.709999999999994</v>
      </c>
      <c r="Y341" t="s">
        <v>68</v>
      </c>
      <c r="Z341">
        <v>8.02</v>
      </c>
      <c r="AA341" t="s">
        <v>67</v>
      </c>
      <c r="AB341">
        <v>0.04</v>
      </c>
      <c r="AC341">
        <v>425</v>
      </c>
      <c r="AD341" t="s">
        <v>67</v>
      </c>
      <c r="AE341">
        <v>19.97</v>
      </c>
      <c r="AF341">
        <v>8.0299999999999994</v>
      </c>
      <c r="AG341" t="s">
        <v>67</v>
      </c>
      <c r="AH341">
        <v>0.05</v>
      </c>
      <c r="AI341">
        <v>18.2</v>
      </c>
      <c r="AJ341" t="s">
        <v>67</v>
      </c>
      <c r="AK341">
        <v>0.4</v>
      </c>
      <c r="AL341">
        <v>22</v>
      </c>
      <c r="AM341" t="s">
        <v>67</v>
      </c>
      <c r="AN341">
        <v>0.42</v>
      </c>
      <c r="AO341">
        <v>25</v>
      </c>
      <c r="AP341">
        <v>3.8</v>
      </c>
      <c r="AQ341" t="s">
        <v>67</v>
      </c>
      <c r="AR341" t="s">
        <v>113</v>
      </c>
      <c r="AS341" t="s">
        <v>113</v>
      </c>
      <c r="AT341" t="s">
        <v>70</v>
      </c>
      <c r="AU341" t="s">
        <v>139</v>
      </c>
      <c r="AV341" t="s">
        <v>115</v>
      </c>
      <c r="AW341" t="s">
        <v>72</v>
      </c>
      <c r="AX341" t="s">
        <v>73</v>
      </c>
      <c r="AY341">
        <v>10.674200000000001</v>
      </c>
      <c r="AZ341">
        <v>10.674160000000001</v>
      </c>
      <c r="BA341">
        <v>2.5999999999999999E-3</v>
      </c>
      <c r="BB341">
        <f>BA341*SQRT(BC341)</f>
        <v>2.0139513400278568E-2</v>
      </c>
      <c r="BC341">
        <v>60</v>
      </c>
      <c r="BD341">
        <v>14.7004</v>
      </c>
      <c r="BE341">
        <v>14.700374529999999</v>
      </c>
      <c r="BF341">
        <v>1.6000000000000001E-3</v>
      </c>
      <c r="BG341">
        <f>BF341*SQRT(BH341)</f>
        <v>1.2393546707863735E-2</v>
      </c>
      <c r="BH341">
        <v>60</v>
      </c>
      <c r="BI341">
        <v>30</v>
      </c>
      <c r="BJ341">
        <v>3</v>
      </c>
      <c r="BK341">
        <v>0.32</v>
      </c>
      <c r="BL341">
        <v>1E-4</v>
      </c>
    </row>
    <row r="342" spans="1:64" x14ac:dyDescent="0.2">
      <c r="A342">
        <v>169</v>
      </c>
      <c r="B342" t="str">
        <f>ROW()-1&amp;"_AltersFish"</f>
        <v>341_AltersFish</v>
      </c>
      <c r="C342" t="str">
        <f>A342 &amp; "_" &amp; P342 &amp; "_" &amp;
SUBSTITUTE(TRIM(L342)," ","_") &amp;
"_pH" &amp; TEXT(Z342,"0.00") &amp;
"_T" &amp; TEXT(AI342,"0.00") &amp;
"_CO2" &amp; TEXT(V342,"0") &amp;
"_LANG"</f>
        <v>169_LARVA_Solea_senegalensis_pH8.02_T18.20_CO2400_LANG</v>
      </c>
      <c r="D342" t="s">
        <v>54</v>
      </c>
      <c r="E342">
        <v>2014</v>
      </c>
      <c r="F342" t="s">
        <v>123</v>
      </c>
      <c r="G342" t="s">
        <v>124</v>
      </c>
      <c r="H342" t="s">
        <v>78</v>
      </c>
      <c r="I342" t="s">
        <v>540</v>
      </c>
      <c r="J342" t="s">
        <v>543</v>
      </c>
      <c r="K342" t="s">
        <v>79</v>
      </c>
      <c r="L342" t="s">
        <v>125</v>
      </c>
      <c r="M342" t="s">
        <v>126</v>
      </c>
      <c r="N342" t="s">
        <v>81</v>
      </c>
      <c r="O342" t="s">
        <v>106</v>
      </c>
      <c r="P342" t="s">
        <v>107</v>
      </c>
      <c r="Q342" t="s">
        <v>64</v>
      </c>
      <c r="R342" t="s">
        <v>83</v>
      </c>
      <c r="S342" t="s">
        <v>64</v>
      </c>
      <c r="T342" t="s">
        <v>64</v>
      </c>
      <c r="U342" t="s">
        <v>66</v>
      </c>
      <c r="V342">
        <v>400</v>
      </c>
      <c r="W342" t="s">
        <v>67</v>
      </c>
      <c r="X342">
        <v>66.709999999999994</v>
      </c>
      <c r="Y342" t="s">
        <v>68</v>
      </c>
      <c r="Z342">
        <v>8.02</v>
      </c>
      <c r="AA342" t="s">
        <v>67</v>
      </c>
      <c r="AB342">
        <v>0.04</v>
      </c>
      <c r="AC342">
        <v>1654</v>
      </c>
      <c r="AD342" t="s">
        <v>67</v>
      </c>
      <c r="AE342">
        <v>49.06</v>
      </c>
      <c r="AF342">
        <v>7.51</v>
      </c>
      <c r="AG342" t="s">
        <v>67</v>
      </c>
      <c r="AH342">
        <v>0.05</v>
      </c>
      <c r="AI342">
        <v>18.2</v>
      </c>
      <c r="AJ342" t="s">
        <v>67</v>
      </c>
      <c r="AK342">
        <v>0.4</v>
      </c>
      <c r="AL342">
        <v>22.1</v>
      </c>
      <c r="AM342" t="s">
        <v>67</v>
      </c>
      <c r="AN342">
        <v>1.01</v>
      </c>
      <c r="AO342">
        <v>1254</v>
      </c>
      <c r="AP342">
        <v>3.9</v>
      </c>
      <c r="AQ342" t="s">
        <v>67</v>
      </c>
      <c r="AR342" t="s">
        <v>113</v>
      </c>
      <c r="AS342" t="s">
        <v>113</v>
      </c>
      <c r="AT342" t="s">
        <v>70</v>
      </c>
      <c r="AU342" t="s">
        <v>139</v>
      </c>
      <c r="AV342" t="s">
        <v>115</v>
      </c>
      <c r="AW342" t="s">
        <v>72</v>
      </c>
      <c r="AX342" t="s">
        <v>73</v>
      </c>
      <c r="AY342">
        <v>10.674200000000001</v>
      </c>
      <c r="AZ342">
        <v>10.674160000000001</v>
      </c>
      <c r="BA342">
        <v>2.5999999999999999E-3</v>
      </c>
      <c r="BB342">
        <f>BA342*SQRT(BC342)</f>
        <v>2.0139513400278568E-2</v>
      </c>
      <c r="BC342">
        <v>60</v>
      </c>
      <c r="BD342">
        <v>12.0787</v>
      </c>
      <c r="BE342">
        <v>12.078651689999999</v>
      </c>
      <c r="BF342">
        <v>3.3999999999999998E-3</v>
      </c>
      <c r="BG342">
        <f>BF342*SQRT(BH342)</f>
        <v>2.6336286754210434E-2</v>
      </c>
      <c r="BH342">
        <v>60</v>
      </c>
      <c r="BI342">
        <v>30</v>
      </c>
      <c r="BJ342">
        <v>3</v>
      </c>
      <c r="BK342">
        <v>0.1236</v>
      </c>
      <c r="BL342">
        <v>1E-4</v>
      </c>
    </row>
    <row r="343" spans="1:64" x14ac:dyDescent="0.2">
      <c r="A343">
        <v>169</v>
      </c>
      <c r="B343" t="str">
        <f>ROW()-1&amp;"_AltersFish"</f>
        <v>342_AltersFish</v>
      </c>
      <c r="C343" t="str">
        <f>A343 &amp; "_" &amp; P343 &amp; "_" &amp;
SUBSTITUTE(TRIM(L343)," ","_") &amp;
"_pH" &amp; TEXT(Z343,"0.00") &amp;
"_T" &amp; TEXT(AI343,"0.00") &amp;
"_CO2" &amp; TEXT(V343,"0") &amp;
"_LANG"</f>
        <v>169_LARVA_Solea_senegalensis_pH8.02_T18.20_CO2400_LANG</v>
      </c>
      <c r="D343" t="s">
        <v>54</v>
      </c>
      <c r="E343">
        <v>2014</v>
      </c>
      <c r="F343" t="s">
        <v>123</v>
      </c>
      <c r="G343" t="s">
        <v>124</v>
      </c>
      <c r="H343" t="s">
        <v>78</v>
      </c>
      <c r="I343" t="s">
        <v>540</v>
      </c>
      <c r="J343" t="s">
        <v>543</v>
      </c>
      <c r="K343" t="s">
        <v>79</v>
      </c>
      <c r="L343" t="s">
        <v>125</v>
      </c>
      <c r="M343" t="s">
        <v>126</v>
      </c>
      <c r="N343" t="s">
        <v>81</v>
      </c>
      <c r="O343" t="s">
        <v>106</v>
      </c>
      <c r="P343" t="s">
        <v>107</v>
      </c>
      <c r="Q343" t="s">
        <v>64</v>
      </c>
      <c r="R343" t="s">
        <v>83</v>
      </c>
      <c r="S343" t="s">
        <v>64</v>
      </c>
      <c r="T343" t="s">
        <v>74</v>
      </c>
      <c r="U343" t="s">
        <v>84</v>
      </c>
      <c r="V343">
        <v>400</v>
      </c>
      <c r="W343" t="s">
        <v>67</v>
      </c>
      <c r="X343">
        <v>66.709999999999994</v>
      </c>
      <c r="Y343" t="s">
        <v>68</v>
      </c>
      <c r="Z343">
        <v>8.02</v>
      </c>
      <c r="AA343" t="s">
        <v>67</v>
      </c>
      <c r="AB343">
        <v>0.04</v>
      </c>
      <c r="AC343">
        <v>1608</v>
      </c>
      <c r="AD343" t="s">
        <v>67</v>
      </c>
      <c r="AE343">
        <v>24.78</v>
      </c>
      <c r="AF343">
        <v>7.5</v>
      </c>
      <c r="AG343" t="s">
        <v>67</v>
      </c>
      <c r="AH343">
        <v>0.03</v>
      </c>
      <c r="AI343">
        <v>18.2</v>
      </c>
      <c r="AJ343" t="s">
        <v>67</v>
      </c>
      <c r="AK343">
        <v>0.4</v>
      </c>
      <c r="AL343">
        <v>18.2</v>
      </c>
      <c r="AM343" t="s">
        <v>67</v>
      </c>
      <c r="AN343">
        <v>0.28999999999999998</v>
      </c>
      <c r="AO343">
        <v>1208</v>
      </c>
      <c r="AP343">
        <v>-0.1</v>
      </c>
      <c r="AQ343" t="s">
        <v>67</v>
      </c>
      <c r="AR343" t="s">
        <v>113</v>
      </c>
      <c r="AS343" t="s">
        <v>113</v>
      </c>
      <c r="AT343" t="s">
        <v>70</v>
      </c>
      <c r="AU343" t="s">
        <v>139</v>
      </c>
      <c r="AV343" t="s">
        <v>115</v>
      </c>
      <c r="AW343" t="s">
        <v>72</v>
      </c>
      <c r="AX343" t="s">
        <v>73</v>
      </c>
      <c r="AY343">
        <v>10.674200000000001</v>
      </c>
      <c r="AZ343">
        <v>10.674160000000001</v>
      </c>
      <c r="BA343">
        <v>2.5999999999999999E-3</v>
      </c>
      <c r="BB343">
        <f>BA343*SQRT(BC343)</f>
        <v>2.0139513400278568E-2</v>
      </c>
      <c r="BC343">
        <v>60</v>
      </c>
      <c r="BD343">
        <v>8.2396999999999991</v>
      </c>
      <c r="BE343">
        <v>8.239700375</v>
      </c>
      <c r="BF343">
        <v>2.2000000000000001E-3</v>
      </c>
      <c r="BG343">
        <f>BF343*SQRT(BH343)</f>
        <v>1.7041126723312636E-2</v>
      </c>
      <c r="BH343">
        <v>60</v>
      </c>
      <c r="BI343">
        <v>30</v>
      </c>
      <c r="BJ343">
        <v>3</v>
      </c>
      <c r="BK343">
        <v>-0.25890000000000002</v>
      </c>
      <c r="BL343">
        <v>1E-4</v>
      </c>
    </row>
    <row r="344" spans="1:64" hidden="1" x14ac:dyDescent="0.2">
      <c r="A344">
        <v>147</v>
      </c>
      <c r="D344" t="s">
        <v>54</v>
      </c>
      <c r="E344">
        <v>2014</v>
      </c>
      <c r="F344" t="s">
        <v>317</v>
      </c>
      <c r="G344" t="s">
        <v>318</v>
      </c>
      <c r="H344" t="s">
        <v>78</v>
      </c>
      <c r="K344" t="s">
        <v>319</v>
      </c>
      <c r="L344" t="s">
        <v>320</v>
      </c>
      <c r="M344" t="s">
        <v>81</v>
      </c>
      <c r="N344" t="s">
        <v>81</v>
      </c>
      <c r="O344" t="s">
        <v>62</v>
      </c>
      <c r="P344" t="s">
        <v>63</v>
      </c>
      <c r="Q344" t="s">
        <v>74</v>
      </c>
      <c r="R344" t="s">
        <v>83</v>
      </c>
      <c r="S344" t="s">
        <v>74</v>
      </c>
      <c r="T344" t="s">
        <v>64</v>
      </c>
      <c r="U344" t="s">
        <v>75</v>
      </c>
      <c r="V344">
        <v>330</v>
      </c>
      <c r="W344">
        <v>9.5</v>
      </c>
      <c r="X344" t="s">
        <v>67</v>
      </c>
      <c r="Y344" t="s">
        <v>68</v>
      </c>
      <c r="Z344">
        <v>8.11</v>
      </c>
      <c r="AA344">
        <v>0.01</v>
      </c>
      <c r="AB344" t="s">
        <v>67</v>
      </c>
      <c r="AC344">
        <v>527</v>
      </c>
      <c r="AD344">
        <v>13.5</v>
      </c>
      <c r="AE344" t="s">
        <v>67</v>
      </c>
      <c r="AF344">
        <v>7.95</v>
      </c>
      <c r="AG344">
        <v>0.01</v>
      </c>
      <c r="AH344" t="s">
        <v>67</v>
      </c>
      <c r="AI344">
        <v>5.2</v>
      </c>
      <c r="AJ344">
        <v>0.11</v>
      </c>
      <c r="AK344" t="s">
        <v>67</v>
      </c>
      <c r="AL344">
        <v>13.6</v>
      </c>
      <c r="AM344">
        <v>7.0000000000000007E-2</v>
      </c>
      <c r="AN344" t="s">
        <v>67</v>
      </c>
      <c r="AO344">
        <v>197</v>
      </c>
      <c r="AP344">
        <v>8.4</v>
      </c>
      <c r="AQ344" t="s">
        <v>67</v>
      </c>
      <c r="AR344" t="s">
        <v>360</v>
      </c>
      <c r="AS344" t="s">
        <v>361</v>
      </c>
      <c r="AT344" t="s">
        <v>70</v>
      </c>
      <c r="AU344" t="s">
        <v>362</v>
      </c>
      <c r="AV344" t="s">
        <v>363</v>
      </c>
      <c r="AX344" t="s">
        <v>73</v>
      </c>
      <c r="AY344">
        <v>170.63659999999999</v>
      </c>
      <c r="AZ344">
        <v>170.63655</v>
      </c>
      <c r="BA344">
        <v>11.09</v>
      </c>
      <c r="BC344">
        <v>8</v>
      </c>
      <c r="BD344">
        <v>202.459</v>
      </c>
      <c r="BE344">
        <v>202.4590164</v>
      </c>
      <c r="BF344">
        <v>8.1966999999999999</v>
      </c>
      <c r="BH344">
        <v>8</v>
      </c>
      <c r="BI344">
        <v>105</v>
      </c>
      <c r="BJ344">
        <v>2</v>
      </c>
      <c r="BK344">
        <v>0.17100000000000001</v>
      </c>
      <c r="BL344">
        <v>5.8999999999999999E-3</v>
      </c>
    </row>
    <row r="345" spans="1:64" hidden="1" x14ac:dyDescent="0.2">
      <c r="A345">
        <v>147</v>
      </c>
      <c r="D345" t="s">
        <v>54</v>
      </c>
      <c r="E345">
        <v>2014</v>
      </c>
      <c r="F345" t="s">
        <v>317</v>
      </c>
      <c r="G345" t="s">
        <v>318</v>
      </c>
      <c r="H345" t="s">
        <v>78</v>
      </c>
      <c r="K345" t="s">
        <v>319</v>
      </c>
      <c r="L345" t="s">
        <v>320</v>
      </c>
      <c r="M345" t="s">
        <v>81</v>
      </c>
      <c r="N345" t="s">
        <v>81</v>
      </c>
      <c r="O345" t="s">
        <v>62</v>
      </c>
      <c r="P345" t="s">
        <v>63</v>
      </c>
      <c r="Q345" t="s">
        <v>74</v>
      </c>
      <c r="R345" t="s">
        <v>83</v>
      </c>
      <c r="S345" t="s">
        <v>64</v>
      </c>
      <c r="T345" t="s">
        <v>64</v>
      </c>
      <c r="U345" t="s">
        <v>66</v>
      </c>
      <c r="V345">
        <v>330</v>
      </c>
      <c r="W345">
        <v>9.5</v>
      </c>
      <c r="X345" t="s">
        <v>67</v>
      </c>
      <c r="Y345" t="s">
        <v>68</v>
      </c>
      <c r="Z345">
        <v>8.11</v>
      </c>
      <c r="AA345">
        <v>0.01</v>
      </c>
      <c r="AB345" t="s">
        <v>67</v>
      </c>
      <c r="AC345">
        <v>1113</v>
      </c>
      <c r="AD345">
        <v>61</v>
      </c>
      <c r="AE345" t="s">
        <v>67</v>
      </c>
      <c r="AF345">
        <v>7.64</v>
      </c>
      <c r="AG345">
        <v>0.02</v>
      </c>
      <c r="AH345" t="s">
        <v>67</v>
      </c>
      <c r="AI345">
        <v>5.2</v>
      </c>
      <c r="AJ345">
        <v>0.11</v>
      </c>
      <c r="AK345" t="s">
        <v>67</v>
      </c>
      <c r="AL345">
        <v>10</v>
      </c>
      <c r="AM345">
        <v>0.02</v>
      </c>
      <c r="AN345" t="s">
        <v>67</v>
      </c>
      <c r="AO345">
        <v>783</v>
      </c>
      <c r="AP345">
        <v>4.9000000000000004</v>
      </c>
      <c r="AQ345" t="s">
        <v>67</v>
      </c>
      <c r="AR345" t="s">
        <v>360</v>
      </c>
      <c r="AS345" t="s">
        <v>361</v>
      </c>
      <c r="AT345" t="s">
        <v>70</v>
      </c>
      <c r="AU345" t="s">
        <v>362</v>
      </c>
      <c r="AV345" t="s">
        <v>363</v>
      </c>
      <c r="AX345" t="s">
        <v>73</v>
      </c>
      <c r="AY345">
        <v>170.63659999999999</v>
      </c>
      <c r="AZ345">
        <v>170.63655</v>
      </c>
      <c r="BA345">
        <v>11.09</v>
      </c>
      <c r="BC345">
        <v>8</v>
      </c>
      <c r="BD345">
        <v>210.88300000000001</v>
      </c>
      <c r="BE345">
        <v>210.88295690000001</v>
      </c>
      <c r="BF345">
        <v>8.6242000000000001</v>
      </c>
      <c r="BH345">
        <v>8</v>
      </c>
      <c r="BI345">
        <v>105</v>
      </c>
      <c r="BJ345">
        <v>2</v>
      </c>
      <c r="BK345">
        <v>0.21179999999999999</v>
      </c>
      <c r="BL345">
        <v>5.8999999999999999E-3</v>
      </c>
    </row>
    <row r="346" spans="1:64" x14ac:dyDescent="0.2">
      <c r="A346">
        <v>169</v>
      </c>
      <c r="B346" t="str">
        <f>ROW()-1&amp;"_AltersFish"</f>
        <v>345_AltersFish</v>
      </c>
      <c r="C346" t="str">
        <f>A346 &amp; "_" &amp; P346 &amp; "_" &amp;
SUBSTITUTE(TRIM(L346)," ","_") &amp;
"_pH" &amp; TEXT(Z346,"0.00") &amp;
"_T" &amp; TEXT(AI346,"0.00") &amp;
"_CO2" &amp; TEXT(V346,"0") &amp;
"_LANG"</f>
        <v>169_LARVA_Solea_senegalensis_pH8.02_T18.20_CO2400_LANG</v>
      </c>
      <c r="D346" t="s">
        <v>54</v>
      </c>
      <c r="E346">
        <v>2014</v>
      </c>
      <c r="F346" t="s">
        <v>123</v>
      </c>
      <c r="G346" t="s">
        <v>124</v>
      </c>
      <c r="H346" t="s">
        <v>78</v>
      </c>
      <c r="I346" t="s">
        <v>540</v>
      </c>
      <c r="J346" t="s">
        <v>543</v>
      </c>
      <c r="K346" t="s">
        <v>79</v>
      </c>
      <c r="L346" t="s">
        <v>125</v>
      </c>
      <c r="M346" t="s">
        <v>126</v>
      </c>
      <c r="N346" t="s">
        <v>81</v>
      </c>
      <c r="O346" t="s">
        <v>106</v>
      </c>
      <c r="P346" t="s">
        <v>107</v>
      </c>
      <c r="Q346" t="s">
        <v>64</v>
      </c>
      <c r="R346" t="s">
        <v>83</v>
      </c>
      <c r="S346" t="s">
        <v>74</v>
      </c>
      <c r="T346" t="s">
        <v>64</v>
      </c>
      <c r="U346" t="s">
        <v>75</v>
      </c>
      <c r="V346">
        <v>400</v>
      </c>
      <c r="W346" t="s">
        <v>67</v>
      </c>
      <c r="X346">
        <v>66.709999999999994</v>
      </c>
      <c r="Y346" t="s">
        <v>68</v>
      </c>
      <c r="Z346">
        <v>8.02</v>
      </c>
      <c r="AA346" t="s">
        <v>67</v>
      </c>
      <c r="AB346">
        <v>0.04</v>
      </c>
      <c r="AC346">
        <v>425</v>
      </c>
      <c r="AD346" t="s">
        <v>67</v>
      </c>
      <c r="AE346">
        <v>19.97</v>
      </c>
      <c r="AF346">
        <v>8.0299999999999994</v>
      </c>
      <c r="AG346" t="s">
        <v>67</v>
      </c>
      <c r="AH346">
        <v>0.05</v>
      </c>
      <c r="AI346">
        <v>18.2</v>
      </c>
      <c r="AJ346" t="s">
        <v>67</v>
      </c>
      <c r="AK346">
        <v>0.4</v>
      </c>
      <c r="AL346">
        <v>22</v>
      </c>
      <c r="AM346" t="s">
        <v>67</v>
      </c>
      <c r="AN346">
        <v>0.42</v>
      </c>
      <c r="AO346">
        <v>25</v>
      </c>
      <c r="AP346">
        <v>3.8</v>
      </c>
      <c r="AQ346" t="s">
        <v>67</v>
      </c>
      <c r="AR346" t="s">
        <v>143</v>
      </c>
      <c r="AS346" t="s">
        <v>134</v>
      </c>
      <c r="AT346" t="s">
        <v>135</v>
      </c>
      <c r="AU346" t="s">
        <v>136</v>
      </c>
      <c r="AV346" t="s">
        <v>137</v>
      </c>
      <c r="AW346" t="s">
        <v>132</v>
      </c>
      <c r="AX346" t="s">
        <v>73</v>
      </c>
      <c r="AY346">
        <v>22.941199999999998</v>
      </c>
      <c r="AZ346">
        <v>22.941179999999999</v>
      </c>
      <c r="BA346">
        <v>0.03</v>
      </c>
      <c r="BB346">
        <f>BA346*SQRT(BC346)</f>
        <v>0.09</v>
      </c>
      <c r="BC346">
        <v>9</v>
      </c>
      <c r="BD346">
        <v>34.852899999999998</v>
      </c>
      <c r="BE346">
        <v>34.852941180000002</v>
      </c>
      <c r="BF346">
        <v>2.2100000000000002E-2</v>
      </c>
      <c r="BG346">
        <f>BF346*SQRT(BH346)</f>
        <v>6.6299999999999998E-2</v>
      </c>
      <c r="BH346">
        <v>9</v>
      </c>
      <c r="BI346">
        <v>30</v>
      </c>
      <c r="BJ346">
        <v>3</v>
      </c>
      <c r="BK346">
        <v>0.41820000000000002</v>
      </c>
      <c r="BL346">
        <v>1E-4</v>
      </c>
    </row>
    <row r="347" spans="1:64" x14ac:dyDescent="0.2">
      <c r="A347">
        <v>169</v>
      </c>
      <c r="B347" t="str">
        <f>ROW()-1&amp;"_AltersFish"</f>
        <v>346_AltersFish</v>
      </c>
      <c r="C347" t="str">
        <f>A347 &amp; "_" &amp; P347 &amp; "_" &amp;
SUBSTITUTE(TRIM(L347)," ","_") &amp;
"_pH" &amp; TEXT(Z347,"0.00") &amp;
"_T" &amp; TEXT(AI347,"0.00") &amp;
"_CO2" &amp; TEXT(V347,"0") &amp;
"_LANG"</f>
        <v>169_LARVA_Solea_senegalensis_pH8.02_T18.20_CO2400_LANG</v>
      </c>
      <c r="D347" t="s">
        <v>54</v>
      </c>
      <c r="E347">
        <v>2014</v>
      </c>
      <c r="F347" t="s">
        <v>123</v>
      </c>
      <c r="G347" t="s">
        <v>124</v>
      </c>
      <c r="H347" t="s">
        <v>78</v>
      </c>
      <c r="I347" t="s">
        <v>540</v>
      </c>
      <c r="J347" t="s">
        <v>543</v>
      </c>
      <c r="K347" t="s">
        <v>79</v>
      </c>
      <c r="L347" t="s">
        <v>125</v>
      </c>
      <c r="M347" t="s">
        <v>126</v>
      </c>
      <c r="N347" t="s">
        <v>81</v>
      </c>
      <c r="O347" t="s">
        <v>106</v>
      </c>
      <c r="P347" t="s">
        <v>107</v>
      </c>
      <c r="Q347" t="s">
        <v>64</v>
      </c>
      <c r="R347" t="s">
        <v>83</v>
      </c>
      <c r="S347" t="s">
        <v>64</v>
      </c>
      <c r="T347" t="s">
        <v>64</v>
      </c>
      <c r="U347" t="s">
        <v>66</v>
      </c>
      <c r="V347">
        <v>400</v>
      </c>
      <c r="W347" t="s">
        <v>67</v>
      </c>
      <c r="X347">
        <v>66.709999999999994</v>
      </c>
      <c r="Y347" t="s">
        <v>68</v>
      </c>
      <c r="Z347">
        <v>8.02</v>
      </c>
      <c r="AA347" t="s">
        <v>67</v>
      </c>
      <c r="AB347">
        <v>0.04</v>
      </c>
      <c r="AC347">
        <v>1654</v>
      </c>
      <c r="AD347" t="s">
        <v>67</v>
      </c>
      <c r="AE347">
        <v>49.06</v>
      </c>
      <c r="AF347">
        <v>7.51</v>
      </c>
      <c r="AG347" t="s">
        <v>67</v>
      </c>
      <c r="AH347">
        <v>0.05</v>
      </c>
      <c r="AI347">
        <v>18.2</v>
      </c>
      <c r="AJ347" t="s">
        <v>67</v>
      </c>
      <c r="AK347">
        <v>0.4</v>
      </c>
      <c r="AL347">
        <v>22.1</v>
      </c>
      <c r="AM347" t="s">
        <v>67</v>
      </c>
      <c r="AN347">
        <v>1.01</v>
      </c>
      <c r="AO347">
        <v>1254</v>
      </c>
      <c r="AP347">
        <v>3.9</v>
      </c>
      <c r="AQ347" t="s">
        <v>67</v>
      </c>
      <c r="AR347" t="s">
        <v>143</v>
      </c>
      <c r="AS347" t="s">
        <v>134</v>
      </c>
      <c r="AT347" t="s">
        <v>135</v>
      </c>
      <c r="AU347" t="s">
        <v>136</v>
      </c>
      <c r="AV347" t="s">
        <v>137</v>
      </c>
      <c r="AW347" t="s">
        <v>132</v>
      </c>
      <c r="AX347" t="s">
        <v>73</v>
      </c>
      <c r="AY347">
        <v>22.941199999999998</v>
      </c>
      <c r="AZ347">
        <v>22.941179999999999</v>
      </c>
      <c r="BA347">
        <v>0.03</v>
      </c>
      <c r="BB347">
        <f>BA347*SQRT(BC347)</f>
        <v>0.09</v>
      </c>
      <c r="BC347">
        <v>9</v>
      </c>
      <c r="BD347">
        <v>25.147099999999998</v>
      </c>
      <c r="BE347">
        <v>25.147058820000002</v>
      </c>
      <c r="BF347">
        <v>2.2100000000000002E-2</v>
      </c>
      <c r="BG347">
        <f>BF347*SQRT(BH347)</f>
        <v>6.6299999999999998E-2</v>
      </c>
      <c r="BH347">
        <v>9</v>
      </c>
      <c r="BI347">
        <v>30</v>
      </c>
      <c r="BJ347">
        <v>3</v>
      </c>
      <c r="BK347">
        <v>9.1800000000000007E-2</v>
      </c>
      <c r="BL347">
        <v>1E-4</v>
      </c>
    </row>
    <row r="348" spans="1:64" hidden="1" x14ac:dyDescent="0.2">
      <c r="A348">
        <v>147</v>
      </c>
      <c r="D348" t="s">
        <v>54</v>
      </c>
      <c r="E348">
        <v>2014</v>
      </c>
      <c r="F348" t="s">
        <v>317</v>
      </c>
      <c r="G348" t="s">
        <v>318</v>
      </c>
      <c r="H348" t="s">
        <v>78</v>
      </c>
      <c r="K348" t="s">
        <v>319</v>
      </c>
      <c r="L348" t="s">
        <v>320</v>
      </c>
      <c r="M348" t="s">
        <v>81</v>
      </c>
      <c r="N348" t="s">
        <v>81</v>
      </c>
      <c r="O348" t="s">
        <v>62</v>
      </c>
      <c r="P348" t="s">
        <v>63</v>
      </c>
      <c r="Q348" t="s">
        <v>74</v>
      </c>
      <c r="R348" t="s">
        <v>83</v>
      </c>
      <c r="S348" t="s">
        <v>74</v>
      </c>
      <c r="T348" t="s">
        <v>64</v>
      </c>
      <c r="U348" t="s">
        <v>75</v>
      </c>
      <c r="V348">
        <v>330</v>
      </c>
      <c r="W348">
        <v>9.5</v>
      </c>
      <c r="X348" t="s">
        <v>67</v>
      </c>
      <c r="Y348" t="s">
        <v>68</v>
      </c>
      <c r="Z348">
        <v>8.11</v>
      </c>
      <c r="AA348">
        <v>0.01</v>
      </c>
      <c r="AB348" t="s">
        <v>67</v>
      </c>
      <c r="AC348">
        <v>643</v>
      </c>
      <c r="AD348">
        <v>14.5</v>
      </c>
      <c r="AE348" t="s">
        <v>67</v>
      </c>
      <c r="AF348">
        <v>7.87</v>
      </c>
      <c r="AG348">
        <v>0.01</v>
      </c>
      <c r="AH348" t="s">
        <v>67</v>
      </c>
      <c r="AI348">
        <v>5.2</v>
      </c>
      <c r="AJ348">
        <v>0.11</v>
      </c>
      <c r="AK348" t="s">
        <v>67</v>
      </c>
      <c r="AL348">
        <v>17.899999999999999</v>
      </c>
      <c r="AM348">
        <v>0.03</v>
      </c>
      <c r="AN348" t="s">
        <v>67</v>
      </c>
      <c r="AO348">
        <v>313</v>
      </c>
      <c r="AP348">
        <v>12.7</v>
      </c>
      <c r="AQ348" t="s">
        <v>67</v>
      </c>
      <c r="AR348" t="s">
        <v>360</v>
      </c>
      <c r="AS348" t="s">
        <v>361</v>
      </c>
      <c r="AT348" t="s">
        <v>70</v>
      </c>
      <c r="AU348" t="s">
        <v>362</v>
      </c>
      <c r="AV348" t="s">
        <v>363</v>
      </c>
      <c r="AX348" t="s">
        <v>73</v>
      </c>
      <c r="AY348">
        <v>170.63659999999999</v>
      </c>
      <c r="AZ348">
        <v>170.63655</v>
      </c>
      <c r="BA348">
        <v>11.09</v>
      </c>
      <c r="BC348">
        <v>8</v>
      </c>
      <c r="BD348">
        <v>235.6557</v>
      </c>
      <c r="BE348">
        <v>235.6557377</v>
      </c>
      <c r="BF348">
        <v>9.8361000000000001</v>
      </c>
      <c r="BH348">
        <v>8</v>
      </c>
      <c r="BI348">
        <v>105</v>
      </c>
      <c r="BJ348">
        <v>2</v>
      </c>
      <c r="BK348">
        <v>0.32279999999999998</v>
      </c>
      <c r="BL348">
        <v>6.0000000000000001E-3</v>
      </c>
    </row>
    <row r="349" spans="1:64" x14ac:dyDescent="0.2">
      <c r="A349">
        <v>169</v>
      </c>
      <c r="B349" t="str">
        <f>ROW()-1&amp;"_AltersFish"</f>
        <v>348_AltersFish</v>
      </c>
      <c r="C349" t="str">
        <f>A349 &amp; "_" &amp; P349 &amp; "_" &amp;
SUBSTITUTE(TRIM(L349)," ","_") &amp;
"_pH" &amp; TEXT(Z349,"0.00") &amp;
"_T" &amp; TEXT(AI349,"0.00") &amp;
"_CO2" &amp; TEXT(V349,"0") &amp;
"_LANG"</f>
        <v>169_LARVA_Solea_senegalensis_pH8.02_T18.20_CO2400_LANG</v>
      </c>
      <c r="D349" t="s">
        <v>54</v>
      </c>
      <c r="E349">
        <v>2014</v>
      </c>
      <c r="F349" t="s">
        <v>123</v>
      </c>
      <c r="G349" t="s">
        <v>124</v>
      </c>
      <c r="H349" t="s">
        <v>78</v>
      </c>
      <c r="I349" t="s">
        <v>540</v>
      </c>
      <c r="J349" t="s">
        <v>543</v>
      </c>
      <c r="K349" t="s">
        <v>79</v>
      </c>
      <c r="L349" t="s">
        <v>125</v>
      </c>
      <c r="M349" t="s">
        <v>126</v>
      </c>
      <c r="N349" t="s">
        <v>81</v>
      </c>
      <c r="O349" t="s">
        <v>106</v>
      </c>
      <c r="P349" t="s">
        <v>107</v>
      </c>
      <c r="Q349" t="s">
        <v>64</v>
      </c>
      <c r="R349" t="s">
        <v>83</v>
      </c>
      <c r="S349" t="s">
        <v>64</v>
      </c>
      <c r="T349" t="s">
        <v>74</v>
      </c>
      <c r="U349" t="s">
        <v>84</v>
      </c>
      <c r="V349">
        <v>400</v>
      </c>
      <c r="W349" t="s">
        <v>67</v>
      </c>
      <c r="X349">
        <v>66.709999999999994</v>
      </c>
      <c r="Y349" t="s">
        <v>68</v>
      </c>
      <c r="Z349">
        <v>8.02</v>
      </c>
      <c r="AA349" t="s">
        <v>67</v>
      </c>
      <c r="AB349">
        <v>0.04</v>
      </c>
      <c r="AC349">
        <v>1608</v>
      </c>
      <c r="AD349" t="s">
        <v>67</v>
      </c>
      <c r="AE349">
        <v>24.78</v>
      </c>
      <c r="AF349">
        <v>7.5</v>
      </c>
      <c r="AG349" t="s">
        <v>67</v>
      </c>
      <c r="AH349">
        <v>0.03</v>
      </c>
      <c r="AI349">
        <v>18.2</v>
      </c>
      <c r="AJ349" t="s">
        <v>67</v>
      </c>
      <c r="AK349">
        <v>0.4</v>
      </c>
      <c r="AL349">
        <v>18.2</v>
      </c>
      <c r="AM349" t="s">
        <v>67</v>
      </c>
      <c r="AN349">
        <v>0.28999999999999998</v>
      </c>
      <c r="AO349">
        <v>1208</v>
      </c>
      <c r="AP349">
        <v>-0.1</v>
      </c>
      <c r="AQ349" t="s">
        <v>67</v>
      </c>
      <c r="AR349" t="s">
        <v>143</v>
      </c>
      <c r="AS349" t="s">
        <v>134</v>
      </c>
      <c r="AT349" t="s">
        <v>135</v>
      </c>
      <c r="AU349" t="s">
        <v>136</v>
      </c>
      <c r="AV349" t="s">
        <v>137</v>
      </c>
      <c r="AW349" t="s">
        <v>132</v>
      </c>
      <c r="AX349" t="s">
        <v>73</v>
      </c>
      <c r="AY349">
        <v>22.941199999999998</v>
      </c>
      <c r="AZ349">
        <v>22.941179999999999</v>
      </c>
      <c r="BA349">
        <v>0.03</v>
      </c>
      <c r="BB349">
        <f>BA349*SQRT(BC349)</f>
        <v>0.09</v>
      </c>
      <c r="BC349">
        <v>9</v>
      </c>
      <c r="BD349">
        <v>16.764700000000001</v>
      </c>
      <c r="BE349">
        <v>16.764705880000001</v>
      </c>
      <c r="BF349">
        <v>2.4500000000000001E-2</v>
      </c>
      <c r="BG349">
        <f>BF349*SQRT(BH349)</f>
        <v>7.350000000000001E-2</v>
      </c>
      <c r="BH349">
        <v>9</v>
      </c>
      <c r="BI349">
        <v>30</v>
      </c>
      <c r="BJ349">
        <v>3</v>
      </c>
      <c r="BK349">
        <v>-0.31369999999999998</v>
      </c>
      <c r="BL349">
        <v>1E-4</v>
      </c>
    </row>
    <row r="350" spans="1:64" hidden="1" x14ac:dyDescent="0.2">
      <c r="A350">
        <v>163</v>
      </c>
      <c r="D350" t="s">
        <v>54</v>
      </c>
      <c r="E350">
        <v>2018</v>
      </c>
      <c r="F350" t="s">
        <v>273</v>
      </c>
      <c r="G350" t="s">
        <v>230</v>
      </c>
      <c r="H350" t="s">
        <v>78</v>
      </c>
      <c r="K350" t="s">
        <v>79</v>
      </c>
      <c r="L350" t="s">
        <v>274</v>
      </c>
      <c r="M350" t="s">
        <v>95</v>
      </c>
      <c r="N350" t="s">
        <v>61</v>
      </c>
      <c r="O350" t="s">
        <v>62</v>
      </c>
      <c r="P350" t="s">
        <v>63</v>
      </c>
      <c r="Q350" t="s">
        <v>64</v>
      </c>
      <c r="R350" t="s">
        <v>65</v>
      </c>
      <c r="S350" t="s">
        <v>74</v>
      </c>
      <c r="T350" t="s">
        <v>64</v>
      </c>
      <c r="U350" t="s">
        <v>75</v>
      </c>
      <c r="V350">
        <v>435</v>
      </c>
      <c r="W350" t="s">
        <v>67</v>
      </c>
      <c r="X350">
        <v>38</v>
      </c>
      <c r="Y350" t="s">
        <v>67</v>
      </c>
      <c r="Z350" t="s">
        <v>67</v>
      </c>
      <c r="AA350" t="s">
        <v>67</v>
      </c>
      <c r="AB350" t="s">
        <v>67</v>
      </c>
      <c r="AC350">
        <v>475</v>
      </c>
      <c r="AD350" t="s">
        <v>67</v>
      </c>
      <c r="AE350">
        <v>44</v>
      </c>
      <c r="AF350" t="s">
        <v>67</v>
      </c>
      <c r="AG350" t="s">
        <v>67</v>
      </c>
      <c r="AH350" t="s">
        <v>67</v>
      </c>
      <c r="AI350">
        <v>28.8</v>
      </c>
      <c r="AJ350" t="s">
        <v>67</v>
      </c>
      <c r="AK350">
        <v>0.2</v>
      </c>
      <c r="AL350">
        <v>31.1</v>
      </c>
      <c r="AM350" t="s">
        <v>67</v>
      </c>
      <c r="AN350">
        <v>0.3</v>
      </c>
      <c r="AO350">
        <v>40</v>
      </c>
      <c r="AP350">
        <v>2.2999999999999998</v>
      </c>
      <c r="AQ350" t="s">
        <v>67</v>
      </c>
      <c r="AR350" t="s">
        <v>353</v>
      </c>
      <c r="AS350" t="s">
        <v>354</v>
      </c>
      <c r="AT350" t="s">
        <v>70</v>
      </c>
      <c r="AU350" t="s">
        <v>355</v>
      </c>
      <c r="AV350" t="s">
        <v>251</v>
      </c>
      <c r="AX350" t="s">
        <v>73</v>
      </c>
      <c r="AY350">
        <v>6.4000000000000003E-3</v>
      </c>
      <c r="AZ350">
        <v>6.3699999999999998E-3</v>
      </c>
      <c r="BA350">
        <v>2.9999999999999997E-4</v>
      </c>
      <c r="BC350">
        <v>38</v>
      </c>
      <c r="BD350">
        <v>7.1000000000000004E-3</v>
      </c>
      <c r="BE350">
        <v>7.0857139999999999E-3</v>
      </c>
      <c r="BF350">
        <v>5.0000000000000001E-4</v>
      </c>
      <c r="BH350">
        <v>35</v>
      </c>
      <c r="BI350">
        <v>31</v>
      </c>
      <c r="BJ350">
        <v>6</v>
      </c>
      <c r="BK350">
        <v>0.1067</v>
      </c>
      <c r="BL350">
        <v>6.0000000000000001E-3</v>
      </c>
    </row>
    <row r="351" spans="1:64" hidden="1" x14ac:dyDescent="0.2">
      <c r="A351">
        <v>161</v>
      </c>
      <c r="D351" t="s">
        <v>54</v>
      </c>
      <c r="E351">
        <v>2019</v>
      </c>
      <c r="F351" t="s">
        <v>174</v>
      </c>
      <c r="G351" t="s">
        <v>175</v>
      </c>
      <c r="H351" t="s">
        <v>78</v>
      </c>
      <c r="K351" t="s">
        <v>79</v>
      </c>
      <c r="L351" t="s">
        <v>176</v>
      </c>
      <c r="M351" t="s">
        <v>81</v>
      </c>
      <c r="N351" t="s">
        <v>81</v>
      </c>
      <c r="O351" t="s">
        <v>62</v>
      </c>
      <c r="P351" t="s">
        <v>63</v>
      </c>
      <c r="Q351" t="s">
        <v>74</v>
      </c>
      <c r="R351" t="s">
        <v>83</v>
      </c>
      <c r="S351" t="s">
        <v>64</v>
      </c>
      <c r="T351" t="s">
        <v>74</v>
      </c>
      <c r="U351" t="s">
        <v>84</v>
      </c>
      <c r="V351">
        <v>489</v>
      </c>
      <c r="W351" t="s">
        <v>67</v>
      </c>
      <c r="X351">
        <v>54</v>
      </c>
      <c r="Y351" t="s">
        <v>67</v>
      </c>
      <c r="Z351">
        <v>8.01</v>
      </c>
      <c r="AA351" t="s">
        <v>67</v>
      </c>
      <c r="AB351">
        <v>0.12</v>
      </c>
      <c r="AC351">
        <v>1536</v>
      </c>
      <c r="AD351" t="s">
        <v>67</v>
      </c>
      <c r="AE351">
        <v>91</v>
      </c>
      <c r="AF351">
        <v>7.63</v>
      </c>
      <c r="AG351" t="s">
        <v>67</v>
      </c>
      <c r="AH351">
        <v>0.22</v>
      </c>
      <c r="AI351">
        <v>19.600000000000001</v>
      </c>
      <c r="AJ351" t="s">
        <v>67</v>
      </c>
      <c r="AK351">
        <v>0.5</v>
      </c>
      <c r="AL351">
        <v>19.399999999999999</v>
      </c>
      <c r="AM351" t="s">
        <v>67</v>
      </c>
      <c r="AN351">
        <v>0.4</v>
      </c>
      <c r="AO351">
        <v>1047</v>
      </c>
      <c r="AP351">
        <v>-0.2</v>
      </c>
      <c r="AQ351" t="s">
        <v>67</v>
      </c>
      <c r="AR351" t="s">
        <v>341</v>
      </c>
      <c r="AS351" t="s">
        <v>278</v>
      </c>
      <c r="AT351" t="s">
        <v>135</v>
      </c>
      <c r="AU351" t="s">
        <v>342</v>
      </c>
      <c r="AV351" t="s">
        <v>132</v>
      </c>
      <c r="AX351" t="s">
        <v>73</v>
      </c>
      <c r="AY351">
        <v>789.1</v>
      </c>
      <c r="AZ351">
        <v>789.1</v>
      </c>
      <c r="BA351">
        <v>11.09</v>
      </c>
      <c r="BC351">
        <v>5</v>
      </c>
      <c r="BD351">
        <v>764.3</v>
      </c>
      <c r="BE351">
        <v>764.3</v>
      </c>
      <c r="BF351">
        <v>58.271900000000002</v>
      </c>
      <c r="BH351">
        <v>5</v>
      </c>
      <c r="BI351">
        <v>28</v>
      </c>
      <c r="BJ351">
        <v>3</v>
      </c>
      <c r="BK351">
        <v>-3.1899999999999998E-2</v>
      </c>
      <c r="BL351">
        <v>6.0000000000000001E-3</v>
      </c>
    </row>
    <row r="352" spans="1:64" hidden="1" x14ac:dyDescent="0.2">
      <c r="A352">
        <v>161</v>
      </c>
      <c r="D352" t="s">
        <v>54</v>
      </c>
      <c r="E352">
        <v>2019</v>
      </c>
      <c r="F352" t="s">
        <v>174</v>
      </c>
      <c r="G352" t="s">
        <v>175</v>
      </c>
      <c r="H352" t="s">
        <v>78</v>
      </c>
      <c r="K352" t="s">
        <v>79</v>
      </c>
      <c r="L352" t="s">
        <v>176</v>
      </c>
      <c r="M352" t="s">
        <v>81</v>
      </c>
      <c r="N352" t="s">
        <v>81</v>
      </c>
      <c r="O352" t="s">
        <v>62</v>
      </c>
      <c r="P352" t="s">
        <v>63</v>
      </c>
      <c r="Q352" t="s">
        <v>74</v>
      </c>
      <c r="R352" t="s">
        <v>83</v>
      </c>
      <c r="S352" t="s">
        <v>64</v>
      </c>
      <c r="T352" t="s">
        <v>74</v>
      </c>
      <c r="U352" t="s">
        <v>84</v>
      </c>
      <c r="V352">
        <v>489</v>
      </c>
      <c r="W352" t="s">
        <v>67</v>
      </c>
      <c r="X352">
        <v>54</v>
      </c>
      <c r="Y352" t="s">
        <v>67</v>
      </c>
      <c r="Z352">
        <v>8.01</v>
      </c>
      <c r="AA352" t="s">
        <v>67</v>
      </c>
      <c r="AB352">
        <v>0.12</v>
      </c>
      <c r="AC352">
        <v>1536</v>
      </c>
      <c r="AD352" t="s">
        <v>67</v>
      </c>
      <c r="AE352">
        <v>91</v>
      </c>
      <c r="AF352">
        <v>7.63</v>
      </c>
      <c r="AG352" t="s">
        <v>67</v>
      </c>
      <c r="AH352">
        <v>0.22</v>
      </c>
      <c r="AI352">
        <v>19.600000000000001</v>
      </c>
      <c r="AJ352" t="s">
        <v>67</v>
      </c>
      <c r="AK352">
        <v>0.5</v>
      </c>
      <c r="AL352">
        <v>19.399999999999999</v>
      </c>
      <c r="AM352" t="s">
        <v>67</v>
      </c>
      <c r="AN352">
        <v>0.4</v>
      </c>
      <c r="AO352">
        <v>1047</v>
      </c>
      <c r="AP352">
        <v>-0.2</v>
      </c>
      <c r="AQ352" t="s">
        <v>67</v>
      </c>
      <c r="AR352" t="s">
        <v>341</v>
      </c>
      <c r="AS352" t="s">
        <v>278</v>
      </c>
      <c r="AT352" t="s">
        <v>135</v>
      </c>
      <c r="AU352" t="s">
        <v>342</v>
      </c>
      <c r="AV352" t="s">
        <v>132</v>
      </c>
      <c r="AX352" t="s">
        <v>73</v>
      </c>
      <c r="AY352">
        <v>789.1</v>
      </c>
      <c r="AZ352">
        <v>789.1</v>
      </c>
      <c r="BA352">
        <v>11.09</v>
      </c>
      <c r="BC352">
        <v>5</v>
      </c>
      <c r="BD352">
        <v>764.3</v>
      </c>
      <c r="BE352">
        <v>764.3</v>
      </c>
      <c r="BF352">
        <v>58.271900000000002</v>
      </c>
      <c r="BH352">
        <v>5</v>
      </c>
      <c r="BI352">
        <v>28</v>
      </c>
      <c r="BJ352">
        <v>3</v>
      </c>
      <c r="BK352">
        <v>-3.1899999999999998E-2</v>
      </c>
      <c r="BL352">
        <v>6.0000000000000001E-3</v>
      </c>
    </row>
    <row r="353" spans="1:64" x14ac:dyDescent="0.2">
      <c r="A353">
        <v>169</v>
      </c>
      <c r="B353" t="str">
        <f>ROW()-1&amp;"_AltersFish"</f>
        <v>352_AltersFish</v>
      </c>
      <c r="C353" t="str">
        <f>A353 &amp; "_" &amp; P353 &amp; "_" &amp;
SUBSTITUTE(TRIM(L353)," ","_") &amp;
"_pH" &amp; TEXT(Z353,"0.00") &amp;
"_T" &amp; TEXT(AI353,"0.00") &amp;
"_CO2" &amp; TEXT(V353,"0") &amp;
"_LANG"</f>
        <v>169_EMBRYO_Solea_senegalensis_pH8.02_T18.20_CO2400_LANG</v>
      </c>
      <c r="D353" t="s">
        <v>54</v>
      </c>
      <c r="E353">
        <v>2014</v>
      </c>
      <c r="F353" t="s">
        <v>123</v>
      </c>
      <c r="G353" t="s">
        <v>124</v>
      </c>
      <c r="H353" t="s">
        <v>78</v>
      </c>
      <c r="I353" t="s">
        <v>540</v>
      </c>
      <c r="J353" t="s">
        <v>543</v>
      </c>
      <c r="K353" t="s">
        <v>79</v>
      </c>
      <c r="L353" t="s">
        <v>125</v>
      </c>
      <c r="M353" t="s">
        <v>126</v>
      </c>
      <c r="N353" t="s">
        <v>81</v>
      </c>
      <c r="O353" t="s">
        <v>106</v>
      </c>
      <c r="P353" t="s">
        <v>82</v>
      </c>
      <c r="Q353" t="s">
        <v>64</v>
      </c>
      <c r="R353" t="s">
        <v>83</v>
      </c>
      <c r="S353" t="s">
        <v>74</v>
      </c>
      <c r="T353" t="s">
        <v>64</v>
      </c>
      <c r="U353" t="s">
        <v>75</v>
      </c>
      <c r="V353">
        <v>400</v>
      </c>
      <c r="W353" t="s">
        <v>67</v>
      </c>
      <c r="X353">
        <v>66.709999999999994</v>
      </c>
      <c r="Y353" t="s">
        <v>68</v>
      </c>
      <c r="Z353">
        <v>8.02</v>
      </c>
      <c r="AA353" t="s">
        <v>67</v>
      </c>
      <c r="AB353">
        <v>0.04</v>
      </c>
      <c r="AC353">
        <v>425</v>
      </c>
      <c r="AD353" t="s">
        <v>67</v>
      </c>
      <c r="AE353">
        <v>19.97</v>
      </c>
      <c r="AF353">
        <v>8.0299999999999994</v>
      </c>
      <c r="AG353" t="s">
        <v>67</v>
      </c>
      <c r="AH353">
        <v>0.05</v>
      </c>
      <c r="AI353">
        <v>18.2</v>
      </c>
      <c r="AJ353" t="s">
        <v>67</v>
      </c>
      <c r="AK353">
        <v>0.4</v>
      </c>
      <c r="AL353">
        <v>22</v>
      </c>
      <c r="AM353" t="s">
        <v>67</v>
      </c>
      <c r="AN353">
        <v>0.42</v>
      </c>
      <c r="AO353">
        <v>25</v>
      </c>
      <c r="AP353">
        <v>3.8</v>
      </c>
      <c r="AQ353" t="s">
        <v>67</v>
      </c>
      <c r="AR353" t="s">
        <v>133</v>
      </c>
      <c r="AS353" t="s">
        <v>134</v>
      </c>
      <c r="AT353" t="s">
        <v>135</v>
      </c>
      <c r="AU353" t="s">
        <v>136</v>
      </c>
      <c r="AV353" t="s">
        <v>137</v>
      </c>
      <c r="AW353" t="s">
        <v>132</v>
      </c>
      <c r="AX353" t="s">
        <v>73</v>
      </c>
      <c r="AY353">
        <v>27.7941</v>
      </c>
      <c r="AZ353">
        <v>27.794119999999999</v>
      </c>
      <c r="BA353">
        <v>0.03</v>
      </c>
      <c r="BB353">
        <f>BA353*SQRT(BC353)</f>
        <v>0.09</v>
      </c>
      <c r="BC353">
        <v>9</v>
      </c>
      <c r="BD353">
        <v>36.176499999999997</v>
      </c>
      <c r="BE353">
        <v>36.176470590000001</v>
      </c>
      <c r="BF353">
        <v>1.9599999999999999E-2</v>
      </c>
      <c r="BG353">
        <f>BF353*SQRT(BH353)</f>
        <v>5.8799999999999998E-2</v>
      </c>
      <c r="BH353">
        <v>9</v>
      </c>
      <c r="BI353">
        <v>30</v>
      </c>
      <c r="BJ353">
        <v>3</v>
      </c>
      <c r="BK353">
        <v>0.2636</v>
      </c>
      <c r="BL353">
        <v>1E-4</v>
      </c>
    </row>
    <row r="354" spans="1:64" hidden="1" x14ac:dyDescent="0.2">
      <c r="A354">
        <v>147</v>
      </c>
      <c r="D354" t="s">
        <v>54</v>
      </c>
      <c r="E354">
        <v>2014</v>
      </c>
      <c r="F354" t="s">
        <v>317</v>
      </c>
      <c r="G354" t="s">
        <v>318</v>
      </c>
      <c r="H354" t="s">
        <v>78</v>
      </c>
      <c r="K354" t="s">
        <v>319</v>
      </c>
      <c r="L354" t="s">
        <v>320</v>
      </c>
      <c r="M354" t="s">
        <v>81</v>
      </c>
      <c r="N354" t="s">
        <v>81</v>
      </c>
      <c r="O354" t="s">
        <v>62</v>
      </c>
      <c r="P354" t="s">
        <v>63</v>
      </c>
      <c r="Q354" t="s">
        <v>74</v>
      </c>
      <c r="R354" t="s">
        <v>83</v>
      </c>
      <c r="S354" t="s">
        <v>64</v>
      </c>
      <c r="T354" t="s">
        <v>64</v>
      </c>
      <c r="U354" t="s">
        <v>66</v>
      </c>
      <c r="V354">
        <v>330</v>
      </c>
      <c r="W354">
        <v>9.5</v>
      </c>
      <c r="X354" t="s">
        <v>67</v>
      </c>
      <c r="Y354" t="s">
        <v>68</v>
      </c>
      <c r="Z354">
        <v>8.11</v>
      </c>
      <c r="AA354">
        <v>0.01</v>
      </c>
      <c r="AB354" t="s">
        <v>67</v>
      </c>
      <c r="AC354">
        <v>1303</v>
      </c>
      <c r="AD354">
        <v>61.5</v>
      </c>
      <c r="AE354" t="s">
        <v>67</v>
      </c>
      <c r="AF354">
        <v>7.59</v>
      </c>
      <c r="AG354">
        <v>0.02</v>
      </c>
      <c r="AH354" t="s">
        <v>67</v>
      </c>
      <c r="AI354">
        <v>5.2</v>
      </c>
      <c r="AJ354">
        <v>0.11</v>
      </c>
      <c r="AK354" t="s">
        <v>67</v>
      </c>
      <c r="AL354">
        <v>11.7</v>
      </c>
      <c r="AM354">
        <v>0.03</v>
      </c>
      <c r="AN354" t="s">
        <v>67</v>
      </c>
      <c r="AO354">
        <v>973</v>
      </c>
      <c r="AP354">
        <v>6.6</v>
      </c>
      <c r="AQ354" t="s">
        <v>67</v>
      </c>
      <c r="AR354" t="s">
        <v>360</v>
      </c>
      <c r="AS354" t="s">
        <v>361</v>
      </c>
      <c r="AT354" t="s">
        <v>70</v>
      </c>
      <c r="AU354" t="s">
        <v>362</v>
      </c>
      <c r="AV354" t="s">
        <v>363</v>
      </c>
      <c r="AX354" t="s">
        <v>73</v>
      </c>
      <c r="AY354">
        <v>170.63659999999999</v>
      </c>
      <c r="AZ354">
        <v>170.63655</v>
      </c>
      <c r="BA354">
        <v>11.09</v>
      </c>
      <c r="BC354">
        <v>8</v>
      </c>
      <c r="BD354">
        <v>210.88300000000001</v>
      </c>
      <c r="BE354">
        <v>210.88295690000001</v>
      </c>
      <c r="BF354">
        <v>9.0349000000000004</v>
      </c>
      <c r="BH354">
        <v>8</v>
      </c>
      <c r="BI354">
        <v>105</v>
      </c>
      <c r="BJ354">
        <v>2</v>
      </c>
      <c r="BK354">
        <v>0.21179999999999999</v>
      </c>
      <c r="BL354">
        <v>6.1000000000000004E-3</v>
      </c>
    </row>
    <row r="355" spans="1:64" hidden="1" x14ac:dyDescent="0.2">
      <c r="A355">
        <v>163</v>
      </c>
      <c r="D355" t="s">
        <v>54</v>
      </c>
      <c r="E355">
        <v>2018</v>
      </c>
      <c r="F355" t="s">
        <v>273</v>
      </c>
      <c r="G355" t="s">
        <v>230</v>
      </c>
      <c r="H355" t="s">
        <v>78</v>
      </c>
      <c r="K355" t="s">
        <v>79</v>
      </c>
      <c r="L355" t="s">
        <v>274</v>
      </c>
      <c r="M355" t="s">
        <v>95</v>
      </c>
      <c r="N355" t="s">
        <v>61</v>
      </c>
      <c r="O355" t="s">
        <v>62</v>
      </c>
      <c r="P355" t="s">
        <v>63</v>
      </c>
      <c r="Q355" t="s">
        <v>64</v>
      </c>
      <c r="R355" t="s">
        <v>65</v>
      </c>
      <c r="S355" t="s">
        <v>64</v>
      </c>
      <c r="T355" t="s">
        <v>64</v>
      </c>
      <c r="U355" t="s">
        <v>66</v>
      </c>
      <c r="V355">
        <v>435</v>
      </c>
      <c r="W355" t="s">
        <v>67</v>
      </c>
      <c r="X355">
        <v>38</v>
      </c>
      <c r="Y355" t="s">
        <v>67</v>
      </c>
      <c r="Z355" t="s">
        <v>67</v>
      </c>
      <c r="AA355" t="s">
        <v>67</v>
      </c>
      <c r="AB355" t="s">
        <v>67</v>
      </c>
      <c r="AC355">
        <v>981</v>
      </c>
      <c r="AD355" t="s">
        <v>67</v>
      </c>
      <c r="AE355">
        <v>8</v>
      </c>
      <c r="AF355" t="s">
        <v>67</v>
      </c>
      <c r="AG355" t="s">
        <v>67</v>
      </c>
      <c r="AH355" t="s">
        <v>67</v>
      </c>
      <c r="AI355">
        <v>28.8</v>
      </c>
      <c r="AJ355" t="s">
        <v>67</v>
      </c>
      <c r="AK355">
        <v>0.2</v>
      </c>
      <c r="AL355">
        <v>31.1</v>
      </c>
      <c r="AM355" t="s">
        <v>67</v>
      </c>
      <c r="AN355">
        <v>0.3</v>
      </c>
      <c r="AO355">
        <v>546</v>
      </c>
      <c r="AP355">
        <v>2.2999999999999998</v>
      </c>
      <c r="AQ355" t="s">
        <v>67</v>
      </c>
      <c r="AR355" t="s">
        <v>87</v>
      </c>
      <c r="AS355" t="s">
        <v>88</v>
      </c>
      <c r="AT355" t="s">
        <v>70</v>
      </c>
      <c r="AU355" t="s">
        <v>89</v>
      </c>
      <c r="AV355" t="s">
        <v>88</v>
      </c>
      <c r="AX355" t="s">
        <v>90</v>
      </c>
      <c r="AY355">
        <v>85.3125</v>
      </c>
      <c r="AZ355">
        <v>85.3125</v>
      </c>
      <c r="BA355">
        <v>1.8103</v>
      </c>
      <c r="BC355">
        <v>8</v>
      </c>
      <c r="BD355">
        <v>80.012500000000003</v>
      </c>
      <c r="BE355">
        <v>80.012500000000003</v>
      </c>
      <c r="BF355">
        <v>6.0021000000000004</v>
      </c>
      <c r="BH355">
        <v>8</v>
      </c>
      <c r="BI355">
        <v>77</v>
      </c>
      <c r="BJ355">
        <v>6</v>
      </c>
      <c r="BK355">
        <v>-6.4100000000000004E-2</v>
      </c>
      <c r="BL355">
        <v>6.1000000000000004E-3</v>
      </c>
    </row>
    <row r="356" spans="1:64" hidden="1" x14ac:dyDescent="0.2">
      <c r="A356">
        <v>164</v>
      </c>
      <c r="D356" t="s">
        <v>54</v>
      </c>
      <c r="E356">
        <v>2017</v>
      </c>
      <c r="F356" t="s">
        <v>371</v>
      </c>
      <c r="G356" t="s">
        <v>224</v>
      </c>
      <c r="H356" t="s">
        <v>78</v>
      </c>
      <c r="K356" t="s">
        <v>79</v>
      </c>
      <c r="L356" t="s">
        <v>225</v>
      </c>
      <c r="M356" t="s">
        <v>120</v>
      </c>
      <c r="N356" t="s">
        <v>120</v>
      </c>
      <c r="O356" t="s">
        <v>110</v>
      </c>
      <c r="P356" t="s">
        <v>63</v>
      </c>
      <c r="Q356" t="s">
        <v>64</v>
      </c>
      <c r="R356" t="s">
        <v>83</v>
      </c>
      <c r="S356" t="s">
        <v>64</v>
      </c>
      <c r="T356" t="s">
        <v>74</v>
      </c>
      <c r="U356" t="s">
        <v>84</v>
      </c>
      <c r="V356">
        <v>435</v>
      </c>
      <c r="W356" t="s">
        <v>67</v>
      </c>
      <c r="X356">
        <v>19</v>
      </c>
      <c r="Y356" t="s">
        <v>157</v>
      </c>
      <c r="Z356">
        <v>8.01</v>
      </c>
      <c r="AA356" t="s">
        <v>67</v>
      </c>
      <c r="AB356">
        <v>0.02</v>
      </c>
      <c r="AC356">
        <v>1076</v>
      </c>
      <c r="AD356" t="s">
        <v>67</v>
      </c>
      <c r="AE356">
        <v>73</v>
      </c>
      <c r="AF356">
        <v>7.64</v>
      </c>
      <c r="AG356" t="s">
        <v>67</v>
      </c>
      <c r="AH356">
        <v>0.03</v>
      </c>
      <c r="AI356">
        <v>5.7</v>
      </c>
      <c r="AJ356" t="s">
        <v>67</v>
      </c>
      <c r="AK356">
        <v>0.23</v>
      </c>
      <c r="AL356">
        <v>5.7</v>
      </c>
      <c r="AM356" t="s">
        <v>67</v>
      </c>
      <c r="AN356">
        <v>0.24</v>
      </c>
      <c r="AO356">
        <v>641</v>
      </c>
      <c r="AP356">
        <v>0</v>
      </c>
      <c r="AQ356" t="s">
        <v>67</v>
      </c>
      <c r="AR356" t="s">
        <v>293</v>
      </c>
      <c r="AS356" t="s">
        <v>293</v>
      </c>
      <c r="AT356" t="s">
        <v>70</v>
      </c>
      <c r="AU356" t="s">
        <v>310</v>
      </c>
      <c r="AV356" t="s">
        <v>72</v>
      </c>
      <c r="AX356" t="s">
        <v>73</v>
      </c>
      <c r="AY356">
        <v>21.8</v>
      </c>
      <c r="AZ356">
        <v>21.8</v>
      </c>
      <c r="BA356">
        <v>0.83720000000000006</v>
      </c>
      <c r="BC356">
        <v>12</v>
      </c>
      <c r="BD356">
        <v>25.8</v>
      </c>
      <c r="BE356">
        <v>25.8</v>
      </c>
      <c r="BF356">
        <v>1.7608999999999999</v>
      </c>
      <c r="BH356">
        <v>12</v>
      </c>
      <c r="BI356">
        <v>50</v>
      </c>
      <c r="BJ356">
        <v>8</v>
      </c>
      <c r="BK356">
        <v>0.16850000000000001</v>
      </c>
      <c r="BL356">
        <v>6.1000000000000004E-3</v>
      </c>
    </row>
    <row r="357" spans="1:64" hidden="1" x14ac:dyDescent="0.2">
      <c r="A357">
        <v>135</v>
      </c>
      <c r="D357" t="s">
        <v>54</v>
      </c>
      <c r="E357">
        <v>2012</v>
      </c>
      <c r="F357" t="s">
        <v>219</v>
      </c>
      <c r="G357" t="s">
        <v>220</v>
      </c>
      <c r="H357" t="s">
        <v>78</v>
      </c>
      <c r="K357" t="s">
        <v>194</v>
      </c>
      <c r="L357" t="s">
        <v>221</v>
      </c>
      <c r="M357" t="s">
        <v>120</v>
      </c>
      <c r="N357" t="s">
        <v>120</v>
      </c>
      <c r="O357" t="s">
        <v>62</v>
      </c>
      <c r="P357" t="s">
        <v>196</v>
      </c>
      <c r="Q357" t="s">
        <v>64</v>
      </c>
      <c r="R357" t="s">
        <v>83</v>
      </c>
      <c r="S357" t="s">
        <v>64</v>
      </c>
      <c r="T357" t="s">
        <v>64</v>
      </c>
      <c r="U357" t="s">
        <v>66</v>
      </c>
      <c r="V357">
        <v>357</v>
      </c>
      <c r="W357">
        <v>18.260000000000002</v>
      </c>
      <c r="X357" t="s">
        <v>67</v>
      </c>
      <c r="Y357" t="s">
        <v>96</v>
      </c>
      <c r="Z357">
        <v>8.25</v>
      </c>
      <c r="AA357">
        <v>0.02</v>
      </c>
      <c r="AB357" t="s">
        <v>67</v>
      </c>
      <c r="AC357">
        <v>2019</v>
      </c>
      <c r="AD357">
        <v>26.93</v>
      </c>
      <c r="AE357" t="s">
        <v>67</v>
      </c>
      <c r="AF357">
        <v>7.49</v>
      </c>
      <c r="AG357">
        <v>0.01</v>
      </c>
      <c r="AH357" t="s">
        <v>67</v>
      </c>
      <c r="AI357">
        <v>1.5</v>
      </c>
      <c r="AJ357">
        <v>0.09</v>
      </c>
      <c r="AK357" t="s">
        <v>67</v>
      </c>
      <c r="AL357">
        <v>6.9</v>
      </c>
      <c r="AM357">
        <v>0.06</v>
      </c>
      <c r="AN357" t="s">
        <v>67</v>
      </c>
      <c r="AO357">
        <v>1662</v>
      </c>
      <c r="AP357">
        <v>5.4</v>
      </c>
      <c r="AQ357" t="s">
        <v>67</v>
      </c>
      <c r="AR357" t="s">
        <v>372</v>
      </c>
      <c r="AS357" t="s">
        <v>322</v>
      </c>
      <c r="AT357" t="s">
        <v>70</v>
      </c>
      <c r="AU357" t="s">
        <v>67</v>
      </c>
      <c r="AV357" t="s">
        <v>132</v>
      </c>
      <c r="AX357" t="s">
        <v>73</v>
      </c>
      <c r="AY357">
        <v>28</v>
      </c>
      <c r="AZ357">
        <v>28</v>
      </c>
      <c r="BA357">
        <v>2</v>
      </c>
      <c r="BC357">
        <v>9</v>
      </c>
      <c r="BD357">
        <v>31</v>
      </c>
      <c r="BE357">
        <v>31</v>
      </c>
      <c r="BF357">
        <v>1</v>
      </c>
      <c r="BH357">
        <v>10</v>
      </c>
      <c r="BI357">
        <v>32</v>
      </c>
      <c r="BJ357">
        <v>1</v>
      </c>
      <c r="BK357">
        <v>0.1018</v>
      </c>
      <c r="BL357">
        <v>6.1000000000000004E-3</v>
      </c>
    </row>
    <row r="358" spans="1:64" hidden="1" x14ac:dyDescent="0.2">
      <c r="A358">
        <v>147</v>
      </c>
      <c r="D358" t="s">
        <v>54</v>
      </c>
      <c r="E358">
        <v>2014</v>
      </c>
      <c r="F358" t="s">
        <v>317</v>
      </c>
      <c r="G358" t="s">
        <v>318</v>
      </c>
      <c r="H358" t="s">
        <v>78</v>
      </c>
      <c r="K358" t="s">
        <v>319</v>
      </c>
      <c r="L358" t="s">
        <v>320</v>
      </c>
      <c r="M358" t="s">
        <v>81</v>
      </c>
      <c r="N358" t="s">
        <v>81</v>
      </c>
      <c r="O358" t="s">
        <v>62</v>
      </c>
      <c r="P358" t="s">
        <v>63</v>
      </c>
      <c r="Q358" t="s">
        <v>74</v>
      </c>
      <c r="R358" t="s">
        <v>83</v>
      </c>
      <c r="S358" t="s">
        <v>74</v>
      </c>
      <c r="T358" t="s">
        <v>64</v>
      </c>
      <c r="U358" t="s">
        <v>75</v>
      </c>
      <c r="V358">
        <v>330</v>
      </c>
      <c r="W358">
        <v>9.5</v>
      </c>
      <c r="X358" t="s">
        <v>67</v>
      </c>
      <c r="Y358" t="s">
        <v>68</v>
      </c>
      <c r="Z358">
        <v>8.11</v>
      </c>
      <c r="AA358">
        <v>0.01</v>
      </c>
      <c r="AB358" t="s">
        <v>67</v>
      </c>
      <c r="AC358">
        <v>473</v>
      </c>
      <c r="AD358">
        <v>12</v>
      </c>
      <c r="AE358" t="s">
        <v>67</v>
      </c>
      <c r="AF358">
        <v>7.99</v>
      </c>
      <c r="AG358">
        <v>0.01</v>
      </c>
      <c r="AH358" t="s">
        <v>67</v>
      </c>
      <c r="AI358">
        <v>5.2</v>
      </c>
      <c r="AJ358">
        <v>0.11</v>
      </c>
      <c r="AK358" t="s">
        <v>67</v>
      </c>
      <c r="AL358">
        <v>11.7</v>
      </c>
      <c r="AM358">
        <v>0.02</v>
      </c>
      <c r="AN358" t="s">
        <v>67</v>
      </c>
      <c r="AO358">
        <v>143</v>
      </c>
      <c r="AP358">
        <v>6.6</v>
      </c>
      <c r="AQ358" t="s">
        <v>67</v>
      </c>
      <c r="AR358" t="s">
        <v>360</v>
      </c>
      <c r="AS358" t="s">
        <v>361</v>
      </c>
      <c r="AT358" t="s">
        <v>70</v>
      </c>
      <c r="AU358" t="s">
        <v>362</v>
      </c>
      <c r="AV358" t="s">
        <v>363</v>
      </c>
      <c r="AX358" t="s">
        <v>73</v>
      </c>
      <c r="AY358">
        <v>170.63659999999999</v>
      </c>
      <c r="AZ358">
        <v>170.63655</v>
      </c>
      <c r="BA358">
        <v>11.09</v>
      </c>
      <c r="BC358">
        <v>8</v>
      </c>
      <c r="BD358">
        <v>189.9384</v>
      </c>
      <c r="BE358">
        <v>189.93839840000001</v>
      </c>
      <c r="BF358">
        <v>8.6242000000000001</v>
      </c>
      <c r="BH358">
        <v>8</v>
      </c>
      <c r="BI358">
        <v>105</v>
      </c>
      <c r="BJ358">
        <v>2</v>
      </c>
      <c r="BK358">
        <v>0.1072</v>
      </c>
      <c r="BL358">
        <v>6.3E-3</v>
      </c>
    </row>
    <row r="359" spans="1:64" hidden="1" x14ac:dyDescent="0.2">
      <c r="A359">
        <v>150</v>
      </c>
      <c r="D359" t="s">
        <v>54</v>
      </c>
      <c r="E359">
        <v>2016</v>
      </c>
      <c r="F359" t="s">
        <v>373</v>
      </c>
      <c r="G359" t="s">
        <v>348</v>
      </c>
      <c r="H359" t="s">
        <v>57</v>
      </c>
      <c r="K359" t="s">
        <v>58</v>
      </c>
      <c r="L359" t="s">
        <v>59</v>
      </c>
      <c r="M359" t="s">
        <v>95</v>
      </c>
      <c r="N359" t="s">
        <v>61</v>
      </c>
      <c r="O359" t="s">
        <v>62</v>
      </c>
      <c r="P359" t="s">
        <v>63</v>
      </c>
      <c r="Q359" t="s">
        <v>64</v>
      </c>
      <c r="R359" t="s">
        <v>65</v>
      </c>
      <c r="S359" t="s">
        <v>64</v>
      </c>
      <c r="T359" t="s">
        <v>64</v>
      </c>
      <c r="U359" t="s">
        <v>66</v>
      </c>
      <c r="V359">
        <v>372</v>
      </c>
      <c r="W359" t="s">
        <v>67</v>
      </c>
      <c r="X359">
        <v>51.93</v>
      </c>
      <c r="Y359" t="s">
        <v>68</v>
      </c>
      <c r="Z359">
        <v>8.02</v>
      </c>
      <c r="AA359" t="s">
        <v>67</v>
      </c>
      <c r="AB359">
        <v>0.05</v>
      </c>
      <c r="AC359">
        <v>1481</v>
      </c>
      <c r="AD359" t="s">
        <v>67</v>
      </c>
      <c r="AE359">
        <v>107.72</v>
      </c>
      <c r="AF359">
        <v>7.49</v>
      </c>
      <c r="AG359" t="s">
        <v>67</v>
      </c>
      <c r="AH359">
        <v>0.03</v>
      </c>
      <c r="AI359">
        <v>25.9</v>
      </c>
      <c r="AJ359" t="s">
        <v>67</v>
      </c>
      <c r="AK359">
        <v>0.7</v>
      </c>
      <c r="AL359">
        <v>30.1</v>
      </c>
      <c r="AM359" t="s">
        <v>67</v>
      </c>
      <c r="AN359">
        <v>0.5</v>
      </c>
      <c r="AO359">
        <v>1109</v>
      </c>
      <c r="AP359">
        <v>4.2</v>
      </c>
      <c r="AQ359" t="s">
        <v>374</v>
      </c>
      <c r="AR359" t="s">
        <v>375</v>
      </c>
      <c r="AS359" t="s">
        <v>178</v>
      </c>
      <c r="AT359" t="s">
        <v>70</v>
      </c>
      <c r="AU359" t="s">
        <v>376</v>
      </c>
      <c r="AV359" t="s">
        <v>132</v>
      </c>
      <c r="AX359" t="s">
        <v>73</v>
      </c>
      <c r="AY359">
        <v>2.5139999999999998</v>
      </c>
      <c r="AZ359">
        <v>2.51397</v>
      </c>
      <c r="BA359">
        <v>0.11</v>
      </c>
      <c r="BC359">
        <v>6</v>
      </c>
      <c r="BD359">
        <v>3.3892000000000002</v>
      </c>
      <c r="BE359">
        <v>3.3891992549999999</v>
      </c>
      <c r="BF359">
        <v>0.2205</v>
      </c>
      <c r="BH359">
        <v>6</v>
      </c>
      <c r="BI359">
        <v>30</v>
      </c>
      <c r="BJ359">
        <v>3</v>
      </c>
      <c r="BK359">
        <v>0.29870000000000002</v>
      </c>
      <c r="BL359">
        <v>6.3E-3</v>
      </c>
    </row>
    <row r="360" spans="1:64" hidden="1" x14ac:dyDescent="0.2">
      <c r="A360">
        <v>135</v>
      </c>
      <c r="D360" t="s">
        <v>54</v>
      </c>
      <c r="E360">
        <v>2012</v>
      </c>
      <c r="F360" t="s">
        <v>219</v>
      </c>
      <c r="G360" t="s">
        <v>220</v>
      </c>
      <c r="H360" t="s">
        <v>78</v>
      </c>
      <c r="K360" t="s">
        <v>194</v>
      </c>
      <c r="L360" t="s">
        <v>221</v>
      </c>
      <c r="M360" t="s">
        <v>120</v>
      </c>
      <c r="N360" t="s">
        <v>120</v>
      </c>
      <c r="O360" t="s">
        <v>62</v>
      </c>
      <c r="P360" t="s">
        <v>196</v>
      </c>
      <c r="Q360" t="s">
        <v>64</v>
      </c>
      <c r="R360" t="s">
        <v>83</v>
      </c>
      <c r="S360" t="s">
        <v>64</v>
      </c>
      <c r="T360" t="s">
        <v>74</v>
      </c>
      <c r="U360" t="s">
        <v>84</v>
      </c>
      <c r="V360">
        <v>357</v>
      </c>
      <c r="W360">
        <v>18.260000000000002</v>
      </c>
      <c r="X360" t="s">
        <v>67</v>
      </c>
      <c r="Y360" t="s">
        <v>96</v>
      </c>
      <c r="Z360">
        <v>8.25</v>
      </c>
      <c r="AA360">
        <v>0.02</v>
      </c>
      <c r="AB360" t="s">
        <v>67</v>
      </c>
      <c r="AC360">
        <v>2179</v>
      </c>
      <c r="AD360">
        <v>54.5</v>
      </c>
      <c r="AE360" t="s">
        <v>67</v>
      </c>
      <c r="AF360">
        <v>7.46</v>
      </c>
      <c r="AG360">
        <v>0.02</v>
      </c>
      <c r="AH360" t="s">
        <v>67</v>
      </c>
      <c r="AI360">
        <v>1.5</v>
      </c>
      <c r="AJ360">
        <v>0.09</v>
      </c>
      <c r="AK360" t="s">
        <v>67</v>
      </c>
      <c r="AL360">
        <v>1.4</v>
      </c>
      <c r="AM360">
        <v>0.17</v>
      </c>
      <c r="AN360" t="s">
        <v>67</v>
      </c>
      <c r="AO360">
        <v>1822</v>
      </c>
      <c r="AP360">
        <v>-0.1</v>
      </c>
      <c r="AQ360" t="s">
        <v>67</v>
      </c>
      <c r="AR360" t="s">
        <v>372</v>
      </c>
      <c r="AS360" t="s">
        <v>322</v>
      </c>
      <c r="AT360" t="s">
        <v>70</v>
      </c>
      <c r="AU360" t="s">
        <v>67</v>
      </c>
      <c r="AV360" t="s">
        <v>132</v>
      </c>
      <c r="AX360" t="s">
        <v>73</v>
      </c>
      <c r="AY360">
        <v>28</v>
      </c>
      <c r="AZ360">
        <v>28</v>
      </c>
      <c r="BA360">
        <v>2</v>
      </c>
      <c r="BC360">
        <v>9</v>
      </c>
      <c r="BD360">
        <v>29</v>
      </c>
      <c r="BE360">
        <v>29</v>
      </c>
      <c r="BF360">
        <v>1</v>
      </c>
      <c r="BH360">
        <v>10</v>
      </c>
      <c r="BI360">
        <v>32</v>
      </c>
      <c r="BJ360">
        <v>1</v>
      </c>
      <c r="BK360">
        <v>3.5099999999999999E-2</v>
      </c>
      <c r="BL360">
        <v>6.3E-3</v>
      </c>
    </row>
    <row r="361" spans="1:64" hidden="1" x14ac:dyDescent="0.2">
      <c r="A361">
        <v>149</v>
      </c>
      <c r="D361" t="s">
        <v>54</v>
      </c>
      <c r="E361">
        <v>2020</v>
      </c>
      <c r="F361" t="s">
        <v>377</v>
      </c>
      <c r="G361" t="s">
        <v>378</v>
      </c>
      <c r="H361" t="s">
        <v>78</v>
      </c>
      <c r="K361" t="s">
        <v>379</v>
      </c>
      <c r="L361" t="s">
        <v>380</v>
      </c>
      <c r="M361" t="s">
        <v>81</v>
      </c>
      <c r="N361" t="s">
        <v>81</v>
      </c>
      <c r="O361" t="s">
        <v>110</v>
      </c>
      <c r="P361" t="s">
        <v>196</v>
      </c>
      <c r="Q361" t="s">
        <v>64</v>
      </c>
      <c r="R361" t="s">
        <v>83</v>
      </c>
      <c r="S361" t="s">
        <v>64</v>
      </c>
      <c r="T361" t="s">
        <v>74</v>
      </c>
      <c r="U361" t="s">
        <v>84</v>
      </c>
      <c r="V361">
        <v>391</v>
      </c>
      <c r="W361" t="s">
        <v>67</v>
      </c>
      <c r="X361" t="s">
        <v>67</v>
      </c>
      <c r="Y361" t="s">
        <v>157</v>
      </c>
      <c r="Z361">
        <v>8.07</v>
      </c>
      <c r="AA361" t="s">
        <v>67</v>
      </c>
      <c r="AB361" t="s">
        <v>67</v>
      </c>
      <c r="AC361">
        <v>1238</v>
      </c>
      <c r="AD361" t="s">
        <v>67</v>
      </c>
      <c r="AE361" t="s">
        <v>67</v>
      </c>
      <c r="AF361">
        <v>7.6</v>
      </c>
      <c r="AG361" t="s">
        <v>67</v>
      </c>
      <c r="AH361" t="s">
        <v>67</v>
      </c>
      <c r="AI361">
        <v>19.100000000000001</v>
      </c>
      <c r="AJ361" t="s">
        <v>67</v>
      </c>
      <c r="AK361" t="s">
        <v>67</v>
      </c>
      <c r="AL361">
        <v>19.100000000000001</v>
      </c>
      <c r="AM361" t="s">
        <v>67</v>
      </c>
      <c r="AN361" t="s">
        <v>67</v>
      </c>
      <c r="AO361">
        <v>847</v>
      </c>
      <c r="AP361">
        <v>0</v>
      </c>
      <c r="AQ361" t="s">
        <v>67</v>
      </c>
      <c r="AR361" t="s">
        <v>381</v>
      </c>
      <c r="AS361" t="s">
        <v>301</v>
      </c>
      <c r="AT361" t="s">
        <v>70</v>
      </c>
      <c r="AU361" t="s">
        <v>67</v>
      </c>
      <c r="AV361" t="s">
        <v>151</v>
      </c>
      <c r="AX361" t="s">
        <v>73</v>
      </c>
      <c r="AY361">
        <v>401</v>
      </c>
      <c r="AZ361">
        <v>401</v>
      </c>
      <c r="BA361">
        <v>26</v>
      </c>
      <c r="BC361">
        <v>8</v>
      </c>
      <c r="BD361">
        <v>389</v>
      </c>
      <c r="BE361">
        <v>389</v>
      </c>
      <c r="BF361">
        <v>18</v>
      </c>
      <c r="BH361">
        <v>8</v>
      </c>
      <c r="BI361">
        <v>30</v>
      </c>
      <c r="BJ361">
        <v>8</v>
      </c>
      <c r="BK361">
        <v>-3.04E-2</v>
      </c>
      <c r="BL361">
        <v>6.3E-3</v>
      </c>
    </row>
    <row r="362" spans="1:64" x14ac:dyDescent="0.2">
      <c r="A362">
        <v>169</v>
      </c>
      <c r="B362" t="str">
        <f>ROW()-1&amp;"_AltersFish"</f>
        <v>361_AltersFish</v>
      </c>
      <c r="C362" t="str">
        <f>A362 &amp; "_" &amp; P362 &amp; "_" &amp;
SUBSTITUTE(TRIM(L362)," ","_") &amp;
"_pH" &amp; TEXT(Z362,"0.00") &amp;
"_T" &amp; TEXT(AI362,"0.00") &amp;
"_CO2" &amp; TEXT(V362,"0") &amp;
"_LANG"</f>
        <v>169_EMBRYO_Solea_senegalensis_pH8.02_T18.20_CO2400_LANG</v>
      </c>
      <c r="D362" t="s">
        <v>54</v>
      </c>
      <c r="E362">
        <v>2014</v>
      </c>
      <c r="F362" t="s">
        <v>123</v>
      </c>
      <c r="G362" t="s">
        <v>124</v>
      </c>
      <c r="H362" t="s">
        <v>78</v>
      </c>
      <c r="I362" t="s">
        <v>540</v>
      </c>
      <c r="J362" t="s">
        <v>543</v>
      </c>
      <c r="K362" t="s">
        <v>79</v>
      </c>
      <c r="L362" t="s">
        <v>125</v>
      </c>
      <c r="M362" t="s">
        <v>126</v>
      </c>
      <c r="N362" t="s">
        <v>81</v>
      </c>
      <c r="O362" t="s">
        <v>106</v>
      </c>
      <c r="P362" t="s">
        <v>82</v>
      </c>
      <c r="Q362" t="s">
        <v>64</v>
      </c>
      <c r="R362" t="s">
        <v>83</v>
      </c>
      <c r="S362" t="s">
        <v>64</v>
      </c>
      <c r="T362" t="s">
        <v>74</v>
      </c>
      <c r="U362" t="s">
        <v>84</v>
      </c>
      <c r="V362">
        <v>400</v>
      </c>
      <c r="W362" t="s">
        <v>67</v>
      </c>
      <c r="X362">
        <v>66.709999999999994</v>
      </c>
      <c r="Y362" t="s">
        <v>68</v>
      </c>
      <c r="Z362">
        <v>8.02</v>
      </c>
      <c r="AA362" t="s">
        <v>67</v>
      </c>
      <c r="AB362">
        <v>0.04</v>
      </c>
      <c r="AC362">
        <v>1608</v>
      </c>
      <c r="AD362" t="s">
        <v>67</v>
      </c>
      <c r="AE362">
        <v>24.78</v>
      </c>
      <c r="AF362">
        <v>7.5</v>
      </c>
      <c r="AG362" t="s">
        <v>67</v>
      </c>
      <c r="AH362">
        <v>0.03</v>
      </c>
      <c r="AI362">
        <v>18.2</v>
      </c>
      <c r="AJ362" t="s">
        <v>67</v>
      </c>
      <c r="AK362">
        <v>0.4</v>
      </c>
      <c r="AL362">
        <v>18.2</v>
      </c>
      <c r="AM362" t="s">
        <v>67</v>
      </c>
      <c r="AN362">
        <v>0.28999999999999998</v>
      </c>
      <c r="AO362">
        <v>1208</v>
      </c>
      <c r="AP362">
        <v>-0.1</v>
      </c>
      <c r="AQ362" t="s">
        <v>67</v>
      </c>
      <c r="AR362" t="s">
        <v>133</v>
      </c>
      <c r="AS362" t="s">
        <v>134</v>
      </c>
      <c r="AT362" t="s">
        <v>135</v>
      </c>
      <c r="AU362" t="s">
        <v>136</v>
      </c>
      <c r="AV362" t="s">
        <v>137</v>
      </c>
      <c r="AW362" t="s">
        <v>132</v>
      </c>
      <c r="AX362" t="s">
        <v>73</v>
      </c>
      <c r="AY362">
        <v>27.7941</v>
      </c>
      <c r="AZ362">
        <v>27.794119999999999</v>
      </c>
      <c r="BA362">
        <v>0.03</v>
      </c>
      <c r="BB362">
        <f>BA362*SQRT(BC362)</f>
        <v>0.09</v>
      </c>
      <c r="BC362">
        <v>9</v>
      </c>
      <c r="BD362">
        <v>21.176500000000001</v>
      </c>
      <c r="BE362">
        <v>21.176470590000001</v>
      </c>
      <c r="BF362">
        <v>1.72E-2</v>
      </c>
      <c r="BG362">
        <f>BF362*SQRT(BH362)</f>
        <v>5.16E-2</v>
      </c>
      <c r="BH362">
        <v>9</v>
      </c>
      <c r="BI362">
        <v>30</v>
      </c>
      <c r="BJ362">
        <v>3</v>
      </c>
      <c r="BK362">
        <v>-0.27189999999999998</v>
      </c>
      <c r="BL362">
        <v>1E-4</v>
      </c>
    </row>
    <row r="363" spans="1:64" hidden="1" x14ac:dyDescent="0.2">
      <c r="A363">
        <v>146</v>
      </c>
      <c r="D363" t="s">
        <v>54</v>
      </c>
      <c r="E363">
        <v>2016</v>
      </c>
      <c r="F363" t="s">
        <v>347</v>
      </c>
      <c r="G363" t="s">
        <v>348</v>
      </c>
      <c r="H363" t="s">
        <v>78</v>
      </c>
      <c r="K363" t="s">
        <v>349</v>
      </c>
      <c r="L363" t="s">
        <v>125</v>
      </c>
      <c r="M363" t="s">
        <v>126</v>
      </c>
      <c r="N363" t="s">
        <v>81</v>
      </c>
      <c r="O363" t="s">
        <v>62</v>
      </c>
      <c r="P363" t="s">
        <v>63</v>
      </c>
      <c r="Q363" t="s">
        <v>74</v>
      </c>
      <c r="R363" t="s">
        <v>83</v>
      </c>
      <c r="S363" t="s">
        <v>74</v>
      </c>
      <c r="T363" t="s">
        <v>64</v>
      </c>
      <c r="U363" t="s">
        <v>75</v>
      </c>
      <c r="V363">
        <v>360</v>
      </c>
      <c r="W363" t="s">
        <v>67</v>
      </c>
      <c r="X363">
        <v>35.299999999999997</v>
      </c>
      <c r="Y363" t="s">
        <v>68</v>
      </c>
      <c r="Z363">
        <v>8.01</v>
      </c>
      <c r="AA363" t="s">
        <v>67</v>
      </c>
      <c r="AB363">
        <v>0.04</v>
      </c>
      <c r="AC363">
        <v>348</v>
      </c>
      <c r="AD363" t="s">
        <v>67</v>
      </c>
      <c r="AE363">
        <v>37.1</v>
      </c>
      <c r="AF363">
        <v>8</v>
      </c>
      <c r="AG363" t="s">
        <v>67</v>
      </c>
      <c r="AH363">
        <v>0.03</v>
      </c>
      <c r="AI363">
        <v>19.2</v>
      </c>
      <c r="AJ363" t="s">
        <v>67</v>
      </c>
      <c r="AK363">
        <v>0.3</v>
      </c>
      <c r="AL363">
        <v>23</v>
      </c>
      <c r="AM363" t="s">
        <v>67</v>
      </c>
      <c r="AN363">
        <v>0.28999999999999998</v>
      </c>
      <c r="AO363">
        <v>-12</v>
      </c>
      <c r="AP363">
        <v>3.8</v>
      </c>
      <c r="AQ363" t="s">
        <v>350</v>
      </c>
      <c r="AR363" t="s">
        <v>351</v>
      </c>
      <c r="AS363" t="s">
        <v>351</v>
      </c>
      <c r="AT363" t="s">
        <v>135</v>
      </c>
      <c r="AU363" t="s">
        <v>352</v>
      </c>
      <c r="AV363" t="s">
        <v>251</v>
      </c>
      <c r="AX363" t="s">
        <v>73</v>
      </c>
      <c r="AY363">
        <v>167</v>
      </c>
      <c r="AZ363">
        <v>167</v>
      </c>
      <c r="BA363">
        <v>7</v>
      </c>
      <c r="BC363">
        <v>10</v>
      </c>
      <c r="BD363">
        <v>160</v>
      </c>
      <c r="BE363">
        <v>160</v>
      </c>
      <c r="BF363">
        <v>11</v>
      </c>
      <c r="BH363">
        <v>10</v>
      </c>
      <c r="BI363">
        <v>28</v>
      </c>
      <c r="BJ363">
        <v>6</v>
      </c>
      <c r="BK363">
        <v>-4.2799999999999998E-2</v>
      </c>
      <c r="BL363">
        <v>6.4999999999999997E-3</v>
      </c>
    </row>
    <row r="364" spans="1:64" hidden="1" x14ac:dyDescent="0.2">
      <c r="A364">
        <v>147</v>
      </c>
      <c r="D364" t="s">
        <v>54</v>
      </c>
      <c r="E364">
        <v>2014</v>
      </c>
      <c r="F364" t="s">
        <v>317</v>
      </c>
      <c r="G364" t="s">
        <v>318</v>
      </c>
      <c r="H364" t="s">
        <v>78</v>
      </c>
      <c r="K364" t="s">
        <v>319</v>
      </c>
      <c r="L364" t="s">
        <v>320</v>
      </c>
      <c r="M364" t="s">
        <v>81</v>
      </c>
      <c r="N364" t="s">
        <v>81</v>
      </c>
      <c r="O364" t="s">
        <v>62</v>
      </c>
      <c r="P364" t="s">
        <v>63</v>
      </c>
      <c r="Q364" t="s">
        <v>74</v>
      </c>
      <c r="R364" t="s">
        <v>83</v>
      </c>
      <c r="S364" t="s">
        <v>74</v>
      </c>
      <c r="T364" t="s">
        <v>64</v>
      </c>
      <c r="U364" t="s">
        <v>75</v>
      </c>
      <c r="V364">
        <v>330</v>
      </c>
      <c r="W364">
        <v>9.5</v>
      </c>
      <c r="X364" t="s">
        <v>67</v>
      </c>
      <c r="Y364" t="s">
        <v>68</v>
      </c>
      <c r="Z364">
        <v>8.11</v>
      </c>
      <c r="AA364">
        <v>0.01</v>
      </c>
      <c r="AB364" t="s">
        <v>67</v>
      </c>
      <c r="AC364">
        <v>427</v>
      </c>
      <c r="AD364">
        <v>11</v>
      </c>
      <c r="AE364" t="s">
        <v>67</v>
      </c>
      <c r="AF364">
        <v>8.02</v>
      </c>
      <c r="AG364">
        <v>0.01</v>
      </c>
      <c r="AH364" t="s">
        <v>67</v>
      </c>
      <c r="AI364">
        <v>5.2</v>
      </c>
      <c r="AJ364">
        <v>0.11</v>
      </c>
      <c r="AK364" t="s">
        <v>67</v>
      </c>
      <c r="AL364">
        <v>10</v>
      </c>
      <c r="AM364">
        <v>0.02</v>
      </c>
      <c r="AN364" t="s">
        <v>67</v>
      </c>
      <c r="AO364">
        <v>97</v>
      </c>
      <c r="AP364">
        <v>4.9000000000000004</v>
      </c>
      <c r="AQ364" t="s">
        <v>67</v>
      </c>
      <c r="AR364" t="s">
        <v>360</v>
      </c>
      <c r="AS364" t="s">
        <v>361</v>
      </c>
      <c r="AT364" t="s">
        <v>70</v>
      </c>
      <c r="AU364" t="s">
        <v>362</v>
      </c>
      <c r="AV364" t="s">
        <v>363</v>
      </c>
      <c r="AX364" t="s">
        <v>73</v>
      </c>
      <c r="AY364">
        <v>170.63659999999999</v>
      </c>
      <c r="AZ364">
        <v>170.63655</v>
      </c>
      <c r="BA364">
        <v>11.09</v>
      </c>
      <c r="BC364">
        <v>8</v>
      </c>
      <c r="BD364">
        <v>189.9384</v>
      </c>
      <c r="BE364">
        <v>189.93839840000001</v>
      </c>
      <c r="BF364">
        <v>9.0349000000000004</v>
      </c>
      <c r="BH364">
        <v>8</v>
      </c>
      <c r="BI364">
        <v>105</v>
      </c>
      <c r="BJ364">
        <v>2</v>
      </c>
      <c r="BK364">
        <v>0.1072</v>
      </c>
      <c r="BL364">
        <v>6.4999999999999997E-3</v>
      </c>
    </row>
    <row r="365" spans="1:64" hidden="1" x14ac:dyDescent="0.2">
      <c r="A365">
        <v>141</v>
      </c>
      <c r="D365" t="s">
        <v>54</v>
      </c>
      <c r="E365">
        <v>2015</v>
      </c>
      <c r="F365" t="s">
        <v>91</v>
      </c>
      <c r="G365" t="s">
        <v>92</v>
      </c>
      <c r="H365" t="s">
        <v>78</v>
      </c>
      <c r="K365" t="s">
        <v>93</v>
      </c>
      <c r="L365" t="s">
        <v>94</v>
      </c>
      <c r="M365" t="s">
        <v>95</v>
      </c>
      <c r="N365" t="s">
        <v>61</v>
      </c>
      <c r="O365" t="s">
        <v>62</v>
      </c>
      <c r="P365" t="s">
        <v>196</v>
      </c>
      <c r="Q365" t="s">
        <v>64</v>
      </c>
      <c r="R365" t="s">
        <v>83</v>
      </c>
      <c r="S365" t="s">
        <v>233</v>
      </c>
      <c r="T365" t="s">
        <v>64</v>
      </c>
      <c r="U365" t="s">
        <v>75</v>
      </c>
      <c r="V365">
        <v>400</v>
      </c>
      <c r="W365">
        <v>6</v>
      </c>
      <c r="X365" t="s">
        <v>67</v>
      </c>
      <c r="Y365" t="s">
        <v>96</v>
      </c>
      <c r="Z365">
        <v>8.15</v>
      </c>
      <c r="AA365">
        <v>0.01</v>
      </c>
      <c r="AB365" t="s">
        <v>67</v>
      </c>
      <c r="AC365">
        <v>441</v>
      </c>
      <c r="AD365">
        <v>7</v>
      </c>
      <c r="AE365" t="s">
        <v>67</v>
      </c>
      <c r="AF365">
        <v>8.1199999999999992</v>
      </c>
      <c r="AG365">
        <v>0.01</v>
      </c>
      <c r="AH365" t="s">
        <v>67</v>
      </c>
      <c r="AI365">
        <v>28.4</v>
      </c>
      <c r="AJ365">
        <v>0.01</v>
      </c>
      <c r="AK365" t="s">
        <v>67</v>
      </c>
      <c r="AL365">
        <v>31.4</v>
      </c>
      <c r="AM365">
        <v>0.02</v>
      </c>
      <c r="AN365" t="s">
        <v>67</v>
      </c>
      <c r="AO365">
        <v>41</v>
      </c>
      <c r="AP365">
        <v>3</v>
      </c>
      <c r="AQ365" t="s">
        <v>67</v>
      </c>
      <c r="AR365" t="s">
        <v>358</v>
      </c>
      <c r="AS365" t="s">
        <v>359</v>
      </c>
      <c r="AT365" t="s">
        <v>135</v>
      </c>
      <c r="AU365" t="s">
        <v>232</v>
      </c>
      <c r="AV365" t="s">
        <v>72</v>
      </c>
      <c r="AX365" t="s">
        <v>73</v>
      </c>
      <c r="AY365">
        <v>1.1116999999999999</v>
      </c>
      <c r="AZ365">
        <v>1.1116900000000001</v>
      </c>
      <c r="BA365">
        <v>0.06</v>
      </c>
      <c r="BC365">
        <v>4</v>
      </c>
      <c r="BD365">
        <v>1.1584000000000001</v>
      </c>
      <c r="BE365">
        <v>1.158441558</v>
      </c>
      <c r="BF365">
        <v>6.7500000000000004E-2</v>
      </c>
      <c r="BH365">
        <v>2</v>
      </c>
      <c r="BI365" t="s">
        <v>67</v>
      </c>
      <c r="BJ365">
        <v>7</v>
      </c>
      <c r="BK365">
        <v>4.1200000000000001E-2</v>
      </c>
      <c r="BL365">
        <v>6.4999999999999997E-3</v>
      </c>
    </row>
    <row r="366" spans="1:64" hidden="1" x14ac:dyDescent="0.2">
      <c r="A366">
        <v>141</v>
      </c>
      <c r="D366" t="s">
        <v>54</v>
      </c>
      <c r="E366">
        <v>2015</v>
      </c>
      <c r="F366" t="s">
        <v>91</v>
      </c>
      <c r="G366" t="s">
        <v>92</v>
      </c>
      <c r="H366" t="s">
        <v>78</v>
      </c>
      <c r="K366" t="s">
        <v>93</v>
      </c>
      <c r="L366" t="s">
        <v>94</v>
      </c>
      <c r="M366" t="s">
        <v>95</v>
      </c>
      <c r="N366" t="s">
        <v>61</v>
      </c>
      <c r="O366" t="s">
        <v>62</v>
      </c>
      <c r="P366" t="s">
        <v>196</v>
      </c>
      <c r="Q366" t="s">
        <v>64</v>
      </c>
      <c r="R366" t="s">
        <v>83</v>
      </c>
      <c r="S366" t="s">
        <v>64</v>
      </c>
      <c r="T366" t="s">
        <v>64</v>
      </c>
      <c r="U366" t="s">
        <v>66</v>
      </c>
      <c r="V366">
        <v>400</v>
      </c>
      <c r="W366">
        <v>6</v>
      </c>
      <c r="X366" t="s">
        <v>67</v>
      </c>
      <c r="Y366" t="s">
        <v>96</v>
      </c>
      <c r="Z366">
        <v>8.15</v>
      </c>
      <c r="AA366">
        <v>0.01</v>
      </c>
      <c r="AB366" t="s">
        <v>67</v>
      </c>
      <c r="AC366">
        <v>1126</v>
      </c>
      <c r="AD366">
        <v>24</v>
      </c>
      <c r="AE366" t="s">
        <v>67</v>
      </c>
      <c r="AF366">
        <v>7.79</v>
      </c>
      <c r="AG366">
        <v>0.01</v>
      </c>
      <c r="AH366" t="s">
        <v>67</v>
      </c>
      <c r="AI366">
        <v>28.4</v>
      </c>
      <c r="AJ366">
        <v>0.01</v>
      </c>
      <c r="AK366" t="s">
        <v>67</v>
      </c>
      <c r="AL366">
        <v>29.8</v>
      </c>
      <c r="AM366">
        <v>0.02</v>
      </c>
      <c r="AN366" t="s">
        <v>67</v>
      </c>
      <c r="AO366">
        <v>726</v>
      </c>
      <c r="AP366">
        <v>1.4</v>
      </c>
      <c r="AQ366" t="s">
        <v>67</v>
      </c>
      <c r="AR366" t="s">
        <v>300</v>
      </c>
      <c r="AS366" t="s">
        <v>301</v>
      </c>
      <c r="AT366" t="s">
        <v>70</v>
      </c>
      <c r="AU366" t="s">
        <v>99</v>
      </c>
      <c r="AV366" t="s">
        <v>151</v>
      </c>
      <c r="AX366" t="s">
        <v>90</v>
      </c>
      <c r="AY366">
        <v>2454.5455000000002</v>
      </c>
      <c r="AZ366">
        <v>2454.5454500000001</v>
      </c>
      <c r="BA366">
        <v>71.77</v>
      </c>
      <c r="BC366">
        <v>4</v>
      </c>
      <c r="BD366">
        <v>1507.1769999999999</v>
      </c>
      <c r="BE366">
        <v>1507.1770329999999</v>
      </c>
      <c r="BF366">
        <v>114.8325</v>
      </c>
      <c r="BH366">
        <v>4</v>
      </c>
      <c r="BI366" t="s">
        <v>67</v>
      </c>
      <c r="BJ366">
        <v>7</v>
      </c>
      <c r="BK366">
        <v>-0.48770000000000002</v>
      </c>
      <c r="BL366">
        <v>6.7000000000000002E-3</v>
      </c>
    </row>
    <row r="367" spans="1:64" hidden="1" x14ac:dyDescent="0.2">
      <c r="A367">
        <v>145</v>
      </c>
      <c r="D367" t="s">
        <v>54</v>
      </c>
      <c r="E367">
        <v>2016</v>
      </c>
      <c r="F367" t="s">
        <v>198</v>
      </c>
      <c r="G367" t="s">
        <v>124</v>
      </c>
      <c r="H367" t="s">
        <v>57</v>
      </c>
      <c r="K367" t="s">
        <v>234</v>
      </c>
      <c r="L367" t="s">
        <v>200</v>
      </c>
      <c r="M367" t="s">
        <v>81</v>
      </c>
      <c r="N367" t="s">
        <v>81</v>
      </c>
      <c r="O367" t="s">
        <v>62</v>
      </c>
      <c r="P367" t="s">
        <v>63</v>
      </c>
      <c r="Q367" t="s">
        <v>64</v>
      </c>
      <c r="R367" t="s">
        <v>65</v>
      </c>
      <c r="S367" t="s">
        <v>64</v>
      </c>
      <c r="T367" t="s">
        <v>64</v>
      </c>
      <c r="U367" t="s">
        <v>66</v>
      </c>
      <c r="V367">
        <v>410</v>
      </c>
      <c r="W367">
        <v>19.16</v>
      </c>
      <c r="X367" t="s">
        <v>67</v>
      </c>
      <c r="Y367" t="s">
        <v>96</v>
      </c>
      <c r="Z367">
        <v>8.08</v>
      </c>
      <c r="AA367">
        <v>0.05</v>
      </c>
      <c r="AB367" t="s">
        <v>67</v>
      </c>
      <c r="AC367">
        <v>1086</v>
      </c>
      <c r="AD367">
        <v>93.68</v>
      </c>
      <c r="AE367" t="s">
        <v>67</v>
      </c>
      <c r="AF367">
        <v>7.71</v>
      </c>
      <c r="AG367">
        <v>0.06</v>
      </c>
      <c r="AH367" t="s">
        <v>67</v>
      </c>
      <c r="AI367">
        <v>15.2</v>
      </c>
      <c r="AJ367">
        <v>0.7</v>
      </c>
      <c r="AK367" t="s">
        <v>67</v>
      </c>
      <c r="AL367">
        <v>17.899999999999999</v>
      </c>
      <c r="AM367">
        <v>0.5</v>
      </c>
      <c r="AN367" t="s">
        <v>67</v>
      </c>
      <c r="AO367">
        <v>676</v>
      </c>
      <c r="AP367">
        <v>2.7</v>
      </c>
      <c r="AQ367" t="s">
        <v>218</v>
      </c>
      <c r="AR367" t="s">
        <v>382</v>
      </c>
      <c r="AS367" t="s">
        <v>361</v>
      </c>
      <c r="AT367" t="s">
        <v>70</v>
      </c>
      <c r="AU367" t="s">
        <v>383</v>
      </c>
      <c r="AV367" t="s">
        <v>363</v>
      </c>
      <c r="AX367" t="s">
        <v>73</v>
      </c>
      <c r="AY367">
        <v>0.65659999999999996</v>
      </c>
      <c r="AZ367">
        <v>0.65656999999999999</v>
      </c>
      <c r="BA367">
        <v>0.04</v>
      </c>
      <c r="BC367">
        <v>7</v>
      </c>
      <c r="BD367">
        <v>0.43180000000000002</v>
      </c>
      <c r="BE367">
        <v>0.43175182499999998</v>
      </c>
      <c r="BF367">
        <v>2.3E-2</v>
      </c>
      <c r="BH367">
        <v>7</v>
      </c>
      <c r="BI367">
        <v>240</v>
      </c>
      <c r="BJ367">
        <v>7</v>
      </c>
      <c r="BK367">
        <v>-0.41920000000000002</v>
      </c>
      <c r="BL367">
        <v>6.7000000000000002E-3</v>
      </c>
    </row>
    <row r="368" spans="1:64" hidden="1" x14ac:dyDescent="0.2">
      <c r="A368">
        <v>153</v>
      </c>
      <c r="D368" t="s">
        <v>54</v>
      </c>
      <c r="E368">
        <v>2017</v>
      </c>
      <c r="F368" t="s">
        <v>335</v>
      </c>
      <c r="G368" t="s">
        <v>220</v>
      </c>
      <c r="H368" t="s">
        <v>78</v>
      </c>
      <c r="K368" t="s">
        <v>205</v>
      </c>
      <c r="L368" t="s">
        <v>206</v>
      </c>
      <c r="M368" t="s">
        <v>81</v>
      </c>
      <c r="N368" t="s">
        <v>81</v>
      </c>
      <c r="O368" t="s">
        <v>110</v>
      </c>
      <c r="P368" t="s">
        <v>63</v>
      </c>
      <c r="Q368" t="s">
        <v>64</v>
      </c>
      <c r="R368" t="s">
        <v>83</v>
      </c>
      <c r="S368" t="s">
        <v>64</v>
      </c>
      <c r="T368" t="s">
        <v>64</v>
      </c>
      <c r="U368" t="s">
        <v>66</v>
      </c>
      <c r="V368">
        <v>435</v>
      </c>
      <c r="W368" t="s">
        <v>67</v>
      </c>
      <c r="X368">
        <v>49.9</v>
      </c>
      <c r="Y368" t="s">
        <v>68</v>
      </c>
      <c r="Z368">
        <v>8.01</v>
      </c>
      <c r="AA368" t="s">
        <v>67</v>
      </c>
      <c r="AB368">
        <v>0.04</v>
      </c>
      <c r="AC368">
        <v>1164</v>
      </c>
      <c r="AD368" t="s">
        <v>67</v>
      </c>
      <c r="AE368">
        <v>199.68</v>
      </c>
      <c r="AF368">
        <v>7.66</v>
      </c>
      <c r="AG368" t="s">
        <v>67</v>
      </c>
      <c r="AH368">
        <v>7.0000000000000007E-2</v>
      </c>
      <c r="AI368">
        <v>8.1999999999999993</v>
      </c>
      <c r="AJ368" t="s">
        <v>67</v>
      </c>
      <c r="AK368">
        <v>0.11</v>
      </c>
      <c r="AL368">
        <v>11.9</v>
      </c>
      <c r="AM368" t="s">
        <v>67</v>
      </c>
      <c r="AN368">
        <v>0.37</v>
      </c>
      <c r="AO368">
        <v>729</v>
      </c>
      <c r="AP368">
        <v>3.7</v>
      </c>
      <c r="AQ368" t="s">
        <v>67</v>
      </c>
      <c r="AR368" t="s">
        <v>336</v>
      </c>
      <c r="AS368" t="s">
        <v>337</v>
      </c>
      <c r="AT368" t="s">
        <v>70</v>
      </c>
      <c r="AU368" t="s">
        <v>67</v>
      </c>
      <c r="AV368" t="s">
        <v>132</v>
      </c>
      <c r="AX368" t="s">
        <v>73</v>
      </c>
      <c r="AY368">
        <v>0.81540000000000001</v>
      </c>
      <c r="AZ368">
        <v>0.81538461500000003</v>
      </c>
      <c r="BA368">
        <v>0.02</v>
      </c>
      <c r="BC368">
        <v>5</v>
      </c>
      <c r="BD368">
        <v>0.5897</v>
      </c>
      <c r="BE368">
        <v>0.58974358999999998</v>
      </c>
      <c r="BF368">
        <v>4.6199999999999998E-2</v>
      </c>
      <c r="BH368">
        <v>8</v>
      </c>
      <c r="BI368">
        <v>120</v>
      </c>
      <c r="BJ368">
        <v>8</v>
      </c>
      <c r="BK368">
        <v>-0.32400000000000001</v>
      </c>
      <c r="BL368">
        <v>6.7000000000000002E-3</v>
      </c>
    </row>
    <row r="369" spans="1:64" x14ac:dyDescent="0.2">
      <c r="A369">
        <v>169</v>
      </c>
      <c r="B369" t="str">
        <f>ROW()-1&amp;"_AltersFish"</f>
        <v>368_AltersFish</v>
      </c>
      <c r="C369" t="str">
        <f>A369 &amp; "_" &amp; P369 &amp; "_" &amp;
SUBSTITUTE(TRIM(L369)," ","_") &amp;
"_pH" &amp; TEXT(Z369,"0.00") &amp;
"_T" &amp; TEXT(AI369,"0.00") &amp;
"_CO2" &amp; TEXT(V369,"0") &amp;
"_LANG"</f>
        <v>169_EMBRYO_Solea_senegalensis_pH8.02_T18.20_CO2400_LANG</v>
      </c>
      <c r="D369" t="s">
        <v>54</v>
      </c>
      <c r="E369">
        <v>2014</v>
      </c>
      <c r="F369" t="s">
        <v>123</v>
      </c>
      <c r="G369" t="s">
        <v>124</v>
      </c>
      <c r="H369" t="s">
        <v>78</v>
      </c>
      <c r="I369" t="s">
        <v>540</v>
      </c>
      <c r="J369" t="s">
        <v>543</v>
      </c>
      <c r="K369" t="s">
        <v>79</v>
      </c>
      <c r="L369" t="s">
        <v>125</v>
      </c>
      <c r="M369" t="s">
        <v>126</v>
      </c>
      <c r="N369" t="s">
        <v>81</v>
      </c>
      <c r="O369" t="s">
        <v>106</v>
      </c>
      <c r="P369" t="s">
        <v>82</v>
      </c>
      <c r="Q369" t="s">
        <v>64</v>
      </c>
      <c r="R369" t="s">
        <v>83</v>
      </c>
      <c r="S369" t="s">
        <v>64</v>
      </c>
      <c r="T369" t="s">
        <v>64</v>
      </c>
      <c r="U369" t="s">
        <v>66</v>
      </c>
      <c r="V369">
        <v>400</v>
      </c>
      <c r="W369" t="s">
        <v>67</v>
      </c>
      <c r="X369">
        <v>66.709999999999994</v>
      </c>
      <c r="Y369" t="s">
        <v>68</v>
      </c>
      <c r="Z369">
        <v>8.02</v>
      </c>
      <c r="AA369" t="s">
        <v>67</v>
      </c>
      <c r="AB369">
        <v>0.04</v>
      </c>
      <c r="AC369">
        <v>1654</v>
      </c>
      <c r="AD369" t="s">
        <v>67</v>
      </c>
      <c r="AE369">
        <v>49.06</v>
      </c>
      <c r="AF369">
        <v>7.51</v>
      </c>
      <c r="AG369" t="s">
        <v>67</v>
      </c>
      <c r="AH369">
        <v>0.05</v>
      </c>
      <c r="AI369">
        <v>18.2</v>
      </c>
      <c r="AJ369" t="s">
        <v>67</v>
      </c>
      <c r="AK369">
        <v>0.4</v>
      </c>
      <c r="AL369">
        <v>22.1</v>
      </c>
      <c r="AM369" t="s">
        <v>67</v>
      </c>
      <c r="AN369">
        <v>1.01</v>
      </c>
      <c r="AO369">
        <v>1254</v>
      </c>
      <c r="AP369">
        <v>3.9</v>
      </c>
      <c r="AQ369" t="s">
        <v>67</v>
      </c>
      <c r="AR369" t="s">
        <v>133</v>
      </c>
      <c r="AS369" t="s">
        <v>134</v>
      </c>
      <c r="AT369" t="s">
        <v>135</v>
      </c>
      <c r="AU369" t="s">
        <v>136</v>
      </c>
      <c r="AV369" t="s">
        <v>137</v>
      </c>
      <c r="AW369" t="s">
        <v>132</v>
      </c>
      <c r="AX369" t="s">
        <v>73</v>
      </c>
      <c r="AY369">
        <v>27.7941</v>
      </c>
      <c r="AZ369">
        <v>27.794119999999999</v>
      </c>
      <c r="BA369">
        <v>0.03</v>
      </c>
      <c r="BB369">
        <f>BA369*SQRT(BC369)</f>
        <v>0.09</v>
      </c>
      <c r="BC369">
        <v>9</v>
      </c>
      <c r="BD369">
        <v>31.102900000000002</v>
      </c>
      <c r="BE369">
        <v>31.102941179999998</v>
      </c>
      <c r="BF369">
        <v>2.2100000000000002E-2</v>
      </c>
      <c r="BG369">
        <f>BF369*SQRT(BH369)</f>
        <v>6.6299999999999998E-2</v>
      </c>
      <c r="BH369">
        <v>9</v>
      </c>
      <c r="BI369">
        <v>30</v>
      </c>
      <c r="BJ369">
        <v>3</v>
      </c>
      <c r="BK369">
        <v>0.1125</v>
      </c>
      <c r="BL369">
        <v>1E-4</v>
      </c>
    </row>
    <row r="370" spans="1:64" x14ac:dyDescent="0.2">
      <c r="A370">
        <v>169</v>
      </c>
      <c r="B370" t="str">
        <f>ROW()-1&amp;"_AltersFish"</f>
        <v>369_AltersFish</v>
      </c>
      <c r="C370" t="str">
        <f>A370 &amp; "_" &amp; P370 &amp; "_" &amp;
SUBSTITUTE(TRIM(L370)," ","_") &amp;
"_pH" &amp; TEXT(Z370,"0.00") &amp;
"_T" &amp; TEXT(AI370,"0.00") &amp;
"_CO2" &amp; TEXT(V370,"0") &amp;
"_LANG"</f>
        <v>169_EMBRYO_Solea_senegalensis_pH8.02_T18.20_CO2400_LANG</v>
      </c>
      <c r="D370" t="s">
        <v>54</v>
      </c>
      <c r="E370">
        <v>2014</v>
      </c>
      <c r="F370" t="s">
        <v>123</v>
      </c>
      <c r="G370" t="s">
        <v>124</v>
      </c>
      <c r="H370" t="s">
        <v>78</v>
      </c>
      <c r="I370" t="s">
        <v>540</v>
      </c>
      <c r="J370" t="s">
        <v>543</v>
      </c>
      <c r="K370" t="s">
        <v>79</v>
      </c>
      <c r="L370" t="s">
        <v>125</v>
      </c>
      <c r="M370" t="s">
        <v>126</v>
      </c>
      <c r="N370" t="s">
        <v>81</v>
      </c>
      <c r="O370" t="s">
        <v>106</v>
      </c>
      <c r="P370" t="s">
        <v>82</v>
      </c>
      <c r="Q370" t="s">
        <v>64</v>
      </c>
      <c r="R370" t="s">
        <v>83</v>
      </c>
      <c r="S370" t="s">
        <v>74</v>
      </c>
      <c r="T370" t="s">
        <v>64</v>
      </c>
      <c r="U370" t="s">
        <v>75</v>
      </c>
      <c r="V370">
        <v>400</v>
      </c>
      <c r="W370" t="s">
        <v>67</v>
      </c>
      <c r="X370">
        <v>66.709999999999994</v>
      </c>
      <c r="Y370" t="s">
        <v>68</v>
      </c>
      <c r="Z370">
        <v>8.02</v>
      </c>
      <c r="AA370" t="s">
        <v>67</v>
      </c>
      <c r="AB370">
        <v>0.04</v>
      </c>
      <c r="AC370">
        <v>425</v>
      </c>
      <c r="AD370" t="s">
        <v>67</v>
      </c>
      <c r="AE370">
        <v>19.97</v>
      </c>
      <c r="AF370">
        <v>8.0299999999999994</v>
      </c>
      <c r="AG370" t="s">
        <v>67</v>
      </c>
      <c r="AH370">
        <v>0.05</v>
      </c>
      <c r="AI370">
        <v>18.2</v>
      </c>
      <c r="AJ370" t="s">
        <v>67</v>
      </c>
      <c r="AK370">
        <v>0.4</v>
      </c>
      <c r="AL370">
        <v>22</v>
      </c>
      <c r="AM370" t="s">
        <v>67</v>
      </c>
      <c r="AN370">
        <v>0.42</v>
      </c>
      <c r="AO370">
        <v>25</v>
      </c>
      <c r="AP370">
        <v>3.8</v>
      </c>
      <c r="AQ370" t="s">
        <v>67</v>
      </c>
      <c r="AR370" t="s">
        <v>129</v>
      </c>
      <c r="AS370" t="s">
        <v>130</v>
      </c>
      <c r="AT370" t="s">
        <v>70</v>
      </c>
      <c r="AU370" t="s">
        <v>131</v>
      </c>
      <c r="AV370" t="s">
        <v>132</v>
      </c>
      <c r="AW370" t="s">
        <v>132</v>
      </c>
      <c r="AX370" t="s">
        <v>73</v>
      </c>
      <c r="AY370">
        <v>35.04</v>
      </c>
      <c r="AZ370">
        <v>35.04</v>
      </c>
      <c r="BA370">
        <v>4.4000000000000003E-3</v>
      </c>
      <c r="BB370">
        <f>BA370*SQRT(BC370)</f>
        <v>2.4099792530227312E-2</v>
      </c>
      <c r="BC370">
        <v>30</v>
      </c>
      <c r="BD370">
        <v>35.64</v>
      </c>
      <c r="BE370">
        <v>35.64</v>
      </c>
      <c r="BF370">
        <v>5.1000000000000004E-3</v>
      </c>
      <c r="BG370">
        <f>BF370*SQRT(BH370)</f>
        <v>2.7933850432763474E-2</v>
      </c>
      <c r="BH370">
        <v>30</v>
      </c>
      <c r="BI370">
        <v>30</v>
      </c>
      <c r="BJ370">
        <v>3</v>
      </c>
      <c r="BK370">
        <v>1.7000000000000001E-2</v>
      </c>
      <c r="BL370">
        <v>1E-4</v>
      </c>
    </row>
    <row r="371" spans="1:64" x14ac:dyDescent="0.2">
      <c r="A371">
        <v>169</v>
      </c>
      <c r="B371" t="str">
        <f>ROW()-1&amp;"_AltersFish"</f>
        <v>370_AltersFish</v>
      </c>
      <c r="C371" t="str">
        <f>A371 &amp; "_" &amp; P371 &amp; "_" &amp;
SUBSTITUTE(TRIM(L371)," ","_") &amp;
"_pH" &amp; TEXT(Z371,"0.00") &amp;
"_T" &amp; TEXT(AI371,"0.00") &amp;
"_CO2" &amp; TEXT(V371,"0") &amp;
"_LANG"</f>
        <v>169_EMBRYO_Solea_senegalensis_pH8.02_T18.20_CO2400_LANG</v>
      </c>
      <c r="D371" t="s">
        <v>54</v>
      </c>
      <c r="E371">
        <v>2014</v>
      </c>
      <c r="F371" t="s">
        <v>123</v>
      </c>
      <c r="G371" t="s">
        <v>124</v>
      </c>
      <c r="H371" t="s">
        <v>78</v>
      </c>
      <c r="I371" t="s">
        <v>540</v>
      </c>
      <c r="J371" t="s">
        <v>543</v>
      </c>
      <c r="K371" t="s">
        <v>79</v>
      </c>
      <c r="L371" t="s">
        <v>125</v>
      </c>
      <c r="M371" t="s">
        <v>126</v>
      </c>
      <c r="N371" t="s">
        <v>81</v>
      </c>
      <c r="O371" t="s">
        <v>106</v>
      </c>
      <c r="P371" t="s">
        <v>82</v>
      </c>
      <c r="Q371" t="s">
        <v>64</v>
      </c>
      <c r="R371" t="s">
        <v>83</v>
      </c>
      <c r="S371" t="s">
        <v>64</v>
      </c>
      <c r="T371" t="s">
        <v>74</v>
      </c>
      <c r="U371" t="s">
        <v>84</v>
      </c>
      <c r="V371">
        <v>400</v>
      </c>
      <c r="W371" t="s">
        <v>67</v>
      </c>
      <c r="X371">
        <v>66.709999999999994</v>
      </c>
      <c r="Y371" t="s">
        <v>68</v>
      </c>
      <c r="Z371">
        <v>8.02</v>
      </c>
      <c r="AA371" t="s">
        <v>67</v>
      </c>
      <c r="AB371">
        <v>0.04</v>
      </c>
      <c r="AC371">
        <v>1608</v>
      </c>
      <c r="AD371" t="s">
        <v>67</v>
      </c>
      <c r="AE371">
        <v>24.78</v>
      </c>
      <c r="AF371">
        <v>7.5</v>
      </c>
      <c r="AG371" t="s">
        <v>67</v>
      </c>
      <c r="AH371">
        <v>0.03</v>
      </c>
      <c r="AI371">
        <v>18.2</v>
      </c>
      <c r="AJ371" t="s">
        <v>67</v>
      </c>
      <c r="AK371">
        <v>0.4</v>
      </c>
      <c r="AL371">
        <v>18.2</v>
      </c>
      <c r="AM371" t="s">
        <v>67</v>
      </c>
      <c r="AN371">
        <v>0.28999999999999998</v>
      </c>
      <c r="AO371">
        <v>1208</v>
      </c>
      <c r="AP371">
        <v>-0.1</v>
      </c>
      <c r="AQ371" t="s">
        <v>67</v>
      </c>
      <c r="AR371" t="s">
        <v>129</v>
      </c>
      <c r="AS371" t="s">
        <v>130</v>
      </c>
      <c r="AT371" t="s">
        <v>70</v>
      </c>
      <c r="AU371" t="s">
        <v>131</v>
      </c>
      <c r="AV371" t="s">
        <v>132</v>
      </c>
      <c r="AW371" t="s">
        <v>132</v>
      </c>
      <c r="AX371" t="s">
        <v>73</v>
      </c>
      <c r="AY371">
        <v>35.04</v>
      </c>
      <c r="AZ371">
        <v>35.04</v>
      </c>
      <c r="BA371">
        <v>4.4000000000000003E-3</v>
      </c>
      <c r="BB371">
        <f>BA371*SQRT(BC371)</f>
        <v>2.4099792530227312E-2</v>
      </c>
      <c r="BC371">
        <v>30</v>
      </c>
      <c r="BD371">
        <v>33.68</v>
      </c>
      <c r="BE371">
        <v>33.68</v>
      </c>
      <c r="BF371">
        <v>5.5999999999999999E-3</v>
      </c>
      <c r="BG371">
        <f>BF371*SQRT(BH371)</f>
        <v>3.0672463220289301E-2</v>
      </c>
      <c r="BH371">
        <v>30</v>
      </c>
      <c r="BI371">
        <v>30</v>
      </c>
      <c r="BJ371">
        <v>3</v>
      </c>
      <c r="BK371">
        <v>-3.9600000000000003E-2</v>
      </c>
      <c r="BL371">
        <v>1E-4</v>
      </c>
    </row>
    <row r="372" spans="1:64" hidden="1" x14ac:dyDescent="0.2">
      <c r="A372">
        <v>159</v>
      </c>
      <c r="D372" t="s">
        <v>54</v>
      </c>
      <c r="E372">
        <v>2018</v>
      </c>
      <c r="F372" t="s">
        <v>326</v>
      </c>
      <c r="G372" t="s">
        <v>327</v>
      </c>
      <c r="H372" t="s">
        <v>78</v>
      </c>
      <c r="K372" t="s">
        <v>205</v>
      </c>
      <c r="L372" t="s">
        <v>225</v>
      </c>
      <c r="M372" t="s">
        <v>120</v>
      </c>
      <c r="N372" t="s">
        <v>120</v>
      </c>
      <c r="O372" t="s">
        <v>110</v>
      </c>
      <c r="P372" t="s">
        <v>196</v>
      </c>
      <c r="Q372" t="s">
        <v>64</v>
      </c>
      <c r="R372" t="s">
        <v>83</v>
      </c>
      <c r="S372" t="s">
        <v>64</v>
      </c>
      <c r="T372" t="s">
        <v>64</v>
      </c>
      <c r="U372" t="s">
        <v>66</v>
      </c>
      <c r="V372">
        <v>390</v>
      </c>
      <c r="W372" t="s">
        <v>67</v>
      </c>
      <c r="X372" t="s">
        <v>67</v>
      </c>
      <c r="Y372" t="s">
        <v>67</v>
      </c>
      <c r="Z372" t="s">
        <v>67</v>
      </c>
      <c r="AA372" t="s">
        <v>67</v>
      </c>
      <c r="AB372" t="s">
        <v>67</v>
      </c>
      <c r="AC372">
        <v>1170</v>
      </c>
      <c r="AD372" t="s">
        <v>67</v>
      </c>
      <c r="AE372" t="s">
        <v>67</v>
      </c>
      <c r="AF372" t="s">
        <v>67</v>
      </c>
      <c r="AG372" t="s">
        <v>67</v>
      </c>
      <c r="AH372" t="s">
        <v>67</v>
      </c>
      <c r="AI372">
        <v>0</v>
      </c>
      <c r="AJ372" t="s">
        <v>67</v>
      </c>
      <c r="AK372" t="s">
        <v>67</v>
      </c>
      <c r="AL372">
        <v>6</v>
      </c>
      <c r="AM372" t="s">
        <v>67</v>
      </c>
      <c r="AN372" t="s">
        <v>67</v>
      </c>
      <c r="AO372">
        <v>780</v>
      </c>
      <c r="AP372">
        <v>6</v>
      </c>
      <c r="AQ372" t="s">
        <v>67</v>
      </c>
      <c r="AR372" t="s">
        <v>328</v>
      </c>
      <c r="AS372" t="s">
        <v>329</v>
      </c>
      <c r="AT372" t="s">
        <v>70</v>
      </c>
      <c r="AU372" t="s">
        <v>330</v>
      </c>
      <c r="AV372" t="s">
        <v>251</v>
      </c>
      <c r="AX372" t="s">
        <v>73</v>
      </c>
      <c r="AY372">
        <v>3.49</v>
      </c>
      <c r="AZ372">
        <v>3.49</v>
      </c>
      <c r="BA372">
        <v>0.19</v>
      </c>
      <c r="BC372">
        <v>5</v>
      </c>
      <c r="BD372">
        <v>3.29</v>
      </c>
      <c r="BE372">
        <v>3.29</v>
      </c>
      <c r="BF372">
        <v>0.21</v>
      </c>
      <c r="BH372">
        <v>4</v>
      </c>
      <c r="BI372">
        <v>120</v>
      </c>
      <c r="BJ372" t="s">
        <v>67</v>
      </c>
      <c r="BK372">
        <v>-5.8999999999999997E-2</v>
      </c>
      <c r="BL372">
        <v>7.0000000000000001E-3</v>
      </c>
    </row>
    <row r="373" spans="1:64" hidden="1" x14ac:dyDescent="0.2">
      <c r="A373">
        <v>142</v>
      </c>
      <c r="D373" t="s">
        <v>54</v>
      </c>
      <c r="E373">
        <v>2017</v>
      </c>
      <c r="F373" t="s">
        <v>193</v>
      </c>
      <c r="G373" t="s">
        <v>181</v>
      </c>
      <c r="H373" t="s">
        <v>78</v>
      </c>
      <c r="K373" t="s">
        <v>194</v>
      </c>
      <c r="L373" t="s">
        <v>299</v>
      </c>
      <c r="M373" t="s">
        <v>120</v>
      </c>
      <c r="N373" t="s">
        <v>120</v>
      </c>
      <c r="O373" t="s">
        <v>62</v>
      </c>
      <c r="P373" t="s">
        <v>196</v>
      </c>
      <c r="Q373" t="s">
        <v>64</v>
      </c>
      <c r="R373" t="s">
        <v>83</v>
      </c>
      <c r="S373" t="s">
        <v>74</v>
      </c>
      <c r="T373" t="s">
        <v>64</v>
      </c>
      <c r="U373" t="s">
        <v>75</v>
      </c>
      <c r="V373">
        <v>439</v>
      </c>
      <c r="W373">
        <v>16.079999999999998</v>
      </c>
      <c r="X373" t="s">
        <v>67</v>
      </c>
      <c r="Y373" t="s">
        <v>67</v>
      </c>
      <c r="Z373" t="s">
        <v>67</v>
      </c>
      <c r="AA373" t="s">
        <v>67</v>
      </c>
      <c r="AB373" t="s">
        <v>67</v>
      </c>
      <c r="AC373">
        <v>525</v>
      </c>
      <c r="AD373">
        <v>21.07</v>
      </c>
      <c r="AE373" t="s">
        <v>67</v>
      </c>
      <c r="AF373" t="s">
        <v>67</v>
      </c>
      <c r="AG373" t="s">
        <v>67</v>
      </c>
      <c r="AH373" t="s">
        <v>67</v>
      </c>
      <c r="AI373">
        <v>-0.6</v>
      </c>
      <c r="AJ373">
        <v>0.17</v>
      </c>
      <c r="AK373" t="s">
        <v>67</v>
      </c>
      <c r="AL373">
        <v>4</v>
      </c>
      <c r="AM373">
        <v>0.44</v>
      </c>
      <c r="AN373" t="s">
        <v>67</v>
      </c>
      <c r="AO373">
        <v>86</v>
      </c>
      <c r="AP373">
        <v>4.5999999999999996</v>
      </c>
      <c r="AQ373" t="s">
        <v>67</v>
      </c>
      <c r="AR373" t="s">
        <v>356</v>
      </c>
      <c r="AS373" t="s">
        <v>134</v>
      </c>
      <c r="AT373" t="s">
        <v>135</v>
      </c>
      <c r="AU373" t="s">
        <v>357</v>
      </c>
      <c r="AV373" t="s">
        <v>137</v>
      </c>
      <c r="AX373" t="s">
        <v>73</v>
      </c>
      <c r="AY373">
        <v>41.18</v>
      </c>
      <c r="AZ373">
        <v>41.18</v>
      </c>
      <c r="BA373">
        <v>2.2599999999999998</v>
      </c>
      <c r="BC373">
        <v>5</v>
      </c>
      <c r="BD373">
        <v>63.3065</v>
      </c>
      <c r="BE373">
        <v>63.306451610000003</v>
      </c>
      <c r="BF373">
        <v>4.0323000000000002</v>
      </c>
      <c r="BH373">
        <v>5</v>
      </c>
      <c r="BI373">
        <v>42</v>
      </c>
      <c r="BJ373">
        <v>1</v>
      </c>
      <c r="BK373">
        <v>0.43</v>
      </c>
      <c r="BL373">
        <v>7.1000000000000004E-3</v>
      </c>
    </row>
    <row r="374" spans="1:64" hidden="1" x14ac:dyDescent="0.2">
      <c r="A374">
        <v>145</v>
      </c>
      <c r="D374" t="s">
        <v>54</v>
      </c>
      <c r="E374">
        <v>2016</v>
      </c>
      <c r="F374" t="s">
        <v>198</v>
      </c>
      <c r="G374" t="s">
        <v>124</v>
      </c>
      <c r="H374" t="s">
        <v>57</v>
      </c>
      <c r="K374" t="s">
        <v>234</v>
      </c>
      <c r="L374" t="s">
        <v>200</v>
      </c>
      <c r="M374" t="s">
        <v>81</v>
      </c>
      <c r="N374" t="s">
        <v>81</v>
      </c>
      <c r="O374" t="s">
        <v>62</v>
      </c>
      <c r="P374" t="s">
        <v>63</v>
      </c>
      <c r="Q374" t="s">
        <v>64</v>
      </c>
      <c r="R374" t="s">
        <v>65</v>
      </c>
      <c r="S374" t="s">
        <v>74</v>
      </c>
      <c r="T374" t="s">
        <v>64</v>
      </c>
      <c r="U374" t="s">
        <v>75</v>
      </c>
      <c r="V374">
        <v>410</v>
      </c>
      <c r="W374">
        <v>19.16</v>
      </c>
      <c r="X374" t="s">
        <v>67</v>
      </c>
      <c r="Y374" t="s">
        <v>96</v>
      </c>
      <c r="Z374">
        <v>8.08</v>
      </c>
      <c r="AA374">
        <v>0.05</v>
      </c>
      <c r="AB374" t="s">
        <v>67</v>
      </c>
      <c r="AC374">
        <v>413</v>
      </c>
      <c r="AD374">
        <v>19.420000000000002</v>
      </c>
      <c r="AE374" t="s">
        <v>67</v>
      </c>
      <c r="AF374">
        <v>8.08</v>
      </c>
      <c r="AG374">
        <v>0.12</v>
      </c>
      <c r="AH374" t="s">
        <v>67</v>
      </c>
      <c r="AI374">
        <v>15.2</v>
      </c>
      <c r="AJ374">
        <v>0.7</v>
      </c>
      <c r="AK374" t="s">
        <v>67</v>
      </c>
      <c r="AL374">
        <v>18.100000000000001</v>
      </c>
      <c r="AM374">
        <v>0.6</v>
      </c>
      <c r="AN374" t="s">
        <v>67</v>
      </c>
      <c r="AO374">
        <v>3</v>
      </c>
      <c r="AP374">
        <v>2.9</v>
      </c>
      <c r="AQ374" t="s">
        <v>201</v>
      </c>
      <c r="AR374" t="s">
        <v>382</v>
      </c>
      <c r="AS374" t="s">
        <v>361</v>
      </c>
      <c r="AT374" t="s">
        <v>70</v>
      </c>
      <c r="AU374" t="s">
        <v>383</v>
      </c>
      <c r="AV374" t="s">
        <v>363</v>
      </c>
      <c r="AX374" t="s">
        <v>73</v>
      </c>
      <c r="AY374">
        <v>0.68469999999999998</v>
      </c>
      <c r="AZ374">
        <v>0.68467</v>
      </c>
      <c r="BA374">
        <v>0.04</v>
      </c>
      <c r="BC374">
        <v>7</v>
      </c>
      <c r="BD374">
        <v>0.94269999999999998</v>
      </c>
      <c r="BE374">
        <v>0.94270072999999999</v>
      </c>
      <c r="BF374">
        <v>5.62E-2</v>
      </c>
      <c r="BH374">
        <v>7</v>
      </c>
      <c r="BI374">
        <v>240</v>
      </c>
      <c r="BJ374">
        <v>7</v>
      </c>
      <c r="BK374">
        <v>0.31979999999999997</v>
      </c>
      <c r="BL374">
        <v>7.1000000000000004E-3</v>
      </c>
    </row>
    <row r="375" spans="1:64" hidden="1" x14ac:dyDescent="0.2">
      <c r="A375">
        <v>145</v>
      </c>
      <c r="D375" t="s">
        <v>54</v>
      </c>
      <c r="E375">
        <v>2016</v>
      </c>
      <c r="F375" t="s">
        <v>198</v>
      </c>
      <c r="G375" t="s">
        <v>124</v>
      </c>
      <c r="H375" t="s">
        <v>57</v>
      </c>
      <c r="K375" t="s">
        <v>234</v>
      </c>
      <c r="L375" t="s">
        <v>200</v>
      </c>
      <c r="M375" t="s">
        <v>81</v>
      </c>
      <c r="N375" t="s">
        <v>81</v>
      </c>
      <c r="O375" t="s">
        <v>62</v>
      </c>
      <c r="P375" t="s">
        <v>63</v>
      </c>
      <c r="Q375" t="s">
        <v>64</v>
      </c>
      <c r="R375" t="s">
        <v>65</v>
      </c>
      <c r="S375" t="s">
        <v>74</v>
      </c>
      <c r="T375" t="s">
        <v>64</v>
      </c>
      <c r="U375" t="s">
        <v>75</v>
      </c>
      <c r="V375">
        <v>410</v>
      </c>
      <c r="W375">
        <v>19.16</v>
      </c>
      <c r="X375" t="s">
        <v>67</v>
      </c>
      <c r="Y375" t="s">
        <v>96</v>
      </c>
      <c r="Z375">
        <v>8.08</v>
      </c>
      <c r="AA375">
        <v>0.05</v>
      </c>
      <c r="AB375" t="s">
        <v>67</v>
      </c>
      <c r="AC375">
        <v>413</v>
      </c>
      <c r="AD375">
        <v>19.420000000000002</v>
      </c>
      <c r="AE375" t="s">
        <v>67</v>
      </c>
      <c r="AF375">
        <v>8.08</v>
      </c>
      <c r="AG375">
        <v>0.12</v>
      </c>
      <c r="AH375" t="s">
        <v>67</v>
      </c>
      <c r="AI375">
        <v>15.2</v>
      </c>
      <c r="AJ375">
        <v>0.7</v>
      </c>
      <c r="AK375" t="s">
        <v>67</v>
      </c>
      <c r="AL375">
        <v>18.100000000000001</v>
      </c>
      <c r="AM375">
        <v>0.6</v>
      </c>
      <c r="AN375" t="s">
        <v>67</v>
      </c>
      <c r="AO375">
        <v>3</v>
      </c>
      <c r="AP375">
        <v>2.9</v>
      </c>
      <c r="AQ375" t="s">
        <v>218</v>
      </c>
      <c r="AR375" t="s">
        <v>382</v>
      </c>
      <c r="AS375" t="s">
        <v>361</v>
      </c>
      <c r="AT375" t="s">
        <v>70</v>
      </c>
      <c r="AU375" t="s">
        <v>383</v>
      </c>
      <c r="AV375" t="s">
        <v>363</v>
      </c>
      <c r="AX375" t="s">
        <v>73</v>
      </c>
      <c r="AY375">
        <v>0.65659999999999996</v>
      </c>
      <c r="AZ375">
        <v>0.65656999999999999</v>
      </c>
      <c r="BA375">
        <v>0.04</v>
      </c>
      <c r="BC375">
        <v>7</v>
      </c>
      <c r="BD375">
        <v>0.7077</v>
      </c>
      <c r="BE375">
        <v>0.707664234</v>
      </c>
      <c r="BF375">
        <v>4.0899999999999999E-2</v>
      </c>
      <c r="BH375">
        <v>7</v>
      </c>
      <c r="BI375">
        <v>240</v>
      </c>
      <c r="BJ375">
        <v>7</v>
      </c>
      <c r="BK375">
        <v>7.4899999999999994E-2</v>
      </c>
      <c r="BL375">
        <v>7.1999999999999998E-3</v>
      </c>
    </row>
    <row r="376" spans="1:64" hidden="1" x14ac:dyDescent="0.2">
      <c r="A376">
        <v>141</v>
      </c>
      <c r="D376" t="s">
        <v>54</v>
      </c>
      <c r="E376">
        <v>2015</v>
      </c>
      <c r="F376" t="s">
        <v>91</v>
      </c>
      <c r="G376" t="s">
        <v>92</v>
      </c>
      <c r="H376" t="s">
        <v>78</v>
      </c>
      <c r="K376" t="s">
        <v>93</v>
      </c>
      <c r="L376" t="s">
        <v>94</v>
      </c>
      <c r="M376" t="s">
        <v>95</v>
      </c>
      <c r="N376" t="s">
        <v>61</v>
      </c>
      <c r="O376" t="s">
        <v>62</v>
      </c>
      <c r="P376" t="s">
        <v>196</v>
      </c>
      <c r="Q376" t="s">
        <v>64</v>
      </c>
      <c r="R376" t="s">
        <v>83</v>
      </c>
      <c r="S376" t="s">
        <v>64</v>
      </c>
      <c r="T376" t="s">
        <v>74</v>
      </c>
      <c r="U376" t="s">
        <v>84</v>
      </c>
      <c r="V376">
        <v>400</v>
      </c>
      <c r="W376">
        <v>6</v>
      </c>
      <c r="X376" t="s">
        <v>67</v>
      </c>
      <c r="Y376" t="s">
        <v>96</v>
      </c>
      <c r="Z376">
        <v>8.15</v>
      </c>
      <c r="AA376">
        <v>0.01</v>
      </c>
      <c r="AB376" t="s">
        <v>67</v>
      </c>
      <c r="AC376">
        <v>634</v>
      </c>
      <c r="AD376">
        <v>13</v>
      </c>
      <c r="AE376" t="s">
        <v>67</v>
      </c>
      <c r="AF376">
        <v>8</v>
      </c>
      <c r="AG376">
        <v>0.01</v>
      </c>
      <c r="AH376" t="s">
        <v>67</v>
      </c>
      <c r="AI376">
        <v>28.4</v>
      </c>
      <c r="AJ376">
        <v>0.01</v>
      </c>
      <c r="AK376" t="s">
        <v>67</v>
      </c>
      <c r="AL376">
        <v>28.5</v>
      </c>
      <c r="AM376">
        <v>0.01</v>
      </c>
      <c r="AN376" t="s">
        <v>67</v>
      </c>
      <c r="AO376">
        <v>234</v>
      </c>
      <c r="AP376">
        <v>0.1</v>
      </c>
      <c r="AQ376" t="s">
        <v>67</v>
      </c>
      <c r="AR376" t="s">
        <v>358</v>
      </c>
      <c r="AS376" t="s">
        <v>359</v>
      </c>
      <c r="AT376" t="s">
        <v>135</v>
      </c>
      <c r="AU376" t="s">
        <v>232</v>
      </c>
      <c r="AV376" t="s">
        <v>72</v>
      </c>
      <c r="AX376" t="s">
        <v>73</v>
      </c>
      <c r="AY376">
        <v>1.1116999999999999</v>
      </c>
      <c r="AZ376">
        <v>1.1116900000000001</v>
      </c>
      <c r="BA376">
        <v>0.06</v>
      </c>
      <c r="BC376">
        <v>4</v>
      </c>
      <c r="BD376">
        <v>1.1376999999999999</v>
      </c>
      <c r="BE376">
        <v>1.1376623379999999</v>
      </c>
      <c r="BF376">
        <v>7.2700000000000001E-2</v>
      </c>
      <c r="BH376">
        <v>5</v>
      </c>
      <c r="BI376" t="s">
        <v>67</v>
      </c>
      <c r="BJ376">
        <v>7</v>
      </c>
      <c r="BK376">
        <v>2.3099999999999999E-2</v>
      </c>
      <c r="BL376">
        <v>7.1999999999999998E-3</v>
      </c>
    </row>
    <row r="377" spans="1:64" x14ac:dyDescent="0.2">
      <c r="A377">
        <v>169</v>
      </c>
      <c r="B377" t="str">
        <f>ROW()-1&amp;"_AltersFish"</f>
        <v>376_AltersFish</v>
      </c>
      <c r="C377" t="str">
        <f>A377 &amp; "_" &amp; P377 &amp; "_" &amp;
SUBSTITUTE(TRIM(L377)," ","_") &amp;
"_pH" &amp; TEXT(Z377,"0.00") &amp;
"_T" &amp; TEXT(AI377,"0.00") &amp;
"_CO2" &amp; TEXT(V377,"0") &amp;
"_LANG"</f>
        <v>169_EMBRYO_Solea_senegalensis_pH8.02_T18.20_CO2400_LANG</v>
      </c>
      <c r="D377" t="s">
        <v>54</v>
      </c>
      <c r="E377">
        <v>2014</v>
      </c>
      <c r="F377" t="s">
        <v>123</v>
      </c>
      <c r="G377" t="s">
        <v>124</v>
      </c>
      <c r="H377" t="s">
        <v>78</v>
      </c>
      <c r="I377" t="s">
        <v>540</v>
      </c>
      <c r="J377" t="s">
        <v>543</v>
      </c>
      <c r="K377" t="s">
        <v>79</v>
      </c>
      <c r="L377" t="s">
        <v>125</v>
      </c>
      <c r="M377" t="s">
        <v>126</v>
      </c>
      <c r="N377" t="s">
        <v>81</v>
      </c>
      <c r="O377" t="s">
        <v>106</v>
      </c>
      <c r="P377" t="s">
        <v>82</v>
      </c>
      <c r="Q377" t="s">
        <v>64</v>
      </c>
      <c r="R377" t="s">
        <v>83</v>
      </c>
      <c r="S377" t="s">
        <v>64</v>
      </c>
      <c r="T377" t="s">
        <v>64</v>
      </c>
      <c r="U377" t="s">
        <v>66</v>
      </c>
      <c r="V377">
        <v>400</v>
      </c>
      <c r="W377" t="s">
        <v>67</v>
      </c>
      <c r="X377">
        <v>66.709999999999994</v>
      </c>
      <c r="Y377" t="s">
        <v>68</v>
      </c>
      <c r="Z377">
        <v>8.02</v>
      </c>
      <c r="AA377" t="s">
        <v>67</v>
      </c>
      <c r="AB377">
        <v>0.04</v>
      </c>
      <c r="AC377">
        <v>1654</v>
      </c>
      <c r="AD377" t="s">
        <v>67</v>
      </c>
      <c r="AE377">
        <v>49.06</v>
      </c>
      <c r="AF377">
        <v>7.51</v>
      </c>
      <c r="AG377" t="s">
        <v>67</v>
      </c>
      <c r="AH377">
        <v>0.05</v>
      </c>
      <c r="AI377">
        <v>18.2</v>
      </c>
      <c r="AJ377" t="s">
        <v>67</v>
      </c>
      <c r="AK377">
        <v>0.4</v>
      </c>
      <c r="AL377">
        <v>22.1</v>
      </c>
      <c r="AM377" t="s">
        <v>67</v>
      </c>
      <c r="AN377">
        <v>1.01</v>
      </c>
      <c r="AO377">
        <v>1254</v>
      </c>
      <c r="AP377">
        <v>3.9</v>
      </c>
      <c r="AQ377" t="s">
        <v>67</v>
      </c>
      <c r="AR377" t="s">
        <v>129</v>
      </c>
      <c r="AS377" t="s">
        <v>130</v>
      </c>
      <c r="AT377" t="s">
        <v>70</v>
      </c>
      <c r="AU377" t="s">
        <v>131</v>
      </c>
      <c r="AV377" t="s">
        <v>132</v>
      </c>
      <c r="AW377" t="s">
        <v>132</v>
      </c>
      <c r="AX377" t="s">
        <v>73</v>
      </c>
      <c r="AY377">
        <v>35.04</v>
      </c>
      <c r="AZ377">
        <v>35.04</v>
      </c>
      <c r="BA377">
        <v>4.4000000000000003E-3</v>
      </c>
      <c r="BB377">
        <f>BA377*SQRT(BC377)</f>
        <v>2.4099792530227312E-2</v>
      </c>
      <c r="BC377">
        <v>30</v>
      </c>
      <c r="BD377">
        <v>34.96</v>
      </c>
      <c r="BE377">
        <v>34.96</v>
      </c>
      <c r="BF377">
        <v>7.1000000000000004E-3</v>
      </c>
      <c r="BG377">
        <f>BF377*SQRT(BH377)</f>
        <v>3.8888301582866797E-2</v>
      </c>
      <c r="BH377">
        <v>30</v>
      </c>
      <c r="BI377">
        <v>30</v>
      </c>
      <c r="BJ377">
        <v>3</v>
      </c>
      <c r="BK377">
        <v>-2.3E-3</v>
      </c>
      <c r="BL377">
        <v>1E-4</v>
      </c>
    </row>
    <row r="378" spans="1:64" hidden="1" x14ac:dyDescent="0.2">
      <c r="A378">
        <v>233</v>
      </c>
      <c r="D378" t="s">
        <v>54</v>
      </c>
      <c r="E378">
        <v>2018</v>
      </c>
      <c r="F378" t="s">
        <v>208</v>
      </c>
      <c r="G378" t="s">
        <v>209</v>
      </c>
      <c r="H378" t="s">
        <v>78</v>
      </c>
      <c r="L378" t="s">
        <v>210</v>
      </c>
      <c r="P378" t="s">
        <v>63</v>
      </c>
      <c r="S378" t="s">
        <v>74</v>
      </c>
      <c r="T378" t="s">
        <v>64</v>
      </c>
      <c r="U378" t="s">
        <v>75</v>
      </c>
      <c r="V378">
        <v>500</v>
      </c>
      <c r="AC378">
        <v>542</v>
      </c>
      <c r="AI378">
        <v>19.2</v>
      </c>
      <c r="AL378">
        <v>24.3</v>
      </c>
      <c r="AO378">
        <v>42</v>
      </c>
      <c r="AP378">
        <v>5.0999999999999996</v>
      </c>
      <c r="AQ378" t="s">
        <v>276</v>
      </c>
      <c r="AR378" t="s">
        <v>277</v>
      </c>
      <c r="AS378" t="s">
        <v>278</v>
      </c>
      <c r="AT378" t="s">
        <v>135</v>
      </c>
      <c r="AU378" t="s">
        <v>279</v>
      </c>
      <c r="AV378" t="s">
        <v>132</v>
      </c>
      <c r="AX378" t="s">
        <v>73</v>
      </c>
      <c r="AY378">
        <v>1.0900966459999999</v>
      </c>
      <c r="AZ378">
        <v>1.0901000000000001</v>
      </c>
      <c r="BA378">
        <v>3.2609436999999998E-2</v>
      </c>
      <c r="BC378">
        <v>9</v>
      </c>
      <c r="BD378">
        <v>0.885503127</v>
      </c>
      <c r="BE378">
        <v>0.885503127</v>
      </c>
      <c r="BF378">
        <v>7.0676521000000006E-2</v>
      </c>
      <c r="BH378">
        <v>9</v>
      </c>
      <c r="BI378">
        <v>28</v>
      </c>
      <c r="BK378">
        <v>-0.2079</v>
      </c>
      <c r="BL378">
        <v>7.3000000000000001E-3</v>
      </c>
    </row>
    <row r="379" spans="1:64" hidden="1" x14ac:dyDescent="0.2">
      <c r="A379">
        <v>145</v>
      </c>
      <c r="D379" t="s">
        <v>54</v>
      </c>
      <c r="E379">
        <v>2016</v>
      </c>
      <c r="F379" t="s">
        <v>198</v>
      </c>
      <c r="G379" t="s">
        <v>124</v>
      </c>
      <c r="H379" t="s">
        <v>57</v>
      </c>
      <c r="K379" t="s">
        <v>234</v>
      </c>
      <c r="L379" t="s">
        <v>200</v>
      </c>
      <c r="M379" t="s">
        <v>81</v>
      </c>
      <c r="N379" t="s">
        <v>81</v>
      </c>
      <c r="O379" t="s">
        <v>62</v>
      </c>
      <c r="P379" t="s">
        <v>63</v>
      </c>
      <c r="Q379" t="s">
        <v>64</v>
      </c>
      <c r="R379" t="s">
        <v>65</v>
      </c>
      <c r="S379" t="s">
        <v>74</v>
      </c>
      <c r="T379" t="s">
        <v>64</v>
      </c>
      <c r="U379" t="s">
        <v>75</v>
      </c>
      <c r="V379">
        <v>410</v>
      </c>
      <c r="W379">
        <v>19.16</v>
      </c>
      <c r="X379" t="s">
        <v>67</v>
      </c>
      <c r="Y379" t="s">
        <v>96</v>
      </c>
      <c r="Z379">
        <v>8.08</v>
      </c>
      <c r="AA379">
        <v>0.05</v>
      </c>
      <c r="AB379" t="s">
        <v>67</v>
      </c>
      <c r="AC379">
        <v>440</v>
      </c>
      <c r="AD379">
        <v>27.7</v>
      </c>
      <c r="AE379" t="s">
        <v>67</v>
      </c>
      <c r="AF379">
        <v>8</v>
      </c>
      <c r="AG379">
        <v>0.11</v>
      </c>
      <c r="AH379" t="s">
        <v>67</v>
      </c>
      <c r="AI379">
        <v>15.2</v>
      </c>
      <c r="AJ379">
        <v>0.7</v>
      </c>
      <c r="AK379" t="s">
        <v>67</v>
      </c>
      <c r="AL379">
        <v>20.2</v>
      </c>
      <c r="AM379">
        <v>0.6</v>
      </c>
      <c r="AN379" t="s">
        <v>67</v>
      </c>
      <c r="AO379">
        <v>29</v>
      </c>
      <c r="AP379">
        <v>5</v>
      </c>
      <c r="AQ379" t="s">
        <v>218</v>
      </c>
      <c r="AR379" t="s">
        <v>382</v>
      </c>
      <c r="AS379" t="s">
        <v>361</v>
      </c>
      <c r="AT379" t="s">
        <v>70</v>
      </c>
      <c r="AU379" t="s">
        <v>383</v>
      </c>
      <c r="AV379" t="s">
        <v>363</v>
      </c>
      <c r="AX379" t="s">
        <v>73</v>
      </c>
      <c r="AY379">
        <v>0.65659999999999996</v>
      </c>
      <c r="AZ379">
        <v>0.65656999999999999</v>
      </c>
      <c r="BA379">
        <v>0.04</v>
      </c>
      <c r="BC379">
        <v>7</v>
      </c>
      <c r="BD379">
        <v>0.42920000000000003</v>
      </c>
      <c r="BE379">
        <v>0.42919708000000001</v>
      </c>
      <c r="BF379">
        <v>2.5499999999999998E-2</v>
      </c>
      <c r="BH379">
        <v>7</v>
      </c>
      <c r="BI379">
        <v>240</v>
      </c>
      <c r="BJ379">
        <v>7</v>
      </c>
      <c r="BK379">
        <v>-0.42509999999999998</v>
      </c>
      <c r="BL379">
        <v>7.4000000000000003E-3</v>
      </c>
    </row>
    <row r="380" spans="1:64" hidden="1" x14ac:dyDescent="0.2">
      <c r="A380">
        <v>132</v>
      </c>
      <c r="D380" t="s">
        <v>54</v>
      </c>
      <c r="E380">
        <v>2015</v>
      </c>
      <c r="F380" t="s">
        <v>283</v>
      </c>
      <c r="G380" t="s">
        <v>181</v>
      </c>
      <c r="H380" t="s">
        <v>284</v>
      </c>
      <c r="K380" t="s">
        <v>285</v>
      </c>
      <c r="L380" t="s">
        <v>286</v>
      </c>
      <c r="M380" t="s">
        <v>81</v>
      </c>
      <c r="N380" t="s">
        <v>81</v>
      </c>
      <c r="O380" t="s">
        <v>62</v>
      </c>
      <c r="P380" t="s">
        <v>196</v>
      </c>
      <c r="Q380" t="s">
        <v>64</v>
      </c>
      <c r="R380" t="s">
        <v>83</v>
      </c>
      <c r="S380" t="s">
        <v>74</v>
      </c>
      <c r="T380" t="s">
        <v>64</v>
      </c>
      <c r="U380" t="s">
        <v>75</v>
      </c>
      <c r="V380">
        <v>372</v>
      </c>
      <c r="W380" t="s">
        <v>67</v>
      </c>
      <c r="X380">
        <v>51.9</v>
      </c>
      <c r="Y380" t="s">
        <v>68</v>
      </c>
      <c r="Z380">
        <v>8.02</v>
      </c>
      <c r="AA380" t="s">
        <v>67</v>
      </c>
      <c r="AB380">
        <v>0.05</v>
      </c>
      <c r="AC380">
        <v>382</v>
      </c>
      <c r="AD380" t="s">
        <v>67</v>
      </c>
      <c r="AE380">
        <v>87.5</v>
      </c>
      <c r="AF380">
        <v>8</v>
      </c>
      <c r="AG380" t="s">
        <v>67</v>
      </c>
      <c r="AH380">
        <v>7.0000000000000007E-2</v>
      </c>
      <c r="AI380">
        <v>25.9</v>
      </c>
      <c r="AJ380" t="s">
        <v>67</v>
      </c>
      <c r="AK380">
        <v>0.7</v>
      </c>
      <c r="AL380">
        <v>29.9</v>
      </c>
      <c r="AM380" t="s">
        <v>67</v>
      </c>
      <c r="AN380">
        <v>0.2</v>
      </c>
      <c r="AO380">
        <v>10</v>
      </c>
      <c r="AP380">
        <v>4</v>
      </c>
      <c r="AQ380" t="s">
        <v>67</v>
      </c>
      <c r="AR380" t="s">
        <v>287</v>
      </c>
      <c r="AS380" t="s">
        <v>134</v>
      </c>
      <c r="AT380" t="s">
        <v>135</v>
      </c>
      <c r="AU380" t="s">
        <v>288</v>
      </c>
      <c r="AV380" t="s">
        <v>137</v>
      </c>
      <c r="AX380" t="s">
        <v>73</v>
      </c>
      <c r="AY380">
        <v>3.97</v>
      </c>
      <c r="AZ380">
        <v>3.97</v>
      </c>
      <c r="BA380">
        <v>0.15509999999999999</v>
      </c>
      <c r="BC380">
        <v>6</v>
      </c>
      <c r="BD380">
        <v>5.47</v>
      </c>
      <c r="BE380">
        <v>5.47</v>
      </c>
      <c r="BF380">
        <v>0.42049999999999998</v>
      </c>
      <c r="BH380">
        <v>6</v>
      </c>
      <c r="BI380">
        <v>31</v>
      </c>
      <c r="BJ380">
        <v>3</v>
      </c>
      <c r="BK380">
        <v>0.32050000000000001</v>
      </c>
      <c r="BL380">
        <v>7.4000000000000003E-3</v>
      </c>
    </row>
    <row r="381" spans="1:64" hidden="1" x14ac:dyDescent="0.2">
      <c r="A381">
        <v>159</v>
      </c>
      <c r="D381" t="s">
        <v>54</v>
      </c>
      <c r="E381">
        <v>2018</v>
      </c>
      <c r="F381" t="s">
        <v>326</v>
      </c>
      <c r="G381" t="s">
        <v>327</v>
      </c>
      <c r="H381" t="s">
        <v>78</v>
      </c>
      <c r="K381" t="s">
        <v>205</v>
      </c>
      <c r="L381" t="s">
        <v>225</v>
      </c>
      <c r="M381" t="s">
        <v>120</v>
      </c>
      <c r="N381" t="s">
        <v>120</v>
      </c>
      <c r="O381" t="s">
        <v>110</v>
      </c>
      <c r="P381" t="s">
        <v>196</v>
      </c>
      <c r="Q381" t="s">
        <v>64</v>
      </c>
      <c r="R381" t="s">
        <v>83</v>
      </c>
      <c r="S381" t="s">
        <v>74</v>
      </c>
      <c r="T381" t="s">
        <v>64</v>
      </c>
      <c r="U381" t="s">
        <v>75</v>
      </c>
      <c r="V381">
        <v>390</v>
      </c>
      <c r="W381" t="s">
        <v>67</v>
      </c>
      <c r="X381" t="s">
        <v>67</v>
      </c>
      <c r="Y381" t="s">
        <v>67</v>
      </c>
      <c r="Z381" t="s">
        <v>67</v>
      </c>
      <c r="AA381" t="s">
        <v>67</v>
      </c>
      <c r="AB381" t="s">
        <v>67</v>
      </c>
      <c r="AC381">
        <v>390</v>
      </c>
      <c r="AD381" t="s">
        <v>67</v>
      </c>
      <c r="AE381" t="s">
        <v>67</v>
      </c>
      <c r="AF381" t="s">
        <v>67</v>
      </c>
      <c r="AG381" t="s">
        <v>67</v>
      </c>
      <c r="AH381" t="s">
        <v>67</v>
      </c>
      <c r="AI381">
        <v>0</v>
      </c>
      <c r="AJ381" t="s">
        <v>67</v>
      </c>
      <c r="AK381" t="s">
        <v>67</v>
      </c>
      <c r="AL381">
        <v>6</v>
      </c>
      <c r="AM381" t="s">
        <v>67</v>
      </c>
      <c r="AN381" t="s">
        <v>67</v>
      </c>
      <c r="AO381">
        <v>0</v>
      </c>
      <c r="AP381">
        <v>6</v>
      </c>
      <c r="AQ381" t="s">
        <v>67</v>
      </c>
      <c r="AR381" t="s">
        <v>328</v>
      </c>
      <c r="AS381" t="s">
        <v>329</v>
      </c>
      <c r="AT381" t="s">
        <v>70</v>
      </c>
      <c r="AU381" t="s">
        <v>330</v>
      </c>
      <c r="AV381" t="s">
        <v>251</v>
      </c>
      <c r="AX381" t="s">
        <v>73</v>
      </c>
      <c r="AY381">
        <v>3.49</v>
      </c>
      <c r="AZ381">
        <v>3.49</v>
      </c>
      <c r="BA381">
        <v>0.19</v>
      </c>
      <c r="BC381">
        <v>5</v>
      </c>
      <c r="BD381">
        <v>3.37</v>
      </c>
      <c r="BE381">
        <v>3.37</v>
      </c>
      <c r="BF381">
        <v>0.23</v>
      </c>
      <c r="BH381">
        <v>4</v>
      </c>
      <c r="BI381">
        <v>120</v>
      </c>
      <c r="BJ381" t="s">
        <v>67</v>
      </c>
      <c r="BK381">
        <v>-3.5000000000000003E-2</v>
      </c>
      <c r="BL381">
        <v>7.6E-3</v>
      </c>
    </row>
    <row r="382" spans="1:64" hidden="1" x14ac:dyDescent="0.2">
      <c r="A382">
        <v>145</v>
      </c>
      <c r="D382" t="s">
        <v>54</v>
      </c>
      <c r="E382">
        <v>2016</v>
      </c>
      <c r="F382" t="s">
        <v>198</v>
      </c>
      <c r="G382" t="s">
        <v>124</v>
      </c>
      <c r="H382" t="s">
        <v>57</v>
      </c>
      <c r="K382" t="s">
        <v>234</v>
      </c>
      <c r="L382" t="s">
        <v>200</v>
      </c>
      <c r="M382" t="s">
        <v>81</v>
      </c>
      <c r="N382" t="s">
        <v>81</v>
      </c>
      <c r="O382" t="s">
        <v>62</v>
      </c>
      <c r="P382" t="s">
        <v>63</v>
      </c>
      <c r="Q382" t="s">
        <v>64</v>
      </c>
      <c r="R382" t="s">
        <v>65</v>
      </c>
      <c r="S382" t="s">
        <v>64</v>
      </c>
      <c r="T382" t="s">
        <v>64</v>
      </c>
      <c r="U382" t="s">
        <v>66</v>
      </c>
      <c r="V382">
        <v>410</v>
      </c>
      <c r="W382">
        <v>19.16</v>
      </c>
      <c r="X382" t="s">
        <v>67</v>
      </c>
      <c r="Y382" t="s">
        <v>96</v>
      </c>
      <c r="Z382">
        <v>8.08</v>
      </c>
      <c r="AA382">
        <v>0.05</v>
      </c>
      <c r="AB382" t="s">
        <v>67</v>
      </c>
      <c r="AC382">
        <v>1086</v>
      </c>
      <c r="AD382">
        <v>93.68</v>
      </c>
      <c r="AE382" t="s">
        <v>67</v>
      </c>
      <c r="AF382">
        <v>7.71</v>
      </c>
      <c r="AG382">
        <v>0.06</v>
      </c>
      <c r="AH382" t="s">
        <v>67</v>
      </c>
      <c r="AI382">
        <v>15.2</v>
      </c>
      <c r="AJ382">
        <v>0.7</v>
      </c>
      <c r="AK382" t="s">
        <v>67</v>
      </c>
      <c r="AL382">
        <v>17.899999999999999</v>
      </c>
      <c r="AM382">
        <v>0.5</v>
      </c>
      <c r="AN382" t="s">
        <v>67</v>
      </c>
      <c r="AO382">
        <v>676</v>
      </c>
      <c r="AP382">
        <v>2.7</v>
      </c>
      <c r="AQ382" t="s">
        <v>201</v>
      </c>
      <c r="AR382" t="s">
        <v>382</v>
      </c>
      <c r="AS382" t="s">
        <v>361</v>
      </c>
      <c r="AT382" t="s">
        <v>70</v>
      </c>
      <c r="AU382" t="s">
        <v>383</v>
      </c>
      <c r="AV382" t="s">
        <v>363</v>
      </c>
      <c r="AX382" t="s">
        <v>73</v>
      </c>
      <c r="AY382">
        <v>0.68469999999999998</v>
      </c>
      <c r="AZ382">
        <v>0.68467</v>
      </c>
      <c r="BA382">
        <v>0.04</v>
      </c>
      <c r="BC382">
        <v>7</v>
      </c>
      <c r="BD382">
        <v>1.1547000000000001</v>
      </c>
      <c r="BE382">
        <v>1.154744526</v>
      </c>
      <c r="BF382">
        <v>7.4099999999999999E-2</v>
      </c>
      <c r="BH382">
        <v>7</v>
      </c>
      <c r="BI382">
        <v>240</v>
      </c>
      <c r="BJ382">
        <v>7</v>
      </c>
      <c r="BK382">
        <v>0.52270000000000005</v>
      </c>
      <c r="BL382">
        <v>7.7000000000000002E-3</v>
      </c>
    </row>
    <row r="383" spans="1:64" hidden="1" x14ac:dyDescent="0.2">
      <c r="A383">
        <v>164</v>
      </c>
      <c r="D383" t="s">
        <v>54</v>
      </c>
      <c r="E383">
        <v>2017</v>
      </c>
      <c r="F383" t="s">
        <v>371</v>
      </c>
      <c r="G383" t="s">
        <v>224</v>
      </c>
      <c r="H383" t="s">
        <v>78</v>
      </c>
      <c r="K383" t="s">
        <v>79</v>
      </c>
      <c r="L383" t="s">
        <v>225</v>
      </c>
      <c r="M383" t="s">
        <v>120</v>
      </c>
      <c r="N383" t="s">
        <v>120</v>
      </c>
      <c r="O383" t="s">
        <v>110</v>
      </c>
      <c r="P383" t="s">
        <v>63</v>
      </c>
      <c r="Q383" t="s">
        <v>64</v>
      </c>
      <c r="R383" t="s">
        <v>83</v>
      </c>
      <c r="S383" t="s">
        <v>74</v>
      </c>
      <c r="T383" t="s">
        <v>64</v>
      </c>
      <c r="U383" t="s">
        <v>75</v>
      </c>
      <c r="V383">
        <v>435</v>
      </c>
      <c r="W383" t="s">
        <v>67</v>
      </c>
      <c r="X383">
        <v>19</v>
      </c>
      <c r="Y383" t="s">
        <v>157</v>
      </c>
      <c r="Z383">
        <v>8.01</v>
      </c>
      <c r="AA383" t="s">
        <v>67</v>
      </c>
      <c r="AB383">
        <v>0.02</v>
      </c>
      <c r="AC383">
        <v>433</v>
      </c>
      <c r="AD383" t="s">
        <v>67</v>
      </c>
      <c r="AE383">
        <v>17</v>
      </c>
      <c r="AF383">
        <v>8.0399999999999991</v>
      </c>
      <c r="AG383" t="s">
        <v>67</v>
      </c>
      <c r="AH383">
        <v>0.02</v>
      </c>
      <c r="AI383">
        <v>5.7</v>
      </c>
      <c r="AJ383" t="s">
        <v>67</v>
      </c>
      <c r="AK383">
        <v>0.23</v>
      </c>
      <c r="AL383">
        <v>8.1999999999999993</v>
      </c>
      <c r="AM383" t="s">
        <v>67</v>
      </c>
      <c r="AN383">
        <v>0.14000000000000001</v>
      </c>
      <c r="AO383">
        <v>-2</v>
      </c>
      <c r="AP383">
        <v>2.5</v>
      </c>
      <c r="AQ383" t="s">
        <v>67</v>
      </c>
      <c r="AR383" t="s">
        <v>293</v>
      </c>
      <c r="AS383" t="s">
        <v>293</v>
      </c>
      <c r="AT383" t="s">
        <v>70</v>
      </c>
      <c r="AU383" t="s">
        <v>310</v>
      </c>
      <c r="AV383" t="s">
        <v>72</v>
      </c>
      <c r="AX383" t="s">
        <v>73</v>
      </c>
      <c r="AY383">
        <v>21.8</v>
      </c>
      <c r="AZ383">
        <v>21.8</v>
      </c>
      <c r="BA383">
        <v>0.83720000000000006</v>
      </c>
      <c r="BC383">
        <v>12</v>
      </c>
      <c r="BD383">
        <v>21.2</v>
      </c>
      <c r="BE383">
        <v>21.2</v>
      </c>
      <c r="BF383">
        <v>1.6742999999999999</v>
      </c>
      <c r="BH383">
        <v>12</v>
      </c>
      <c r="BI383">
        <v>50</v>
      </c>
      <c r="BJ383">
        <v>8</v>
      </c>
      <c r="BK383">
        <v>-2.7900000000000001E-2</v>
      </c>
      <c r="BL383">
        <v>7.7000000000000002E-3</v>
      </c>
    </row>
    <row r="384" spans="1:64" hidden="1" x14ac:dyDescent="0.2">
      <c r="A384">
        <v>136</v>
      </c>
      <c r="D384" t="s">
        <v>54</v>
      </c>
      <c r="E384">
        <v>2012</v>
      </c>
      <c r="F384" t="s">
        <v>384</v>
      </c>
      <c r="G384" t="s">
        <v>199</v>
      </c>
      <c r="H384" t="s">
        <v>78</v>
      </c>
      <c r="K384" t="s">
        <v>93</v>
      </c>
      <c r="L384" t="s">
        <v>94</v>
      </c>
      <c r="M384" t="s">
        <v>95</v>
      </c>
      <c r="N384" t="s">
        <v>61</v>
      </c>
      <c r="O384" t="s">
        <v>62</v>
      </c>
      <c r="P384" t="s">
        <v>63</v>
      </c>
      <c r="Q384" t="s">
        <v>74</v>
      </c>
      <c r="R384" t="s">
        <v>83</v>
      </c>
      <c r="S384" t="s">
        <v>64</v>
      </c>
      <c r="T384" t="s">
        <v>64</v>
      </c>
      <c r="U384" t="s">
        <v>66</v>
      </c>
      <c r="V384">
        <v>433</v>
      </c>
      <c r="W384" t="s">
        <v>67</v>
      </c>
      <c r="X384">
        <v>69</v>
      </c>
      <c r="Y384" t="s">
        <v>96</v>
      </c>
      <c r="Z384">
        <v>8.2100000000000009</v>
      </c>
      <c r="AA384" t="s">
        <v>67</v>
      </c>
      <c r="AB384">
        <v>0.05</v>
      </c>
      <c r="AC384">
        <v>912</v>
      </c>
      <c r="AD384" t="s">
        <v>67</v>
      </c>
      <c r="AE384">
        <v>93</v>
      </c>
      <c r="AF384">
        <v>7.93</v>
      </c>
      <c r="AG384" t="s">
        <v>67</v>
      </c>
      <c r="AH384">
        <v>0.06</v>
      </c>
      <c r="AI384">
        <v>28.1</v>
      </c>
      <c r="AJ384" t="s">
        <v>67</v>
      </c>
      <c r="AK384">
        <v>0.12</v>
      </c>
      <c r="AL384">
        <v>31.5</v>
      </c>
      <c r="AM384">
        <v>0.02</v>
      </c>
      <c r="AN384" t="s">
        <v>67</v>
      </c>
      <c r="AO384">
        <v>479</v>
      </c>
      <c r="AP384">
        <v>3.4</v>
      </c>
      <c r="AQ384" t="s">
        <v>67</v>
      </c>
      <c r="AR384" t="s">
        <v>385</v>
      </c>
      <c r="AS384" t="s">
        <v>386</v>
      </c>
      <c r="AT384" t="s">
        <v>135</v>
      </c>
      <c r="AU384" t="s">
        <v>387</v>
      </c>
      <c r="AV384" t="s">
        <v>251</v>
      </c>
      <c r="AX384" t="s">
        <v>73</v>
      </c>
      <c r="AY384">
        <v>98</v>
      </c>
      <c r="AZ384">
        <v>98</v>
      </c>
      <c r="BA384">
        <v>8</v>
      </c>
      <c r="BC384">
        <v>5</v>
      </c>
      <c r="BD384">
        <v>120</v>
      </c>
      <c r="BE384">
        <v>120</v>
      </c>
      <c r="BF384">
        <v>4</v>
      </c>
      <c r="BH384">
        <v>5</v>
      </c>
      <c r="BI384">
        <v>21</v>
      </c>
      <c r="BJ384" t="s">
        <v>67</v>
      </c>
      <c r="BK384">
        <v>0.20250000000000001</v>
      </c>
      <c r="BL384">
        <v>7.7999999999999996E-3</v>
      </c>
    </row>
    <row r="385" spans="1:64" x14ac:dyDescent="0.2">
      <c r="A385">
        <v>169</v>
      </c>
      <c r="B385" t="str">
        <f>ROW()-1&amp;"_AltersFish"</f>
        <v>384_AltersFish</v>
      </c>
      <c r="C385" t="str">
        <f>A385 &amp; "_" &amp; P385 &amp; "_" &amp;
SUBSTITUTE(TRIM(L385)," ","_") &amp;
"_pH" &amp; TEXT(Z385,"0.00") &amp;
"_T" &amp; TEXT(AI385,"0.00") &amp;
"_CO2" &amp; TEXT(V385,"0") &amp;
"_LANG"</f>
        <v>169_LARVA_Solea_senegalensis_pH8.02_T18.20_CO2400_LANG</v>
      </c>
      <c r="D385" t="s">
        <v>54</v>
      </c>
      <c r="E385">
        <v>2014</v>
      </c>
      <c r="F385" t="s">
        <v>123</v>
      </c>
      <c r="G385" t="s">
        <v>124</v>
      </c>
      <c r="H385" t="s">
        <v>78</v>
      </c>
      <c r="I385" t="s">
        <v>540</v>
      </c>
      <c r="J385" t="s">
        <v>543</v>
      </c>
      <c r="K385" t="s">
        <v>79</v>
      </c>
      <c r="L385" t="s">
        <v>125</v>
      </c>
      <c r="M385" t="s">
        <v>126</v>
      </c>
      <c r="N385" t="s">
        <v>81</v>
      </c>
      <c r="O385" t="s">
        <v>106</v>
      </c>
      <c r="P385" t="s">
        <v>107</v>
      </c>
      <c r="Q385" t="s">
        <v>64</v>
      </c>
      <c r="R385" t="s">
        <v>83</v>
      </c>
      <c r="S385" t="s">
        <v>74</v>
      </c>
      <c r="T385" t="s">
        <v>64</v>
      </c>
      <c r="U385" t="s">
        <v>75</v>
      </c>
      <c r="V385">
        <v>400</v>
      </c>
      <c r="W385" t="s">
        <v>67</v>
      </c>
      <c r="X385">
        <v>66.709999999999994</v>
      </c>
      <c r="Y385" t="s">
        <v>68</v>
      </c>
      <c r="Z385">
        <v>8.02</v>
      </c>
      <c r="AA385" t="s">
        <v>67</v>
      </c>
      <c r="AB385">
        <v>0.04</v>
      </c>
      <c r="AC385">
        <v>425</v>
      </c>
      <c r="AD385" t="s">
        <v>67</v>
      </c>
      <c r="AE385">
        <v>19.97</v>
      </c>
      <c r="AF385">
        <v>8.0299999999999994</v>
      </c>
      <c r="AG385" t="s">
        <v>67</v>
      </c>
      <c r="AH385">
        <v>0.05</v>
      </c>
      <c r="AI385">
        <v>18.2</v>
      </c>
      <c r="AJ385" t="s">
        <v>67</v>
      </c>
      <c r="AK385">
        <v>0.4</v>
      </c>
      <c r="AL385">
        <v>22</v>
      </c>
      <c r="AM385" t="s">
        <v>67</v>
      </c>
      <c r="AN385">
        <v>0.42</v>
      </c>
      <c r="AO385">
        <v>25</v>
      </c>
      <c r="AP385">
        <v>3.8</v>
      </c>
      <c r="AQ385" t="s">
        <v>67</v>
      </c>
      <c r="AR385" t="s">
        <v>138</v>
      </c>
      <c r="AS385" t="s">
        <v>130</v>
      </c>
      <c r="AT385" t="s">
        <v>70</v>
      </c>
      <c r="AU385" t="s">
        <v>131</v>
      </c>
      <c r="AV385" t="s">
        <v>132</v>
      </c>
      <c r="AW385" t="s">
        <v>132</v>
      </c>
      <c r="AX385" t="s">
        <v>73</v>
      </c>
      <c r="AY385">
        <v>36.96</v>
      </c>
      <c r="AZ385">
        <v>36.96</v>
      </c>
      <c r="BA385">
        <v>0.01</v>
      </c>
      <c r="BB385">
        <f>BA385*SQRT(BC385)</f>
        <v>5.4772255750516613E-2</v>
      </c>
      <c r="BC385">
        <v>30</v>
      </c>
      <c r="BD385">
        <v>38.28</v>
      </c>
      <c r="BE385">
        <v>38.28</v>
      </c>
      <c r="BF385">
        <v>2.8999999999999998E-3</v>
      </c>
      <c r="BG385">
        <f>BF385*SQRT(BH385)</f>
        <v>1.5883954167649816E-2</v>
      </c>
      <c r="BH385">
        <v>30</v>
      </c>
      <c r="BI385">
        <v>30</v>
      </c>
      <c r="BJ385">
        <v>3</v>
      </c>
      <c r="BK385">
        <v>3.5099999999999999E-2</v>
      </c>
      <c r="BL385">
        <v>1E-4</v>
      </c>
    </row>
    <row r="386" spans="1:64" hidden="1" x14ac:dyDescent="0.2">
      <c r="A386">
        <v>147</v>
      </c>
      <c r="D386" t="s">
        <v>54</v>
      </c>
      <c r="E386">
        <v>2014</v>
      </c>
      <c r="F386" t="s">
        <v>317</v>
      </c>
      <c r="G386" t="s">
        <v>318</v>
      </c>
      <c r="H386" t="s">
        <v>78</v>
      </c>
      <c r="K386" t="s">
        <v>319</v>
      </c>
      <c r="L386" t="s">
        <v>320</v>
      </c>
      <c r="M386" t="s">
        <v>81</v>
      </c>
      <c r="N386" t="s">
        <v>81</v>
      </c>
      <c r="O386" t="s">
        <v>62</v>
      </c>
      <c r="P386" t="s">
        <v>63</v>
      </c>
      <c r="Q386" t="s">
        <v>74</v>
      </c>
      <c r="R386" t="s">
        <v>83</v>
      </c>
      <c r="S386" t="s">
        <v>64</v>
      </c>
      <c r="T386" t="s">
        <v>74</v>
      </c>
      <c r="U386" t="s">
        <v>84</v>
      </c>
      <c r="V386">
        <v>330</v>
      </c>
      <c r="W386">
        <v>9.5</v>
      </c>
      <c r="X386" t="s">
        <v>67</v>
      </c>
      <c r="Y386" t="s">
        <v>68</v>
      </c>
      <c r="Z386">
        <v>8.11</v>
      </c>
      <c r="AA386">
        <v>0.01</v>
      </c>
      <c r="AB386" t="s">
        <v>67</v>
      </c>
      <c r="AC386">
        <v>889</v>
      </c>
      <c r="AD386">
        <v>43.5</v>
      </c>
      <c r="AE386" t="s">
        <v>67</v>
      </c>
      <c r="AF386">
        <v>7.71</v>
      </c>
      <c r="AG386">
        <v>0.03</v>
      </c>
      <c r="AH386" t="s">
        <v>67</v>
      </c>
      <c r="AI386">
        <v>5.2</v>
      </c>
      <c r="AJ386">
        <v>0.11</v>
      </c>
      <c r="AK386" t="s">
        <v>67</v>
      </c>
      <c r="AL386">
        <v>5.0999999999999996</v>
      </c>
      <c r="AM386">
        <v>0.11</v>
      </c>
      <c r="AN386" t="s">
        <v>67</v>
      </c>
      <c r="AO386">
        <v>559</v>
      </c>
      <c r="AP386">
        <v>0</v>
      </c>
      <c r="AQ386" t="s">
        <v>67</v>
      </c>
      <c r="AR386" t="s">
        <v>360</v>
      </c>
      <c r="AS386" t="s">
        <v>361</v>
      </c>
      <c r="AT386" t="s">
        <v>70</v>
      </c>
      <c r="AU386" t="s">
        <v>362</v>
      </c>
      <c r="AV386" t="s">
        <v>363</v>
      </c>
      <c r="AX386" t="s">
        <v>73</v>
      </c>
      <c r="AY386">
        <v>170.63659999999999</v>
      </c>
      <c r="AZ386">
        <v>170.63655</v>
      </c>
      <c r="BA386">
        <v>11.09</v>
      </c>
      <c r="BC386">
        <v>8</v>
      </c>
      <c r="BD386">
        <v>180.90350000000001</v>
      </c>
      <c r="BE386">
        <v>180.90349079999999</v>
      </c>
      <c r="BF386">
        <v>11.0883</v>
      </c>
      <c r="BH386">
        <v>8</v>
      </c>
      <c r="BI386">
        <v>105</v>
      </c>
      <c r="BJ386">
        <v>2</v>
      </c>
      <c r="BK386">
        <v>5.8400000000000001E-2</v>
      </c>
      <c r="BL386">
        <v>8.0000000000000002E-3</v>
      </c>
    </row>
    <row r="387" spans="1:64" hidden="1" x14ac:dyDescent="0.2">
      <c r="A387">
        <v>209</v>
      </c>
      <c r="D387" t="s">
        <v>54</v>
      </c>
      <c r="E387">
        <v>2020</v>
      </c>
      <c r="F387" t="s">
        <v>223</v>
      </c>
      <c r="G387" t="s">
        <v>224</v>
      </c>
      <c r="H387" t="s">
        <v>78</v>
      </c>
      <c r="K387" t="s">
        <v>205</v>
      </c>
      <c r="L387" t="s">
        <v>225</v>
      </c>
      <c r="M387" t="s">
        <v>120</v>
      </c>
      <c r="N387" t="s">
        <v>120</v>
      </c>
      <c r="O387" t="s">
        <v>110</v>
      </c>
      <c r="P387" t="s">
        <v>63</v>
      </c>
      <c r="Q387" t="s">
        <v>64</v>
      </c>
      <c r="R387" t="s">
        <v>83</v>
      </c>
      <c r="S387" t="s">
        <v>64</v>
      </c>
      <c r="T387" t="s">
        <v>64</v>
      </c>
      <c r="U387" t="s">
        <v>66</v>
      </c>
      <c r="V387">
        <v>437.09</v>
      </c>
      <c r="W387" t="s">
        <v>67</v>
      </c>
      <c r="X387">
        <v>21.6</v>
      </c>
      <c r="Y387" t="s">
        <v>68</v>
      </c>
      <c r="Z387">
        <v>8.0299999999999994</v>
      </c>
      <c r="AA387" t="s">
        <v>67</v>
      </c>
      <c r="AB387">
        <v>0.02</v>
      </c>
      <c r="AC387">
        <v>1052.8800000000001</v>
      </c>
      <c r="AD387" t="s">
        <v>67</v>
      </c>
      <c r="AE387">
        <v>103.87</v>
      </c>
      <c r="AF387">
        <v>7.71</v>
      </c>
      <c r="AG387" t="s">
        <v>67</v>
      </c>
      <c r="AH387">
        <v>0.05</v>
      </c>
      <c r="AI387">
        <v>5.6</v>
      </c>
      <c r="AJ387" t="s">
        <v>67</v>
      </c>
      <c r="AK387">
        <v>0.19</v>
      </c>
      <c r="AL387">
        <v>8.1</v>
      </c>
      <c r="AM387" t="s">
        <v>67</v>
      </c>
      <c r="AN387">
        <v>0.13</v>
      </c>
      <c r="AO387">
        <v>616</v>
      </c>
      <c r="AP387">
        <v>2.5</v>
      </c>
      <c r="AQ387" t="s">
        <v>67</v>
      </c>
      <c r="AR387" t="s">
        <v>98</v>
      </c>
      <c r="AS387" t="s">
        <v>98</v>
      </c>
      <c r="AT387" t="s">
        <v>70</v>
      </c>
      <c r="AU387" t="s">
        <v>226</v>
      </c>
      <c r="AV387" t="s">
        <v>72</v>
      </c>
      <c r="AX387" t="s">
        <v>73</v>
      </c>
      <c r="AY387">
        <v>16.43</v>
      </c>
      <c r="AZ387">
        <v>16.43</v>
      </c>
      <c r="BA387">
        <v>0.2</v>
      </c>
      <c r="BC387">
        <v>6</v>
      </c>
      <c r="BD387">
        <v>17.12</v>
      </c>
      <c r="BE387">
        <v>17.12</v>
      </c>
      <c r="BF387">
        <v>1.52</v>
      </c>
      <c r="BH387">
        <v>4</v>
      </c>
      <c r="BI387">
        <v>120</v>
      </c>
      <c r="BJ387">
        <v>12</v>
      </c>
      <c r="BK387">
        <v>4.1099999999999998E-2</v>
      </c>
      <c r="BL387">
        <v>8.0000000000000002E-3</v>
      </c>
    </row>
    <row r="388" spans="1:64" hidden="1" x14ac:dyDescent="0.2">
      <c r="A388">
        <v>163</v>
      </c>
      <c r="D388" t="s">
        <v>54</v>
      </c>
      <c r="E388">
        <v>2018</v>
      </c>
      <c r="F388" t="s">
        <v>273</v>
      </c>
      <c r="G388" t="s">
        <v>230</v>
      </c>
      <c r="H388" t="s">
        <v>78</v>
      </c>
      <c r="K388" t="s">
        <v>79</v>
      </c>
      <c r="L388" t="s">
        <v>274</v>
      </c>
      <c r="M388" t="s">
        <v>95</v>
      </c>
      <c r="N388" t="s">
        <v>61</v>
      </c>
      <c r="O388" t="s">
        <v>62</v>
      </c>
      <c r="P388" t="s">
        <v>63</v>
      </c>
      <c r="Q388" t="s">
        <v>64</v>
      </c>
      <c r="R388" t="s">
        <v>65</v>
      </c>
      <c r="S388" t="s">
        <v>64</v>
      </c>
      <c r="T388" t="s">
        <v>74</v>
      </c>
      <c r="U388" t="s">
        <v>84</v>
      </c>
      <c r="V388">
        <v>435</v>
      </c>
      <c r="W388" t="s">
        <v>67</v>
      </c>
      <c r="X388">
        <v>38</v>
      </c>
      <c r="Y388" t="s">
        <v>67</v>
      </c>
      <c r="Z388" t="s">
        <v>67</v>
      </c>
      <c r="AA388" t="s">
        <v>67</v>
      </c>
      <c r="AB388" t="s">
        <v>67</v>
      </c>
      <c r="AC388">
        <v>992</v>
      </c>
      <c r="AD388" t="s">
        <v>67</v>
      </c>
      <c r="AE388">
        <v>19</v>
      </c>
      <c r="AF388" t="s">
        <v>67</v>
      </c>
      <c r="AG388" t="s">
        <v>67</v>
      </c>
      <c r="AH388" t="s">
        <v>67</v>
      </c>
      <c r="AI388">
        <v>28.8</v>
      </c>
      <c r="AJ388" t="s">
        <v>67</v>
      </c>
      <c r="AK388">
        <v>0.2</v>
      </c>
      <c r="AL388">
        <v>28.8</v>
      </c>
      <c r="AM388" t="s">
        <v>67</v>
      </c>
      <c r="AN388">
        <v>0.2</v>
      </c>
      <c r="AO388">
        <v>557</v>
      </c>
      <c r="AP388">
        <v>0</v>
      </c>
      <c r="AQ388" t="s">
        <v>67</v>
      </c>
      <c r="AR388" t="s">
        <v>353</v>
      </c>
      <c r="AS388" t="s">
        <v>354</v>
      </c>
      <c r="AT388" t="s">
        <v>70</v>
      </c>
      <c r="AU388" t="s">
        <v>355</v>
      </c>
      <c r="AV388" t="s">
        <v>251</v>
      </c>
      <c r="AX388" t="s">
        <v>73</v>
      </c>
      <c r="AY388">
        <v>6.4000000000000003E-3</v>
      </c>
      <c r="AZ388">
        <v>6.3699999999999998E-3</v>
      </c>
      <c r="BA388">
        <v>2.9999999999999997E-4</v>
      </c>
      <c r="BC388">
        <v>38</v>
      </c>
      <c r="BD388">
        <v>6.8999999999999999E-3</v>
      </c>
      <c r="BE388">
        <v>6.8947369999999997E-3</v>
      </c>
      <c r="BF388">
        <v>5.9999999999999995E-4</v>
      </c>
      <c r="BH388">
        <v>38</v>
      </c>
      <c r="BI388">
        <v>31</v>
      </c>
      <c r="BJ388">
        <v>6</v>
      </c>
      <c r="BK388">
        <v>7.9399999999999998E-2</v>
      </c>
      <c r="BL388">
        <v>8.0999999999999996E-3</v>
      </c>
    </row>
    <row r="389" spans="1:64" hidden="1" x14ac:dyDescent="0.2">
      <c r="A389">
        <v>151</v>
      </c>
      <c r="D389" t="s">
        <v>54</v>
      </c>
      <c r="E389">
        <v>2015</v>
      </c>
      <c r="F389" t="s">
        <v>262</v>
      </c>
      <c r="G389" t="s">
        <v>263</v>
      </c>
      <c r="H389" t="s">
        <v>57</v>
      </c>
      <c r="K389" t="s">
        <v>264</v>
      </c>
      <c r="L389" t="s">
        <v>265</v>
      </c>
      <c r="M389" t="s">
        <v>81</v>
      </c>
      <c r="N389" t="s">
        <v>81</v>
      </c>
      <c r="O389" t="s">
        <v>62</v>
      </c>
      <c r="P389" t="s">
        <v>63</v>
      </c>
      <c r="Q389" t="s">
        <v>64</v>
      </c>
      <c r="R389" t="s">
        <v>65</v>
      </c>
      <c r="S389" t="s">
        <v>74</v>
      </c>
      <c r="T389" t="s">
        <v>64</v>
      </c>
      <c r="U389" t="s">
        <v>75</v>
      </c>
      <c r="V389">
        <v>589</v>
      </c>
      <c r="W389">
        <v>50.9</v>
      </c>
      <c r="X389" t="s">
        <v>67</v>
      </c>
      <c r="Y389" t="s">
        <v>96</v>
      </c>
      <c r="Z389">
        <v>7.96</v>
      </c>
      <c r="AA389">
        <v>0.01</v>
      </c>
      <c r="AB389" t="s">
        <v>67</v>
      </c>
      <c r="AC389">
        <v>661</v>
      </c>
      <c r="AD389">
        <v>15.4</v>
      </c>
      <c r="AE389" t="s">
        <v>67</v>
      </c>
      <c r="AF389">
        <v>7.87</v>
      </c>
      <c r="AG389">
        <v>0.02</v>
      </c>
      <c r="AH389" t="s">
        <v>67</v>
      </c>
      <c r="AI389">
        <v>16.399999999999999</v>
      </c>
      <c r="AJ389">
        <v>0.1</v>
      </c>
      <c r="AK389" t="s">
        <v>67</v>
      </c>
      <c r="AL389">
        <v>18.8</v>
      </c>
      <c r="AM389">
        <v>0.3</v>
      </c>
      <c r="AN389" t="s">
        <v>67</v>
      </c>
      <c r="AO389">
        <v>72</v>
      </c>
      <c r="AP389">
        <v>2.4</v>
      </c>
      <c r="AQ389" t="s">
        <v>325</v>
      </c>
      <c r="AR389" t="s">
        <v>113</v>
      </c>
      <c r="AS389" t="s">
        <v>113</v>
      </c>
      <c r="AT389" t="s">
        <v>70</v>
      </c>
      <c r="AU389" t="s">
        <v>67</v>
      </c>
      <c r="AV389" t="s">
        <v>72</v>
      </c>
      <c r="AX389" t="s">
        <v>73</v>
      </c>
      <c r="AY389">
        <v>0.28520000000000001</v>
      </c>
      <c r="AZ389">
        <v>0.28520000000000001</v>
      </c>
      <c r="BA389">
        <v>0.02</v>
      </c>
      <c r="BC389">
        <v>4</v>
      </c>
      <c r="BD389">
        <v>0.58320000000000005</v>
      </c>
      <c r="BE389">
        <v>0.58324420700000001</v>
      </c>
      <c r="BF389">
        <v>4.2799999999999998E-2</v>
      </c>
      <c r="BH389">
        <v>4</v>
      </c>
      <c r="BI389">
        <v>56</v>
      </c>
      <c r="BJ389">
        <v>4</v>
      </c>
      <c r="BK389">
        <v>0.71540000000000004</v>
      </c>
      <c r="BL389">
        <v>8.3999999999999995E-3</v>
      </c>
    </row>
    <row r="390" spans="1:64" hidden="1" x14ac:dyDescent="0.2">
      <c r="A390">
        <v>164</v>
      </c>
      <c r="D390" t="s">
        <v>54</v>
      </c>
      <c r="E390">
        <v>2017</v>
      </c>
      <c r="F390" t="s">
        <v>371</v>
      </c>
      <c r="G390" t="s">
        <v>224</v>
      </c>
      <c r="H390" t="s">
        <v>78</v>
      </c>
      <c r="K390" t="s">
        <v>79</v>
      </c>
      <c r="L390" t="s">
        <v>225</v>
      </c>
      <c r="M390" t="s">
        <v>120</v>
      </c>
      <c r="N390" t="s">
        <v>120</v>
      </c>
      <c r="O390" t="s">
        <v>110</v>
      </c>
      <c r="P390" t="s">
        <v>63</v>
      </c>
      <c r="Q390" t="s">
        <v>64</v>
      </c>
      <c r="R390" t="s">
        <v>83</v>
      </c>
      <c r="S390" t="s">
        <v>74</v>
      </c>
      <c r="T390" t="s">
        <v>64</v>
      </c>
      <c r="U390" t="s">
        <v>75</v>
      </c>
      <c r="V390">
        <v>435</v>
      </c>
      <c r="W390" t="s">
        <v>67</v>
      </c>
      <c r="X390">
        <v>19</v>
      </c>
      <c r="Y390" t="s">
        <v>157</v>
      </c>
      <c r="Z390">
        <v>8.01</v>
      </c>
      <c r="AA390" t="s">
        <v>67</v>
      </c>
      <c r="AB390">
        <v>0.02</v>
      </c>
      <c r="AC390">
        <v>433</v>
      </c>
      <c r="AD390" t="s">
        <v>67</v>
      </c>
      <c r="AE390">
        <v>17</v>
      </c>
      <c r="AF390">
        <v>8.0399999999999991</v>
      </c>
      <c r="AG390" t="s">
        <v>67</v>
      </c>
      <c r="AH390">
        <v>0.02</v>
      </c>
      <c r="AI390">
        <v>5.7</v>
      </c>
      <c r="AJ390" t="s">
        <v>67</v>
      </c>
      <c r="AK390">
        <v>0.23</v>
      </c>
      <c r="AL390">
        <v>8.1999999999999993</v>
      </c>
      <c r="AM390" t="s">
        <v>67</v>
      </c>
      <c r="AN390">
        <v>0.14000000000000001</v>
      </c>
      <c r="AO390">
        <v>-2</v>
      </c>
      <c r="AP390">
        <v>2.5</v>
      </c>
      <c r="AQ390" t="s">
        <v>67</v>
      </c>
      <c r="AR390" t="s">
        <v>367</v>
      </c>
      <c r="AS390" t="s">
        <v>367</v>
      </c>
      <c r="AT390" t="s">
        <v>135</v>
      </c>
      <c r="AU390" t="s">
        <v>388</v>
      </c>
      <c r="AV390" t="s">
        <v>251</v>
      </c>
      <c r="AX390" t="s">
        <v>73</v>
      </c>
      <c r="AY390">
        <v>18.399999999999999</v>
      </c>
      <c r="AZ390">
        <v>18.399999999999999</v>
      </c>
      <c r="BA390">
        <v>1.2</v>
      </c>
      <c r="BC390">
        <v>12</v>
      </c>
      <c r="BD390">
        <v>21.4</v>
      </c>
      <c r="BE390">
        <v>21.4</v>
      </c>
      <c r="BF390">
        <v>1.4</v>
      </c>
      <c r="BH390">
        <v>12</v>
      </c>
      <c r="BI390">
        <v>42</v>
      </c>
      <c r="BJ390">
        <v>8</v>
      </c>
      <c r="BK390">
        <v>0.151</v>
      </c>
      <c r="BL390">
        <v>8.5000000000000006E-3</v>
      </c>
    </row>
    <row r="391" spans="1:64" hidden="1" x14ac:dyDescent="0.2">
      <c r="A391">
        <v>136</v>
      </c>
      <c r="D391" t="s">
        <v>54</v>
      </c>
      <c r="E391">
        <v>2012</v>
      </c>
      <c r="F391" t="s">
        <v>384</v>
      </c>
      <c r="G391" t="s">
        <v>199</v>
      </c>
      <c r="H391" t="s">
        <v>78</v>
      </c>
      <c r="K391" t="s">
        <v>93</v>
      </c>
      <c r="L391" t="s">
        <v>94</v>
      </c>
      <c r="M391" t="s">
        <v>95</v>
      </c>
      <c r="N391" t="s">
        <v>61</v>
      </c>
      <c r="O391" t="s">
        <v>62</v>
      </c>
      <c r="P391" t="s">
        <v>63</v>
      </c>
      <c r="Q391" t="s">
        <v>74</v>
      </c>
      <c r="R391" t="s">
        <v>83</v>
      </c>
      <c r="S391" t="s">
        <v>64</v>
      </c>
      <c r="T391" t="s">
        <v>64</v>
      </c>
      <c r="U391" t="s">
        <v>66</v>
      </c>
      <c r="V391">
        <v>433</v>
      </c>
      <c r="W391" t="s">
        <v>67</v>
      </c>
      <c r="X391">
        <v>69</v>
      </c>
      <c r="Y391" t="s">
        <v>96</v>
      </c>
      <c r="Z391">
        <v>8.2100000000000009</v>
      </c>
      <c r="AA391" t="s">
        <v>67</v>
      </c>
      <c r="AB391">
        <v>0.05</v>
      </c>
      <c r="AC391">
        <v>523</v>
      </c>
      <c r="AD391" t="s">
        <v>67</v>
      </c>
      <c r="AE391">
        <v>85</v>
      </c>
      <c r="AF391">
        <v>8.1199999999999992</v>
      </c>
      <c r="AG391" t="s">
        <v>67</v>
      </c>
      <c r="AH391">
        <v>0.06</v>
      </c>
      <c r="AI391">
        <v>28.1</v>
      </c>
      <c r="AJ391" t="s">
        <v>67</v>
      </c>
      <c r="AK391">
        <v>0.12</v>
      </c>
      <c r="AL391">
        <v>29.5</v>
      </c>
      <c r="AM391">
        <v>0.09</v>
      </c>
      <c r="AN391" t="s">
        <v>67</v>
      </c>
      <c r="AO391">
        <v>90</v>
      </c>
      <c r="AP391">
        <v>1.4</v>
      </c>
      <c r="AQ391" t="s">
        <v>67</v>
      </c>
      <c r="AR391" t="s">
        <v>385</v>
      </c>
      <c r="AS391" t="s">
        <v>386</v>
      </c>
      <c r="AT391" t="s">
        <v>135</v>
      </c>
      <c r="AU391" t="s">
        <v>387</v>
      </c>
      <c r="AV391" t="s">
        <v>251</v>
      </c>
      <c r="AX391" t="s">
        <v>73</v>
      </c>
      <c r="AY391">
        <v>98</v>
      </c>
      <c r="AZ391">
        <v>98</v>
      </c>
      <c r="BA391">
        <v>8</v>
      </c>
      <c r="BC391">
        <v>5</v>
      </c>
      <c r="BD391">
        <v>115</v>
      </c>
      <c r="BE391">
        <v>115</v>
      </c>
      <c r="BF391">
        <v>5</v>
      </c>
      <c r="BH391">
        <v>5</v>
      </c>
      <c r="BI391">
        <v>21</v>
      </c>
      <c r="BJ391" t="s">
        <v>67</v>
      </c>
      <c r="BK391">
        <v>0.16</v>
      </c>
      <c r="BL391">
        <v>8.6E-3</v>
      </c>
    </row>
    <row r="392" spans="1:64" x14ac:dyDescent="0.2">
      <c r="A392">
        <v>169</v>
      </c>
      <c r="B392" t="str">
        <f>ROW()-1&amp;"_AltersFish"</f>
        <v>391_AltersFish</v>
      </c>
      <c r="C392" t="str">
        <f>A392 &amp; "_" &amp; P392 &amp; "_" &amp;
SUBSTITUTE(TRIM(L392)," ","_") &amp;
"_pH" &amp; TEXT(Z392,"0.00") &amp;
"_T" &amp; TEXT(AI392,"0.00") &amp;
"_CO2" &amp; TEXT(V392,"0") &amp;
"_LANG"</f>
        <v>169_LARVA_Solea_senegalensis_pH8.02_T18.20_CO2400_LANG</v>
      </c>
      <c r="D392" t="s">
        <v>54</v>
      </c>
      <c r="E392">
        <v>2014</v>
      </c>
      <c r="F392" t="s">
        <v>123</v>
      </c>
      <c r="G392" t="s">
        <v>124</v>
      </c>
      <c r="H392" t="s">
        <v>78</v>
      </c>
      <c r="I392" t="s">
        <v>540</v>
      </c>
      <c r="J392" t="s">
        <v>543</v>
      </c>
      <c r="K392" t="s">
        <v>79</v>
      </c>
      <c r="L392" t="s">
        <v>125</v>
      </c>
      <c r="M392" t="s">
        <v>126</v>
      </c>
      <c r="N392" t="s">
        <v>81</v>
      </c>
      <c r="O392" t="s">
        <v>106</v>
      </c>
      <c r="P392" t="s">
        <v>107</v>
      </c>
      <c r="Q392" t="s">
        <v>64</v>
      </c>
      <c r="R392" t="s">
        <v>83</v>
      </c>
      <c r="S392" t="s">
        <v>64</v>
      </c>
      <c r="T392" t="s">
        <v>64</v>
      </c>
      <c r="U392" t="s">
        <v>66</v>
      </c>
      <c r="V392">
        <v>400</v>
      </c>
      <c r="W392" t="s">
        <v>67</v>
      </c>
      <c r="X392">
        <v>66.709999999999994</v>
      </c>
      <c r="Y392" t="s">
        <v>68</v>
      </c>
      <c r="Z392">
        <v>8.02</v>
      </c>
      <c r="AA392" t="s">
        <v>67</v>
      </c>
      <c r="AB392">
        <v>0.04</v>
      </c>
      <c r="AC392">
        <v>1654</v>
      </c>
      <c r="AD392" t="s">
        <v>67</v>
      </c>
      <c r="AE392">
        <v>49.06</v>
      </c>
      <c r="AF392">
        <v>7.51</v>
      </c>
      <c r="AG392" t="s">
        <v>67</v>
      </c>
      <c r="AH392">
        <v>0.05</v>
      </c>
      <c r="AI392">
        <v>18.2</v>
      </c>
      <c r="AJ392" t="s">
        <v>67</v>
      </c>
      <c r="AK392">
        <v>0.4</v>
      </c>
      <c r="AL392">
        <v>22.1</v>
      </c>
      <c r="AM392" t="s">
        <v>67</v>
      </c>
      <c r="AN392">
        <v>1.01</v>
      </c>
      <c r="AO392">
        <v>1254</v>
      </c>
      <c r="AP392">
        <v>3.9</v>
      </c>
      <c r="AQ392" t="s">
        <v>67</v>
      </c>
      <c r="AR392" t="s">
        <v>138</v>
      </c>
      <c r="AS392" t="s">
        <v>130</v>
      </c>
      <c r="AT392" t="s">
        <v>70</v>
      </c>
      <c r="AU392" t="s">
        <v>131</v>
      </c>
      <c r="AV392" t="s">
        <v>132</v>
      </c>
      <c r="AW392" t="s">
        <v>132</v>
      </c>
      <c r="AX392" t="s">
        <v>73</v>
      </c>
      <c r="AY392">
        <v>36.96</v>
      </c>
      <c r="AZ392">
        <v>36.96</v>
      </c>
      <c r="BA392">
        <v>0.01</v>
      </c>
      <c r="BB392">
        <f>BA392*SQRT(BC392)</f>
        <v>5.4772255750516613E-2</v>
      </c>
      <c r="BC392">
        <v>30</v>
      </c>
      <c r="BD392">
        <v>37.32</v>
      </c>
      <c r="BE392">
        <v>37.32</v>
      </c>
      <c r="BF392">
        <v>4.4000000000000003E-3</v>
      </c>
      <c r="BG392">
        <f>BF392*SQRT(BH392)</f>
        <v>2.4099792530227312E-2</v>
      </c>
      <c r="BH392">
        <v>30</v>
      </c>
      <c r="BI392">
        <v>30</v>
      </c>
      <c r="BJ392">
        <v>3</v>
      </c>
      <c r="BK392">
        <v>9.7000000000000003E-3</v>
      </c>
      <c r="BL392">
        <v>1E-4</v>
      </c>
    </row>
    <row r="393" spans="1:64" hidden="1" x14ac:dyDescent="0.2">
      <c r="A393">
        <v>141</v>
      </c>
      <c r="D393" t="s">
        <v>54</v>
      </c>
      <c r="E393">
        <v>2015</v>
      </c>
      <c r="F393" t="s">
        <v>91</v>
      </c>
      <c r="G393" t="s">
        <v>92</v>
      </c>
      <c r="H393" t="s">
        <v>78</v>
      </c>
      <c r="K393" t="s">
        <v>93</v>
      </c>
      <c r="L393" t="s">
        <v>94</v>
      </c>
      <c r="M393" t="s">
        <v>95</v>
      </c>
      <c r="N393" t="s">
        <v>61</v>
      </c>
      <c r="O393" t="s">
        <v>62</v>
      </c>
      <c r="P393" t="s">
        <v>196</v>
      </c>
      <c r="Q393" t="s">
        <v>64</v>
      </c>
      <c r="R393" t="s">
        <v>83</v>
      </c>
      <c r="S393" t="s">
        <v>74</v>
      </c>
      <c r="T393" t="s">
        <v>64</v>
      </c>
      <c r="U393" t="s">
        <v>75</v>
      </c>
      <c r="V393">
        <v>400</v>
      </c>
      <c r="W393">
        <v>6</v>
      </c>
      <c r="X393" t="s">
        <v>67</v>
      </c>
      <c r="Y393" t="s">
        <v>96</v>
      </c>
      <c r="Z393">
        <v>8.15</v>
      </c>
      <c r="AA393">
        <v>0.01</v>
      </c>
      <c r="AB393" t="s">
        <v>67</v>
      </c>
      <c r="AC393">
        <v>411</v>
      </c>
      <c r="AD393">
        <v>6</v>
      </c>
      <c r="AE393" t="s">
        <v>67</v>
      </c>
      <c r="AF393">
        <v>8.14</v>
      </c>
      <c r="AG393">
        <v>0.01</v>
      </c>
      <c r="AH393" t="s">
        <v>67</v>
      </c>
      <c r="AI393">
        <v>28.4</v>
      </c>
      <c r="AJ393">
        <v>0.01</v>
      </c>
      <c r="AK393" t="s">
        <v>67</v>
      </c>
      <c r="AL393">
        <v>29.8</v>
      </c>
      <c r="AM393">
        <v>0.02</v>
      </c>
      <c r="AN393" t="s">
        <v>67</v>
      </c>
      <c r="AO393">
        <v>11</v>
      </c>
      <c r="AP393">
        <v>1.4</v>
      </c>
      <c r="AQ393" t="s">
        <v>67</v>
      </c>
      <c r="AR393" t="s">
        <v>300</v>
      </c>
      <c r="AS393" t="s">
        <v>301</v>
      </c>
      <c r="AT393" t="s">
        <v>70</v>
      </c>
      <c r="AU393" t="s">
        <v>99</v>
      </c>
      <c r="AV393" t="s">
        <v>151</v>
      </c>
      <c r="AX393" t="s">
        <v>90</v>
      </c>
      <c r="AY393">
        <v>2454.5455000000002</v>
      </c>
      <c r="AZ393">
        <v>2454.5454500000001</v>
      </c>
      <c r="BA393">
        <v>71.77</v>
      </c>
      <c r="BC393">
        <v>4</v>
      </c>
      <c r="BD393">
        <v>1464.1148000000001</v>
      </c>
      <c r="BE393">
        <v>1464.1148330000001</v>
      </c>
      <c r="BF393">
        <v>129.1866</v>
      </c>
      <c r="BH393">
        <v>4</v>
      </c>
      <c r="BI393" t="s">
        <v>67</v>
      </c>
      <c r="BJ393">
        <v>7</v>
      </c>
      <c r="BK393">
        <v>-0.51670000000000005</v>
      </c>
      <c r="BL393">
        <v>8.6E-3</v>
      </c>
    </row>
    <row r="394" spans="1:64" hidden="1" x14ac:dyDescent="0.2">
      <c r="A394">
        <v>153</v>
      </c>
      <c r="D394" t="s">
        <v>54</v>
      </c>
      <c r="E394">
        <v>2017</v>
      </c>
      <c r="F394" t="s">
        <v>335</v>
      </c>
      <c r="G394" t="s">
        <v>220</v>
      </c>
      <c r="H394" t="s">
        <v>78</v>
      </c>
      <c r="K394" t="s">
        <v>205</v>
      </c>
      <c r="L394" t="s">
        <v>206</v>
      </c>
      <c r="M394" t="s">
        <v>81</v>
      </c>
      <c r="N394" t="s">
        <v>81</v>
      </c>
      <c r="O394" t="s">
        <v>110</v>
      </c>
      <c r="P394" t="s">
        <v>63</v>
      </c>
      <c r="Q394" t="s">
        <v>64</v>
      </c>
      <c r="R394" t="s">
        <v>83</v>
      </c>
      <c r="S394" t="s">
        <v>64</v>
      </c>
      <c r="T394" t="s">
        <v>64</v>
      </c>
      <c r="U394" t="s">
        <v>66</v>
      </c>
      <c r="V394">
        <v>435</v>
      </c>
      <c r="W394" t="s">
        <v>67</v>
      </c>
      <c r="X394">
        <v>49.9</v>
      </c>
      <c r="Y394" t="s">
        <v>68</v>
      </c>
      <c r="Z394">
        <v>8.01</v>
      </c>
      <c r="AA394" t="s">
        <v>67</v>
      </c>
      <c r="AB394">
        <v>0.04</v>
      </c>
      <c r="AC394">
        <v>1272</v>
      </c>
      <c r="AD394" t="s">
        <v>67</v>
      </c>
      <c r="AE394">
        <v>365.09</v>
      </c>
      <c r="AF394">
        <v>7.54</v>
      </c>
      <c r="AG394" t="s">
        <v>67</v>
      </c>
      <c r="AH394">
        <v>0.1</v>
      </c>
      <c r="AI394">
        <v>8.1999999999999993</v>
      </c>
      <c r="AJ394" t="s">
        <v>67</v>
      </c>
      <c r="AK394">
        <v>0.11</v>
      </c>
      <c r="AL394">
        <v>15.8</v>
      </c>
      <c r="AM394" t="s">
        <v>67</v>
      </c>
      <c r="AN394">
        <v>0.27</v>
      </c>
      <c r="AO394">
        <v>837</v>
      </c>
      <c r="AP394">
        <v>7.6</v>
      </c>
      <c r="AQ394" t="s">
        <v>67</v>
      </c>
      <c r="AR394" t="s">
        <v>336</v>
      </c>
      <c r="AS394" t="s">
        <v>337</v>
      </c>
      <c r="AT394" t="s">
        <v>70</v>
      </c>
      <c r="AU394" t="s">
        <v>67</v>
      </c>
      <c r="AV394" t="s">
        <v>132</v>
      </c>
      <c r="AX394" t="s">
        <v>73</v>
      </c>
      <c r="AY394">
        <v>0.81540000000000001</v>
      </c>
      <c r="AZ394">
        <v>0.81538461500000003</v>
      </c>
      <c r="BA394">
        <v>0.02</v>
      </c>
      <c r="BC394">
        <v>5</v>
      </c>
      <c r="BD394">
        <v>0.56920000000000004</v>
      </c>
      <c r="BE394">
        <v>0.56923076900000003</v>
      </c>
      <c r="BF394">
        <v>5.1299999999999998E-2</v>
      </c>
      <c r="BH394">
        <v>6</v>
      </c>
      <c r="BI394">
        <v>120</v>
      </c>
      <c r="BJ394">
        <v>8</v>
      </c>
      <c r="BK394">
        <v>-0.3594</v>
      </c>
      <c r="BL394">
        <v>8.6999999999999994E-3</v>
      </c>
    </row>
    <row r="395" spans="1:64" hidden="1" x14ac:dyDescent="0.2">
      <c r="A395">
        <v>145</v>
      </c>
      <c r="D395" t="s">
        <v>54</v>
      </c>
      <c r="E395">
        <v>2016</v>
      </c>
      <c r="F395" t="s">
        <v>198</v>
      </c>
      <c r="G395" t="s">
        <v>124</v>
      </c>
      <c r="H395" t="s">
        <v>57</v>
      </c>
      <c r="K395" t="s">
        <v>234</v>
      </c>
      <c r="L395" t="s">
        <v>200</v>
      </c>
      <c r="M395" t="s">
        <v>81</v>
      </c>
      <c r="N395" t="s">
        <v>81</v>
      </c>
      <c r="O395" t="s">
        <v>62</v>
      </c>
      <c r="P395" t="s">
        <v>63</v>
      </c>
      <c r="Q395" t="s">
        <v>64</v>
      </c>
      <c r="R395" t="s">
        <v>65</v>
      </c>
      <c r="S395" t="s">
        <v>74</v>
      </c>
      <c r="T395" t="s">
        <v>64</v>
      </c>
      <c r="U395" t="s">
        <v>75</v>
      </c>
      <c r="V395">
        <v>410</v>
      </c>
      <c r="W395">
        <v>19.16</v>
      </c>
      <c r="X395" t="s">
        <v>67</v>
      </c>
      <c r="Y395" t="s">
        <v>96</v>
      </c>
      <c r="Z395">
        <v>8.08</v>
      </c>
      <c r="AA395">
        <v>0.05</v>
      </c>
      <c r="AB395" t="s">
        <v>67</v>
      </c>
      <c r="AC395">
        <v>440</v>
      </c>
      <c r="AD395">
        <v>27.7</v>
      </c>
      <c r="AE395" t="s">
        <v>67</v>
      </c>
      <c r="AF395">
        <v>8</v>
      </c>
      <c r="AG395">
        <v>0.11</v>
      </c>
      <c r="AH395" t="s">
        <v>67</v>
      </c>
      <c r="AI395">
        <v>15.2</v>
      </c>
      <c r="AJ395">
        <v>0.7</v>
      </c>
      <c r="AK395" t="s">
        <v>67</v>
      </c>
      <c r="AL395">
        <v>20.2</v>
      </c>
      <c r="AM395">
        <v>0.6</v>
      </c>
      <c r="AN395" t="s">
        <v>67</v>
      </c>
      <c r="AO395">
        <v>29</v>
      </c>
      <c r="AP395">
        <v>5</v>
      </c>
      <c r="AQ395" t="s">
        <v>201</v>
      </c>
      <c r="AR395" t="s">
        <v>382</v>
      </c>
      <c r="AS395" t="s">
        <v>361</v>
      </c>
      <c r="AT395" t="s">
        <v>70</v>
      </c>
      <c r="AU395" t="s">
        <v>383</v>
      </c>
      <c r="AV395" t="s">
        <v>363</v>
      </c>
      <c r="AX395" t="s">
        <v>73</v>
      </c>
      <c r="AY395">
        <v>0.68469999999999998</v>
      </c>
      <c r="AZ395">
        <v>0.68467</v>
      </c>
      <c r="BA395">
        <v>0.04</v>
      </c>
      <c r="BC395">
        <v>7</v>
      </c>
      <c r="BD395">
        <v>0.96060000000000001</v>
      </c>
      <c r="BE395">
        <v>0.96058394199999997</v>
      </c>
      <c r="BF395">
        <v>6.9000000000000006E-2</v>
      </c>
      <c r="BH395">
        <v>7</v>
      </c>
      <c r="BI395">
        <v>240</v>
      </c>
      <c r="BJ395">
        <v>7</v>
      </c>
      <c r="BK395">
        <v>0.33860000000000001</v>
      </c>
      <c r="BL395">
        <v>8.6999999999999994E-3</v>
      </c>
    </row>
    <row r="396" spans="1:64" hidden="1" x14ac:dyDescent="0.2">
      <c r="A396">
        <v>159</v>
      </c>
      <c r="D396" t="s">
        <v>54</v>
      </c>
      <c r="E396">
        <v>2018</v>
      </c>
      <c r="F396" t="s">
        <v>326</v>
      </c>
      <c r="G396" t="s">
        <v>327</v>
      </c>
      <c r="H396" t="s">
        <v>78</v>
      </c>
      <c r="K396" t="s">
        <v>205</v>
      </c>
      <c r="L396" t="s">
        <v>225</v>
      </c>
      <c r="M396" t="s">
        <v>120</v>
      </c>
      <c r="N396" t="s">
        <v>120</v>
      </c>
      <c r="O396" t="s">
        <v>110</v>
      </c>
      <c r="P396" t="s">
        <v>196</v>
      </c>
      <c r="Q396" t="s">
        <v>64</v>
      </c>
      <c r="R396" t="s">
        <v>83</v>
      </c>
      <c r="S396" t="s">
        <v>64</v>
      </c>
      <c r="T396" t="s">
        <v>64</v>
      </c>
      <c r="U396" t="s">
        <v>66</v>
      </c>
      <c r="V396">
        <v>390</v>
      </c>
      <c r="W396" t="s">
        <v>67</v>
      </c>
      <c r="X396" t="s">
        <v>67</v>
      </c>
      <c r="Y396" t="s">
        <v>67</v>
      </c>
      <c r="Z396" t="s">
        <v>67</v>
      </c>
      <c r="AA396" t="s">
        <v>67</v>
      </c>
      <c r="AB396" t="s">
        <v>67</v>
      </c>
      <c r="AC396">
        <v>1170</v>
      </c>
      <c r="AD396" t="s">
        <v>67</v>
      </c>
      <c r="AE396" t="s">
        <v>67</v>
      </c>
      <c r="AF396" t="s">
        <v>67</v>
      </c>
      <c r="AG396" t="s">
        <v>67</v>
      </c>
      <c r="AH396" t="s">
        <v>67</v>
      </c>
      <c r="AI396">
        <v>0</v>
      </c>
      <c r="AJ396" t="s">
        <v>67</v>
      </c>
      <c r="AK396" t="s">
        <v>67</v>
      </c>
      <c r="AL396">
        <v>8</v>
      </c>
      <c r="AM396" t="s">
        <v>67</v>
      </c>
      <c r="AN396" t="s">
        <v>67</v>
      </c>
      <c r="AO396">
        <v>780</v>
      </c>
      <c r="AP396">
        <v>8</v>
      </c>
      <c r="AQ396" t="s">
        <v>67</v>
      </c>
      <c r="AR396" t="s">
        <v>389</v>
      </c>
      <c r="AS396" t="s">
        <v>293</v>
      </c>
      <c r="AT396" t="s">
        <v>70</v>
      </c>
      <c r="AU396" t="s">
        <v>310</v>
      </c>
      <c r="AV396" t="s">
        <v>72</v>
      </c>
      <c r="AX396" t="s">
        <v>73</v>
      </c>
      <c r="AY396">
        <v>23.3</v>
      </c>
      <c r="AZ396">
        <v>23.3</v>
      </c>
      <c r="BA396">
        <v>1.9</v>
      </c>
      <c r="BC396">
        <v>5</v>
      </c>
      <c r="BD396">
        <v>19.5</v>
      </c>
      <c r="BE396">
        <v>19.5</v>
      </c>
      <c r="BF396">
        <v>0.9</v>
      </c>
      <c r="BH396">
        <v>4</v>
      </c>
      <c r="BI396">
        <v>120</v>
      </c>
      <c r="BJ396" t="s">
        <v>67</v>
      </c>
      <c r="BK396">
        <v>-0.17799999999999999</v>
      </c>
      <c r="BL396">
        <v>8.8000000000000005E-3</v>
      </c>
    </row>
    <row r="397" spans="1:64" x14ac:dyDescent="0.2">
      <c r="A397">
        <v>169</v>
      </c>
      <c r="B397" t="str">
        <f>ROW()-1&amp;"_AltersFish"</f>
        <v>396_AltersFish</v>
      </c>
      <c r="C397" t="str">
        <f>A397 &amp; "_" &amp; P397 &amp; "_" &amp;
SUBSTITUTE(TRIM(L397)," ","_") &amp;
"_pH" &amp; TEXT(Z397,"0.00") &amp;
"_T" &amp; TEXT(AI397,"0.00") &amp;
"_CO2" &amp; TEXT(V397,"0") &amp;
"_LANG"</f>
        <v>169_LARVA_Solea_senegalensis_pH8.02_T18.20_CO2400_LANG</v>
      </c>
      <c r="D397" t="s">
        <v>54</v>
      </c>
      <c r="E397">
        <v>2014</v>
      </c>
      <c r="F397" t="s">
        <v>123</v>
      </c>
      <c r="G397" t="s">
        <v>124</v>
      </c>
      <c r="H397" t="s">
        <v>78</v>
      </c>
      <c r="I397" t="s">
        <v>540</v>
      </c>
      <c r="J397" t="s">
        <v>543</v>
      </c>
      <c r="K397" t="s">
        <v>79</v>
      </c>
      <c r="L397" t="s">
        <v>125</v>
      </c>
      <c r="M397" t="s">
        <v>126</v>
      </c>
      <c r="N397" t="s">
        <v>81</v>
      </c>
      <c r="O397" t="s">
        <v>106</v>
      </c>
      <c r="P397" t="s">
        <v>107</v>
      </c>
      <c r="Q397" t="s">
        <v>64</v>
      </c>
      <c r="R397" t="s">
        <v>83</v>
      </c>
      <c r="S397" t="s">
        <v>64</v>
      </c>
      <c r="T397" t="s">
        <v>74</v>
      </c>
      <c r="U397" t="s">
        <v>84</v>
      </c>
      <c r="V397">
        <v>400</v>
      </c>
      <c r="W397" t="s">
        <v>67</v>
      </c>
      <c r="X397">
        <v>66.709999999999994</v>
      </c>
      <c r="Y397" t="s">
        <v>68</v>
      </c>
      <c r="Z397">
        <v>8.02</v>
      </c>
      <c r="AA397" t="s">
        <v>67</v>
      </c>
      <c r="AB397">
        <v>0.04</v>
      </c>
      <c r="AC397">
        <v>1608</v>
      </c>
      <c r="AD397" t="s">
        <v>67</v>
      </c>
      <c r="AE397">
        <v>24.78</v>
      </c>
      <c r="AF397">
        <v>7.5</v>
      </c>
      <c r="AG397" t="s">
        <v>67</v>
      </c>
      <c r="AH397">
        <v>0.03</v>
      </c>
      <c r="AI397">
        <v>18.2</v>
      </c>
      <c r="AJ397" t="s">
        <v>67</v>
      </c>
      <c r="AK397">
        <v>0.4</v>
      </c>
      <c r="AL397">
        <v>18.2</v>
      </c>
      <c r="AM397" t="s">
        <v>67</v>
      </c>
      <c r="AN397">
        <v>0.28999999999999998</v>
      </c>
      <c r="AO397">
        <v>1208</v>
      </c>
      <c r="AP397">
        <v>-0.1</v>
      </c>
      <c r="AQ397" t="s">
        <v>67</v>
      </c>
      <c r="AR397" t="s">
        <v>138</v>
      </c>
      <c r="AS397" t="s">
        <v>130</v>
      </c>
      <c r="AT397" t="s">
        <v>70</v>
      </c>
      <c r="AU397" t="s">
        <v>131</v>
      </c>
      <c r="AV397" t="s">
        <v>132</v>
      </c>
      <c r="AW397" t="s">
        <v>132</v>
      </c>
      <c r="AX397" t="s">
        <v>73</v>
      </c>
      <c r="AY397">
        <v>36.96</v>
      </c>
      <c r="AZ397">
        <v>36.96</v>
      </c>
      <c r="BA397">
        <v>0.01</v>
      </c>
      <c r="BB397">
        <f>BA397*SQRT(BC397)</f>
        <v>5.4772255750516613E-2</v>
      </c>
      <c r="BC397">
        <v>30</v>
      </c>
      <c r="BD397">
        <v>35.44</v>
      </c>
      <c r="BE397">
        <v>35.44</v>
      </c>
      <c r="BF397">
        <v>3.7000000000000002E-3</v>
      </c>
      <c r="BG397">
        <f>BF397*SQRT(BH397)</f>
        <v>2.0265734627691146E-2</v>
      </c>
      <c r="BH397">
        <v>30</v>
      </c>
      <c r="BI397">
        <v>30</v>
      </c>
      <c r="BJ397">
        <v>3</v>
      </c>
      <c r="BK397">
        <v>-4.2000000000000003E-2</v>
      </c>
      <c r="BL397">
        <v>1E-4</v>
      </c>
    </row>
    <row r="398" spans="1:64" x14ac:dyDescent="0.2">
      <c r="A398">
        <v>169</v>
      </c>
      <c r="B398" t="str">
        <f>ROW()-1&amp;"_AltersFish"</f>
        <v>397_AltersFish</v>
      </c>
      <c r="C398" t="str">
        <f>A398 &amp; "_" &amp; P398 &amp; "_" &amp;
SUBSTITUTE(TRIM(L398)," ","_") &amp;
"_pH" &amp; TEXT(Z398,"0.00") &amp;
"_T" &amp; TEXT(AI398,"0.00") &amp;
"_CO2" &amp; TEXT(V398,"0") &amp;
"_LANG"</f>
        <v>169_LARVA_Solea_senegalensis_pH8.02_T18.20_CO2400_LANG</v>
      </c>
      <c r="D398" t="s">
        <v>54</v>
      </c>
      <c r="E398">
        <v>2014</v>
      </c>
      <c r="F398" t="s">
        <v>123</v>
      </c>
      <c r="G398" t="s">
        <v>124</v>
      </c>
      <c r="H398" t="s">
        <v>78</v>
      </c>
      <c r="I398" t="s">
        <v>540</v>
      </c>
      <c r="J398" t="s">
        <v>543</v>
      </c>
      <c r="K398" t="s">
        <v>79</v>
      </c>
      <c r="L398" t="s">
        <v>125</v>
      </c>
      <c r="M398" t="s">
        <v>126</v>
      </c>
      <c r="N398" t="s">
        <v>81</v>
      </c>
      <c r="O398" t="s">
        <v>106</v>
      </c>
      <c r="P398" t="s">
        <v>107</v>
      </c>
      <c r="Q398" t="s">
        <v>64</v>
      </c>
      <c r="R398" t="s">
        <v>83</v>
      </c>
      <c r="S398" t="s">
        <v>64</v>
      </c>
      <c r="T398" t="s">
        <v>74</v>
      </c>
      <c r="U398" t="s">
        <v>84</v>
      </c>
      <c r="V398">
        <v>400</v>
      </c>
      <c r="W398" t="s">
        <v>67</v>
      </c>
      <c r="X398">
        <v>66.709999999999994</v>
      </c>
      <c r="Y398" t="s">
        <v>68</v>
      </c>
      <c r="Z398">
        <v>8.02</v>
      </c>
      <c r="AA398" t="s">
        <v>67</v>
      </c>
      <c r="AB398">
        <v>0.04</v>
      </c>
      <c r="AC398">
        <v>1608</v>
      </c>
      <c r="AD398" t="s">
        <v>67</v>
      </c>
      <c r="AE398">
        <v>24.78</v>
      </c>
      <c r="AF398">
        <v>7.5</v>
      </c>
      <c r="AG398" t="s">
        <v>67</v>
      </c>
      <c r="AH398">
        <v>0.03</v>
      </c>
      <c r="AI398">
        <v>18.2</v>
      </c>
      <c r="AJ398" t="s">
        <v>67</v>
      </c>
      <c r="AK398">
        <v>0.4</v>
      </c>
      <c r="AL398">
        <v>18.2</v>
      </c>
      <c r="AM398" t="s">
        <v>67</v>
      </c>
      <c r="AN398">
        <v>0.28999999999999998</v>
      </c>
      <c r="AO398">
        <v>1208</v>
      </c>
      <c r="AP398">
        <v>-0.1</v>
      </c>
      <c r="AQ398" t="s">
        <v>67</v>
      </c>
      <c r="AR398" t="s">
        <v>128</v>
      </c>
      <c r="AS398" t="s">
        <v>88</v>
      </c>
      <c r="AT398" t="s">
        <v>70</v>
      </c>
      <c r="AU398" t="s">
        <v>89</v>
      </c>
      <c r="AV398" t="s">
        <v>87</v>
      </c>
      <c r="AW398" t="s">
        <v>88</v>
      </c>
      <c r="AX398" t="s">
        <v>90</v>
      </c>
      <c r="AY398">
        <v>45.599299999999999</v>
      </c>
      <c r="AZ398">
        <v>45.599249999999998</v>
      </c>
      <c r="BA398">
        <v>1.89E-2</v>
      </c>
      <c r="BB398">
        <f>BA398*SQRT(BC398)</f>
        <v>3.2735760263051777E-2</v>
      </c>
      <c r="BC398">
        <v>3</v>
      </c>
      <c r="BD398">
        <v>39.232199999999999</v>
      </c>
      <c r="BE398">
        <v>39.232209740000002</v>
      </c>
      <c r="BF398">
        <v>1.17E-2</v>
      </c>
      <c r="BG398">
        <f>BF398*SQRT(BH398)</f>
        <v>2.0264994448555864E-2</v>
      </c>
      <c r="BH398">
        <v>3</v>
      </c>
      <c r="BI398">
        <v>30</v>
      </c>
      <c r="BJ398">
        <v>3</v>
      </c>
      <c r="BK398">
        <v>-0.15040000000000001</v>
      </c>
      <c r="BL398">
        <v>1E-4</v>
      </c>
    </row>
    <row r="399" spans="1:64" hidden="1" x14ac:dyDescent="0.2">
      <c r="A399">
        <v>142</v>
      </c>
      <c r="D399" t="s">
        <v>54</v>
      </c>
      <c r="E399">
        <v>2017</v>
      </c>
      <c r="F399" t="s">
        <v>193</v>
      </c>
      <c r="G399" t="s">
        <v>181</v>
      </c>
      <c r="H399" t="s">
        <v>78</v>
      </c>
      <c r="K399" t="s">
        <v>194</v>
      </c>
      <c r="L399" t="s">
        <v>299</v>
      </c>
      <c r="M399" t="s">
        <v>120</v>
      </c>
      <c r="N399" t="s">
        <v>120</v>
      </c>
      <c r="O399" t="s">
        <v>62</v>
      </c>
      <c r="P399" t="s">
        <v>196</v>
      </c>
      <c r="Q399" t="s">
        <v>64</v>
      </c>
      <c r="R399" t="s">
        <v>83</v>
      </c>
      <c r="S399" t="s">
        <v>64</v>
      </c>
      <c r="T399" t="s">
        <v>74</v>
      </c>
      <c r="U399" t="s">
        <v>84</v>
      </c>
      <c r="V399">
        <v>439</v>
      </c>
      <c r="W399">
        <v>16.079999999999998</v>
      </c>
      <c r="X399" t="s">
        <v>67</v>
      </c>
      <c r="Y399" t="s">
        <v>67</v>
      </c>
      <c r="Z399" t="s">
        <v>67</v>
      </c>
      <c r="AA399" t="s">
        <v>67</v>
      </c>
      <c r="AB399" t="s">
        <v>67</v>
      </c>
      <c r="AC399">
        <v>954</v>
      </c>
      <c r="AD399">
        <v>50.38</v>
      </c>
      <c r="AE399" t="s">
        <v>67</v>
      </c>
      <c r="AF399" t="s">
        <v>67</v>
      </c>
      <c r="AG399" t="s">
        <v>67</v>
      </c>
      <c r="AH399" t="s">
        <v>67</v>
      </c>
      <c r="AI399">
        <v>-0.6</v>
      </c>
      <c r="AJ399">
        <v>0.17</v>
      </c>
      <c r="AK399" t="s">
        <v>67</v>
      </c>
      <c r="AL399">
        <v>-0.5</v>
      </c>
      <c r="AM399">
        <v>0.16</v>
      </c>
      <c r="AN399" t="s">
        <v>67</v>
      </c>
      <c r="AO399">
        <v>515</v>
      </c>
      <c r="AP399">
        <v>0.2</v>
      </c>
      <c r="AQ399" t="s">
        <v>67</v>
      </c>
      <c r="AR399" t="s">
        <v>356</v>
      </c>
      <c r="AS399" t="s">
        <v>134</v>
      </c>
      <c r="AT399" t="s">
        <v>135</v>
      </c>
      <c r="AU399" t="s">
        <v>357</v>
      </c>
      <c r="AV399" t="s">
        <v>137</v>
      </c>
      <c r="AX399" t="s">
        <v>73</v>
      </c>
      <c r="AY399">
        <v>41.18</v>
      </c>
      <c r="AZ399">
        <v>41.18</v>
      </c>
      <c r="BA399">
        <v>2.2599999999999998</v>
      </c>
      <c r="BC399">
        <v>5</v>
      </c>
      <c r="BD399">
        <v>41.935499999999998</v>
      </c>
      <c r="BE399">
        <v>41.935483869999999</v>
      </c>
      <c r="BF399">
        <v>3.2258</v>
      </c>
      <c r="BH399">
        <v>5</v>
      </c>
      <c r="BI399">
        <v>42</v>
      </c>
      <c r="BJ399">
        <v>1</v>
      </c>
      <c r="BK399">
        <v>1.8200000000000001E-2</v>
      </c>
      <c r="BL399">
        <v>8.8999999999999999E-3</v>
      </c>
    </row>
    <row r="400" spans="1:64" x14ac:dyDescent="0.2">
      <c r="A400">
        <v>169</v>
      </c>
      <c r="B400" t="str">
        <f>ROW()-1&amp;"_AltersFish"</f>
        <v>399_AltersFish</v>
      </c>
      <c r="C400" t="str">
        <f>A400 &amp; "_" &amp; P400 &amp; "_" &amp;
SUBSTITUTE(TRIM(L400)," ","_") &amp;
"_pH" &amp; TEXT(Z400,"0.00") &amp;
"_T" &amp; TEXT(AI400,"0.00") &amp;
"_CO2" &amp; TEXT(V400,"0") &amp;
"_LANG"</f>
        <v>169_LARVA_Solea_senegalensis_pH8.02_T18.20_CO2400_LANG</v>
      </c>
      <c r="D400" t="s">
        <v>54</v>
      </c>
      <c r="E400">
        <v>2014</v>
      </c>
      <c r="F400" t="s">
        <v>123</v>
      </c>
      <c r="G400" t="s">
        <v>124</v>
      </c>
      <c r="H400" t="s">
        <v>78</v>
      </c>
      <c r="I400" t="s">
        <v>540</v>
      </c>
      <c r="J400" t="s">
        <v>543</v>
      </c>
      <c r="K400" t="s">
        <v>79</v>
      </c>
      <c r="L400" t="s">
        <v>125</v>
      </c>
      <c r="M400" t="s">
        <v>126</v>
      </c>
      <c r="N400" t="s">
        <v>81</v>
      </c>
      <c r="O400" t="s">
        <v>106</v>
      </c>
      <c r="P400" t="s">
        <v>107</v>
      </c>
      <c r="Q400" t="s">
        <v>64</v>
      </c>
      <c r="R400" t="s">
        <v>83</v>
      </c>
      <c r="S400" t="s">
        <v>74</v>
      </c>
      <c r="T400" t="s">
        <v>64</v>
      </c>
      <c r="U400" t="s">
        <v>75</v>
      </c>
      <c r="V400">
        <v>400</v>
      </c>
      <c r="W400" t="s">
        <v>67</v>
      </c>
      <c r="X400">
        <v>66.709999999999994</v>
      </c>
      <c r="Y400" t="s">
        <v>68</v>
      </c>
      <c r="Z400">
        <v>8.02</v>
      </c>
      <c r="AA400" t="s">
        <v>67</v>
      </c>
      <c r="AB400">
        <v>0.04</v>
      </c>
      <c r="AC400">
        <v>425</v>
      </c>
      <c r="AD400" t="s">
        <v>67</v>
      </c>
      <c r="AE400">
        <v>19.97</v>
      </c>
      <c r="AF400">
        <v>8.0299999999999994</v>
      </c>
      <c r="AG400" t="s">
        <v>67</v>
      </c>
      <c r="AH400">
        <v>0.05</v>
      </c>
      <c r="AI400">
        <v>18.2</v>
      </c>
      <c r="AJ400" t="s">
        <v>67</v>
      </c>
      <c r="AK400">
        <v>0.4</v>
      </c>
      <c r="AL400">
        <v>22</v>
      </c>
      <c r="AM400" t="s">
        <v>67</v>
      </c>
      <c r="AN400">
        <v>0.42</v>
      </c>
      <c r="AO400">
        <v>25</v>
      </c>
      <c r="AP400">
        <v>3.8</v>
      </c>
      <c r="AQ400" t="s">
        <v>67</v>
      </c>
      <c r="AR400" t="s">
        <v>128</v>
      </c>
      <c r="AS400" t="s">
        <v>88</v>
      </c>
      <c r="AT400" t="s">
        <v>70</v>
      </c>
      <c r="AU400" t="s">
        <v>89</v>
      </c>
      <c r="AV400" t="s">
        <v>87</v>
      </c>
      <c r="AW400" t="s">
        <v>88</v>
      </c>
      <c r="AX400" t="s">
        <v>90</v>
      </c>
      <c r="AY400">
        <v>45.599299999999999</v>
      </c>
      <c r="AZ400">
        <v>45.599249999999998</v>
      </c>
      <c r="BA400">
        <v>1.89E-2</v>
      </c>
      <c r="BB400">
        <f>BA400*SQRT(BC400)</f>
        <v>3.2735760263051777E-2</v>
      </c>
      <c r="BC400">
        <v>3</v>
      </c>
      <c r="BD400">
        <v>38.764000000000003</v>
      </c>
      <c r="BE400">
        <v>38.764044939999998</v>
      </c>
      <c r="BF400">
        <v>1.6199999999999999E-2</v>
      </c>
      <c r="BG400">
        <f>BF400*SQRT(BH400)</f>
        <v>2.8059223082615808E-2</v>
      </c>
      <c r="BH400">
        <v>3</v>
      </c>
      <c r="BI400">
        <v>30</v>
      </c>
      <c r="BJ400">
        <v>3</v>
      </c>
      <c r="BK400">
        <v>-0.16239999999999999</v>
      </c>
      <c r="BL400">
        <v>1E-4</v>
      </c>
    </row>
    <row r="401" spans="1:65" hidden="1" x14ac:dyDescent="0.2">
      <c r="A401">
        <v>136</v>
      </c>
      <c r="D401" t="s">
        <v>54</v>
      </c>
      <c r="E401">
        <v>2012</v>
      </c>
      <c r="F401" t="s">
        <v>384</v>
      </c>
      <c r="G401" t="s">
        <v>199</v>
      </c>
      <c r="H401" t="s">
        <v>78</v>
      </c>
      <c r="K401" t="s">
        <v>93</v>
      </c>
      <c r="L401" t="s">
        <v>94</v>
      </c>
      <c r="M401" t="s">
        <v>95</v>
      </c>
      <c r="N401" t="s">
        <v>61</v>
      </c>
      <c r="O401" t="s">
        <v>62</v>
      </c>
      <c r="P401" t="s">
        <v>63</v>
      </c>
      <c r="Q401" t="s">
        <v>74</v>
      </c>
      <c r="R401" t="s">
        <v>83</v>
      </c>
      <c r="S401" t="s">
        <v>64</v>
      </c>
      <c r="T401" t="s">
        <v>64</v>
      </c>
      <c r="U401" t="s">
        <v>66</v>
      </c>
      <c r="V401">
        <v>433</v>
      </c>
      <c r="W401" t="s">
        <v>67</v>
      </c>
      <c r="X401">
        <v>69</v>
      </c>
      <c r="Y401" t="s">
        <v>96</v>
      </c>
      <c r="Z401">
        <v>8.2100000000000009</v>
      </c>
      <c r="AA401" t="s">
        <v>67</v>
      </c>
      <c r="AB401">
        <v>0.05</v>
      </c>
      <c r="AC401">
        <v>511</v>
      </c>
      <c r="AD401" t="s">
        <v>67</v>
      </c>
      <c r="AE401">
        <v>85</v>
      </c>
      <c r="AF401">
        <v>8.1300000000000008</v>
      </c>
      <c r="AG401" t="s">
        <v>67</v>
      </c>
      <c r="AH401">
        <v>0.06</v>
      </c>
      <c r="AI401">
        <v>28.1</v>
      </c>
      <c r="AJ401" t="s">
        <v>67</v>
      </c>
      <c r="AK401">
        <v>0.12</v>
      </c>
      <c r="AL401">
        <v>31.4</v>
      </c>
      <c r="AM401">
        <v>0.01</v>
      </c>
      <c r="AN401" t="s">
        <v>67</v>
      </c>
      <c r="AO401">
        <v>78</v>
      </c>
      <c r="AP401">
        <v>3.3</v>
      </c>
      <c r="AQ401" t="s">
        <v>67</v>
      </c>
      <c r="AR401" t="s">
        <v>385</v>
      </c>
      <c r="AS401" t="s">
        <v>386</v>
      </c>
      <c r="AT401" t="s">
        <v>135</v>
      </c>
      <c r="AU401" t="s">
        <v>387</v>
      </c>
      <c r="AV401" t="s">
        <v>251</v>
      </c>
      <c r="AX401" t="s">
        <v>73</v>
      </c>
      <c r="AY401">
        <v>98</v>
      </c>
      <c r="AZ401">
        <v>98</v>
      </c>
      <c r="BA401">
        <v>8</v>
      </c>
      <c r="BC401">
        <v>5</v>
      </c>
      <c r="BD401">
        <v>78</v>
      </c>
      <c r="BE401">
        <v>78</v>
      </c>
      <c r="BF401">
        <v>4</v>
      </c>
      <c r="BH401">
        <v>5</v>
      </c>
      <c r="BI401">
        <v>21</v>
      </c>
      <c r="BJ401" t="s">
        <v>67</v>
      </c>
      <c r="BK401">
        <v>-0.2283</v>
      </c>
      <c r="BL401">
        <v>9.2999999999999992E-3</v>
      </c>
    </row>
    <row r="402" spans="1:65" hidden="1" x14ac:dyDescent="0.2">
      <c r="A402">
        <v>222</v>
      </c>
      <c r="D402" t="s">
        <v>54</v>
      </c>
      <c r="E402">
        <v>2015</v>
      </c>
      <c r="F402" t="s">
        <v>390</v>
      </c>
      <c r="G402" t="s">
        <v>391</v>
      </c>
      <c r="H402" t="s">
        <v>78</v>
      </c>
      <c r="K402" t="s">
        <v>392</v>
      </c>
      <c r="L402" t="s">
        <v>393</v>
      </c>
      <c r="P402" t="s">
        <v>196</v>
      </c>
      <c r="S402" t="s">
        <v>74</v>
      </c>
      <c r="T402" t="s">
        <v>64</v>
      </c>
      <c r="U402" t="s">
        <v>75</v>
      </c>
      <c r="V402">
        <v>424</v>
      </c>
      <c r="AC402">
        <v>443</v>
      </c>
      <c r="AI402">
        <v>15.5</v>
      </c>
      <c r="AL402">
        <v>19</v>
      </c>
      <c r="AO402">
        <v>19</v>
      </c>
      <c r="AP402">
        <v>3.5</v>
      </c>
      <c r="AQ402" t="s">
        <v>67</v>
      </c>
      <c r="AR402" t="s">
        <v>394</v>
      </c>
      <c r="AS402" t="s">
        <v>367</v>
      </c>
      <c r="AT402" t="s">
        <v>135</v>
      </c>
      <c r="AU402" t="s">
        <v>89</v>
      </c>
      <c r="AV402" t="s">
        <v>251</v>
      </c>
      <c r="AX402" t="s">
        <v>73</v>
      </c>
      <c r="AY402">
        <v>2.14</v>
      </c>
      <c r="AZ402">
        <v>2.1415999999999999</v>
      </c>
      <c r="BA402">
        <v>0.15448039599999999</v>
      </c>
      <c r="BC402">
        <v>15</v>
      </c>
      <c r="BD402">
        <v>2.83</v>
      </c>
      <c r="BE402">
        <v>2.8266</v>
      </c>
      <c r="BF402">
        <v>0.18094552799999999</v>
      </c>
      <c r="BH402">
        <v>10</v>
      </c>
      <c r="BI402">
        <v>28</v>
      </c>
      <c r="BK402">
        <v>0.27750000000000002</v>
      </c>
      <c r="BL402">
        <v>9.2999999999999992E-3</v>
      </c>
    </row>
    <row r="403" spans="1:65" hidden="1" x14ac:dyDescent="0.2">
      <c r="A403">
        <v>136</v>
      </c>
      <c r="D403" t="s">
        <v>54</v>
      </c>
      <c r="E403">
        <v>2012</v>
      </c>
      <c r="F403" t="s">
        <v>384</v>
      </c>
      <c r="G403" t="s">
        <v>199</v>
      </c>
      <c r="H403" t="s">
        <v>78</v>
      </c>
      <c r="K403" t="s">
        <v>93</v>
      </c>
      <c r="L403" t="s">
        <v>94</v>
      </c>
      <c r="M403" t="s">
        <v>95</v>
      </c>
      <c r="N403" t="s">
        <v>61</v>
      </c>
      <c r="O403" t="s">
        <v>62</v>
      </c>
      <c r="P403" t="s">
        <v>63</v>
      </c>
      <c r="Q403" t="s">
        <v>74</v>
      </c>
      <c r="R403" t="s">
        <v>83</v>
      </c>
      <c r="S403" t="s">
        <v>64</v>
      </c>
      <c r="T403" t="s">
        <v>64</v>
      </c>
      <c r="U403" t="s">
        <v>66</v>
      </c>
      <c r="V403">
        <v>433</v>
      </c>
      <c r="W403" t="s">
        <v>67</v>
      </c>
      <c r="X403">
        <v>69</v>
      </c>
      <c r="Y403" t="s">
        <v>96</v>
      </c>
      <c r="Z403">
        <v>8.2100000000000009</v>
      </c>
      <c r="AA403" t="s">
        <v>67</v>
      </c>
      <c r="AB403">
        <v>0.05</v>
      </c>
      <c r="AC403">
        <v>956</v>
      </c>
      <c r="AD403" t="s">
        <v>67</v>
      </c>
      <c r="AE403">
        <v>83</v>
      </c>
      <c r="AF403">
        <v>7.91</v>
      </c>
      <c r="AG403" t="s">
        <v>67</v>
      </c>
      <c r="AH403">
        <v>7.0000000000000007E-2</v>
      </c>
      <c r="AI403">
        <v>28.1</v>
      </c>
      <c r="AJ403" t="s">
        <v>67</v>
      </c>
      <c r="AK403">
        <v>0.12</v>
      </c>
      <c r="AL403">
        <v>29.6</v>
      </c>
      <c r="AM403">
        <v>0.1</v>
      </c>
      <c r="AN403" t="s">
        <v>67</v>
      </c>
      <c r="AO403">
        <v>523</v>
      </c>
      <c r="AP403">
        <v>1.5</v>
      </c>
      <c r="AQ403" t="s">
        <v>67</v>
      </c>
      <c r="AR403" t="s">
        <v>385</v>
      </c>
      <c r="AS403" t="s">
        <v>386</v>
      </c>
      <c r="AT403" t="s">
        <v>135</v>
      </c>
      <c r="AU403" t="s">
        <v>387</v>
      </c>
      <c r="AV403" t="s">
        <v>251</v>
      </c>
      <c r="AX403" t="s">
        <v>73</v>
      </c>
      <c r="AY403">
        <v>98</v>
      </c>
      <c r="AZ403">
        <v>98</v>
      </c>
      <c r="BA403">
        <v>8</v>
      </c>
      <c r="BC403">
        <v>5</v>
      </c>
      <c r="BD403">
        <v>113</v>
      </c>
      <c r="BE403">
        <v>113</v>
      </c>
      <c r="BF403">
        <v>6</v>
      </c>
      <c r="BH403">
        <v>5</v>
      </c>
      <c r="BI403">
        <v>21</v>
      </c>
      <c r="BJ403" t="s">
        <v>67</v>
      </c>
      <c r="BK403">
        <v>0.1424</v>
      </c>
      <c r="BL403">
        <v>9.4999999999999998E-3</v>
      </c>
    </row>
    <row r="404" spans="1:65" hidden="1" x14ac:dyDescent="0.2">
      <c r="A404">
        <v>170</v>
      </c>
      <c r="C404" t="s">
        <v>549</v>
      </c>
      <c r="D404" t="s">
        <v>54</v>
      </c>
      <c r="E404">
        <v>2014</v>
      </c>
      <c r="F404" t="s">
        <v>55</v>
      </c>
      <c r="G404" t="s">
        <v>56</v>
      </c>
      <c r="H404" t="s">
        <v>57</v>
      </c>
      <c r="K404" t="s">
        <v>58</v>
      </c>
      <c r="L404" t="s">
        <v>59</v>
      </c>
      <c r="M404" t="s">
        <v>60</v>
      </c>
      <c r="N404" t="s">
        <v>61</v>
      </c>
      <c r="O404" t="s">
        <v>62</v>
      </c>
      <c r="P404" t="s">
        <v>82</v>
      </c>
      <c r="Q404" t="s">
        <v>64</v>
      </c>
      <c r="R404" t="s">
        <v>65</v>
      </c>
      <c r="S404" t="s">
        <v>64</v>
      </c>
      <c r="T404" t="s">
        <v>64</v>
      </c>
      <c r="U404" t="s">
        <v>66</v>
      </c>
      <c r="V404">
        <v>371.86</v>
      </c>
      <c r="W404" t="s">
        <v>67</v>
      </c>
      <c r="X404">
        <v>51.93</v>
      </c>
      <c r="Y404" t="s">
        <v>68</v>
      </c>
      <c r="Z404">
        <v>8.02</v>
      </c>
      <c r="AA404" t="s">
        <v>67</v>
      </c>
      <c r="AB404">
        <v>0.05</v>
      </c>
      <c r="AC404">
        <v>1481.1</v>
      </c>
      <c r="AD404" t="s">
        <v>67</v>
      </c>
      <c r="AE404">
        <v>107.72</v>
      </c>
      <c r="AF404">
        <v>7.49</v>
      </c>
      <c r="AG404" t="s">
        <v>67</v>
      </c>
      <c r="AH404">
        <v>0.03</v>
      </c>
      <c r="AI404">
        <v>25.9</v>
      </c>
      <c r="AJ404" t="s">
        <v>67</v>
      </c>
      <c r="AK404">
        <v>0.7</v>
      </c>
      <c r="AL404">
        <v>30.1</v>
      </c>
      <c r="AM404" t="s">
        <v>67</v>
      </c>
      <c r="AN404">
        <v>0.5</v>
      </c>
      <c r="AO404">
        <v>1109</v>
      </c>
      <c r="AP404">
        <v>4.2</v>
      </c>
      <c r="AQ404" t="s">
        <v>67</v>
      </c>
      <c r="AR404" t="s">
        <v>202</v>
      </c>
      <c r="AS404" t="s">
        <v>202</v>
      </c>
      <c r="AT404" t="s">
        <v>135</v>
      </c>
      <c r="AU404" t="s">
        <v>203</v>
      </c>
      <c r="AV404" t="s">
        <v>11</v>
      </c>
      <c r="AW404" t="s">
        <v>11</v>
      </c>
      <c r="AX404" t="s">
        <v>73</v>
      </c>
      <c r="AY404">
        <v>86.8</v>
      </c>
      <c r="AZ404">
        <v>86.8</v>
      </c>
      <c r="BA404">
        <v>6.62</v>
      </c>
      <c r="BC404">
        <v>5</v>
      </c>
      <c r="BD404">
        <v>61.1</v>
      </c>
      <c r="BE404">
        <v>61.1</v>
      </c>
      <c r="BF404">
        <v>3.8012999999999999</v>
      </c>
      <c r="BH404">
        <v>5</v>
      </c>
      <c r="BI404">
        <v>90</v>
      </c>
      <c r="BJ404">
        <v>3</v>
      </c>
      <c r="BK404">
        <v>-0.35110000000000002</v>
      </c>
      <c r="BL404">
        <v>9.7000000000000003E-3</v>
      </c>
    </row>
    <row r="405" spans="1:65" hidden="1" x14ac:dyDescent="0.2">
      <c r="A405">
        <v>135</v>
      </c>
      <c r="D405" t="s">
        <v>54</v>
      </c>
      <c r="E405">
        <v>2012</v>
      </c>
      <c r="F405" t="s">
        <v>219</v>
      </c>
      <c r="G405" t="s">
        <v>220</v>
      </c>
      <c r="H405" t="s">
        <v>78</v>
      </c>
      <c r="K405" t="s">
        <v>194</v>
      </c>
      <c r="L405" t="s">
        <v>221</v>
      </c>
      <c r="M405" t="s">
        <v>120</v>
      </c>
      <c r="N405" t="s">
        <v>120</v>
      </c>
      <c r="O405" t="s">
        <v>62</v>
      </c>
      <c r="P405" t="s">
        <v>196</v>
      </c>
      <c r="Q405" t="s">
        <v>64</v>
      </c>
      <c r="R405" t="s">
        <v>83</v>
      </c>
      <c r="S405" t="s">
        <v>74</v>
      </c>
      <c r="T405" t="s">
        <v>64</v>
      </c>
      <c r="U405" t="s">
        <v>75</v>
      </c>
      <c r="V405">
        <v>357</v>
      </c>
      <c r="W405">
        <v>18.260000000000002</v>
      </c>
      <c r="X405" t="s">
        <v>67</v>
      </c>
      <c r="Y405" t="s">
        <v>96</v>
      </c>
      <c r="Z405">
        <v>8.25</v>
      </c>
      <c r="AA405">
        <v>0.02</v>
      </c>
      <c r="AB405" t="s">
        <v>67</v>
      </c>
      <c r="AC405">
        <v>461</v>
      </c>
      <c r="AD405">
        <v>13.69</v>
      </c>
      <c r="AE405" t="s">
        <v>67</v>
      </c>
      <c r="AF405">
        <v>7.91</v>
      </c>
      <c r="AG405">
        <v>0.02</v>
      </c>
      <c r="AH405" t="s">
        <v>67</v>
      </c>
      <c r="AI405">
        <v>1.5</v>
      </c>
      <c r="AJ405">
        <v>0.09</v>
      </c>
      <c r="AK405" t="s">
        <v>67</v>
      </c>
      <c r="AL405">
        <v>7.3</v>
      </c>
      <c r="AM405">
        <v>7.0000000000000007E-2</v>
      </c>
      <c r="AN405" t="s">
        <v>67</v>
      </c>
      <c r="AO405">
        <v>105</v>
      </c>
      <c r="AP405">
        <v>5.8</v>
      </c>
      <c r="AQ405" t="s">
        <v>67</v>
      </c>
      <c r="AR405" t="s">
        <v>372</v>
      </c>
      <c r="AS405" t="s">
        <v>322</v>
      </c>
      <c r="AT405" t="s">
        <v>70</v>
      </c>
      <c r="AU405" t="s">
        <v>67</v>
      </c>
      <c r="AV405" t="s">
        <v>132</v>
      </c>
      <c r="AX405" t="s">
        <v>73</v>
      </c>
      <c r="AY405">
        <v>28</v>
      </c>
      <c r="AZ405">
        <v>28</v>
      </c>
      <c r="BA405">
        <v>2</v>
      </c>
      <c r="BC405">
        <v>9</v>
      </c>
      <c r="BD405">
        <v>29</v>
      </c>
      <c r="BE405">
        <v>29</v>
      </c>
      <c r="BF405">
        <v>2</v>
      </c>
      <c r="BH405">
        <v>5</v>
      </c>
      <c r="BI405">
        <v>32</v>
      </c>
      <c r="BJ405">
        <v>1</v>
      </c>
      <c r="BK405">
        <v>3.5099999999999999E-2</v>
      </c>
      <c r="BL405">
        <v>9.9000000000000008E-3</v>
      </c>
    </row>
    <row r="406" spans="1:65" hidden="1" x14ac:dyDescent="0.2">
      <c r="A406">
        <v>161</v>
      </c>
      <c r="D406" t="s">
        <v>54</v>
      </c>
      <c r="E406">
        <v>2019</v>
      </c>
      <c r="F406" t="s">
        <v>174</v>
      </c>
      <c r="G406" t="s">
        <v>175</v>
      </c>
      <c r="H406" t="s">
        <v>78</v>
      </c>
      <c r="K406" t="s">
        <v>79</v>
      </c>
      <c r="L406" t="s">
        <v>176</v>
      </c>
      <c r="M406" t="s">
        <v>81</v>
      </c>
      <c r="N406" t="s">
        <v>81</v>
      </c>
      <c r="O406" t="s">
        <v>62</v>
      </c>
      <c r="P406" t="s">
        <v>63</v>
      </c>
      <c r="Q406" t="s">
        <v>74</v>
      </c>
      <c r="R406" t="s">
        <v>83</v>
      </c>
      <c r="S406" t="s">
        <v>64</v>
      </c>
      <c r="T406" t="s">
        <v>74</v>
      </c>
      <c r="U406" t="s">
        <v>84</v>
      </c>
      <c r="V406">
        <v>489</v>
      </c>
      <c r="W406" t="s">
        <v>67</v>
      </c>
      <c r="X406">
        <v>54</v>
      </c>
      <c r="Y406" t="s">
        <v>67</v>
      </c>
      <c r="Z406">
        <v>8.01</v>
      </c>
      <c r="AA406" t="s">
        <v>67</v>
      </c>
      <c r="AB406">
        <v>0.12</v>
      </c>
      <c r="AC406">
        <v>1536</v>
      </c>
      <c r="AD406" t="s">
        <v>67</v>
      </c>
      <c r="AE406">
        <v>91</v>
      </c>
      <c r="AF406">
        <v>7.63</v>
      </c>
      <c r="AG406" t="s">
        <v>67</v>
      </c>
      <c r="AH406">
        <v>0.22</v>
      </c>
      <c r="AI406">
        <v>19.600000000000001</v>
      </c>
      <c r="AJ406" t="s">
        <v>67</v>
      </c>
      <c r="AK406">
        <v>0.5</v>
      </c>
      <c r="AL406">
        <v>19.399999999999999</v>
      </c>
      <c r="AM406" t="s">
        <v>67</v>
      </c>
      <c r="AN406">
        <v>0.4</v>
      </c>
      <c r="AO406">
        <v>1047</v>
      </c>
      <c r="AP406">
        <v>-0.2</v>
      </c>
      <c r="AQ406" t="s">
        <v>67</v>
      </c>
      <c r="AR406" t="s">
        <v>211</v>
      </c>
      <c r="AS406" t="s">
        <v>69</v>
      </c>
      <c r="AT406" t="s">
        <v>70</v>
      </c>
      <c r="AU406" t="s">
        <v>67</v>
      </c>
      <c r="AV406" t="s">
        <v>72</v>
      </c>
      <c r="AX406" t="s">
        <v>73</v>
      </c>
      <c r="AY406">
        <v>1.6379999999999999</v>
      </c>
      <c r="AZ406">
        <v>1.6379999999999999</v>
      </c>
      <c r="BA406">
        <v>0.15</v>
      </c>
      <c r="BC406">
        <v>15</v>
      </c>
      <c r="BD406">
        <v>1.5125999999999999</v>
      </c>
      <c r="BE406">
        <v>1.51261</v>
      </c>
      <c r="BF406">
        <v>6.3E-2</v>
      </c>
      <c r="BH406">
        <v>15</v>
      </c>
      <c r="BI406">
        <v>28</v>
      </c>
      <c r="BJ406">
        <v>3</v>
      </c>
      <c r="BK406">
        <v>-7.9600000000000004E-2</v>
      </c>
      <c r="BL406">
        <v>9.9000000000000008E-3</v>
      </c>
    </row>
    <row r="407" spans="1:65" hidden="1" x14ac:dyDescent="0.2">
      <c r="A407">
        <v>161</v>
      </c>
      <c r="D407" t="s">
        <v>54</v>
      </c>
      <c r="E407">
        <v>2019</v>
      </c>
      <c r="F407" t="s">
        <v>174</v>
      </c>
      <c r="G407" t="s">
        <v>175</v>
      </c>
      <c r="H407" t="s">
        <v>78</v>
      </c>
      <c r="K407" t="s">
        <v>79</v>
      </c>
      <c r="L407" t="s">
        <v>176</v>
      </c>
      <c r="M407" t="s">
        <v>81</v>
      </c>
      <c r="N407" t="s">
        <v>81</v>
      </c>
      <c r="O407" t="s">
        <v>62</v>
      </c>
      <c r="P407" t="s">
        <v>63</v>
      </c>
      <c r="Q407" t="s">
        <v>74</v>
      </c>
      <c r="R407" t="s">
        <v>83</v>
      </c>
      <c r="S407" t="s">
        <v>64</v>
      </c>
      <c r="T407" t="s">
        <v>74</v>
      </c>
      <c r="U407" t="s">
        <v>84</v>
      </c>
      <c r="V407">
        <v>489</v>
      </c>
      <c r="W407" t="s">
        <v>67</v>
      </c>
      <c r="X407">
        <v>54</v>
      </c>
      <c r="Y407" t="s">
        <v>67</v>
      </c>
      <c r="Z407">
        <v>8.01</v>
      </c>
      <c r="AA407" t="s">
        <v>67</v>
      </c>
      <c r="AB407">
        <v>0.12</v>
      </c>
      <c r="AC407">
        <v>1536</v>
      </c>
      <c r="AD407" t="s">
        <v>67</v>
      </c>
      <c r="AE407">
        <v>91</v>
      </c>
      <c r="AF407">
        <v>7.63</v>
      </c>
      <c r="AG407" t="s">
        <v>67</v>
      </c>
      <c r="AH407">
        <v>0.22</v>
      </c>
      <c r="AI407">
        <v>19.600000000000001</v>
      </c>
      <c r="AJ407" t="s">
        <v>67</v>
      </c>
      <c r="AK407">
        <v>0.5</v>
      </c>
      <c r="AL407">
        <v>19.399999999999999</v>
      </c>
      <c r="AM407" t="s">
        <v>67</v>
      </c>
      <c r="AN407">
        <v>0.4</v>
      </c>
      <c r="AO407">
        <v>1047</v>
      </c>
      <c r="AP407">
        <v>-0.2</v>
      </c>
      <c r="AQ407" t="s">
        <v>67</v>
      </c>
      <c r="AR407" t="s">
        <v>211</v>
      </c>
      <c r="AS407" t="s">
        <v>69</v>
      </c>
      <c r="AT407" t="s">
        <v>70</v>
      </c>
      <c r="AU407" t="s">
        <v>67</v>
      </c>
      <c r="AV407" t="s">
        <v>72</v>
      </c>
      <c r="AX407" t="s">
        <v>73</v>
      </c>
      <c r="AY407">
        <v>1.6379999999999999</v>
      </c>
      <c r="AZ407">
        <v>1.6379999999999999</v>
      </c>
      <c r="BA407">
        <v>0.15</v>
      </c>
      <c r="BC407">
        <v>15</v>
      </c>
      <c r="BD407">
        <v>1.5125999999999999</v>
      </c>
      <c r="BE407">
        <v>1.51261</v>
      </c>
      <c r="BF407">
        <v>6.3E-2</v>
      </c>
      <c r="BH407">
        <v>15</v>
      </c>
      <c r="BI407">
        <v>28</v>
      </c>
      <c r="BJ407">
        <v>3</v>
      </c>
      <c r="BK407">
        <v>-7.9600000000000004E-2</v>
      </c>
      <c r="BL407">
        <v>9.9000000000000008E-3</v>
      </c>
    </row>
    <row r="408" spans="1:65" hidden="1" x14ac:dyDescent="0.2">
      <c r="A408">
        <v>161</v>
      </c>
      <c r="D408" t="s">
        <v>54</v>
      </c>
      <c r="E408">
        <v>2019</v>
      </c>
      <c r="F408" t="s">
        <v>174</v>
      </c>
      <c r="G408" t="s">
        <v>175</v>
      </c>
      <c r="H408" t="s">
        <v>78</v>
      </c>
      <c r="K408" t="s">
        <v>79</v>
      </c>
      <c r="L408" t="s">
        <v>176</v>
      </c>
      <c r="M408" t="s">
        <v>81</v>
      </c>
      <c r="N408" t="s">
        <v>81</v>
      </c>
      <c r="O408" t="s">
        <v>62</v>
      </c>
      <c r="P408" t="s">
        <v>63</v>
      </c>
      <c r="Q408" t="s">
        <v>74</v>
      </c>
      <c r="R408" t="s">
        <v>83</v>
      </c>
      <c r="S408" t="s">
        <v>64</v>
      </c>
      <c r="T408" t="s">
        <v>64</v>
      </c>
      <c r="U408" t="s">
        <v>66</v>
      </c>
      <c r="V408">
        <v>489</v>
      </c>
      <c r="W408" t="s">
        <v>67</v>
      </c>
      <c r="X408">
        <v>54</v>
      </c>
      <c r="Y408" t="s">
        <v>67</v>
      </c>
      <c r="Z408">
        <v>8.01</v>
      </c>
      <c r="AA408" t="s">
        <v>67</v>
      </c>
      <c r="AB408">
        <v>0.12</v>
      </c>
      <c r="AC408">
        <v>1523</v>
      </c>
      <c r="AD408" t="s">
        <v>67</v>
      </c>
      <c r="AE408">
        <v>16</v>
      </c>
      <c r="AF408">
        <v>7.6</v>
      </c>
      <c r="AG408" t="s">
        <v>67</v>
      </c>
      <c r="AH408">
        <v>0.31</v>
      </c>
      <c r="AI408">
        <v>19.600000000000001</v>
      </c>
      <c r="AJ408" t="s">
        <v>67</v>
      </c>
      <c r="AK408">
        <v>0.5</v>
      </c>
      <c r="AL408">
        <v>24.2</v>
      </c>
      <c r="AM408" t="s">
        <v>67</v>
      </c>
      <c r="AN408">
        <v>0.4</v>
      </c>
      <c r="AO408">
        <v>1034</v>
      </c>
      <c r="AP408">
        <v>4.5999999999999996</v>
      </c>
      <c r="AQ408" t="s">
        <v>67</v>
      </c>
      <c r="AR408" t="s">
        <v>211</v>
      </c>
      <c r="AS408" t="s">
        <v>69</v>
      </c>
      <c r="AT408" t="s">
        <v>70</v>
      </c>
      <c r="AU408" t="s">
        <v>67</v>
      </c>
      <c r="AV408" t="s">
        <v>72</v>
      </c>
      <c r="AX408" t="s">
        <v>73</v>
      </c>
      <c r="AY408">
        <v>1.6379999999999999</v>
      </c>
      <c r="AZ408">
        <v>1.6379999999999999</v>
      </c>
      <c r="BA408">
        <v>0.15</v>
      </c>
      <c r="BC408">
        <v>15</v>
      </c>
      <c r="BD408">
        <v>1.4916</v>
      </c>
      <c r="BE408">
        <v>1.4916</v>
      </c>
      <c r="BF408">
        <v>6.3E-2</v>
      </c>
      <c r="BH408">
        <v>15</v>
      </c>
      <c r="BI408">
        <v>28</v>
      </c>
      <c r="BJ408">
        <v>3</v>
      </c>
      <c r="BK408">
        <v>-9.3600000000000003E-2</v>
      </c>
      <c r="BL408">
        <v>9.9000000000000008E-3</v>
      </c>
    </row>
    <row r="409" spans="1:65" hidden="1" x14ac:dyDescent="0.2">
      <c r="A409">
        <v>161</v>
      </c>
      <c r="D409" t="s">
        <v>54</v>
      </c>
      <c r="E409">
        <v>2019</v>
      </c>
      <c r="F409" t="s">
        <v>174</v>
      </c>
      <c r="G409" t="s">
        <v>175</v>
      </c>
      <c r="H409" t="s">
        <v>78</v>
      </c>
      <c r="K409" t="s">
        <v>79</v>
      </c>
      <c r="L409" t="s">
        <v>176</v>
      </c>
      <c r="M409" t="s">
        <v>81</v>
      </c>
      <c r="N409" t="s">
        <v>81</v>
      </c>
      <c r="O409" t="s">
        <v>62</v>
      </c>
      <c r="P409" t="s">
        <v>63</v>
      </c>
      <c r="Q409" t="s">
        <v>74</v>
      </c>
      <c r="R409" t="s">
        <v>83</v>
      </c>
      <c r="S409" t="s">
        <v>64</v>
      </c>
      <c r="T409" t="s">
        <v>64</v>
      </c>
      <c r="U409" t="s">
        <v>66</v>
      </c>
      <c r="V409">
        <v>489</v>
      </c>
      <c r="W409" t="s">
        <v>67</v>
      </c>
      <c r="X409">
        <v>54</v>
      </c>
      <c r="Y409" t="s">
        <v>67</v>
      </c>
      <c r="Z409">
        <v>8.01</v>
      </c>
      <c r="AA409" t="s">
        <v>67</v>
      </c>
      <c r="AB409">
        <v>0.12</v>
      </c>
      <c r="AC409">
        <v>1523</v>
      </c>
      <c r="AD409" t="s">
        <v>67</v>
      </c>
      <c r="AE409">
        <v>16</v>
      </c>
      <c r="AF409">
        <v>7.6</v>
      </c>
      <c r="AG409" t="s">
        <v>67</v>
      </c>
      <c r="AH409">
        <v>0.31</v>
      </c>
      <c r="AI409">
        <v>19.600000000000001</v>
      </c>
      <c r="AJ409" t="s">
        <v>67</v>
      </c>
      <c r="AK409">
        <v>0.5</v>
      </c>
      <c r="AL409">
        <v>24.2</v>
      </c>
      <c r="AM409" t="s">
        <v>67</v>
      </c>
      <c r="AN409">
        <v>0.4</v>
      </c>
      <c r="AO409">
        <v>1034</v>
      </c>
      <c r="AP409">
        <v>4.5999999999999996</v>
      </c>
      <c r="AQ409" t="s">
        <v>67</v>
      </c>
      <c r="AR409" t="s">
        <v>211</v>
      </c>
      <c r="AS409" t="s">
        <v>69</v>
      </c>
      <c r="AT409" t="s">
        <v>70</v>
      </c>
      <c r="AU409" t="s">
        <v>67</v>
      </c>
      <c r="AV409" t="s">
        <v>72</v>
      </c>
      <c r="AX409" t="s">
        <v>73</v>
      </c>
      <c r="AY409">
        <v>1.6379999999999999</v>
      </c>
      <c r="AZ409">
        <v>1.6379999999999999</v>
      </c>
      <c r="BA409">
        <v>0.15</v>
      </c>
      <c r="BC409">
        <v>15</v>
      </c>
      <c r="BD409">
        <v>1.4916</v>
      </c>
      <c r="BE409">
        <v>1.4916</v>
      </c>
      <c r="BF409">
        <v>6.3E-2</v>
      </c>
      <c r="BH409">
        <v>15</v>
      </c>
      <c r="BI409">
        <v>28</v>
      </c>
      <c r="BJ409">
        <v>3</v>
      </c>
      <c r="BK409">
        <v>-9.3600000000000003E-2</v>
      </c>
      <c r="BL409">
        <v>9.9000000000000008E-3</v>
      </c>
    </row>
    <row r="410" spans="1:65" hidden="1" x14ac:dyDescent="0.2">
      <c r="A410">
        <v>194</v>
      </c>
      <c r="D410" t="s">
        <v>54</v>
      </c>
      <c r="E410">
        <v>2012</v>
      </c>
      <c r="F410" t="s">
        <v>289</v>
      </c>
      <c r="G410" t="s">
        <v>290</v>
      </c>
      <c r="H410" t="s">
        <v>78</v>
      </c>
      <c r="K410" t="s">
        <v>93</v>
      </c>
      <c r="L410" t="s">
        <v>94</v>
      </c>
      <c r="M410" t="s">
        <v>95</v>
      </c>
      <c r="N410" t="s">
        <v>61</v>
      </c>
      <c r="O410" t="s">
        <v>62</v>
      </c>
      <c r="P410" t="s">
        <v>63</v>
      </c>
      <c r="Q410" t="s">
        <v>74</v>
      </c>
      <c r="R410" t="s">
        <v>83</v>
      </c>
      <c r="S410" t="s">
        <v>64</v>
      </c>
      <c r="T410" t="s">
        <v>74</v>
      </c>
      <c r="U410" t="s">
        <v>84</v>
      </c>
      <c r="V410">
        <v>438</v>
      </c>
      <c r="W410" t="s">
        <v>67</v>
      </c>
      <c r="X410">
        <v>46</v>
      </c>
      <c r="Y410" t="s">
        <v>96</v>
      </c>
      <c r="Z410">
        <v>8.1199999999999992</v>
      </c>
      <c r="AA410" t="s">
        <v>67</v>
      </c>
      <c r="AB410">
        <v>0.04</v>
      </c>
      <c r="AC410">
        <v>926</v>
      </c>
      <c r="AD410" t="s">
        <v>67</v>
      </c>
      <c r="AE410">
        <v>109</v>
      </c>
      <c r="AF410">
        <v>7.81</v>
      </c>
      <c r="AG410" t="s">
        <v>67</v>
      </c>
      <c r="AH410">
        <v>0.04</v>
      </c>
      <c r="AI410">
        <v>28.6</v>
      </c>
      <c r="AJ410" t="s">
        <v>67</v>
      </c>
      <c r="AK410">
        <v>0.54</v>
      </c>
      <c r="AL410">
        <v>28.6</v>
      </c>
      <c r="AM410" t="s">
        <v>67</v>
      </c>
      <c r="AN410">
        <v>0.18</v>
      </c>
      <c r="AO410">
        <v>488</v>
      </c>
      <c r="AP410">
        <v>0</v>
      </c>
      <c r="AQ410" t="s">
        <v>291</v>
      </c>
      <c r="AR410" t="s">
        <v>395</v>
      </c>
      <c r="AS410" t="s">
        <v>134</v>
      </c>
      <c r="AT410" t="s">
        <v>135</v>
      </c>
      <c r="AU410" t="s">
        <v>396</v>
      </c>
      <c r="AV410" t="s">
        <v>137</v>
      </c>
      <c r="AX410" t="s">
        <v>73</v>
      </c>
      <c r="AY410">
        <v>992.78</v>
      </c>
      <c r="AZ410">
        <v>992.78</v>
      </c>
      <c r="BA410">
        <v>92.79</v>
      </c>
      <c r="BC410">
        <v>15</v>
      </c>
      <c r="BD410">
        <v>1076.29</v>
      </c>
      <c r="BE410">
        <v>1076.29</v>
      </c>
      <c r="BF410">
        <v>37.11</v>
      </c>
      <c r="BH410">
        <v>17</v>
      </c>
      <c r="BI410">
        <v>21</v>
      </c>
      <c r="BJ410">
        <v>5</v>
      </c>
      <c r="BK410">
        <v>8.0799999999999997E-2</v>
      </c>
      <c r="BL410">
        <v>9.9000000000000008E-3</v>
      </c>
    </row>
    <row r="411" spans="1:65" hidden="1" x14ac:dyDescent="0.2">
      <c r="A411">
        <v>141</v>
      </c>
      <c r="D411" t="s">
        <v>54</v>
      </c>
      <c r="E411">
        <v>2015</v>
      </c>
      <c r="F411" t="s">
        <v>91</v>
      </c>
      <c r="G411" t="s">
        <v>92</v>
      </c>
      <c r="H411" t="s">
        <v>78</v>
      </c>
      <c r="K411" t="s">
        <v>93</v>
      </c>
      <c r="L411" t="s">
        <v>94</v>
      </c>
      <c r="M411" t="s">
        <v>95</v>
      </c>
      <c r="N411" t="s">
        <v>61</v>
      </c>
      <c r="O411" t="s">
        <v>62</v>
      </c>
      <c r="P411" t="s">
        <v>196</v>
      </c>
      <c r="Q411" t="s">
        <v>64</v>
      </c>
      <c r="R411" t="s">
        <v>83</v>
      </c>
      <c r="S411" t="s">
        <v>64</v>
      </c>
      <c r="T411" t="s">
        <v>64</v>
      </c>
      <c r="U411" t="s">
        <v>66</v>
      </c>
      <c r="V411">
        <v>400</v>
      </c>
      <c r="W411">
        <v>6</v>
      </c>
      <c r="X411" t="s">
        <v>67</v>
      </c>
      <c r="Y411" t="s">
        <v>96</v>
      </c>
      <c r="Z411">
        <v>8.15</v>
      </c>
      <c r="AA411">
        <v>0.01</v>
      </c>
      <c r="AB411" t="s">
        <v>67</v>
      </c>
      <c r="AC411">
        <v>1191</v>
      </c>
      <c r="AD411">
        <v>27</v>
      </c>
      <c r="AE411" t="s">
        <v>67</v>
      </c>
      <c r="AF411">
        <v>7.78</v>
      </c>
      <c r="AG411">
        <v>0.01</v>
      </c>
      <c r="AH411" t="s">
        <v>67</v>
      </c>
      <c r="AI411">
        <v>28.4</v>
      </c>
      <c r="AJ411">
        <v>0.01</v>
      </c>
      <c r="AK411" t="s">
        <v>67</v>
      </c>
      <c r="AL411">
        <v>31.5</v>
      </c>
      <c r="AM411">
        <v>0.01</v>
      </c>
      <c r="AN411" t="s">
        <v>67</v>
      </c>
      <c r="AO411">
        <v>791</v>
      </c>
      <c r="AP411">
        <v>3.1</v>
      </c>
      <c r="AQ411" t="s">
        <v>67</v>
      </c>
      <c r="AR411" t="s">
        <v>358</v>
      </c>
      <c r="AS411" t="s">
        <v>359</v>
      </c>
      <c r="AT411" t="s">
        <v>135</v>
      </c>
      <c r="AU411" t="s">
        <v>232</v>
      </c>
      <c r="AV411" t="s">
        <v>72</v>
      </c>
      <c r="AX411" t="s">
        <v>73</v>
      </c>
      <c r="AY411">
        <v>1.1116999999999999</v>
      </c>
      <c r="AZ411">
        <v>1.1116900000000001</v>
      </c>
      <c r="BA411">
        <v>0.06</v>
      </c>
      <c r="BC411">
        <v>4</v>
      </c>
      <c r="BD411">
        <v>0.94550000000000001</v>
      </c>
      <c r="BE411">
        <v>0.94545454500000004</v>
      </c>
      <c r="BF411">
        <v>7.7899999999999997E-2</v>
      </c>
      <c r="BH411">
        <v>2</v>
      </c>
      <c r="BI411" t="s">
        <v>67</v>
      </c>
      <c r="BJ411">
        <v>7</v>
      </c>
      <c r="BK411">
        <v>-0.16200000000000001</v>
      </c>
      <c r="BL411">
        <v>9.9000000000000008E-3</v>
      </c>
    </row>
    <row r="412" spans="1:65" hidden="1" x14ac:dyDescent="0.2">
      <c r="A412">
        <v>143</v>
      </c>
      <c r="D412" t="s">
        <v>54</v>
      </c>
      <c r="E412">
        <v>2020</v>
      </c>
      <c r="F412" t="s">
        <v>312</v>
      </c>
      <c r="G412" t="s">
        <v>263</v>
      </c>
      <c r="H412" t="s">
        <v>78</v>
      </c>
      <c r="K412" t="s">
        <v>313</v>
      </c>
      <c r="L412" t="s">
        <v>210</v>
      </c>
      <c r="M412" t="s">
        <v>156</v>
      </c>
      <c r="N412" t="s">
        <v>156</v>
      </c>
      <c r="O412" t="s">
        <v>62</v>
      </c>
      <c r="P412" t="s">
        <v>63</v>
      </c>
      <c r="Q412" t="s">
        <v>64</v>
      </c>
      <c r="R412" t="s">
        <v>83</v>
      </c>
      <c r="S412" t="s">
        <v>64</v>
      </c>
      <c r="T412" t="s">
        <v>74</v>
      </c>
      <c r="U412" t="s">
        <v>84</v>
      </c>
      <c r="V412">
        <v>655</v>
      </c>
      <c r="W412">
        <v>18</v>
      </c>
      <c r="X412" t="s">
        <v>67</v>
      </c>
      <c r="Y412" t="s">
        <v>183</v>
      </c>
      <c r="Z412">
        <v>7.97</v>
      </c>
      <c r="AA412">
        <v>0.01</v>
      </c>
      <c r="AB412" t="s">
        <v>67</v>
      </c>
      <c r="AC412">
        <v>1841</v>
      </c>
      <c r="AD412">
        <v>40</v>
      </c>
      <c r="AE412" t="s">
        <v>67</v>
      </c>
      <c r="AF412">
        <v>7.55</v>
      </c>
      <c r="AG412">
        <v>0.01</v>
      </c>
      <c r="AH412" t="s">
        <v>67</v>
      </c>
      <c r="AI412">
        <v>16</v>
      </c>
      <c r="AJ412">
        <v>0.2</v>
      </c>
      <c r="AK412" t="s">
        <v>67</v>
      </c>
      <c r="AL412">
        <v>16.100000000000001</v>
      </c>
      <c r="AM412">
        <v>0.2</v>
      </c>
      <c r="AN412" t="s">
        <v>67</v>
      </c>
      <c r="AO412">
        <v>1186</v>
      </c>
      <c r="AP412">
        <v>0.1</v>
      </c>
      <c r="AQ412" t="s">
        <v>314</v>
      </c>
      <c r="AR412" t="s">
        <v>315</v>
      </c>
      <c r="AS412" t="s">
        <v>316</v>
      </c>
      <c r="AT412" t="s">
        <v>135</v>
      </c>
      <c r="AU412" t="s">
        <v>67</v>
      </c>
      <c r="AV412" t="s">
        <v>132</v>
      </c>
      <c r="AX412" t="s">
        <v>73</v>
      </c>
      <c r="AY412">
        <v>6.39</v>
      </c>
      <c r="AZ412">
        <v>6.39</v>
      </c>
      <c r="BA412">
        <v>0.3</v>
      </c>
      <c r="BC412">
        <v>8</v>
      </c>
      <c r="BD412">
        <v>6.02</v>
      </c>
      <c r="BE412">
        <v>6.02</v>
      </c>
      <c r="BF412">
        <v>0.53</v>
      </c>
      <c r="BH412">
        <v>8</v>
      </c>
      <c r="BI412">
        <v>330</v>
      </c>
      <c r="BJ412">
        <v>3</v>
      </c>
      <c r="BK412">
        <v>-5.96E-2</v>
      </c>
      <c r="BL412">
        <v>0.01</v>
      </c>
    </row>
    <row r="413" spans="1:65" hidden="1" x14ac:dyDescent="0.2">
      <c r="A413">
        <v>142</v>
      </c>
      <c r="D413" t="s">
        <v>397</v>
      </c>
      <c r="E413">
        <v>2017</v>
      </c>
      <c r="F413" t="s">
        <v>193</v>
      </c>
      <c r="G413" t="s">
        <v>181</v>
      </c>
      <c r="H413" t="s">
        <v>78</v>
      </c>
      <c r="K413" t="s">
        <v>194</v>
      </c>
      <c r="L413" t="s">
        <v>299</v>
      </c>
      <c r="M413" t="s">
        <v>120</v>
      </c>
      <c r="N413" t="s">
        <v>120</v>
      </c>
      <c r="O413" t="s">
        <v>62</v>
      </c>
      <c r="P413" t="s">
        <v>196</v>
      </c>
      <c r="Q413" t="s">
        <v>64</v>
      </c>
      <c r="R413" t="s">
        <v>83</v>
      </c>
      <c r="S413" t="s">
        <v>64</v>
      </c>
      <c r="T413" t="s">
        <v>64</v>
      </c>
      <c r="U413" t="s">
        <v>66</v>
      </c>
      <c r="V413">
        <v>439</v>
      </c>
      <c r="W413">
        <v>16.079999999999998</v>
      </c>
      <c r="X413" t="s">
        <v>67</v>
      </c>
      <c r="Y413" t="s">
        <v>67</v>
      </c>
      <c r="Z413" t="s">
        <v>67</v>
      </c>
      <c r="AA413" t="s">
        <v>67</v>
      </c>
      <c r="AB413" t="s">
        <v>67</v>
      </c>
      <c r="AC413">
        <v>1027</v>
      </c>
      <c r="AD413">
        <v>9.0299999999999994</v>
      </c>
      <c r="AE413" t="s">
        <v>67</v>
      </c>
      <c r="AF413" t="s">
        <v>67</v>
      </c>
      <c r="AG413" t="s">
        <v>67</v>
      </c>
      <c r="AH413" t="s">
        <v>67</v>
      </c>
      <c r="AI413">
        <v>-0.6</v>
      </c>
      <c r="AJ413">
        <v>0.17</v>
      </c>
      <c r="AK413" t="s">
        <v>67</v>
      </c>
      <c r="AL413">
        <v>4.2</v>
      </c>
      <c r="AM413">
        <v>0.56000000000000005</v>
      </c>
      <c r="AN413" t="s">
        <v>67</v>
      </c>
      <c r="AO413">
        <v>588</v>
      </c>
      <c r="AP413">
        <v>4.8</v>
      </c>
      <c r="AQ413" t="s">
        <v>67</v>
      </c>
      <c r="AR413" t="s">
        <v>113</v>
      </c>
      <c r="AS413" t="s">
        <v>113</v>
      </c>
      <c r="AT413" t="s">
        <v>70</v>
      </c>
      <c r="AU413" t="s">
        <v>398</v>
      </c>
      <c r="AV413" t="s">
        <v>72</v>
      </c>
      <c r="AX413" t="s">
        <v>73</v>
      </c>
      <c r="AY413">
        <v>2.2000000000000001E-3</v>
      </c>
      <c r="AZ413">
        <v>0.44823000000000002</v>
      </c>
      <c r="BA413">
        <v>0.02</v>
      </c>
      <c r="BC413">
        <v>5</v>
      </c>
      <c r="BD413">
        <v>-0.22</v>
      </c>
      <c r="BE413">
        <v>0.223</v>
      </c>
      <c r="BF413">
        <v>0.02</v>
      </c>
      <c r="BH413">
        <v>5</v>
      </c>
      <c r="BI413">
        <v>56</v>
      </c>
      <c r="BJ413">
        <v>1</v>
      </c>
      <c r="BK413">
        <v>-0.69810000000000005</v>
      </c>
      <c r="BL413">
        <v>0.01</v>
      </c>
      <c r="BM413" t="s">
        <v>399</v>
      </c>
    </row>
    <row r="414" spans="1:65" hidden="1" x14ac:dyDescent="0.2">
      <c r="A414">
        <v>171</v>
      </c>
      <c r="D414" t="s">
        <v>54</v>
      </c>
      <c r="E414">
        <v>2015</v>
      </c>
      <c r="F414" t="s">
        <v>198</v>
      </c>
      <c r="G414" t="s">
        <v>199</v>
      </c>
      <c r="H414" t="s">
        <v>57</v>
      </c>
      <c r="K414" t="s">
        <v>79</v>
      </c>
      <c r="L414" t="s">
        <v>200</v>
      </c>
      <c r="M414" t="s">
        <v>81</v>
      </c>
      <c r="N414" t="s">
        <v>81</v>
      </c>
      <c r="O414" t="s">
        <v>62</v>
      </c>
      <c r="P414" t="s">
        <v>63</v>
      </c>
      <c r="Q414" t="s">
        <v>64</v>
      </c>
      <c r="R414" t="s">
        <v>65</v>
      </c>
      <c r="S414" t="s">
        <v>74</v>
      </c>
      <c r="T414" t="s">
        <v>64</v>
      </c>
      <c r="U414" t="s">
        <v>75</v>
      </c>
      <c r="V414">
        <v>422.07</v>
      </c>
      <c r="W414" t="s">
        <v>67</v>
      </c>
      <c r="X414">
        <v>16.57</v>
      </c>
      <c r="Y414" t="s">
        <v>96</v>
      </c>
      <c r="Z414">
        <v>8.1</v>
      </c>
      <c r="AA414" t="s">
        <v>67</v>
      </c>
      <c r="AB414">
        <v>0.05</v>
      </c>
      <c r="AC414">
        <v>423.94</v>
      </c>
      <c r="AD414" t="s">
        <v>67</v>
      </c>
      <c r="AE414">
        <v>16.579999999999998</v>
      </c>
      <c r="AF414">
        <v>8.1</v>
      </c>
      <c r="AG414" t="s">
        <v>67</v>
      </c>
      <c r="AH414">
        <v>0.05</v>
      </c>
      <c r="AI414">
        <v>15</v>
      </c>
      <c r="AJ414" t="s">
        <v>67</v>
      </c>
      <c r="AK414">
        <v>0.5</v>
      </c>
      <c r="AL414">
        <v>20</v>
      </c>
      <c r="AM414" t="s">
        <v>67</v>
      </c>
      <c r="AN414">
        <v>0.5</v>
      </c>
      <c r="AO414">
        <v>2</v>
      </c>
      <c r="AP414">
        <v>5</v>
      </c>
      <c r="AQ414" t="s">
        <v>218</v>
      </c>
      <c r="AR414" t="s">
        <v>69</v>
      </c>
      <c r="AS414" t="s">
        <v>69</v>
      </c>
      <c r="AT414" t="s">
        <v>70</v>
      </c>
      <c r="AU414" t="s">
        <v>227</v>
      </c>
      <c r="AV414" t="s">
        <v>72</v>
      </c>
      <c r="AX414" t="s">
        <v>73</v>
      </c>
      <c r="AY414">
        <v>0.16800000000000001</v>
      </c>
      <c r="AZ414">
        <v>0.16800000000000001</v>
      </c>
      <c r="BA414">
        <v>0.01</v>
      </c>
      <c r="BC414">
        <v>37</v>
      </c>
      <c r="BD414">
        <v>0.115</v>
      </c>
      <c r="BE414">
        <v>0.115</v>
      </c>
      <c r="BF414">
        <v>1.0999999999999999E-2</v>
      </c>
      <c r="BH414">
        <v>37</v>
      </c>
      <c r="BI414">
        <v>150</v>
      </c>
      <c r="BJ414">
        <v>5</v>
      </c>
      <c r="BK414">
        <v>-0.379</v>
      </c>
      <c r="BL414">
        <v>0.01</v>
      </c>
    </row>
    <row r="415" spans="1:65" x14ac:dyDescent="0.2">
      <c r="A415">
        <v>169</v>
      </c>
      <c r="B415" t="str">
        <f>ROW()-1&amp;"_AltersFish"</f>
        <v>414_AltersFish</v>
      </c>
      <c r="C415" t="str">
        <f>A415 &amp; "_" &amp; P415 &amp; "_" &amp;
SUBSTITUTE(TRIM(L415)," ","_") &amp;
"_pH" &amp; TEXT(Z415,"0.00") &amp;
"_T" &amp; TEXT(AI415,"0.00") &amp;
"_CO2" &amp; TEXT(V415,"0") &amp;
"_LANG"</f>
        <v>169_LARVA_Solea_senegalensis_pH8.02_T18.20_CO2400_LANG</v>
      </c>
      <c r="D415" t="s">
        <v>54</v>
      </c>
      <c r="E415">
        <v>2014</v>
      </c>
      <c r="F415" t="s">
        <v>123</v>
      </c>
      <c r="G415" t="s">
        <v>124</v>
      </c>
      <c r="H415" t="s">
        <v>78</v>
      </c>
      <c r="I415" t="s">
        <v>540</v>
      </c>
      <c r="J415" t="s">
        <v>543</v>
      </c>
      <c r="K415" t="s">
        <v>79</v>
      </c>
      <c r="L415" t="s">
        <v>125</v>
      </c>
      <c r="M415" t="s">
        <v>126</v>
      </c>
      <c r="N415" t="s">
        <v>81</v>
      </c>
      <c r="O415" t="s">
        <v>106</v>
      </c>
      <c r="P415" t="s">
        <v>107</v>
      </c>
      <c r="Q415" t="s">
        <v>64</v>
      </c>
      <c r="R415" t="s">
        <v>83</v>
      </c>
      <c r="S415" t="s">
        <v>64</v>
      </c>
      <c r="T415" t="s">
        <v>64</v>
      </c>
      <c r="U415" t="s">
        <v>66</v>
      </c>
      <c r="V415">
        <v>400</v>
      </c>
      <c r="W415" t="s">
        <v>67</v>
      </c>
      <c r="X415">
        <v>66.709999999999994</v>
      </c>
      <c r="Y415" t="s">
        <v>68</v>
      </c>
      <c r="Z415">
        <v>8.02</v>
      </c>
      <c r="AA415" t="s">
        <v>67</v>
      </c>
      <c r="AB415">
        <v>0.04</v>
      </c>
      <c r="AC415">
        <v>1654</v>
      </c>
      <c r="AD415" t="s">
        <v>67</v>
      </c>
      <c r="AE415">
        <v>49.06</v>
      </c>
      <c r="AF415">
        <v>7.51</v>
      </c>
      <c r="AG415" t="s">
        <v>67</v>
      </c>
      <c r="AH415">
        <v>0.05</v>
      </c>
      <c r="AI415">
        <v>18.2</v>
      </c>
      <c r="AJ415" t="s">
        <v>67</v>
      </c>
      <c r="AK415">
        <v>0.4</v>
      </c>
      <c r="AL415">
        <v>22.1</v>
      </c>
      <c r="AM415" t="s">
        <v>67</v>
      </c>
      <c r="AN415">
        <v>1.01</v>
      </c>
      <c r="AO415">
        <v>1254</v>
      </c>
      <c r="AP415">
        <v>3.9</v>
      </c>
      <c r="AQ415" t="s">
        <v>67</v>
      </c>
      <c r="AR415" t="s">
        <v>128</v>
      </c>
      <c r="AS415" t="s">
        <v>88</v>
      </c>
      <c r="AT415" t="s">
        <v>70</v>
      </c>
      <c r="AU415" t="s">
        <v>89</v>
      </c>
      <c r="AV415" t="s">
        <v>87</v>
      </c>
      <c r="AW415" t="s">
        <v>88</v>
      </c>
      <c r="AX415" t="s">
        <v>90</v>
      </c>
      <c r="AY415">
        <v>45.599299999999999</v>
      </c>
      <c r="AZ415">
        <v>45.599249999999998</v>
      </c>
      <c r="BA415">
        <v>1.89E-2</v>
      </c>
      <c r="BB415">
        <f>BA415*SQRT(BC415)</f>
        <v>3.2735760263051777E-2</v>
      </c>
      <c r="BC415">
        <v>3</v>
      </c>
      <c r="BD415">
        <v>32.677900000000001</v>
      </c>
      <c r="BE415">
        <v>32.677902619999998</v>
      </c>
      <c r="BF415">
        <v>2.4299999999999999E-2</v>
      </c>
      <c r="BG415">
        <f>BF415*SQRT(BH415)</f>
        <v>4.2088834623923717E-2</v>
      </c>
      <c r="BH415">
        <v>3</v>
      </c>
      <c r="BI415">
        <v>30</v>
      </c>
      <c r="BJ415">
        <v>3</v>
      </c>
      <c r="BK415">
        <v>-0.3332</v>
      </c>
      <c r="BL415">
        <v>1E-4</v>
      </c>
    </row>
    <row r="416" spans="1:65" hidden="1" x14ac:dyDescent="0.2">
      <c r="A416">
        <v>142</v>
      </c>
      <c r="D416" t="s">
        <v>54</v>
      </c>
      <c r="E416">
        <v>2017</v>
      </c>
      <c r="F416" t="s">
        <v>193</v>
      </c>
      <c r="G416" t="s">
        <v>181</v>
      </c>
      <c r="H416" t="s">
        <v>78</v>
      </c>
      <c r="K416" t="s">
        <v>194</v>
      </c>
      <c r="L416" t="s">
        <v>215</v>
      </c>
      <c r="M416" t="s">
        <v>120</v>
      </c>
      <c r="N416" t="s">
        <v>120</v>
      </c>
      <c r="O416" t="s">
        <v>62</v>
      </c>
      <c r="P416" t="s">
        <v>196</v>
      </c>
      <c r="Q416" t="s">
        <v>64</v>
      </c>
      <c r="R416" t="s">
        <v>83</v>
      </c>
      <c r="S416" t="s">
        <v>64</v>
      </c>
      <c r="T416" t="s">
        <v>64</v>
      </c>
      <c r="U416" t="s">
        <v>66</v>
      </c>
      <c r="V416">
        <v>439</v>
      </c>
      <c r="W416">
        <v>16.079999999999998</v>
      </c>
      <c r="X416" t="s">
        <v>67</v>
      </c>
      <c r="Y416" t="s">
        <v>67</v>
      </c>
      <c r="Z416" t="s">
        <v>67</v>
      </c>
      <c r="AA416" t="s">
        <v>67</v>
      </c>
      <c r="AB416" t="s">
        <v>67</v>
      </c>
      <c r="AC416">
        <v>1027</v>
      </c>
      <c r="AD416">
        <v>9.0299999999999994</v>
      </c>
      <c r="AE416" t="s">
        <v>67</v>
      </c>
      <c r="AF416" t="s">
        <v>67</v>
      </c>
      <c r="AG416" t="s">
        <v>67</v>
      </c>
      <c r="AH416" t="s">
        <v>67</v>
      </c>
      <c r="AI416">
        <v>-0.6</v>
      </c>
      <c r="AJ416">
        <v>0.17</v>
      </c>
      <c r="AK416" t="s">
        <v>67</v>
      </c>
      <c r="AL416">
        <v>4.2</v>
      </c>
      <c r="AM416">
        <v>0.56000000000000005</v>
      </c>
      <c r="AN416" t="s">
        <v>67</v>
      </c>
      <c r="AO416">
        <v>588</v>
      </c>
      <c r="AP416">
        <v>4.8</v>
      </c>
      <c r="AQ416" t="s">
        <v>67</v>
      </c>
      <c r="AR416" t="s">
        <v>400</v>
      </c>
      <c r="AS416" t="s">
        <v>401</v>
      </c>
      <c r="AT416" t="s">
        <v>135</v>
      </c>
      <c r="AU416" t="s">
        <v>402</v>
      </c>
      <c r="AV416" t="s">
        <v>132</v>
      </c>
      <c r="AX416" t="s">
        <v>73</v>
      </c>
      <c r="AY416">
        <v>0.81299999999999994</v>
      </c>
      <c r="AZ416">
        <v>0.81299999999999994</v>
      </c>
      <c r="BA416">
        <v>0.02</v>
      </c>
      <c r="BC416">
        <v>10</v>
      </c>
      <c r="BD416">
        <v>0.81299999999999994</v>
      </c>
      <c r="BE416">
        <v>0.81299999999999994</v>
      </c>
      <c r="BF416">
        <v>0.08</v>
      </c>
      <c r="BH416">
        <v>10</v>
      </c>
      <c r="BI416">
        <v>49</v>
      </c>
      <c r="BJ416">
        <v>1</v>
      </c>
      <c r="BK416">
        <v>0</v>
      </c>
      <c r="BL416">
        <v>1.03E-2</v>
      </c>
    </row>
    <row r="417" spans="1:64" hidden="1" x14ac:dyDescent="0.2">
      <c r="A417">
        <v>136</v>
      </c>
      <c r="D417" t="s">
        <v>54</v>
      </c>
      <c r="E417">
        <v>2012</v>
      </c>
      <c r="F417" t="s">
        <v>384</v>
      </c>
      <c r="G417" t="s">
        <v>199</v>
      </c>
      <c r="H417" t="s">
        <v>78</v>
      </c>
      <c r="K417" t="s">
        <v>93</v>
      </c>
      <c r="L417" t="s">
        <v>94</v>
      </c>
      <c r="M417" t="s">
        <v>95</v>
      </c>
      <c r="N417" t="s">
        <v>61</v>
      </c>
      <c r="O417" t="s">
        <v>62</v>
      </c>
      <c r="P417" t="s">
        <v>63</v>
      </c>
      <c r="Q417" t="s">
        <v>74</v>
      </c>
      <c r="R417" t="s">
        <v>83</v>
      </c>
      <c r="S417" t="s">
        <v>64</v>
      </c>
      <c r="T417" t="s">
        <v>74</v>
      </c>
      <c r="U417" t="s">
        <v>84</v>
      </c>
      <c r="V417">
        <v>433</v>
      </c>
      <c r="W417" t="s">
        <v>67</v>
      </c>
      <c r="X417">
        <v>69</v>
      </c>
      <c r="Y417" t="s">
        <v>96</v>
      </c>
      <c r="Z417">
        <v>8.2100000000000009</v>
      </c>
      <c r="AA417" t="s">
        <v>67</v>
      </c>
      <c r="AB417">
        <v>0.05</v>
      </c>
      <c r="AC417">
        <v>1020</v>
      </c>
      <c r="AD417" t="s">
        <v>67</v>
      </c>
      <c r="AE417">
        <v>123</v>
      </c>
      <c r="AF417">
        <v>7.89</v>
      </c>
      <c r="AG417" t="s">
        <v>67</v>
      </c>
      <c r="AH417">
        <v>0.08</v>
      </c>
      <c r="AI417">
        <v>28.1</v>
      </c>
      <c r="AJ417" t="s">
        <v>67</v>
      </c>
      <c r="AK417">
        <v>0.12</v>
      </c>
      <c r="AL417">
        <v>28.3</v>
      </c>
      <c r="AM417">
        <v>0.15</v>
      </c>
      <c r="AN417" t="s">
        <v>67</v>
      </c>
      <c r="AO417">
        <v>587</v>
      </c>
      <c r="AP417">
        <v>0.1</v>
      </c>
      <c r="AQ417" t="s">
        <v>67</v>
      </c>
      <c r="AR417" t="s">
        <v>385</v>
      </c>
      <c r="AS417" t="s">
        <v>386</v>
      </c>
      <c r="AT417" t="s">
        <v>135</v>
      </c>
      <c r="AU417" t="s">
        <v>387</v>
      </c>
      <c r="AV417" t="s">
        <v>251</v>
      </c>
      <c r="AX417" t="s">
        <v>73</v>
      </c>
      <c r="AY417">
        <v>98</v>
      </c>
      <c r="AZ417">
        <v>98</v>
      </c>
      <c r="BA417">
        <v>8</v>
      </c>
      <c r="BC417">
        <v>5</v>
      </c>
      <c r="BD417">
        <v>83</v>
      </c>
      <c r="BE417">
        <v>83</v>
      </c>
      <c r="BF417">
        <v>5</v>
      </c>
      <c r="BH417">
        <v>5</v>
      </c>
      <c r="BI417">
        <v>21</v>
      </c>
      <c r="BJ417" t="s">
        <v>67</v>
      </c>
      <c r="BK417">
        <v>-0.1661</v>
      </c>
      <c r="BL417">
        <v>1.03E-2</v>
      </c>
    </row>
    <row r="418" spans="1:64" x14ac:dyDescent="0.2">
      <c r="A418">
        <v>169</v>
      </c>
      <c r="B418" t="str">
        <f>ROW()-1&amp;"_AltersFish"</f>
        <v>417_AltersFish</v>
      </c>
      <c r="C418" t="str">
        <f>A418 &amp; "_" &amp; P418 &amp; "_" &amp;
SUBSTITUTE(TRIM(L418)," ","_") &amp;
"_pH" &amp; TEXT(Z418,"0.00") &amp;
"_T" &amp; TEXT(AI418,"0.00") &amp;
"_CO2" &amp; TEXT(V418,"0") &amp;
"_LANG"</f>
        <v>169_LARVA_Solea_senegalensis_pH8.02_T18.20_CO2400_LANG</v>
      </c>
      <c r="D418" t="s">
        <v>54</v>
      </c>
      <c r="E418">
        <v>2014</v>
      </c>
      <c r="F418" t="s">
        <v>123</v>
      </c>
      <c r="G418" t="s">
        <v>124</v>
      </c>
      <c r="H418" t="s">
        <v>78</v>
      </c>
      <c r="I418" t="s">
        <v>540</v>
      </c>
      <c r="J418" t="s">
        <v>543</v>
      </c>
      <c r="K418" t="s">
        <v>79</v>
      </c>
      <c r="L418" t="s">
        <v>125</v>
      </c>
      <c r="M418" t="s">
        <v>126</v>
      </c>
      <c r="N418" t="s">
        <v>81</v>
      </c>
      <c r="O418" t="s">
        <v>106</v>
      </c>
      <c r="P418" t="s">
        <v>107</v>
      </c>
      <c r="Q418" t="s">
        <v>64</v>
      </c>
      <c r="R418" t="s">
        <v>83</v>
      </c>
      <c r="S418" t="s">
        <v>74</v>
      </c>
      <c r="T418" t="s">
        <v>64</v>
      </c>
      <c r="U418" t="s">
        <v>75</v>
      </c>
      <c r="V418">
        <v>400</v>
      </c>
      <c r="W418" t="s">
        <v>67</v>
      </c>
      <c r="X418">
        <v>66.709999999999994</v>
      </c>
      <c r="Y418" t="s">
        <v>68</v>
      </c>
      <c r="Z418">
        <v>8.02</v>
      </c>
      <c r="AA418" t="s">
        <v>67</v>
      </c>
      <c r="AB418">
        <v>0.04</v>
      </c>
      <c r="AC418">
        <v>425</v>
      </c>
      <c r="AD418" t="s">
        <v>67</v>
      </c>
      <c r="AE418">
        <v>19.97</v>
      </c>
      <c r="AF418">
        <v>8.0299999999999994</v>
      </c>
      <c r="AG418" t="s">
        <v>67</v>
      </c>
      <c r="AH418">
        <v>0.05</v>
      </c>
      <c r="AI418">
        <v>18.2</v>
      </c>
      <c r="AJ418" t="s">
        <v>67</v>
      </c>
      <c r="AK418">
        <v>0.4</v>
      </c>
      <c r="AL418">
        <v>22</v>
      </c>
      <c r="AM418" t="s">
        <v>67</v>
      </c>
      <c r="AN418">
        <v>0.42</v>
      </c>
      <c r="AO418">
        <v>25</v>
      </c>
      <c r="AP418">
        <v>3.8</v>
      </c>
      <c r="AQ418" t="s">
        <v>67</v>
      </c>
      <c r="AR418" t="s">
        <v>144</v>
      </c>
      <c r="AS418" t="s">
        <v>145</v>
      </c>
      <c r="AT418" t="s">
        <v>70</v>
      </c>
      <c r="AU418" t="s">
        <v>89</v>
      </c>
      <c r="AV418" t="s">
        <v>11</v>
      </c>
      <c r="AW418" t="s">
        <v>11</v>
      </c>
      <c r="AX418" t="s">
        <v>73</v>
      </c>
      <c r="AY418">
        <v>70.835700000000003</v>
      </c>
      <c r="AZ418">
        <v>29.164269999999998</v>
      </c>
      <c r="BA418">
        <v>0.01</v>
      </c>
      <c r="BB418">
        <f>BA418*SQRT(BC418)</f>
        <v>7.7459666924148338E-2</v>
      </c>
      <c r="BC418">
        <v>60</v>
      </c>
      <c r="BD418">
        <v>82.939499999999995</v>
      </c>
      <c r="BE418">
        <v>17.059999999999999</v>
      </c>
      <c r="BF418">
        <v>7.4000000000000003E-3</v>
      </c>
      <c r="BG418">
        <f>BF418*SQRT(BH418)</f>
        <v>5.7320153523869773E-2</v>
      </c>
      <c r="BH418">
        <v>60</v>
      </c>
      <c r="BI418">
        <v>30</v>
      </c>
      <c r="BJ418">
        <v>3</v>
      </c>
      <c r="BK418">
        <v>-0.53620000000000001</v>
      </c>
      <c r="BL418">
        <v>1E-4</v>
      </c>
    </row>
    <row r="419" spans="1:64" hidden="1" x14ac:dyDescent="0.2">
      <c r="A419">
        <v>194</v>
      </c>
      <c r="D419" t="s">
        <v>54</v>
      </c>
      <c r="E419">
        <v>2012</v>
      </c>
      <c r="F419" t="s">
        <v>289</v>
      </c>
      <c r="G419" t="s">
        <v>290</v>
      </c>
      <c r="H419" t="s">
        <v>78</v>
      </c>
      <c r="K419" t="s">
        <v>93</v>
      </c>
      <c r="L419" t="s">
        <v>94</v>
      </c>
      <c r="M419" t="s">
        <v>95</v>
      </c>
      <c r="N419" t="s">
        <v>61</v>
      </c>
      <c r="O419" t="s">
        <v>62</v>
      </c>
      <c r="P419" t="s">
        <v>63</v>
      </c>
      <c r="Q419" t="s">
        <v>74</v>
      </c>
      <c r="R419" t="s">
        <v>83</v>
      </c>
      <c r="S419" t="s">
        <v>64</v>
      </c>
      <c r="T419" t="s">
        <v>64</v>
      </c>
      <c r="U419" t="s">
        <v>66</v>
      </c>
      <c r="V419">
        <v>438</v>
      </c>
      <c r="W419" t="s">
        <v>67</v>
      </c>
      <c r="X419">
        <v>46</v>
      </c>
      <c r="Y419" t="s">
        <v>96</v>
      </c>
      <c r="Z419">
        <v>8.1199999999999992</v>
      </c>
      <c r="AA419" t="s">
        <v>67</v>
      </c>
      <c r="AB419">
        <v>0.04</v>
      </c>
      <c r="AC419">
        <v>1012</v>
      </c>
      <c r="AD419" t="s">
        <v>67</v>
      </c>
      <c r="AE419">
        <v>123</v>
      </c>
      <c r="AF419">
        <v>7.78</v>
      </c>
      <c r="AG419" t="s">
        <v>67</v>
      </c>
      <c r="AH419">
        <v>0.04</v>
      </c>
      <c r="AI419">
        <v>28.6</v>
      </c>
      <c r="AJ419" t="s">
        <v>67</v>
      </c>
      <c r="AK419">
        <v>0.54</v>
      </c>
      <c r="AL419">
        <v>31.4</v>
      </c>
      <c r="AM419" t="s">
        <v>67</v>
      </c>
      <c r="AN419">
        <v>0.59</v>
      </c>
      <c r="AO419">
        <v>574</v>
      </c>
      <c r="AP419">
        <v>2.9</v>
      </c>
      <c r="AQ419" t="s">
        <v>291</v>
      </c>
      <c r="AR419" t="s">
        <v>395</v>
      </c>
      <c r="AS419" t="s">
        <v>134</v>
      </c>
      <c r="AT419" t="s">
        <v>135</v>
      </c>
      <c r="AU419" t="s">
        <v>396</v>
      </c>
      <c r="AV419" t="s">
        <v>137</v>
      </c>
      <c r="AX419" t="s">
        <v>73</v>
      </c>
      <c r="AY419">
        <v>992.78</v>
      </c>
      <c r="AZ419">
        <v>992.78</v>
      </c>
      <c r="BA419">
        <v>92.79</v>
      </c>
      <c r="BC419">
        <v>15</v>
      </c>
      <c r="BD419">
        <v>1530.93</v>
      </c>
      <c r="BE419">
        <v>1530.93</v>
      </c>
      <c r="BF419">
        <v>64.95</v>
      </c>
      <c r="BH419">
        <v>21</v>
      </c>
      <c r="BI419">
        <v>21</v>
      </c>
      <c r="BJ419">
        <v>5</v>
      </c>
      <c r="BK419">
        <v>0.43309999999999998</v>
      </c>
      <c r="BL419">
        <v>1.0500000000000001E-2</v>
      </c>
    </row>
    <row r="420" spans="1:64" hidden="1" x14ac:dyDescent="0.2">
      <c r="A420">
        <v>145</v>
      </c>
      <c r="D420" t="s">
        <v>54</v>
      </c>
      <c r="E420">
        <v>2016</v>
      </c>
      <c r="F420" t="s">
        <v>198</v>
      </c>
      <c r="G420" t="s">
        <v>124</v>
      </c>
      <c r="H420" t="s">
        <v>57</v>
      </c>
      <c r="K420" t="s">
        <v>234</v>
      </c>
      <c r="L420" t="s">
        <v>200</v>
      </c>
      <c r="M420" t="s">
        <v>81</v>
      </c>
      <c r="N420" t="s">
        <v>81</v>
      </c>
      <c r="O420" t="s">
        <v>62</v>
      </c>
      <c r="P420" t="s">
        <v>63</v>
      </c>
      <c r="Q420" t="s">
        <v>64</v>
      </c>
      <c r="R420" t="s">
        <v>65</v>
      </c>
      <c r="S420" t="s">
        <v>64</v>
      </c>
      <c r="T420" t="s">
        <v>64</v>
      </c>
      <c r="U420" t="s">
        <v>66</v>
      </c>
      <c r="V420">
        <v>410</v>
      </c>
      <c r="W420">
        <v>19.16</v>
      </c>
      <c r="X420" t="s">
        <v>67</v>
      </c>
      <c r="Y420" t="s">
        <v>96</v>
      </c>
      <c r="Z420">
        <v>8.08</v>
      </c>
      <c r="AA420">
        <v>0.05</v>
      </c>
      <c r="AB420" t="s">
        <v>67</v>
      </c>
      <c r="AC420">
        <v>1084</v>
      </c>
      <c r="AD420">
        <v>73.39</v>
      </c>
      <c r="AE420" t="s">
        <v>67</v>
      </c>
      <c r="AF420">
        <v>7.71</v>
      </c>
      <c r="AG420">
        <v>7.0000000000000007E-2</v>
      </c>
      <c r="AH420" t="s">
        <v>67</v>
      </c>
      <c r="AI420">
        <v>15.2</v>
      </c>
      <c r="AJ420">
        <v>0.7</v>
      </c>
      <c r="AK420" t="s">
        <v>67</v>
      </c>
      <c r="AL420">
        <v>19.7</v>
      </c>
      <c r="AM420">
        <v>0.7</v>
      </c>
      <c r="AN420" t="s">
        <v>67</v>
      </c>
      <c r="AO420">
        <v>674</v>
      </c>
      <c r="AP420">
        <v>4.5</v>
      </c>
      <c r="AQ420" t="s">
        <v>218</v>
      </c>
      <c r="AR420" t="s">
        <v>382</v>
      </c>
      <c r="AS420" t="s">
        <v>361</v>
      </c>
      <c r="AT420" t="s">
        <v>70</v>
      </c>
      <c r="AU420" t="s">
        <v>383</v>
      </c>
      <c r="AV420" t="s">
        <v>363</v>
      </c>
      <c r="AX420" t="s">
        <v>73</v>
      </c>
      <c r="AY420">
        <v>0.65659999999999996</v>
      </c>
      <c r="AZ420">
        <v>0.65656999999999999</v>
      </c>
      <c r="BA420">
        <v>0.04</v>
      </c>
      <c r="BC420">
        <v>7</v>
      </c>
      <c r="BD420">
        <v>0.50070000000000003</v>
      </c>
      <c r="BE420">
        <v>0.50072992699999996</v>
      </c>
      <c r="BF420">
        <v>4.0899999999999999E-2</v>
      </c>
      <c r="BH420">
        <v>7</v>
      </c>
      <c r="BI420">
        <v>240</v>
      </c>
      <c r="BJ420">
        <v>7</v>
      </c>
      <c r="BK420">
        <v>-0.27100000000000002</v>
      </c>
      <c r="BL420">
        <v>1.0500000000000001E-2</v>
      </c>
    </row>
    <row r="421" spans="1:64" hidden="1" x14ac:dyDescent="0.2">
      <c r="A421">
        <v>162</v>
      </c>
      <c r="D421" t="s">
        <v>54</v>
      </c>
      <c r="E421">
        <v>2018</v>
      </c>
      <c r="F421" t="s">
        <v>404</v>
      </c>
      <c r="G421" t="s">
        <v>255</v>
      </c>
      <c r="H421" t="s">
        <v>78</v>
      </c>
      <c r="K421" t="s">
        <v>79</v>
      </c>
      <c r="L421" t="s">
        <v>190</v>
      </c>
      <c r="M421" t="s">
        <v>156</v>
      </c>
      <c r="N421" t="s">
        <v>156</v>
      </c>
      <c r="O421" t="s">
        <v>110</v>
      </c>
      <c r="P421" t="s">
        <v>63</v>
      </c>
      <c r="Q421" t="s">
        <v>74</v>
      </c>
      <c r="R421" t="s">
        <v>83</v>
      </c>
      <c r="S421" t="s">
        <v>64</v>
      </c>
      <c r="T421" t="s">
        <v>64</v>
      </c>
      <c r="U421" t="s">
        <v>66</v>
      </c>
      <c r="V421">
        <v>391</v>
      </c>
      <c r="W421" t="s">
        <v>67</v>
      </c>
      <c r="X421">
        <v>17</v>
      </c>
      <c r="Y421" t="s">
        <v>157</v>
      </c>
      <c r="Z421">
        <v>8.0299999999999994</v>
      </c>
      <c r="AA421" t="s">
        <v>67</v>
      </c>
      <c r="AB421">
        <v>0.01</v>
      </c>
      <c r="AC421">
        <v>1482</v>
      </c>
      <c r="AD421" t="s">
        <v>67</v>
      </c>
      <c r="AE421">
        <v>14</v>
      </c>
      <c r="AF421">
        <v>7.52</v>
      </c>
      <c r="AG421" t="s">
        <v>67</v>
      </c>
      <c r="AH421">
        <v>0.01</v>
      </c>
      <c r="AI421">
        <v>19.100000000000001</v>
      </c>
      <c r="AJ421" t="s">
        <v>67</v>
      </c>
      <c r="AK421">
        <v>0.2</v>
      </c>
      <c r="AL421">
        <v>23.2</v>
      </c>
      <c r="AM421" t="s">
        <v>67</v>
      </c>
      <c r="AN421">
        <v>0.2</v>
      </c>
      <c r="AO421">
        <v>1091</v>
      </c>
      <c r="AP421">
        <v>4.0999999999999996</v>
      </c>
      <c r="AQ421" t="s">
        <v>67</v>
      </c>
      <c r="AR421" t="s">
        <v>405</v>
      </c>
      <c r="AS421" t="s">
        <v>278</v>
      </c>
      <c r="AT421" t="s">
        <v>135</v>
      </c>
      <c r="AU421" t="s">
        <v>406</v>
      </c>
      <c r="AV421" t="s">
        <v>132</v>
      </c>
      <c r="AX421" t="s">
        <v>73</v>
      </c>
      <c r="AY421">
        <v>4.0388999999999999</v>
      </c>
      <c r="AZ421">
        <v>4.0388700000000002</v>
      </c>
      <c r="BA421">
        <v>0.28999999999999998</v>
      </c>
      <c r="BC421">
        <v>18</v>
      </c>
      <c r="BD421">
        <v>3.9638</v>
      </c>
      <c r="BE421">
        <v>3.9638333330000002</v>
      </c>
      <c r="BF421">
        <v>0.29239999999999999</v>
      </c>
      <c r="BH421">
        <v>18</v>
      </c>
      <c r="BI421">
        <v>30</v>
      </c>
      <c r="BJ421">
        <v>3</v>
      </c>
      <c r="BK421">
        <v>-1.8800000000000001E-2</v>
      </c>
      <c r="BL421">
        <v>1.06E-2</v>
      </c>
    </row>
    <row r="422" spans="1:64" hidden="1" x14ac:dyDescent="0.2">
      <c r="A422">
        <v>145</v>
      </c>
      <c r="D422" t="s">
        <v>54</v>
      </c>
      <c r="E422">
        <v>2016</v>
      </c>
      <c r="F422" t="s">
        <v>198</v>
      </c>
      <c r="G422" t="s">
        <v>124</v>
      </c>
      <c r="H422" t="s">
        <v>57</v>
      </c>
      <c r="K422" t="s">
        <v>234</v>
      </c>
      <c r="L422" t="s">
        <v>200</v>
      </c>
      <c r="M422" t="s">
        <v>81</v>
      </c>
      <c r="N422" t="s">
        <v>81</v>
      </c>
      <c r="O422" t="s">
        <v>62</v>
      </c>
      <c r="P422" t="s">
        <v>63</v>
      </c>
      <c r="Q422" t="s">
        <v>64</v>
      </c>
      <c r="R422" t="s">
        <v>65</v>
      </c>
      <c r="S422" t="s">
        <v>64</v>
      </c>
      <c r="T422" t="s">
        <v>74</v>
      </c>
      <c r="U422" t="s">
        <v>84</v>
      </c>
      <c r="V422">
        <v>410</v>
      </c>
      <c r="W422">
        <v>19.16</v>
      </c>
      <c r="X422" t="s">
        <v>67</v>
      </c>
      <c r="Y422" t="s">
        <v>96</v>
      </c>
      <c r="Z422">
        <v>8.08</v>
      </c>
      <c r="AA422">
        <v>0.05</v>
      </c>
      <c r="AB422" t="s">
        <v>67</v>
      </c>
      <c r="AC422">
        <v>1122</v>
      </c>
      <c r="AD422">
        <v>69.81</v>
      </c>
      <c r="AE422" t="s">
        <v>67</v>
      </c>
      <c r="AF422">
        <v>7.73</v>
      </c>
      <c r="AG422">
        <v>0.06</v>
      </c>
      <c r="AH422" t="s">
        <v>67</v>
      </c>
      <c r="AI422">
        <v>15.2</v>
      </c>
      <c r="AJ422">
        <v>0.7</v>
      </c>
      <c r="AK422" t="s">
        <v>67</v>
      </c>
      <c r="AL422">
        <v>15</v>
      </c>
      <c r="AM422">
        <v>0.6</v>
      </c>
      <c r="AN422" t="s">
        <v>67</v>
      </c>
      <c r="AO422">
        <v>712</v>
      </c>
      <c r="AP422">
        <v>-0.2</v>
      </c>
      <c r="AQ422" t="s">
        <v>218</v>
      </c>
      <c r="AR422" t="s">
        <v>382</v>
      </c>
      <c r="AS422" t="s">
        <v>361</v>
      </c>
      <c r="AT422" t="s">
        <v>70</v>
      </c>
      <c r="AU422" t="s">
        <v>383</v>
      </c>
      <c r="AV422" t="s">
        <v>363</v>
      </c>
      <c r="AX422" t="s">
        <v>73</v>
      </c>
      <c r="AY422">
        <v>0.65659999999999996</v>
      </c>
      <c r="AZ422">
        <v>0.65656999999999999</v>
      </c>
      <c r="BA422">
        <v>0.04</v>
      </c>
      <c r="BC422">
        <v>7</v>
      </c>
      <c r="BD422">
        <v>0.746</v>
      </c>
      <c r="BE422">
        <v>0.74598540099999999</v>
      </c>
      <c r="BF422">
        <v>6.13E-2</v>
      </c>
      <c r="BH422">
        <v>7</v>
      </c>
      <c r="BI422">
        <v>240</v>
      </c>
      <c r="BJ422">
        <v>7</v>
      </c>
      <c r="BK422">
        <v>0.12770000000000001</v>
      </c>
      <c r="BL422">
        <v>1.06E-2</v>
      </c>
    </row>
    <row r="423" spans="1:64" hidden="1" x14ac:dyDescent="0.2">
      <c r="A423">
        <v>136</v>
      </c>
      <c r="D423" t="s">
        <v>54</v>
      </c>
      <c r="E423">
        <v>2012</v>
      </c>
      <c r="F423" t="s">
        <v>384</v>
      </c>
      <c r="G423" t="s">
        <v>199</v>
      </c>
      <c r="H423" t="s">
        <v>78</v>
      </c>
      <c r="K423" t="s">
        <v>93</v>
      </c>
      <c r="L423" t="s">
        <v>94</v>
      </c>
      <c r="M423" t="s">
        <v>95</v>
      </c>
      <c r="N423" t="s">
        <v>61</v>
      </c>
      <c r="O423" t="s">
        <v>62</v>
      </c>
      <c r="P423" t="s">
        <v>63</v>
      </c>
      <c r="Q423" t="s">
        <v>74</v>
      </c>
      <c r="R423" t="s">
        <v>83</v>
      </c>
      <c r="S423" t="s">
        <v>64</v>
      </c>
      <c r="T423" t="s">
        <v>74</v>
      </c>
      <c r="U423" t="s">
        <v>84</v>
      </c>
      <c r="V423">
        <v>433</v>
      </c>
      <c r="W423" t="s">
        <v>67</v>
      </c>
      <c r="X423">
        <v>69</v>
      </c>
      <c r="Y423" t="s">
        <v>96</v>
      </c>
      <c r="Z423">
        <v>8.2100000000000009</v>
      </c>
      <c r="AA423" t="s">
        <v>67</v>
      </c>
      <c r="AB423">
        <v>0.05</v>
      </c>
      <c r="AC423">
        <v>551</v>
      </c>
      <c r="AD423" t="s">
        <v>67</v>
      </c>
      <c r="AE423">
        <v>99</v>
      </c>
      <c r="AF423">
        <v>8.11</v>
      </c>
      <c r="AG423" t="s">
        <v>67</v>
      </c>
      <c r="AH423">
        <v>7.0000000000000007E-2</v>
      </c>
      <c r="AI423">
        <v>28.1</v>
      </c>
      <c r="AJ423" t="s">
        <v>67</v>
      </c>
      <c r="AK423">
        <v>0.12</v>
      </c>
      <c r="AL423">
        <v>28.2</v>
      </c>
      <c r="AM423">
        <v>0.09</v>
      </c>
      <c r="AN423" t="s">
        <v>67</v>
      </c>
      <c r="AO423">
        <v>118</v>
      </c>
      <c r="AP423">
        <v>0.1</v>
      </c>
      <c r="AQ423" t="s">
        <v>67</v>
      </c>
      <c r="AR423" t="s">
        <v>385</v>
      </c>
      <c r="AS423" t="s">
        <v>386</v>
      </c>
      <c r="AT423" t="s">
        <v>135</v>
      </c>
      <c r="AU423" t="s">
        <v>387</v>
      </c>
      <c r="AV423" t="s">
        <v>251</v>
      </c>
      <c r="AX423" t="s">
        <v>73</v>
      </c>
      <c r="AY423">
        <v>98</v>
      </c>
      <c r="AZ423">
        <v>98</v>
      </c>
      <c r="BA423">
        <v>8</v>
      </c>
      <c r="BC423">
        <v>5</v>
      </c>
      <c r="BD423">
        <v>94</v>
      </c>
      <c r="BE423">
        <v>94</v>
      </c>
      <c r="BF423">
        <v>6</v>
      </c>
      <c r="BH423">
        <v>5</v>
      </c>
      <c r="BI423">
        <v>21</v>
      </c>
      <c r="BJ423" t="s">
        <v>67</v>
      </c>
      <c r="BK423">
        <v>-4.1700000000000001E-2</v>
      </c>
      <c r="BL423">
        <v>1.0699999999999999E-2</v>
      </c>
    </row>
    <row r="424" spans="1:64" hidden="1" x14ac:dyDescent="0.2">
      <c r="A424">
        <v>171</v>
      </c>
      <c r="D424" t="s">
        <v>54</v>
      </c>
      <c r="E424">
        <v>2015</v>
      </c>
      <c r="F424" t="s">
        <v>198</v>
      </c>
      <c r="G424" t="s">
        <v>199</v>
      </c>
      <c r="H424" t="s">
        <v>57</v>
      </c>
      <c r="K424" t="s">
        <v>79</v>
      </c>
      <c r="L424" t="s">
        <v>200</v>
      </c>
      <c r="M424" t="s">
        <v>81</v>
      </c>
      <c r="N424" t="s">
        <v>81</v>
      </c>
      <c r="O424" t="s">
        <v>62</v>
      </c>
      <c r="P424" t="s">
        <v>63</v>
      </c>
      <c r="Q424" t="s">
        <v>64</v>
      </c>
      <c r="R424" t="s">
        <v>65</v>
      </c>
      <c r="S424" t="s">
        <v>64</v>
      </c>
      <c r="T424" t="s">
        <v>74</v>
      </c>
      <c r="U424" t="s">
        <v>84</v>
      </c>
      <c r="V424">
        <v>422.07</v>
      </c>
      <c r="W424" t="s">
        <v>67</v>
      </c>
      <c r="X424">
        <v>16.57</v>
      </c>
      <c r="Y424" t="s">
        <v>96</v>
      </c>
      <c r="Z424">
        <v>8.1</v>
      </c>
      <c r="AA424" t="s">
        <v>67</v>
      </c>
      <c r="AB424">
        <v>0.05</v>
      </c>
      <c r="AC424">
        <v>1115.6199999999999</v>
      </c>
      <c r="AD424" t="s">
        <v>67</v>
      </c>
      <c r="AE424">
        <v>59.33</v>
      </c>
      <c r="AF424">
        <v>7.7</v>
      </c>
      <c r="AG424" t="s">
        <v>67</v>
      </c>
      <c r="AH424">
        <v>0.05</v>
      </c>
      <c r="AI424">
        <v>15</v>
      </c>
      <c r="AJ424" t="s">
        <v>67</v>
      </c>
      <c r="AK424">
        <v>0.5</v>
      </c>
      <c r="AL424">
        <v>15</v>
      </c>
      <c r="AM424" t="s">
        <v>67</v>
      </c>
      <c r="AN424">
        <v>0.5</v>
      </c>
      <c r="AO424">
        <v>694</v>
      </c>
      <c r="AP424">
        <v>0</v>
      </c>
      <c r="AQ424" t="s">
        <v>201</v>
      </c>
      <c r="AR424" t="s">
        <v>364</v>
      </c>
      <c r="AS424" t="s">
        <v>88</v>
      </c>
      <c r="AT424" t="s">
        <v>70</v>
      </c>
      <c r="AU424" t="s">
        <v>89</v>
      </c>
      <c r="AV424" t="s">
        <v>88</v>
      </c>
      <c r="AX424" t="s">
        <v>90</v>
      </c>
      <c r="AY424">
        <v>93.273499999999999</v>
      </c>
      <c r="AZ424">
        <v>93.273539999999997</v>
      </c>
      <c r="BA424">
        <v>6.7264999999999997</v>
      </c>
      <c r="BC424">
        <v>77</v>
      </c>
      <c r="BD424">
        <v>93.273499999999999</v>
      </c>
      <c r="BE424">
        <v>93.273542599999999</v>
      </c>
      <c r="BF424">
        <v>6.9507000000000003</v>
      </c>
      <c r="BH424">
        <v>77</v>
      </c>
      <c r="BI424">
        <v>204</v>
      </c>
      <c r="BJ424">
        <v>5</v>
      </c>
      <c r="BK424">
        <v>0</v>
      </c>
      <c r="BL424">
        <v>1.0800000000000001E-2</v>
      </c>
    </row>
    <row r="425" spans="1:64" hidden="1" x14ac:dyDescent="0.2">
      <c r="A425">
        <v>164</v>
      </c>
      <c r="D425" t="s">
        <v>54</v>
      </c>
      <c r="E425">
        <v>2017</v>
      </c>
      <c r="F425" t="s">
        <v>371</v>
      </c>
      <c r="G425" t="s">
        <v>224</v>
      </c>
      <c r="H425" t="s">
        <v>78</v>
      </c>
      <c r="K425" t="s">
        <v>79</v>
      </c>
      <c r="L425" t="s">
        <v>225</v>
      </c>
      <c r="M425" t="s">
        <v>120</v>
      </c>
      <c r="N425" t="s">
        <v>120</v>
      </c>
      <c r="O425" t="s">
        <v>110</v>
      </c>
      <c r="P425" t="s">
        <v>63</v>
      </c>
      <c r="Q425" t="s">
        <v>64</v>
      </c>
      <c r="R425" t="s">
        <v>83</v>
      </c>
      <c r="S425" t="s">
        <v>64</v>
      </c>
      <c r="T425" t="s">
        <v>74</v>
      </c>
      <c r="U425" t="s">
        <v>84</v>
      </c>
      <c r="V425">
        <v>435</v>
      </c>
      <c r="W425" t="s">
        <v>67</v>
      </c>
      <c r="X425">
        <v>19</v>
      </c>
      <c r="Y425" t="s">
        <v>157</v>
      </c>
      <c r="Z425">
        <v>8.01</v>
      </c>
      <c r="AA425" t="s">
        <v>67</v>
      </c>
      <c r="AB425">
        <v>0.02</v>
      </c>
      <c r="AC425">
        <v>1076</v>
      </c>
      <c r="AD425" t="s">
        <v>67</v>
      </c>
      <c r="AE425">
        <v>73</v>
      </c>
      <c r="AF425">
        <v>7.64</v>
      </c>
      <c r="AG425" t="s">
        <v>67</v>
      </c>
      <c r="AH425">
        <v>0.03</v>
      </c>
      <c r="AI425">
        <v>5.7</v>
      </c>
      <c r="AJ425" t="s">
        <v>67</v>
      </c>
      <c r="AK425">
        <v>0.23</v>
      </c>
      <c r="AL425">
        <v>5.7</v>
      </c>
      <c r="AM425" t="s">
        <v>67</v>
      </c>
      <c r="AN425">
        <v>0.24</v>
      </c>
      <c r="AO425">
        <v>641</v>
      </c>
      <c r="AP425">
        <v>0</v>
      </c>
      <c r="AQ425" t="s">
        <v>67</v>
      </c>
      <c r="AR425" t="s">
        <v>367</v>
      </c>
      <c r="AS425" t="s">
        <v>367</v>
      </c>
      <c r="AT425" t="s">
        <v>135</v>
      </c>
      <c r="AU425" t="s">
        <v>388</v>
      </c>
      <c r="AV425" t="s">
        <v>251</v>
      </c>
      <c r="AX425" t="s">
        <v>73</v>
      </c>
      <c r="AY425">
        <v>18.399999999999999</v>
      </c>
      <c r="AZ425">
        <v>18.399999999999999</v>
      </c>
      <c r="BA425">
        <v>1.2</v>
      </c>
      <c r="BC425">
        <v>12</v>
      </c>
      <c r="BD425">
        <v>18.600000000000001</v>
      </c>
      <c r="BE425">
        <v>18.600000000000001</v>
      </c>
      <c r="BF425">
        <v>1.5</v>
      </c>
      <c r="BH425">
        <v>10</v>
      </c>
      <c r="BI425">
        <v>42</v>
      </c>
      <c r="BJ425">
        <v>8</v>
      </c>
      <c r="BK425">
        <v>1.0800000000000001E-2</v>
      </c>
      <c r="BL425">
        <v>1.0800000000000001E-2</v>
      </c>
    </row>
    <row r="426" spans="1:64" hidden="1" x14ac:dyDescent="0.2">
      <c r="A426">
        <v>139</v>
      </c>
      <c r="D426" t="s">
        <v>54</v>
      </c>
      <c r="E426">
        <v>2018</v>
      </c>
      <c r="F426" t="s">
        <v>214</v>
      </c>
      <c r="G426" t="s">
        <v>154</v>
      </c>
      <c r="H426" t="s">
        <v>78</v>
      </c>
      <c r="K426" t="s">
        <v>194</v>
      </c>
      <c r="L426" t="s">
        <v>215</v>
      </c>
      <c r="M426" t="s">
        <v>120</v>
      </c>
      <c r="N426" t="s">
        <v>120</v>
      </c>
      <c r="O426" t="s">
        <v>62</v>
      </c>
      <c r="P426" t="s">
        <v>63</v>
      </c>
      <c r="Q426" t="s">
        <v>64</v>
      </c>
      <c r="R426" t="s">
        <v>83</v>
      </c>
      <c r="S426" t="s">
        <v>64</v>
      </c>
      <c r="T426" t="s">
        <v>74</v>
      </c>
      <c r="U426" t="s">
        <v>84</v>
      </c>
      <c r="V426">
        <v>438</v>
      </c>
      <c r="W426" t="s">
        <v>67</v>
      </c>
      <c r="X426">
        <v>16</v>
      </c>
      <c r="Y426" t="s">
        <v>68</v>
      </c>
      <c r="Z426">
        <v>8</v>
      </c>
      <c r="AA426" t="s">
        <v>67</v>
      </c>
      <c r="AB426">
        <v>0.01</v>
      </c>
      <c r="AC426">
        <v>1193</v>
      </c>
      <c r="AD426" t="s">
        <v>67</v>
      </c>
      <c r="AE426">
        <v>44</v>
      </c>
      <c r="AF426">
        <v>7.59</v>
      </c>
      <c r="AG426" t="s">
        <v>67</v>
      </c>
      <c r="AH426">
        <v>0.02</v>
      </c>
      <c r="AI426">
        <v>-0.9</v>
      </c>
      <c r="AJ426" t="s">
        <v>67</v>
      </c>
      <c r="AK426">
        <v>0.1</v>
      </c>
      <c r="AL426">
        <v>-0.9</v>
      </c>
      <c r="AM426" t="s">
        <v>67</v>
      </c>
      <c r="AN426">
        <v>0.1</v>
      </c>
      <c r="AO426">
        <v>755</v>
      </c>
      <c r="AP426">
        <v>0</v>
      </c>
      <c r="AQ426" t="s">
        <v>67</v>
      </c>
      <c r="AR426" t="s">
        <v>407</v>
      </c>
      <c r="AS426" t="s">
        <v>407</v>
      </c>
      <c r="AT426" t="s">
        <v>135</v>
      </c>
      <c r="AU426" t="s">
        <v>408</v>
      </c>
      <c r="AV426" t="s">
        <v>251</v>
      </c>
      <c r="AX426" t="s">
        <v>73</v>
      </c>
      <c r="AY426">
        <v>53</v>
      </c>
      <c r="AZ426">
        <v>53</v>
      </c>
      <c r="BA426">
        <v>5</v>
      </c>
      <c r="BC426">
        <v>8</v>
      </c>
      <c r="BD426">
        <v>46</v>
      </c>
      <c r="BE426">
        <v>46</v>
      </c>
      <c r="BF426">
        <v>2</v>
      </c>
      <c r="BH426">
        <v>6</v>
      </c>
      <c r="BI426">
        <v>14</v>
      </c>
      <c r="BJ426">
        <v>3</v>
      </c>
      <c r="BK426">
        <v>-0.14169999999999999</v>
      </c>
      <c r="BL426">
        <v>1.0800000000000001E-2</v>
      </c>
    </row>
    <row r="427" spans="1:64" hidden="1" x14ac:dyDescent="0.2">
      <c r="A427">
        <v>159</v>
      </c>
      <c r="D427" t="s">
        <v>54</v>
      </c>
      <c r="E427">
        <v>2018</v>
      </c>
      <c r="F427" t="s">
        <v>326</v>
      </c>
      <c r="G427" t="s">
        <v>327</v>
      </c>
      <c r="H427" t="s">
        <v>78</v>
      </c>
      <c r="K427" t="s">
        <v>205</v>
      </c>
      <c r="L427" t="s">
        <v>225</v>
      </c>
      <c r="M427" t="s">
        <v>120</v>
      </c>
      <c r="N427" t="s">
        <v>120</v>
      </c>
      <c r="O427" t="s">
        <v>110</v>
      </c>
      <c r="P427" t="s">
        <v>196</v>
      </c>
      <c r="Q427" t="s">
        <v>64</v>
      </c>
      <c r="R427" t="s">
        <v>83</v>
      </c>
      <c r="S427" t="s">
        <v>74</v>
      </c>
      <c r="T427" t="s">
        <v>64</v>
      </c>
      <c r="U427" t="s">
        <v>75</v>
      </c>
      <c r="V427">
        <v>390</v>
      </c>
      <c r="W427" t="s">
        <v>67</v>
      </c>
      <c r="X427" t="s">
        <v>67</v>
      </c>
      <c r="Y427" t="s">
        <v>67</v>
      </c>
      <c r="Z427" t="s">
        <v>67</v>
      </c>
      <c r="AA427" t="s">
        <v>67</v>
      </c>
      <c r="AB427" t="s">
        <v>67</v>
      </c>
      <c r="AC427">
        <v>390</v>
      </c>
      <c r="AD427" t="s">
        <v>67</v>
      </c>
      <c r="AE427" t="s">
        <v>67</v>
      </c>
      <c r="AF427" t="s">
        <v>67</v>
      </c>
      <c r="AG427" t="s">
        <v>67</v>
      </c>
      <c r="AH427" t="s">
        <v>67</v>
      </c>
      <c r="AI427">
        <v>0</v>
      </c>
      <c r="AJ427" t="s">
        <v>67</v>
      </c>
      <c r="AK427" t="s">
        <v>67</v>
      </c>
      <c r="AL427">
        <v>6</v>
      </c>
      <c r="AM427" t="s">
        <v>67</v>
      </c>
      <c r="AN427" t="s">
        <v>67</v>
      </c>
      <c r="AO427">
        <v>0</v>
      </c>
      <c r="AP427">
        <v>6</v>
      </c>
      <c r="AQ427" t="s">
        <v>67</v>
      </c>
      <c r="AR427" t="s">
        <v>389</v>
      </c>
      <c r="AS427" t="s">
        <v>293</v>
      </c>
      <c r="AT427" t="s">
        <v>70</v>
      </c>
      <c r="AU427" t="s">
        <v>310</v>
      </c>
      <c r="AV427" t="s">
        <v>72</v>
      </c>
      <c r="AX427" t="s">
        <v>73</v>
      </c>
      <c r="AY427">
        <v>23.3</v>
      </c>
      <c r="AZ427">
        <v>23.3</v>
      </c>
      <c r="BA427">
        <v>1.9</v>
      </c>
      <c r="BC427">
        <v>5</v>
      </c>
      <c r="BD427">
        <v>26.4</v>
      </c>
      <c r="BE427">
        <v>26.4</v>
      </c>
      <c r="BF427">
        <v>1.7</v>
      </c>
      <c r="BH427">
        <v>6</v>
      </c>
      <c r="BI427">
        <v>120</v>
      </c>
      <c r="BJ427" t="s">
        <v>67</v>
      </c>
      <c r="BK427">
        <v>0.1249</v>
      </c>
      <c r="BL427">
        <v>1.0800000000000001E-2</v>
      </c>
    </row>
    <row r="428" spans="1:64" hidden="1" x14ac:dyDescent="0.2">
      <c r="A428">
        <v>141</v>
      </c>
      <c r="D428" t="s">
        <v>54</v>
      </c>
      <c r="E428">
        <v>2015</v>
      </c>
      <c r="F428" t="s">
        <v>91</v>
      </c>
      <c r="G428" t="s">
        <v>92</v>
      </c>
      <c r="H428" t="s">
        <v>78</v>
      </c>
      <c r="K428" t="s">
        <v>93</v>
      </c>
      <c r="L428" t="s">
        <v>94</v>
      </c>
      <c r="M428" t="s">
        <v>95</v>
      </c>
      <c r="N428" t="s">
        <v>61</v>
      </c>
      <c r="O428" t="s">
        <v>62</v>
      </c>
      <c r="P428" t="s">
        <v>196</v>
      </c>
      <c r="Q428" t="s">
        <v>64</v>
      </c>
      <c r="R428" t="s">
        <v>83</v>
      </c>
      <c r="S428" t="s">
        <v>64</v>
      </c>
      <c r="T428" t="s">
        <v>74</v>
      </c>
      <c r="U428" t="s">
        <v>84</v>
      </c>
      <c r="V428">
        <v>400</v>
      </c>
      <c r="W428">
        <v>6</v>
      </c>
      <c r="X428" t="s">
        <v>67</v>
      </c>
      <c r="Y428" t="s">
        <v>96</v>
      </c>
      <c r="Z428">
        <v>8.15</v>
      </c>
      <c r="AA428">
        <v>0.01</v>
      </c>
      <c r="AB428" t="s">
        <v>67</v>
      </c>
      <c r="AC428">
        <v>1087</v>
      </c>
      <c r="AD428">
        <v>25</v>
      </c>
      <c r="AE428" t="s">
        <v>67</v>
      </c>
      <c r="AF428">
        <v>7.81</v>
      </c>
      <c r="AG428">
        <v>0.01</v>
      </c>
      <c r="AH428" t="s">
        <v>67</v>
      </c>
      <c r="AI428">
        <v>28.4</v>
      </c>
      <c r="AJ428">
        <v>0.01</v>
      </c>
      <c r="AK428" t="s">
        <v>67</v>
      </c>
      <c r="AL428">
        <v>28.5</v>
      </c>
      <c r="AM428">
        <v>0.01</v>
      </c>
      <c r="AN428" t="s">
        <v>67</v>
      </c>
      <c r="AO428">
        <v>687</v>
      </c>
      <c r="AP428">
        <v>0.1</v>
      </c>
      <c r="AQ428" t="s">
        <v>67</v>
      </c>
      <c r="AR428" t="s">
        <v>358</v>
      </c>
      <c r="AS428" t="s">
        <v>359</v>
      </c>
      <c r="AT428" t="s">
        <v>135</v>
      </c>
      <c r="AU428" t="s">
        <v>232</v>
      </c>
      <c r="AV428" t="s">
        <v>72</v>
      </c>
      <c r="AX428" t="s">
        <v>73</v>
      </c>
      <c r="AY428">
        <v>1.1116999999999999</v>
      </c>
      <c r="AZ428">
        <v>1.1116900000000001</v>
      </c>
      <c r="BA428">
        <v>0.06</v>
      </c>
      <c r="BC428">
        <v>4</v>
      </c>
      <c r="BD428">
        <v>1.1273</v>
      </c>
      <c r="BE428">
        <v>1.127272727</v>
      </c>
      <c r="BF428">
        <v>9.8699999999999996E-2</v>
      </c>
      <c r="BH428">
        <v>4</v>
      </c>
      <c r="BI428" t="s">
        <v>67</v>
      </c>
      <c r="BJ428">
        <v>7</v>
      </c>
      <c r="BK428">
        <v>1.3899999999999999E-2</v>
      </c>
      <c r="BL428">
        <v>1.0800000000000001E-2</v>
      </c>
    </row>
    <row r="429" spans="1:64" hidden="1" x14ac:dyDescent="0.2">
      <c r="A429">
        <v>136</v>
      </c>
      <c r="D429" t="s">
        <v>54</v>
      </c>
      <c r="E429">
        <v>2012</v>
      </c>
      <c r="F429" t="s">
        <v>384</v>
      </c>
      <c r="G429" t="s">
        <v>199</v>
      </c>
      <c r="H429" t="s">
        <v>78</v>
      </c>
      <c r="K429" t="s">
        <v>93</v>
      </c>
      <c r="L429" t="s">
        <v>94</v>
      </c>
      <c r="M429" t="s">
        <v>95</v>
      </c>
      <c r="N429" t="s">
        <v>61</v>
      </c>
      <c r="O429" t="s">
        <v>62</v>
      </c>
      <c r="P429" t="s">
        <v>63</v>
      </c>
      <c r="Q429" t="s">
        <v>74</v>
      </c>
      <c r="R429" t="s">
        <v>83</v>
      </c>
      <c r="S429" t="s">
        <v>74</v>
      </c>
      <c r="T429" t="s">
        <v>64</v>
      </c>
      <c r="U429" t="s">
        <v>75</v>
      </c>
      <c r="V429">
        <v>433</v>
      </c>
      <c r="W429" t="s">
        <v>67</v>
      </c>
      <c r="X429">
        <v>69</v>
      </c>
      <c r="Y429" t="s">
        <v>96</v>
      </c>
      <c r="Z429">
        <v>8.2100000000000009</v>
      </c>
      <c r="AA429" t="s">
        <v>67</v>
      </c>
      <c r="AB429">
        <v>0.05</v>
      </c>
      <c r="AC429">
        <v>415</v>
      </c>
      <c r="AD429" t="s">
        <v>67</v>
      </c>
      <c r="AE429">
        <v>61</v>
      </c>
      <c r="AF429">
        <v>8.2200000000000006</v>
      </c>
      <c r="AG429" t="s">
        <v>67</v>
      </c>
      <c r="AH429">
        <v>0.05</v>
      </c>
      <c r="AI429">
        <v>28.1</v>
      </c>
      <c r="AJ429" t="s">
        <v>67</v>
      </c>
      <c r="AK429">
        <v>0.12</v>
      </c>
      <c r="AL429">
        <v>31.4</v>
      </c>
      <c r="AM429">
        <v>0.11</v>
      </c>
      <c r="AN429" t="s">
        <v>67</v>
      </c>
      <c r="AO429">
        <v>-18</v>
      </c>
      <c r="AP429">
        <v>3.3</v>
      </c>
      <c r="AQ429" t="s">
        <v>67</v>
      </c>
      <c r="AR429" t="s">
        <v>385</v>
      </c>
      <c r="AS429" t="s">
        <v>386</v>
      </c>
      <c r="AT429" t="s">
        <v>135</v>
      </c>
      <c r="AU429" t="s">
        <v>387</v>
      </c>
      <c r="AV429" t="s">
        <v>251</v>
      </c>
      <c r="AX429" t="s">
        <v>73</v>
      </c>
      <c r="AY429">
        <v>98</v>
      </c>
      <c r="AZ429">
        <v>98</v>
      </c>
      <c r="BA429">
        <v>8</v>
      </c>
      <c r="BC429">
        <v>5</v>
      </c>
      <c r="BD429">
        <v>92</v>
      </c>
      <c r="BE429">
        <v>92</v>
      </c>
      <c r="BF429">
        <v>6</v>
      </c>
      <c r="BH429">
        <v>5</v>
      </c>
      <c r="BI429">
        <v>21</v>
      </c>
      <c r="BJ429" t="s">
        <v>67</v>
      </c>
      <c r="BK429">
        <v>-6.3200000000000006E-2</v>
      </c>
      <c r="BL429">
        <v>1.09E-2</v>
      </c>
    </row>
    <row r="430" spans="1:64" hidden="1" x14ac:dyDescent="0.2">
      <c r="A430">
        <v>153</v>
      </c>
      <c r="D430" t="s">
        <v>54</v>
      </c>
      <c r="E430">
        <v>2017</v>
      </c>
      <c r="F430" t="s">
        <v>335</v>
      </c>
      <c r="G430" t="s">
        <v>220</v>
      </c>
      <c r="H430" t="s">
        <v>78</v>
      </c>
      <c r="K430" t="s">
        <v>205</v>
      </c>
      <c r="L430" t="s">
        <v>225</v>
      </c>
      <c r="M430" t="s">
        <v>120</v>
      </c>
      <c r="N430" t="s">
        <v>120</v>
      </c>
      <c r="O430" t="s">
        <v>110</v>
      </c>
      <c r="P430" t="s">
        <v>63</v>
      </c>
      <c r="Q430" t="s">
        <v>64</v>
      </c>
      <c r="R430" t="s">
        <v>83</v>
      </c>
      <c r="S430" t="s">
        <v>64</v>
      </c>
      <c r="T430" t="s">
        <v>64</v>
      </c>
      <c r="U430" t="s">
        <v>66</v>
      </c>
      <c r="V430">
        <v>437</v>
      </c>
      <c r="W430" t="s">
        <v>67</v>
      </c>
      <c r="X430">
        <v>21.6</v>
      </c>
      <c r="Y430" t="s">
        <v>68</v>
      </c>
      <c r="Z430">
        <v>8.0299999999999994</v>
      </c>
      <c r="AA430" t="s">
        <v>67</v>
      </c>
      <c r="AB430">
        <v>0.02</v>
      </c>
      <c r="AC430">
        <v>1053</v>
      </c>
      <c r="AD430" t="s">
        <v>67</v>
      </c>
      <c r="AE430">
        <v>103.87</v>
      </c>
      <c r="AF430">
        <v>7.71</v>
      </c>
      <c r="AG430" t="s">
        <v>67</v>
      </c>
      <c r="AH430">
        <v>0.05</v>
      </c>
      <c r="AI430">
        <v>5.6</v>
      </c>
      <c r="AJ430" t="s">
        <v>67</v>
      </c>
      <c r="AK430">
        <v>0.19</v>
      </c>
      <c r="AL430">
        <v>8.1</v>
      </c>
      <c r="AM430" t="s">
        <v>67</v>
      </c>
      <c r="AN430">
        <v>0.13</v>
      </c>
      <c r="AO430">
        <v>616</v>
      </c>
      <c r="AP430">
        <v>2.5</v>
      </c>
      <c r="AQ430" t="s">
        <v>67</v>
      </c>
      <c r="AR430" t="s">
        <v>336</v>
      </c>
      <c r="AS430" t="s">
        <v>337</v>
      </c>
      <c r="AT430" t="s">
        <v>70</v>
      </c>
      <c r="AU430" t="s">
        <v>67</v>
      </c>
      <c r="AV430" t="s">
        <v>132</v>
      </c>
      <c r="AX430" t="s">
        <v>73</v>
      </c>
      <c r="AY430">
        <v>0.73909999999999998</v>
      </c>
      <c r="AZ430">
        <v>0.73912999999999995</v>
      </c>
      <c r="BA430">
        <v>3.2599999999999997E-2</v>
      </c>
      <c r="BC430">
        <v>6</v>
      </c>
      <c r="BD430">
        <v>0.5706</v>
      </c>
      <c r="BE430">
        <v>0.5706</v>
      </c>
      <c r="BF430">
        <v>5.4300000000000001E-2</v>
      </c>
      <c r="BH430">
        <v>4</v>
      </c>
      <c r="BI430">
        <v>120</v>
      </c>
      <c r="BJ430">
        <v>6</v>
      </c>
      <c r="BK430">
        <v>-0.25879999999999997</v>
      </c>
      <c r="BL430">
        <v>1.0999999999999999E-2</v>
      </c>
    </row>
    <row r="431" spans="1:64" hidden="1" x14ac:dyDescent="0.2">
      <c r="A431">
        <v>221</v>
      </c>
      <c r="D431" t="s">
        <v>54</v>
      </c>
      <c r="E431">
        <v>2016</v>
      </c>
      <c r="F431" t="s">
        <v>409</v>
      </c>
      <c r="G431" t="s">
        <v>410</v>
      </c>
      <c r="H431" t="s">
        <v>78</v>
      </c>
      <c r="K431" t="s">
        <v>205</v>
      </c>
      <c r="L431" t="s">
        <v>206</v>
      </c>
      <c r="P431" t="s">
        <v>63</v>
      </c>
      <c r="S431" t="s">
        <v>64</v>
      </c>
      <c r="T431" t="s">
        <v>74</v>
      </c>
      <c r="U431" t="s">
        <v>84</v>
      </c>
      <c r="V431">
        <v>553</v>
      </c>
      <c r="AC431">
        <v>2227</v>
      </c>
      <c r="AI431">
        <v>10.199999999999999</v>
      </c>
      <c r="AL431">
        <v>10.199999999999999</v>
      </c>
      <c r="AO431">
        <v>1674</v>
      </c>
      <c r="AP431">
        <v>0</v>
      </c>
      <c r="AQ431" t="s">
        <v>67</v>
      </c>
      <c r="AR431" t="s">
        <v>411</v>
      </c>
      <c r="AS431" t="s">
        <v>412</v>
      </c>
      <c r="AT431" t="s">
        <v>135</v>
      </c>
      <c r="AU431" t="s">
        <v>413</v>
      </c>
      <c r="AV431" t="s">
        <v>132</v>
      </c>
      <c r="AX431" t="s">
        <v>73</v>
      </c>
      <c r="AY431">
        <v>0.54</v>
      </c>
      <c r="AZ431">
        <v>0.54279999999999995</v>
      </c>
      <c r="BA431">
        <v>4.9700000000000001E-2</v>
      </c>
      <c r="BC431">
        <v>7</v>
      </c>
      <c r="BD431">
        <v>0.52</v>
      </c>
      <c r="BE431">
        <v>0.51800000000000002</v>
      </c>
      <c r="BF431">
        <v>2.6599999999999999E-2</v>
      </c>
      <c r="BH431">
        <v>7</v>
      </c>
      <c r="BI431">
        <v>28</v>
      </c>
      <c r="BK431">
        <v>-4.6800000000000001E-2</v>
      </c>
      <c r="BL431">
        <v>1.0999999999999999E-2</v>
      </c>
    </row>
    <row r="432" spans="1:64" hidden="1" x14ac:dyDescent="0.2">
      <c r="A432">
        <v>194</v>
      </c>
      <c r="D432" t="s">
        <v>54</v>
      </c>
      <c r="E432">
        <v>2012</v>
      </c>
      <c r="F432" t="s">
        <v>289</v>
      </c>
      <c r="G432" t="s">
        <v>290</v>
      </c>
      <c r="H432" t="s">
        <v>78</v>
      </c>
      <c r="K432" t="s">
        <v>93</v>
      </c>
      <c r="L432" t="s">
        <v>94</v>
      </c>
      <c r="M432" t="s">
        <v>95</v>
      </c>
      <c r="N432" t="s">
        <v>61</v>
      </c>
      <c r="O432" t="s">
        <v>62</v>
      </c>
      <c r="P432" t="s">
        <v>63</v>
      </c>
      <c r="Q432" t="s">
        <v>74</v>
      </c>
      <c r="R432" t="s">
        <v>83</v>
      </c>
      <c r="S432" t="s">
        <v>64</v>
      </c>
      <c r="T432" t="s">
        <v>64</v>
      </c>
      <c r="U432" t="s">
        <v>66</v>
      </c>
      <c r="V432">
        <v>438</v>
      </c>
      <c r="W432" t="s">
        <v>67</v>
      </c>
      <c r="X432">
        <v>46</v>
      </c>
      <c r="Y432" t="s">
        <v>96</v>
      </c>
      <c r="Z432">
        <v>8.1199999999999992</v>
      </c>
      <c r="AA432" t="s">
        <v>67</v>
      </c>
      <c r="AB432">
        <v>0.04</v>
      </c>
      <c r="AC432">
        <v>974</v>
      </c>
      <c r="AD432" t="s">
        <v>67</v>
      </c>
      <c r="AE432">
        <v>114</v>
      </c>
      <c r="AF432">
        <v>7.79</v>
      </c>
      <c r="AG432" t="s">
        <v>67</v>
      </c>
      <c r="AH432">
        <v>0.04</v>
      </c>
      <c r="AI432">
        <v>28.6</v>
      </c>
      <c r="AJ432" t="s">
        <v>67</v>
      </c>
      <c r="AK432">
        <v>0.54</v>
      </c>
      <c r="AL432">
        <v>30</v>
      </c>
      <c r="AM432" t="s">
        <v>67</v>
      </c>
      <c r="AN432">
        <v>0.36</v>
      </c>
      <c r="AO432">
        <v>536</v>
      </c>
      <c r="AP432">
        <v>1.4</v>
      </c>
      <c r="AQ432" t="s">
        <v>291</v>
      </c>
      <c r="AR432" t="s">
        <v>395</v>
      </c>
      <c r="AS432" t="s">
        <v>134</v>
      </c>
      <c r="AT432" t="s">
        <v>135</v>
      </c>
      <c r="AU432" t="s">
        <v>396</v>
      </c>
      <c r="AV432" t="s">
        <v>137</v>
      </c>
      <c r="AX432" t="s">
        <v>73</v>
      </c>
      <c r="AY432">
        <v>992.78</v>
      </c>
      <c r="AZ432">
        <v>992.78</v>
      </c>
      <c r="BA432">
        <v>92.79</v>
      </c>
      <c r="BC432">
        <v>15</v>
      </c>
      <c r="BD432">
        <v>1336.08</v>
      </c>
      <c r="BE432">
        <v>1336.08</v>
      </c>
      <c r="BF432">
        <v>64.95</v>
      </c>
      <c r="BH432">
        <v>21</v>
      </c>
      <c r="BI432">
        <v>21</v>
      </c>
      <c r="BJ432">
        <v>5</v>
      </c>
      <c r="BK432">
        <v>0.29699999999999999</v>
      </c>
      <c r="BL432">
        <v>1.11E-2</v>
      </c>
    </row>
    <row r="433" spans="1:65" x14ac:dyDescent="0.2">
      <c r="A433">
        <v>169</v>
      </c>
      <c r="B433" t="str">
        <f>ROW()-1&amp;"_AltersFish"</f>
        <v>432_AltersFish</v>
      </c>
      <c r="C433" t="str">
        <f>A433 &amp; "_" &amp; P433 &amp; "_" &amp;
SUBSTITUTE(TRIM(L433)," ","_") &amp;
"_pH" &amp; TEXT(Z433,"0.00") &amp;
"_T" &amp; TEXT(AI433,"0.00") &amp;
"_CO2" &amp; TEXT(V433,"0") &amp;
"_LANG"</f>
        <v>169_LARVA_Solea_senegalensis_pH8.02_T18.20_CO2400_LANG</v>
      </c>
      <c r="D433" t="s">
        <v>54</v>
      </c>
      <c r="E433">
        <v>2014</v>
      </c>
      <c r="F433" t="s">
        <v>123</v>
      </c>
      <c r="G433" t="s">
        <v>124</v>
      </c>
      <c r="H433" t="s">
        <v>78</v>
      </c>
      <c r="I433" t="s">
        <v>540</v>
      </c>
      <c r="J433" t="s">
        <v>543</v>
      </c>
      <c r="K433" t="s">
        <v>79</v>
      </c>
      <c r="L433" t="s">
        <v>125</v>
      </c>
      <c r="M433" t="s">
        <v>126</v>
      </c>
      <c r="N433" t="s">
        <v>81</v>
      </c>
      <c r="O433" t="s">
        <v>106</v>
      </c>
      <c r="P433" t="s">
        <v>107</v>
      </c>
      <c r="Q433" t="s">
        <v>64</v>
      </c>
      <c r="R433" t="s">
        <v>83</v>
      </c>
      <c r="S433" t="s">
        <v>64</v>
      </c>
      <c r="T433" t="s">
        <v>74</v>
      </c>
      <c r="U433" t="s">
        <v>84</v>
      </c>
      <c r="V433">
        <v>400</v>
      </c>
      <c r="W433" t="s">
        <v>67</v>
      </c>
      <c r="X433">
        <v>66.709999999999994</v>
      </c>
      <c r="Y433" t="s">
        <v>68</v>
      </c>
      <c r="Z433">
        <v>8.02</v>
      </c>
      <c r="AA433" t="s">
        <v>67</v>
      </c>
      <c r="AB433">
        <v>0.04</v>
      </c>
      <c r="AC433">
        <v>1608</v>
      </c>
      <c r="AD433" t="s">
        <v>67</v>
      </c>
      <c r="AE433">
        <v>24.78</v>
      </c>
      <c r="AF433">
        <v>7.5</v>
      </c>
      <c r="AG433" t="s">
        <v>67</v>
      </c>
      <c r="AH433">
        <v>0.03</v>
      </c>
      <c r="AI433">
        <v>18.2</v>
      </c>
      <c r="AJ433" t="s">
        <v>67</v>
      </c>
      <c r="AK433">
        <v>0.4</v>
      </c>
      <c r="AL433">
        <v>18.2</v>
      </c>
      <c r="AM433" t="s">
        <v>67</v>
      </c>
      <c r="AN433">
        <v>0.28999999999999998</v>
      </c>
      <c r="AO433">
        <v>1208</v>
      </c>
      <c r="AP433">
        <v>-0.1</v>
      </c>
      <c r="AQ433" t="s">
        <v>67</v>
      </c>
      <c r="AR433" t="s">
        <v>144</v>
      </c>
      <c r="AS433" t="s">
        <v>145</v>
      </c>
      <c r="AT433" t="s">
        <v>70</v>
      </c>
      <c r="AU433" t="s">
        <v>89</v>
      </c>
      <c r="AV433" t="s">
        <v>11</v>
      </c>
      <c r="AW433" t="s">
        <v>11</v>
      </c>
      <c r="AX433" t="s">
        <v>73</v>
      </c>
      <c r="AY433">
        <v>70.835700000000003</v>
      </c>
      <c r="AZ433">
        <v>29.164269999999998</v>
      </c>
      <c r="BA433">
        <v>0.01</v>
      </c>
      <c r="BB433">
        <f>BA433*SQRT(BC433)</f>
        <v>7.7459666924148338E-2</v>
      </c>
      <c r="BC433">
        <v>60</v>
      </c>
      <c r="BD433">
        <v>86.858800000000002</v>
      </c>
      <c r="BE433">
        <v>13.14</v>
      </c>
      <c r="BF433">
        <v>4.7000000000000002E-3</v>
      </c>
      <c r="BG433">
        <f>BF433*SQRT(BH433)</f>
        <v>3.6406043454349724E-2</v>
      </c>
      <c r="BH433">
        <v>60</v>
      </c>
      <c r="BI433">
        <v>30</v>
      </c>
      <c r="BJ433">
        <v>3</v>
      </c>
      <c r="BK433">
        <v>-0.79720000000000002</v>
      </c>
      <c r="BL433">
        <v>1E-4</v>
      </c>
    </row>
    <row r="434" spans="1:65" hidden="1" x14ac:dyDescent="0.2">
      <c r="A434">
        <v>139</v>
      </c>
      <c r="D434" t="s">
        <v>54</v>
      </c>
      <c r="E434">
        <v>2018</v>
      </c>
      <c r="F434" t="s">
        <v>214</v>
      </c>
      <c r="G434" t="s">
        <v>154</v>
      </c>
      <c r="H434" t="s">
        <v>78</v>
      </c>
      <c r="K434" t="s">
        <v>194</v>
      </c>
      <c r="L434" t="s">
        <v>215</v>
      </c>
      <c r="M434" t="s">
        <v>120</v>
      </c>
      <c r="N434" t="s">
        <v>120</v>
      </c>
      <c r="O434" t="s">
        <v>62</v>
      </c>
      <c r="P434" t="s">
        <v>63</v>
      </c>
      <c r="Q434" t="s">
        <v>64</v>
      </c>
      <c r="R434" t="s">
        <v>83</v>
      </c>
      <c r="S434" t="s">
        <v>64</v>
      </c>
      <c r="T434" t="s">
        <v>64</v>
      </c>
      <c r="U434" t="s">
        <v>66</v>
      </c>
      <c r="V434">
        <v>438</v>
      </c>
      <c r="W434" t="s">
        <v>67</v>
      </c>
      <c r="X434">
        <v>16</v>
      </c>
      <c r="Y434" t="s">
        <v>68</v>
      </c>
      <c r="Z434">
        <v>8</v>
      </c>
      <c r="AA434" t="s">
        <v>67</v>
      </c>
      <c r="AB434">
        <v>0.01</v>
      </c>
      <c r="AC434">
        <v>906</v>
      </c>
      <c r="AD434" t="s">
        <v>67</v>
      </c>
      <c r="AE434">
        <v>43</v>
      </c>
      <c r="AF434">
        <v>7.71</v>
      </c>
      <c r="AG434" t="s">
        <v>67</v>
      </c>
      <c r="AH434">
        <v>0.02</v>
      </c>
      <c r="AI434">
        <v>-0.9</v>
      </c>
      <c r="AJ434" t="s">
        <v>67</v>
      </c>
      <c r="AK434">
        <v>0.1</v>
      </c>
      <c r="AL434">
        <v>2.2000000000000002</v>
      </c>
      <c r="AM434" t="s">
        <v>67</v>
      </c>
      <c r="AN434">
        <v>0.1</v>
      </c>
      <c r="AO434">
        <v>468</v>
      </c>
      <c r="AP434">
        <v>3.1</v>
      </c>
      <c r="AQ434" t="s">
        <v>67</v>
      </c>
      <c r="AR434" t="s">
        <v>407</v>
      </c>
      <c r="AS434" t="s">
        <v>407</v>
      </c>
      <c r="AT434" t="s">
        <v>135</v>
      </c>
      <c r="AU434" t="s">
        <v>408</v>
      </c>
      <c r="AV434" t="s">
        <v>251</v>
      </c>
      <c r="AX434" t="s">
        <v>73</v>
      </c>
      <c r="AY434">
        <v>53</v>
      </c>
      <c r="AZ434">
        <v>53</v>
      </c>
      <c r="BA434">
        <v>5</v>
      </c>
      <c r="BC434">
        <v>8</v>
      </c>
      <c r="BD434">
        <v>60</v>
      </c>
      <c r="BE434">
        <v>60</v>
      </c>
      <c r="BF434">
        <v>3</v>
      </c>
      <c r="BH434">
        <v>9</v>
      </c>
      <c r="BI434">
        <v>14</v>
      </c>
      <c r="BJ434">
        <v>3</v>
      </c>
      <c r="BK434">
        <v>0.1241</v>
      </c>
      <c r="BL434">
        <v>1.14E-2</v>
      </c>
    </row>
    <row r="435" spans="1:65" x14ac:dyDescent="0.2">
      <c r="A435">
        <v>169</v>
      </c>
      <c r="B435" t="str">
        <f>ROW()-1&amp;"_AltersFish"</f>
        <v>434_AltersFish</v>
      </c>
      <c r="C435" t="str">
        <f>A435 &amp; "_" &amp; P435 &amp; "_" &amp;
SUBSTITUTE(TRIM(L435)," ","_") &amp;
"_pH" &amp; TEXT(Z435,"0.00") &amp;
"_T" &amp; TEXT(AI435,"0.00") &amp;
"_CO2" &amp; TEXT(V435,"0") &amp;
"_LANG"</f>
        <v>169_LARVA_Solea_senegalensis_pH8.02_T18.20_CO2400_LANG</v>
      </c>
      <c r="D435" t="s">
        <v>54</v>
      </c>
      <c r="E435">
        <v>2014</v>
      </c>
      <c r="F435" t="s">
        <v>123</v>
      </c>
      <c r="G435" t="s">
        <v>124</v>
      </c>
      <c r="H435" t="s">
        <v>78</v>
      </c>
      <c r="I435" t="s">
        <v>540</v>
      </c>
      <c r="J435" t="s">
        <v>543</v>
      </c>
      <c r="K435" t="s">
        <v>79</v>
      </c>
      <c r="L435" t="s">
        <v>125</v>
      </c>
      <c r="M435" t="s">
        <v>126</v>
      </c>
      <c r="N435" t="s">
        <v>81</v>
      </c>
      <c r="O435" t="s">
        <v>106</v>
      </c>
      <c r="P435" t="s">
        <v>107</v>
      </c>
      <c r="Q435" t="s">
        <v>64</v>
      </c>
      <c r="R435" t="s">
        <v>83</v>
      </c>
      <c r="S435" t="s">
        <v>64</v>
      </c>
      <c r="T435" t="s">
        <v>64</v>
      </c>
      <c r="U435" t="s">
        <v>66</v>
      </c>
      <c r="V435">
        <v>400</v>
      </c>
      <c r="W435" t="s">
        <v>67</v>
      </c>
      <c r="X435">
        <v>66.709999999999994</v>
      </c>
      <c r="Y435" t="s">
        <v>68</v>
      </c>
      <c r="Z435">
        <v>8.02</v>
      </c>
      <c r="AA435" t="s">
        <v>67</v>
      </c>
      <c r="AB435">
        <v>0.04</v>
      </c>
      <c r="AC435">
        <v>1654</v>
      </c>
      <c r="AD435" t="s">
        <v>67</v>
      </c>
      <c r="AE435">
        <v>49.06</v>
      </c>
      <c r="AF435">
        <v>7.51</v>
      </c>
      <c r="AG435" t="s">
        <v>67</v>
      </c>
      <c r="AH435">
        <v>0.05</v>
      </c>
      <c r="AI435">
        <v>18.2</v>
      </c>
      <c r="AJ435" t="s">
        <v>67</v>
      </c>
      <c r="AK435">
        <v>0.4</v>
      </c>
      <c r="AL435">
        <v>22.1</v>
      </c>
      <c r="AM435" t="s">
        <v>67</v>
      </c>
      <c r="AN435">
        <v>1.01</v>
      </c>
      <c r="AO435">
        <v>1254</v>
      </c>
      <c r="AP435">
        <v>3.9</v>
      </c>
      <c r="AQ435" t="s">
        <v>67</v>
      </c>
      <c r="AR435" t="s">
        <v>144</v>
      </c>
      <c r="AS435" t="s">
        <v>145</v>
      </c>
      <c r="AT435" t="s">
        <v>70</v>
      </c>
      <c r="AU435" t="s">
        <v>89</v>
      </c>
      <c r="AV435" t="s">
        <v>11</v>
      </c>
      <c r="AW435" t="s">
        <v>11</v>
      </c>
      <c r="AX435" t="s">
        <v>73</v>
      </c>
      <c r="AY435">
        <v>70.835700000000003</v>
      </c>
      <c r="AZ435">
        <v>29.164269999999998</v>
      </c>
      <c r="BA435">
        <v>0.01</v>
      </c>
      <c r="BB435">
        <f>BA435*SQRT(BC435)</f>
        <v>7.7459666924148338E-2</v>
      </c>
      <c r="BC435">
        <v>60</v>
      </c>
      <c r="BD435">
        <v>93.083600000000004</v>
      </c>
      <c r="BE435">
        <v>6.92</v>
      </c>
      <c r="BF435">
        <v>5.7000000000000002E-3</v>
      </c>
      <c r="BG435">
        <f>BF435*SQRT(BH435)</f>
        <v>4.4152010146764557E-2</v>
      </c>
      <c r="BH435">
        <v>60</v>
      </c>
      <c r="BI435">
        <v>30</v>
      </c>
      <c r="BJ435">
        <v>3</v>
      </c>
      <c r="BK435">
        <v>-1.4390000000000001</v>
      </c>
      <c r="BL435">
        <v>1E-4</v>
      </c>
    </row>
    <row r="436" spans="1:65" hidden="1" x14ac:dyDescent="0.2">
      <c r="A436">
        <v>133</v>
      </c>
      <c r="D436" t="s">
        <v>54</v>
      </c>
      <c r="E436">
        <v>2015</v>
      </c>
      <c r="F436" t="s">
        <v>414</v>
      </c>
      <c r="G436" t="s">
        <v>154</v>
      </c>
      <c r="H436" t="s">
        <v>78</v>
      </c>
      <c r="K436" t="s">
        <v>93</v>
      </c>
      <c r="L436" t="s">
        <v>415</v>
      </c>
      <c r="M436" t="s">
        <v>95</v>
      </c>
      <c r="N436" t="s">
        <v>61</v>
      </c>
      <c r="O436" t="s">
        <v>62</v>
      </c>
      <c r="P436" t="s">
        <v>63</v>
      </c>
      <c r="Q436" t="s">
        <v>64</v>
      </c>
      <c r="R436" t="s">
        <v>83</v>
      </c>
      <c r="S436" t="s">
        <v>74</v>
      </c>
      <c r="T436" t="s">
        <v>64</v>
      </c>
      <c r="U436" t="s">
        <v>75</v>
      </c>
      <c r="V436">
        <v>436</v>
      </c>
      <c r="W436" t="s">
        <v>67</v>
      </c>
      <c r="X436">
        <v>13.6</v>
      </c>
      <c r="Y436" t="s">
        <v>96</v>
      </c>
      <c r="Z436">
        <v>8.15</v>
      </c>
      <c r="AA436" t="s">
        <v>67</v>
      </c>
      <c r="AB436">
        <v>0.01</v>
      </c>
      <c r="AC436">
        <v>441</v>
      </c>
      <c r="AD436" t="s">
        <v>67</v>
      </c>
      <c r="AE436">
        <v>13.9</v>
      </c>
      <c r="AF436">
        <v>8.15</v>
      </c>
      <c r="AG436" t="s">
        <v>67</v>
      </c>
      <c r="AH436">
        <v>0.01</v>
      </c>
      <c r="AI436">
        <v>27.8</v>
      </c>
      <c r="AJ436" t="s">
        <v>67</v>
      </c>
      <c r="AK436">
        <v>0.1</v>
      </c>
      <c r="AL436">
        <v>31.1</v>
      </c>
      <c r="AM436" t="s">
        <v>67</v>
      </c>
      <c r="AN436">
        <v>0.1</v>
      </c>
      <c r="AO436">
        <v>5</v>
      </c>
      <c r="AP436">
        <v>3.3</v>
      </c>
      <c r="AQ436" t="s">
        <v>67</v>
      </c>
      <c r="AR436" t="s">
        <v>416</v>
      </c>
      <c r="AS436" t="s">
        <v>416</v>
      </c>
      <c r="AT436" t="s">
        <v>135</v>
      </c>
      <c r="AU436" t="s">
        <v>417</v>
      </c>
      <c r="AV436" t="s">
        <v>251</v>
      </c>
      <c r="AX436" t="s">
        <v>73</v>
      </c>
      <c r="AY436">
        <v>0.35</v>
      </c>
      <c r="AZ436">
        <v>0.35</v>
      </c>
      <c r="BA436">
        <v>0.03</v>
      </c>
      <c r="BC436">
        <v>18</v>
      </c>
      <c r="BD436">
        <v>0.69</v>
      </c>
      <c r="BE436">
        <v>0.69</v>
      </c>
      <c r="BF436">
        <v>4.4999999999999998E-2</v>
      </c>
      <c r="BH436">
        <v>18</v>
      </c>
      <c r="BI436">
        <v>4</v>
      </c>
      <c r="BJ436" t="s">
        <v>67</v>
      </c>
      <c r="BK436">
        <v>0.67879999999999996</v>
      </c>
      <c r="BL436">
        <v>1.1599999999999999E-2</v>
      </c>
    </row>
    <row r="437" spans="1:65" hidden="1" x14ac:dyDescent="0.2">
      <c r="A437">
        <v>133</v>
      </c>
      <c r="D437" t="s">
        <v>54</v>
      </c>
      <c r="E437">
        <v>2015</v>
      </c>
      <c r="F437" t="s">
        <v>414</v>
      </c>
      <c r="G437" t="s">
        <v>154</v>
      </c>
      <c r="H437" t="s">
        <v>78</v>
      </c>
      <c r="K437" t="s">
        <v>93</v>
      </c>
      <c r="L437" t="s">
        <v>415</v>
      </c>
      <c r="M437" t="s">
        <v>95</v>
      </c>
      <c r="N437" t="s">
        <v>61</v>
      </c>
      <c r="O437" t="s">
        <v>62</v>
      </c>
      <c r="P437" t="s">
        <v>63</v>
      </c>
      <c r="Q437" t="s">
        <v>64</v>
      </c>
      <c r="R437" t="s">
        <v>83</v>
      </c>
      <c r="S437" t="s">
        <v>64</v>
      </c>
      <c r="T437" t="s">
        <v>74</v>
      </c>
      <c r="U437" t="s">
        <v>84</v>
      </c>
      <c r="V437">
        <v>436</v>
      </c>
      <c r="W437" t="s">
        <v>67</v>
      </c>
      <c r="X437">
        <v>13.6</v>
      </c>
      <c r="Y437" t="s">
        <v>96</v>
      </c>
      <c r="Z437">
        <v>8.15</v>
      </c>
      <c r="AA437" t="s">
        <v>67</v>
      </c>
      <c r="AB437">
        <v>0.01</v>
      </c>
      <c r="AC437">
        <v>985</v>
      </c>
      <c r="AD437" t="s">
        <v>67</v>
      </c>
      <c r="AE437">
        <v>10.6</v>
      </c>
      <c r="AF437">
        <v>7.85</v>
      </c>
      <c r="AG437" t="s">
        <v>67</v>
      </c>
      <c r="AH437">
        <v>0</v>
      </c>
      <c r="AI437">
        <v>27.8</v>
      </c>
      <c r="AJ437" t="s">
        <v>67</v>
      </c>
      <c r="AK437">
        <v>0.1</v>
      </c>
      <c r="AL437">
        <v>27.8</v>
      </c>
      <c r="AM437" t="s">
        <v>67</v>
      </c>
      <c r="AN437">
        <v>0.1</v>
      </c>
      <c r="AO437">
        <v>549</v>
      </c>
      <c r="AP437">
        <v>0</v>
      </c>
      <c r="AQ437" t="s">
        <v>67</v>
      </c>
      <c r="AR437" t="s">
        <v>416</v>
      </c>
      <c r="AS437" t="s">
        <v>416</v>
      </c>
      <c r="AT437" t="s">
        <v>135</v>
      </c>
      <c r="AU437" t="s">
        <v>417</v>
      </c>
      <c r="AV437" t="s">
        <v>251</v>
      </c>
      <c r="AX437" t="s">
        <v>73</v>
      </c>
      <c r="AY437">
        <v>0.35</v>
      </c>
      <c r="AZ437">
        <v>0.35</v>
      </c>
      <c r="BA437">
        <v>0.03</v>
      </c>
      <c r="BC437">
        <v>18</v>
      </c>
      <c r="BD437">
        <v>0.68</v>
      </c>
      <c r="BE437">
        <v>0.68</v>
      </c>
      <c r="BF437">
        <v>4.4999999999999998E-2</v>
      </c>
      <c r="BH437">
        <v>18</v>
      </c>
      <c r="BI437">
        <v>4</v>
      </c>
      <c r="BJ437" t="s">
        <v>67</v>
      </c>
      <c r="BK437">
        <v>0.66420000000000001</v>
      </c>
      <c r="BL437">
        <v>1.17E-2</v>
      </c>
    </row>
    <row r="438" spans="1:65" hidden="1" x14ac:dyDescent="0.2">
      <c r="A438">
        <v>149</v>
      </c>
      <c r="D438" t="s">
        <v>54</v>
      </c>
      <c r="E438">
        <v>2020</v>
      </c>
      <c r="F438" t="s">
        <v>377</v>
      </c>
      <c r="G438" t="s">
        <v>378</v>
      </c>
      <c r="H438" t="s">
        <v>78</v>
      </c>
      <c r="K438" t="s">
        <v>379</v>
      </c>
      <c r="L438" t="s">
        <v>380</v>
      </c>
      <c r="M438" t="s">
        <v>81</v>
      </c>
      <c r="N438" t="s">
        <v>81</v>
      </c>
      <c r="O438" t="s">
        <v>110</v>
      </c>
      <c r="P438" t="s">
        <v>196</v>
      </c>
      <c r="Q438" t="s">
        <v>64</v>
      </c>
      <c r="R438" t="s">
        <v>83</v>
      </c>
      <c r="S438" t="s">
        <v>64</v>
      </c>
      <c r="T438" t="s">
        <v>64</v>
      </c>
      <c r="U438" t="s">
        <v>66</v>
      </c>
      <c r="V438">
        <v>391</v>
      </c>
      <c r="W438" t="s">
        <v>67</v>
      </c>
      <c r="X438" t="s">
        <v>67</v>
      </c>
      <c r="Y438" t="s">
        <v>157</v>
      </c>
      <c r="Z438">
        <v>8.07</v>
      </c>
      <c r="AA438" t="s">
        <v>67</v>
      </c>
      <c r="AB438" t="s">
        <v>67</v>
      </c>
      <c r="AC438">
        <v>1245</v>
      </c>
      <c r="AD438" t="s">
        <v>67</v>
      </c>
      <c r="AE438" t="s">
        <v>67</v>
      </c>
      <c r="AF438">
        <v>7.61</v>
      </c>
      <c r="AG438" t="s">
        <v>67</v>
      </c>
      <c r="AH438" t="s">
        <v>67</v>
      </c>
      <c r="AI438">
        <v>19.100000000000001</v>
      </c>
      <c r="AJ438" t="s">
        <v>67</v>
      </c>
      <c r="AK438" t="s">
        <v>67</v>
      </c>
      <c r="AL438">
        <v>21.8</v>
      </c>
      <c r="AM438" t="s">
        <v>67</v>
      </c>
      <c r="AN438" t="s">
        <v>67</v>
      </c>
      <c r="AO438">
        <v>854</v>
      </c>
      <c r="AP438">
        <v>2.7</v>
      </c>
      <c r="AQ438" t="s">
        <v>67</v>
      </c>
      <c r="AR438" t="s">
        <v>381</v>
      </c>
      <c r="AS438" t="s">
        <v>301</v>
      </c>
      <c r="AT438" t="s">
        <v>70</v>
      </c>
      <c r="AU438" t="s">
        <v>67</v>
      </c>
      <c r="AV438" t="s">
        <v>151</v>
      </c>
      <c r="AX438" t="s">
        <v>73</v>
      </c>
      <c r="AY438">
        <v>401</v>
      </c>
      <c r="AZ438">
        <v>401</v>
      </c>
      <c r="BA438">
        <v>26</v>
      </c>
      <c r="BC438">
        <v>8</v>
      </c>
      <c r="BD438">
        <v>298</v>
      </c>
      <c r="BE438">
        <v>298</v>
      </c>
      <c r="BF438">
        <v>26</v>
      </c>
      <c r="BH438">
        <v>8</v>
      </c>
      <c r="BI438">
        <v>30</v>
      </c>
      <c r="BJ438">
        <v>8</v>
      </c>
      <c r="BK438">
        <v>-0.2969</v>
      </c>
      <c r="BL438">
        <v>1.18E-2</v>
      </c>
    </row>
    <row r="439" spans="1:65" x14ac:dyDescent="0.2">
      <c r="A439">
        <v>169</v>
      </c>
      <c r="B439" t="str">
        <f>ROW()-1&amp;"_AltersFish"</f>
        <v>438_AltersFish</v>
      </c>
      <c r="C439" t="str">
        <f>A439 &amp; "_" &amp; P439 &amp; "_" &amp;
SUBSTITUTE(TRIM(L439)," ","_") &amp;
"_pH" &amp; TEXT(Z439,"0.00") &amp;
"_T" &amp; TEXT(AI439,"0.00") &amp;
"_CO2" &amp; TEXT(V439,"0") &amp;
"_LANG"</f>
        <v>169_EMBRYO_Solea_senegalensis_pH8.02_T18.20_CO2400_LANG</v>
      </c>
      <c r="D439" t="s">
        <v>54</v>
      </c>
      <c r="E439">
        <v>2014</v>
      </c>
      <c r="F439" t="s">
        <v>123</v>
      </c>
      <c r="G439" t="s">
        <v>124</v>
      </c>
      <c r="H439" t="s">
        <v>78</v>
      </c>
      <c r="I439" t="s">
        <v>540</v>
      </c>
      <c r="J439" t="s">
        <v>543</v>
      </c>
      <c r="K439" t="s">
        <v>79</v>
      </c>
      <c r="L439" t="s">
        <v>125</v>
      </c>
      <c r="M439" t="s">
        <v>126</v>
      </c>
      <c r="N439" t="s">
        <v>81</v>
      </c>
      <c r="O439" t="s">
        <v>106</v>
      </c>
      <c r="P439" t="s">
        <v>82</v>
      </c>
      <c r="Q439" t="s">
        <v>64</v>
      </c>
      <c r="R439" t="s">
        <v>83</v>
      </c>
      <c r="S439" t="s">
        <v>74</v>
      </c>
      <c r="T439" t="s">
        <v>64</v>
      </c>
      <c r="U439" t="s">
        <v>75</v>
      </c>
      <c r="V439">
        <v>400</v>
      </c>
      <c r="W439" t="s">
        <v>67</v>
      </c>
      <c r="X439">
        <v>66.709999999999994</v>
      </c>
      <c r="Y439" t="s">
        <v>68</v>
      </c>
      <c r="Z439">
        <v>8.02</v>
      </c>
      <c r="AA439" t="s">
        <v>67</v>
      </c>
      <c r="AB439">
        <v>0.04</v>
      </c>
      <c r="AC439">
        <v>425</v>
      </c>
      <c r="AD439" t="s">
        <v>67</v>
      </c>
      <c r="AE439">
        <v>19.97</v>
      </c>
      <c r="AF439">
        <v>8.0299999999999994</v>
      </c>
      <c r="AG439" t="s">
        <v>67</v>
      </c>
      <c r="AH439">
        <v>0.05</v>
      </c>
      <c r="AI439">
        <v>18.2</v>
      </c>
      <c r="AJ439" t="s">
        <v>67</v>
      </c>
      <c r="AK439">
        <v>0.4</v>
      </c>
      <c r="AL439">
        <v>22</v>
      </c>
      <c r="AM439" t="s">
        <v>67</v>
      </c>
      <c r="AN439">
        <v>0.42</v>
      </c>
      <c r="AO439">
        <v>25</v>
      </c>
      <c r="AP439">
        <v>3.8</v>
      </c>
      <c r="AQ439" t="s">
        <v>67</v>
      </c>
      <c r="AR439" t="s">
        <v>127</v>
      </c>
      <c r="AS439" t="s">
        <v>105</v>
      </c>
      <c r="AT439" t="s">
        <v>70</v>
      </c>
      <c r="AU439" t="s">
        <v>89</v>
      </c>
      <c r="AV439" t="s">
        <v>87</v>
      </c>
      <c r="AW439" t="s">
        <v>151</v>
      </c>
      <c r="AX439" t="s">
        <v>90</v>
      </c>
      <c r="AY439">
        <v>86.516900000000007</v>
      </c>
      <c r="AZ439">
        <v>86.516850000000005</v>
      </c>
      <c r="BA439">
        <v>1.8200000000000001E-2</v>
      </c>
      <c r="BB439">
        <f>BA439*SQRT(BC439)</f>
        <v>9.9685505465940238E-2</v>
      </c>
      <c r="BC439">
        <v>30</v>
      </c>
      <c r="BD439">
        <v>76.778999999999996</v>
      </c>
      <c r="BE439">
        <v>76.779026220000006</v>
      </c>
      <c r="BF439">
        <v>1.6E-2</v>
      </c>
      <c r="BG439">
        <f>BF439*SQRT(BH439)</f>
        <v>8.7635609200826581E-2</v>
      </c>
      <c r="BH439">
        <v>30</v>
      </c>
      <c r="BI439">
        <v>30</v>
      </c>
      <c r="BJ439">
        <v>3</v>
      </c>
      <c r="BK439">
        <v>-0.11940000000000001</v>
      </c>
      <c r="BL439">
        <v>1E-4</v>
      </c>
    </row>
    <row r="440" spans="1:65" hidden="1" x14ac:dyDescent="0.2">
      <c r="A440">
        <v>150</v>
      </c>
      <c r="D440" t="s">
        <v>54</v>
      </c>
      <c r="E440">
        <v>2016</v>
      </c>
      <c r="F440" t="s">
        <v>373</v>
      </c>
      <c r="G440" t="s">
        <v>348</v>
      </c>
      <c r="H440" t="s">
        <v>57</v>
      </c>
      <c r="K440" t="s">
        <v>58</v>
      </c>
      <c r="L440" t="s">
        <v>59</v>
      </c>
      <c r="M440" t="s">
        <v>95</v>
      </c>
      <c r="N440" t="s">
        <v>61</v>
      </c>
      <c r="O440" t="s">
        <v>62</v>
      </c>
      <c r="P440" t="s">
        <v>63</v>
      </c>
      <c r="Q440" t="s">
        <v>64</v>
      </c>
      <c r="R440" t="s">
        <v>65</v>
      </c>
      <c r="S440" t="s">
        <v>74</v>
      </c>
      <c r="T440" t="s">
        <v>64</v>
      </c>
      <c r="U440" t="s">
        <v>75</v>
      </c>
      <c r="V440">
        <v>372</v>
      </c>
      <c r="W440" t="s">
        <v>67</v>
      </c>
      <c r="X440">
        <v>51.93</v>
      </c>
      <c r="Y440" t="s">
        <v>68</v>
      </c>
      <c r="Z440">
        <v>8.02</v>
      </c>
      <c r="AA440" t="s">
        <v>67</v>
      </c>
      <c r="AB440">
        <v>0.05</v>
      </c>
      <c r="AC440">
        <v>382</v>
      </c>
      <c r="AD440" t="s">
        <v>67</v>
      </c>
      <c r="AE440">
        <v>87.53</v>
      </c>
      <c r="AF440">
        <v>8</v>
      </c>
      <c r="AG440" t="s">
        <v>67</v>
      </c>
      <c r="AH440">
        <v>7.0000000000000007E-2</v>
      </c>
      <c r="AI440">
        <v>25.9</v>
      </c>
      <c r="AJ440" t="s">
        <v>67</v>
      </c>
      <c r="AK440">
        <v>0.7</v>
      </c>
      <c r="AL440">
        <v>29.9</v>
      </c>
      <c r="AM440" t="s">
        <v>67</v>
      </c>
      <c r="AN440">
        <v>0.2</v>
      </c>
      <c r="AO440">
        <v>10</v>
      </c>
      <c r="AP440">
        <v>4</v>
      </c>
      <c r="AQ440" t="s">
        <v>374</v>
      </c>
      <c r="AR440" t="s">
        <v>418</v>
      </c>
      <c r="AS440" t="s">
        <v>332</v>
      </c>
      <c r="AT440" t="s">
        <v>333</v>
      </c>
      <c r="AU440" t="s">
        <v>419</v>
      </c>
      <c r="AV440" t="s">
        <v>132</v>
      </c>
      <c r="AX440" t="s">
        <v>73</v>
      </c>
      <c r="AY440">
        <v>0.25259999999999999</v>
      </c>
      <c r="AZ440">
        <v>0.25263000000000002</v>
      </c>
      <c r="BA440">
        <v>0.02</v>
      </c>
      <c r="BC440">
        <v>6</v>
      </c>
      <c r="BD440">
        <v>0.3579</v>
      </c>
      <c r="BE440">
        <v>0.35789473700000002</v>
      </c>
      <c r="BF440">
        <v>1.67E-2</v>
      </c>
      <c r="BH440">
        <v>6</v>
      </c>
      <c r="BI440">
        <v>30</v>
      </c>
      <c r="BJ440">
        <v>3</v>
      </c>
      <c r="BK440">
        <v>-0.3483</v>
      </c>
      <c r="BL440">
        <v>1.18E-2</v>
      </c>
      <c r="BM440" t="s">
        <v>420</v>
      </c>
    </row>
    <row r="441" spans="1:65" hidden="1" x14ac:dyDescent="0.2">
      <c r="A441">
        <v>194</v>
      </c>
      <c r="D441" t="s">
        <v>54</v>
      </c>
      <c r="E441">
        <v>2012</v>
      </c>
      <c r="F441" t="s">
        <v>289</v>
      </c>
      <c r="G441" t="s">
        <v>290</v>
      </c>
      <c r="H441" t="s">
        <v>78</v>
      </c>
      <c r="K441" t="s">
        <v>93</v>
      </c>
      <c r="L441" t="s">
        <v>94</v>
      </c>
      <c r="M441" t="s">
        <v>95</v>
      </c>
      <c r="N441" t="s">
        <v>61</v>
      </c>
      <c r="O441" t="s">
        <v>62</v>
      </c>
      <c r="P441" t="s">
        <v>63</v>
      </c>
      <c r="Q441" t="s">
        <v>74</v>
      </c>
      <c r="R441" t="s">
        <v>83</v>
      </c>
      <c r="S441" t="s">
        <v>74</v>
      </c>
      <c r="T441" t="s">
        <v>64</v>
      </c>
      <c r="U441" t="s">
        <v>75</v>
      </c>
      <c r="V441">
        <v>438</v>
      </c>
      <c r="W441" t="s">
        <v>67</v>
      </c>
      <c r="X441">
        <v>46</v>
      </c>
      <c r="Y441" t="s">
        <v>96</v>
      </c>
      <c r="Z441">
        <v>8.1199999999999992</v>
      </c>
      <c r="AA441" t="s">
        <v>67</v>
      </c>
      <c r="AB441">
        <v>0.04</v>
      </c>
      <c r="AC441">
        <v>462</v>
      </c>
      <c r="AD441" t="s">
        <v>67</v>
      </c>
      <c r="AE441">
        <v>52</v>
      </c>
      <c r="AF441">
        <v>8.11</v>
      </c>
      <c r="AG441" t="s">
        <v>67</v>
      </c>
      <c r="AH441">
        <v>0.04</v>
      </c>
      <c r="AI441">
        <v>28.6</v>
      </c>
      <c r="AJ441" t="s">
        <v>67</v>
      </c>
      <c r="AK441">
        <v>0.54</v>
      </c>
      <c r="AL441">
        <v>31.7</v>
      </c>
      <c r="AM441" t="s">
        <v>67</v>
      </c>
      <c r="AN441">
        <v>0.5</v>
      </c>
      <c r="AO441">
        <v>24</v>
      </c>
      <c r="AP441">
        <v>3.1</v>
      </c>
      <c r="AQ441" t="s">
        <v>291</v>
      </c>
      <c r="AR441" t="s">
        <v>395</v>
      </c>
      <c r="AS441" t="s">
        <v>134</v>
      </c>
      <c r="AT441" t="s">
        <v>135</v>
      </c>
      <c r="AU441" t="s">
        <v>396</v>
      </c>
      <c r="AV441" t="s">
        <v>137</v>
      </c>
      <c r="AX441" t="s">
        <v>73</v>
      </c>
      <c r="AY441">
        <v>992.78</v>
      </c>
      <c r="AZ441">
        <v>992.78</v>
      </c>
      <c r="BA441">
        <v>92.79</v>
      </c>
      <c r="BC441">
        <v>15</v>
      </c>
      <c r="BD441">
        <v>1308.25</v>
      </c>
      <c r="BE441">
        <v>1308.25</v>
      </c>
      <c r="BF441">
        <v>74.22</v>
      </c>
      <c r="BH441">
        <v>15</v>
      </c>
      <c r="BI441">
        <v>21</v>
      </c>
      <c r="BJ441">
        <v>5</v>
      </c>
      <c r="BK441">
        <v>0.27589999999999998</v>
      </c>
      <c r="BL441">
        <v>1.2E-2</v>
      </c>
    </row>
    <row r="442" spans="1:65" hidden="1" x14ac:dyDescent="0.2">
      <c r="A442">
        <v>171</v>
      </c>
      <c r="D442" t="s">
        <v>54</v>
      </c>
      <c r="E442">
        <v>2015</v>
      </c>
      <c r="F442" t="s">
        <v>198</v>
      </c>
      <c r="G442" t="s">
        <v>199</v>
      </c>
      <c r="H442" t="s">
        <v>57</v>
      </c>
      <c r="K442" t="s">
        <v>79</v>
      </c>
      <c r="L442" t="s">
        <v>200</v>
      </c>
      <c r="M442" t="s">
        <v>81</v>
      </c>
      <c r="N442" t="s">
        <v>81</v>
      </c>
      <c r="O442" t="s">
        <v>62</v>
      </c>
      <c r="P442" t="s">
        <v>63</v>
      </c>
      <c r="Q442" t="s">
        <v>64</v>
      </c>
      <c r="R442" t="s">
        <v>65</v>
      </c>
      <c r="S442" t="s">
        <v>64</v>
      </c>
      <c r="T442" t="s">
        <v>74</v>
      </c>
      <c r="U442" t="s">
        <v>84</v>
      </c>
      <c r="V442">
        <v>422.07</v>
      </c>
      <c r="W442" t="s">
        <v>67</v>
      </c>
      <c r="X442">
        <v>16.57</v>
      </c>
      <c r="Y442" t="s">
        <v>96</v>
      </c>
      <c r="Z442">
        <v>8.1</v>
      </c>
      <c r="AA442" t="s">
        <v>67</v>
      </c>
      <c r="AB442">
        <v>0.05</v>
      </c>
      <c r="AC442">
        <v>1115.6199999999999</v>
      </c>
      <c r="AD442" t="s">
        <v>67</v>
      </c>
      <c r="AE442">
        <v>59.33</v>
      </c>
      <c r="AF442">
        <v>7.7</v>
      </c>
      <c r="AG442" t="s">
        <v>67</v>
      </c>
      <c r="AH442">
        <v>0.05</v>
      </c>
      <c r="AI442">
        <v>15</v>
      </c>
      <c r="AJ442" t="s">
        <v>67</v>
      </c>
      <c r="AK442">
        <v>0.5</v>
      </c>
      <c r="AL442">
        <v>15</v>
      </c>
      <c r="AM442" t="s">
        <v>67</v>
      </c>
      <c r="AN442">
        <v>0.5</v>
      </c>
      <c r="AO442">
        <v>694</v>
      </c>
      <c r="AP442">
        <v>0</v>
      </c>
      <c r="AQ442" t="s">
        <v>218</v>
      </c>
      <c r="AR442" t="s">
        <v>69</v>
      </c>
      <c r="AS442" t="s">
        <v>69</v>
      </c>
      <c r="AT442" t="s">
        <v>70</v>
      </c>
      <c r="AU442" t="s">
        <v>227</v>
      </c>
      <c r="AV442" t="s">
        <v>72</v>
      </c>
      <c r="AX442" t="s">
        <v>73</v>
      </c>
      <c r="AY442">
        <v>0.16800000000000001</v>
      </c>
      <c r="AZ442">
        <v>0.16800000000000001</v>
      </c>
      <c r="BA442">
        <v>0.01</v>
      </c>
      <c r="BC442">
        <v>37</v>
      </c>
      <c r="BD442">
        <v>0.114</v>
      </c>
      <c r="BE442">
        <v>0.114</v>
      </c>
      <c r="BF442">
        <v>1.2E-2</v>
      </c>
      <c r="BH442">
        <v>37</v>
      </c>
      <c r="BI442">
        <v>224</v>
      </c>
      <c r="BJ442">
        <v>5</v>
      </c>
      <c r="BK442">
        <v>-0.38779999999999998</v>
      </c>
      <c r="BL442">
        <v>1.2E-2</v>
      </c>
    </row>
    <row r="443" spans="1:65" hidden="1" x14ac:dyDescent="0.2">
      <c r="A443">
        <v>145</v>
      </c>
      <c r="D443" t="s">
        <v>54</v>
      </c>
      <c r="E443">
        <v>2016</v>
      </c>
      <c r="F443" t="s">
        <v>198</v>
      </c>
      <c r="G443" t="s">
        <v>124</v>
      </c>
      <c r="H443" t="s">
        <v>57</v>
      </c>
      <c r="K443" t="s">
        <v>234</v>
      </c>
      <c r="L443" t="s">
        <v>200</v>
      </c>
      <c r="M443" t="s">
        <v>81</v>
      </c>
      <c r="N443" t="s">
        <v>81</v>
      </c>
      <c r="O443" t="s">
        <v>62</v>
      </c>
      <c r="P443" t="s">
        <v>63</v>
      </c>
      <c r="Q443" t="s">
        <v>64</v>
      </c>
      <c r="R443" t="s">
        <v>65</v>
      </c>
      <c r="S443" t="s">
        <v>64</v>
      </c>
      <c r="T443" t="s">
        <v>74</v>
      </c>
      <c r="U443" t="s">
        <v>84</v>
      </c>
      <c r="V443">
        <v>410</v>
      </c>
      <c r="W443">
        <v>19.16</v>
      </c>
      <c r="X443" t="s">
        <v>67</v>
      </c>
      <c r="Y443" t="s">
        <v>96</v>
      </c>
      <c r="Z443">
        <v>8.08</v>
      </c>
      <c r="AA443">
        <v>0.05</v>
      </c>
      <c r="AB443" t="s">
        <v>67</v>
      </c>
      <c r="AC443">
        <v>1122</v>
      </c>
      <c r="AD443">
        <v>69.81</v>
      </c>
      <c r="AE443" t="s">
        <v>67</v>
      </c>
      <c r="AF443">
        <v>7.73</v>
      </c>
      <c r="AG443">
        <v>0.06</v>
      </c>
      <c r="AH443" t="s">
        <v>67</v>
      </c>
      <c r="AI443">
        <v>15.2</v>
      </c>
      <c r="AJ443">
        <v>0.7</v>
      </c>
      <c r="AK443" t="s">
        <v>67</v>
      </c>
      <c r="AL443">
        <v>15</v>
      </c>
      <c r="AM443">
        <v>0.6</v>
      </c>
      <c r="AN443" t="s">
        <v>67</v>
      </c>
      <c r="AO443">
        <v>712</v>
      </c>
      <c r="AP443">
        <v>-0.2</v>
      </c>
      <c r="AQ443" t="s">
        <v>201</v>
      </c>
      <c r="AR443" t="s">
        <v>382</v>
      </c>
      <c r="AS443" t="s">
        <v>361</v>
      </c>
      <c r="AT443" t="s">
        <v>70</v>
      </c>
      <c r="AU443" t="s">
        <v>383</v>
      </c>
      <c r="AV443" t="s">
        <v>363</v>
      </c>
      <c r="AX443" t="s">
        <v>73</v>
      </c>
      <c r="AY443">
        <v>0.68469999999999998</v>
      </c>
      <c r="AZ443">
        <v>0.68467</v>
      </c>
      <c r="BA443">
        <v>0.04</v>
      </c>
      <c r="BC443">
        <v>7</v>
      </c>
      <c r="BD443">
        <v>1.1138999999999999</v>
      </c>
      <c r="BE443">
        <v>1.113868613</v>
      </c>
      <c r="BF443">
        <v>0.1022</v>
      </c>
      <c r="BH443">
        <v>7</v>
      </c>
      <c r="BI443">
        <v>240</v>
      </c>
      <c r="BJ443">
        <v>7</v>
      </c>
      <c r="BK443">
        <v>0.48670000000000002</v>
      </c>
      <c r="BL443">
        <v>1.2E-2</v>
      </c>
    </row>
    <row r="444" spans="1:65" hidden="1" x14ac:dyDescent="0.2">
      <c r="A444">
        <v>161</v>
      </c>
      <c r="D444" t="s">
        <v>54</v>
      </c>
      <c r="E444">
        <v>2019</v>
      </c>
      <c r="F444" t="s">
        <v>174</v>
      </c>
      <c r="G444" t="s">
        <v>175</v>
      </c>
      <c r="H444" t="s">
        <v>78</v>
      </c>
      <c r="K444" t="s">
        <v>79</v>
      </c>
      <c r="L444" t="s">
        <v>176</v>
      </c>
      <c r="M444" t="s">
        <v>81</v>
      </c>
      <c r="N444" t="s">
        <v>81</v>
      </c>
      <c r="O444" t="s">
        <v>62</v>
      </c>
      <c r="P444" t="s">
        <v>63</v>
      </c>
      <c r="Q444" t="s">
        <v>74</v>
      </c>
      <c r="R444" t="s">
        <v>83</v>
      </c>
      <c r="S444" t="s">
        <v>74</v>
      </c>
      <c r="T444" t="s">
        <v>64</v>
      </c>
      <c r="U444" t="s">
        <v>75</v>
      </c>
      <c r="V444">
        <v>489</v>
      </c>
      <c r="W444" t="s">
        <v>67</v>
      </c>
      <c r="X444">
        <v>54</v>
      </c>
      <c r="Y444" t="s">
        <v>67</v>
      </c>
      <c r="Z444">
        <v>8.01</v>
      </c>
      <c r="AA444" t="s">
        <v>67</v>
      </c>
      <c r="AB444">
        <v>0.12</v>
      </c>
      <c r="AC444">
        <v>496</v>
      </c>
      <c r="AD444" t="s">
        <v>67</v>
      </c>
      <c r="AE444">
        <v>44</v>
      </c>
      <c r="AF444">
        <v>8.0500000000000007</v>
      </c>
      <c r="AG444" t="s">
        <v>67</v>
      </c>
      <c r="AH444">
        <v>0.1</v>
      </c>
      <c r="AI444">
        <v>19.600000000000001</v>
      </c>
      <c r="AJ444" t="s">
        <v>67</v>
      </c>
      <c r="AK444">
        <v>0.5</v>
      </c>
      <c r="AL444">
        <v>24.2</v>
      </c>
      <c r="AM444" t="s">
        <v>67</v>
      </c>
      <c r="AN444">
        <v>0.2</v>
      </c>
      <c r="AO444">
        <v>7</v>
      </c>
      <c r="AP444">
        <v>4.5999999999999996</v>
      </c>
      <c r="AQ444" t="s">
        <v>67</v>
      </c>
      <c r="AR444" t="s">
        <v>341</v>
      </c>
      <c r="AS444" t="s">
        <v>278</v>
      </c>
      <c r="AT444" t="s">
        <v>135</v>
      </c>
      <c r="AU444" t="s">
        <v>342</v>
      </c>
      <c r="AV444" t="s">
        <v>132</v>
      </c>
      <c r="AX444" t="s">
        <v>73</v>
      </c>
      <c r="AY444">
        <v>789.1</v>
      </c>
      <c r="AZ444">
        <v>789.1</v>
      </c>
      <c r="BA444">
        <v>11.09</v>
      </c>
      <c r="BC444">
        <v>5</v>
      </c>
      <c r="BD444">
        <v>510.1</v>
      </c>
      <c r="BE444">
        <v>510.1</v>
      </c>
      <c r="BF444">
        <v>55.454500000000003</v>
      </c>
      <c r="BH444">
        <v>5</v>
      </c>
      <c r="BI444">
        <v>28</v>
      </c>
      <c r="BJ444">
        <v>3</v>
      </c>
      <c r="BK444">
        <v>-0.43630000000000002</v>
      </c>
      <c r="BL444">
        <v>1.2E-2</v>
      </c>
    </row>
    <row r="445" spans="1:65" hidden="1" x14ac:dyDescent="0.2">
      <c r="A445">
        <v>161</v>
      </c>
      <c r="D445" t="s">
        <v>54</v>
      </c>
      <c r="E445">
        <v>2019</v>
      </c>
      <c r="F445" t="s">
        <v>174</v>
      </c>
      <c r="G445" t="s">
        <v>175</v>
      </c>
      <c r="H445" t="s">
        <v>78</v>
      </c>
      <c r="K445" t="s">
        <v>79</v>
      </c>
      <c r="L445" t="s">
        <v>176</v>
      </c>
      <c r="M445" t="s">
        <v>81</v>
      </c>
      <c r="N445" t="s">
        <v>81</v>
      </c>
      <c r="O445" t="s">
        <v>62</v>
      </c>
      <c r="P445" t="s">
        <v>63</v>
      </c>
      <c r="Q445" t="s">
        <v>74</v>
      </c>
      <c r="R445" t="s">
        <v>83</v>
      </c>
      <c r="S445" t="s">
        <v>74</v>
      </c>
      <c r="T445" t="s">
        <v>64</v>
      </c>
      <c r="U445" t="s">
        <v>75</v>
      </c>
      <c r="V445">
        <v>489</v>
      </c>
      <c r="W445" t="s">
        <v>67</v>
      </c>
      <c r="X445">
        <v>54</v>
      </c>
      <c r="Y445" t="s">
        <v>67</v>
      </c>
      <c r="Z445">
        <v>8.01</v>
      </c>
      <c r="AA445" t="s">
        <v>67</v>
      </c>
      <c r="AB445">
        <v>0.12</v>
      </c>
      <c r="AC445">
        <v>496</v>
      </c>
      <c r="AD445" t="s">
        <v>67</v>
      </c>
      <c r="AE445">
        <v>44</v>
      </c>
      <c r="AF445">
        <v>8.0500000000000007</v>
      </c>
      <c r="AG445" t="s">
        <v>67</v>
      </c>
      <c r="AH445">
        <v>0.1</v>
      </c>
      <c r="AI445">
        <v>19.600000000000001</v>
      </c>
      <c r="AJ445" t="s">
        <v>67</v>
      </c>
      <c r="AK445">
        <v>0.5</v>
      </c>
      <c r="AL445">
        <v>24.2</v>
      </c>
      <c r="AM445" t="s">
        <v>67</v>
      </c>
      <c r="AN445">
        <v>0.2</v>
      </c>
      <c r="AO445">
        <v>7</v>
      </c>
      <c r="AP445">
        <v>4.5999999999999996</v>
      </c>
      <c r="AQ445" t="s">
        <v>67</v>
      </c>
      <c r="AR445" t="s">
        <v>341</v>
      </c>
      <c r="AS445" t="s">
        <v>278</v>
      </c>
      <c r="AT445" t="s">
        <v>135</v>
      </c>
      <c r="AU445" t="s">
        <v>342</v>
      </c>
      <c r="AV445" t="s">
        <v>132</v>
      </c>
      <c r="AX445" t="s">
        <v>73</v>
      </c>
      <c r="AY445">
        <v>789.1</v>
      </c>
      <c r="AZ445">
        <v>789.1</v>
      </c>
      <c r="BA445">
        <v>11.09</v>
      </c>
      <c r="BC445">
        <v>5</v>
      </c>
      <c r="BD445">
        <v>510.1</v>
      </c>
      <c r="BE445">
        <v>510.1</v>
      </c>
      <c r="BF445">
        <v>55.454500000000003</v>
      </c>
      <c r="BH445">
        <v>5</v>
      </c>
      <c r="BI445">
        <v>28</v>
      </c>
      <c r="BJ445">
        <v>3</v>
      </c>
      <c r="BK445">
        <v>-0.43630000000000002</v>
      </c>
      <c r="BL445">
        <v>1.2E-2</v>
      </c>
    </row>
    <row r="446" spans="1:65" x14ac:dyDescent="0.2">
      <c r="A446">
        <v>169</v>
      </c>
      <c r="B446" t="str">
        <f>ROW()-1&amp;"_AltersFish"</f>
        <v>445_AltersFish</v>
      </c>
      <c r="C446" t="str">
        <f>A446 &amp; "_" &amp; P446 &amp; "_" &amp;
SUBSTITUTE(TRIM(L446)," ","_") &amp;
"_pH" &amp; TEXT(Z446,"0.00") &amp;
"_T" &amp; TEXT(AI446,"0.00") &amp;
"_CO2" &amp; TEXT(V446,"0") &amp;
"_LANG"</f>
        <v>169_EMBRYO_Solea_senegalensis_pH8.02_T18.20_CO2400_LANG</v>
      </c>
      <c r="D446" t="s">
        <v>54</v>
      </c>
      <c r="E446">
        <v>2014</v>
      </c>
      <c r="F446" t="s">
        <v>123</v>
      </c>
      <c r="G446" t="s">
        <v>124</v>
      </c>
      <c r="H446" t="s">
        <v>78</v>
      </c>
      <c r="I446" t="s">
        <v>540</v>
      </c>
      <c r="J446" t="s">
        <v>543</v>
      </c>
      <c r="K446" t="s">
        <v>79</v>
      </c>
      <c r="L446" t="s">
        <v>125</v>
      </c>
      <c r="M446" t="s">
        <v>126</v>
      </c>
      <c r="N446" t="s">
        <v>81</v>
      </c>
      <c r="O446" t="s">
        <v>106</v>
      </c>
      <c r="P446" t="s">
        <v>82</v>
      </c>
      <c r="Q446" t="s">
        <v>64</v>
      </c>
      <c r="R446" t="s">
        <v>83</v>
      </c>
      <c r="S446" t="s">
        <v>64</v>
      </c>
      <c r="T446" t="s">
        <v>74</v>
      </c>
      <c r="U446" t="s">
        <v>84</v>
      </c>
      <c r="V446">
        <v>400</v>
      </c>
      <c r="W446" t="s">
        <v>67</v>
      </c>
      <c r="X446">
        <v>66.709999999999994</v>
      </c>
      <c r="Y446" t="s">
        <v>68</v>
      </c>
      <c r="Z446">
        <v>8.02</v>
      </c>
      <c r="AA446" t="s">
        <v>67</v>
      </c>
      <c r="AB446">
        <v>0.04</v>
      </c>
      <c r="AC446">
        <v>1608</v>
      </c>
      <c r="AD446" t="s">
        <v>67</v>
      </c>
      <c r="AE446">
        <v>24.78</v>
      </c>
      <c r="AF446">
        <v>7.5</v>
      </c>
      <c r="AG446" t="s">
        <v>67</v>
      </c>
      <c r="AH446">
        <v>0.03</v>
      </c>
      <c r="AI446">
        <v>18.2</v>
      </c>
      <c r="AJ446" t="s">
        <v>67</v>
      </c>
      <c r="AK446">
        <v>0.4</v>
      </c>
      <c r="AL446">
        <v>18.2</v>
      </c>
      <c r="AM446" t="s">
        <v>67</v>
      </c>
      <c r="AN446">
        <v>0.28999999999999998</v>
      </c>
      <c r="AO446">
        <v>1208</v>
      </c>
      <c r="AP446">
        <v>-0.1</v>
      </c>
      <c r="AQ446" t="s">
        <v>67</v>
      </c>
      <c r="AR446" t="s">
        <v>127</v>
      </c>
      <c r="AS446" t="s">
        <v>105</v>
      </c>
      <c r="AT446" t="s">
        <v>70</v>
      </c>
      <c r="AU446" t="s">
        <v>89</v>
      </c>
      <c r="AV446" t="s">
        <v>87</v>
      </c>
      <c r="AW446" t="s">
        <v>151</v>
      </c>
      <c r="AX446" t="s">
        <v>90</v>
      </c>
      <c r="AY446">
        <v>86.516900000000007</v>
      </c>
      <c r="AZ446">
        <v>86.516850000000005</v>
      </c>
      <c r="BA446">
        <v>1.8200000000000001E-2</v>
      </c>
      <c r="BB446">
        <f>BA446*SQRT(BC446)</f>
        <v>9.9685505465940238E-2</v>
      </c>
      <c r="BC446">
        <v>30</v>
      </c>
      <c r="BD446">
        <v>83.146100000000004</v>
      </c>
      <c r="BE446">
        <v>83.146067419999994</v>
      </c>
      <c r="BF446">
        <v>3.5299999999999998E-2</v>
      </c>
      <c r="BG446">
        <f>BF446*SQRT(BH446)</f>
        <v>0.19334606279932362</v>
      </c>
      <c r="BH446">
        <v>30</v>
      </c>
      <c r="BI446">
        <v>30</v>
      </c>
      <c r="BJ446">
        <v>3</v>
      </c>
      <c r="BK446">
        <v>-3.9699999999999999E-2</v>
      </c>
      <c r="BL446">
        <v>1E-4</v>
      </c>
    </row>
    <row r="447" spans="1:65" hidden="1" x14ac:dyDescent="0.2">
      <c r="A447">
        <v>145</v>
      </c>
      <c r="D447" t="s">
        <v>54</v>
      </c>
      <c r="E447">
        <v>2016</v>
      </c>
      <c r="F447" t="s">
        <v>198</v>
      </c>
      <c r="G447" t="s">
        <v>124</v>
      </c>
      <c r="H447" t="s">
        <v>57</v>
      </c>
      <c r="K447" t="s">
        <v>234</v>
      </c>
      <c r="L447" t="s">
        <v>200</v>
      </c>
      <c r="M447" t="s">
        <v>81</v>
      </c>
      <c r="N447" t="s">
        <v>81</v>
      </c>
      <c r="O447" t="s">
        <v>62</v>
      </c>
      <c r="P447" t="s">
        <v>63</v>
      </c>
      <c r="Q447" t="s">
        <v>64</v>
      </c>
      <c r="R447" t="s">
        <v>65</v>
      </c>
      <c r="S447" t="s">
        <v>64</v>
      </c>
      <c r="T447" t="s">
        <v>64</v>
      </c>
      <c r="U447" t="s">
        <v>66</v>
      </c>
      <c r="V447">
        <v>410</v>
      </c>
      <c r="W447">
        <v>19.16</v>
      </c>
      <c r="X447" t="s">
        <v>67</v>
      </c>
      <c r="Y447" t="s">
        <v>96</v>
      </c>
      <c r="Z447">
        <v>8.08</v>
      </c>
      <c r="AA447">
        <v>0.05</v>
      </c>
      <c r="AB447" t="s">
        <v>67</v>
      </c>
      <c r="AC447">
        <v>1084</v>
      </c>
      <c r="AD447">
        <v>73.39</v>
      </c>
      <c r="AE447" t="s">
        <v>67</v>
      </c>
      <c r="AF447">
        <v>7.71</v>
      </c>
      <c r="AG447">
        <v>7.0000000000000007E-2</v>
      </c>
      <c r="AH447" t="s">
        <v>67</v>
      </c>
      <c r="AI447">
        <v>15.2</v>
      </c>
      <c r="AJ447">
        <v>0.7</v>
      </c>
      <c r="AK447" t="s">
        <v>67</v>
      </c>
      <c r="AL447">
        <v>19.7</v>
      </c>
      <c r="AM447">
        <v>0.7</v>
      </c>
      <c r="AN447" t="s">
        <v>67</v>
      </c>
      <c r="AO447">
        <v>674</v>
      </c>
      <c r="AP447">
        <v>4.5</v>
      </c>
      <c r="AQ447" t="s">
        <v>201</v>
      </c>
      <c r="AR447" t="s">
        <v>382</v>
      </c>
      <c r="AS447" t="s">
        <v>361</v>
      </c>
      <c r="AT447" t="s">
        <v>70</v>
      </c>
      <c r="AU447" t="s">
        <v>383</v>
      </c>
      <c r="AV447" t="s">
        <v>363</v>
      </c>
      <c r="AX447" t="s">
        <v>73</v>
      </c>
      <c r="AY447">
        <v>0.68469999999999998</v>
      </c>
      <c r="AZ447">
        <v>0.68467</v>
      </c>
      <c r="BA447">
        <v>0.04</v>
      </c>
      <c r="BC447">
        <v>7</v>
      </c>
      <c r="BD447">
        <v>0.71020000000000005</v>
      </c>
      <c r="BE447">
        <v>0.710218978</v>
      </c>
      <c r="BF447">
        <v>6.6400000000000001E-2</v>
      </c>
      <c r="BH447">
        <v>7</v>
      </c>
      <c r="BI447">
        <v>240</v>
      </c>
      <c r="BJ447">
        <v>7</v>
      </c>
      <c r="BK447">
        <v>3.6600000000000001E-2</v>
      </c>
      <c r="BL447">
        <v>1.23E-2</v>
      </c>
    </row>
    <row r="448" spans="1:65" hidden="1" x14ac:dyDescent="0.2">
      <c r="A448">
        <v>131</v>
      </c>
      <c r="D448" t="s">
        <v>54</v>
      </c>
      <c r="E448">
        <v>2013</v>
      </c>
      <c r="F448" t="s">
        <v>421</v>
      </c>
      <c r="G448" t="s">
        <v>422</v>
      </c>
      <c r="H448" t="s">
        <v>78</v>
      </c>
      <c r="K448" t="s">
        <v>194</v>
      </c>
      <c r="L448" t="s">
        <v>423</v>
      </c>
      <c r="M448" t="s">
        <v>120</v>
      </c>
      <c r="N448" t="s">
        <v>120</v>
      </c>
      <c r="O448" t="s">
        <v>62</v>
      </c>
      <c r="P448" t="s">
        <v>196</v>
      </c>
      <c r="Q448" t="s">
        <v>64</v>
      </c>
      <c r="R448" t="s">
        <v>83</v>
      </c>
      <c r="S448" t="s">
        <v>64</v>
      </c>
      <c r="T448" t="s">
        <v>64</v>
      </c>
      <c r="U448" t="s">
        <v>66</v>
      </c>
      <c r="V448">
        <v>439</v>
      </c>
      <c r="W448" t="s">
        <v>67</v>
      </c>
      <c r="X448">
        <v>16.079999999999998</v>
      </c>
      <c r="Y448" t="s">
        <v>68</v>
      </c>
      <c r="Z448">
        <v>7.94</v>
      </c>
      <c r="AA448" t="s">
        <v>67</v>
      </c>
      <c r="AB448">
        <v>0.01</v>
      </c>
      <c r="AC448">
        <v>1027</v>
      </c>
      <c r="AD448" t="s">
        <v>67</v>
      </c>
      <c r="AE448">
        <v>9.0299999999999994</v>
      </c>
      <c r="AF448">
        <v>7.68</v>
      </c>
      <c r="AG448" t="s">
        <v>67</v>
      </c>
      <c r="AH448">
        <v>0.04</v>
      </c>
      <c r="AI448">
        <v>-0.6</v>
      </c>
      <c r="AJ448" t="s">
        <v>67</v>
      </c>
      <c r="AK448">
        <v>0.17</v>
      </c>
      <c r="AL448">
        <v>4.2</v>
      </c>
      <c r="AM448" t="s">
        <v>67</v>
      </c>
      <c r="AN448">
        <v>0.56000000000000005</v>
      </c>
      <c r="AO448">
        <v>588</v>
      </c>
      <c r="AP448">
        <v>4.8</v>
      </c>
      <c r="AQ448" t="s">
        <v>67</v>
      </c>
      <c r="AR448" t="s">
        <v>424</v>
      </c>
      <c r="AS448" t="s">
        <v>134</v>
      </c>
      <c r="AT448" t="s">
        <v>135</v>
      </c>
      <c r="AU448" t="s">
        <v>425</v>
      </c>
      <c r="AV448" t="s">
        <v>137</v>
      </c>
      <c r="AX448" t="s">
        <v>73</v>
      </c>
      <c r="AY448">
        <v>19.8</v>
      </c>
      <c r="AZ448">
        <v>19.8</v>
      </c>
      <c r="BA448">
        <v>1.5</v>
      </c>
      <c r="BC448">
        <v>4</v>
      </c>
      <c r="BD448">
        <v>34.15</v>
      </c>
      <c r="BE448">
        <v>34.15</v>
      </c>
      <c r="BF448">
        <v>2.8</v>
      </c>
      <c r="BH448">
        <v>4</v>
      </c>
      <c r="BI448">
        <v>28</v>
      </c>
      <c r="BJ448">
        <v>1</v>
      </c>
      <c r="BK448">
        <v>0.54510000000000003</v>
      </c>
      <c r="BL448">
        <v>1.2500000000000001E-2</v>
      </c>
    </row>
    <row r="449" spans="1:65" hidden="1" x14ac:dyDescent="0.2">
      <c r="A449">
        <v>162</v>
      </c>
      <c r="D449" t="s">
        <v>54</v>
      </c>
      <c r="E449">
        <v>2018</v>
      </c>
      <c r="F449" t="s">
        <v>404</v>
      </c>
      <c r="G449" t="s">
        <v>255</v>
      </c>
      <c r="H449" t="s">
        <v>78</v>
      </c>
      <c r="K449" t="s">
        <v>79</v>
      </c>
      <c r="L449" t="s">
        <v>190</v>
      </c>
      <c r="M449" t="s">
        <v>156</v>
      </c>
      <c r="N449" t="s">
        <v>156</v>
      </c>
      <c r="O449" t="s">
        <v>110</v>
      </c>
      <c r="P449" t="s">
        <v>63</v>
      </c>
      <c r="Q449" t="s">
        <v>74</v>
      </c>
      <c r="R449" t="s">
        <v>83</v>
      </c>
      <c r="S449" t="s">
        <v>74</v>
      </c>
      <c r="T449" t="s">
        <v>64</v>
      </c>
      <c r="U449" t="s">
        <v>75</v>
      </c>
      <c r="V449">
        <v>391</v>
      </c>
      <c r="W449" t="s">
        <v>67</v>
      </c>
      <c r="X449">
        <v>17</v>
      </c>
      <c r="Y449" t="s">
        <v>157</v>
      </c>
      <c r="Z449">
        <v>8.0299999999999994</v>
      </c>
      <c r="AA449" t="s">
        <v>67</v>
      </c>
      <c r="AB449">
        <v>0.01</v>
      </c>
      <c r="AC449">
        <v>404</v>
      </c>
      <c r="AD449" t="s">
        <v>67</v>
      </c>
      <c r="AE449">
        <v>14</v>
      </c>
      <c r="AF449">
        <v>8.0299999999999994</v>
      </c>
      <c r="AG449" t="s">
        <v>67</v>
      </c>
      <c r="AH449">
        <v>0.01</v>
      </c>
      <c r="AI449">
        <v>19.100000000000001</v>
      </c>
      <c r="AJ449" t="s">
        <v>67</v>
      </c>
      <c r="AK449">
        <v>0.2</v>
      </c>
      <c r="AL449">
        <v>23.2</v>
      </c>
      <c r="AM449" t="s">
        <v>67</v>
      </c>
      <c r="AN449">
        <v>0.1</v>
      </c>
      <c r="AO449">
        <v>13</v>
      </c>
      <c r="AP449">
        <v>4.0999999999999996</v>
      </c>
      <c r="AQ449" t="s">
        <v>67</v>
      </c>
      <c r="AR449" t="s">
        <v>375</v>
      </c>
      <c r="AS449" t="s">
        <v>178</v>
      </c>
      <c r="AT449" t="s">
        <v>70</v>
      </c>
      <c r="AU449" t="s">
        <v>426</v>
      </c>
      <c r="AV449" t="s">
        <v>132</v>
      </c>
      <c r="AX449" t="s">
        <v>73</v>
      </c>
      <c r="AY449">
        <v>8.5894999999999992</v>
      </c>
      <c r="AZ449">
        <v>8.5894700000000004</v>
      </c>
      <c r="BA449">
        <v>0.4</v>
      </c>
      <c r="BC449">
        <v>6</v>
      </c>
      <c r="BD449">
        <v>10.8474</v>
      </c>
      <c r="BE449">
        <v>10.84738333</v>
      </c>
      <c r="BF449">
        <v>1.1029</v>
      </c>
      <c r="BH449">
        <v>6</v>
      </c>
      <c r="BI449">
        <v>30</v>
      </c>
      <c r="BJ449">
        <v>3</v>
      </c>
      <c r="BK449">
        <v>0.2334</v>
      </c>
      <c r="BL449">
        <v>1.2500000000000001E-2</v>
      </c>
    </row>
    <row r="450" spans="1:65" x14ac:dyDescent="0.2">
      <c r="A450">
        <v>169</v>
      </c>
      <c r="B450" t="str">
        <f>ROW()-1&amp;"_AltersFish"</f>
        <v>449_AltersFish</v>
      </c>
      <c r="C450" t="str">
        <f>A450 &amp; "_" &amp; P450 &amp; "_" &amp;
SUBSTITUTE(TRIM(L450)," ","_") &amp;
"_pH" &amp; TEXT(Z450,"0.00") &amp;
"_T" &amp; TEXT(AI450,"0.00") &amp;
"_CO2" &amp; TEXT(V450,"0") &amp;
"_LANG"</f>
        <v>169_EMBRYO_Solea_senegalensis_pH8.02_T18.20_CO2400_LANG</v>
      </c>
      <c r="D450" t="s">
        <v>54</v>
      </c>
      <c r="E450">
        <v>2014</v>
      </c>
      <c r="F450" t="s">
        <v>123</v>
      </c>
      <c r="G450" t="s">
        <v>124</v>
      </c>
      <c r="H450" t="s">
        <v>78</v>
      </c>
      <c r="I450" t="s">
        <v>540</v>
      </c>
      <c r="J450" t="s">
        <v>543</v>
      </c>
      <c r="K450" t="s">
        <v>79</v>
      </c>
      <c r="L450" t="s">
        <v>125</v>
      </c>
      <c r="M450" t="s">
        <v>126</v>
      </c>
      <c r="N450" t="s">
        <v>81</v>
      </c>
      <c r="O450" t="s">
        <v>106</v>
      </c>
      <c r="P450" t="s">
        <v>82</v>
      </c>
      <c r="Q450" t="s">
        <v>64</v>
      </c>
      <c r="R450" t="s">
        <v>83</v>
      </c>
      <c r="S450" t="s">
        <v>64</v>
      </c>
      <c r="T450" t="s">
        <v>64</v>
      </c>
      <c r="U450" t="s">
        <v>66</v>
      </c>
      <c r="V450">
        <v>400</v>
      </c>
      <c r="W450" t="s">
        <v>67</v>
      </c>
      <c r="X450">
        <v>66.709999999999994</v>
      </c>
      <c r="Y450" t="s">
        <v>68</v>
      </c>
      <c r="Z450">
        <v>8.02</v>
      </c>
      <c r="AA450" t="s">
        <v>67</v>
      </c>
      <c r="AB450">
        <v>0.04</v>
      </c>
      <c r="AC450">
        <v>1654</v>
      </c>
      <c r="AD450" t="s">
        <v>67</v>
      </c>
      <c r="AE450">
        <v>49.06</v>
      </c>
      <c r="AF450">
        <v>7.51</v>
      </c>
      <c r="AG450" t="s">
        <v>67</v>
      </c>
      <c r="AH450">
        <v>0.05</v>
      </c>
      <c r="AI450">
        <v>18.2</v>
      </c>
      <c r="AJ450" t="s">
        <v>67</v>
      </c>
      <c r="AK450">
        <v>0.4</v>
      </c>
      <c r="AL450">
        <v>22.1</v>
      </c>
      <c r="AM450" t="s">
        <v>67</v>
      </c>
      <c r="AN450">
        <v>1.01</v>
      </c>
      <c r="AO450">
        <v>1254</v>
      </c>
      <c r="AP450">
        <v>3.9</v>
      </c>
      <c r="AQ450" t="s">
        <v>67</v>
      </c>
      <c r="AR450" t="s">
        <v>127</v>
      </c>
      <c r="AS450" t="s">
        <v>105</v>
      </c>
      <c r="AT450" t="s">
        <v>70</v>
      </c>
      <c r="AU450" t="s">
        <v>89</v>
      </c>
      <c r="AV450" t="s">
        <v>87</v>
      </c>
      <c r="AW450" t="s">
        <v>151</v>
      </c>
      <c r="AX450" t="s">
        <v>90</v>
      </c>
      <c r="AY450">
        <v>86.516900000000007</v>
      </c>
      <c r="AZ450">
        <v>86.516850000000005</v>
      </c>
      <c r="BA450">
        <v>1.8200000000000001E-2</v>
      </c>
      <c r="BB450">
        <f>BA450*SQRT(BC450)</f>
        <v>9.9685505465940238E-2</v>
      </c>
      <c r="BC450">
        <v>30</v>
      </c>
      <c r="BD450">
        <v>69.662899999999993</v>
      </c>
      <c r="BE450">
        <v>69.662921350000005</v>
      </c>
      <c r="BF450">
        <v>3.0800000000000001E-2</v>
      </c>
      <c r="BG450">
        <f>BF450*SQRT(BH450)</f>
        <v>0.16869854771159118</v>
      </c>
      <c r="BH450">
        <v>30</v>
      </c>
      <c r="BI450">
        <v>30</v>
      </c>
      <c r="BJ450">
        <v>3</v>
      </c>
      <c r="BK450">
        <v>-0.2167</v>
      </c>
      <c r="BL450">
        <v>1E-4</v>
      </c>
    </row>
    <row r="451" spans="1:65" x14ac:dyDescent="0.2">
      <c r="A451">
        <v>169</v>
      </c>
      <c r="B451" t="str">
        <f>ROW()-1&amp;"_AltersFish"</f>
        <v>450_AltersFish</v>
      </c>
      <c r="C451" t="str">
        <f>A451 &amp; "_" &amp; P451 &amp; "_" &amp;
SUBSTITUTE(TRIM(L451)," ","_") &amp;
"_pH" &amp; TEXT(Z451,"0.00") &amp;
"_T" &amp; TEXT(AI451,"0.00") &amp;
"_CO2" &amp; TEXT(V451,"0") &amp;
"_LANG"</f>
        <v>169_LARVA_Solea_senegalensis_pH8.02_T18.20_CO2400_LANG</v>
      </c>
      <c r="D451" t="s">
        <v>54</v>
      </c>
      <c r="E451">
        <v>2014</v>
      </c>
      <c r="F451" t="s">
        <v>123</v>
      </c>
      <c r="G451" t="s">
        <v>124</v>
      </c>
      <c r="H451" t="s">
        <v>78</v>
      </c>
      <c r="I451" t="s">
        <v>540</v>
      </c>
      <c r="J451" t="s">
        <v>543</v>
      </c>
      <c r="K451" t="s">
        <v>79</v>
      </c>
      <c r="L451" t="s">
        <v>125</v>
      </c>
      <c r="M451" t="s">
        <v>126</v>
      </c>
      <c r="N451" t="s">
        <v>81</v>
      </c>
      <c r="O451" t="s">
        <v>106</v>
      </c>
      <c r="P451" t="s">
        <v>107</v>
      </c>
      <c r="Q451" t="s">
        <v>64</v>
      </c>
      <c r="R451" t="s">
        <v>83</v>
      </c>
      <c r="S451" t="s">
        <v>64</v>
      </c>
      <c r="T451" t="s">
        <v>64</v>
      </c>
      <c r="U451" t="s">
        <v>66</v>
      </c>
      <c r="V451">
        <v>400</v>
      </c>
      <c r="W451" t="s">
        <v>67</v>
      </c>
      <c r="X451">
        <v>66.709999999999994</v>
      </c>
      <c r="Y451" t="s">
        <v>68</v>
      </c>
      <c r="Z451">
        <v>8.02</v>
      </c>
      <c r="AA451" t="s">
        <v>67</v>
      </c>
      <c r="AB451">
        <v>0.04</v>
      </c>
      <c r="AC451">
        <v>1654</v>
      </c>
      <c r="AD451" t="s">
        <v>67</v>
      </c>
      <c r="AE451">
        <v>49.06</v>
      </c>
      <c r="AF451">
        <v>7.51</v>
      </c>
      <c r="AG451" t="s">
        <v>67</v>
      </c>
      <c r="AH451">
        <v>0.05</v>
      </c>
      <c r="AI451">
        <v>18.2</v>
      </c>
      <c r="AJ451" t="s">
        <v>67</v>
      </c>
      <c r="AK451">
        <v>0.4</v>
      </c>
      <c r="AL451">
        <v>22.1</v>
      </c>
      <c r="AM451" t="s">
        <v>67</v>
      </c>
      <c r="AN451">
        <v>1.01</v>
      </c>
      <c r="AO451">
        <v>1254</v>
      </c>
      <c r="AP451">
        <v>3.9</v>
      </c>
      <c r="AQ451" t="s">
        <v>67</v>
      </c>
      <c r="AR451" t="s">
        <v>140</v>
      </c>
      <c r="AS451" t="s">
        <v>141</v>
      </c>
      <c r="AT451" t="s">
        <v>135</v>
      </c>
      <c r="AU451" t="s">
        <v>99</v>
      </c>
      <c r="AV451" t="s">
        <v>142</v>
      </c>
      <c r="AW451" t="s">
        <v>72</v>
      </c>
      <c r="AX451" t="s">
        <v>73</v>
      </c>
      <c r="AY451">
        <v>564.51610000000005</v>
      </c>
      <c r="AZ451">
        <v>564.51612999999998</v>
      </c>
      <c r="BA451">
        <v>0.87</v>
      </c>
      <c r="BB451">
        <f>BA451*SQRT(BC451)</f>
        <v>6.7389910224009055</v>
      </c>
      <c r="BC451">
        <v>60</v>
      </c>
      <c r="BD451">
        <v>2072.5805999999998</v>
      </c>
      <c r="BE451">
        <v>2072.580645</v>
      </c>
      <c r="BF451">
        <v>0.45119999999999999</v>
      </c>
      <c r="BG451">
        <f>BF451*SQRT(BH451)</f>
        <v>3.494980171617573</v>
      </c>
      <c r="BH451">
        <v>60</v>
      </c>
      <c r="BI451">
        <v>30</v>
      </c>
      <c r="BJ451">
        <v>3</v>
      </c>
      <c r="BK451">
        <v>1.3006</v>
      </c>
      <c r="BL451">
        <v>1E-4</v>
      </c>
    </row>
    <row r="452" spans="1:65" hidden="1" x14ac:dyDescent="0.2">
      <c r="A452">
        <v>140</v>
      </c>
      <c r="D452" t="s">
        <v>54</v>
      </c>
      <c r="E452">
        <v>2014</v>
      </c>
      <c r="F452" t="s">
        <v>427</v>
      </c>
      <c r="G452" t="s">
        <v>318</v>
      </c>
      <c r="H452" t="s">
        <v>78</v>
      </c>
      <c r="K452" t="s">
        <v>194</v>
      </c>
      <c r="L452" t="s">
        <v>215</v>
      </c>
      <c r="M452" t="s">
        <v>120</v>
      </c>
      <c r="N452" t="s">
        <v>120</v>
      </c>
      <c r="O452" t="s">
        <v>62</v>
      </c>
      <c r="P452" t="s">
        <v>196</v>
      </c>
      <c r="Q452" t="s">
        <v>64</v>
      </c>
      <c r="R452" t="s">
        <v>83</v>
      </c>
      <c r="S452" t="s">
        <v>64</v>
      </c>
      <c r="T452" t="s">
        <v>74</v>
      </c>
      <c r="U452" t="s">
        <v>84</v>
      </c>
      <c r="V452">
        <v>432</v>
      </c>
      <c r="W452" t="s">
        <v>67</v>
      </c>
      <c r="X452">
        <v>22.5</v>
      </c>
      <c r="Y452" t="s">
        <v>68</v>
      </c>
      <c r="Z452" t="s">
        <v>67</v>
      </c>
      <c r="AA452" t="s">
        <v>67</v>
      </c>
      <c r="AB452" t="s">
        <v>67</v>
      </c>
      <c r="AC452">
        <v>1025</v>
      </c>
      <c r="AD452" t="s">
        <v>67</v>
      </c>
      <c r="AE452">
        <v>94.2</v>
      </c>
      <c r="AF452" t="s">
        <v>67</v>
      </c>
      <c r="AG452" t="s">
        <v>67</v>
      </c>
      <c r="AH452" t="s">
        <v>67</v>
      </c>
      <c r="AI452">
        <v>-0.7</v>
      </c>
      <c r="AJ452" t="s">
        <v>67</v>
      </c>
      <c r="AK452">
        <v>0.15</v>
      </c>
      <c r="AL452">
        <v>-0.6</v>
      </c>
      <c r="AM452" t="s">
        <v>67</v>
      </c>
      <c r="AN452">
        <v>0.15</v>
      </c>
      <c r="AO452">
        <v>593</v>
      </c>
      <c r="AP452">
        <v>0.1</v>
      </c>
      <c r="AQ452" t="s">
        <v>428</v>
      </c>
      <c r="AR452" t="s">
        <v>429</v>
      </c>
      <c r="AS452" t="s">
        <v>332</v>
      </c>
      <c r="AT452" t="s">
        <v>333</v>
      </c>
      <c r="AU452" t="s">
        <v>430</v>
      </c>
      <c r="AV452" t="s">
        <v>132</v>
      </c>
      <c r="AX452" t="s">
        <v>73</v>
      </c>
      <c r="AY452">
        <v>1.25</v>
      </c>
      <c r="AZ452">
        <v>1.25</v>
      </c>
      <c r="BA452">
        <v>0.08</v>
      </c>
      <c r="BC452">
        <v>5</v>
      </c>
      <c r="BD452">
        <v>1.2</v>
      </c>
      <c r="BE452">
        <v>1.2</v>
      </c>
      <c r="BF452">
        <v>0.11</v>
      </c>
      <c r="BH452">
        <v>5</v>
      </c>
      <c r="BI452">
        <v>56</v>
      </c>
      <c r="BJ452">
        <v>1</v>
      </c>
      <c r="BK452">
        <v>4.0800000000000003E-2</v>
      </c>
      <c r="BL452">
        <v>1.29E-2</v>
      </c>
      <c r="BM452" t="s">
        <v>420</v>
      </c>
    </row>
    <row r="453" spans="1:65" x14ac:dyDescent="0.2">
      <c r="A453">
        <v>169</v>
      </c>
      <c r="B453" t="str">
        <f>ROW()-1&amp;"_AltersFish"</f>
        <v>452_AltersFish</v>
      </c>
      <c r="C453" t="str">
        <f>A453 &amp; "_" &amp; P453 &amp; "_" &amp;
SUBSTITUTE(TRIM(L453)," ","_") &amp;
"_pH" &amp; TEXT(Z453,"0.00") &amp;
"_T" &amp; TEXT(AI453,"0.00") &amp;
"_CO2" &amp; TEXT(V453,"0") &amp;
"_LANG"</f>
        <v>169_LARVA_Solea_senegalensis_pH8.02_T18.20_CO2400_LANG</v>
      </c>
      <c r="D453" t="s">
        <v>54</v>
      </c>
      <c r="E453">
        <v>2014</v>
      </c>
      <c r="F453" t="s">
        <v>123</v>
      </c>
      <c r="G453" t="s">
        <v>124</v>
      </c>
      <c r="H453" t="s">
        <v>78</v>
      </c>
      <c r="I453" t="s">
        <v>540</v>
      </c>
      <c r="J453" t="s">
        <v>543</v>
      </c>
      <c r="K453" t="s">
        <v>79</v>
      </c>
      <c r="L453" t="s">
        <v>125</v>
      </c>
      <c r="M453" t="s">
        <v>126</v>
      </c>
      <c r="N453" t="s">
        <v>81</v>
      </c>
      <c r="O453" t="s">
        <v>106</v>
      </c>
      <c r="P453" t="s">
        <v>107</v>
      </c>
      <c r="Q453" t="s">
        <v>64</v>
      </c>
      <c r="R453" t="s">
        <v>83</v>
      </c>
      <c r="S453" t="s">
        <v>74</v>
      </c>
      <c r="T453" t="s">
        <v>64</v>
      </c>
      <c r="U453" t="s">
        <v>75</v>
      </c>
      <c r="V453">
        <v>400</v>
      </c>
      <c r="W453" t="s">
        <v>67</v>
      </c>
      <c r="X453">
        <v>66.709999999999994</v>
      </c>
      <c r="Y453" t="s">
        <v>68</v>
      </c>
      <c r="Z453">
        <v>8.02</v>
      </c>
      <c r="AA453" t="s">
        <v>67</v>
      </c>
      <c r="AB453">
        <v>0.04</v>
      </c>
      <c r="AC453">
        <v>425</v>
      </c>
      <c r="AD453" t="s">
        <v>67</v>
      </c>
      <c r="AE453">
        <v>19.97</v>
      </c>
      <c r="AF453">
        <v>8.0299999999999994</v>
      </c>
      <c r="AG453" t="s">
        <v>67</v>
      </c>
      <c r="AH453">
        <v>0.05</v>
      </c>
      <c r="AI453">
        <v>18.2</v>
      </c>
      <c r="AJ453" t="s">
        <v>67</v>
      </c>
      <c r="AK453">
        <v>0.4</v>
      </c>
      <c r="AL453">
        <v>22</v>
      </c>
      <c r="AM453" t="s">
        <v>67</v>
      </c>
      <c r="AN453">
        <v>0.42</v>
      </c>
      <c r="AO453">
        <v>25</v>
      </c>
      <c r="AP453">
        <v>3.8</v>
      </c>
      <c r="AQ453" t="s">
        <v>67</v>
      </c>
      <c r="AR453" t="s">
        <v>140</v>
      </c>
      <c r="AS453" t="s">
        <v>141</v>
      </c>
      <c r="AT453" t="s">
        <v>135</v>
      </c>
      <c r="AU453" t="s">
        <v>99</v>
      </c>
      <c r="AV453" t="s">
        <v>142</v>
      </c>
      <c r="AW453" t="s">
        <v>72</v>
      </c>
      <c r="AX453" t="s">
        <v>73</v>
      </c>
      <c r="AY453">
        <v>564.51610000000005</v>
      </c>
      <c r="AZ453">
        <v>564.51612999999998</v>
      </c>
      <c r="BA453">
        <v>0.87</v>
      </c>
      <c r="BB453">
        <f>BA453*SQRT(BC453)</f>
        <v>6.7389910224009055</v>
      </c>
      <c r="BC453">
        <v>60</v>
      </c>
      <c r="BD453">
        <v>1782.2581</v>
      </c>
      <c r="BE453">
        <v>1782.258065</v>
      </c>
      <c r="BF453">
        <v>0.62470000000000003</v>
      </c>
      <c r="BG453">
        <f>BF453*SQRT(BH453)</f>
        <v>4.8389053927515473</v>
      </c>
      <c r="BH453">
        <v>60</v>
      </c>
      <c r="BI453">
        <v>30</v>
      </c>
      <c r="BJ453">
        <v>3</v>
      </c>
      <c r="BK453">
        <v>1.1496999999999999</v>
      </c>
      <c r="BL453">
        <v>1E-4</v>
      </c>
    </row>
    <row r="454" spans="1:65" hidden="1" x14ac:dyDescent="0.2">
      <c r="A454">
        <v>209</v>
      </c>
      <c r="D454" t="s">
        <v>54</v>
      </c>
      <c r="E454">
        <v>2020</v>
      </c>
      <c r="F454" t="s">
        <v>223</v>
      </c>
      <c r="G454" t="s">
        <v>224</v>
      </c>
      <c r="H454" t="s">
        <v>78</v>
      </c>
      <c r="K454" t="s">
        <v>205</v>
      </c>
      <c r="L454" t="s">
        <v>206</v>
      </c>
      <c r="M454" t="s">
        <v>81</v>
      </c>
      <c r="N454" t="s">
        <v>81</v>
      </c>
      <c r="O454" t="s">
        <v>110</v>
      </c>
      <c r="P454" t="s">
        <v>63</v>
      </c>
      <c r="Q454" t="s">
        <v>64</v>
      </c>
      <c r="R454" t="s">
        <v>83</v>
      </c>
      <c r="S454" t="s">
        <v>74</v>
      </c>
      <c r="T454" t="s">
        <v>64</v>
      </c>
      <c r="U454" t="s">
        <v>75</v>
      </c>
      <c r="V454">
        <v>434.51</v>
      </c>
      <c r="W454" t="s">
        <v>67</v>
      </c>
      <c r="X454">
        <v>49.9</v>
      </c>
      <c r="Y454" t="s">
        <v>68</v>
      </c>
      <c r="Z454">
        <v>8.01</v>
      </c>
      <c r="AA454" t="s">
        <v>67</v>
      </c>
      <c r="AB454">
        <v>0.04</v>
      </c>
      <c r="AC454">
        <v>490.29</v>
      </c>
      <c r="AD454" t="s">
        <v>67</v>
      </c>
      <c r="AE454">
        <v>112.75</v>
      </c>
      <c r="AF454">
        <v>8</v>
      </c>
      <c r="AG454" t="s">
        <v>67</v>
      </c>
      <c r="AH454">
        <v>0.08</v>
      </c>
      <c r="AI454">
        <v>8.1999999999999993</v>
      </c>
      <c r="AJ454" t="s">
        <v>67</v>
      </c>
      <c r="AK454">
        <v>0.11</v>
      </c>
      <c r="AL454">
        <v>12</v>
      </c>
      <c r="AM454" t="s">
        <v>67</v>
      </c>
      <c r="AN454">
        <v>0.35</v>
      </c>
      <c r="AO454">
        <v>56</v>
      </c>
      <c r="AP454">
        <v>3.8</v>
      </c>
      <c r="AQ454" t="s">
        <v>67</v>
      </c>
      <c r="AR454" t="s">
        <v>98</v>
      </c>
      <c r="AS454" t="s">
        <v>98</v>
      </c>
      <c r="AT454" t="s">
        <v>70</v>
      </c>
      <c r="AU454" t="s">
        <v>226</v>
      </c>
      <c r="AV454" t="s">
        <v>72</v>
      </c>
      <c r="AX454" t="s">
        <v>73</v>
      </c>
      <c r="AY454">
        <v>22.37</v>
      </c>
      <c r="AZ454">
        <v>22.37</v>
      </c>
      <c r="BA454">
        <v>2.5</v>
      </c>
      <c r="BC454">
        <v>3</v>
      </c>
      <c r="BD454">
        <v>24.55</v>
      </c>
      <c r="BE454">
        <v>24.55</v>
      </c>
      <c r="BF454">
        <v>0.55000000000000004</v>
      </c>
      <c r="BH454">
        <v>6</v>
      </c>
      <c r="BI454">
        <v>120</v>
      </c>
      <c r="BJ454">
        <v>12</v>
      </c>
      <c r="BK454">
        <v>9.2999999999999999E-2</v>
      </c>
      <c r="BL454">
        <v>1.2999999999999999E-2</v>
      </c>
    </row>
    <row r="455" spans="1:65" hidden="1" x14ac:dyDescent="0.2">
      <c r="A455">
        <v>209</v>
      </c>
      <c r="D455" t="s">
        <v>54</v>
      </c>
      <c r="E455">
        <v>2020</v>
      </c>
      <c r="F455" t="s">
        <v>223</v>
      </c>
      <c r="G455" t="s">
        <v>224</v>
      </c>
      <c r="H455" t="s">
        <v>78</v>
      </c>
      <c r="K455" t="s">
        <v>205</v>
      </c>
      <c r="L455" t="s">
        <v>206</v>
      </c>
      <c r="M455" t="s">
        <v>81</v>
      </c>
      <c r="N455" t="s">
        <v>81</v>
      </c>
      <c r="O455" t="s">
        <v>110</v>
      </c>
      <c r="P455" t="s">
        <v>63</v>
      </c>
      <c r="Q455" t="s">
        <v>64</v>
      </c>
      <c r="R455" t="s">
        <v>83</v>
      </c>
      <c r="S455" t="s">
        <v>74</v>
      </c>
      <c r="T455" t="s">
        <v>64</v>
      </c>
      <c r="U455" t="s">
        <v>75</v>
      </c>
      <c r="V455">
        <v>434.51</v>
      </c>
      <c r="W455" t="s">
        <v>67</v>
      </c>
      <c r="X455">
        <v>49.9</v>
      </c>
      <c r="Y455" t="s">
        <v>68</v>
      </c>
      <c r="Z455">
        <v>8.01</v>
      </c>
      <c r="AA455" t="s">
        <v>67</v>
      </c>
      <c r="AB455">
        <v>0.04</v>
      </c>
      <c r="AC455">
        <v>547.87</v>
      </c>
      <c r="AD455" t="s">
        <v>67</v>
      </c>
      <c r="AE455">
        <v>92.69</v>
      </c>
      <c r="AF455">
        <v>7.87</v>
      </c>
      <c r="AG455" t="s">
        <v>67</v>
      </c>
      <c r="AH455">
        <v>0.06</v>
      </c>
      <c r="AI455">
        <v>8.1999999999999993</v>
      </c>
      <c r="AJ455" t="s">
        <v>67</v>
      </c>
      <c r="AK455">
        <v>0.11</v>
      </c>
      <c r="AL455">
        <v>15.8</v>
      </c>
      <c r="AM455" t="s">
        <v>67</v>
      </c>
      <c r="AN455">
        <v>0.25</v>
      </c>
      <c r="AO455">
        <v>113</v>
      </c>
      <c r="AP455">
        <v>7.6</v>
      </c>
      <c r="AQ455" t="s">
        <v>67</v>
      </c>
      <c r="AR455" t="s">
        <v>98</v>
      </c>
      <c r="AS455" t="s">
        <v>98</v>
      </c>
      <c r="AT455" t="s">
        <v>70</v>
      </c>
      <c r="AU455" t="s">
        <v>226</v>
      </c>
      <c r="AV455" t="s">
        <v>72</v>
      </c>
      <c r="AX455" t="s">
        <v>73</v>
      </c>
      <c r="AY455">
        <v>22.37</v>
      </c>
      <c r="AZ455">
        <v>22.37</v>
      </c>
      <c r="BA455">
        <v>2.5</v>
      </c>
      <c r="BC455">
        <v>3</v>
      </c>
      <c r="BD455">
        <v>22.56</v>
      </c>
      <c r="BE455">
        <v>22.56</v>
      </c>
      <c r="BF455">
        <v>0.54</v>
      </c>
      <c r="BH455">
        <v>3</v>
      </c>
      <c r="BI455">
        <v>120</v>
      </c>
      <c r="BJ455">
        <v>12</v>
      </c>
      <c r="BK455">
        <v>8.5000000000000006E-3</v>
      </c>
      <c r="BL455">
        <v>1.3100000000000001E-2</v>
      </c>
    </row>
    <row r="456" spans="1:65" hidden="1" x14ac:dyDescent="0.2">
      <c r="A456">
        <v>159</v>
      </c>
      <c r="D456" t="s">
        <v>54</v>
      </c>
      <c r="E456">
        <v>2018</v>
      </c>
      <c r="F456" t="s">
        <v>326</v>
      </c>
      <c r="G456" t="s">
        <v>327</v>
      </c>
      <c r="H456" t="s">
        <v>78</v>
      </c>
      <c r="K456" t="s">
        <v>205</v>
      </c>
      <c r="L456" t="s">
        <v>225</v>
      </c>
      <c r="M456" t="s">
        <v>120</v>
      </c>
      <c r="N456" t="s">
        <v>120</v>
      </c>
      <c r="O456" t="s">
        <v>110</v>
      </c>
      <c r="P456" t="s">
        <v>196</v>
      </c>
      <c r="Q456" t="s">
        <v>64</v>
      </c>
      <c r="R456" t="s">
        <v>83</v>
      </c>
      <c r="S456" t="s">
        <v>64</v>
      </c>
      <c r="T456" t="s">
        <v>64</v>
      </c>
      <c r="U456" t="s">
        <v>66</v>
      </c>
      <c r="V456">
        <v>390</v>
      </c>
      <c r="W456" t="s">
        <v>67</v>
      </c>
      <c r="X456" t="s">
        <v>67</v>
      </c>
      <c r="Y456" t="s">
        <v>67</v>
      </c>
      <c r="Z456" t="s">
        <v>67</v>
      </c>
      <c r="AA456" t="s">
        <v>67</v>
      </c>
      <c r="AB456" t="s">
        <v>67</v>
      </c>
      <c r="AC456">
        <v>1170</v>
      </c>
      <c r="AD456" t="s">
        <v>67</v>
      </c>
      <c r="AE456" t="s">
        <v>67</v>
      </c>
      <c r="AF456" t="s">
        <v>67</v>
      </c>
      <c r="AG456" t="s">
        <v>67</v>
      </c>
      <c r="AH456" t="s">
        <v>67</v>
      </c>
      <c r="AI456">
        <v>0</v>
      </c>
      <c r="AJ456" t="s">
        <v>67</v>
      </c>
      <c r="AK456" t="s">
        <v>67</v>
      </c>
      <c r="AL456">
        <v>6</v>
      </c>
      <c r="AM456" t="s">
        <v>67</v>
      </c>
      <c r="AN456" t="s">
        <v>67</v>
      </c>
      <c r="AO456">
        <v>780</v>
      </c>
      <c r="AP456">
        <v>6</v>
      </c>
      <c r="AQ456" t="s">
        <v>67</v>
      </c>
      <c r="AR456" t="s">
        <v>389</v>
      </c>
      <c r="AS456" t="s">
        <v>293</v>
      </c>
      <c r="AT456" t="s">
        <v>70</v>
      </c>
      <c r="AU456" t="s">
        <v>310</v>
      </c>
      <c r="AV456" t="s">
        <v>72</v>
      </c>
      <c r="AX456" t="s">
        <v>73</v>
      </c>
      <c r="AY456">
        <v>23.3</v>
      </c>
      <c r="AZ456">
        <v>23.3</v>
      </c>
      <c r="BA456">
        <v>1.9</v>
      </c>
      <c r="BC456">
        <v>5</v>
      </c>
      <c r="BD456">
        <v>32.299999999999997</v>
      </c>
      <c r="BE456">
        <v>32.299999999999997</v>
      </c>
      <c r="BF456">
        <v>2.6</v>
      </c>
      <c r="BH456">
        <v>6</v>
      </c>
      <c r="BI456">
        <v>120</v>
      </c>
      <c r="BJ456" t="s">
        <v>67</v>
      </c>
      <c r="BK456">
        <v>0.3266</v>
      </c>
      <c r="BL456">
        <v>1.3100000000000001E-2</v>
      </c>
    </row>
    <row r="457" spans="1:65" hidden="1" x14ac:dyDescent="0.2">
      <c r="A457">
        <v>143</v>
      </c>
      <c r="D457" t="s">
        <v>54</v>
      </c>
      <c r="E457">
        <v>2020</v>
      </c>
      <c r="F457" t="s">
        <v>312</v>
      </c>
      <c r="G457" t="s">
        <v>263</v>
      </c>
      <c r="H457" t="s">
        <v>78</v>
      </c>
      <c r="K457" t="s">
        <v>313</v>
      </c>
      <c r="L457" t="s">
        <v>210</v>
      </c>
      <c r="M457" t="s">
        <v>156</v>
      </c>
      <c r="N457" t="s">
        <v>156</v>
      </c>
      <c r="O457" t="s">
        <v>62</v>
      </c>
      <c r="P457" t="s">
        <v>63</v>
      </c>
      <c r="Q457" t="s">
        <v>64</v>
      </c>
      <c r="R457" t="s">
        <v>83</v>
      </c>
      <c r="S457" t="s">
        <v>64</v>
      </c>
      <c r="T457" t="s">
        <v>64</v>
      </c>
      <c r="U457" t="s">
        <v>66</v>
      </c>
      <c r="V457">
        <v>655</v>
      </c>
      <c r="W457">
        <v>18</v>
      </c>
      <c r="X457" t="s">
        <v>67</v>
      </c>
      <c r="Y457" t="s">
        <v>183</v>
      </c>
      <c r="Z457">
        <v>7.97</v>
      </c>
      <c r="AA457">
        <v>0.01</v>
      </c>
      <c r="AB457" t="s">
        <v>67</v>
      </c>
      <c r="AC457">
        <v>1808</v>
      </c>
      <c r="AD457">
        <v>65</v>
      </c>
      <c r="AE457" t="s">
        <v>67</v>
      </c>
      <c r="AF457">
        <v>7.59</v>
      </c>
      <c r="AG457">
        <v>0.01</v>
      </c>
      <c r="AH457" t="s">
        <v>67</v>
      </c>
      <c r="AI457">
        <v>16</v>
      </c>
      <c r="AJ457">
        <v>0.2</v>
      </c>
      <c r="AK457" t="s">
        <v>67</v>
      </c>
      <c r="AL457">
        <v>21.9</v>
      </c>
      <c r="AM457">
        <v>0.2</v>
      </c>
      <c r="AN457" t="s">
        <v>67</v>
      </c>
      <c r="AO457">
        <v>1153</v>
      </c>
      <c r="AP457">
        <v>5.9</v>
      </c>
      <c r="AQ457" t="s">
        <v>314</v>
      </c>
      <c r="AR457" t="s">
        <v>315</v>
      </c>
      <c r="AS457" t="s">
        <v>316</v>
      </c>
      <c r="AT457" t="s">
        <v>135</v>
      </c>
      <c r="AU457" t="s">
        <v>67</v>
      </c>
      <c r="AV457" t="s">
        <v>132</v>
      </c>
      <c r="AX457" t="s">
        <v>73</v>
      </c>
      <c r="AY457">
        <v>6.39</v>
      </c>
      <c r="AZ457">
        <v>6.39</v>
      </c>
      <c r="BA457">
        <v>0.3</v>
      </c>
      <c r="BC457">
        <v>8</v>
      </c>
      <c r="BD457">
        <v>5.43</v>
      </c>
      <c r="BE457">
        <v>5.43</v>
      </c>
      <c r="BF457">
        <v>0.56999999999999995</v>
      </c>
      <c r="BH457">
        <v>8</v>
      </c>
      <c r="BI457">
        <v>330</v>
      </c>
      <c r="BJ457">
        <v>3</v>
      </c>
      <c r="BK457">
        <v>-0.1628</v>
      </c>
      <c r="BL457">
        <v>1.32E-2</v>
      </c>
    </row>
    <row r="458" spans="1:65" x14ac:dyDescent="0.2">
      <c r="A458">
        <v>169</v>
      </c>
      <c r="B458" t="str">
        <f>ROW()-1&amp;"_AltersFish"</f>
        <v>457_AltersFish</v>
      </c>
      <c r="C458" t="str">
        <f>A458 &amp; "_" &amp; P458 &amp; "_" &amp;
SUBSTITUTE(TRIM(L458)," ","_") &amp;
"_pH" &amp; TEXT(Z458,"0.00") &amp;
"_T" &amp; TEXT(AI458,"0.00") &amp;
"_CO2" &amp; TEXT(V458,"0") &amp;
"_LANG"</f>
        <v>169_LARVA_Solea_senegalensis_pH8.02_T18.20_CO2400_LANG</v>
      </c>
      <c r="D458" t="s">
        <v>54</v>
      </c>
      <c r="E458">
        <v>2014</v>
      </c>
      <c r="F458" t="s">
        <v>123</v>
      </c>
      <c r="G458" t="s">
        <v>124</v>
      </c>
      <c r="H458" t="s">
        <v>78</v>
      </c>
      <c r="I458" t="s">
        <v>540</v>
      </c>
      <c r="J458" t="s">
        <v>543</v>
      </c>
      <c r="K458" t="s">
        <v>79</v>
      </c>
      <c r="L458" t="s">
        <v>125</v>
      </c>
      <c r="M458" t="s">
        <v>126</v>
      </c>
      <c r="N458" t="s">
        <v>81</v>
      </c>
      <c r="O458" t="s">
        <v>106</v>
      </c>
      <c r="P458" t="s">
        <v>107</v>
      </c>
      <c r="Q458" t="s">
        <v>64</v>
      </c>
      <c r="R458" t="s">
        <v>83</v>
      </c>
      <c r="S458" t="s">
        <v>64</v>
      </c>
      <c r="T458" t="s">
        <v>74</v>
      </c>
      <c r="U458" t="s">
        <v>84</v>
      </c>
      <c r="V458">
        <v>400</v>
      </c>
      <c r="W458" t="s">
        <v>67</v>
      </c>
      <c r="X458">
        <v>66.709999999999994</v>
      </c>
      <c r="Y458" t="s">
        <v>68</v>
      </c>
      <c r="Z458">
        <v>8.02</v>
      </c>
      <c r="AA458" t="s">
        <v>67</v>
      </c>
      <c r="AB458">
        <v>0.04</v>
      </c>
      <c r="AC458">
        <v>1608</v>
      </c>
      <c r="AD458" t="s">
        <v>67</v>
      </c>
      <c r="AE458">
        <v>24.78</v>
      </c>
      <c r="AF458">
        <v>7.5</v>
      </c>
      <c r="AG458" t="s">
        <v>67</v>
      </c>
      <c r="AH458">
        <v>0.03</v>
      </c>
      <c r="AI458">
        <v>18.2</v>
      </c>
      <c r="AJ458" t="s">
        <v>67</v>
      </c>
      <c r="AK458">
        <v>0.4</v>
      </c>
      <c r="AL458">
        <v>18.2</v>
      </c>
      <c r="AM458" t="s">
        <v>67</v>
      </c>
      <c r="AN458">
        <v>0.28999999999999998</v>
      </c>
      <c r="AO458">
        <v>1208</v>
      </c>
      <c r="AP458">
        <v>-0.1</v>
      </c>
      <c r="AQ458" t="s">
        <v>67</v>
      </c>
      <c r="AR458" t="s">
        <v>140</v>
      </c>
      <c r="AS458" t="s">
        <v>141</v>
      </c>
      <c r="AT458" t="s">
        <v>135</v>
      </c>
      <c r="AU458" t="s">
        <v>99</v>
      </c>
      <c r="AV458" t="s">
        <v>142</v>
      </c>
      <c r="AW458" t="s">
        <v>72</v>
      </c>
      <c r="AX458" t="s">
        <v>73</v>
      </c>
      <c r="AY458">
        <v>564.51610000000005</v>
      </c>
      <c r="AZ458">
        <v>564.51612999999998</v>
      </c>
      <c r="BA458">
        <v>0.87</v>
      </c>
      <c r="BB458">
        <f>BA458*SQRT(BC458)</f>
        <v>6.7389910224009055</v>
      </c>
      <c r="BC458">
        <v>60</v>
      </c>
      <c r="BD458">
        <v>814.51610000000005</v>
      </c>
      <c r="BE458">
        <v>814.51612899999998</v>
      </c>
      <c r="BF458">
        <v>0.93700000000000006</v>
      </c>
      <c r="BG458">
        <f>BF458*SQRT(BH458)</f>
        <v>7.2579707907927</v>
      </c>
      <c r="BH458">
        <v>60</v>
      </c>
      <c r="BI458">
        <v>30</v>
      </c>
      <c r="BJ458">
        <v>3</v>
      </c>
      <c r="BK458">
        <v>0.36659999999999998</v>
      </c>
      <c r="BL458">
        <v>1E-4</v>
      </c>
    </row>
    <row r="459" spans="1:65" hidden="1" x14ac:dyDescent="0.2">
      <c r="A459">
        <v>131</v>
      </c>
      <c r="D459" t="s">
        <v>54</v>
      </c>
      <c r="E459">
        <v>2013</v>
      </c>
      <c r="F459" t="s">
        <v>421</v>
      </c>
      <c r="G459" t="s">
        <v>422</v>
      </c>
      <c r="H459" t="s">
        <v>78</v>
      </c>
      <c r="K459" t="s">
        <v>194</v>
      </c>
      <c r="L459" t="s">
        <v>423</v>
      </c>
      <c r="M459" t="s">
        <v>120</v>
      </c>
      <c r="N459" t="s">
        <v>120</v>
      </c>
      <c r="O459" t="s">
        <v>62</v>
      </c>
      <c r="P459" t="s">
        <v>196</v>
      </c>
      <c r="Q459" t="s">
        <v>64</v>
      </c>
      <c r="R459" t="s">
        <v>83</v>
      </c>
      <c r="S459" t="s">
        <v>64</v>
      </c>
      <c r="T459" t="s">
        <v>74</v>
      </c>
      <c r="U459" t="s">
        <v>84</v>
      </c>
      <c r="V459">
        <v>439</v>
      </c>
      <c r="W459" t="s">
        <v>67</v>
      </c>
      <c r="X459">
        <v>16.079999999999998</v>
      </c>
      <c r="Y459" t="s">
        <v>68</v>
      </c>
      <c r="Z459">
        <v>7.94</v>
      </c>
      <c r="AA459" t="s">
        <v>67</v>
      </c>
      <c r="AB459">
        <v>0.01</v>
      </c>
      <c r="AC459">
        <v>954</v>
      </c>
      <c r="AD459" t="s">
        <v>67</v>
      </c>
      <c r="AE459">
        <v>50.38</v>
      </c>
      <c r="AF459">
        <v>7.69</v>
      </c>
      <c r="AG459" t="s">
        <v>67</v>
      </c>
      <c r="AH459">
        <v>7.0000000000000007E-2</v>
      </c>
      <c r="AI459">
        <v>-0.6</v>
      </c>
      <c r="AJ459" t="s">
        <v>67</v>
      </c>
      <c r="AK459">
        <v>0.17</v>
      </c>
      <c r="AL459">
        <v>-0.5</v>
      </c>
      <c r="AM459" t="s">
        <v>67</v>
      </c>
      <c r="AN459">
        <v>0.16</v>
      </c>
      <c r="AO459">
        <v>515</v>
      </c>
      <c r="AP459">
        <v>0.2</v>
      </c>
      <c r="AQ459" t="s">
        <v>67</v>
      </c>
      <c r="AR459" t="s">
        <v>424</v>
      </c>
      <c r="AS459" t="s">
        <v>134</v>
      </c>
      <c r="AT459" t="s">
        <v>135</v>
      </c>
      <c r="AU459" t="s">
        <v>425</v>
      </c>
      <c r="AV459" t="s">
        <v>137</v>
      </c>
      <c r="AX459" t="s">
        <v>73</v>
      </c>
      <c r="AY459">
        <v>19.8</v>
      </c>
      <c r="AZ459">
        <v>19.8</v>
      </c>
      <c r="BA459">
        <v>1.5</v>
      </c>
      <c r="BC459">
        <v>4</v>
      </c>
      <c r="BD459">
        <v>33.35</v>
      </c>
      <c r="BE459">
        <v>33.35</v>
      </c>
      <c r="BF459">
        <v>2.9</v>
      </c>
      <c r="BH459">
        <v>4</v>
      </c>
      <c r="BI459">
        <v>28</v>
      </c>
      <c r="BJ459">
        <v>1</v>
      </c>
      <c r="BK459">
        <v>0.52139999999999997</v>
      </c>
      <c r="BL459">
        <v>1.3299999999999999E-2</v>
      </c>
    </row>
    <row r="460" spans="1:65" hidden="1" x14ac:dyDescent="0.2">
      <c r="A460">
        <v>140</v>
      </c>
      <c r="D460" t="s">
        <v>54</v>
      </c>
      <c r="E460">
        <v>2014</v>
      </c>
      <c r="F460" t="s">
        <v>427</v>
      </c>
      <c r="G460" t="s">
        <v>318</v>
      </c>
      <c r="H460" t="s">
        <v>78</v>
      </c>
      <c r="K460" t="s">
        <v>194</v>
      </c>
      <c r="L460" t="s">
        <v>299</v>
      </c>
      <c r="M460" t="s">
        <v>120</v>
      </c>
      <c r="N460" t="s">
        <v>120</v>
      </c>
      <c r="O460" t="s">
        <v>62</v>
      </c>
      <c r="P460" t="s">
        <v>196</v>
      </c>
      <c r="Q460" t="s">
        <v>64</v>
      </c>
      <c r="R460" t="s">
        <v>83</v>
      </c>
      <c r="S460" t="s">
        <v>64</v>
      </c>
      <c r="T460" t="s">
        <v>64</v>
      </c>
      <c r="U460" t="s">
        <v>66</v>
      </c>
      <c r="V460">
        <v>432</v>
      </c>
      <c r="W460" t="s">
        <v>67</v>
      </c>
      <c r="X460">
        <v>22.5</v>
      </c>
      <c r="Y460" t="s">
        <v>68</v>
      </c>
      <c r="Z460" t="s">
        <v>67</v>
      </c>
      <c r="AA460" t="s">
        <v>67</v>
      </c>
      <c r="AB460" t="s">
        <v>67</v>
      </c>
      <c r="AC460">
        <v>1053</v>
      </c>
      <c r="AD460" t="s">
        <v>67</v>
      </c>
      <c r="AE460">
        <v>71.87</v>
      </c>
      <c r="AF460" t="s">
        <v>67</v>
      </c>
      <c r="AG460" t="s">
        <v>67</v>
      </c>
      <c r="AH460" t="s">
        <v>67</v>
      </c>
      <c r="AI460">
        <v>-0.7</v>
      </c>
      <c r="AJ460" t="s">
        <v>67</v>
      </c>
      <c r="AK460">
        <v>0.15</v>
      </c>
      <c r="AL460">
        <v>4</v>
      </c>
      <c r="AM460" t="s">
        <v>67</v>
      </c>
      <c r="AN460">
        <v>0.32</v>
      </c>
      <c r="AO460">
        <v>621</v>
      </c>
      <c r="AP460">
        <v>4.7</v>
      </c>
      <c r="AQ460" t="s">
        <v>434</v>
      </c>
      <c r="AR460" t="s">
        <v>429</v>
      </c>
      <c r="AS460" t="s">
        <v>332</v>
      </c>
      <c r="AT460" t="s">
        <v>333</v>
      </c>
      <c r="AU460" t="s">
        <v>430</v>
      </c>
      <c r="AV460" t="s">
        <v>132</v>
      </c>
      <c r="AX460" t="s">
        <v>73</v>
      </c>
      <c r="AY460">
        <v>1.1000000000000001</v>
      </c>
      <c r="AZ460">
        <v>1.1000000000000001</v>
      </c>
      <c r="BA460">
        <v>0.1</v>
      </c>
      <c r="BC460">
        <v>5</v>
      </c>
      <c r="BD460">
        <v>1.4</v>
      </c>
      <c r="BE460">
        <v>1.4</v>
      </c>
      <c r="BF460">
        <v>0.1</v>
      </c>
      <c r="BH460">
        <v>5</v>
      </c>
      <c r="BI460">
        <v>42</v>
      </c>
      <c r="BJ460">
        <v>1</v>
      </c>
      <c r="BK460">
        <v>-0.2412</v>
      </c>
      <c r="BL460">
        <v>1.34E-2</v>
      </c>
      <c r="BM460" t="s">
        <v>420</v>
      </c>
    </row>
    <row r="461" spans="1:65" hidden="1" x14ac:dyDescent="0.2">
      <c r="A461">
        <v>131</v>
      </c>
      <c r="D461" t="s">
        <v>54</v>
      </c>
      <c r="E461">
        <v>2013</v>
      </c>
      <c r="F461" t="s">
        <v>421</v>
      </c>
      <c r="G461" t="s">
        <v>422</v>
      </c>
      <c r="H461" t="s">
        <v>78</v>
      </c>
      <c r="K461" t="s">
        <v>194</v>
      </c>
      <c r="L461" t="s">
        <v>299</v>
      </c>
      <c r="M461" t="s">
        <v>120</v>
      </c>
      <c r="N461" t="s">
        <v>120</v>
      </c>
      <c r="O461" t="s">
        <v>62</v>
      </c>
      <c r="P461" t="s">
        <v>196</v>
      </c>
      <c r="Q461" t="s">
        <v>64</v>
      </c>
      <c r="R461" t="s">
        <v>83</v>
      </c>
      <c r="S461" t="s">
        <v>64</v>
      </c>
      <c r="T461" t="s">
        <v>64</v>
      </c>
      <c r="U461" t="s">
        <v>66</v>
      </c>
      <c r="V461">
        <v>439</v>
      </c>
      <c r="W461" t="s">
        <v>67</v>
      </c>
      <c r="X461">
        <v>16.079999999999998</v>
      </c>
      <c r="Y461" t="s">
        <v>68</v>
      </c>
      <c r="Z461">
        <v>7.94</v>
      </c>
      <c r="AA461" t="s">
        <v>67</v>
      </c>
      <c r="AB461">
        <v>0.01</v>
      </c>
      <c r="AC461">
        <v>1027</v>
      </c>
      <c r="AD461" t="s">
        <v>67</v>
      </c>
      <c r="AE461">
        <v>9.0299999999999994</v>
      </c>
      <c r="AF461">
        <v>7.68</v>
      </c>
      <c r="AG461" t="s">
        <v>67</v>
      </c>
      <c r="AH461">
        <v>0.04</v>
      </c>
      <c r="AI461">
        <v>-0.6</v>
      </c>
      <c r="AJ461" t="s">
        <v>67</v>
      </c>
      <c r="AK461">
        <v>0.17</v>
      </c>
      <c r="AL461">
        <v>4.2</v>
      </c>
      <c r="AM461" t="s">
        <v>67</v>
      </c>
      <c r="AN461">
        <v>0.56000000000000005</v>
      </c>
      <c r="AO461">
        <v>588</v>
      </c>
      <c r="AP461">
        <v>4.8</v>
      </c>
      <c r="AQ461" t="s">
        <v>67</v>
      </c>
      <c r="AR461" t="s">
        <v>424</v>
      </c>
      <c r="AS461" t="s">
        <v>134</v>
      </c>
      <c r="AT461" t="s">
        <v>135</v>
      </c>
      <c r="AU461" t="s">
        <v>425</v>
      </c>
      <c r="AV461" t="s">
        <v>137</v>
      </c>
      <c r="AX461" t="s">
        <v>73</v>
      </c>
      <c r="AY461">
        <v>11.08</v>
      </c>
      <c r="AZ461">
        <v>11.08</v>
      </c>
      <c r="BA461">
        <v>0.9</v>
      </c>
      <c r="BC461">
        <v>4</v>
      </c>
      <c r="BD461">
        <v>39.869999999999997</v>
      </c>
      <c r="BE461">
        <v>39.869999999999997</v>
      </c>
      <c r="BF461">
        <v>3.3</v>
      </c>
      <c r="BH461">
        <v>4</v>
      </c>
      <c r="BI461">
        <v>28</v>
      </c>
      <c r="BJ461">
        <v>1</v>
      </c>
      <c r="BK461">
        <v>1.2805</v>
      </c>
      <c r="BL461">
        <v>1.34E-2</v>
      </c>
    </row>
    <row r="462" spans="1:65" hidden="1" x14ac:dyDescent="0.2">
      <c r="A462">
        <v>222</v>
      </c>
      <c r="D462" t="s">
        <v>54</v>
      </c>
      <c r="E462">
        <v>2015</v>
      </c>
      <c r="F462" t="s">
        <v>390</v>
      </c>
      <c r="G462" t="s">
        <v>391</v>
      </c>
      <c r="H462" t="s">
        <v>78</v>
      </c>
      <c r="K462" t="s">
        <v>392</v>
      </c>
      <c r="L462" t="s">
        <v>393</v>
      </c>
      <c r="P462" t="s">
        <v>196</v>
      </c>
      <c r="S462" t="s">
        <v>64</v>
      </c>
      <c r="T462" t="s">
        <v>64</v>
      </c>
      <c r="U462" t="s">
        <v>66</v>
      </c>
      <c r="V462">
        <v>424</v>
      </c>
      <c r="AC462">
        <v>946</v>
      </c>
      <c r="AI462">
        <v>15.5</v>
      </c>
      <c r="AL462">
        <v>19.100000000000001</v>
      </c>
      <c r="AO462">
        <v>522</v>
      </c>
      <c r="AP462">
        <v>3.6</v>
      </c>
      <c r="AQ462" t="s">
        <v>67</v>
      </c>
      <c r="AR462" t="s">
        <v>394</v>
      </c>
      <c r="AS462" t="s">
        <v>367</v>
      </c>
      <c r="AT462" t="s">
        <v>135</v>
      </c>
      <c r="AU462" t="s">
        <v>89</v>
      </c>
      <c r="AV462" t="s">
        <v>251</v>
      </c>
      <c r="AX462" t="s">
        <v>73</v>
      </c>
      <c r="AY462">
        <v>2.14</v>
      </c>
      <c r="AZ462">
        <v>2.1415999999999999</v>
      </c>
      <c r="BA462">
        <v>0.15448039599999999</v>
      </c>
      <c r="BC462">
        <v>15</v>
      </c>
      <c r="BD462">
        <v>3.1646999999999998</v>
      </c>
      <c r="BE462">
        <v>3.1646999999999998</v>
      </c>
      <c r="BF462">
        <v>0.29064494000000002</v>
      </c>
      <c r="BH462">
        <v>10</v>
      </c>
      <c r="BI462">
        <v>28</v>
      </c>
      <c r="BK462">
        <v>0.39050000000000001</v>
      </c>
      <c r="BL462">
        <v>1.3599999999999999E-2</v>
      </c>
    </row>
    <row r="463" spans="1:65" hidden="1" x14ac:dyDescent="0.2">
      <c r="A463">
        <v>149</v>
      </c>
      <c r="D463" t="s">
        <v>54</v>
      </c>
      <c r="E463">
        <v>2020</v>
      </c>
      <c r="F463" t="s">
        <v>377</v>
      </c>
      <c r="G463" t="s">
        <v>378</v>
      </c>
      <c r="H463" t="s">
        <v>78</v>
      </c>
      <c r="K463" t="s">
        <v>379</v>
      </c>
      <c r="L463" t="s">
        <v>380</v>
      </c>
      <c r="M463" t="s">
        <v>81</v>
      </c>
      <c r="N463" t="s">
        <v>81</v>
      </c>
      <c r="O463" t="s">
        <v>110</v>
      </c>
      <c r="P463" t="s">
        <v>196</v>
      </c>
      <c r="Q463" t="s">
        <v>64</v>
      </c>
      <c r="R463" t="s">
        <v>83</v>
      </c>
      <c r="S463" t="s">
        <v>74</v>
      </c>
      <c r="T463" t="s">
        <v>64</v>
      </c>
      <c r="U463" t="s">
        <v>75</v>
      </c>
      <c r="V463">
        <v>391</v>
      </c>
      <c r="W463" t="s">
        <v>67</v>
      </c>
      <c r="X463" t="s">
        <v>67</v>
      </c>
      <c r="Y463" t="s">
        <v>157</v>
      </c>
      <c r="Z463">
        <v>8.07</v>
      </c>
      <c r="AA463" t="s">
        <v>67</v>
      </c>
      <c r="AB463" t="s">
        <v>67</v>
      </c>
      <c r="AC463">
        <v>432</v>
      </c>
      <c r="AD463" t="s">
        <v>67</v>
      </c>
      <c r="AE463" t="s">
        <v>67</v>
      </c>
      <c r="AF463">
        <v>8.0299999999999994</v>
      </c>
      <c r="AG463" t="s">
        <v>67</v>
      </c>
      <c r="AH463" t="s">
        <v>67</v>
      </c>
      <c r="AI463">
        <v>19.100000000000001</v>
      </c>
      <c r="AJ463" t="s">
        <v>67</v>
      </c>
      <c r="AK463" t="s">
        <v>67</v>
      </c>
      <c r="AL463">
        <v>21.8</v>
      </c>
      <c r="AM463" t="s">
        <v>67</v>
      </c>
      <c r="AN463" t="s">
        <v>67</v>
      </c>
      <c r="AO463">
        <v>41</v>
      </c>
      <c r="AP463">
        <v>2.7</v>
      </c>
      <c r="AQ463" t="s">
        <v>67</v>
      </c>
      <c r="AR463" t="s">
        <v>381</v>
      </c>
      <c r="AS463" t="s">
        <v>301</v>
      </c>
      <c r="AT463" t="s">
        <v>70</v>
      </c>
      <c r="AU463" t="s">
        <v>67</v>
      </c>
      <c r="AV463" t="s">
        <v>151</v>
      </c>
      <c r="AX463" t="s">
        <v>73</v>
      </c>
      <c r="AY463">
        <v>401</v>
      </c>
      <c r="AZ463">
        <v>401</v>
      </c>
      <c r="BA463">
        <v>26</v>
      </c>
      <c r="BC463">
        <v>8</v>
      </c>
      <c r="BD463">
        <v>246</v>
      </c>
      <c r="BE463">
        <v>246</v>
      </c>
      <c r="BF463">
        <v>24</v>
      </c>
      <c r="BH463">
        <v>8</v>
      </c>
      <c r="BI463">
        <v>30</v>
      </c>
      <c r="BJ463">
        <v>8</v>
      </c>
      <c r="BK463">
        <v>-0.48859999999999998</v>
      </c>
      <c r="BL463">
        <v>1.37E-2</v>
      </c>
    </row>
    <row r="464" spans="1:65" hidden="1" x14ac:dyDescent="0.2">
      <c r="A464">
        <v>170</v>
      </c>
      <c r="C464" t="s">
        <v>549</v>
      </c>
      <c r="D464" t="s">
        <v>54</v>
      </c>
      <c r="E464">
        <v>2014</v>
      </c>
      <c r="F464" t="s">
        <v>55</v>
      </c>
      <c r="G464" t="s">
        <v>56</v>
      </c>
      <c r="H464" t="s">
        <v>57</v>
      </c>
      <c r="K464" t="s">
        <v>58</v>
      </c>
      <c r="L464" t="s">
        <v>59</v>
      </c>
      <c r="M464" t="s">
        <v>60</v>
      </c>
      <c r="N464" t="s">
        <v>61</v>
      </c>
      <c r="O464" t="s">
        <v>62</v>
      </c>
      <c r="P464" t="s">
        <v>82</v>
      </c>
      <c r="Q464" t="s">
        <v>64</v>
      </c>
      <c r="R464" t="s">
        <v>65</v>
      </c>
      <c r="S464" t="s">
        <v>64</v>
      </c>
      <c r="T464" t="s">
        <v>74</v>
      </c>
      <c r="U464" t="s">
        <v>84</v>
      </c>
      <c r="V464">
        <v>371.86</v>
      </c>
      <c r="W464" t="s">
        <v>67</v>
      </c>
      <c r="X464">
        <v>51.93</v>
      </c>
      <c r="Y464" t="s">
        <v>68</v>
      </c>
      <c r="Z464">
        <v>8.02</v>
      </c>
      <c r="AA464" t="s">
        <v>67</v>
      </c>
      <c r="AB464">
        <v>0.05</v>
      </c>
      <c r="AC464">
        <v>1383.81</v>
      </c>
      <c r="AD464" t="s">
        <v>67</v>
      </c>
      <c r="AE464">
        <v>113.55</v>
      </c>
      <c r="AF464">
        <v>7.52</v>
      </c>
      <c r="AG464" t="s">
        <v>67</v>
      </c>
      <c r="AH464">
        <v>0.04</v>
      </c>
      <c r="AI464">
        <v>25.9</v>
      </c>
      <c r="AJ464" t="s">
        <v>67</v>
      </c>
      <c r="AK464">
        <v>0.7</v>
      </c>
      <c r="AL464">
        <v>26.2</v>
      </c>
      <c r="AM464" t="s">
        <v>67</v>
      </c>
      <c r="AN464">
        <v>0.5</v>
      </c>
      <c r="AO464">
        <v>1012</v>
      </c>
      <c r="AP464">
        <v>0.3</v>
      </c>
      <c r="AQ464" t="s">
        <v>67</v>
      </c>
      <c r="AR464" t="s">
        <v>202</v>
      </c>
      <c r="AS464" t="s">
        <v>202</v>
      </c>
      <c r="AT464" t="s">
        <v>135</v>
      </c>
      <c r="AU464" t="s">
        <v>203</v>
      </c>
      <c r="AV464" t="s">
        <v>11</v>
      </c>
      <c r="AW464" t="s">
        <v>11</v>
      </c>
      <c r="AX464" t="s">
        <v>73</v>
      </c>
      <c r="AY464">
        <v>86.8</v>
      </c>
      <c r="AZ464">
        <v>86.8</v>
      </c>
      <c r="BA464">
        <v>6.62</v>
      </c>
      <c r="BC464">
        <v>5</v>
      </c>
      <c r="BD464">
        <v>92.3</v>
      </c>
      <c r="BE464">
        <v>92.3</v>
      </c>
      <c r="BF464">
        <v>8.2286999999999999</v>
      </c>
      <c r="BH464">
        <v>5</v>
      </c>
      <c r="BI464">
        <v>90</v>
      </c>
      <c r="BJ464">
        <v>3</v>
      </c>
      <c r="BK464">
        <v>6.1400000000000003E-2</v>
      </c>
      <c r="BL464">
        <v>1.38E-2</v>
      </c>
    </row>
    <row r="465" spans="1:65" hidden="1" x14ac:dyDescent="0.2">
      <c r="A465">
        <v>141</v>
      </c>
      <c r="D465" t="s">
        <v>54</v>
      </c>
      <c r="E465">
        <v>2015</v>
      </c>
      <c r="F465" t="s">
        <v>91</v>
      </c>
      <c r="G465" t="s">
        <v>92</v>
      </c>
      <c r="H465" t="s">
        <v>78</v>
      </c>
      <c r="K465" t="s">
        <v>93</v>
      </c>
      <c r="L465" t="s">
        <v>94</v>
      </c>
      <c r="M465" t="s">
        <v>95</v>
      </c>
      <c r="N465" t="s">
        <v>61</v>
      </c>
      <c r="O465" t="s">
        <v>62</v>
      </c>
      <c r="P465" t="s">
        <v>196</v>
      </c>
      <c r="Q465" t="s">
        <v>64</v>
      </c>
      <c r="R465" t="s">
        <v>83</v>
      </c>
      <c r="S465" t="s">
        <v>64</v>
      </c>
      <c r="T465" t="s">
        <v>64</v>
      </c>
      <c r="U465" t="s">
        <v>66</v>
      </c>
      <c r="V465">
        <v>400</v>
      </c>
      <c r="W465">
        <v>6</v>
      </c>
      <c r="X465" t="s">
        <v>67</v>
      </c>
      <c r="Y465" t="s">
        <v>96</v>
      </c>
      <c r="Z465">
        <v>8.15</v>
      </c>
      <c r="AA465">
        <v>0.01</v>
      </c>
      <c r="AB465" t="s">
        <v>67</v>
      </c>
      <c r="AC465">
        <v>1126</v>
      </c>
      <c r="AD465">
        <v>24</v>
      </c>
      <c r="AE465" t="s">
        <v>67</v>
      </c>
      <c r="AF465">
        <v>7.79</v>
      </c>
      <c r="AG465">
        <v>0.01</v>
      </c>
      <c r="AH465" t="s">
        <v>67</v>
      </c>
      <c r="AI465">
        <v>28.4</v>
      </c>
      <c r="AJ465">
        <v>0.01</v>
      </c>
      <c r="AK465" t="s">
        <v>67</v>
      </c>
      <c r="AL465">
        <v>29.8</v>
      </c>
      <c r="AM465">
        <v>0.02</v>
      </c>
      <c r="AN465" t="s">
        <v>67</v>
      </c>
      <c r="AO465">
        <v>726</v>
      </c>
      <c r="AP465">
        <v>1.4</v>
      </c>
      <c r="AQ465" t="s">
        <v>67</v>
      </c>
      <c r="AR465" t="s">
        <v>358</v>
      </c>
      <c r="AS465" t="s">
        <v>359</v>
      </c>
      <c r="AT465" t="s">
        <v>135</v>
      </c>
      <c r="AU465" t="s">
        <v>232</v>
      </c>
      <c r="AV465" t="s">
        <v>72</v>
      </c>
      <c r="AX465" t="s">
        <v>73</v>
      </c>
      <c r="AY465">
        <v>1.1116999999999999</v>
      </c>
      <c r="AZ465">
        <v>1.1116900000000001</v>
      </c>
      <c r="BA465">
        <v>0.06</v>
      </c>
      <c r="BC465">
        <v>4</v>
      </c>
      <c r="BD465">
        <v>1.1532</v>
      </c>
      <c r="BE465">
        <v>1.1532467529999999</v>
      </c>
      <c r="BF465">
        <v>0.1195</v>
      </c>
      <c r="BH465">
        <v>4</v>
      </c>
      <c r="BI465" t="s">
        <v>67</v>
      </c>
      <c r="BJ465">
        <v>7</v>
      </c>
      <c r="BK465">
        <v>3.6700000000000003E-2</v>
      </c>
      <c r="BL465">
        <v>1.3899999999999999E-2</v>
      </c>
    </row>
    <row r="466" spans="1:65" hidden="1" x14ac:dyDescent="0.2">
      <c r="A466">
        <v>142</v>
      </c>
      <c r="D466" t="s">
        <v>54</v>
      </c>
      <c r="E466">
        <v>2017</v>
      </c>
      <c r="F466" t="s">
        <v>193</v>
      </c>
      <c r="G466" t="s">
        <v>181</v>
      </c>
      <c r="H466" t="s">
        <v>78</v>
      </c>
      <c r="K466" t="s">
        <v>194</v>
      </c>
      <c r="L466" t="s">
        <v>215</v>
      </c>
      <c r="M466" t="s">
        <v>120</v>
      </c>
      <c r="N466" t="s">
        <v>120</v>
      </c>
      <c r="O466" t="s">
        <v>62</v>
      </c>
      <c r="P466" t="s">
        <v>196</v>
      </c>
      <c r="Q466" t="s">
        <v>64</v>
      </c>
      <c r="R466" t="s">
        <v>83</v>
      </c>
      <c r="S466" t="s">
        <v>64</v>
      </c>
      <c r="T466" t="s">
        <v>64</v>
      </c>
      <c r="U466" t="s">
        <v>66</v>
      </c>
      <c r="V466">
        <v>439</v>
      </c>
      <c r="W466">
        <v>16.079999999999998</v>
      </c>
      <c r="X466" t="s">
        <v>67</v>
      </c>
      <c r="Y466" t="s">
        <v>67</v>
      </c>
      <c r="Z466" t="s">
        <v>67</v>
      </c>
      <c r="AA466" t="s">
        <v>67</v>
      </c>
      <c r="AB466" t="s">
        <v>67</v>
      </c>
      <c r="AC466">
        <v>1027</v>
      </c>
      <c r="AD466">
        <v>9.0299999999999994</v>
      </c>
      <c r="AE466" t="s">
        <v>67</v>
      </c>
      <c r="AF466" t="s">
        <v>67</v>
      </c>
      <c r="AG466" t="s">
        <v>67</v>
      </c>
      <c r="AH466" t="s">
        <v>67</v>
      </c>
      <c r="AI466">
        <v>-0.6</v>
      </c>
      <c r="AJ466">
        <v>0.17</v>
      </c>
      <c r="AK466" t="s">
        <v>67</v>
      </c>
      <c r="AL466">
        <v>4.2</v>
      </c>
      <c r="AM466">
        <v>0.56000000000000005</v>
      </c>
      <c r="AN466" t="s">
        <v>67</v>
      </c>
      <c r="AO466">
        <v>588</v>
      </c>
      <c r="AP466">
        <v>4.8</v>
      </c>
      <c r="AQ466" t="s">
        <v>67</v>
      </c>
      <c r="AR466" t="s">
        <v>356</v>
      </c>
      <c r="AS466" t="s">
        <v>134</v>
      </c>
      <c r="AT466" t="s">
        <v>135</v>
      </c>
      <c r="AU466" t="s">
        <v>357</v>
      </c>
      <c r="AV466" t="s">
        <v>137</v>
      </c>
      <c r="AX466" t="s">
        <v>73</v>
      </c>
      <c r="AY466">
        <v>28.51</v>
      </c>
      <c r="AZ466">
        <v>28.51</v>
      </c>
      <c r="BA466">
        <v>3.16</v>
      </c>
      <c r="BC466">
        <v>5</v>
      </c>
      <c r="BD466">
        <v>39.112900000000003</v>
      </c>
      <c r="BE466">
        <v>39.112903230000001</v>
      </c>
      <c r="BF466">
        <v>1.6129</v>
      </c>
      <c r="BH466">
        <v>5</v>
      </c>
      <c r="BI466">
        <v>56</v>
      </c>
      <c r="BJ466">
        <v>1</v>
      </c>
      <c r="BK466">
        <v>0.31619999999999998</v>
      </c>
      <c r="BL466">
        <v>1.4E-2</v>
      </c>
    </row>
    <row r="467" spans="1:65" hidden="1" x14ac:dyDescent="0.2">
      <c r="A467">
        <v>194</v>
      </c>
      <c r="D467" t="s">
        <v>54</v>
      </c>
      <c r="E467">
        <v>2012</v>
      </c>
      <c r="F467" t="s">
        <v>289</v>
      </c>
      <c r="G467" t="s">
        <v>290</v>
      </c>
      <c r="H467" t="s">
        <v>78</v>
      </c>
      <c r="K467" t="s">
        <v>93</v>
      </c>
      <c r="L467" t="s">
        <v>94</v>
      </c>
      <c r="M467" t="s">
        <v>95</v>
      </c>
      <c r="N467" t="s">
        <v>61</v>
      </c>
      <c r="O467" t="s">
        <v>62</v>
      </c>
      <c r="P467" t="s">
        <v>63</v>
      </c>
      <c r="Q467" t="s">
        <v>74</v>
      </c>
      <c r="R467" t="s">
        <v>83</v>
      </c>
      <c r="S467" t="s">
        <v>74</v>
      </c>
      <c r="T467" t="s">
        <v>64</v>
      </c>
      <c r="U467" t="s">
        <v>75</v>
      </c>
      <c r="V467">
        <v>438</v>
      </c>
      <c r="W467" t="s">
        <v>67</v>
      </c>
      <c r="X467">
        <v>46</v>
      </c>
      <c r="Y467" t="s">
        <v>96</v>
      </c>
      <c r="Z467">
        <v>8.1199999999999992</v>
      </c>
      <c r="AA467" t="s">
        <v>67</v>
      </c>
      <c r="AB467">
        <v>0.04</v>
      </c>
      <c r="AC467">
        <v>443</v>
      </c>
      <c r="AD467" t="s">
        <v>67</v>
      </c>
      <c r="AE467">
        <v>52</v>
      </c>
      <c r="AF467">
        <v>8.1300000000000008</v>
      </c>
      <c r="AG467" t="s">
        <v>67</v>
      </c>
      <c r="AH467">
        <v>0.04</v>
      </c>
      <c r="AI467">
        <v>28.6</v>
      </c>
      <c r="AJ467" t="s">
        <v>67</v>
      </c>
      <c r="AK467">
        <v>0.54</v>
      </c>
      <c r="AL467">
        <v>30</v>
      </c>
      <c r="AM467" t="s">
        <v>67</v>
      </c>
      <c r="AN467">
        <v>0.26</v>
      </c>
      <c r="AO467">
        <v>5</v>
      </c>
      <c r="AP467">
        <v>1.4</v>
      </c>
      <c r="AQ467" t="s">
        <v>291</v>
      </c>
      <c r="AR467" t="s">
        <v>395</v>
      </c>
      <c r="AS467" t="s">
        <v>134</v>
      </c>
      <c r="AT467" t="s">
        <v>135</v>
      </c>
      <c r="AU467" t="s">
        <v>396</v>
      </c>
      <c r="AV467" t="s">
        <v>137</v>
      </c>
      <c r="AX467" t="s">
        <v>73</v>
      </c>
      <c r="AY467">
        <v>992.78</v>
      </c>
      <c r="AZ467">
        <v>992.78</v>
      </c>
      <c r="BA467">
        <v>92.79</v>
      </c>
      <c r="BC467">
        <v>15</v>
      </c>
      <c r="BD467">
        <v>1141.24</v>
      </c>
      <c r="BE467">
        <v>1141.24</v>
      </c>
      <c r="BF467">
        <v>83.5</v>
      </c>
      <c r="BH467">
        <v>15</v>
      </c>
      <c r="BI467">
        <v>21</v>
      </c>
      <c r="BJ467">
        <v>5</v>
      </c>
      <c r="BK467">
        <v>0.1394</v>
      </c>
      <c r="BL467">
        <v>1.41E-2</v>
      </c>
    </row>
    <row r="468" spans="1:65" x14ac:dyDescent="0.2">
      <c r="A468">
        <v>152</v>
      </c>
      <c r="B468" t="str">
        <f>ROW()-1&amp;"_AltersFish"</f>
        <v>467_AltersFish</v>
      </c>
      <c r="C468" t="str">
        <f>A468 &amp; "_" &amp; P468 &amp; "_" &amp;
SUBSTITUTE(TRIM(L468)," ","_") &amp;
"_pH" &amp; TEXT(Z468,"0.00") &amp;
"_T" &amp; TEXT(AI468,"0.00") &amp;
"_CO2" &amp; TEXT(V468,"0") &amp;
"_LANG"</f>
        <v>152_LARVA_Sparus_aurata_pH8.09_T18.40_CO2342_LANG</v>
      </c>
      <c r="D468" t="s">
        <v>54</v>
      </c>
      <c r="E468">
        <v>2020</v>
      </c>
      <c r="F468" t="s">
        <v>267</v>
      </c>
      <c r="G468" t="s">
        <v>163</v>
      </c>
      <c r="H468" t="s">
        <v>78</v>
      </c>
      <c r="I468" t="s">
        <v>540</v>
      </c>
      <c r="J468" t="s">
        <v>543</v>
      </c>
      <c r="K468" t="s">
        <v>79</v>
      </c>
      <c r="L468" t="s">
        <v>164</v>
      </c>
      <c r="M468" t="s">
        <v>156</v>
      </c>
      <c r="N468" t="s">
        <v>156</v>
      </c>
      <c r="O468" t="s">
        <v>106</v>
      </c>
      <c r="P468" t="s">
        <v>107</v>
      </c>
      <c r="Q468" t="s">
        <v>74</v>
      </c>
      <c r="R468" t="s">
        <v>83</v>
      </c>
      <c r="S468" t="s">
        <v>74</v>
      </c>
      <c r="T468" t="s">
        <v>64</v>
      </c>
      <c r="U468" t="s">
        <v>75</v>
      </c>
      <c r="V468">
        <v>342</v>
      </c>
      <c r="W468">
        <v>73</v>
      </c>
      <c r="X468" t="s">
        <v>67</v>
      </c>
      <c r="Y468" t="s">
        <v>157</v>
      </c>
      <c r="Z468">
        <v>8.09</v>
      </c>
      <c r="AA468">
        <v>7.0000000000000007E-2</v>
      </c>
      <c r="AB468" t="s">
        <v>67</v>
      </c>
      <c r="AC468">
        <v>337</v>
      </c>
      <c r="AD468">
        <v>74</v>
      </c>
      <c r="AE468" t="s">
        <v>67</v>
      </c>
      <c r="AF468">
        <v>8.09</v>
      </c>
      <c r="AG468">
        <v>7.0000000000000007E-2</v>
      </c>
      <c r="AH468" t="s">
        <v>67</v>
      </c>
      <c r="AI468">
        <v>18.399999999999999</v>
      </c>
      <c r="AJ468">
        <v>0.3</v>
      </c>
      <c r="AK468" t="s">
        <v>67</v>
      </c>
      <c r="AL468">
        <v>22.3</v>
      </c>
      <c r="AM468">
        <v>0.3</v>
      </c>
      <c r="AN468" t="s">
        <v>67</v>
      </c>
      <c r="AO468">
        <v>-5</v>
      </c>
      <c r="AP468">
        <v>3.9</v>
      </c>
      <c r="AQ468" t="s">
        <v>67</v>
      </c>
      <c r="AR468" t="s">
        <v>500</v>
      </c>
      <c r="AS468" t="s">
        <v>412</v>
      </c>
      <c r="AT468" t="s">
        <v>135</v>
      </c>
      <c r="AU468" t="s">
        <v>501</v>
      </c>
      <c r="AV468" t="s">
        <v>132</v>
      </c>
      <c r="AW468" t="s">
        <v>132</v>
      </c>
      <c r="AX468" t="s">
        <v>73</v>
      </c>
      <c r="AY468">
        <v>1.85</v>
      </c>
      <c r="AZ468">
        <v>1.85</v>
      </c>
      <c r="BA468">
        <v>0.25</v>
      </c>
      <c r="BB468">
        <f>BA468*SQRT(BC468)</f>
        <v>0.4330127018922193</v>
      </c>
      <c r="BC468">
        <v>3</v>
      </c>
      <c r="BD468">
        <v>2.08</v>
      </c>
      <c r="BE468">
        <v>2.08</v>
      </c>
      <c r="BF468">
        <v>0.11</v>
      </c>
      <c r="BG468">
        <f>BF468*SQRT(BH468)</f>
        <v>0.1905255888325765</v>
      </c>
      <c r="BH468">
        <v>3</v>
      </c>
      <c r="BI468">
        <v>15</v>
      </c>
      <c r="BJ468">
        <v>3</v>
      </c>
      <c r="BK468">
        <v>0.1172</v>
      </c>
      <c r="BL468">
        <v>3.9600000000000003E-2</v>
      </c>
    </row>
    <row r="469" spans="1:65" hidden="1" x14ac:dyDescent="0.2">
      <c r="A469">
        <v>141</v>
      </c>
      <c r="D469" t="s">
        <v>54</v>
      </c>
      <c r="E469">
        <v>2015</v>
      </c>
      <c r="F469" t="s">
        <v>91</v>
      </c>
      <c r="G469" t="s">
        <v>92</v>
      </c>
      <c r="H469" t="s">
        <v>78</v>
      </c>
      <c r="K469" t="s">
        <v>93</v>
      </c>
      <c r="L469" t="s">
        <v>94</v>
      </c>
      <c r="M469" t="s">
        <v>95</v>
      </c>
      <c r="N469" t="s">
        <v>61</v>
      </c>
      <c r="O469" t="s">
        <v>62</v>
      </c>
      <c r="P469" t="s">
        <v>196</v>
      </c>
      <c r="Q469" t="s">
        <v>64</v>
      </c>
      <c r="R469" t="s">
        <v>83</v>
      </c>
      <c r="S469" t="s">
        <v>74</v>
      </c>
      <c r="T469" t="s">
        <v>64</v>
      </c>
      <c r="U469" t="s">
        <v>75</v>
      </c>
      <c r="V469">
        <v>400</v>
      </c>
      <c r="W469">
        <v>6</v>
      </c>
      <c r="X469" t="s">
        <v>67</v>
      </c>
      <c r="Y469" t="s">
        <v>96</v>
      </c>
      <c r="Z469">
        <v>8.15</v>
      </c>
      <c r="AA469">
        <v>0.01</v>
      </c>
      <c r="AB469" t="s">
        <v>67</v>
      </c>
      <c r="AC469">
        <v>411</v>
      </c>
      <c r="AD469">
        <v>6</v>
      </c>
      <c r="AE469" t="s">
        <v>67</v>
      </c>
      <c r="AF469">
        <v>8.14</v>
      </c>
      <c r="AG469">
        <v>0.01</v>
      </c>
      <c r="AH469" t="s">
        <v>67</v>
      </c>
      <c r="AI469">
        <v>28.4</v>
      </c>
      <c r="AJ469">
        <v>0.01</v>
      </c>
      <c r="AK469" t="s">
        <v>67</v>
      </c>
      <c r="AL469">
        <v>29.8</v>
      </c>
      <c r="AM469">
        <v>0.02</v>
      </c>
      <c r="AN469" t="s">
        <v>67</v>
      </c>
      <c r="AO469">
        <v>11</v>
      </c>
      <c r="AP469">
        <v>1.4</v>
      </c>
      <c r="AQ469" t="s">
        <v>67</v>
      </c>
      <c r="AR469" t="s">
        <v>358</v>
      </c>
      <c r="AS469" t="s">
        <v>359</v>
      </c>
      <c r="AT469" t="s">
        <v>135</v>
      </c>
      <c r="AU469" t="s">
        <v>232</v>
      </c>
      <c r="AV469" t="s">
        <v>72</v>
      </c>
      <c r="AX469" t="s">
        <v>73</v>
      </c>
      <c r="AY469">
        <v>1.1116999999999999</v>
      </c>
      <c r="AZ469">
        <v>1.1116900000000001</v>
      </c>
      <c r="BA469">
        <v>0.06</v>
      </c>
      <c r="BC469">
        <v>4</v>
      </c>
      <c r="BD469">
        <v>1.0389999999999999</v>
      </c>
      <c r="BE469">
        <v>1.0389610389999999</v>
      </c>
      <c r="BF469">
        <v>0.1091</v>
      </c>
      <c r="BH469">
        <v>4</v>
      </c>
      <c r="BI469" t="s">
        <v>67</v>
      </c>
      <c r="BJ469">
        <v>7</v>
      </c>
      <c r="BK469">
        <v>-6.7699999999999996E-2</v>
      </c>
      <c r="BL469">
        <v>1.4200000000000001E-2</v>
      </c>
    </row>
    <row r="470" spans="1:65" hidden="1" x14ac:dyDescent="0.2">
      <c r="A470">
        <v>140</v>
      </c>
      <c r="D470" t="s">
        <v>54</v>
      </c>
      <c r="E470">
        <v>2014</v>
      </c>
      <c r="F470" t="s">
        <v>427</v>
      </c>
      <c r="G470" t="s">
        <v>318</v>
      </c>
      <c r="H470" t="s">
        <v>78</v>
      </c>
      <c r="K470" t="s">
        <v>194</v>
      </c>
      <c r="L470" t="s">
        <v>299</v>
      </c>
      <c r="M470" t="s">
        <v>120</v>
      </c>
      <c r="N470" t="s">
        <v>120</v>
      </c>
      <c r="O470" t="s">
        <v>62</v>
      </c>
      <c r="P470" t="s">
        <v>196</v>
      </c>
      <c r="Q470" t="s">
        <v>64</v>
      </c>
      <c r="R470" t="s">
        <v>83</v>
      </c>
      <c r="S470" t="s">
        <v>74</v>
      </c>
      <c r="T470" t="s">
        <v>64</v>
      </c>
      <c r="U470" t="s">
        <v>75</v>
      </c>
      <c r="V470">
        <v>432</v>
      </c>
      <c r="W470" t="s">
        <v>67</v>
      </c>
      <c r="X470">
        <v>22.5</v>
      </c>
      <c r="Y470" t="s">
        <v>68</v>
      </c>
      <c r="Z470" t="s">
        <v>67</v>
      </c>
      <c r="AA470" t="s">
        <v>67</v>
      </c>
      <c r="AB470" t="s">
        <v>67</v>
      </c>
      <c r="AC470">
        <v>525</v>
      </c>
      <c r="AD470" t="s">
        <v>67</v>
      </c>
      <c r="AE470">
        <v>22.41</v>
      </c>
      <c r="AF470" t="s">
        <v>67</v>
      </c>
      <c r="AG470" t="s">
        <v>67</v>
      </c>
      <c r="AH470" t="s">
        <v>67</v>
      </c>
      <c r="AI470">
        <v>-0.7</v>
      </c>
      <c r="AJ470" t="s">
        <v>67</v>
      </c>
      <c r="AK470">
        <v>0.15</v>
      </c>
      <c r="AL470">
        <v>3.9</v>
      </c>
      <c r="AM470" t="s">
        <v>67</v>
      </c>
      <c r="AN470">
        <v>4.84</v>
      </c>
      <c r="AO470">
        <v>93</v>
      </c>
      <c r="AP470">
        <v>4.5999999999999996</v>
      </c>
      <c r="AQ470" t="s">
        <v>434</v>
      </c>
      <c r="AR470" t="s">
        <v>429</v>
      </c>
      <c r="AS470" t="s">
        <v>332</v>
      </c>
      <c r="AT470" t="s">
        <v>333</v>
      </c>
      <c r="AU470" t="s">
        <v>430</v>
      </c>
      <c r="AV470" t="s">
        <v>132</v>
      </c>
      <c r="AX470" t="s">
        <v>73</v>
      </c>
      <c r="AY470">
        <v>1.1000000000000001</v>
      </c>
      <c r="AZ470">
        <v>1.1000000000000001</v>
      </c>
      <c r="BA470">
        <v>0.1</v>
      </c>
      <c r="BC470">
        <v>5</v>
      </c>
      <c r="BD470">
        <v>1.3</v>
      </c>
      <c r="BE470">
        <v>1.3</v>
      </c>
      <c r="BF470">
        <v>0.1</v>
      </c>
      <c r="BH470">
        <v>5</v>
      </c>
      <c r="BI470">
        <v>42</v>
      </c>
      <c r="BJ470">
        <v>1</v>
      </c>
      <c r="BK470">
        <v>-0.1671</v>
      </c>
      <c r="BL470">
        <v>1.4200000000000001E-2</v>
      </c>
      <c r="BM470" t="s">
        <v>420</v>
      </c>
    </row>
    <row r="471" spans="1:65" hidden="1" x14ac:dyDescent="0.2">
      <c r="A471">
        <v>134</v>
      </c>
      <c r="D471" t="s">
        <v>54</v>
      </c>
      <c r="E471">
        <v>2017</v>
      </c>
      <c r="F471" t="s">
        <v>435</v>
      </c>
      <c r="G471" t="s">
        <v>56</v>
      </c>
      <c r="H471" t="s">
        <v>78</v>
      </c>
      <c r="K471" t="s">
        <v>93</v>
      </c>
      <c r="L471" t="s">
        <v>436</v>
      </c>
      <c r="M471" t="s">
        <v>95</v>
      </c>
      <c r="N471" t="s">
        <v>61</v>
      </c>
      <c r="O471" t="s">
        <v>62</v>
      </c>
      <c r="P471" t="s">
        <v>196</v>
      </c>
      <c r="Q471" t="s">
        <v>64</v>
      </c>
      <c r="R471" t="s">
        <v>83</v>
      </c>
      <c r="S471" t="s">
        <v>64</v>
      </c>
      <c r="T471" t="s">
        <v>64</v>
      </c>
      <c r="U471" t="s">
        <v>66</v>
      </c>
      <c r="V471">
        <v>396</v>
      </c>
      <c r="W471">
        <v>0.8</v>
      </c>
      <c r="X471" t="s">
        <v>67</v>
      </c>
      <c r="Y471" t="s">
        <v>96</v>
      </c>
      <c r="Z471">
        <v>8.18</v>
      </c>
      <c r="AA471">
        <v>0.01</v>
      </c>
      <c r="AB471" t="s">
        <v>67</v>
      </c>
      <c r="AC471">
        <v>935</v>
      </c>
      <c r="AD471">
        <v>19</v>
      </c>
      <c r="AE471" t="s">
        <v>67</v>
      </c>
      <c r="AF471">
        <v>7.87</v>
      </c>
      <c r="AG471">
        <v>0.01</v>
      </c>
      <c r="AH471" t="s">
        <v>67</v>
      </c>
      <c r="AI471">
        <v>26.7</v>
      </c>
      <c r="AJ471">
        <v>0.1</v>
      </c>
      <c r="AK471" t="s">
        <v>67</v>
      </c>
      <c r="AL471">
        <v>29.8</v>
      </c>
      <c r="AM471">
        <v>0.1</v>
      </c>
      <c r="AN471" t="s">
        <v>67</v>
      </c>
      <c r="AO471">
        <v>539</v>
      </c>
      <c r="AP471">
        <v>3.1</v>
      </c>
      <c r="AQ471" t="s">
        <v>67</v>
      </c>
      <c r="AR471" t="s">
        <v>437</v>
      </c>
      <c r="AS471" t="s">
        <v>437</v>
      </c>
      <c r="AT471" t="s">
        <v>135</v>
      </c>
      <c r="AU471" t="s">
        <v>438</v>
      </c>
      <c r="AV471" t="s">
        <v>251</v>
      </c>
      <c r="AX471" t="s">
        <v>73</v>
      </c>
      <c r="AY471">
        <v>0.3</v>
      </c>
      <c r="AZ471">
        <v>0.3</v>
      </c>
      <c r="BA471">
        <v>0.03</v>
      </c>
      <c r="BC471">
        <v>17</v>
      </c>
      <c r="BD471">
        <v>0.17</v>
      </c>
      <c r="BE471">
        <v>0.17</v>
      </c>
      <c r="BF471">
        <v>1.0999999999999999E-2</v>
      </c>
      <c r="BH471">
        <v>18</v>
      </c>
      <c r="BI471">
        <v>7</v>
      </c>
      <c r="BJ471">
        <v>3</v>
      </c>
      <c r="BK471">
        <v>-0.56799999999999995</v>
      </c>
      <c r="BL471">
        <v>1.4200000000000001E-2</v>
      </c>
    </row>
    <row r="472" spans="1:65" hidden="1" x14ac:dyDescent="0.2">
      <c r="A472">
        <v>164</v>
      </c>
      <c r="D472" t="s">
        <v>54</v>
      </c>
      <c r="E472">
        <v>2017</v>
      </c>
      <c r="F472" t="s">
        <v>371</v>
      </c>
      <c r="G472" t="s">
        <v>224</v>
      </c>
      <c r="H472" t="s">
        <v>78</v>
      </c>
      <c r="K472" t="s">
        <v>79</v>
      </c>
      <c r="L472" t="s">
        <v>225</v>
      </c>
      <c r="M472" t="s">
        <v>120</v>
      </c>
      <c r="N472" t="s">
        <v>120</v>
      </c>
      <c r="O472" t="s">
        <v>110</v>
      </c>
      <c r="P472" t="s">
        <v>63</v>
      </c>
      <c r="Q472" t="s">
        <v>64</v>
      </c>
      <c r="R472" t="s">
        <v>83</v>
      </c>
      <c r="S472" t="s">
        <v>64</v>
      </c>
      <c r="T472" t="s">
        <v>64</v>
      </c>
      <c r="U472" t="s">
        <v>66</v>
      </c>
      <c r="V472">
        <v>435</v>
      </c>
      <c r="W472" t="s">
        <v>67</v>
      </c>
      <c r="X472">
        <v>19</v>
      </c>
      <c r="Y472" t="s">
        <v>157</v>
      </c>
      <c r="Z472">
        <v>8.01</v>
      </c>
      <c r="AA472" t="s">
        <v>67</v>
      </c>
      <c r="AB472">
        <v>0.02</v>
      </c>
      <c r="AC472">
        <v>1027</v>
      </c>
      <c r="AD472" t="s">
        <v>67</v>
      </c>
      <c r="AE472">
        <v>103</v>
      </c>
      <c r="AF472">
        <v>7.71</v>
      </c>
      <c r="AG472" t="s">
        <v>67</v>
      </c>
      <c r="AH472">
        <v>0.06</v>
      </c>
      <c r="AI472">
        <v>5.7</v>
      </c>
      <c r="AJ472" t="s">
        <v>67</v>
      </c>
      <c r="AK472">
        <v>0.23</v>
      </c>
      <c r="AL472">
        <v>8.1999999999999993</v>
      </c>
      <c r="AM472" t="s">
        <v>67</v>
      </c>
      <c r="AN472">
        <v>0.16</v>
      </c>
      <c r="AO472">
        <v>592</v>
      </c>
      <c r="AP472">
        <v>2.5</v>
      </c>
      <c r="AQ472" t="s">
        <v>67</v>
      </c>
      <c r="AR472" t="s">
        <v>367</v>
      </c>
      <c r="AS472" t="s">
        <v>367</v>
      </c>
      <c r="AT472" t="s">
        <v>135</v>
      </c>
      <c r="AU472" t="s">
        <v>388</v>
      </c>
      <c r="AV472" t="s">
        <v>251</v>
      </c>
      <c r="AX472" t="s">
        <v>73</v>
      </c>
      <c r="AY472">
        <v>18.399999999999999</v>
      </c>
      <c r="AZ472">
        <v>18.399999999999999</v>
      </c>
      <c r="BA472">
        <v>1.2</v>
      </c>
      <c r="BC472">
        <v>12</v>
      </c>
      <c r="BD472">
        <v>18</v>
      </c>
      <c r="BE472">
        <v>18</v>
      </c>
      <c r="BF472">
        <v>1.8</v>
      </c>
      <c r="BH472">
        <v>12</v>
      </c>
      <c r="BI472">
        <v>42</v>
      </c>
      <c r="BJ472">
        <v>8</v>
      </c>
      <c r="BK472">
        <v>-2.1999999999999999E-2</v>
      </c>
      <c r="BL472">
        <v>1.43E-2</v>
      </c>
    </row>
    <row r="473" spans="1:65" hidden="1" x14ac:dyDescent="0.2">
      <c r="A473">
        <v>133</v>
      </c>
      <c r="D473" t="s">
        <v>54</v>
      </c>
      <c r="E473">
        <v>2015</v>
      </c>
      <c r="F473" t="s">
        <v>414</v>
      </c>
      <c r="G473" t="s">
        <v>154</v>
      </c>
      <c r="H473" t="s">
        <v>78</v>
      </c>
      <c r="K473" t="s">
        <v>93</v>
      </c>
      <c r="L473" t="s">
        <v>439</v>
      </c>
      <c r="M473" t="s">
        <v>95</v>
      </c>
      <c r="N473" t="s">
        <v>61</v>
      </c>
      <c r="O473" t="s">
        <v>62</v>
      </c>
      <c r="P473" t="s">
        <v>63</v>
      </c>
      <c r="Q473" t="s">
        <v>64</v>
      </c>
      <c r="R473" t="s">
        <v>83</v>
      </c>
      <c r="S473" t="s">
        <v>64</v>
      </c>
      <c r="T473" t="s">
        <v>64</v>
      </c>
      <c r="U473" t="s">
        <v>66</v>
      </c>
      <c r="V473">
        <v>436</v>
      </c>
      <c r="W473" t="s">
        <v>67</v>
      </c>
      <c r="X473">
        <v>13.6</v>
      </c>
      <c r="Y473" t="s">
        <v>96</v>
      </c>
      <c r="Z473">
        <v>8.15</v>
      </c>
      <c r="AA473" t="s">
        <v>67</v>
      </c>
      <c r="AB473">
        <v>0.01</v>
      </c>
      <c r="AC473">
        <v>1007</v>
      </c>
      <c r="AD473" t="s">
        <v>67</v>
      </c>
      <c r="AE473">
        <v>10.6</v>
      </c>
      <c r="AF473">
        <v>7.85</v>
      </c>
      <c r="AG473" t="s">
        <v>67</v>
      </c>
      <c r="AH473">
        <v>0</v>
      </c>
      <c r="AI473">
        <v>27.8</v>
      </c>
      <c r="AJ473" t="s">
        <v>67</v>
      </c>
      <c r="AK473">
        <v>0.1</v>
      </c>
      <c r="AL473">
        <v>31.1</v>
      </c>
      <c r="AM473" t="s">
        <v>67</v>
      </c>
      <c r="AN473">
        <v>0.1</v>
      </c>
      <c r="AO473">
        <v>571</v>
      </c>
      <c r="AP473">
        <v>3.3</v>
      </c>
      <c r="AQ473" t="s">
        <v>67</v>
      </c>
      <c r="AR473" t="s">
        <v>416</v>
      </c>
      <c r="AS473" t="s">
        <v>416</v>
      </c>
      <c r="AT473" t="s">
        <v>135</v>
      </c>
      <c r="AU473" t="s">
        <v>417</v>
      </c>
      <c r="AV473" t="s">
        <v>251</v>
      </c>
      <c r="AX473" t="s">
        <v>73</v>
      </c>
      <c r="AY473">
        <v>0.68</v>
      </c>
      <c r="AZ473">
        <v>0.68</v>
      </c>
      <c r="BA473">
        <v>7.0000000000000007E-2</v>
      </c>
      <c r="BC473">
        <v>18</v>
      </c>
      <c r="BD473">
        <v>0.49</v>
      </c>
      <c r="BE473">
        <v>0.49</v>
      </c>
      <c r="BF473">
        <v>0.03</v>
      </c>
      <c r="BH473">
        <v>18</v>
      </c>
      <c r="BI473">
        <v>4</v>
      </c>
      <c r="BJ473" t="s">
        <v>67</v>
      </c>
      <c r="BK473">
        <v>-0.32769999999999999</v>
      </c>
      <c r="BL473">
        <v>1.43E-2</v>
      </c>
    </row>
    <row r="474" spans="1:65" hidden="1" x14ac:dyDescent="0.2">
      <c r="A474">
        <v>233</v>
      </c>
      <c r="D474" t="s">
        <v>54</v>
      </c>
      <c r="E474">
        <v>2018</v>
      </c>
      <c r="F474" t="s">
        <v>208</v>
      </c>
      <c r="G474" t="s">
        <v>209</v>
      </c>
      <c r="H474" t="s">
        <v>78</v>
      </c>
      <c r="L474" t="s">
        <v>210</v>
      </c>
      <c r="P474" t="s">
        <v>63</v>
      </c>
      <c r="S474" t="s">
        <v>64</v>
      </c>
      <c r="T474" t="s">
        <v>74</v>
      </c>
      <c r="U474" t="s">
        <v>84</v>
      </c>
      <c r="V474">
        <v>500</v>
      </c>
      <c r="AC474">
        <v>1540</v>
      </c>
      <c r="AI474">
        <v>19.2</v>
      </c>
      <c r="AL474">
        <v>19.3</v>
      </c>
      <c r="AO474">
        <v>1040</v>
      </c>
      <c r="AP474">
        <v>0.1</v>
      </c>
      <c r="AQ474" t="s">
        <v>276</v>
      </c>
      <c r="AR474" t="s">
        <v>331</v>
      </c>
      <c r="AS474" t="s">
        <v>332</v>
      </c>
      <c r="AT474" t="s">
        <v>333</v>
      </c>
      <c r="AU474" t="s">
        <v>334</v>
      </c>
      <c r="AV474" t="s">
        <v>132</v>
      </c>
      <c r="AX474" t="s">
        <v>73</v>
      </c>
      <c r="AY474">
        <v>0.90447698600000004</v>
      </c>
      <c r="AZ474">
        <v>0.90447999999999995</v>
      </c>
      <c r="BA474">
        <v>4.3955020999999997E-2</v>
      </c>
      <c r="BC474">
        <v>9</v>
      </c>
      <c r="BD474">
        <v>1.2960212330000001</v>
      </c>
      <c r="BE474">
        <v>1.2960212330000001</v>
      </c>
      <c r="BF474">
        <v>0.14276069199999999</v>
      </c>
      <c r="BH474">
        <v>9</v>
      </c>
      <c r="BI474">
        <v>28</v>
      </c>
      <c r="BK474">
        <v>-0.35970000000000002</v>
      </c>
      <c r="BL474">
        <v>1.4500000000000001E-2</v>
      </c>
    </row>
    <row r="475" spans="1:65" hidden="1" x14ac:dyDescent="0.2">
      <c r="A475">
        <v>140</v>
      </c>
      <c r="D475" t="s">
        <v>54</v>
      </c>
      <c r="E475">
        <v>2014</v>
      </c>
      <c r="F475" t="s">
        <v>427</v>
      </c>
      <c r="G475" t="s">
        <v>318</v>
      </c>
      <c r="H475" t="s">
        <v>78</v>
      </c>
      <c r="K475" t="s">
        <v>194</v>
      </c>
      <c r="L475" t="s">
        <v>215</v>
      </c>
      <c r="M475" t="s">
        <v>120</v>
      </c>
      <c r="N475" t="s">
        <v>120</v>
      </c>
      <c r="O475" t="s">
        <v>62</v>
      </c>
      <c r="P475" t="s">
        <v>196</v>
      </c>
      <c r="Q475" t="s">
        <v>64</v>
      </c>
      <c r="R475" t="s">
        <v>83</v>
      </c>
      <c r="S475" t="s">
        <v>64</v>
      </c>
      <c r="T475" t="s">
        <v>64</v>
      </c>
      <c r="U475" t="s">
        <v>66</v>
      </c>
      <c r="V475">
        <v>432</v>
      </c>
      <c r="W475" t="s">
        <v>67</v>
      </c>
      <c r="X475">
        <v>22.5</v>
      </c>
      <c r="Y475" t="s">
        <v>68</v>
      </c>
      <c r="Z475" t="s">
        <v>67</v>
      </c>
      <c r="AA475" t="s">
        <v>67</v>
      </c>
      <c r="AB475" t="s">
        <v>67</v>
      </c>
      <c r="AC475">
        <v>1053</v>
      </c>
      <c r="AD475" t="s">
        <v>67</v>
      </c>
      <c r="AE475">
        <v>71.87</v>
      </c>
      <c r="AF475" t="s">
        <v>67</v>
      </c>
      <c r="AG475" t="s">
        <v>67</v>
      </c>
      <c r="AH475" t="s">
        <v>67</v>
      </c>
      <c r="AI475">
        <v>-0.7</v>
      </c>
      <c r="AJ475" t="s">
        <v>67</v>
      </c>
      <c r="AK475">
        <v>0.15</v>
      </c>
      <c r="AL475">
        <v>4</v>
      </c>
      <c r="AM475" t="s">
        <v>67</v>
      </c>
      <c r="AN475">
        <v>0.32</v>
      </c>
      <c r="AO475">
        <v>621</v>
      </c>
      <c r="AP475">
        <v>4.7</v>
      </c>
      <c r="AQ475" t="s">
        <v>428</v>
      </c>
      <c r="AR475" t="s">
        <v>429</v>
      </c>
      <c r="AS475" t="s">
        <v>332</v>
      </c>
      <c r="AT475" t="s">
        <v>333</v>
      </c>
      <c r="AU475" t="s">
        <v>430</v>
      </c>
      <c r="AV475" t="s">
        <v>132</v>
      </c>
      <c r="AX475" t="s">
        <v>73</v>
      </c>
      <c r="AY475">
        <v>1.25</v>
      </c>
      <c r="AZ475">
        <v>1.25</v>
      </c>
      <c r="BA475">
        <v>0.08</v>
      </c>
      <c r="BC475">
        <v>5</v>
      </c>
      <c r="BD475">
        <v>1.5</v>
      </c>
      <c r="BE475">
        <v>1.5</v>
      </c>
      <c r="BF475">
        <v>0.15</v>
      </c>
      <c r="BH475">
        <v>5</v>
      </c>
      <c r="BI475">
        <v>56</v>
      </c>
      <c r="BJ475">
        <v>1</v>
      </c>
      <c r="BK475">
        <v>-0.18229999999999999</v>
      </c>
      <c r="BL475">
        <v>1.4500000000000001E-2</v>
      </c>
      <c r="BM475" t="s">
        <v>420</v>
      </c>
    </row>
    <row r="476" spans="1:65" hidden="1" x14ac:dyDescent="0.2">
      <c r="A476">
        <v>131</v>
      </c>
      <c r="D476" t="s">
        <v>54</v>
      </c>
      <c r="E476">
        <v>2013</v>
      </c>
      <c r="F476" t="s">
        <v>421</v>
      </c>
      <c r="G476" t="s">
        <v>422</v>
      </c>
      <c r="H476" t="s">
        <v>78</v>
      </c>
      <c r="K476" t="s">
        <v>194</v>
      </c>
      <c r="L476" t="s">
        <v>215</v>
      </c>
      <c r="M476" t="s">
        <v>120</v>
      </c>
      <c r="N476" t="s">
        <v>120</v>
      </c>
      <c r="O476" t="s">
        <v>62</v>
      </c>
      <c r="P476" t="s">
        <v>196</v>
      </c>
      <c r="Q476" t="s">
        <v>64</v>
      </c>
      <c r="R476" t="s">
        <v>83</v>
      </c>
      <c r="S476" t="s">
        <v>64</v>
      </c>
      <c r="T476" t="s">
        <v>64</v>
      </c>
      <c r="U476" t="s">
        <v>66</v>
      </c>
      <c r="V476">
        <v>439</v>
      </c>
      <c r="W476" t="s">
        <v>67</v>
      </c>
      <c r="X476">
        <v>16.079999999999998</v>
      </c>
      <c r="Y476" t="s">
        <v>68</v>
      </c>
      <c r="Z476">
        <v>7.94</v>
      </c>
      <c r="AA476" t="s">
        <v>67</v>
      </c>
      <c r="AB476">
        <v>0.01</v>
      </c>
      <c r="AC476">
        <v>1027</v>
      </c>
      <c r="AD476" t="s">
        <v>67</v>
      </c>
      <c r="AE476">
        <v>9.0299999999999994</v>
      </c>
      <c r="AF476">
        <v>7.68</v>
      </c>
      <c r="AG476" t="s">
        <v>67</v>
      </c>
      <c r="AH476">
        <v>0.04</v>
      </c>
      <c r="AI476">
        <v>-0.6</v>
      </c>
      <c r="AJ476" t="s">
        <v>67</v>
      </c>
      <c r="AK476">
        <v>0.17</v>
      </c>
      <c r="AL476">
        <v>4.2</v>
      </c>
      <c r="AM476" t="s">
        <v>67</v>
      </c>
      <c r="AN476">
        <v>0.56000000000000005</v>
      </c>
      <c r="AO476">
        <v>588</v>
      </c>
      <c r="AP476">
        <v>4.8</v>
      </c>
      <c r="AQ476" t="s">
        <v>67</v>
      </c>
      <c r="AR476" t="s">
        <v>424</v>
      </c>
      <c r="AS476" t="s">
        <v>134</v>
      </c>
      <c r="AT476" t="s">
        <v>135</v>
      </c>
      <c r="AU476" t="s">
        <v>425</v>
      </c>
      <c r="AV476" t="s">
        <v>137</v>
      </c>
      <c r="AX476" t="s">
        <v>73</v>
      </c>
      <c r="AY476">
        <v>9.7200000000000006</v>
      </c>
      <c r="AZ476">
        <v>9.7200000000000006</v>
      </c>
      <c r="BA476">
        <v>0.8</v>
      </c>
      <c r="BC476">
        <v>4</v>
      </c>
      <c r="BD476">
        <v>27.26</v>
      </c>
      <c r="BE476">
        <v>27.26</v>
      </c>
      <c r="BF476">
        <v>2.4</v>
      </c>
      <c r="BH476">
        <v>4</v>
      </c>
      <c r="BI476">
        <v>28</v>
      </c>
      <c r="BJ476">
        <v>1</v>
      </c>
      <c r="BK476">
        <v>1.0311999999999999</v>
      </c>
      <c r="BL476">
        <v>1.4500000000000001E-2</v>
      </c>
    </row>
    <row r="477" spans="1:65" hidden="1" x14ac:dyDescent="0.2">
      <c r="A477">
        <v>131</v>
      </c>
      <c r="D477" t="s">
        <v>54</v>
      </c>
      <c r="E477">
        <v>2013</v>
      </c>
      <c r="F477" t="s">
        <v>421</v>
      </c>
      <c r="G477" t="s">
        <v>422</v>
      </c>
      <c r="H477" t="s">
        <v>78</v>
      </c>
      <c r="K477" t="s">
        <v>194</v>
      </c>
      <c r="L477" t="s">
        <v>423</v>
      </c>
      <c r="M477" t="s">
        <v>120</v>
      </c>
      <c r="N477" t="s">
        <v>120</v>
      </c>
      <c r="O477" t="s">
        <v>62</v>
      </c>
      <c r="P477" t="s">
        <v>196</v>
      </c>
      <c r="Q477" t="s">
        <v>64</v>
      </c>
      <c r="R477" t="s">
        <v>83</v>
      </c>
      <c r="S477" t="s">
        <v>74</v>
      </c>
      <c r="T477" t="s">
        <v>64</v>
      </c>
      <c r="U477" t="s">
        <v>75</v>
      </c>
      <c r="V477">
        <v>439</v>
      </c>
      <c r="W477" t="s">
        <v>67</v>
      </c>
      <c r="X477">
        <v>16.079999999999998</v>
      </c>
      <c r="Y477" t="s">
        <v>68</v>
      </c>
      <c r="Z477">
        <v>7.94</v>
      </c>
      <c r="AA477" t="s">
        <v>67</v>
      </c>
      <c r="AB477">
        <v>0.01</v>
      </c>
      <c r="AC477">
        <v>525</v>
      </c>
      <c r="AD477" t="s">
        <v>67</v>
      </c>
      <c r="AE477">
        <v>21.07</v>
      </c>
      <c r="AF477">
        <v>7.94</v>
      </c>
      <c r="AG477" t="s">
        <v>67</v>
      </c>
      <c r="AH477">
        <v>0.02</v>
      </c>
      <c r="AI477">
        <v>-0.6</v>
      </c>
      <c r="AJ477" t="s">
        <v>67</v>
      </c>
      <c r="AK477">
        <v>0.17</v>
      </c>
      <c r="AL477">
        <v>4</v>
      </c>
      <c r="AM477" t="s">
        <v>67</v>
      </c>
      <c r="AN477">
        <v>0.44</v>
      </c>
      <c r="AO477">
        <v>86</v>
      </c>
      <c r="AP477">
        <v>4.5999999999999996</v>
      </c>
      <c r="AQ477" t="s">
        <v>67</v>
      </c>
      <c r="AR477" t="s">
        <v>424</v>
      </c>
      <c r="AS477" t="s">
        <v>134</v>
      </c>
      <c r="AT477" t="s">
        <v>135</v>
      </c>
      <c r="AU477" t="s">
        <v>425</v>
      </c>
      <c r="AV477" t="s">
        <v>137</v>
      </c>
      <c r="AX477" t="s">
        <v>73</v>
      </c>
      <c r="AY477">
        <v>19.8</v>
      </c>
      <c r="AZ477">
        <v>19.8</v>
      </c>
      <c r="BA477">
        <v>1.5</v>
      </c>
      <c r="BC477">
        <v>4</v>
      </c>
      <c r="BD477">
        <v>36.26</v>
      </c>
      <c r="BE477">
        <v>36.26</v>
      </c>
      <c r="BF477">
        <v>3.4</v>
      </c>
      <c r="BH477">
        <v>4</v>
      </c>
      <c r="BI477">
        <v>28</v>
      </c>
      <c r="BJ477">
        <v>1</v>
      </c>
      <c r="BK477">
        <v>0.60499999999999998</v>
      </c>
      <c r="BL477">
        <v>1.4500000000000001E-2</v>
      </c>
    </row>
    <row r="478" spans="1:65" hidden="1" x14ac:dyDescent="0.2">
      <c r="A478">
        <v>131</v>
      </c>
      <c r="D478" t="s">
        <v>54</v>
      </c>
      <c r="E478">
        <v>2013</v>
      </c>
      <c r="F478" t="s">
        <v>421</v>
      </c>
      <c r="G478" t="s">
        <v>422</v>
      </c>
      <c r="H478" t="s">
        <v>78</v>
      </c>
      <c r="K478" t="s">
        <v>194</v>
      </c>
      <c r="L478" t="s">
        <v>215</v>
      </c>
      <c r="M478" t="s">
        <v>120</v>
      </c>
      <c r="N478" t="s">
        <v>120</v>
      </c>
      <c r="O478" t="s">
        <v>62</v>
      </c>
      <c r="P478" t="s">
        <v>196</v>
      </c>
      <c r="Q478" t="s">
        <v>64</v>
      </c>
      <c r="R478" t="s">
        <v>83</v>
      </c>
      <c r="S478" t="s">
        <v>74</v>
      </c>
      <c r="T478" t="s">
        <v>64</v>
      </c>
      <c r="U478" t="s">
        <v>75</v>
      </c>
      <c r="V478">
        <v>439</v>
      </c>
      <c r="W478" t="s">
        <v>67</v>
      </c>
      <c r="X478">
        <v>16.079999999999998</v>
      </c>
      <c r="Y478" t="s">
        <v>68</v>
      </c>
      <c r="Z478">
        <v>7.94</v>
      </c>
      <c r="AA478" t="s">
        <v>67</v>
      </c>
      <c r="AB478">
        <v>0.01</v>
      </c>
      <c r="AC478">
        <v>525</v>
      </c>
      <c r="AD478" t="s">
        <v>67</v>
      </c>
      <c r="AE478">
        <v>21.07</v>
      </c>
      <c r="AF478">
        <v>7.94</v>
      </c>
      <c r="AG478" t="s">
        <v>67</v>
      </c>
      <c r="AH478">
        <v>0.02</v>
      </c>
      <c r="AI478">
        <v>-0.6</v>
      </c>
      <c r="AJ478" t="s">
        <v>67</v>
      </c>
      <c r="AK478">
        <v>0.17</v>
      </c>
      <c r="AL478">
        <v>4</v>
      </c>
      <c r="AM478" t="s">
        <v>67</v>
      </c>
      <c r="AN478">
        <v>0.44</v>
      </c>
      <c r="AO478">
        <v>86</v>
      </c>
      <c r="AP478">
        <v>4.5999999999999996</v>
      </c>
      <c r="AQ478" t="s">
        <v>67</v>
      </c>
      <c r="AR478" t="s">
        <v>424</v>
      </c>
      <c r="AS478" t="s">
        <v>134</v>
      </c>
      <c r="AT478" t="s">
        <v>135</v>
      </c>
      <c r="AU478" t="s">
        <v>425</v>
      </c>
      <c r="AV478" t="s">
        <v>137</v>
      </c>
      <c r="AX478" t="s">
        <v>73</v>
      </c>
      <c r="AY478">
        <v>9.7200000000000006</v>
      </c>
      <c r="AZ478">
        <v>9.7200000000000006</v>
      </c>
      <c r="BA478">
        <v>0.8</v>
      </c>
      <c r="BC478">
        <v>4</v>
      </c>
      <c r="BD478">
        <v>23.67</v>
      </c>
      <c r="BE478">
        <v>23.67</v>
      </c>
      <c r="BF478">
        <v>2.1</v>
      </c>
      <c r="BH478">
        <v>4</v>
      </c>
      <c r="BI478">
        <v>28</v>
      </c>
      <c r="BJ478">
        <v>1</v>
      </c>
      <c r="BK478">
        <v>0.89</v>
      </c>
      <c r="BL478">
        <v>1.46E-2</v>
      </c>
    </row>
    <row r="479" spans="1:65" hidden="1" x14ac:dyDescent="0.2">
      <c r="A479">
        <v>131</v>
      </c>
      <c r="D479" t="s">
        <v>54</v>
      </c>
      <c r="E479">
        <v>2013</v>
      </c>
      <c r="F479" t="s">
        <v>421</v>
      </c>
      <c r="G479" t="s">
        <v>422</v>
      </c>
      <c r="H479" t="s">
        <v>78</v>
      </c>
      <c r="K479" t="s">
        <v>194</v>
      </c>
      <c r="L479" t="s">
        <v>299</v>
      </c>
      <c r="M479" t="s">
        <v>120</v>
      </c>
      <c r="N479" t="s">
        <v>120</v>
      </c>
      <c r="O479" t="s">
        <v>62</v>
      </c>
      <c r="P479" t="s">
        <v>196</v>
      </c>
      <c r="Q479" t="s">
        <v>64</v>
      </c>
      <c r="R479" t="s">
        <v>83</v>
      </c>
      <c r="S479" t="s">
        <v>74</v>
      </c>
      <c r="T479" t="s">
        <v>64</v>
      </c>
      <c r="U479" t="s">
        <v>75</v>
      </c>
      <c r="V479">
        <v>439</v>
      </c>
      <c r="W479" t="s">
        <v>67</v>
      </c>
      <c r="X479">
        <v>16.079999999999998</v>
      </c>
      <c r="Y479" t="s">
        <v>68</v>
      </c>
      <c r="Z479">
        <v>7.94</v>
      </c>
      <c r="AA479" t="s">
        <v>67</v>
      </c>
      <c r="AB479">
        <v>0.01</v>
      </c>
      <c r="AC479">
        <v>525</v>
      </c>
      <c r="AD479" t="s">
        <v>67</v>
      </c>
      <c r="AE479">
        <v>21.07</v>
      </c>
      <c r="AF479">
        <v>7.94</v>
      </c>
      <c r="AG479" t="s">
        <v>67</v>
      </c>
      <c r="AH479">
        <v>0.02</v>
      </c>
      <c r="AI479">
        <v>-0.6</v>
      </c>
      <c r="AJ479" t="s">
        <v>67</v>
      </c>
      <c r="AK479">
        <v>0.17</v>
      </c>
      <c r="AL479">
        <v>4</v>
      </c>
      <c r="AM479" t="s">
        <v>67</v>
      </c>
      <c r="AN479">
        <v>0.44</v>
      </c>
      <c r="AO479">
        <v>86</v>
      </c>
      <c r="AP479">
        <v>4.5999999999999996</v>
      </c>
      <c r="AQ479" t="s">
        <v>67</v>
      </c>
      <c r="AR479" t="s">
        <v>424</v>
      </c>
      <c r="AS479" t="s">
        <v>134</v>
      </c>
      <c r="AT479" t="s">
        <v>135</v>
      </c>
      <c r="AU479" t="s">
        <v>425</v>
      </c>
      <c r="AV479" t="s">
        <v>137</v>
      </c>
      <c r="AX479" t="s">
        <v>73</v>
      </c>
      <c r="AY479">
        <v>11.08</v>
      </c>
      <c r="AZ479">
        <v>11.08</v>
      </c>
      <c r="BA479">
        <v>0.9</v>
      </c>
      <c r="BC479">
        <v>4</v>
      </c>
      <c r="BD479">
        <v>33.090000000000003</v>
      </c>
      <c r="BE479">
        <v>33.090000000000003</v>
      </c>
      <c r="BF479">
        <v>3</v>
      </c>
      <c r="BH479">
        <v>4</v>
      </c>
      <c r="BI479">
        <v>28</v>
      </c>
      <c r="BJ479">
        <v>1</v>
      </c>
      <c r="BK479">
        <v>1.0941000000000001</v>
      </c>
      <c r="BL479">
        <v>1.4800000000000001E-2</v>
      </c>
    </row>
    <row r="480" spans="1:65" hidden="1" x14ac:dyDescent="0.2">
      <c r="A480">
        <v>136</v>
      </c>
      <c r="D480" t="s">
        <v>54</v>
      </c>
      <c r="E480">
        <v>2012</v>
      </c>
      <c r="F480" t="s">
        <v>384</v>
      </c>
      <c r="G480" t="s">
        <v>199</v>
      </c>
      <c r="H480" t="s">
        <v>78</v>
      </c>
      <c r="K480" t="s">
        <v>93</v>
      </c>
      <c r="L480" t="s">
        <v>94</v>
      </c>
      <c r="M480" t="s">
        <v>95</v>
      </c>
      <c r="N480" t="s">
        <v>61</v>
      </c>
      <c r="O480" t="s">
        <v>62</v>
      </c>
      <c r="P480" t="s">
        <v>63</v>
      </c>
      <c r="Q480" t="s">
        <v>74</v>
      </c>
      <c r="R480" t="s">
        <v>83</v>
      </c>
      <c r="S480" t="s">
        <v>233</v>
      </c>
      <c r="T480" t="s">
        <v>64</v>
      </c>
      <c r="U480" t="s">
        <v>75</v>
      </c>
      <c r="V480">
        <v>433</v>
      </c>
      <c r="W480" t="s">
        <v>67</v>
      </c>
      <c r="X480">
        <v>69</v>
      </c>
      <c r="Y480" t="s">
        <v>96</v>
      </c>
      <c r="Z480">
        <v>8.2100000000000009</v>
      </c>
      <c r="AA480" t="s">
        <v>67</v>
      </c>
      <c r="AB480">
        <v>0.05</v>
      </c>
      <c r="AC480">
        <v>410</v>
      </c>
      <c r="AD480" t="s">
        <v>67</v>
      </c>
      <c r="AE480">
        <v>62</v>
      </c>
      <c r="AF480">
        <v>8.2200000000000006</v>
      </c>
      <c r="AG480" t="s">
        <v>67</v>
      </c>
      <c r="AH480">
        <v>0.05</v>
      </c>
      <c r="AI480">
        <v>28.1</v>
      </c>
      <c r="AJ480" t="s">
        <v>67</v>
      </c>
      <c r="AK480">
        <v>0.12</v>
      </c>
      <c r="AL480">
        <v>29.3</v>
      </c>
      <c r="AM480">
        <v>0.1</v>
      </c>
      <c r="AN480" t="s">
        <v>67</v>
      </c>
      <c r="AO480">
        <v>-23</v>
      </c>
      <c r="AP480">
        <v>1.2</v>
      </c>
      <c r="AQ480" t="s">
        <v>67</v>
      </c>
      <c r="AR480" t="s">
        <v>385</v>
      </c>
      <c r="AS480" t="s">
        <v>386</v>
      </c>
      <c r="AT480" t="s">
        <v>135</v>
      </c>
      <c r="AU480" t="s">
        <v>387</v>
      </c>
      <c r="AV480" t="s">
        <v>251</v>
      </c>
      <c r="AX480" t="s">
        <v>73</v>
      </c>
      <c r="AY480">
        <v>98</v>
      </c>
      <c r="AZ480">
        <v>98</v>
      </c>
      <c r="BA480">
        <v>8</v>
      </c>
      <c r="BC480">
        <v>5</v>
      </c>
      <c r="BD480">
        <v>110</v>
      </c>
      <c r="BE480">
        <v>110</v>
      </c>
      <c r="BF480">
        <v>10</v>
      </c>
      <c r="BH480">
        <v>5</v>
      </c>
      <c r="BI480">
        <v>21</v>
      </c>
      <c r="BJ480" t="s">
        <v>67</v>
      </c>
      <c r="BK480">
        <v>0.11550000000000001</v>
      </c>
      <c r="BL480">
        <v>1.49E-2</v>
      </c>
    </row>
    <row r="481" spans="1:64" hidden="1" x14ac:dyDescent="0.2">
      <c r="A481">
        <v>134</v>
      </c>
      <c r="D481" t="s">
        <v>54</v>
      </c>
      <c r="E481">
        <v>2017</v>
      </c>
      <c r="F481" t="s">
        <v>435</v>
      </c>
      <c r="G481" t="s">
        <v>56</v>
      </c>
      <c r="H481" t="s">
        <v>78</v>
      </c>
      <c r="K481" t="s">
        <v>93</v>
      </c>
      <c r="L481" t="s">
        <v>436</v>
      </c>
      <c r="M481" t="s">
        <v>95</v>
      </c>
      <c r="N481" t="s">
        <v>61</v>
      </c>
      <c r="O481" t="s">
        <v>62</v>
      </c>
      <c r="P481" t="s">
        <v>196</v>
      </c>
      <c r="Q481" t="s">
        <v>64</v>
      </c>
      <c r="R481" t="s">
        <v>83</v>
      </c>
      <c r="S481" t="s">
        <v>64</v>
      </c>
      <c r="T481" t="s">
        <v>74</v>
      </c>
      <c r="U481" t="s">
        <v>84</v>
      </c>
      <c r="V481">
        <v>396</v>
      </c>
      <c r="W481">
        <v>0.8</v>
      </c>
      <c r="X481" t="s">
        <v>67</v>
      </c>
      <c r="Y481" t="s">
        <v>96</v>
      </c>
      <c r="Z481">
        <v>8.18</v>
      </c>
      <c r="AA481">
        <v>0.01</v>
      </c>
      <c r="AB481" t="s">
        <v>67</v>
      </c>
      <c r="AC481">
        <v>921</v>
      </c>
      <c r="AD481">
        <v>19</v>
      </c>
      <c r="AE481" t="s">
        <v>67</v>
      </c>
      <c r="AF481">
        <v>7.87</v>
      </c>
      <c r="AG481">
        <v>0.01</v>
      </c>
      <c r="AH481" t="s">
        <v>67</v>
      </c>
      <c r="AI481">
        <v>26.7</v>
      </c>
      <c r="AJ481">
        <v>0.1</v>
      </c>
      <c r="AK481" t="s">
        <v>67</v>
      </c>
      <c r="AL481">
        <v>26.8</v>
      </c>
      <c r="AM481">
        <v>0.1</v>
      </c>
      <c r="AN481" t="s">
        <v>67</v>
      </c>
      <c r="AO481">
        <v>525</v>
      </c>
      <c r="AP481">
        <v>0.1</v>
      </c>
      <c r="AQ481" t="s">
        <v>67</v>
      </c>
      <c r="AR481" t="s">
        <v>437</v>
      </c>
      <c r="AS481" t="s">
        <v>437</v>
      </c>
      <c r="AT481" t="s">
        <v>135</v>
      </c>
      <c r="AU481" t="s">
        <v>438</v>
      </c>
      <c r="AV481" t="s">
        <v>251</v>
      </c>
      <c r="AX481" t="s">
        <v>73</v>
      </c>
      <c r="AY481">
        <v>0.3</v>
      </c>
      <c r="AZ481">
        <v>0.3</v>
      </c>
      <c r="BA481">
        <v>0.03</v>
      </c>
      <c r="BC481">
        <v>17</v>
      </c>
      <c r="BD481">
        <v>0.31</v>
      </c>
      <c r="BE481">
        <v>0.31</v>
      </c>
      <c r="BF481">
        <v>2.1999999999999999E-2</v>
      </c>
      <c r="BH481">
        <v>18</v>
      </c>
      <c r="BI481">
        <v>7</v>
      </c>
      <c r="BJ481">
        <v>3</v>
      </c>
      <c r="BK481">
        <v>3.2800000000000003E-2</v>
      </c>
      <c r="BL481">
        <v>1.4999999999999999E-2</v>
      </c>
    </row>
    <row r="482" spans="1:64" hidden="1" x14ac:dyDescent="0.2">
      <c r="A482">
        <v>161</v>
      </c>
      <c r="D482" t="s">
        <v>54</v>
      </c>
      <c r="E482">
        <v>2019</v>
      </c>
      <c r="F482" t="s">
        <v>174</v>
      </c>
      <c r="G482" t="s">
        <v>175</v>
      </c>
      <c r="H482" t="s">
        <v>78</v>
      </c>
      <c r="K482" t="s">
        <v>79</v>
      </c>
      <c r="L482" t="s">
        <v>176</v>
      </c>
      <c r="M482" t="s">
        <v>81</v>
      </c>
      <c r="N482" t="s">
        <v>81</v>
      </c>
      <c r="O482" t="s">
        <v>62</v>
      </c>
      <c r="P482" t="s">
        <v>63</v>
      </c>
      <c r="Q482" t="s">
        <v>74</v>
      </c>
      <c r="R482" t="s">
        <v>83</v>
      </c>
      <c r="S482" t="s">
        <v>74</v>
      </c>
      <c r="T482" t="s">
        <v>64</v>
      </c>
      <c r="U482" t="s">
        <v>75</v>
      </c>
      <c r="V482">
        <v>489</v>
      </c>
      <c r="W482" t="s">
        <v>67</v>
      </c>
      <c r="X482">
        <v>54</v>
      </c>
      <c r="Y482" t="s">
        <v>67</v>
      </c>
      <c r="Z482">
        <v>8.01</v>
      </c>
      <c r="AA482" t="s">
        <v>67</v>
      </c>
      <c r="AB482">
        <v>0.12</v>
      </c>
      <c r="AC482">
        <v>496</v>
      </c>
      <c r="AD482" t="s">
        <v>67</v>
      </c>
      <c r="AE482">
        <v>44</v>
      </c>
      <c r="AF482">
        <v>8.0500000000000007</v>
      </c>
      <c r="AG482" t="s">
        <v>67</v>
      </c>
      <c r="AH482">
        <v>0.1</v>
      </c>
      <c r="AI482">
        <v>19.600000000000001</v>
      </c>
      <c r="AJ482" t="s">
        <v>67</v>
      </c>
      <c r="AK482">
        <v>0.5</v>
      </c>
      <c r="AL482">
        <v>24.2</v>
      </c>
      <c r="AM482" t="s">
        <v>67</v>
      </c>
      <c r="AN482">
        <v>0.2</v>
      </c>
      <c r="AO482">
        <v>7</v>
      </c>
      <c r="AP482">
        <v>4.5999999999999996</v>
      </c>
      <c r="AQ482" t="s">
        <v>67</v>
      </c>
      <c r="AR482" t="s">
        <v>211</v>
      </c>
      <c r="AS482" t="s">
        <v>69</v>
      </c>
      <c r="AT482" t="s">
        <v>70</v>
      </c>
      <c r="AU482" t="s">
        <v>67</v>
      </c>
      <c r="AV482" t="s">
        <v>72</v>
      </c>
      <c r="AX482" t="s">
        <v>73</v>
      </c>
      <c r="AY482">
        <v>1.6379999999999999</v>
      </c>
      <c r="AZ482">
        <v>1.6379999999999999</v>
      </c>
      <c r="BA482">
        <v>0.15</v>
      </c>
      <c r="BC482">
        <v>15</v>
      </c>
      <c r="BD482">
        <v>1.5125999999999999</v>
      </c>
      <c r="BE482">
        <v>1.51261</v>
      </c>
      <c r="BF482">
        <v>0.12609999999999999</v>
      </c>
      <c r="BH482">
        <v>15</v>
      </c>
      <c r="BI482">
        <v>28</v>
      </c>
      <c r="BJ482">
        <v>3</v>
      </c>
      <c r="BK482">
        <v>-7.9600000000000004E-2</v>
      </c>
      <c r="BL482">
        <v>1.5100000000000001E-2</v>
      </c>
    </row>
    <row r="483" spans="1:64" hidden="1" x14ac:dyDescent="0.2">
      <c r="A483">
        <v>161</v>
      </c>
      <c r="D483" t="s">
        <v>54</v>
      </c>
      <c r="E483">
        <v>2019</v>
      </c>
      <c r="F483" t="s">
        <v>174</v>
      </c>
      <c r="G483" t="s">
        <v>175</v>
      </c>
      <c r="H483" t="s">
        <v>78</v>
      </c>
      <c r="K483" t="s">
        <v>79</v>
      </c>
      <c r="L483" t="s">
        <v>176</v>
      </c>
      <c r="M483" t="s">
        <v>81</v>
      </c>
      <c r="N483" t="s">
        <v>81</v>
      </c>
      <c r="O483" t="s">
        <v>62</v>
      </c>
      <c r="P483" t="s">
        <v>63</v>
      </c>
      <c r="Q483" t="s">
        <v>74</v>
      </c>
      <c r="R483" t="s">
        <v>83</v>
      </c>
      <c r="S483" t="s">
        <v>74</v>
      </c>
      <c r="T483" t="s">
        <v>64</v>
      </c>
      <c r="U483" t="s">
        <v>75</v>
      </c>
      <c r="V483">
        <v>489</v>
      </c>
      <c r="W483" t="s">
        <v>67</v>
      </c>
      <c r="X483">
        <v>54</v>
      </c>
      <c r="Y483" t="s">
        <v>67</v>
      </c>
      <c r="Z483">
        <v>8.01</v>
      </c>
      <c r="AA483" t="s">
        <v>67</v>
      </c>
      <c r="AB483">
        <v>0.12</v>
      </c>
      <c r="AC483">
        <v>496</v>
      </c>
      <c r="AD483" t="s">
        <v>67</v>
      </c>
      <c r="AE483">
        <v>44</v>
      </c>
      <c r="AF483">
        <v>8.0500000000000007</v>
      </c>
      <c r="AG483" t="s">
        <v>67</v>
      </c>
      <c r="AH483">
        <v>0.1</v>
      </c>
      <c r="AI483">
        <v>19.600000000000001</v>
      </c>
      <c r="AJ483" t="s">
        <v>67</v>
      </c>
      <c r="AK483">
        <v>0.5</v>
      </c>
      <c r="AL483">
        <v>24.2</v>
      </c>
      <c r="AM483" t="s">
        <v>67</v>
      </c>
      <c r="AN483">
        <v>0.2</v>
      </c>
      <c r="AO483">
        <v>7</v>
      </c>
      <c r="AP483">
        <v>4.5999999999999996</v>
      </c>
      <c r="AQ483" t="s">
        <v>67</v>
      </c>
      <c r="AR483" t="s">
        <v>211</v>
      </c>
      <c r="AS483" t="s">
        <v>69</v>
      </c>
      <c r="AT483" t="s">
        <v>70</v>
      </c>
      <c r="AU483" t="s">
        <v>67</v>
      </c>
      <c r="AV483" t="s">
        <v>72</v>
      </c>
      <c r="AX483" t="s">
        <v>73</v>
      </c>
      <c r="AY483">
        <v>1.6379999999999999</v>
      </c>
      <c r="AZ483">
        <v>1.6379999999999999</v>
      </c>
      <c r="BA483">
        <v>0.15</v>
      </c>
      <c r="BC483">
        <v>15</v>
      </c>
      <c r="BD483">
        <v>1.5125999999999999</v>
      </c>
      <c r="BE483">
        <v>1.51261</v>
      </c>
      <c r="BF483">
        <v>0.12609999999999999</v>
      </c>
      <c r="BH483">
        <v>15</v>
      </c>
      <c r="BI483">
        <v>28</v>
      </c>
      <c r="BJ483">
        <v>3</v>
      </c>
      <c r="BK483">
        <v>-7.9600000000000004E-2</v>
      </c>
      <c r="BL483">
        <v>1.5100000000000001E-2</v>
      </c>
    </row>
    <row r="484" spans="1:64" hidden="1" x14ac:dyDescent="0.2">
      <c r="A484">
        <v>133</v>
      </c>
      <c r="D484" t="s">
        <v>54</v>
      </c>
      <c r="E484">
        <v>2015</v>
      </c>
      <c r="F484" t="s">
        <v>414</v>
      </c>
      <c r="G484" t="s">
        <v>154</v>
      </c>
      <c r="H484" t="s">
        <v>78</v>
      </c>
      <c r="K484" t="s">
        <v>93</v>
      </c>
      <c r="L484" t="s">
        <v>415</v>
      </c>
      <c r="M484" t="s">
        <v>95</v>
      </c>
      <c r="N484" t="s">
        <v>61</v>
      </c>
      <c r="O484" t="s">
        <v>62</v>
      </c>
      <c r="P484" t="s">
        <v>63</v>
      </c>
      <c r="Q484" t="s">
        <v>64</v>
      </c>
      <c r="R484" t="s">
        <v>83</v>
      </c>
      <c r="S484" t="s">
        <v>64</v>
      </c>
      <c r="T484" t="s">
        <v>64</v>
      </c>
      <c r="U484" t="s">
        <v>66</v>
      </c>
      <c r="V484">
        <v>436</v>
      </c>
      <c r="W484" t="s">
        <v>67</v>
      </c>
      <c r="X484">
        <v>13.6</v>
      </c>
      <c r="Y484" t="s">
        <v>96</v>
      </c>
      <c r="Z484">
        <v>8.15</v>
      </c>
      <c r="AA484" t="s">
        <v>67</v>
      </c>
      <c r="AB484">
        <v>0.01</v>
      </c>
      <c r="AC484">
        <v>1007</v>
      </c>
      <c r="AD484" t="s">
        <v>67</v>
      </c>
      <c r="AE484">
        <v>10.6</v>
      </c>
      <c r="AF484">
        <v>7.85</v>
      </c>
      <c r="AG484" t="s">
        <v>67</v>
      </c>
      <c r="AH484">
        <v>0</v>
      </c>
      <c r="AI484">
        <v>27.8</v>
      </c>
      <c r="AJ484" t="s">
        <v>67</v>
      </c>
      <c r="AK484">
        <v>0.1</v>
      </c>
      <c r="AL484">
        <v>31.1</v>
      </c>
      <c r="AM484" t="s">
        <v>67</v>
      </c>
      <c r="AN484">
        <v>0.1</v>
      </c>
      <c r="AO484">
        <v>571</v>
      </c>
      <c r="AP484">
        <v>3.3</v>
      </c>
      <c r="AQ484" t="s">
        <v>67</v>
      </c>
      <c r="AR484" t="s">
        <v>416</v>
      </c>
      <c r="AS484" t="s">
        <v>416</v>
      </c>
      <c r="AT484" t="s">
        <v>135</v>
      </c>
      <c r="AU484" t="s">
        <v>417</v>
      </c>
      <c r="AV484" t="s">
        <v>251</v>
      </c>
      <c r="AX484" t="s">
        <v>73</v>
      </c>
      <c r="AY484">
        <v>0.35</v>
      </c>
      <c r="AZ484">
        <v>0.35</v>
      </c>
      <c r="BA484">
        <v>0.03</v>
      </c>
      <c r="BC484">
        <v>18</v>
      </c>
      <c r="BD484">
        <v>0.51</v>
      </c>
      <c r="BE484">
        <v>0.51</v>
      </c>
      <c r="BF484">
        <v>4.4999999999999998E-2</v>
      </c>
      <c r="BH484">
        <v>18</v>
      </c>
      <c r="BI484">
        <v>4</v>
      </c>
      <c r="BJ484" t="s">
        <v>67</v>
      </c>
      <c r="BK484">
        <v>0.3765</v>
      </c>
      <c r="BL484">
        <v>1.5100000000000001E-2</v>
      </c>
    </row>
    <row r="485" spans="1:64" hidden="1" x14ac:dyDescent="0.2">
      <c r="A485">
        <v>133</v>
      </c>
      <c r="D485" t="s">
        <v>54</v>
      </c>
      <c r="E485">
        <v>2015</v>
      </c>
      <c r="F485" t="s">
        <v>414</v>
      </c>
      <c r="G485" t="s">
        <v>154</v>
      </c>
      <c r="H485" t="s">
        <v>78</v>
      </c>
      <c r="K485" t="s">
        <v>93</v>
      </c>
      <c r="L485" t="s">
        <v>439</v>
      </c>
      <c r="M485" t="s">
        <v>95</v>
      </c>
      <c r="N485" t="s">
        <v>61</v>
      </c>
      <c r="O485" t="s">
        <v>62</v>
      </c>
      <c r="P485" t="s">
        <v>63</v>
      </c>
      <c r="Q485" t="s">
        <v>64</v>
      </c>
      <c r="R485" t="s">
        <v>83</v>
      </c>
      <c r="S485" t="s">
        <v>64</v>
      </c>
      <c r="T485" t="s">
        <v>64</v>
      </c>
      <c r="U485" t="s">
        <v>66</v>
      </c>
      <c r="V485">
        <v>436</v>
      </c>
      <c r="W485" t="s">
        <v>67</v>
      </c>
      <c r="X485">
        <v>13.6</v>
      </c>
      <c r="Y485" t="s">
        <v>96</v>
      </c>
      <c r="Z485">
        <v>8.15</v>
      </c>
      <c r="AA485" t="s">
        <v>67</v>
      </c>
      <c r="AB485">
        <v>0.01</v>
      </c>
      <c r="AC485">
        <v>1007</v>
      </c>
      <c r="AD485" t="s">
        <v>67</v>
      </c>
      <c r="AE485">
        <v>10.6</v>
      </c>
      <c r="AF485">
        <v>7.85</v>
      </c>
      <c r="AG485" t="s">
        <v>67</v>
      </c>
      <c r="AH485">
        <v>0</v>
      </c>
      <c r="AI485">
        <v>27.8</v>
      </c>
      <c r="AJ485" t="s">
        <v>67</v>
      </c>
      <c r="AK485">
        <v>0.1</v>
      </c>
      <c r="AL485">
        <v>31.1</v>
      </c>
      <c r="AM485" t="s">
        <v>67</v>
      </c>
      <c r="AN485">
        <v>0.1</v>
      </c>
      <c r="AO485">
        <v>571</v>
      </c>
      <c r="AP485">
        <v>3.3</v>
      </c>
      <c r="AQ485" t="s">
        <v>67</v>
      </c>
      <c r="AR485" t="s">
        <v>287</v>
      </c>
      <c r="AS485" t="s">
        <v>134</v>
      </c>
      <c r="AT485" t="s">
        <v>135</v>
      </c>
      <c r="AU485" t="s">
        <v>425</v>
      </c>
      <c r="AV485" t="s">
        <v>137</v>
      </c>
      <c r="AX485" t="s">
        <v>73</v>
      </c>
      <c r="AY485">
        <v>690</v>
      </c>
      <c r="AZ485">
        <v>690</v>
      </c>
      <c r="BA485">
        <v>56</v>
      </c>
      <c r="BC485">
        <v>8</v>
      </c>
      <c r="BD485">
        <v>820</v>
      </c>
      <c r="BE485">
        <v>820</v>
      </c>
      <c r="BF485">
        <v>76</v>
      </c>
      <c r="BH485">
        <v>8</v>
      </c>
      <c r="BI485">
        <v>4</v>
      </c>
      <c r="BJ485" t="s">
        <v>67</v>
      </c>
      <c r="BK485">
        <v>0.1726</v>
      </c>
      <c r="BL485">
        <v>1.52E-2</v>
      </c>
    </row>
    <row r="486" spans="1:64" hidden="1" x14ac:dyDescent="0.2">
      <c r="A486">
        <v>133</v>
      </c>
      <c r="D486" t="s">
        <v>54</v>
      </c>
      <c r="E486">
        <v>2015</v>
      </c>
      <c r="F486" t="s">
        <v>414</v>
      </c>
      <c r="G486" t="s">
        <v>154</v>
      </c>
      <c r="H486" t="s">
        <v>78</v>
      </c>
      <c r="K486" t="s">
        <v>93</v>
      </c>
      <c r="L486" t="s">
        <v>439</v>
      </c>
      <c r="M486" t="s">
        <v>95</v>
      </c>
      <c r="N486" t="s">
        <v>61</v>
      </c>
      <c r="O486" t="s">
        <v>62</v>
      </c>
      <c r="P486" t="s">
        <v>63</v>
      </c>
      <c r="Q486" t="s">
        <v>64</v>
      </c>
      <c r="R486" t="s">
        <v>83</v>
      </c>
      <c r="S486" t="s">
        <v>74</v>
      </c>
      <c r="T486" t="s">
        <v>64</v>
      </c>
      <c r="U486" t="s">
        <v>75</v>
      </c>
      <c r="V486">
        <v>436</v>
      </c>
      <c r="W486" t="s">
        <v>67</v>
      </c>
      <c r="X486">
        <v>13.6</v>
      </c>
      <c r="Y486" t="s">
        <v>96</v>
      </c>
      <c r="Z486">
        <v>8.15</v>
      </c>
      <c r="AA486" t="s">
        <v>67</v>
      </c>
      <c r="AB486">
        <v>0.01</v>
      </c>
      <c r="AC486">
        <v>441</v>
      </c>
      <c r="AD486" t="s">
        <v>67</v>
      </c>
      <c r="AE486">
        <v>13.9</v>
      </c>
      <c r="AF486">
        <v>8.15</v>
      </c>
      <c r="AG486" t="s">
        <v>67</v>
      </c>
      <c r="AH486">
        <v>0.01</v>
      </c>
      <c r="AI486">
        <v>27.8</v>
      </c>
      <c r="AJ486" t="s">
        <v>67</v>
      </c>
      <c r="AK486">
        <v>0.1</v>
      </c>
      <c r="AL486">
        <v>31.1</v>
      </c>
      <c r="AM486" t="s">
        <v>67</v>
      </c>
      <c r="AN486">
        <v>0.1</v>
      </c>
      <c r="AO486">
        <v>5</v>
      </c>
      <c r="AP486">
        <v>3.3</v>
      </c>
      <c r="AQ486" t="s">
        <v>67</v>
      </c>
      <c r="AR486" t="s">
        <v>287</v>
      </c>
      <c r="AS486" t="s">
        <v>134</v>
      </c>
      <c r="AT486" t="s">
        <v>135</v>
      </c>
      <c r="AU486" t="s">
        <v>425</v>
      </c>
      <c r="AV486" t="s">
        <v>137</v>
      </c>
      <c r="AX486" t="s">
        <v>73</v>
      </c>
      <c r="AY486">
        <v>690</v>
      </c>
      <c r="AZ486">
        <v>690</v>
      </c>
      <c r="BA486">
        <v>56</v>
      </c>
      <c r="BC486">
        <v>8</v>
      </c>
      <c r="BD486">
        <v>860</v>
      </c>
      <c r="BE486">
        <v>860</v>
      </c>
      <c r="BF486">
        <v>80</v>
      </c>
      <c r="BH486">
        <v>8</v>
      </c>
      <c r="BI486">
        <v>4</v>
      </c>
      <c r="BJ486" t="s">
        <v>67</v>
      </c>
      <c r="BK486">
        <v>0.22020000000000001</v>
      </c>
      <c r="BL486">
        <v>1.52E-2</v>
      </c>
    </row>
    <row r="487" spans="1:64" hidden="1" x14ac:dyDescent="0.2">
      <c r="A487">
        <v>133</v>
      </c>
      <c r="D487" t="s">
        <v>54</v>
      </c>
      <c r="E487">
        <v>2015</v>
      </c>
      <c r="F487" t="s">
        <v>414</v>
      </c>
      <c r="G487" t="s">
        <v>154</v>
      </c>
      <c r="H487" t="s">
        <v>78</v>
      </c>
      <c r="K487" t="s">
        <v>93</v>
      </c>
      <c r="L487" t="s">
        <v>439</v>
      </c>
      <c r="M487" t="s">
        <v>95</v>
      </c>
      <c r="N487" t="s">
        <v>61</v>
      </c>
      <c r="O487" t="s">
        <v>62</v>
      </c>
      <c r="P487" t="s">
        <v>63</v>
      </c>
      <c r="Q487" t="s">
        <v>64</v>
      </c>
      <c r="R487" t="s">
        <v>83</v>
      </c>
      <c r="S487" t="s">
        <v>74</v>
      </c>
      <c r="T487" t="s">
        <v>64</v>
      </c>
      <c r="U487" t="s">
        <v>75</v>
      </c>
      <c r="V487">
        <v>436</v>
      </c>
      <c r="W487" t="s">
        <v>67</v>
      </c>
      <c r="X487">
        <v>13.6</v>
      </c>
      <c r="Y487" t="s">
        <v>96</v>
      </c>
      <c r="Z487">
        <v>8.15</v>
      </c>
      <c r="AA487" t="s">
        <v>67</v>
      </c>
      <c r="AB487">
        <v>0.01</v>
      </c>
      <c r="AC487">
        <v>441</v>
      </c>
      <c r="AD487" t="s">
        <v>67</v>
      </c>
      <c r="AE487">
        <v>13.9</v>
      </c>
      <c r="AF487">
        <v>8.15</v>
      </c>
      <c r="AG487" t="s">
        <v>67</v>
      </c>
      <c r="AH487">
        <v>0.01</v>
      </c>
      <c r="AI487">
        <v>27.8</v>
      </c>
      <c r="AJ487" t="s">
        <v>67</v>
      </c>
      <c r="AK487">
        <v>0.1</v>
      </c>
      <c r="AL487">
        <v>31.1</v>
      </c>
      <c r="AM487" t="s">
        <v>67</v>
      </c>
      <c r="AN487">
        <v>0.1</v>
      </c>
      <c r="AO487">
        <v>5</v>
      </c>
      <c r="AP487">
        <v>3.3</v>
      </c>
      <c r="AQ487" t="s">
        <v>67</v>
      </c>
      <c r="AR487" t="s">
        <v>416</v>
      </c>
      <c r="AS487" t="s">
        <v>416</v>
      </c>
      <c r="AT487" t="s">
        <v>135</v>
      </c>
      <c r="AU487" t="s">
        <v>417</v>
      </c>
      <c r="AV487" t="s">
        <v>251</v>
      </c>
      <c r="AX487" t="s">
        <v>73</v>
      </c>
      <c r="AY487">
        <v>0.68</v>
      </c>
      <c r="AZ487">
        <v>0.68</v>
      </c>
      <c r="BA487">
        <v>7.0000000000000007E-2</v>
      </c>
      <c r="BC487">
        <v>18</v>
      </c>
      <c r="BD487">
        <v>0.32</v>
      </c>
      <c r="BE487">
        <v>0.32</v>
      </c>
      <c r="BF487">
        <v>2.1999999999999999E-2</v>
      </c>
      <c r="BH487">
        <v>18</v>
      </c>
      <c r="BI487">
        <v>4</v>
      </c>
      <c r="BJ487" t="s">
        <v>67</v>
      </c>
      <c r="BK487">
        <v>-0.75380000000000003</v>
      </c>
      <c r="BL487">
        <v>1.5299999999999999E-2</v>
      </c>
    </row>
    <row r="488" spans="1:64" hidden="1" x14ac:dyDescent="0.2">
      <c r="A488">
        <v>153</v>
      </c>
      <c r="D488" t="s">
        <v>397</v>
      </c>
      <c r="E488">
        <v>2017</v>
      </c>
      <c r="F488" t="s">
        <v>335</v>
      </c>
      <c r="G488" t="s">
        <v>220</v>
      </c>
      <c r="H488" t="s">
        <v>78</v>
      </c>
      <c r="K488" t="s">
        <v>205</v>
      </c>
      <c r="L488" t="s">
        <v>225</v>
      </c>
      <c r="M488" t="s">
        <v>120</v>
      </c>
      <c r="N488" t="s">
        <v>120</v>
      </c>
      <c r="O488" t="s">
        <v>110</v>
      </c>
      <c r="P488" t="s">
        <v>63</v>
      </c>
      <c r="Q488" t="s">
        <v>64</v>
      </c>
      <c r="R488" t="s">
        <v>83</v>
      </c>
      <c r="S488" t="s">
        <v>64</v>
      </c>
      <c r="T488" t="s">
        <v>64</v>
      </c>
      <c r="U488" t="s">
        <v>66</v>
      </c>
      <c r="V488">
        <v>437</v>
      </c>
      <c r="W488" t="s">
        <v>67</v>
      </c>
      <c r="X488">
        <v>21.6</v>
      </c>
      <c r="Y488" t="s">
        <v>68</v>
      </c>
      <c r="Z488">
        <v>8.0299999999999994</v>
      </c>
      <c r="AA488" t="s">
        <v>67</v>
      </c>
      <c r="AB488">
        <v>0.02</v>
      </c>
      <c r="AC488">
        <v>1053</v>
      </c>
      <c r="AD488" t="s">
        <v>67</v>
      </c>
      <c r="AE488">
        <v>103.87</v>
      </c>
      <c r="AF488">
        <v>7.71</v>
      </c>
      <c r="AG488" t="s">
        <v>67</v>
      </c>
      <c r="AH488">
        <v>0.05</v>
      </c>
      <c r="AI488">
        <v>5.6</v>
      </c>
      <c r="AJ488" t="s">
        <v>67</v>
      </c>
      <c r="AK488">
        <v>0.19</v>
      </c>
      <c r="AL488">
        <v>8.1</v>
      </c>
      <c r="AM488" t="s">
        <v>67</v>
      </c>
      <c r="AN488">
        <v>0.13</v>
      </c>
      <c r="AO488">
        <v>616</v>
      </c>
      <c r="AP488">
        <v>2.5</v>
      </c>
      <c r="AQ488" t="s">
        <v>67</v>
      </c>
      <c r="AR488" t="s">
        <v>440</v>
      </c>
      <c r="AS488" t="s">
        <v>337</v>
      </c>
      <c r="AT488" t="s">
        <v>70</v>
      </c>
      <c r="AU488" t="s">
        <v>441</v>
      </c>
      <c r="AV488" t="s">
        <v>132</v>
      </c>
      <c r="AX488" t="s">
        <v>73</v>
      </c>
      <c r="AY488">
        <v>40.474299999999999</v>
      </c>
      <c r="AZ488">
        <v>40.474308299999997</v>
      </c>
      <c r="BA488">
        <v>2.5295999999999998</v>
      </c>
      <c r="BC488">
        <v>6</v>
      </c>
      <c r="BD488">
        <v>35.098799999999997</v>
      </c>
      <c r="BE488">
        <v>35.098814230000002</v>
      </c>
      <c r="BF488">
        <v>3.7945000000000002</v>
      </c>
      <c r="BH488">
        <v>4</v>
      </c>
      <c r="BI488">
        <v>120</v>
      </c>
      <c r="BJ488">
        <v>6</v>
      </c>
      <c r="BK488">
        <v>-0.14249999999999999</v>
      </c>
      <c r="BL488">
        <v>1.5599999999999999E-2</v>
      </c>
    </row>
    <row r="489" spans="1:64" hidden="1" x14ac:dyDescent="0.2">
      <c r="A489">
        <v>209</v>
      </c>
      <c r="D489" t="s">
        <v>54</v>
      </c>
      <c r="E489">
        <v>2020</v>
      </c>
      <c r="F489" t="s">
        <v>223</v>
      </c>
      <c r="G489" t="s">
        <v>224</v>
      </c>
      <c r="H489" t="s">
        <v>78</v>
      </c>
      <c r="K489" t="s">
        <v>205</v>
      </c>
      <c r="L489" t="s">
        <v>206</v>
      </c>
      <c r="M489" t="s">
        <v>81</v>
      </c>
      <c r="N489" t="s">
        <v>81</v>
      </c>
      <c r="O489" t="s">
        <v>110</v>
      </c>
      <c r="P489" t="s">
        <v>63</v>
      </c>
      <c r="Q489" t="s">
        <v>64</v>
      </c>
      <c r="R489" t="s">
        <v>83</v>
      </c>
      <c r="S489" t="s">
        <v>64</v>
      </c>
      <c r="T489" t="s">
        <v>64</v>
      </c>
      <c r="U489" t="s">
        <v>66</v>
      </c>
      <c r="V489">
        <v>434.51</v>
      </c>
      <c r="W489" t="s">
        <v>67</v>
      </c>
      <c r="X489">
        <v>49.9</v>
      </c>
      <c r="Y489" t="s">
        <v>68</v>
      </c>
      <c r="Z489">
        <v>8.01</v>
      </c>
      <c r="AA489" t="s">
        <v>67</v>
      </c>
      <c r="AB489">
        <v>0.04</v>
      </c>
      <c r="AC489">
        <v>1163.71</v>
      </c>
      <c r="AD489" t="s">
        <v>67</v>
      </c>
      <c r="AE489">
        <v>199.68</v>
      </c>
      <c r="AF489">
        <v>7.66</v>
      </c>
      <c r="AG489" t="s">
        <v>67</v>
      </c>
      <c r="AH489">
        <v>7.0000000000000007E-2</v>
      </c>
      <c r="AI489">
        <v>8.1999999999999993</v>
      </c>
      <c r="AJ489" t="s">
        <v>67</v>
      </c>
      <c r="AK489">
        <v>0.11</v>
      </c>
      <c r="AL489">
        <v>11.9</v>
      </c>
      <c r="AM489" t="s">
        <v>67</v>
      </c>
      <c r="AN489">
        <v>0.37</v>
      </c>
      <c r="AO489">
        <v>729</v>
      </c>
      <c r="AP489">
        <v>3.7</v>
      </c>
      <c r="AQ489" t="s">
        <v>67</v>
      </c>
      <c r="AR489" t="s">
        <v>98</v>
      </c>
      <c r="AS489" t="s">
        <v>98</v>
      </c>
      <c r="AT489" t="s">
        <v>70</v>
      </c>
      <c r="AU489" t="s">
        <v>226</v>
      </c>
      <c r="AV489" t="s">
        <v>72</v>
      </c>
      <c r="AX489" t="s">
        <v>73</v>
      </c>
      <c r="AY489">
        <v>22.37</v>
      </c>
      <c r="AZ489">
        <v>22.37</v>
      </c>
      <c r="BA489">
        <v>2.5</v>
      </c>
      <c r="BC489">
        <v>3</v>
      </c>
      <c r="BD489">
        <v>24.36</v>
      </c>
      <c r="BE489">
        <v>24.36</v>
      </c>
      <c r="BF489">
        <v>1.36</v>
      </c>
      <c r="BH489">
        <v>5</v>
      </c>
      <c r="BI489">
        <v>120</v>
      </c>
      <c r="BJ489">
        <v>12</v>
      </c>
      <c r="BK489">
        <v>8.5199999999999998E-2</v>
      </c>
      <c r="BL489">
        <v>1.5599999999999999E-2</v>
      </c>
    </row>
    <row r="490" spans="1:64" hidden="1" x14ac:dyDescent="0.2">
      <c r="A490">
        <v>139</v>
      </c>
      <c r="D490" t="s">
        <v>54</v>
      </c>
      <c r="E490">
        <v>2018</v>
      </c>
      <c r="F490" t="s">
        <v>214</v>
      </c>
      <c r="G490" t="s">
        <v>154</v>
      </c>
      <c r="H490" t="s">
        <v>78</v>
      </c>
      <c r="K490" t="s">
        <v>194</v>
      </c>
      <c r="L490" t="s">
        <v>215</v>
      </c>
      <c r="M490" t="s">
        <v>120</v>
      </c>
      <c r="N490" t="s">
        <v>120</v>
      </c>
      <c r="O490" t="s">
        <v>62</v>
      </c>
      <c r="P490" t="s">
        <v>63</v>
      </c>
      <c r="Q490" t="s">
        <v>64</v>
      </c>
      <c r="R490" t="s">
        <v>83</v>
      </c>
      <c r="S490" t="s">
        <v>64</v>
      </c>
      <c r="T490" t="s">
        <v>64</v>
      </c>
      <c r="U490" t="s">
        <v>66</v>
      </c>
      <c r="V490">
        <v>438</v>
      </c>
      <c r="W490" t="s">
        <v>67</v>
      </c>
      <c r="X490">
        <v>16</v>
      </c>
      <c r="Y490" t="s">
        <v>68</v>
      </c>
      <c r="Z490">
        <v>8</v>
      </c>
      <c r="AA490" t="s">
        <v>67</v>
      </c>
      <c r="AB490">
        <v>0.01</v>
      </c>
      <c r="AC490">
        <v>1283</v>
      </c>
      <c r="AD490" t="s">
        <v>67</v>
      </c>
      <c r="AE490">
        <v>39</v>
      </c>
      <c r="AF490">
        <v>7.57</v>
      </c>
      <c r="AG490" t="s">
        <v>67</v>
      </c>
      <c r="AH490">
        <v>0.01</v>
      </c>
      <c r="AI490">
        <v>-0.9</v>
      </c>
      <c r="AJ490" t="s">
        <v>67</v>
      </c>
      <c r="AK490">
        <v>0.1</v>
      </c>
      <c r="AL490">
        <v>2.2000000000000002</v>
      </c>
      <c r="AM490" t="s">
        <v>67</v>
      </c>
      <c r="AN490">
        <v>0.1</v>
      </c>
      <c r="AO490">
        <v>845</v>
      </c>
      <c r="AP490">
        <v>3.1</v>
      </c>
      <c r="AQ490" t="s">
        <v>67</v>
      </c>
      <c r="AR490" t="s">
        <v>407</v>
      </c>
      <c r="AS490" t="s">
        <v>407</v>
      </c>
      <c r="AT490" t="s">
        <v>135</v>
      </c>
      <c r="AU490" t="s">
        <v>408</v>
      </c>
      <c r="AV490" t="s">
        <v>251</v>
      </c>
      <c r="AX490" t="s">
        <v>73</v>
      </c>
      <c r="AY490">
        <v>53</v>
      </c>
      <c r="AZ490">
        <v>53</v>
      </c>
      <c r="BA490">
        <v>5</v>
      </c>
      <c r="BC490">
        <v>8</v>
      </c>
      <c r="BD490">
        <v>61</v>
      </c>
      <c r="BE490">
        <v>61</v>
      </c>
      <c r="BF490">
        <v>5</v>
      </c>
      <c r="BH490">
        <v>5</v>
      </c>
      <c r="BI490">
        <v>14</v>
      </c>
      <c r="BJ490">
        <v>3</v>
      </c>
      <c r="BK490">
        <v>0.1406</v>
      </c>
      <c r="BL490">
        <v>1.5599999999999999E-2</v>
      </c>
    </row>
    <row r="491" spans="1:64" hidden="1" x14ac:dyDescent="0.2">
      <c r="A491">
        <v>162</v>
      </c>
      <c r="D491" t="s">
        <v>54</v>
      </c>
      <c r="E491">
        <v>2018</v>
      </c>
      <c r="F491" t="s">
        <v>404</v>
      </c>
      <c r="G491" t="s">
        <v>255</v>
      </c>
      <c r="H491" t="s">
        <v>78</v>
      </c>
      <c r="K491" t="s">
        <v>79</v>
      </c>
      <c r="L491" t="s">
        <v>190</v>
      </c>
      <c r="M491" t="s">
        <v>156</v>
      </c>
      <c r="N491" t="s">
        <v>156</v>
      </c>
      <c r="O491" t="s">
        <v>110</v>
      </c>
      <c r="P491" t="s">
        <v>63</v>
      </c>
      <c r="Q491" t="s">
        <v>74</v>
      </c>
      <c r="R491" t="s">
        <v>83</v>
      </c>
      <c r="S491" t="s">
        <v>64</v>
      </c>
      <c r="T491" t="s">
        <v>74</v>
      </c>
      <c r="U491" t="s">
        <v>84</v>
      </c>
      <c r="V491">
        <v>391</v>
      </c>
      <c r="W491" t="s">
        <v>67</v>
      </c>
      <c r="X491">
        <v>17</v>
      </c>
      <c r="Y491" t="s">
        <v>157</v>
      </c>
      <c r="Z491">
        <v>8.0299999999999994</v>
      </c>
      <c r="AA491" t="s">
        <v>67</v>
      </c>
      <c r="AB491">
        <v>0.01</v>
      </c>
      <c r="AC491">
        <v>1454</v>
      </c>
      <c r="AD491" t="s">
        <v>67</v>
      </c>
      <c r="AE491">
        <v>39</v>
      </c>
      <c r="AF491">
        <v>7.52</v>
      </c>
      <c r="AG491" t="s">
        <v>67</v>
      </c>
      <c r="AH491">
        <v>0.01</v>
      </c>
      <c r="AI491">
        <v>19.100000000000001</v>
      </c>
      <c r="AJ491" t="s">
        <v>67</v>
      </c>
      <c r="AK491">
        <v>0.2</v>
      </c>
      <c r="AL491">
        <v>19.2</v>
      </c>
      <c r="AM491" t="s">
        <v>67</v>
      </c>
      <c r="AN491">
        <v>0.1</v>
      </c>
      <c r="AO491">
        <v>1063</v>
      </c>
      <c r="AP491">
        <v>0.1</v>
      </c>
      <c r="AQ491" t="s">
        <v>67</v>
      </c>
      <c r="AR491" t="s">
        <v>405</v>
      </c>
      <c r="AS491" t="s">
        <v>278</v>
      </c>
      <c r="AT491" t="s">
        <v>135</v>
      </c>
      <c r="AU491" t="s">
        <v>406</v>
      </c>
      <c r="AV491" t="s">
        <v>132</v>
      </c>
      <c r="AX491" t="s">
        <v>73</v>
      </c>
      <c r="AY491">
        <v>4.0388999999999999</v>
      </c>
      <c r="AZ491">
        <v>4.0388700000000002</v>
      </c>
      <c r="BA491">
        <v>0.28999999999999998</v>
      </c>
      <c r="BC491">
        <v>18</v>
      </c>
      <c r="BD491">
        <v>4.6245000000000003</v>
      </c>
      <c r="BE491">
        <v>4.6245222220000004</v>
      </c>
      <c r="BF491">
        <v>0.47370000000000001</v>
      </c>
      <c r="BH491">
        <v>18</v>
      </c>
      <c r="BI491">
        <v>30</v>
      </c>
      <c r="BJ491">
        <v>3</v>
      </c>
      <c r="BK491">
        <v>0.13539999999999999</v>
      </c>
      <c r="BL491">
        <v>1.5699999999999999E-2</v>
      </c>
    </row>
    <row r="492" spans="1:64" hidden="1" x14ac:dyDescent="0.2">
      <c r="A492">
        <v>142</v>
      </c>
      <c r="D492" t="s">
        <v>54</v>
      </c>
      <c r="E492">
        <v>2017</v>
      </c>
      <c r="F492" t="s">
        <v>193</v>
      </c>
      <c r="G492" t="s">
        <v>181</v>
      </c>
      <c r="H492" t="s">
        <v>78</v>
      </c>
      <c r="K492" t="s">
        <v>194</v>
      </c>
      <c r="L492" t="s">
        <v>195</v>
      </c>
      <c r="M492" t="s">
        <v>120</v>
      </c>
      <c r="N492" t="s">
        <v>120</v>
      </c>
      <c r="O492" t="s">
        <v>106</v>
      </c>
      <c r="P492" t="s">
        <v>196</v>
      </c>
      <c r="Q492" t="s">
        <v>64</v>
      </c>
      <c r="R492" t="s">
        <v>83</v>
      </c>
      <c r="S492" t="s">
        <v>74</v>
      </c>
      <c r="T492" t="s">
        <v>64</v>
      </c>
      <c r="U492" t="s">
        <v>75</v>
      </c>
      <c r="V492">
        <v>439</v>
      </c>
      <c r="W492">
        <v>16.079999999999998</v>
      </c>
      <c r="X492" t="s">
        <v>67</v>
      </c>
      <c r="Y492" t="s">
        <v>67</v>
      </c>
      <c r="Z492" t="s">
        <v>67</v>
      </c>
      <c r="AA492" t="s">
        <v>67</v>
      </c>
      <c r="AB492" t="s">
        <v>67</v>
      </c>
      <c r="AC492">
        <v>525</v>
      </c>
      <c r="AD492">
        <v>21.07</v>
      </c>
      <c r="AE492" t="s">
        <v>67</v>
      </c>
      <c r="AF492" t="s">
        <v>67</v>
      </c>
      <c r="AG492" t="s">
        <v>67</v>
      </c>
      <c r="AH492" t="s">
        <v>67</v>
      </c>
      <c r="AI492">
        <v>-0.6</v>
      </c>
      <c r="AJ492">
        <v>0.17</v>
      </c>
      <c r="AK492" t="s">
        <v>67</v>
      </c>
      <c r="AL492">
        <v>4</v>
      </c>
      <c r="AM492">
        <v>0.44</v>
      </c>
      <c r="AN492" t="s">
        <v>67</v>
      </c>
      <c r="AO492">
        <v>86</v>
      </c>
      <c r="AP492">
        <v>4.5999999999999996</v>
      </c>
      <c r="AQ492" t="s">
        <v>67</v>
      </c>
      <c r="AR492" t="s">
        <v>356</v>
      </c>
      <c r="AS492" t="s">
        <v>134</v>
      </c>
      <c r="AT492" t="s">
        <v>135</v>
      </c>
      <c r="AU492" t="s">
        <v>357</v>
      </c>
      <c r="AV492" t="s">
        <v>137</v>
      </c>
      <c r="AX492" t="s">
        <v>73</v>
      </c>
      <c r="AY492">
        <v>26.58</v>
      </c>
      <c r="AZ492">
        <v>26.58</v>
      </c>
      <c r="BA492">
        <v>3.14</v>
      </c>
      <c r="BC492">
        <v>5</v>
      </c>
      <c r="BD492">
        <v>48.387099999999997</v>
      </c>
      <c r="BE492">
        <v>48.387096769999999</v>
      </c>
      <c r="BF492">
        <v>2.0160999999999998</v>
      </c>
      <c r="BH492">
        <v>5</v>
      </c>
      <c r="BI492">
        <v>56</v>
      </c>
      <c r="BJ492">
        <v>1</v>
      </c>
      <c r="BK492">
        <v>0.59909999999999997</v>
      </c>
      <c r="BL492">
        <v>1.5699999999999999E-2</v>
      </c>
    </row>
    <row r="493" spans="1:64" hidden="1" x14ac:dyDescent="0.2">
      <c r="A493">
        <v>133</v>
      </c>
      <c r="D493" t="s">
        <v>54</v>
      </c>
      <c r="E493">
        <v>2015</v>
      </c>
      <c r="F493" t="s">
        <v>414</v>
      </c>
      <c r="G493" t="s">
        <v>154</v>
      </c>
      <c r="H493" t="s">
        <v>78</v>
      </c>
      <c r="K493" t="s">
        <v>93</v>
      </c>
      <c r="L493" t="s">
        <v>439</v>
      </c>
      <c r="M493" t="s">
        <v>95</v>
      </c>
      <c r="N493" t="s">
        <v>61</v>
      </c>
      <c r="O493" t="s">
        <v>62</v>
      </c>
      <c r="P493" t="s">
        <v>63</v>
      </c>
      <c r="Q493" t="s">
        <v>64</v>
      </c>
      <c r="R493" t="s">
        <v>83</v>
      </c>
      <c r="S493" t="s">
        <v>64</v>
      </c>
      <c r="T493" t="s">
        <v>74</v>
      </c>
      <c r="U493" t="s">
        <v>84</v>
      </c>
      <c r="V493">
        <v>436</v>
      </c>
      <c r="W493" t="s">
        <v>67</v>
      </c>
      <c r="X493">
        <v>13.6</v>
      </c>
      <c r="Y493" t="s">
        <v>96</v>
      </c>
      <c r="Z493">
        <v>8.15</v>
      </c>
      <c r="AA493" t="s">
        <v>67</v>
      </c>
      <c r="AB493">
        <v>0.01</v>
      </c>
      <c r="AC493">
        <v>985</v>
      </c>
      <c r="AD493" t="s">
        <v>67</v>
      </c>
      <c r="AE493">
        <v>10.6</v>
      </c>
      <c r="AF493">
        <v>7.85</v>
      </c>
      <c r="AG493" t="s">
        <v>67</v>
      </c>
      <c r="AH493">
        <v>0</v>
      </c>
      <c r="AI493">
        <v>27.8</v>
      </c>
      <c r="AJ493" t="s">
        <v>67</v>
      </c>
      <c r="AK493">
        <v>0.1</v>
      </c>
      <c r="AL493">
        <v>27.8</v>
      </c>
      <c r="AM493" t="s">
        <v>67</v>
      </c>
      <c r="AN493">
        <v>0.1</v>
      </c>
      <c r="AO493">
        <v>549</v>
      </c>
      <c r="AP493">
        <v>0</v>
      </c>
      <c r="AQ493" t="s">
        <v>67</v>
      </c>
      <c r="AR493" t="s">
        <v>416</v>
      </c>
      <c r="AS493" t="s">
        <v>416</v>
      </c>
      <c r="AT493" t="s">
        <v>135</v>
      </c>
      <c r="AU493" t="s">
        <v>417</v>
      </c>
      <c r="AV493" t="s">
        <v>251</v>
      </c>
      <c r="AX493" t="s">
        <v>73</v>
      </c>
      <c r="AY493">
        <v>0.68</v>
      </c>
      <c r="AZ493">
        <v>0.68</v>
      </c>
      <c r="BA493">
        <v>7.0000000000000007E-2</v>
      </c>
      <c r="BC493">
        <v>18</v>
      </c>
      <c r="BD493">
        <v>0.28000000000000003</v>
      </c>
      <c r="BE493">
        <v>0.28000000000000003</v>
      </c>
      <c r="BF493">
        <v>0.02</v>
      </c>
      <c r="BH493">
        <v>18</v>
      </c>
      <c r="BI493">
        <v>4</v>
      </c>
      <c r="BJ493" t="s">
        <v>67</v>
      </c>
      <c r="BK493">
        <v>-0.88729999999999998</v>
      </c>
      <c r="BL493">
        <v>1.5699999999999999E-2</v>
      </c>
    </row>
    <row r="494" spans="1:64" hidden="1" x14ac:dyDescent="0.2">
      <c r="A494">
        <v>162</v>
      </c>
      <c r="D494" t="s">
        <v>54</v>
      </c>
      <c r="E494">
        <v>2018</v>
      </c>
      <c r="F494" t="s">
        <v>404</v>
      </c>
      <c r="G494" t="s">
        <v>255</v>
      </c>
      <c r="H494" t="s">
        <v>78</v>
      </c>
      <c r="K494" t="s">
        <v>79</v>
      </c>
      <c r="L494" t="s">
        <v>190</v>
      </c>
      <c r="M494" t="s">
        <v>156</v>
      </c>
      <c r="N494" t="s">
        <v>156</v>
      </c>
      <c r="O494" t="s">
        <v>110</v>
      </c>
      <c r="P494" t="s">
        <v>63</v>
      </c>
      <c r="Q494" t="s">
        <v>74</v>
      </c>
      <c r="R494" t="s">
        <v>83</v>
      </c>
      <c r="S494" t="s">
        <v>74</v>
      </c>
      <c r="T494" t="s">
        <v>64</v>
      </c>
      <c r="U494" t="s">
        <v>75</v>
      </c>
      <c r="V494">
        <v>391</v>
      </c>
      <c r="W494" t="s">
        <v>67</v>
      </c>
      <c r="X494">
        <v>17</v>
      </c>
      <c r="Y494" t="s">
        <v>157</v>
      </c>
      <c r="Z494">
        <v>8.0299999999999994</v>
      </c>
      <c r="AA494" t="s">
        <v>67</v>
      </c>
      <c r="AB494">
        <v>0.01</v>
      </c>
      <c r="AC494">
        <v>404</v>
      </c>
      <c r="AD494" t="s">
        <v>67</v>
      </c>
      <c r="AE494">
        <v>14</v>
      </c>
      <c r="AF494">
        <v>8.0299999999999994</v>
      </c>
      <c r="AG494" t="s">
        <v>67</v>
      </c>
      <c r="AH494">
        <v>0.01</v>
      </c>
      <c r="AI494">
        <v>19.100000000000001</v>
      </c>
      <c r="AJ494" t="s">
        <v>67</v>
      </c>
      <c r="AK494">
        <v>0.2</v>
      </c>
      <c r="AL494">
        <v>23.2</v>
      </c>
      <c r="AM494" t="s">
        <v>67</v>
      </c>
      <c r="AN494">
        <v>0.1</v>
      </c>
      <c r="AO494">
        <v>13</v>
      </c>
      <c r="AP494">
        <v>4.0999999999999996</v>
      </c>
      <c r="AQ494" t="s">
        <v>67</v>
      </c>
      <c r="AR494" t="s">
        <v>405</v>
      </c>
      <c r="AS494" t="s">
        <v>278</v>
      </c>
      <c r="AT494" t="s">
        <v>135</v>
      </c>
      <c r="AU494" t="s">
        <v>406</v>
      </c>
      <c r="AV494" t="s">
        <v>132</v>
      </c>
      <c r="AX494" t="s">
        <v>73</v>
      </c>
      <c r="AY494">
        <v>4.0388999999999999</v>
      </c>
      <c r="AZ494">
        <v>4.0388700000000002</v>
      </c>
      <c r="BA494">
        <v>0.28999999999999998</v>
      </c>
      <c r="BC494">
        <v>18</v>
      </c>
      <c r="BD494">
        <v>4.4748999999999999</v>
      </c>
      <c r="BE494">
        <v>4.4748722220000001</v>
      </c>
      <c r="BF494">
        <v>0.4607</v>
      </c>
      <c r="BH494">
        <v>18</v>
      </c>
      <c r="BI494">
        <v>30</v>
      </c>
      <c r="BJ494">
        <v>3</v>
      </c>
      <c r="BK494">
        <v>0.10249999999999999</v>
      </c>
      <c r="BL494">
        <v>1.5800000000000002E-2</v>
      </c>
    </row>
    <row r="495" spans="1:64" hidden="1" x14ac:dyDescent="0.2">
      <c r="A495">
        <v>209</v>
      </c>
      <c r="D495" t="s">
        <v>54</v>
      </c>
      <c r="E495">
        <v>2020</v>
      </c>
      <c r="F495" t="s">
        <v>223</v>
      </c>
      <c r="G495" t="s">
        <v>224</v>
      </c>
      <c r="H495" t="s">
        <v>78</v>
      </c>
      <c r="K495" t="s">
        <v>205</v>
      </c>
      <c r="L495" t="s">
        <v>206</v>
      </c>
      <c r="M495" t="s">
        <v>81</v>
      </c>
      <c r="N495" t="s">
        <v>81</v>
      </c>
      <c r="O495" t="s">
        <v>110</v>
      </c>
      <c r="P495" t="s">
        <v>63</v>
      </c>
      <c r="Q495" t="s">
        <v>64</v>
      </c>
      <c r="R495" t="s">
        <v>83</v>
      </c>
      <c r="S495" t="s">
        <v>64</v>
      </c>
      <c r="T495" t="s">
        <v>74</v>
      </c>
      <c r="U495" t="s">
        <v>84</v>
      </c>
      <c r="V495">
        <v>434.51</v>
      </c>
      <c r="W495" t="s">
        <v>67</v>
      </c>
      <c r="X495">
        <v>49.9</v>
      </c>
      <c r="Y495" t="s">
        <v>68</v>
      </c>
      <c r="Z495">
        <v>8.01</v>
      </c>
      <c r="AA495" t="s">
        <v>67</v>
      </c>
      <c r="AB495">
        <v>0.04</v>
      </c>
      <c r="AC495">
        <v>915.08</v>
      </c>
      <c r="AD495" t="s">
        <v>67</v>
      </c>
      <c r="AE495">
        <v>127.39</v>
      </c>
      <c r="AF495">
        <v>7.72</v>
      </c>
      <c r="AG495" t="s">
        <v>67</v>
      </c>
      <c r="AH495">
        <v>0.08</v>
      </c>
      <c r="AI495">
        <v>8.1999999999999993</v>
      </c>
      <c r="AJ495" t="s">
        <v>67</v>
      </c>
      <c r="AK495">
        <v>0.11</v>
      </c>
      <c r="AL495">
        <v>8.1</v>
      </c>
      <c r="AM495" t="s">
        <v>67</v>
      </c>
      <c r="AN495">
        <v>0.17</v>
      </c>
      <c r="AO495">
        <v>481</v>
      </c>
      <c r="AP495">
        <v>-0.1</v>
      </c>
      <c r="AQ495" t="s">
        <v>67</v>
      </c>
      <c r="AR495" t="s">
        <v>98</v>
      </c>
      <c r="AS495" t="s">
        <v>98</v>
      </c>
      <c r="AT495" t="s">
        <v>70</v>
      </c>
      <c r="AU495" t="s">
        <v>226</v>
      </c>
      <c r="AV495" t="s">
        <v>72</v>
      </c>
      <c r="AX495" t="s">
        <v>73</v>
      </c>
      <c r="AY495">
        <v>22.37</v>
      </c>
      <c r="AZ495">
        <v>22.37</v>
      </c>
      <c r="BA495">
        <v>2.5</v>
      </c>
      <c r="BC495">
        <v>3</v>
      </c>
      <c r="BD495">
        <v>22.77</v>
      </c>
      <c r="BE495">
        <v>22.77</v>
      </c>
      <c r="BF495">
        <v>1.31</v>
      </c>
      <c r="BH495">
        <v>4</v>
      </c>
      <c r="BI495">
        <v>120</v>
      </c>
      <c r="BJ495">
        <v>12</v>
      </c>
      <c r="BK495">
        <v>1.77E-2</v>
      </c>
      <c r="BL495">
        <v>1.5800000000000002E-2</v>
      </c>
    </row>
    <row r="496" spans="1:64" hidden="1" x14ac:dyDescent="0.2">
      <c r="A496">
        <v>147</v>
      </c>
      <c r="D496" t="s">
        <v>54</v>
      </c>
      <c r="E496">
        <v>2014</v>
      </c>
      <c r="F496" t="s">
        <v>317</v>
      </c>
      <c r="G496" t="s">
        <v>318</v>
      </c>
      <c r="H496" t="s">
        <v>78</v>
      </c>
      <c r="K496" t="s">
        <v>319</v>
      </c>
      <c r="L496" t="s">
        <v>320</v>
      </c>
      <c r="M496" t="s">
        <v>81</v>
      </c>
      <c r="N496" t="s">
        <v>81</v>
      </c>
      <c r="O496" t="s">
        <v>62</v>
      </c>
      <c r="P496" t="s">
        <v>63</v>
      </c>
      <c r="Q496" t="s">
        <v>74</v>
      </c>
      <c r="R496" t="s">
        <v>83</v>
      </c>
      <c r="S496" t="s">
        <v>64</v>
      </c>
      <c r="T496" t="s">
        <v>64</v>
      </c>
      <c r="U496" t="s">
        <v>66</v>
      </c>
      <c r="V496">
        <v>330</v>
      </c>
      <c r="W496">
        <v>9.5</v>
      </c>
      <c r="X496" t="s">
        <v>67</v>
      </c>
      <c r="Y496" t="s">
        <v>68</v>
      </c>
      <c r="Z496">
        <v>8.11</v>
      </c>
      <c r="AA496">
        <v>0.01</v>
      </c>
      <c r="AB496" t="s">
        <v>67</v>
      </c>
      <c r="AC496">
        <v>1303</v>
      </c>
      <c r="AD496">
        <v>61.5</v>
      </c>
      <c r="AE496" t="s">
        <v>67</v>
      </c>
      <c r="AF496">
        <v>7.59</v>
      </c>
      <c r="AG496">
        <v>0.02</v>
      </c>
      <c r="AH496" t="s">
        <v>67</v>
      </c>
      <c r="AI496">
        <v>5.2</v>
      </c>
      <c r="AJ496">
        <v>0.11</v>
      </c>
      <c r="AK496" t="s">
        <v>67</v>
      </c>
      <c r="AL496">
        <v>11.7</v>
      </c>
      <c r="AM496">
        <v>0.03</v>
      </c>
      <c r="AN496" t="s">
        <v>67</v>
      </c>
      <c r="AO496">
        <v>973</v>
      </c>
      <c r="AP496">
        <v>6.6</v>
      </c>
      <c r="AQ496" t="s">
        <v>67</v>
      </c>
      <c r="AR496" t="s">
        <v>113</v>
      </c>
      <c r="AS496" t="s">
        <v>113</v>
      </c>
      <c r="AT496" t="s">
        <v>70</v>
      </c>
      <c r="AU496" t="s">
        <v>442</v>
      </c>
      <c r="AV496" t="s">
        <v>72</v>
      </c>
      <c r="AX496" t="s">
        <v>73</v>
      </c>
      <c r="AY496">
        <v>0.46760000000000002</v>
      </c>
      <c r="AZ496">
        <v>0.46761999999999998</v>
      </c>
      <c r="BA496">
        <v>0.06</v>
      </c>
      <c r="BC496">
        <v>38</v>
      </c>
      <c r="BD496">
        <v>1.1518999999999999</v>
      </c>
      <c r="BE496">
        <v>1.1518624639999999</v>
      </c>
      <c r="BF496">
        <v>5.16E-2</v>
      </c>
      <c r="BH496">
        <v>38</v>
      </c>
      <c r="BI496">
        <v>105</v>
      </c>
      <c r="BJ496">
        <v>2</v>
      </c>
      <c r="BK496">
        <v>0.90149999999999997</v>
      </c>
      <c r="BL496">
        <v>1.5800000000000002E-2</v>
      </c>
    </row>
    <row r="497" spans="1:65" hidden="1" x14ac:dyDescent="0.2">
      <c r="A497">
        <v>171</v>
      </c>
      <c r="C497" t="s">
        <v>549</v>
      </c>
      <c r="D497" t="s">
        <v>54</v>
      </c>
      <c r="E497">
        <v>2015</v>
      </c>
      <c r="F497" t="s">
        <v>198</v>
      </c>
      <c r="G497" t="s">
        <v>199</v>
      </c>
      <c r="H497" t="s">
        <v>57</v>
      </c>
      <c r="K497" t="s">
        <v>79</v>
      </c>
      <c r="L497" t="s">
        <v>200</v>
      </c>
      <c r="M497" t="s">
        <v>81</v>
      </c>
      <c r="N497" t="s">
        <v>81</v>
      </c>
      <c r="O497" t="s">
        <v>62</v>
      </c>
      <c r="P497" t="s">
        <v>82</v>
      </c>
      <c r="Q497" t="s">
        <v>64</v>
      </c>
      <c r="R497" t="s">
        <v>65</v>
      </c>
      <c r="S497" t="s">
        <v>64</v>
      </c>
      <c r="T497" t="s">
        <v>74</v>
      </c>
      <c r="U497" t="s">
        <v>84</v>
      </c>
      <c r="V497">
        <v>422.07</v>
      </c>
      <c r="W497" t="s">
        <v>67</v>
      </c>
      <c r="X497">
        <v>16.57</v>
      </c>
      <c r="Y497" t="s">
        <v>96</v>
      </c>
      <c r="Z497">
        <v>8.1</v>
      </c>
      <c r="AA497" t="s">
        <v>67</v>
      </c>
      <c r="AB497">
        <v>0.05</v>
      </c>
      <c r="AC497">
        <v>1115.6199999999999</v>
      </c>
      <c r="AD497" t="s">
        <v>67</v>
      </c>
      <c r="AE497">
        <v>59.33</v>
      </c>
      <c r="AF497">
        <v>7.7</v>
      </c>
      <c r="AG497" t="s">
        <v>67</v>
      </c>
      <c r="AH497">
        <v>0.05</v>
      </c>
      <c r="AI497">
        <v>15</v>
      </c>
      <c r="AJ497" t="s">
        <v>67</v>
      </c>
      <c r="AK497">
        <v>0.5</v>
      </c>
      <c r="AL497">
        <v>15</v>
      </c>
      <c r="AM497" t="s">
        <v>67</v>
      </c>
      <c r="AN497">
        <v>0.5</v>
      </c>
      <c r="AO497">
        <v>694</v>
      </c>
      <c r="AP497">
        <v>0</v>
      </c>
      <c r="AQ497" t="s">
        <v>201</v>
      </c>
      <c r="AR497" t="s">
        <v>104</v>
      </c>
      <c r="AS497" t="s">
        <v>105</v>
      </c>
      <c r="AT497" t="s">
        <v>70</v>
      </c>
      <c r="AU497" t="s">
        <v>89</v>
      </c>
      <c r="AV497" t="s">
        <v>88</v>
      </c>
      <c r="AW497" t="s">
        <v>151</v>
      </c>
      <c r="AX497" t="s">
        <v>90</v>
      </c>
      <c r="AY497">
        <v>88.090299999999999</v>
      </c>
      <c r="AZ497">
        <v>88.090350000000001</v>
      </c>
      <c r="BA497">
        <v>7.1868999999999996</v>
      </c>
      <c r="BC497">
        <v>77</v>
      </c>
      <c r="BD497">
        <v>81.3142</v>
      </c>
      <c r="BE497">
        <v>81.314168379999998</v>
      </c>
      <c r="BF497">
        <v>7.8029000000000002</v>
      </c>
      <c r="BH497">
        <v>77</v>
      </c>
      <c r="BI497">
        <v>174</v>
      </c>
      <c r="BJ497">
        <v>5</v>
      </c>
      <c r="BK497">
        <v>-0.08</v>
      </c>
      <c r="BL497">
        <v>1.5900000000000001E-2</v>
      </c>
    </row>
    <row r="498" spans="1:65" hidden="1" x14ac:dyDescent="0.2">
      <c r="A498">
        <v>147</v>
      </c>
      <c r="D498" t="s">
        <v>54</v>
      </c>
      <c r="E498">
        <v>2014</v>
      </c>
      <c r="F498" t="s">
        <v>317</v>
      </c>
      <c r="G498" t="s">
        <v>318</v>
      </c>
      <c r="H498" t="s">
        <v>78</v>
      </c>
      <c r="K498" t="s">
        <v>319</v>
      </c>
      <c r="L498" t="s">
        <v>320</v>
      </c>
      <c r="M498" t="s">
        <v>81</v>
      </c>
      <c r="N498" t="s">
        <v>81</v>
      </c>
      <c r="O498" t="s">
        <v>62</v>
      </c>
      <c r="P498" t="s">
        <v>63</v>
      </c>
      <c r="Q498" t="s">
        <v>74</v>
      </c>
      <c r="R498" t="s">
        <v>83</v>
      </c>
      <c r="S498" t="s">
        <v>64</v>
      </c>
      <c r="T498" t="s">
        <v>64</v>
      </c>
      <c r="U498" t="s">
        <v>66</v>
      </c>
      <c r="V498">
        <v>330</v>
      </c>
      <c r="W498">
        <v>9.5</v>
      </c>
      <c r="X498" t="s">
        <v>67</v>
      </c>
      <c r="Y498" t="s">
        <v>68</v>
      </c>
      <c r="Z498">
        <v>8.11</v>
      </c>
      <c r="AA498">
        <v>0.01</v>
      </c>
      <c r="AB498" t="s">
        <v>67</v>
      </c>
      <c r="AC498">
        <v>1444</v>
      </c>
      <c r="AD498">
        <v>68.5</v>
      </c>
      <c r="AE498" t="s">
        <v>67</v>
      </c>
      <c r="AF498">
        <v>7.56</v>
      </c>
      <c r="AG498">
        <v>0.02</v>
      </c>
      <c r="AH498" t="s">
        <v>67</v>
      </c>
      <c r="AI498">
        <v>5.2</v>
      </c>
      <c r="AJ498">
        <v>0.11</v>
      </c>
      <c r="AK498" t="s">
        <v>67</v>
      </c>
      <c r="AL498">
        <v>13.6</v>
      </c>
      <c r="AM498">
        <v>0.08</v>
      </c>
      <c r="AN498" t="s">
        <v>67</v>
      </c>
      <c r="AO498">
        <v>1114</v>
      </c>
      <c r="AP498">
        <v>8.5</v>
      </c>
      <c r="AQ498" t="s">
        <v>67</v>
      </c>
      <c r="AR498" t="s">
        <v>113</v>
      </c>
      <c r="AS498" t="s">
        <v>113</v>
      </c>
      <c r="AT498" t="s">
        <v>70</v>
      </c>
      <c r="AU498" t="s">
        <v>442</v>
      </c>
      <c r="AV498" t="s">
        <v>72</v>
      </c>
      <c r="AX498" t="s">
        <v>73</v>
      </c>
      <c r="AY498">
        <v>0.46760000000000002</v>
      </c>
      <c r="AZ498">
        <v>0.46761999999999998</v>
      </c>
      <c r="BA498">
        <v>0.06</v>
      </c>
      <c r="BC498">
        <v>38</v>
      </c>
      <c r="BD498">
        <v>1.1347</v>
      </c>
      <c r="BE498">
        <v>1.1346704869999999</v>
      </c>
      <c r="BF498">
        <v>5.16E-2</v>
      </c>
      <c r="BH498">
        <v>38</v>
      </c>
      <c r="BI498">
        <v>105</v>
      </c>
      <c r="BJ498">
        <v>2</v>
      </c>
      <c r="BK498">
        <v>0.88639999999999997</v>
      </c>
      <c r="BL498">
        <v>1.5900000000000001E-2</v>
      </c>
    </row>
    <row r="499" spans="1:65" hidden="1" x14ac:dyDescent="0.2">
      <c r="A499">
        <v>147</v>
      </c>
      <c r="D499" t="s">
        <v>54</v>
      </c>
      <c r="E499">
        <v>2014</v>
      </c>
      <c r="F499" t="s">
        <v>317</v>
      </c>
      <c r="G499" t="s">
        <v>318</v>
      </c>
      <c r="H499" t="s">
        <v>78</v>
      </c>
      <c r="K499" t="s">
        <v>319</v>
      </c>
      <c r="L499" t="s">
        <v>320</v>
      </c>
      <c r="M499" t="s">
        <v>81</v>
      </c>
      <c r="N499" t="s">
        <v>81</v>
      </c>
      <c r="O499" t="s">
        <v>62</v>
      </c>
      <c r="P499" t="s">
        <v>63</v>
      </c>
      <c r="Q499" t="s">
        <v>74</v>
      </c>
      <c r="R499" t="s">
        <v>83</v>
      </c>
      <c r="S499" t="s">
        <v>74</v>
      </c>
      <c r="T499" t="s">
        <v>64</v>
      </c>
      <c r="U499" t="s">
        <v>75</v>
      </c>
      <c r="V499">
        <v>330</v>
      </c>
      <c r="W499">
        <v>9.5</v>
      </c>
      <c r="X499" t="s">
        <v>67</v>
      </c>
      <c r="Y499" t="s">
        <v>68</v>
      </c>
      <c r="Z499">
        <v>8.11</v>
      </c>
      <c r="AA499">
        <v>0.01</v>
      </c>
      <c r="AB499" t="s">
        <v>67</v>
      </c>
      <c r="AC499">
        <v>427</v>
      </c>
      <c r="AD499">
        <v>11</v>
      </c>
      <c r="AE499" t="s">
        <v>67</v>
      </c>
      <c r="AF499">
        <v>8.02</v>
      </c>
      <c r="AG499">
        <v>0.01</v>
      </c>
      <c r="AH499" t="s">
        <v>67</v>
      </c>
      <c r="AI499">
        <v>5.2</v>
      </c>
      <c r="AJ499">
        <v>0.11</v>
      </c>
      <c r="AK499" t="s">
        <v>67</v>
      </c>
      <c r="AL499">
        <v>10</v>
      </c>
      <c r="AM499">
        <v>0.02</v>
      </c>
      <c r="AN499" t="s">
        <v>67</v>
      </c>
      <c r="AO499">
        <v>97</v>
      </c>
      <c r="AP499">
        <v>4.9000000000000004</v>
      </c>
      <c r="AQ499" t="s">
        <v>67</v>
      </c>
      <c r="AR499" t="s">
        <v>113</v>
      </c>
      <c r="AS499" t="s">
        <v>113</v>
      </c>
      <c r="AT499" t="s">
        <v>70</v>
      </c>
      <c r="AU499" t="s">
        <v>442</v>
      </c>
      <c r="AV499" t="s">
        <v>72</v>
      </c>
      <c r="AX499" t="s">
        <v>73</v>
      </c>
      <c r="AY499">
        <v>0.46760000000000002</v>
      </c>
      <c r="AZ499">
        <v>0.46761999999999998</v>
      </c>
      <c r="BA499">
        <v>0.06</v>
      </c>
      <c r="BC499">
        <v>38</v>
      </c>
      <c r="BD499">
        <v>1.1691</v>
      </c>
      <c r="BE499">
        <v>1.1690544410000001</v>
      </c>
      <c r="BF499">
        <v>5.5E-2</v>
      </c>
      <c r="BH499">
        <v>38</v>
      </c>
      <c r="BI499">
        <v>105</v>
      </c>
      <c r="BJ499">
        <v>2</v>
      </c>
      <c r="BK499">
        <v>0.9163</v>
      </c>
      <c r="BL499">
        <v>1.61E-2</v>
      </c>
    </row>
    <row r="500" spans="1:65" hidden="1" x14ac:dyDescent="0.2">
      <c r="A500">
        <v>147</v>
      </c>
      <c r="D500" t="s">
        <v>54</v>
      </c>
      <c r="E500">
        <v>2014</v>
      </c>
      <c r="F500" t="s">
        <v>317</v>
      </c>
      <c r="G500" t="s">
        <v>318</v>
      </c>
      <c r="H500" t="s">
        <v>78</v>
      </c>
      <c r="K500" t="s">
        <v>319</v>
      </c>
      <c r="L500" t="s">
        <v>320</v>
      </c>
      <c r="M500" t="s">
        <v>81</v>
      </c>
      <c r="N500" t="s">
        <v>81</v>
      </c>
      <c r="O500" t="s">
        <v>62</v>
      </c>
      <c r="P500" t="s">
        <v>63</v>
      </c>
      <c r="Q500" t="s">
        <v>74</v>
      </c>
      <c r="R500" t="s">
        <v>83</v>
      </c>
      <c r="S500" t="s">
        <v>64</v>
      </c>
      <c r="T500" t="s">
        <v>64</v>
      </c>
      <c r="U500" t="s">
        <v>66</v>
      </c>
      <c r="V500">
        <v>330</v>
      </c>
      <c r="W500">
        <v>9.5</v>
      </c>
      <c r="X500" t="s">
        <v>67</v>
      </c>
      <c r="Y500" t="s">
        <v>68</v>
      </c>
      <c r="Z500">
        <v>8.11</v>
      </c>
      <c r="AA500">
        <v>0.01</v>
      </c>
      <c r="AB500" t="s">
        <v>67</v>
      </c>
      <c r="AC500">
        <v>1113</v>
      </c>
      <c r="AD500">
        <v>61</v>
      </c>
      <c r="AE500" t="s">
        <v>67</v>
      </c>
      <c r="AF500">
        <v>7.64</v>
      </c>
      <c r="AG500">
        <v>0.02</v>
      </c>
      <c r="AH500" t="s">
        <v>67</v>
      </c>
      <c r="AI500">
        <v>5.2</v>
      </c>
      <c r="AJ500">
        <v>0.11</v>
      </c>
      <c r="AK500" t="s">
        <v>67</v>
      </c>
      <c r="AL500">
        <v>10</v>
      </c>
      <c r="AM500">
        <v>0.02</v>
      </c>
      <c r="AN500" t="s">
        <v>67</v>
      </c>
      <c r="AO500">
        <v>783</v>
      </c>
      <c r="AP500">
        <v>4.9000000000000004</v>
      </c>
      <c r="AQ500" t="s">
        <v>67</v>
      </c>
      <c r="AR500" t="s">
        <v>113</v>
      </c>
      <c r="AS500" t="s">
        <v>113</v>
      </c>
      <c r="AT500" t="s">
        <v>70</v>
      </c>
      <c r="AU500" t="s">
        <v>442</v>
      </c>
      <c r="AV500" t="s">
        <v>72</v>
      </c>
      <c r="AX500" t="s">
        <v>73</v>
      </c>
      <c r="AY500">
        <v>0.46760000000000002</v>
      </c>
      <c r="AZ500">
        <v>0.46761999999999998</v>
      </c>
      <c r="BA500">
        <v>0.06</v>
      </c>
      <c r="BC500">
        <v>38</v>
      </c>
      <c r="BD500">
        <v>1.1277999999999999</v>
      </c>
      <c r="BE500">
        <v>1.1277936959999999</v>
      </c>
      <c r="BF500">
        <v>5.33E-2</v>
      </c>
      <c r="BH500">
        <v>38</v>
      </c>
      <c r="BI500">
        <v>105</v>
      </c>
      <c r="BJ500">
        <v>2</v>
      </c>
      <c r="BK500">
        <v>0.88039999999999996</v>
      </c>
      <c r="BL500">
        <v>1.61E-2</v>
      </c>
    </row>
    <row r="501" spans="1:65" hidden="1" x14ac:dyDescent="0.2">
      <c r="A501">
        <v>138</v>
      </c>
      <c r="D501" t="s">
        <v>54</v>
      </c>
      <c r="E501">
        <v>2009</v>
      </c>
      <c r="F501" t="s">
        <v>443</v>
      </c>
      <c r="G501" t="s">
        <v>444</v>
      </c>
      <c r="H501" t="s">
        <v>78</v>
      </c>
      <c r="K501" t="s">
        <v>445</v>
      </c>
      <c r="L501" t="s">
        <v>446</v>
      </c>
      <c r="M501" t="s">
        <v>156</v>
      </c>
      <c r="N501" t="s">
        <v>156</v>
      </c>
      <c r="O501" t="s">
        <v>62</v>
      </c>
      <c r="P501" t="s">
        <v>196</v>
      </c>
      <c r="Q501" t="s">
        <v>64</v>
      </c>
      <c r="R501" t="s">
        <v>83</v>
      </c>
      <c r="S501" t="s">
        <v>74</v>
      </c>
      <c r="T501" t="s">
        <v>64</v>
      </c>
      <c r="U501" t="s">
        <v>75</v>
      </c>
      <c r="V501">
        <v>380</v>
      </c>
      <c r="W501" t="s">
        <v>67</v>
      </c>
      <c r="X501" t="s">
        <v>67</v>
      </c>
      <c r="Y501" t="s">
        <v>67</v>
      </c>
      <c r="Z501">
        <v>8.15</v>
      </c>
      <c r="AA501" t="s">
        <v>67</v>
      </c>
      <c r="AB501" t="s">
        <v>67</v>
      </c>
      <c r="AC501">
        <v>380</v>
      </c>
      <c r="AD501" t="s">
        <v>67</v>
      </c>
      <c r="AE501" t="s">
        <v>67</v>
      </c>
      <c r="AF501">
        <v>8.15</v>
      </c>
      <c r="AG501" t="s">
        <v>67</v>
      </c>
      <c r="AH501" t="s">
        <v>67</v>
      </c>
      <c r="AI501">
        <v>29</v>
      </c>
      <c r="AJ501" t="s">
        <v>67</v>
      </c>
      <c r="AK501">
        <v>0.5</v>
      </c>
      <c r="AL501">
        <v>31</v>
      </c>
      <c r="AM501" t="s">
        <v>67</v>
      </c>
      <c r="AN501">
        <v>0.5</v>
      </c>
      <c r="AO501">
        <v>0</v>
      </c>
      <c r="AP501">
        <v>2</v>
      </c>
      <c r="AQ501" t="s">
        <v>67</v>
      </c>
      <c r="AR501" t="s">
        <v>360</v>
      </c>
      <c r="AS501" t="s">
        <v>361</v>
      </c>
      <c r="AT501" t="s">
        <v>70</v>
      </c>
      <c r="AU501" t="s">
        <v>447</v>
      </c>
      <c r="AV501" t="s">
        <v>363</v>
      </c>
      <c r="AX501" t="s">
        <v>73</v>
      </c>
      <c r="AY501">
        <v>600</v>
      </c>
      <c r="AZ501">
        <v>600</v>
      </c>
      <c r="BA501">
        <v>55</v>
      </c>
      <c r="BC501">
        <v>10</v>
      </c>
      <c r="BD501">
        <v>490</v>
      </c>
      <c r="BE501">
        <v>490</v>
      </c>
      <c r="BF501">
        <v>43</v>
      </c>
      <c r="BH501">
        <v>10</v>
      </c>
      <c r="BI501">
        <v>7</v>
      </c>
      <c r="BJ501">
        <v>1</v>
      </c>
      <c r="BK501">
        <v>-0.20250000000000001</v>
      </c>
      <c r="BL501">
        <v>1.61E-2</v>
      </c>
    </row>
    <row r="502" spans="1:65" hidden="1" x14ac:dyDescent="0.2">
      <c r="A502">
        <v>140</v>
      </c>
      <c r="D502" t="s">
        <v>54</v>
      </c>
      <c r="E502">
        <v>2014</v>
      </c>
      <c r="F502" t="s">
        <v>427</v>
      </c>
      <c r="G502" t="s">
        <v>318</v>
      </c>
      <c r="H502" t="s">
        <v>78</v>
      </c>
      <c r="K502" t="s">
        <v>194</v>
      </c>
      <c r="L502" t="s">
        <v>215</v>
      </c>
      <c r="M502" t="s">
        <v>120</v>
      </c>
      <c r="N502" t="s">
        <v>120</v>
      </c>
      <c r="O502" t="s">
        <v>62</v>
      </c>
      <c r="P502" t="s">
        <v>196</v>
      </c>
      <c r="Q502" t="s">
        <v>64</v>
      </c>
      <c r="R502" t="s">
        <v>83</v>
      </c>
      <c r="S502" t="s">
        <v>74</v>
      </c>
      <c r="T502" t="s">
        <v>64</v>
      </c>
      <c r="U502" t="s">
        <v>75</v>
      </c>
      <c r="V502">
        <v>432</v>
      </c>
      <c r="W502" t="s">
        <v>67</v>
      </c>
      <c r="X502">
        <v>22.5</v>
      </c>
      <c r="Y502" t="s">
        <v>68</v>
      </c>
      <c r="Z502" t="s">
        <v>67</v>
      </c>
      <c r="AA502" t="s">
        <v>67</v>
      </c>
      <c r="AB502" t="s">
        <v>67</v>
      </c>
      <c r="AC502">
        <v>525</v>
      </c>
      <c r="AD502" t="s">
        <v>67</v>
      </c>
      <c r="AE502">
        <v>22.41</v>
      </c>
      <c r="AF502" t="s">
        <v>67</v>
      </c>
      <c r="AG502" t="s">
        <v>67</v>
      </c>
      <c r="AH502" t="s">
        <v>67</v>
      </c>
      <c r="AI502">
        <v>-0.7</v>
      </c>
      <c r="AJ502" t="s">
        <v>67</v>
      </c>
      <c r="AK502">
        <v>0.15</v>
      </c>
      <c r="AL502">
        <v>3.9</v>
      </c>
      <c r="AM502" t="s">
        <v>67</v>
      </c>
      <c r="AN502">
        <v>4.84</v>
      </c>
      <c r="AO502">
        <v>93</v>
      </c>
      <c r="AP502">
        <v>4.5999999999999996</v>
      </c>
      <c r="AQ502" t="s">
        <v>428</v>
      </c>
      <c r="AR502" t="s">
        <v>429</v>
      </c>
      <c r="AS502" t="s">
        <v>332</v>
      </c>
      <c r="AT502" t="s">
        <v>333</v>
      </c>
      <c r="AU502" t="s">
        <v>430</v>
      </c>
      <c r="AV502" t="s">
        <v>132</v>
      </c>
      <c r="AX502" t="s">
        <v>73</v>
      </c>
      <c r="AY502">
        <v>1.25</v>
      </c>
      <c r="AZ502">
        <v>1.25</v>
      </c>
      <c r="BA502">
        <v>0.08</v>
      </c>
      <c r="BC502">
        <v>5</v>
      </c>
      <c r="BD502">
        <v>1.3</v>
      </c>
      <c r="BE502">
        <v>1.3</v>
      </c>
      <c r="BF502">
        <v>0.14000000000000001</v>
      </c>
      <c r="BH502">
        <v>5</v>
      </c>
      <c r="BI502">
        <v>56</v>
      </c>
      <c r="BJ502">
        <v>1</v>
      </c>
      <c r="BK502">
        <v>-3.9199999999999999E-2</v>
      </c>
      <c r="BL502">
        <v>1.61E-2</v>
      </c>
      <c r="BM502" t="s">
        <v>420</v>
      </c>
    </row>
    <row r="503" spans="1:65" x14ac:dyDescent="0.2">
      <c r="A503">
        <v>152</v>
      </c>
      <c r="B503" t="str">
        <f>ROW()-1&amp;"_AltersFish"</f>
        <v>502_AltersFish</v>
      </c>
      <c r="C503" t="str">
        <f>A503 &amp; "_" &amp; P503 &amp; "_" &amp;
SUBSTITUTE(TRIM(L503)," ","_") &amp;
"_pH" &amp; TEXT(Z503,"0.00") &amp;
"_T" &amp; TEXT(AI503,"0.00") &amp;
"_CO2" &amp; TEXT(V503,"0") &amp;
"_LANG"</f>
        <v>152_LARVA_Sparus_aurata_pH8.09_T18.40_CO2342_LANG</v>
      </c>
      <c r="D503" t="s">
        <v>54</v>
      </c>
      <c r="E503">
        <v>2020</v>
      </c>
      <c r="F503" t="s">
        <v>267</v>
      </c>
      <c r="G503" t="s">
        <v>163</v>
      </c>
      <c r="H503" t="s">
        <v>78</v>
      </c>
      <c r="I503" t="s">
        <v>540</v>
      </c>
      <c r="J503" t="s">
        <v>543</v>
      </c>
      <c r="K503" t="s">
        <v>79</v>
      </c>
      <c r="L503" t="s">
        <v>164</v>
      </c>
      <c r="M503" t="s">
        <v>156</v>
      </c>
      <c r="N503" t="s">
        <v>156</v>
      </c>
      <c r="O503" t="s">
        <v>106</v>
      </c>
      <c r="P503" t="s">
        <v>107</v>
      </c>
      <c r="Q503" t="s">
        <v>74</v>
      </c>
      <c r="R503" t="s">
        <v>83</v>
      </c>
      <c r="S503" t="s">
        <v>64</v>
      </c>
      <c r="T503" t="s">
        <v>64</v>
      </c>
      <c r="U503" t="s">
        <v>66</v>
      </c>
      <c r="V503">
        <v>342</v>
      </c>
      <c r="W503">
        <v>73</v>
      </c>
      <c r="X503" t="s">
        <v>67</v>
      </c>
      <c r="Y503" t="s">
        <v>157</v>
      </c>
      <c r="Z503">
        <v>8.09</v>
      </c>
      <c r="AA503">
        <v>7.0000000000000007E-2</v>
      </c>
      <c r="AB503" t="s">
        <v>67</v>
      </c>
      <c r="AC503">
        <v>1473</v>
      </c>
      <c r="AD503">
        <v>92</v>
      </c>
      <c r="AE503" t="s">
        <v>67</v>
      </c>
      <c r="AF503">
        <v>7.53</v>
      </c>
      <c r="AG503">
        <v>0.04</v>
      </c>
      <c r="AH503" t="s">
        <v>67</v>
      </c>
      <c r="AI503">
        <v>18.399999999999999</v>
      </c>
      <c r="AJ503">
        <v>0.3</v>
      </c>
      <c r="AK503" t="s">
        <v>67</v>
      </c>
      <c r="AL503">
        <v>22.1</v>
      </c>
      <c r="AM503">
        <v>0.5</v>
      </c>
      <c r="AN503" t="s">
        <v>67</v>
      </c>
      <c r="AO503">
        <v>1131</v>
      </c>
      <c r="AP503">
        <v>3.7</v>
      </c>
      <c r="AQ503" t="s">
        <v>67</v>
      </c>
      <c r="AR503" t="s">
        <v>500</v>
      </c>
      <c r="AS503" t="s">
        <v>412</v>
      </c>
      <c r="AT503" t="s">
        <v>135</v>
      </c>
      <c r="AU503" t="s">
        <v>501</v>
      </c>
      <c r="AV503" t="s">
        <v>132</v>
      </c>
      <c r="AW503" t="s">
        <v>132</v>
      </c>
      <c r="AX503" t="s">
        <v>73</v>
      </c>
      <c r="AY503">
        <v>1.85</v>
      </c>
      <c r="AZ503">
        <v>1.85</v>
      </c>
      <c r="BA503">
        <v>0.25</v>
      </c>
      <c r="BB503">
        <f>BA503*SQRT(BC503)</f>
        <v>0.4330127018922193</v>
      </c>
      <c r="BC503">
        <v>3</v>
      </c>
      <c r="BD503">
        <v>1.55</v>
      </c>
      <c r="BE503">
        <v>1.55</v>
      </c>
      <c r="BF503">
        <v>0.14000000000000001</v>
      </c>
      <c r="BG503">
        <f>BF503*SQRT(BH503)</f>
        <v>0.24248711305964282</v>
      </c>
      <c r="BH503">
        <v>3</v>
      </c>
      <c r="BI503">
        <v>15</v>
      </c>
      <c r="BJ503">
        <v>3</v>
      </c>
      <c r="BK503">
        <v>-0.1769</v>
      </c>
      <c r="BL503">
        <v>4.6399999999999997E-2</v>
      </c>
    </row>
    <row r="504" spans="1:65" hidden="1" x14ac:dyDescent="0.2">
      <c r="A504">
        <v>171</v>
      </c>
      <c r="C504" t="s">
        <v>549</v>
      </c>
      <c r="D504" t="s">
        <v>54</v>
      </c>
      <c r="E504">
        <v>2015</v>
      </c>
      <c r="F504" t="s">
        <v>198</v>
      </c>
      <c r="G504" t="s">
        <v>199</v>
      </c>
      <c r="H504" t="s">
        <v>57</v>
      </c>
      <c r="K504" t="s">
        <v>79</v>
      </c>
      <c r="L504" t="s">
        <v>200</v>
      </c>
      <c r="M504" t="s">
        <v>81</v>
      </c>
      <c r="N504" t="s">
        <v>81</v>
      </c>
      <c r="O504" t="s">
        <v>62</v>
      </c>
      <c r="P504" t="s">
        <v>82</v>
      </c>
      <c r="Q504" t="s">
        <v>64</v>
      </c>
      <c r="R504" t="s">
        <v>65</v>
      </c>
      <c r="S504" t="s">
        <v>74</v>
      </c>
      <c r="T504" t="s">
        <v>64</v>
      </c>
      <c r="U504" t="s">
        <v>75</v>
      </c>
      <c r="V504">
        <v>422.07</v>
      </c>
      <c r="W504" t="s">
        <v>67</v>
      </c>
      <c r="X504">
        <v>16.57</v>
      </c>
      <c r="Y504" t="s">
        <v>96</v>
      </c>
      <c r="Z504">
        <v>8.1</v>
      </c>
      <c r="AA504" t="s">
        <v>67</v>
      </c>
      <c r="AB504">
        <v>0.05</v>
      </c>
      <c r="AC504">
        <v>414.68</v>
      </c>
      <c r="AD504" t="s">
        <v>67</v>
      </c>
      <c r="AE504">
        <v>5.22</v>
      </c>
      <c r="AF504">
        <v>8.1</v>
      </c>
      <c r="AG504" t="s">
        <v>67</v>
      </c>
      <c r="AH504">
        <v>0.05</v>
      </c>
      <c r="AI504">
        <v>15</v>
      </c>
      <c r="AJ504" t="s">
        <v>67</v>
      </c>
      <c r="AK504">
        <v>0.5</v>
      </c>
      <c r="AL504">
        <v>18</v>
      </c>
      <c r="AM504" t="s">
        <v>67</v>
      </c>
      <c r="AN504">
        <v>0.5</v>
      </c>
      <c r="AO504">
        <v>-7</v>
      </c>
      <c r="AP504">
        <v>3</v>
      </c>
      <c r="AQ504" t="s">
        <v>201</v>
      </c>
      <c r="AR504" t="s">
        <v>104</v>
      </c>
      <c r="AS504" t="s">
        <v>105</v>
      </c>
      <c r="AT504" t="s">
        <v>70</v>
      </c>
      <c r="AU504" t="s">
        <v>89</v>
      </c>
      <c r="AV504" t="s">
        <v>88</v>
      </c>
      <c r="AW504" t="s">
        <v>151</v>
      </c>
      <c r="AX504" t="s">
        <v>90</v>
      </c>
      <c r="AY504">
        <v>88.090299999999999</v>
      </c>
      <c r="AZ504">
        <v>88.090350000000001</v>
      </c>
      <c r="BA504">
        <v>7.1868999999999996</v>
      </c>
      <c r="BC504">
        <v>77</v>
      </c>
      <c r="BD504">
        <v>86.2423</v>
      </c>
      <c r="BE504">
        <v>86.242299790000004</v>
      </c>
      <c r="BF504">
        <v>8.4189000000000007</v>
      </c>
      <c r="BH504">
        <v>77</v>
      </c>
      <c r="BI504">
        <v>127</v>
      </c>
      <c r="BJ504">
        <v>5</v>
      </c>
      <c r="BK504">
        <v>-2.12E-2</v>
      </c>
      <c r="BL504">
        <v>1.6199999999999999E-2</v>
      </c>
    </row>
    <row r="505" spans="1:65" hidden="1" x14ac:dyDescent="0.2">
      <c r="A505">
        <v>171</v>
      </c>
      <c r="C505" t="s">
        <v>549</v>
      </c>
      <c r="D505" t="s">
        <v>54</v>
      </c>
      <c r="E505">
        <v>2015</v>
      </c>
      <c r="F505" t="s">
        <v>198</v>
      </c>
      <c r="G505" t="s">
        <v>199</v>
      </c>
      <c r="H505" t="s">
        <v>57</v>
      </c>
      <c r="K505" t="s">
        <v>79</v>
      </c>
      <c r="L505" t="s">
        <v>200</v>
      </c>
      <c r="M505" t="s">
        <v>81</v>
      </c>
      <c r="N505" t="s">
        <v>81</v>
      </c>
      <c r="O505" t="s">
        <v>62</v>
      </c>
      <c r="P505" t="s">
        <v>82</v>
      </c>
      <c r="Q505" t="s">
        <v>64</v>
      </c>
      <c r="R505" t="s">
        <v>65</v>
      </c>
      <c r="S505" t="s">
        <v>64</v>
      </c>
      <c r="T505" t="s">
        <v>64</v>
      </c>
      <c r="U505" t="s">
        <v>66</v>
      </c>
      <c r="V505">
        <v>422.07</v>
      </c>
      <c r="W505" t="s">
        <v>67</v>
      </c>
      <c r="X505">
        <v>16.57</v>
      </c>
      <c r="Y505" t="s">
        <v>96</v>
      </c>
      <c r="Z505">
        <v>8.1</v>
      </c>
      <c r="AA505" t="s">
        <v>67</v>
      </c>
      <c r="AB505">
        <v>0.05</v>
      </c>
      <c r="AC505">
        <v>1075</v>
      </c>
      <c r="AD505" t="s">
        <v>67</v>
      </c>
      <c r="AE505">
        <v>67.099999999999994</v>
      </c>
      <c r="AF505">
        <v>7.7</v>
      </c>
      <c r="AG505" t="s">
        <v>67</v>
      </c>
      <c r="AH505">
        <v>0.05</v>
      </c>
      <c r="AI505">
        <v>15</v>
      </c>
      <c r="AJ505" t="s">
        <v>67</v>
      </c>
      <c r="AK505">
        <v>0.5</v>
      </c>
      <c r="AL505">
        <v>18</v>
      </c>
      <c r="AM505" t="s">
        <v>67</v>
      </c>
      <c r="AN505">
        <v>0.5</v>
      </c>
      <c r="AO505">
        <v>653</v>
      </c>
      <c r="AP505">
        <v>3</v>
      </c>
      <c r="AQ505" t="s">
        <v>201</v>
      </c>
      <c r="AR505" t="s">
        <v>104</v>
      </c>
      <c r="AS505" t="s">
        <v>105</v>
      </c>
      <c r="AT505" t="s">
        <v>70</v>
      </c>
      <c r="AU505" t="s">
        <v>89</v>
      </c>
      <c r="AV505" t="s">
        <v>88</v>
      </c>
      <c r="AW505" t="s">
        <v>151</v>
      </c>
      <c r="AX505" t="s">
        <v>90</v>
      </c>
      <c r="AY505">
        <v>88.090299999999999</v>
      </c>
      <c r="AZ505">
        <v>88.090350000000001</v>
      </c>
      <c r="BA505">
        <v>7.1868999999999996</v>
      </c>
      <c r="BC505">
        <v>77</v>
      </c>
      <c r="BD505">
        <v>86.2423</v>
      </c>
      <c r="BE505">
        <v>86.242299790000004</v>
      </c>
      <c r="BF505">
        <v>8.4189000000000007</v>
      </c>
      <c r="BH505">
        <v>77</v>
      </c>
      <c r="BI505">
        <v>123</v>
      </c>
      <c r="BJ505">
        <v>5</v>
      </c>
      <c r="BK505">
        <v>-2.12E-2</v>
      </c>
      <c r="BL505">
        <v>1.6199999999999999E-2</v>
      </c>
    </row>
    <row r="506" spans="1:65" hidden="1" x14ac:dyDescent="0.2">
      <c r="A506">
        <v>131</v>
      </c>
      <c r="D506" t="s">
        <v>54</v>
      </c>
      <c r="E506">
        <v>2013</v>
      </c>
      <c r="F506" t="s">
        <v>421</v>
      </c>
      <c r="G506" t="s">
        <v>422</v>
      </c>
      <c r="H506" t="s">
        <v>78</v>
      </c>
      <c r="K506" t="s">
        <v>194</v>
      </c>
      <c r="L506" t="s">
        <v>195</v>
      </c>
      <c r="M506" t="s">
        <v>120</v>
      </c>
      <c r="N506" t="s">
        <v>120</v>
      </c>
      <c r="O506" t="s">
        <v>106</v>
      </c>
      <c r="P506" t="s">
        <v>196</v>
      </c>
      <c r="Q506" t="s">
        <v>64</v>
      </c>
      <c r="R506" t="s">
        <v>83</v>
      </c>
      <c r="S506" t="s">
        <v>64</v>
      </c>
      <c r="T506" t="s">
        <v>64</v>
      </c>
      <c r="U506" t="s">
        <v>66</v>
      </c>
      <c r="V506">
        <v>439</v>
      </c>
      <c r="W506" t="s">
        <v>67</v>
      </c>
      <c r="X506">
        <v>16.079999999999998</v>
      </c>
      <c r="Y506" t="s">
        <v>68</v>
      </c>
      <c r="Z506">
        <v>7.94</v>
      </c>
      <c r="AA506" t="s">
        <v>67</v>
      </c>
      <c r="AB506">
        <v>0.01</v>
      </c>
      <c r="AC506">
        <v>1027</v>
      </c>
      <c r="AD506" t="s">
        <v>67</v>
      </c>
      <c r="AE506">
        <v>9.0299999999999994</v>
      </c>
      <c r="AF506">
        <v>7.68</v>
      </c>
      <c r="AG506" t="s">
        <v>67</v>
      </c>
      <c r="AH506">
        <v>0.04</v>
      </c>
      <c r="AI506">
        <v>-0.6</v>
      </c>
      <c r="AJ506" t="s">
        <v>67</v>
      </c>
      <c r="AK506">
        <v>0.17</v>
      </c>
      <c r="AL506">
        <v>4.2</v>
      </c>
      <c r="AM506" t="s">
        <v>67</v>
      </c>
      <c r="AN506">
        <v>0.56000000000000005</v>
      </c>
      <c r="AO506">
        <v>588</v>
      </c>
      <c r="AP506">
        <v>4.8</v>
      </c>
      <c r="AQ506" t="s">
        <v>67</v>
      </c>
      <c r="AR506" t="s">
        <v>424</v>
      </c>
      <c r="AS506" t="s">
        <v>134</v>
      </c>
      <c r="AT506" t="s">
        <v>135</v>
      </c>
      <c r="AU506" t="s">
        <v>425</v>
      </c>
      <c r="AV506" t="s">
        <v>137</v>
      </c>
      <c r="AX506" t="s">
        <v>73</v>
      </c>
      <c r="AY506">
        <v>19.57</v>
      </c>
      <c r="AZ506">
        <v>19.57</v>
      </c>
      <c r="BA506">
        <v>1.7</v>
      </c>
      <c r="BC506">
        <v>4</v>
      </c>
      <c r="BD506">
        <v>33.29</v>
      </c>
      <c r="BE506">
        <v>33.29</v>
      </c>
      <c r="BF506">
        <v>3.1</v>
      </c>
      <c r="BH506">
        <v>4</v>
      </c>
      <c r="BI506">
        <v>28</v>
      </c>
      <c r="BJ506">
        <v>1</v>
      </c>
      <c r="BK506">
        <v>0.53129999999999999</v>
      </c>
      <c r="BL506">
        <v>1.6199999999999999E-2</v>
      </c>
    </row>
    <row r="507" spans="1:65" hidden="1" x14ac:dyDescent="0.2">
      <c r="A507">
        <v>150</v>
      </c>
      <c r="D507" t="s">
        <v>54</v>
      </c>
      <c r="E507">
        <v>2016</v>
      </c>
      <c r="F507" t="s">
        <v>373</v>
      </c>
      <c r="G507" t="s">
        <v>348</v>
      </c>
      <c r="H507" t="s">
        <v>57</v>
      </c>
      <c r="K507" t="s">
        <v>58</v>
      </c>
      <c r="L507" t="s">
        <v>59</v>
      </c>
      <c r="M507" t="s">
        <v>95</v>
      </c>
      <c r="N507" t="s">
        <v>61</v>
      </c>
      <c r="O507" t="s">
        <v>62</v>
      </c>
      <c r="P507" t="s">
        <v>63</v>
      </c>
      <c r="Q507" t="s">
        <v>64</v>
      </c>
      <c r="R507" t="s">
        <v>65</v>
      </c>
      <c r="S507" t="s">
        <v>64</v>
      </c>
      <c r="T507" t="s">
        <v>74</v>
      </c>
      <c r="U507" t="s">
        <v>84</v>
      </c>
      <c r="V507">
        <v>372</v>
      </c>
      <c r="W507" t="s">
        <v>67</v>
      </c>
      <c r="X507">
        <v>51.93</v>
      </c>
      <c r="Y507" t="s">
        <v>68</v>
      </c>
      <c r="Z507">
        <v>8.02</v>
      </c>
      <c r="AA507" t="s">
        <v>67</v>
      </c>
      <c r="AB507">
        <v>0.05</v>
      </c>
      <c r="AC507">
        <v>1384</v>
      </c>
      <c r="AD507" t="s">
        <v>67</v>
      </c>
      <c r="AE507">
        <v>113.55</v>
      </c>
      <c r="AF507">
        <v>7.52</v>
      </c>
      <c r="AG507" t="s">
        <v>67</v>
      </c>
      <c r="AH507">
        <v>0.04</v>
      </c>
      <c r="AI507">
        <v>25.9</v>
      </c>
      <c r="AJ507" t="s">
        <v>67</v>
      </c>
      <c r="AK507">
        <v>0.7</v>
      </c>
      <c r="AL507">
        <v>26.2</v>
      </c>
      <c r="AM507" t="s">
        <v>67</v>
      </c>
      <c r="AN507">
        <v>0.5</v>
      </c>
      <c r="AO507">
        <v>1012</v>
      </c>
      <c r="AP507">
        <v>0.3</v>
      </c>
      <c r="AQ507" t="s">
        <v>374</v>
      </c>
      <c r="AR507" t="s">
        <v>375</v>
      </c>
      <c r="AS507" t="s">
        <v>178</v>
      </c>
      <c r="AT507" t="s">
        <v>70</v>
      </c>
      <c r="AU507" t="s">
        <v>376</v>
      </c>
      <c r="AV507" t="s">
        <v>132</v>
      </c>
      <c r="AX507" t="s">
        <v>73</v>
      </c>
      <c r="AY507">
        <v>2.5139999999999998</v>
      </c>
      <c r="AZ507">
        <v>2.51397</v>
      </c>
      <c r="BA507">
        <v>0.11</v>
      </c>
      <c r="BC507">
        <v>6</v>
      </c>
      <c r="BD507">
        <v>3.7429999999999999</v>
      </c>
      <c r="BE507">
        <v>3.7430167600000002</v>
      </c>
      <c r="BF507">
        <v>0.44850000000000001</v>
      </c>
      <c r="BH507">
        <v>6</v>
      </c>
      <c r="BI507">
        <v>30</v>
      </c>
      <c r="BJ507">
        <v>3</v>
      </c>
      <c r="BK507">
        <v>0.39800000000000002</v>
      </c>
      <c r="BL507">
        <v>1.6400000000000001E-2</v>
      </c>
    </row>
    <row r="508" spans="1:65" hidden="1" x14ac:dyDescent="0.2">
      <c r="A508">
        <v>140</v>
      </c>
      <c r="D508" t="s">
        <v>54</v>
      </c>
      <c r="E508">
        <v>2014</v>
      </c>
      <c r="F508" t="s">
        <v>427</v>
      </c>
      <c r="G508" t="s">
        <v>318</v>
      </c>
      <c r="H508" t="s">
        <v>78</v>
      </c>
      <c r="K508" t="s">
        <v>194</v>
      </c>
      <c r="L508" t="s">
        <v>299</v>
      </c>
      <c r="M508" t="s">
        <v>120</v>
      </c>
      <c r="N508" t="s">
        <v>120</v>
      </c>
      <c r="O508" t="s">
        <v>62</v>
      </c>
      <c r="P508" t="s">
        <v>196</v>
      </c>
      <c r="Q508" t="s">
        <v>64</v>
      </c>
      <c r="R508" t="s">
        <v>83</v>
      </c>
      <c r="S508" t="s">
        <v>64</v>
      </c>
      <c r="T508" t="s">
        <v>74</v>
      </c>
      <c r="U508" t="s">
        <v>84</v>
      </c>
      <c r="V508">
        <v>432</v>
      </c>
      <c r="W508" t="s">
        <v>67</v>
      </c>
      <c r="X508">
        <v>22.5</v>
      </c>
      <c r="Y508" t="s">
        <v>68</v>
      </c>
      <c r="Z508" t="s">
        <v>67</v>
      </c>
      <c r="AA508" t="s">
        <v>67</v>
      </c>
      <c r="AB508" t="s">
        <v>67</v>
      </c>
      <c r="AC508">
        <v>1025</v>
      </c>
      <c r="AD508" t="s">
        <v>67</v>
      </c>
      <c r="AE508">
        <v>94.2</v>
      </c>
      <c r="AF508" t="s">
        <v>67</v>
      </c>
      <c r="AG508" t="s">
        <v>67</v>
      </c>
      <c r="AH508" t="s">
        <v>67</v>
      </c>
      <c r="AI508">
        <v>-0.7</v>
      </c>
      <c r="AJ508" t="s">
        <v>67</v>
      </c>
      <c r="AK508">
        <v>0.15</v>
      </c>
      <c r="AL508">
        <v>-0.6</v>
      </c>
      <c r="AM508" t="s">
        <v>67</v>
      </c>
      <c r="AN508">
        <v>0.15</v>
      </c>
      <c r="AO508">
        <v>593</v>
      </c>
      <c r="AP508">
        <v>0.1</v>
      </c>
      <c r="AQ508" t="s">
        <v>434</v>
      </c>
      <c r="AR508" t="s">
        <v>429</v>
      </c>
      <c r="AS508" t="s">
        <v>332</v>
      </c>
      <c r="AT508" t="s">
        <v>333</v>
      </c>
      <c r="AU508" t="s">
        <v>430</v>
      </c>
      <c r="AV508" t="s">
        <v>132</v>
      </c>
      <c r="AX508" t="s">
        <v>73</v>
      </c>
      <c r="AY508">
        <v>1.1000000000000001</v>
      </c>
      <c r="AZ508">
        <v>1.1000000000000001</v>
      </c>
      <c r="BA508">
        <v>0.1</v>
      </c>
      <c r="BC508">
        <v>5</v>
      </c>
      <c r="BD508">
        <v>1.1000000000000001</v>
      </c>
      <c r="BE508">
        <v>1.1000000000000001</v>
      </c>
      <c r="BF508">
        <v>0.1</v>
      </c>
      <c r="BH508">
        <v>5</v>
      </c>
      <c r="BI508">
        <v>42</v>
      </c>
      <c r="BJ508">
        <v>1</v>
      </c>
      <c r="BK508">
        <v>0</v>
      </c>
      <c r="BL508">
        <v>1.6500000000000001E-2</v>
      </c>
      <c r="BM508" t="s">
        <v>420</v>
      </c>
    </row>
    <row r="509" spans="1:65" hidden="1" x14ac:dyDescent="0.2">
      <c r="A509">
        <v>128</v>
      </c>
      <c r="D509" t="s">
        <v>54</v>
      </c>
      <c r="E509">
        <v>2013</v>
      </c>
      <c r="F509" t="s">
        <v>449</v>
      </c>
      <c r="G509" t="s">
        <v>344</v>
      </c>
      <c r="H509" t="s">
        <v>78</v>
      </c>
      <c r="K509" t="s">
        <v>194</v>
      </c>
      <c r="L509" t="s">
        <v>221</v>
      </c>
      <c r="M509" t="s">
        <v>120</v>
      </c>
      <c r="N509" t="s">
        <v>120</v>
      </c>
      <c r="O509" t="s">
        <v>62</v>
      </c>
      <c r="P509" t="s">
        <v>196</v>
      </c>
      <c r="Q509" t="s">
        <v>64</v>
      </c>
      <c r="R509" t="s">
        <v>83</v>
      </c>
      <c r="S509" t="s">
        <v>64</v>
      </c>
      <c r="T509" t="s">
        <v>64</v>
      </c>
      <c r="U509" t="s">
        <v>66</v>
      </c>
      <c r="V509">
        <v>357</v>
      </c>
      <c r="W509">
        <v>18.260000000000002</v>
      </c>
      <c r="X509" t="s">
        <v>67</v>
      </c>
      <c r="Y509" t="s">
        <v>96</v>
      </c>
      <c r="Z509">
        <v>8.25</v>
      </c>
      <c r="AA509">
        <v>0.02</v>
      </c>
      <c r="AB509" t="s">
        <v>67</v>
      </c>
      <c r="AC509">
        <v>2019</v>
      </c>
      <c r="AD509">
        <v>26.93</v>
      </c>
      <c r="AE509" t="s">
        <v>67</v>
      </c>
      <c r="AF509">
        <v>7.49</v>
      </c>
      <c r="AG509">
        <v>0.01</v>
      </c>
      <c r="AH509" t="s">
        <v>67</v>
      </c>
      <c r="AI509">
        <v>1.5</v>
      </c>
      <c r="AJ509">
        <v>0.09</v>
      </c>
      <c r="AK509" t="s">
        <v>67</v>
      </c>
      <c r="AL509">
        <v>6.9</v>
      </c>
      <c r="AM509">
        <v>0.06</v>
      </c>
      <c r="AN509" t="s">
        <v>67</v>
      </c>
      <c r="AO509">
        <v>1662</v>
      </c>
      <c r="AP509">
        <v>5.4</v>
      </c>
      <c r="AQ509" t="s">
        <v>67</v>
      </c>
      <c r="AR509" t="s">
        <v>450</v>
      </c>
      <c r="AS509" t="s">
        <v>450</v>
      </c>
      <c r="AT509" t="s">
        <v>333</v>
      </c>
      <c r="AU509" t="s">
        <v>451</v>
      </c>
      <c r="AV509" t="s">
        <v>132</v>
      </c>
      <c r="AX509" t="s">
        <v>73</v>
      </c>
      <c r="AY509">
        <v>20.399999999999999</v>
      </c>
      <c r="AZ509">
        <v>20.399999999999999</v>
      </c>
      <c r="BA509">
        <v>2.1</v>
      </c>
      <c r="BC509">
        <v>9</v>
      </c>
      <c r="BD509">
        <v>27.1</v>
      </c>
      <c r="BE509">
        <v>27.1</v>
      </c>
      <c r="BF509">
        <v>2.1</v>
      </c>
      <c r="BH509">
        <v>10</v>
      </c>
      <c r="BI509">
        <v>32</v>
      </c>
      <c r="BJ509">
        <v>1</v>
      </c>
      <c r="BK509">
        <v>-0.28399999999999997</v>
      </c>
      <c r="BL509">
        <v>1.66E-2</v>
      </c>
      <c r="BM509" t="s">
        <v>420</v>
      </c>
    </row>
    <row r="510" spans="1:65" hidden="1" x14ac:dyDescent="0.2">
      <c r="A510">
        <v>147</v>
      </c>
      <c r="D510" t="s">
        <v>54</v>
      </c>
      <c r="E510">
        <v>2014</v>
      </c>
      <c r="F510" t="s">
        <v>317</v>
      </c>
      <c r="G510" t="s">
        <v>318</v>
      </c>
      <c r="H510" t="s">
        <v>78</v>
      </c>
      <c r="K510" t="s">
        <v>319</v>
      </c>
      <c r="L510" t="s">
        <v>320</v>
      </c>
      <c r="M510" t="s">
        <v>81</v>
      </c>
      <c r="N510" t="s">
        <v>81</v>
      </c>
      <c r="O510" t="s">
        <v>62</v>
      </c>
      <c r="P510" t="s">
        <v>63</v>
      </c>
      <c r="Q510" t="s">
        <v>74</v>
      </c>
      <c r="R510" t="s">
        <v>83</v>
      </c>
      <c r="S510" t="s">
        <v>74</v>
      </c>
      <c r="T510" t="s">
        <v>64</v>
      </c>
      <c r="U510" t="s">
        <v>75</v>
      </c>
      <c r="V510">
        <v>330</v>
      </c>
      <c r="W510">
        <v>9.5</v>
      </c>
      <c r="X510" t="s">
        <v>67</v>
      </c>
      <c r="Y510" t="s">
        <v>68</v>
      </c>
      <c r="Z510">
        <v>8.11</v>
      </c>
      <c r="AA510">
        <v>0.01</v>
      </c>
      <c r="AB510" t="s">
        <v>67</v>
      </c>
      <c r="AC510">
        <v>527</v>
      </c>
      <c r="AD510">
        <v>13.5</v>
      </c>
      <c r="AE510" t="s">
        <v>67</v>
      </c>
      <c r="AF510">
        <v>7.95</v>
      </c>
      <c r="AG510">
        <v>0.01</v>
      </c>
      <c r="AH510" t="s">
        <v>67</v>
      </c>
      <c r="AI510">
        <v>5.2</v>
      </c>
      <c r="AJ510">
        <v>0.11</v>
      </c>
      <c r="AK510" t="s">
        <v>67</v>
      </c>
      <c r="AL510">
        <v>13.6</v>
      </c>
      <c r="AM510">
        <v>7.0000000000000007E-2</v>
      </c>
      <c r="AN510" t="s">
        <v>67</v>
      </c>
      <c r="AO510">
        <v>197</v>
      </c>
      <c r="AP510">
        <v>8.4</v>
      </c>
      <c r="AQ510" t="s">
        <v>67</v>
      </c>
      <c r="AR510" t="s">
        <v>113</v>
      </c>
      <c r="AS510" t="s">
        <v>113</v>
      </c>
      <c r="AT510" t="s">
        <v>70</v>
      </c>
      <c r="AU510" t="s">
        <v>442</v>
      </c>
      <c r="AV510" t="s">
        <v>72</v>
      </c>
      <c r="AX510" t="s">
        <v>73</v>
      </c>
      <c r="AY510">
        <v>0.46760000000000002</v>
      </c>
      <c r="AZ510">
        <v>0.46761999999999998</v>
      </c>
      <c r="BA510">
        <v>0.06</v>
      </c>
      <c r="BC510">
        <v>38</v>
      </c>
      <c r="BD510">
        <v>1.1691</v>
      </c>
      <c r="BE510">
        <v>1.1690544410000001</v>
      </c>
      <c r="BF510">
        <v>6.1899999999999997E-2</v>
      </c>
      <c r="BH510">
        <v>38</v>
      </c>
      <c r="BI510">
        <v>105</v>
      </c>
      <c r="BJ510">
        <v>2</v>
      </c>
      <c r="BK510">
        <v>0.9163</v>
      </c>
      <c r="BL510">
        <v>1.66E-2</v>
      </c>
    </row>
    <row r="511" spans="1:65" hidden="1" x14ac:dyDescent="0.2">
      <c r="A511">
        <v>153</v>
      </c>
      <c r="D511" t="s">
        <v>54</v>
      </c>
      <c r="E511">
        <v>2017</v>
      </c>
      <c r="F511" t="s">
        <v>335</v>
      </c>
      <c r="G511" t="s">
        <v>220</v>
      </c>
      <c r="H511" t="s">
        <v>78</v>
      </c>
      <c r="K511" t="s">
        <v>205</v>
      </c>
      <c r="L511" t="s">
        <v>206</v>
      </c>
      <c r="M511" t="s">
        <v>81</v>
      </c>
      <c r="N511" t="s">
        <v>81</v>
      </c>
      <c r="O511" t="s">
        <v>110</v>
      </c>
      <c r="P511" t="s">
        <v>63</v>
      </c>
      <c r="Q511" t="s">
        <v>64</v>
      </c>
      <c r="R511" t="s">
        <v>83</v>
      </c>
      <c r="S511" t="s">
        <v>74</v>
      </c>
      <c r="T511" t="s">
        <v>64</v>
      </c>
      <c r="U511" t="s">
        <v>75</v>
      </c>
      <c r="V511">
        <v>435</v>
      </c>
      <c r="W511" t="s">
        <v>67</v>
      </c>
      <c r="X511">
        <v>49.9</v>
      </c>
      <c r="Y511" t="s">
        <v>68</v>
      </c>
      <c r="Z511">
        <v>8.01</v>
      </c>
      <c r="AA511" t="s">
        <v>67</v>
      </c>
      <c r="AB511">
        <v>0.04</v>
      </c>
      <c r="AC511">
        <v>490</v>
      </c>
      <c r="AD511" t="s">
        <v>67</v>
      </c>
      <c r="AE511">
        <v>112.75</v>
      </c>
      <c r="AF511">
        <v>8</v>
      </c>
      <c r="AG511" t="s">
        <v>67</v>
      </c>
      <c r="AH511">
        <v>0.08</v>
      </c>
      <c r="AI511">
        <v>8.1999999999999993</v>
      </c>
      <c r="AJ511" t="s">
        <v>67</v>
      </c>
      <c r="AK511">
        <v>0.11</v>
      </c>
      <c r="AL511">
        <v>12</v>
      </c>
      <c r="AM511" t="s">
        <v>67</v>
      </c>
      <c r="AN511">
        <v>0.35</v>
      </c>
      <c r="AO511">
        <v>55</v>
      </c>
      <c r="AP511">
        <v>3.8</v>
      </c>
      <c r="AQ511" t="s">
        <v>67</v>
      </c>
      <c r="AR511" t="s">
        <v>336</v>
      </c>
      <c r="AS511" t="s">
        <v>337</v>
      </c>
      <c r="AT511" t="s">
        <v>70</v>
      </c>
      <c r="AU511" t="s">
        <v>67</v>
      </c>
      <c r="AV511" t="s">
        <v>132</v>
      </c>
      <c r="AX511" t="s">
        <v>73</v>
      </c>
      <c r="AY511">
        <v>0.81540000000000001</v>
      </c>
      <c r="AZ511">
        <v>0.81538461500000003</v>
      </c>
      <c r="BA511">
        <v>0.02</v>
      </c>
      <c r="BC511">
        <v>5</v>
      </c>
      <c r="BD511">
        <v>0.6462</v>
      </c>
      <c r="BE511">
        <v>0.64615384600000003</v>
      </c>
      <c r="BF511">
        <v>8.2100000000000006E-2</v>
      </c>
      <c r="BH511">
        <v>6</v>
      </c>
      <c r="BI511">
        <v>120</v>
      </c>
      <c r="BJ511">
        <v>8</v>
      </c>
      <c r="BK511">
        <v>-0.2326</v>
      </c>
      <c r="BL511">
        <v>1.67E-2</v>
      </c>
    </row>
    <row r="512" spans="1:65" hidden="1" x14ac:dyDescent="0.2">
      <c r="A512">
        <v>140</v>
      </c>
      <c r="D512" t="s">
        <v>54</v>
      </c>
      <c r="E512">
        <v>2014</v>
      </c>
      <c r="F512" t="s">
        <v>427</v>
      </c>
      <c r="G512" t="s">
        <v>318</v>
      </c>
      <c r="H512" t="s">
        <v>78</v>
      </c>
      <c r="K512" t="s">
        <v>194</v>
      </c>
      <c r="L512" t="s">
        <v>215</v>
      </c>
      <c r="M512" t="s">
        <v>120</v>
      </c>
      <c r="N512" t="s">
        <v>120</v>
      </c>
      <c r="O512" t="s">
        <v>62</v>
      </c>
      <c r="P512" t="s">
        <v>196</v>
      </c>
      <c r="Q512" t="s">
        <v>64</v>
      </c>
      <c r="R512" t="s">
        <v>83</v>
      </c>
      <c r="S512" t="s">
        <v>64</v>
      </c>
      <c r="T512" t="s">
        <v>64</v>
      </c>
      <c r="U512" t="s">
        <v>66</v>
      </c>
      <c r="V512">
        <v>432</v>
      </c>
      <c r="W512" t="s">
        <v>67</v>
      </c>
      <c r="X512">
        <v>22.5</v>
      </c>
      <c r="Y512" t="s">
        <v>68</v>
      </c>
      <c r="Z512" t="s">
        <v>67</v>
      </c>
      <c r="AA512" t="s">
        <v>67</v>
      </c>
      <c r="AB512" t="s">
        <v>67</v>
      </c>
      <c r="AC512">
        <v>1053</v>
      </c>
      <c r="AD512" t="s">
        <v>67</v>
      </c>
      <c r="AE512">
        <v>71.87</v>
      </c>
      <c r="AF512" t="s">
        <v>67</v>
      </c>
      <c r="AG512" t="s">
        <v>67</v>
      </c>
      <c r="AH512" t="s">
        <v>67</v>
      </c>
      <c r="AI512">
        <v>-0.7</v>
      </c>
      <c r="AJ512" t="s">
        <v>67</v>
      </c>
      <c r="AK512">
        <v>0.15</v>
      </c>
      <c r="AL512">
        <v>4</v>
      </c>
      <c r="AM512" t="s">
        <v>67</v>
      </c>
      <c r="AN512">
        <v>0.32</v>
      </c>
      <c r="AO512">
        <v>621</v>
      </c>
      <c r="AP512">
        <v>4.7</v>
      </c>
      <c r="AQ512" t="s">
        <v>428</v>
      </c>
      <c r="AR512" t="s">
        <v>452</v>
      </c>
      <c r="AS512" t="s">
        <v>178</v>
      </c>
      <c r="AT512" t="s">
        <v>70</v>
      </c>
      <c r="AU512" t="s">
        <v>453</v>
      </c>
      <c r="AV512" t="s">
        <v>132</v>
      </c>
      <c r="AX512" t="s">
        <v>73</v>
      </c>
      <c r="AY512">
        <v>130</v>
      </c>
      <c r="AZ512">
        <v>130</v>
      </c>
      <c r="BA512">
        <v>11</v>
      </c>
      <c r="BC512">
        <v>5</v>
      </c>
      <c r="BD512">
        <v>150</v>
      </c>
      <c r="BE512">
        <v>150</v>
      </c>
      <c r="BF512">
        <v>14.7</v>
      </c>
      <c r="BH512">
        <v>5</v>
      </c>
      <c r="BI512">
        <v>56</v>
      </c>
      <c r="BJ512">
        <v>1</v>
      </c>
      <c r="BK512">
        <v>0.1431</v>
      </c>
      <c r="BL512">
        <v>1.6799999999999999E-2</v>
      </c>
    </row>
    <row r="513" spans="1:65" hidden="1" x14ac:dyDescent="0.2">
      <c r="A513">
        <v>147</v>
      </c>
      <c r="D513" t="s">
        <v>54</v>
      </c>
      <c r="E513">
        <v>2014</v>
      </c>
      <c r="F513" t="s">
        <v>317</v>
      </c>
      <c r="G513" t="s">
        <v>318</v>
      </c>
      <c r="H513" t="s">
        <v>78</v>
      </c>
      <c r="K513" t="s">
        <v>319</v>
      </c>
      <c r="L513" t="s">
        <v>320</v>
      </c>
      <c r="M513" t="s">
        <v>81</v>
      </c>
      <c r="N513" t="s">
        <v>81</v>
      </c>
      <c r="O513" t="s">
        <v>62</v>
      </c>
      <c r="P513" t="s">
        <v>63</v>
      </c>
      <c r="Q513" t="s">
        <v>74</v>
      </c>
      <c r="R513" t="s">
        <v>83</v>
      </c>
      <c r="S513" t="s">
        <v>74</v>
      </c>
      <c r="T513" t="s">
        <v>64</v>
      </c>
      <c r="U513" t="s">
        <v>75</v>
      </c>
      <c r="V513">
        <v>330</v>
      </c>
      <c r="W513">
        <v>9.5</v>
      </c>
      <c r="X513" t="s">
        <v>67</v>
      </c>
      <c r="Y513" t="s">
        <v>68</v>
      </c>
      <c r="Z513">
        <v>8.11</v>
      </c>
      <c r="AA513">
        <v>0.01</v>
      </c>
      <c r="AB513" t="s">
        <v>67</v>
      </c>
      <c r="AC513">
        <v>473</v>
      </c>
      <c r="AD513">
        <v>12</v>
      </c>
      <c r="AE513" t="s">
        <v>67</v>
      </c>
      <c r="AF513">
        <v>7.99</v>
      </c>
      <c r="AG513">
        <v>0.01</v>
      </c>
      <c r="AH513" t="s">
        <v>67</v>
      </c>
      <c r="AI513">
        <v>5.2</v>
      </c>
      <c r="AJ513">
        <v>0.11</v>
      </c>
      <c r="AK513" t="s">
        <v>67</v>
      </c>
      <c r="AL513">
        <v>11.7</v>
      </c>
      <c r="AM513">
        <v>0.02</v>
      </c>
      <c r="AN513" t="s">
        <v>67</v>
      </c>
      <c r="AO513">
        <v>143</v>
      </c>
      <c r="AP513">
        <v>6.6</v>
      </c>
      <c r="AQ513" t="s">
        <v>67</v>
      </c>
      <c r="AR513" t="s">
        <v>113</v>
      </c>
      <c r="AS513" t="s">
        <v>113</v>
      </c>
      <c r="AT513" t="s">
        <v>70</v>
      </c>
      <c r="AU513" t="s">
        <v>442</v>
      </c>
      <c r="AV513" t="s">
        <v>72</v>
      </c>
      <c r="AX513" t="s">
        <v>73</v>
      </c>
      <c r="AY513">
        <v>0.46760000000000002</v>
      </c>
      <c r="AZ513">
        <v>0.46761999999999998</v>
      </c>
      <c r="BA513">
        <v>0.06</v>
      </c>
      <c r="BC513">
        <v>38</v>
      </c>
      <c r="BD513">
        <v>1.0074000000000001</v>
      </c>
      <c r="BE513">
        <v>1.0074498569999999</v>
      </c>
      <c r="BF513">
        <v>5.5E-2</v>
      </c>
      <c r="BH513">
        <v>38</v>
      </c>
      <c r="BI513">
        <v>105</v>
      </c>
      <c r="BJ513">
        <v>2</v>
      </c>
      <c r="BK513">
        <v>0.76749999999999996</v>
      </c>
      <c r="BL513">
        <v>1.6799999999999999E-2</v>
      </c>
    </row>
    <row r="514" spans="1:65" hidden="1" x14ac:dyDescent="0.2">
      <c r="A514">
        <v>159</v>
      </c>
      <c r="D514" t="s">
        <v>54</v>
      </c>
      <c r="E514">
        <v>2018</v>
      </c>
      <c r="F514" t="s">
        <v>326</v>
      </c>
      <c r="G514" t="s">
        <v>327</v>
      </c>
      <c r="H514" t="s">
        <v>78</v>
      </c>
      <c r="K514" t="s">
        <v>205</v>
      </c>
      <c r="L514" t="s">
        <v>225</v>
      </c>
      <c r="M514" t="s">
        <v>120</v>
      </c>
      <c r="N514" t="s">
        <v>120</v>
      </c>
      <c r="O514" t="s">
        <v>110</v>
      </c>
      <c r="P514" t="s">
        <v>196</v>
      </c>
      <c r="Q514" t="s">
        <v>64</v>
      </c>
      <c r="R514" t="s">
        <v>83</v>
      </c>
      <c r="S514" t="s">
        <v>64</v>
      </c>
      <c r="T514" t="s">
        <v>74</v>
      </c>
      <c r="U514" t="s">
        <v>84</v>
      </c>
      <c r="V514">
        <v>390</v>
      </c>
      <c r="W514" t="s">
        <v>67</v>
      </c>
      <c r="X514" t="s">
        <v>67</v>
      </c>
      <c r="Y514" t="s">
        <v>67</v>
      </c>
      <c r="Z514" t="s">
        <v>67</v>
      </c>
      <c r="AA514" t="s">
        <v>67</v>
      </c>
      <c r="AB514" t="s">
        <v>67</v>
      </c>
      <c r="AC514">
        <v>1170</v>
      </c>
      <c r="AD514" t="s">
        <v>67</v>
      </c>
      <c r="AE514" t="s">
        <v>67</v>
      </c>
      <c r="AF514" t="s">
        <v>67</v>
      </c>
      <c r="AG514" t="s">
        <v>67</v>
      </c>
      <c r="AH514" t="s">
        <v>67</v>
      </c>
      <c r="AI514">
        <v>0</v>
      </c>
      <c r="AJ514" t="s">
        <v>67</v>
      </c>
      <c r="AK514" t="s">
        <v>67</v>
      </c>
      <c r="AL514">
        <v>0</v>
      </c>
      <c r="AM514" t="s">
        <v>67</v>
      </c>
      <c r="AN514" t="s">
        <v>67</v>
      </c>
      <c r="AO514">
        <v>780</v>
      </c>
      <c r="AP514">
        <v>0</v>
      </c>
      <c r="AQ514" t="s">
        <v>67</v>
      </c>
      <c r="AR514" t="s">
        <v>389</v>
      </c>
      <c r="AS514" t="s">
        <v>293</v>
      </c>
      <c r="AT514" t="s">
        <v>70</v>
      </c>
      <c r="AU514" t="s">
        <v>310</v>
      </c>
      <c r="AV514" t="s">
        <v>72</v>
      </c>
      <c r="AX514" t="s">
        <v>73</v>
      </c>
      <c r="AY514">
        <v>23.3</v>
      </c>
      <c r="AZ514">
        <v>23.3</v>
      </c>
      <c r="BA514">
        <v>1.9</v>
      </c>
      <c r="BC514">
        <v>5</v>
      </c>
      <c r="BD514">
        <v>21.8</v>
      </c>
      <c r="BE514">
        <v>21.8</v>
      </c>
      <c r="BF514">
        <v>2.2000000000000002</v>
      </c>
      <c r="BH514">
        <v>5</v>
      </c>
      <c r="BI514">
        <v>120</v>
      </c>
      <c r="BJ514" t="s">
        <v>67</v>
      </c>
      <c r="BK514">
        <v>-6.6500000000000004E-2</v>
      </c>
      <c r="BL514">
        <v>1.6799999999999999E-2</v>
      </c>
    </row>
    <row r="515" spans="1:65" hidden="1" x14ac:dyDescent="0.2">
      <c r="A515">
        <v>139</v>
      </c>
      <c r="D515" t="s">
        <v>54</v>
      </c>
      <c r="E515">
        <v>2018</v>
      </c>
      <c r="F515" t="s">
        <v>214</v>
      </c>
      <c r="G515" t="s">
        <v>154</v>
      </c>
      <c r="H515" t="s">
        <v>78</v>
      </c>
      <c r="K515" t="s">
        <v>194</v>
      </c>
      <c r="L515" t="s">
        <v>215</v>
      </c>
      <c r="M515" t="s">
        <v>120</v>
      </c>
      <c r="N515" t="s">
        <v>120</v>
      </c>
      <c r="O515" t="s">
        <v>62</v>
      </c>
      <c r="P515" t="s">
        <v>63</v>
      </c>
      <c r="Q515" t="s">
        <v>64</v>
      </c>
      <c r="R515" t="s">
        <v>83</v>
      </c>
      <c r="S515" t="s">
        <v>74</v>
      </c>
      <c r="T515" t="s">
        <v>64</v>
      </c>
      <c r="U515" t="s">
        <v>75</v>
      </c>
      <c r="V515">
        <v>458</v>
      </c>
      <c r="W515" t="s">
        <v>67</v>
      </c>
      <c r="X515">
        <v>30</v>
      </c>
      <c r="Y515" t="s">
        <v>157</v>
      </c>
      <c r="Z515">
        <v>7.98</v>
      </c>
      <c r="AA515" t="s">
        <v>67</v>
      </c>
      <c r="AB515">
        <v>0.03</v>
      </c>
      <c r="AC515">
        <v>468</v>
      </c>
      <c r="AD515" t="s">
        <v>67</v>
      </c>
      <c r="AE515">
        <v>31</v>
      </c>
      <c r="AF515">
        <v>7.99</v>
      </c>
      <c r="AG515" t="s">
        <v>67</v>
      </c>
      <c r="AH515">
        <v>0.03</v>
      </c>
      <c r="AI515">
        <v>-1</v>
      </c>
      <c r="AJ515" t="s">
        <v>67</v>
      </c>
      <c r="AK515">
        <v>0.1</v>
      </c>
      <c r="AL515">
        <v>2.1</v>
      </c>
      <c r="AM515" t="s">
        <v>67</v>
      </c>
      <c r="AN515">
        <v>0.1</v>
      </c>
      <c r="AO515">
        <v>10</v>
      </c>
      <c r="AP515">
        <v>3.1</v>
      </c>
      <c r="AQ515" t="s">
        <v>67</v>
      </c>
      <c r="AR515" t="s">
        <v>454</v>
      </c>
      <c r="AS515" t="s">
        <v>412</v>
      </c>
      <c r="AT515" t="s">
        <v>135</v>
      </c>
      <c r="AU515" t="s">
        <v>455</v>
      </c>
      <c r="AV515" t="s">
        <v>132</v>
      </c>
      <c r="AX515" t="s">
        <v>73</v>
      </c>
      <c r="AY515">
        <v>1.9803999999999999</v>
      </c>
      <c r="AZ515">
        <v>1.9803999999999999</v>
      </c>
      <c r="BA515">
        <v>0.22</v>
      </c>
      <c r="BC515">
        <v>9</v>
      </c>
      <c r="BD515">
        <v>1.6778</v>
      </c>
      <c r="BE515">
        <v>1.6778125429999999</v>
      </c>
      <c r="BF515">
        <v>0.1187</v>
      </c>
      <c r="BH515">
        <v>9</v>
      </c>
      <c r="BI515">
        <v>28</v>
      </c>
      <c r="BJ515">
        <v>3</v>
      </c>
      <c r="BK515">
        <v>-0.1658</v>
      </c>
      <c r="BL515">
        <v>1.7000000000000001E-2</v>
      </c>
    </row>
    <row r="516" spans="1:65" hidden="1" x14ac:dyDescent="0.2">
      <c r="A516">
        <v>150</v>
      </c>
      <c r="D516" t="s">
        <v>54</v>
      </c>
      <c r="E516">
        <v>2016</v>
      </c>
      <c r="F516" t="s">
        <v>373</v>
      </c>
      <c r="G516" t="s">
        <v>348</v>
      </c>
      <c r="H516" t="s">
        <v>57</v>
      </c>
      <c r="K516" t="s">
        <v>58</v>
      </c>
      <c r="L516" t="s">
        <v>59</v>
      </c>
      <c r="M516" t="s">
        <v>95</v>
      </c>
      <c r="N516" t="s">
        <v>61</v>
      </c>
      <c r="O516" t="s">
        <v>62</v>
      </c>
      <c r="P516" t="s">
        <v>63</v>
      </c>
      <c r="Q516" t="s">
        <v>64</v>
      </c>
      <c r="R516" t="s">
        <v>65</v>
      </c>
      <c r="S516" t="s">
        <v>64</v>
      </c>
      <c r="T516" t="s">
        <v>64</v>
      </c>
      <c r="U516" t="s">
        <v>66</v>
      </c>
      <c r="V516">
        <v>372</v>
      </c>
      <c r="W516" t="s">
        <v>67</v>
      </c>
      <c r="X516">
        <v>51.93</v>
      </c>
      <c r="Y516" t="s">
        <v>68</v>
      </c>
      <c r="Z516">
        <v>8.02</v>
      </c>
      <c r="AA516" t="s">
        <v>67</v>
      </c>
      <c r="AB516">
        <v>0.05</v>
      </c>
      <c r="AC516">
        <v>1481</v>
      </c>
      <c r="AD516" t="s">
        <v>67</v>
      </c>
      <c r="AE516">
        <v>107.72</v>
      </c>
      <c r="AF516">
        <v>7.49</v>
      </c>
      <c r="AG516" t="s">
        <v>67</v>
      </c>
      <c r="AH516">
        <v>0.03</v>
      </c>
      <c r="AI516">
        <v>25.9</v>
      </c>
      <c r="AJ516" t="s">
        <v>67</v>
      </c>
      <c r="AK516">
        <v>0.7</v>
      </c>
      <c r="AL516">
        <v>30.1</v>
      </c>
      <c r="AM516" t="s">
        <v>67</v>
      </c>
      <c r="AN516">
        <v>0.5</v>
      </c>
      <c r="AO516">
        <v>1109</v>
      </c>
      <c r="AP516">
        <v>4.2</v>
      </c>
      <c r="AQ516" t="s">
        <v>374</v>
      </c>
      <c r="AR516" t="s">
        <v>418</v>
      </c>
      <c r="AS516" t="s">
        <v>332</v>
      </c>
      <c r="AT516" t="s">
        <v>333</v>
      </c>
      <c r="AU516" t="s">
        <v>419</v>
      </c>
      <c r="AV516" t="s">
        <v>132</v>
      </c>
      <c r="AX516" t="s">
        <v>73</v>
      </c>
      <c r="AY516">
        <v>0.25259999999999999</v>
      </c>
      <c r="AZ516">
        <v>0.25263000000000002</v>
      </c>
      <c r="BA516">
        <v>0.02</v>
      </c>
      <c r="BC516">
        <v>6</v>
      </c>
      <c r="BD516">
        <v>0.46550000000000002</v>
      </c>
      <c r="BE516">
        <v>0.46549707600000001</v>
      </c>
      <c r="BF516">
        <v>4.0099999999999997E-2</v>
      </c>
      <c r="BH516">
        <v>6</v>
      </c>
      <c r="BI516">
        <v>30</v>
      </c>
      <c r="BJ516">
        <v>3</v>
      </c>
      <c r="BK516">
        <v>-0.61119999999999997</v>
      </c>
      <c r="BL516">
        <v>1.7100000000000001E-2</v>
      </c>
      <c r="BM516" t="s">
        <v>420</v>
      </c>
    </row>
    <row r="517" spans="1:65" hidden="1" x14ac:dyDescent="0.2">
      <c r="A517">
        <v>133</v>
      </c>
      <c r="D517" t="s">
        <v>54</v>
      </c>
      <c r="E517">
        <v>2015</v>
      </c>
      <c r="F517" t="s">
        <v>414</v>
      </c>
      <c r="G517" t="s">
        <v>154</v>
      </c>
      <c r="H517" t="s">
        <v>78</v>
      </c>
      <c r="K517" t="s">
        <v>93</v>
      </c>
      <c r="L517" t="s">
        <v>415</v>
      </c>
      <c r="M517" t="s">
        <v>95</v>
      </c>
      <c r="N517" t="s">
        <v>61</v>
      </c>
      <c r="O517" t="s">
        <v>62</v>
      </c>
      <c r="P517" t="s">
        <v>63</v>
      </c>
      <c r="Q517" t="s">
        <v>64</v>
      </c>
      <c r="R517" t="s">
        <v>83</v>
      </c>
      <c r="S517" t="s">
        <v>64</v>
      </c>
      <c r="T517" t="s">
        <v>64</v>
      </c>
      <c r="U517" t="s">
        <v>66</v>
      </c>
      <c r="V517">
        <v>436</v>
      </c>
      <c r="W517" t="s">
        <v>67</v>
      </c>
      <c r="X517">
        <v>13.6</v>
      </c>
      <c r="Y517" t="s">
        <v>96</v>
      </c>
      <c r="Z517">
        <v>8.15</v>
      </c>
      <c r="AA517" t="s">
        <v>67</v>
      </c>
      <c r="AB517">
        <v>0.01</v>
      </c>
      <c r="AC517">
        <v>1007</v>
      </c>
      <c r="AD517" t="s">
        <v>67</v>
      </c>
      <c r="AE517">
        <v>10.6</v>
      </c>
      <c r="AF517">
        <v>7.85</v>
      </c>
      <c r="AG517" t="s">
        <v>67</v>
      </c>
      <c r="AH517">
        <v>0</v>
      </c>
      <c r="AI517">
        <v>27.8</v>
      </c>
      <c r="AJ517" t="s">
        <v>67</v>
      </c>
      <c r="AK517">
        <v>0.1</v>
      </c>
      <c r="AL517">
        <v>31.1</v>
      </c>
      <c r="AM517" t="s">
        <v>67</v>
      </c>
      <c r="AN517">
        <v>0.1</v>
      </c>
      <c r="AO517">
        <v>571</v>
      </c>
      <c r="AP517">
        <v>3.3</v>
      </c>
      <c r="AQ517" t="s">
        <v>67</v>
      </c>
      <c r="AR517" t="s">
        <v>287</v>
      </c>
      <c r="AS517" t="s">
        <v>134</v>
      </c>
      <c r="AT517" t="s">
        <v>135</v>
      </c>
      <c r="AU517" t="s">
        <v>425</v>
      </c>
      <c r="AV517" t="s">
        <v>137</v>
      </c>
      <c r="AX517" t="s">
        <v>73</v>
      </c>
      <c r="AY517">
        <v>640</v>
      </c>
      <c r="AZ517">
        <v>640</v>
      </c>
      <c r="BA517">
        <v>61</v>
      </c>
      <c r="BC517">
        <v>8</v>
      </c>
      <c r="BD517">
        <v>870</v>
      </c>
      <c r="BE517">
        <v>870</v>
      </c>
      <c r="BF517">
        <v>78</v>
      </c>
      <c r="BH517">
        <v>8</v>
      </c>
      <c r="BI517">
        <v>4</v>
      </c>
      <c r="BJ517" t="s">
        <v>67</v>
      </c>
      <c r="BK517">
        <v>0.307</v>
      </c>
      <c r="BL517">
        <v>1.7100000000000001E-2</v>
      </c>
    </row>
    <row r="518" spans="1:65" hidden="1" x14ac:dyDescent="0.2">
      <c r="A518">
        <v>173</v>
      </c>
      <c r="D518" t="s">
        <v>54</v>
      </c>
      <c r="E518">
        <v>2014</v>
      </c>
      <c r="F518" t="s">
        <v>257</v>
      </c>
      <c r="G518" t="s">
        <v>258</v>
      </c>
      <c r="H518" t="s">
        <v>78</v>
      </c>
      <c r="K518" t="s">
        <v>79</v>
      </c>
      <c r="L518" t="s">
        <v>210</v>
      </c>
      <c r="M518" t="s">
        <v>156</v>
      </c>
      <c r="N518" t="s">
        <v>156</v>
      </c>
      <c r="O518" t="s">
        <v>62</v>
      </c>
      <c r="P518" t="s">
        <v>63</v>
      </c>
      <c r="Q518" t="s">
        <v>74</v>
      </c>
      <c r="R518" t="s">
        <v>83</v>
      </c>
      <c r="S518" t="s">
        <v>74</v>
      </c>
      <c r="T518" t="s">
        <v>64</v>
      </c>
      <c r="U518" t="s">
        <v>75</v>
      </c>
      <c r="V518">
        <v>598.33000000000004</v>
      </c>
      <c r="W518" t="s">
        <v>67</v>
      </c>
      <c r="X518">
        <v>38.33</v>
      </c>
      <c r="Y518" t="s">
        <v>96</v>
      </c>
      <c r="Z518">
        <v>8.0299999999999994</v>
      </c>
      <c r="AA518" t="s">
        <v>67</v>
      </c>
      <c r="AB518">
        <v>0.03</v>
      </c>
      <c r="AC518">
        <v>586</v>
      </c>
      <c r="AD518" t="s">
        <v>67</v>
      </c>
      <c r="AE518">
        <v>46</v>
      </c>
      <c r="AF518">
        <v>8.0299999999999994</v>
      </c>
      <c r="AG518" t="s">
        <v>67</v>
      </c>
      <c r="AH518">
        <v>0.03</v>
      </c>
      <c r="AI518">
        <v>17</v>
      </c>
      <c r="AJ518" t="s">
        <v>67</v>
      </c>
      <c r="AK518">
        <v>0.34</v>
      </c>
      <c r="AL518">
        <v>18.899999999999999</v>
      </c>
      <c r="AM518" t="s">
        <v>67</v>
      </c>
      <c r="AN518">
        <v>0.64</v>
      </c>
      <c r="AO518">
        <v>-12</v>
      </c>
      <c r="AP518">
        <v>1.8</v>
      </c>
      <c r="AQ518" t="s">
        <v>67</v>
      </c>
      <c r="AR518" t="s">
        <v>456</v>
      </c>
      <c r="AS518" t="s">
        <v>134</v>
      </c>
      <c r="AT518" t="s">
        <v>135</v>
      </c>
      <c r="AU518" t="s">
        <v>457</v>
      </c>
      <c r="AV518" t="s">
        <v>137</v>
      </c>
      <c r="AX518" t="s">
        <v>73</v>
      </c>
      <c r="AY518">
        <v>0.20180000000000001</v>
      </c>
      <c r="AZ518">
        <v>0.20177999999999999</v>
      </c>
      <c r="BA518">
        <v>0.02</v>
      </c>
      <c r="BC518">
        <v>14</v>
      </c>
      <c r="BD518">
        <v>0.19109999999999999</v>
      </c>
      <c r="BE518">
        <v>0.19112425999999999</v>
      </c>
      <c r="BF518">
        <v>1.4800000000000001E-2</v>
      </c>
      <c r="BH518">
        <v>14</v>
      </c>
      <c r="BI518">
        <v>69</v>
      </c>
      <c r="BJ518">
        <v>3</v>
      </c>
      <c r="BK518">
        <v>-5.4199999999999998E-2</v>
      </c>
      <c r="BL518">
        <v>1.7100000000000001E-2</v>
      </c>
    </row>
    <row r="519" spans="1:65" hidden="1" x14ac:dyDescent="0.2">
      <c r="A519">
        <v>156</v>
      </c>
      <c r="D519" t="s">
        <v>54</v>
      </c>
      <c r="E519">
        <v>2019</v>
      </c>
      <c r="F519" t="s">
        <v>458</v>
      </c>
      <c r="G519" t="s">
        <v>378</v>
      </c>
      <c r="H519" t="s">
        <v>78</v>
      </c>
      <c r="K519" t="s">
        <v>93</v>
      </c>
      <c r="L519" t="s">
        <v>274</v>
      </c>
      <c r="M519" t="s">
        <v>95</v>
      </c>
      <c r="N519" t="s">
        <v>61</v>
      </c>
      <c r="O519" t="s">
        <v>62</v>
      </c>
      <c r="P519" t="s">
        <v>63</v>
      </c>
      <c r="Q519" t="s">
        <v>64</v>
      </c>
      <c r="R519" t="s">
        <v>65</v>
      </c>
      <c r="S519" t="s">
        <v>74</v>
      </c>
      <c r="T519" t="s">
        <v>64</v>
      </c>
      <c r="U519" t="s">
        <v>75</v>
      </c>
      <c r="V519">
        <v>487</v>
      </c>
      <c r="W519" t="s">
        <v>67</v>
      </c>
      <c r="X519">
        <v>36</v>
      </c>
      <c r="Y519" t="s">
        <v>157</v>
      </c>
      <c r="Z519">
        <v>7.94</v>
      </c>
      <c r="AA519" t="s">
        <v>67</v>
      </c>
      <c r="AB519">
        <v>0.03</v>
      </c>
      <c r="AC519">
        <v>545</v>
      </c>
      <c r="AD519" t="s">
        <v>67</v>
      </c>
      <c r="AE519">
        <v>39</v>
      </c>
      <c r="AF519">
        <v>7.89</v>
      </c>
      <c r="AG519" t="s">
        <v>67</v>
      </c>
      <c r="AH519">
        <v>0.03</v>
      </c>
      <c r="AI519">
        <v>29</v>
      </c>
      <c r="AJ519" t="s">
        <v>67</v>
      </c>
      <c r="AK519">
        <v>0.2</v>
      </c>
      <c r="AL519">
        <v>31.9</v>
      </c>
      <c r="AM519" t="s">
        <v>67</v>
      </c>
      <c r="AN519">
        <v>0.2</v>
      </c>
      <c r="AO519">
        <v>58</v>
      </c>
      <c r="AP519">
        <v>2.9</v>
      </c>
      <c r="AQ519" t="s">
        <v>67</v>
      </c>
      <c r="AR519" t="s">
        <v>459</v>
      </c>
      <c r="AS519" t="s">
        <v>459</v>
      </c>
      <c r="AT519" t="s">
        <v>135</v>
      </c>
      <c r="AU519" t="s">
        <v>89</v>
      </c>
      <c r="AV519" t="s">
        <v>251</v>
      </c>
      <c r="AX519" t="s">
        <v>73</v>
      </c>
      <c r="AY519">
        <v>-46.23</v>
      </c>
      <c r="AZ519">
        <v>-46.23</v>
      </c>
      <c r="BA519">
        <v>3.88</v>
      </c>
      <c r="BC519">
        <v>40</v>
      </c>
      <c r="BD519">
        <v>-45.72</v>
      </c>
      <c r="BE519">
        <v>-45.72</v>
      </c>
      <c r="BF519">
        <v>4.5967000000000002</v>
      </c>
      <c r="BH519">
        <v>42</v>
      </c>
      <c r="BI519">
        <v>63</v>
      </c>
      <c r="BJ519">
        <v>4</v>
      </c>
      <c r="BK519">
        <v>1.11E-2</v>
      </c>
      <c r="BL519">
        <v>1.7100000000000001E-2</v>
      </c>
      <c r="BM519" t="s">
        <v>460</v>
      </c>
    </row>
    <row r="520" spans="1:65" hidden="1" x14ac:dyDescent="0.2">
      <c r="A520">
        <v>147</v>
      </c>
      <c r="D520" t="s">
        <v>54</v>
      </c>
      <c r="E520">
        <v>2014</v>
      </c>
      <c r="F520" t="s">
        <v>317</v>
      </c>
      <c r="G520" t="s">
        <v>318</v>
      </c>
      <c r="H520" t="s">
        <v>78</v>
      </c>
      <c r="K520" t="s">
        <v>319</v>
      </c>
      <c r="L520" t="s">
        <v>320</v>
      </c>
      <c r="M520" t="s">
        <v>81</v>
      </c>
      <c r="N520" t="s">
        <v>81</v>
      </c>
      <c r="O520" t="s">
        <v>62</v>
      </c>
      <c r="P520" t="s">
        <v>63</v>
      </c>
      <c r="Q520" t="s">
        <v>74</v>
      </c>
      <c r="R520" t="s">
        <v>83</v>
      </c>
      <c r="S520" t="s">
        <v>74</v>
      </c>
      <c r="T520" t="s">
        <v>64</v>
      </c>
      <c r="U520" t="s">
        <v>75</v>
      </c>
      <c r="V520">
        <v>330</v>
      </c>
      <c r="W520">
        <v>9.5</v>
      </c>
      <c r="X520" t="s">
        <v>67</v>
      </c>
      <c r="Y520" t="s">
        <v>68</v>
      </c>
      <c r="Z520">
        <v>8.11</v>
      </c>
      <c r="AA520">
        <v>0.01</v>
      </c>
      <c r="AB520" t="s">
        <v>67</v>
      </c>
      <c r="AC520">
        <v>643</v>
      </c>
      <c r="AD520">
        <v>14.5</v>
      </c>
      <c r="AE520" t="s">
        <v>67</v>
      </c>
      <c r="AF520">
        <v>7.87</v>
      </c>
      <c r="AG520">
        <v>0.01</v>
      </c>
      <c r="AH520" t="s">
        <v>67</v>
      </c>
      <c r="AI520">
        <v>5.2</v>
      </c>
      <c r="AJ520">
        <v>0.11</v>
      </c>
      <c r="AK520" t="s">
        <v>67</v>
      </c>
      <c r="AL520">
        <v>17.899999999999999</v>
      </c>
      <c r="AM520">
        <v>0.03</v>
      </c>
      <c r="AN520" t="s">
        <v>67</v>
      </c>
      <c r="AO520">
        <v>313</v>
      </c>
      <c r="AP520">
        <v>12.7</v>
      </c>
      <c r="AQ520" t="s">
        <v>67</v>
      </c>
      <c r="AR520" t="s">
        <v>113</v>
      </c>
      <c r="AS520" t="s">
        <v>113</v>
      </c>
      <c r="AT520" t="s">
        <v>70</v>
      </c>
      <c r="AU520" t="s">
        <v>442</v>
      </c>
      <c r="AV520" t="s">
        <v>72</v>
      </c>
      <c r="AX520" t="s">
        <v>73</v>
      </c>
      <c r="AY520">
        <v>0.46760000000000002</v>
      </c>
      <c r="AZ520">
        <v>0.46761999999999998</v>
      </c>
      <c r="BA520">
        <v>0.06</v>
      </c>
      <c r="BC520">
        <v>38</v>
      </c>
      <c r="BD520">
        <v>0.87680000000000002</v>
      </c>
      <c r="BE520">
        <v>0.87679083099999999</v>
      </c>
      <c r="BF520">
        <v>5.16E-2</v>
      </c>
      <c r="BH520">
        <v>38</v>
      </c>
      <c r="BI520">
        <v>105</v>
      </c>
      <c r="BJ520">
        <v>2</v>
      </c>
      <c r="BK520">
        <v>0.62860000000000005</v>
      </c>
      <c r="BL520">
        <v>1.7299999999999999E-2</v>
      </c>
    </row>
    <row r="521" spans="1:65" hidden="1" x14ac:dyDescent="0.2">
      <c r="A521">
        <v>140</v>
      </c>
      <c r="D521" t="s">
        <v>54</v>
      </c>
      <c r="E521">
        <v>2014</v>
      </c>
      <c r="F521" t="s">
        <v>427</v>
      </c>
      <c r="G521" t="s">
        <v>318</v>
      </c>
      <c r="H521" t="s">
        <v>78</v>
      </c>
      <c r="K521" t="s">
        <v>194</v>
      </c>
      <c r="L521" t="s">
        <v>215</v>
      </c>
      <c r="M521" t="s">
        <v>120</v>
      </c>
      <c r="N521" t="s">
        <v>120</v>
      </c>
      <c r="O521" t="s">
        <v>62</v>
      </c>
      <c r="P521" t="s">
        <v>196</v>
      </c>
      <c r="Q521" t="s">
        <v>64</v>
      </c>
      <c r="R521" t="s">
        <v>83</v>
      </c>
      <c r="S521" t="s">
        <v>74</v>
      </c>
      <c r="T521" t="s">
        <v>64</v>
      </c>
      <c r="U521" t="s">
        <v>75</v>
      </c>
      <c r="V521">
        <v>432</v>
      </c>
      <c r="W521" t="s">
        <v>67</v>
      </c>
      <c r="X521">
        <v>22.5</v>
      </c>
      <c r="Y521" t="s">
        <v>68</v>
      </c>
      <c r="Z521" t="s">
        <v>67</v>
      </c>
      <c r="AA521" t="s">
        <v>67</v>
      </c>
      <c r="AB521" t="s">
        <v>67</v>
      </c>
      <c r="AC521">
        <v>525</v>
      </c>
      <c r="AD521" t="s">
        <v>67</v>
      </c>
      <c r="AE521">
        <v>22.41</v>
      </c>
      <c r="AF521" t="s">
        <v>67</v>
      </c>
      <c r="AG521" t="s">
        <v>67</v>
      </c>
      <c r="AH521" t="s">
        <v>67</v>
      </c>
      <c r="AI521">
        <v>-0.7</v>
      </c>
      <c r="AJ521" t="s">
        <v>67</v>
      </c>
      <c r="AK521">
        <v>0.15</v>
      </c>
      <c r="AL521">
        <v>3.9</v>
      </c>
      <c r="AM521" t="s">
        <v>67</v>
      </c>
      <c r="AN521">
        <v>4.84</v>
      </c>
      <c r="AO521">
        <v>93</v>
      </c>
      <c r="AP521">
        <v>4.5999999999999996</v>
      </c>
      <c r="AQ521" t="s">
        <v>428</v>
      </c>
      <c r="AR521" t="s">
        <v>452</v>
      </c>
      <c r="AS521" t="s">
        <v>178</v>
      </c>
      <c r="AT521" t="s">
        <v>70</v>
      </c>
      <c r="AU521" t="s">
        <v>453</v>
      </c>
      <c r="AV521" t="s">
        <v>132</v>
      </c>
      <c r="AX521" t="s">
        <v>73</v>
      </c>
      <c r="AY521">
        <v>130</v>
      </c>
      <c r="AZ521">
        <v>130</v>
      </c>
      <c r="BA521">
        <v>11</v>
      </c>
      <c r="BC521">
        <v>5</v>
      </c>
      <c r="BD521">
        <v>140</v>
      </c>
      <c r="BE521">
        <v>140</v>
      </c>
      <c r="BF521">
        <v>14.1</v>
      </c>
      <c r="BH521">
        <v>5</v>
      </c>
      <c r="BI521">
        <v>56</v>
      </c>
      <c r="BJ521">
        <v>1</v>
      </c>
      <c r="BK521">
        <v>7.4099999999999999E-2</v>
      </c>
      <c r="BL521">
        <v>1.7299999999999999E-2</v>
      </c>
    </row>
    <row r="522" spans="1:65" hidden="1" x14ac:dyDescent="0.2">
      <c r="A522">
        <v>139</v>
      </c>
      <c r="D522" t="s">
        <v>54</v>
      </c>
      <c r="E522">
        <v>2018</v>
      </c>
      <c r="F522" t="s">
        <v>214</v>
      </c>
      <c r="G522" t="s">
        <v>154</v>
      </c>
      <c r="H522" t="s">
        <v>78</v>
      </c>
      <c r="K522" t="s">
        <v>194</v>
      </c>
      <c r="L522" t="s">
        <v>215</v>
      </c>
      <c r="M522" t="s">
        <v>120</v>
      </c>
      <c r="N522" t="s">
        <v>120</v>
      </c>
      <c r="O522" t="s">
        <v>62</v>
      </c>
      <c r="P522" t="s">
        <v>63</v>
      </c>
      <c r="Q522" t="s">
        <v>64</v>
      </c>
      <c r="R522" t="s">
        <v>83</v>
      </c>
      <c r="S522" t="s">
        <v>74</v>
      </c>
      <c r="T522" t="s">
        <v>64</v>
      </c>
      <c r="U522" t="s">
        <v>75</v>
      </c>
      <c r="V522">
        <v>438</v>
      </c>
      <c r="W522" t="s">
        <v>67</v>
      </c>
      <c r="X522">
        <v>16</v>
      </c>
      <c r="Y522" t="s">
        <v>68</v>
      </c>
      <c r="Z522">
        <v>8</v>
      </c>
      <c r="AA522" t="s">
        <v>67</v>
      </c>
      <c r="AB522">
        <v>0.01</v>
      </c>
      <c r="AC522">
        <v>434</v>
      </c>
      <c r="AD522" t="s">
        <v>67</v>
      </c>
      <c r="AE522">
        <v>16</v>
      </c>
      <c r="AF522">
        <v>8.01</v>
      </c>
      <c r="AG522" t="s">
        <v>67</v>
      </c>
      <c r="AH522">
        <v>0.02</v>
      </c>
      <c r="AI522">
        <v>-0.9</v>
      </c>
      <c r="AJ522" t="s">
        <v>67</v>
      </c>
      <c r="AK522">
        <v>0.1</v>
      </c>
      <c r="AL522">
        <v>2.2000000000000002</v>
      </c>
      <c r="AM522" t="s">
        <v>67</v>
      </c>
      <c r="AN522">
        <v>0.1</v>
      </c>
      <c r="AO522">
        <v>-4</v>
      </c>
      <c r="AP522">
        <v>3.1</v>
      </c>
      <c r="AQ522" t="s">
        <v>67</v>
      </c>
      <c r="AR522" t="s">
        <v>407</v>
      </c>
      <c r="AS522" t="s">
        <v>407</v>
      </c>
      <c r="AT522" t="s">
        <v>135</v>
      </c>
      <c r="AU522" t="s">
        <v>408</v>
      </c>
      <c r="AV522" t="s">
        <v>251</v>
      </c>
      <c r="AX522" t="s">
        <v>73</v>
      </c>
      <c r="AY522">
        <v>53</v>
      </c>
      <c r="AZ522">
        <v>53</v>
      </c>
      <c r="BA522">
        <v>5</v>
      </c>
      <c r="BC522">
        <v>8</v>
      </c>
      <c r="BD522">
        <v>65</v>
      </c>
      <c r="BE522">
        <v>65</v>
      </c>
      <c r="BF522">
        <v>6</v>
      </c>
      <c r="BH522">
        <v>7</v>
      </c>
      <c r="BI522">
        <v>14</v>
      </c>
      <c r="BJ522">
        <v>3</v>
      </c>
      <c r="BK522">
        <v>0.2041</v>
      </c>
      <c r="BL522">
        <v>1.7399999999999999E-2</v>
      </c>
    </row>
    <row r="523" spans="1:65" hidden="1" x14ac:dyDescent="0.2">
      <c r="A523">
        <v>140</v>
      </c>
      <c r="D523" t="s">
        <v>54</v>
      </c>
      <c r="E523">
        <v>2014</v>
      </c>
      <c r="F523" t="s">
        <v>427</v>
      </c>
      <c r="G523" t="s">
        <v>318</v>
      </c>
      <c r="H523" t="s">
        <v>78</v>
      </c>
      <c r="K523" t="s">
        <v>194</v>
      </c>
      <c r="L523" t="s">
        <v>195</v>
      </c>
      <c r="M523" t="s">
        <v>120</v>
      </c>
      <c r="N523" t="s">
        <v>120</v>
      </c>
      <c r="O523" t="s">
        <v>106</v>
      </c>
      <c r="P523" t="s">
        <v>196</v>
      </c>
      <c r="Q523" t="s">
        <v>64</v>
      </c>
      <c r="R523" t="s">
        <v>83</v>
      </c>
      <c r="S523" t="s">
        <v>74</v>
      </c>
      <c r="T523" t="s">
        <v>64</v>
      </c>
      <c r="U523" t="s">
        <v>75</v>
      </c>
      <c r="V523">
        <v>432</v>
      </c>
      <c r="W523" t="s">
        <v>67</v>
      </c>
      <c r="X523">
        <v>22.5</v>
      </c>
      <c r="Y523" t="s">
        <v>68</v>
      </c>
      <c r="Z523" t="s">
        <v>67</v>
      </c>
      <c r="AA523" t="s">
        <v>67</v>
      </c>
      <c r="AB523" t="s">
        <v>67</v>
      </c>
      <c r="AC523">
        <v>525</v>
      </c>
      <c r="AD523" t="s">
        <v>67</v>
      </c>
      <c r="AE523">
        <v>22.41</v>
      </c>
      <c r="AF523" t="s">
        <v>67</v>
      </c>
      <c r="AG523" t="s">
        <v>67</v>
      </c>
      <c r="AH523" t="s">
        <v>67</v>
      </c>
      <c r="AI523">
        <v>-0.7</v>
      </c>
      <c r="AJ523" t="s">
        <v>67</v>
      </c>
      <c r="AK523">
        <v>0.15</v>
      </c>
      <c r="AL523">
        <v>3.9</v>
      </c>
      <c r="AM523" t="s">
        <v>67</v>
      </c>
      <c r="AN523">
        <v>4.84</v>
      </c>
      <c r="AO523">
        <v>93</v>
      </c>
      <c r="AP523">
        <v>4.5999999999999996</v>
      </c>
      <c r="AQ523" t="s">
        <v>428</v>
      </c>
      <c r="AR523" t="s">
        <v>452</v>
      </c>
      <c r="AS523" t="s">
        <v>178</v>
      </c>
      <c r="AT523" t="s">
        <v>70</v>
      </c>
      <c r="AU523" t="s">
        <v>453</v>
      </c>
      <c r="AV523" t="s">
        <v>132</v>
      </c>
      <c r="AX523" t="s">
        <v>73</v>
      </c>
      <c r="AY523">
        <v>390</v>
      </c>
      <c r="AZ523">
        <v>390</v>
      </c>
      <c r="BA523">
        <v>37</v>
      </c>
      <c r="BC523">
        <v>5</v>
      </c>
      <c r="BD523">
        <v>370</v>
      </c>
      <c r="BE523">
        <v>370</v>
      </c>
      <c r="BF523">
        <v>34</v>
      </c>
      <c r="BH523">
        <v>5</v>
      </c>
      <c r="BI523">
        <v>56</v>
      </c>
      <c r="BJ523">
        <v>1</v>
      </c>
      <c r="BK523">
        <v>-5.2600000000000001E-2</v>
      </c>
      <c r="BL523">
        <v>1.7399999999999999E-2</v>
      </c>
    </row>
    <row r="524" spans="1:65" hidden="1" x14ac:dyDescent="0.2">
      <c r="A524">
        <v>133</v>
      </c>
      <c r="D524" t="s">
        <v>54</v>
      </c>
      <c r="E524">
        <v>2015</v>
      </c>
      <c r="F524" t="s">
        <v>414</v>
      </c>
      <c r="G524" t="s">
        <v>154</v>
      </c>
      <c r="H524" t="s">
        <v>78</v>
      </c>
      <c r="K524" t="s">
        <v>93</v>
      </c>
      <c r="L524" t="s">
        <v>415</v>
      </c>
      <c r="M524" t="s">
        <v>95</v>
      </c>
      <c r="N524" t="s">
        <v>61</v>
      </c>
      <c r="O524" t="s">
        <v>62</v>
      </c>
      <c r="P524" t="s">
        <v>63</v>
      </c>
      <c r="Q524" t="s">
        <v>64</v>
      </c>
      <c r="R524" t="s">
        <v>83</v>
      </c>
      <c r="S524" t="s">
        <v>74</v>
      </c>
      <c r="T524" t="s">
        <v>64</v>
      </c>
      <c r="U524" t="s">
        <v>75</v>
      </c>
      <c r="V524">
        <v>436</v>
      </c>
      <c r="W524" t="s">
        <v>67</v>
      </c>
      <c r="X524">
        <v>13.6</v>
      </c>
      <c r="Y524" t="s">
        <v>96</v>
      </c>
      <c r="Z524">
        <v>8.15</v>
      </c>
      <c r="AA524" t="s">
        <v>67</v>
      </c>
      <c r="AB524">
        <v>0.01</v>
      </c>
      <c r="AC524">
        <v>441</v>
      </c>
      <c r="AD524" t="s">
        <v>67</v>
      </c>
      <c r="AE524">
        <v>13.9</v>
      </c>
      <c r="AF524">
        <v>8.15</v>
      </c>
      <c r="AG524" t="s">
        <v>67</v>
      </c>
      <c r="AH524">
        <v>0.01</v>
      </c>
      <c r="AI524">
        <v>27.8</v>
      </c>
      <c r="AJ524" t="s">
        <v>67</v>
      </c>
      <c r="AK524">
        <v>0.1</v>
      </c>
      <c r="AL524">
        <v>31.1</v>
      </c>
      <c r="AM524" t="s">
        <v>67</v>
      </c>
      <c r="AN524">
        <v>0.1</v>
      </c>
      <c r="AO524">
        <v>5</v>
      </c>
      <c r="AP524">
        <v>3.3</v>
      </c>
      <c r="AQ524" t="s">
        <v>67</v>
      </c>
      <c r="AR524" t="s">
        <v>287</v>
      </c>
      <c r="AS524" t="s">
        <v>134</v>
      </c>
      <c r="AT524" t="s">
        <v>135</v>
      </c>
      <c r="AU524" t="s">
        <v>425</v>
      </c>
      <c r="AV524" t="s">
        <v>137</v>
      </c>
      <c r="AX524" t="s">
        <v>73</v>
      </c>
      <c r="AY524">
        <v>640</v>
      </c>
      <c r="AZ524">
        <v>640</v>
      </c>
      <c r="BA524">
        <v>61</v>
      </c>
      <c r="BC524">
        <v>8</v>
      </c>
      <c r="BD524">
        <v>630</v>
      </c>
      <c r="BE524">
        <v>630</v>
      </c>
      <c r="BF524">
        <v>58</v>
      </c>
      <c r="BH524">
        <v>8</v>
      </c>
      <c r="BI524">
        <v>4</v>
      </c>
      <c r="BJ524" t="s">
        <v>67</v>
      </c>
      <c r="BK524">
        <v>-1.5699999999999999E-2</v>
      </c>
      <c r="BL524">
        <v>1.7600000000000001E-2</v>
      </c>
    </row>
    <row r="525" spans="1:65" hidden="1" x14ac:dyDescent="0.2">
      <c r="A525">
        <v>160</v>
      </c>
      <c r="D525" t="s">
        <v>54</v>
      </c>
      <c r="E525">
        <v>2018</v>
      </c>
      <c r="F525" t="s">
        <v>254</v>
      </c>
      <c r="G525" t="s">
        <v>255</v>
      </c>
      <c r="H525" t="s">
        <v>78</v>
      </c>
      <c r="K525" t="s">
        <v>189</v>
      </c>
      <c r="L525" t="s">
        <v>190</v>
      </c>
      <c r="M525" t="s">
        <v>156</v>
      </c>
      <c r="N525" t="s">
        <v>156</v>
      </c>
      <c r="O525" t="s">
        <v>110</v>
      </c>
      <c r="P525" t="s">
        <v>63</v>
      </c>
      <c r="Q525" t="s">
        <v>74</v>
      </c>
      <c r="R525" t="s">
        <v>83</v>
      </c>
      <c r="S525" t="s">
        <v>64</v>
      </c>
      <c r="T525" t="s">
        <v>74</v>
      </c>
      <c r="U525" t="s">
        <v>84</v>
      </c>
      <c r="V525">
        <v>500</v>
      </c>
      <c r="W525" t="s">
        <v>67</v>
      </c>
      <c r="X525" t="s">
        <v>67</v>
      </c>
      <c r="Y525" t="s">
        <v>67</v>
      </c>
      <c r="Z525" t="s">
        <v>67</v>
      </c>
      <c r="AA525" t="s">
        <v>67</v>
      </c>
      <c r="AB525" t="s">
        <v>67</v>
      </c>
      <c r="AC525">
        <v>1497</v>
      </c>
      <c r="AD525" t="s">
        <v>67</v>
      </c>
      <c r="AE525">
        <v>33</v>
      </c>
      <c r="AF525">
        <v>7.61</v>
      </c>
      <c r="AG525" t="s">
        <v>67</v>
      </c>
      <c r="AH525">
        <v>0.03</v>
      </c>
      <c r="AI525">
        <v>19</v>
      </c>
      <c r="AJ525" t="s">
        <v>67</v>
      </c>
      <c r="AK525">
        <v>0.2</v>
      </c>
      <c r="AL525">
        <v>19</v>
      </c>
      <c r="AM525" t="s">
        <v>67</v>
      </c>
      <c r="AN525">
        <v>0.1</v>
      </c>
      <c r="AO525">
        <v>997</v>
      </c>
      <c r="AP525">
        <v>0</v>
      </c>
      <c r="AQ525" t="s">
        <v>67</v>
      </c>
      <c r="AR525" t="s">
        <v>367</v>
      </c>
      <c r="AS525" t="s">
        <v>367</v>
      </c>
      <c r="AT525" t="s">
        <v>135</v>
      </c>
      <c r="AU525" t="s">
        <v>461</v>
      </c>
      <c r="AV525" t="s">
        <v>251</v>
      </c>
      <c r="AX525" t="s">
        <v>73</v>
      </c>
      <c r="AY525">
        <v>30</v>
      </c>
      <c r="AZ525">
        <v>30</v>
      </c>
      <c r="BA525">
        <v>3.79</v>
      </c>
      <c r="BC525">
        <v>10</v>
      </c>
      <c r="BD525">
        <v>80</v>
      </c>
      <c r="BE525">
        <v>80</v>
      </c>
      <c r="BF525">
        <v>3.1623000000000001</v>
      </c>
      <c r="BH525">
        <v>10</v>
      </c>
      <c r="BI525">
        <v>28</v>
      </c>
      <c r="BJ525">
        <v>3</v>
      </c>
      <c r="BK525">
        <v>0.98080000000000001</v>
      </c>
      <c r="BL525">
        <v>1.7600000000000001E-2</v>
      </c>
    </row>
    <row r="526" spans="1:65" hidden="1" x14ac:dyDescent="0.2">
      <c r="A526">
        <v>142</v>
      </c>
      <c r="D526" t="s">
        <v>54</v>
      </c>
      <c r="E526">
        <v>2017</v>
      </c>
      <c r="F526" t="s">
        <v>193</v>
      </c>
      <c r="G526" t="s">
        <v>181</v>
      </c>
      <c r="H526" t="s">
        <v>78</v>
      </c>
      <c r="K526" t="s">
        <v>194</v>
      </c>
      <c r="L526" t="s">
        <v>215</v>
      </c>
      <c r="M526" t="s">
        <v>120</v>
      </c>
      <c r="N526" t="s">
        <v>120</v>
      </c>
      <c r="O526" t="s">
        <v>62</v>
      </c>
      <c r="P526" t="s">
        <v>196</v>
      </c>
      <c r="Q526" t="s">
        <v>64</v>
      </c>
      <c r="R526" t="s">
        <v>83</v>
      </c>
      <c r="S526" t="s">
        <v>74</v>
      </c>
      <c r="T526" t="s">
        <v>64</v>
      </c>
      <c r="U526" t="s">
        <v>75</v>
      </c>
      <c r="V526">
        <v>439</v>
      </c>
      <c r="W526">
        <v>16.079999999999998</v>
      </c>
      <c r="X526" t="s">
        <v>67</v>
      </c>
      <c r="Y526" t="s">
        <v>67</v>
      </c>
      <c r="Z526" t="s">
        <v>67</v>
      </c>
      <c r="AA526" t="s">
        <v>67</v>
      </c>
      <c r="AB526" t="s">
        <v>67</v>
      </c>
      <c r="AC526">
        <v>525</v>
      </c>
      <c r="AD526">
        <v>21.07</v>
      </c>
      <c r="AE526" t="s">
        <v>67</v>
      </c>
      <c r="AF526" t="s">
        <v>67</v>
      </c>
      <c r="AG526" t="s">
        <v>67</v>
      </c>
      <c r="AH526" t="s">
        <v>67</v>
      </c>
      <c r="AI526">
        <v>-0.6</v>
      </c>
      <c r="AJ526">
        <v>0.17</v>
      </c>
      <c r="AK526" t="s">
        <v>67</v>
      </c>
      <c r="AL526">
        <v>4</v>
      </c>
      <c r="AM526">
        <v>0.44</v>
      </c>
      <c r="AN526" t="s">
        <v>67</v>
      </c>
      <c r="AO526">
        <v>86</v>
      </c>
      <c r="AP526">
        <v>4.5999999999999996</v>
      </c>
      <c r="AQ526" t="s">
        <v>67</v>
      </c>
      <c r="AR526" t="s">
        <v>356</v>
      </c>
      <c r="AS526" t="s">
        <v>134</v>
      </c>
      <c r="AT526" t="s">
        <v>135</v>
      </c>
      <c r="AU526" t="s">
        <v>357</v>
      </c>
      <c r="AV526" t="s">
        <v>137</v>
      </c>
      <c r="AX526" t="s">
        <v>73</v>
      </c>
      <c r="AY526">
        <v>28.51</v>
      </c>
      <c r="AZ526">
        <v>28.51</v>
      </c>
      <c r="BA526">
        <v>3.16</v>
      </c>
      <c r="BC526">
        <v>5</v>
      </c>
      <c r="BD526">
        <v>38.709699999999998</v>
      </c>
      <c r="BE526">
        <v>38.709677419999998</v>
      </c>
      <c r="BF526">
        <v>2.8226</v>
      </c>
      <c r="BH526">
        <v>5</v>
      </c>
      <c r="BI526">
        <v>56</v>
      </c>
      <c r="BJ526">
        <v>1</v>
      </c>
      <c r="BK526">
        <v>0.30580000000000002</v>
      </c>
      <c r="BL526">
        <v>1.7600000000000001E-2</v>
      </c>
    </row>
    <row r="527" spans="1:65" hidden="1" x14ac:dyDescent="0.2">
      <c r="A527">
        <v>140</v>
      </c>
      <c r="D527" t="s">
        <v>54</v>
      </c>
      <c r="E527">
        <v>2014</v>
      </c>
      <c r="F527" t="s">
        <v>427</v>
      </c>
      <c r="G527" t="s">
        <v>318</v>
      </c>
      <c r="H527" t="s">
        <v>78</v>
      </c>
      <c r="K527" t="s">
        <v>194</v>
      </c>
      <c r="L527" t="s">
        <v>195</v>
      </c>
      <c r="M527" t="s">
        <v>120</v>
      </c>
      <c r="N527" t="s">
        <v>120</v>
      </c>
      <c r="O527" t="s">
        <v>106</v>
      </c>
      <c r="P527" t="s">
        <v>196</v>
      </c>
      <c r="Q527" t="s">
        <v>64</v>
      </c>
      <c r="R527" t="s">
        <v>83</v>
      </c>
      <c r="S527" t="s">
        <v>64</v>
      </c>
      <c r="T527" t="s">
        <v>74</v>
      </c>
      <c r="U527" t="s">
        <v>84</v>
      </c>
      <c r="V527">
        <v>432</v>
      </c>
      <c r="W527" t="s">
        <v>67</v>
      </c>
      <c r="X527">
        <v>22.5</v>
      </c>
      <c r="Y527" t="s">
        <v>68</v>
      </c>
      <c r="Z527" t="s">
        <v>67</v>
      </c>
      <c r="AA527" t="s">
        <v>67</v>
      </c>
      <c r="AB527" t="s">
        <v>67</v>
      </c>
      <c r="AC527">
        <v>1025</v>
      </c>
      <c r="AD527" t="s">
        <v>67</v>
      </c>
      <c r="AE527">
        <v>94.2</v>
      </c>
      <c r="AF527" t="s">
        <v>67</v>
      </c>
      <c r="AG527" t="s">
        <v>67</v>
      </c>
      <c r="AH527" t="s">
        <v>67</v>
      </c>
      <c r="AI527">
        <v>-0.7</v>
      </c>
      <c r="AJ527" t="s">
        <v>67</v>
      </c>
      <c r="AK527">
        <v>0.15</v>
      </c>
      <c r="AL527">
        <v>-0.6</v>
      </c>
      <c r="AM527" t="s">
        <v>67</v>
      </c>
      <c r="AN527">
        <v>0.15</v>
      </c>
      <c r="AO527">
        <v>593</v>
      </c>
      <c r="AP527">
        <v>0.1</v>
      </c>
      <c r="AQ527" t="s">
        <v>428</v>
      </c>
      <c r="AR527" t="s">
        <v>452</v>
      </c>
      <c r="AS527" t="s">
        <v>178</v>
      </c>
      <c r="AT527" t="s">
        <v>70</v>
      </c>
      <c r="AU527" t="s">
        <v>453</v>
      </c>
      <c r="AV527" t="s">
        <v>132</v>
      </c>
      <c r="AX527" t="s">
        <v>73</v>
      </c>
      <c r="AY527">
        <v>390</v>
      </c>
      <c r="AZ527">
        <v>390</v>
      </c>
      <c r="BA527">
        <v>37</v>
      </c>
      <c r="BC527">
        <v>5</v>
      </c>
      <c r="BD527">
        <v>300</v>
      </c>
      <c r="BE527">
        <v>300</v>
      </c>
      <c r="BF527">
        <v>28</v>
      </c>
      <c r="BH527">
        <v>5</v>
      </c>
      <c r="BI527">
        <v>56</v>
      </c>
      <c r="BJ527">
        <v>1</v>
      </c>
      <c r="BK527">
        <v>-0.26240000000000002</v>
      </c>
      <c r="BL527">
        <v>1.77E-2</v>
      </c>
    </row>
    <row r="528" spans="1:65" hidden="1" x14ac:dyDescent="0.2">
      <c r="A528">
        <v>171</v>
      </c>
      <c r="D528" t="s">
        <v>54</v>
      </c>
      <c r="E528">
        <v>2015</v>
      </c>
      <c r="F528" t="s">
        <v>198</v>
      </c>
      <c r="G528" t="s">
        <v>199</v>
      </c>
      <c r="H528" t="s">
        <v>57</v>
      </c>
      <c r="K528" t="s">
        <v>79</v>
      </c>
      <c r="L528" t="s">
        <v>200</v>
      </c>
      <c r="M528" t="s">
        <v>81</v>
      </c>
      <c r="N528" t="s">
        <v>81</v>
      </c>
      <c r="O528" t="s">
        <v>62</v>
      </c>
      <c r="P528" t="s">
        <v>63</v>
      </c>
      <c r="Q528" t="s">
        <v>64</v>
      </c>
      <c r="R528" t="s">
        <v>65</v>
      </c>
      <c r="S528" t="s">
        <v>74</v>
      </c>
      <c r="T528" t="s">
        <v>64</v>
      </c>
      <c r="U528" t="s">
        <v>75</v>
      </c>
      <c r="V528">
        <v>422.07</v>
      </c>
      <c r="W528" t="s">
        <v>67</v>
      </c>
      <c r="X528">
        <v>16.57</v>
      </c>
      <c r="Y528" t="s">
        <v>96</v>
      </c>
      <c r="Z528">
        <v>8.1</v>
      </c>
      <c r="AA528" t="s">
        <v>67</v>
      </c>
      <c r="AB528">
        <v>0.05</v>
      </c>
      <c r="AC528">
        <v>414.68</v>
      </c>
      <c r="AD528" t="s">
        <v>67</v>
      </c>
      <c r="AE528">
        <v>5.22</v>
      </c>
      <c r="AF528">
        <v>8.1</v>
      </c>
      <c r="AG528" t="s">
        <v>67</v>
      </c>
      <c r="AH528">
        <v>0.05</v>
      </c>
      <c r="AI528">
        <v>15</v>
      </c>
      <c r="AJ528" t="s">
        <v>67</v>
      </c>
      <c r="AK528">
        <v>0.5</v>
      </c>
      <c r="AL528">
        <v>18</v>
      </c>
      <c r="AM528" t="s">
        <v>67</v>
      </c>
      <c r="AN528">
        <v>0.5</v>
      </c>
      <c r="AO528">
        <v>-7</v>
      </c>
      <c r="AP528">
        <v>3</v>
      </c>
      <c r="AQ528" t="s">
        <v>201</v>
      </c>
      <c r="AR528" t="s">
        <v>364</v>
      </c>
      <c r="AS528" t="s">
        <v>88</v>
      </c>
      <c r="AT528" t="s">
        <v>70</v>
      </c>
      <c r="AU528" t="s">
        <v>89</v>
      </c>
      <c r="AV528" t="s">
        <v>88</v>
      </c>
      <c r="AX528" t="s">
        <v>90</v>
      </c>
      <c r="AY528">
        <v>93.273499999999999</v>
      </c>
      <c r="AZ528">
        <v>93.273539999999997</v>
      </c>
      <c r="BA528">
        <v>6.7264999999999997</v>
      </c>
      <c r="BC528">
        <v>77</v>
      </c>
      <c r="BD528">
        <v>90.134500000000003</v>
      </c>
      <c r="BE528">
        <v>90.134529150000006</v>
      </c>
      <c r="BF528">
        <v>10.089700000000001</v>
      </c>
      <c r="BH528">
        <v>77</v>
      </c>
      <c r="BI528">
        <v>157</v>
      </c>
      <c r="BJ528">
        <v>5</v>
      </c>
      <c r="BK528">
        <v>-3.4200000000000001E-2</v>
      </c>
      <c r="BL528">
        <v>1.77E-2</v>
      </c>
    </row>
    <row r="529" spans="1:64" hidden="1" x14ac:dyDescent="0.2">
      <c r="A529">
        <v>209</v>
      </c>
      <c r="D529" t="s">
        <v>54</v>
      </c>
      <c r="E529">
        <v>2020</v>
      </c>
      <c r="F529" t="s">
        <v>223</v>
      </c>
      <c r="G529" t="s">
        <v>224</v>
      </c>
      <c r="H529" t="s">
        <v>78</v>
      </c>
      <c r="K529" t="s">
        <v>205</v>
      </c>
      <c r="L529" t="s">
        <v>206</v>
      </c>
      <c r="M529" t="s">
        <v>81</v>
      </c>
      <c r="N529" t="s">
        <v>81</v>
      </c>
      <c r="O529" t="s">
        <v>110</v>
      </c>
      <c r="P529" t="s">
        <v>63</v>
      </c>
      <c r="Q529" t="s">
        <v>64</v>
      </c>
      <c r="R529" t="s">
        <v>83</v>
      </c>
      <c r="S529" t="s">
        <v>64</v>
      </c>
      <c r="T529" t="s">
        <v>64</v>
      </c>
      <c r="U529" t="s">
        <v>66</v>
      </c>
      <c r="V529">
        <v>434.51</v>
      </c>
      <c r="W529" t="s">
        <v>67</v>
      </c>
      <c r="X529">
        <v>49.9</v>
      </c>
      <c r="Y529" t="s">
        <v>68</v>
      </c>
      <c r="Z529">
        <v>8.01</v>
      </c>
      <c r="AA529" t="s">
        <v>67</v>
      </c>
      <c r="AB529">
        <v>0.04</v>
      </c>
      <c r="AC529">
        <v>1271.67</v>
      </c>
      <c r="AD529" t="s">
        <v>67</v>
      </c>
      <c r="AE529">
        <v>365.09</v>
      </c>
      <c r="AF529">
        <v>7.54</v>
      </c>
      <c r="AG529" t="s">
        <v>67</v>
      </c>
      <c r="AH529">
        <v>0.1</v>
      </c>
      <c r="AI529">
        <v>8.1999999999999993</v>
      </c>
      <c r="AJ529" t="s">
        <v>67</v>
      </c>
      <c r="AK529">
        <v>0.11</v>
      </c>
      <c r="AL529">
        <v>15.8</v>
      </c>
      <c r="AM529" t="s">
        <v>67</v>
      </c>
      <c r="AN529">
        <v>0.27</v>
      </c>
      <c r="AO529">
        <v>837</v>
      </c>
      <c r="AP529">
        <v>7.6</v>
      </c>
      <c r="AQ529" t="s">
        <v>67</v>
      </c>
      <c r="AR529" t="s">
        <v>98</v>
      </c>
      <c r="AS529" t="s">
        <v>98</v>
      </c>
      <c r="AT529" t="s">
        <v>70</v>
      </c>
      <c r="AU529" t="s">
        <v>226</v>
      </c>
      <c r="AV529" t="s">
        <v>72</v>
      </c>
      <c r="AX529" t="s">
        <v>73</v>
      </c>
      <c r="AY529">
        <v>22.37</v>
      </c>
      <c r="AZ529">
        <v>22.37</v>
      </c>
      <c r="BA529">
        <v>2.5</v>
      </c>
      <c r="BC529">
        <v>3</v>
      </c>
      <c r="BD529">
        <v>27.27</v>
      </c>
      <c r="BE529">
        <v>27.27</v>
      </c>
      <c r="BF529">
        <v>1.98</v>
      </c>
      <c r="BH529">
        <v>3</v>
      </c>
      <c r="BI529">
        <v>120</v>
      </c>
      <c r="BJ529">
        <v>12</v>
      </c>
      <c r="BK529">
        <v>0.1981</v>
      </c>
      <c r="BL529">
        <v>1.78E-2</v>
      </c>
    </row>
    <row r="530" spans="1:64" hidden="1" x14ac:dyDescent="0.2">
      <c r="A530">
        <v>140</v>
      </c>
      <c r="D530" t="s">
        <v>54</v>
      </c>
      <c r="E530">
        <v>2014</v>
      </c>
      <c r="F530" t="s">
        <v>427</v>
      </c>
      <c r="G530" t="s">
        <v>318</v>
      </c>
      <c r="H530" t="s">
        <v>78</v>
      </c>
      <c r="K530" t="s">
        <v>194</v>
      </c>
      <c r="L530" t="s">
        <v>215</v>
      </c>
      <c r="M530" t="s">
        <v>120</v>
      </c>
      <c r="N530" t="s">
        <v>120</v>
      </c>
      <c r="O530" t="s">
        <v>62</v>
      </c>
      <c r="P530" t="s">
        <v>196</v>
      </c>
      <c r="Q530" t="s">
        <v>64</v>
      </c>
      <c r="R530" t="s">
        <v>83</v>
      </c>
      <c r="S530" t="s">
        <v>64</v>
      </c>
      <c r="T530" t="s">
        <v>74</v>
      </c>
      <c r="U530" t="s">
        <v>84</v>
      </c>
      <c r="V530">
        <v>432</v>
      </c>
      <c r="W530" t="s">
        <v>67</v>
      </c>
      <c r="X530">
        <v>22.5</v>
      </c>
      <c r="Y530" t="s">
        <v>68</v>
      </c>
      <c r="Z530" t="s">
        <v>67</v>
      </c>
      <c r="AA530" t="s">
        <v>67</v>
      </c>
      <c r="AB530" t="s">
        <v>67</v>
      </c>
      <c r="AC530">
        <v>1025</v>
      </c>
      <c r="AD530" t="s">
        <v>67</v>
      </c>
      <c r="AE530">
        <v>94.2</v>
      </c>
      <c r="AF530" t="s">
        <v>67</v>
      </c>
      <c r="AG530" t="s">
        <v>67</v>
      </c>
      <c r="AH530" t="s">
        <v>67</v>
      </c>
      <c r="AI530">
        <v>-0.7</v>
      </c>
      <c r="AJ530" t="s">
        <v>67</v>
      </c>
      <c r="AK530">
        <v>0.15</v>
      </c>
      <c r="AL530">
        <v>-0.6</v>
      </c>
      <c r="AM530" t="s">
        <v>67</v>
      </c>
      <c r="AN530">
        <v>0.15</v>
      </c>
      <c r="AO530">
        <v>593</v>
      </c>
      <c r="AP530">
        <v>0.1</v>
      </c>
      <c r="AQ530" t="s">
        <v>428</v>
      </c>
      <c r="AR530" t="s">
        <v>452</v>
      </c>
      <c r="AS530" t="s">
        <v>178</v>
      </c>
      <c r="AT530" t="s">
        <v>70</v>
      </c>
      <c r="AU530" t="s">
        <v>453</v>
      </c>
      <c r="AV530" t="s">
        <v>132</v>
      </c>
      <c r="AX530" t="s">
        <v>73</v>
      </c>
      <c r="AY530">
        <v>130</v>
      </c>
      <c r="AZ530">
        <v>130</v>
      </c>
      <c r="BA530">
        <v>11</v>
      </c>
      <c r="BC530">
        <v>5</v>
      </c>
      <c r="BD530">
        <v>160</v>
      </c>
      <c r="BE530">
        <v>160</v>
      </c>
      <c r="BF530">
        <v>16.5</v>
      </c>
      <c r="BH530">
        <v>5</v>
      </c>
      <c r="BI530">
        <v>56</v>
      </c>
      <c r="BJ530">
        <v>1</v>
      </c>
      <c r="BK530">
        <v>0.20760000000000001</v>
      </c>
      <c r="BL530">
        <v>1.78E-2</v>
      </c>
    </row>
    <row r="531" spans="1:64" hidden="1" x14ac:dyDescent="0.2">
      <c r="A531">
        <v>129</v>
      </c>
      <c r="D531" t="s">
        <v>54</v>
      </c>
      <c r="E531">
        <v>2016</v>
      </c>
      <c r="F531" t="s">
        <v>462</v>
      </c>
      <c r="G531" t="s">
        <v>463</v>
      </c>
      <c r="H531" t="s">
        <v>78</v>
      </c>
      <c r="K531" t="s">
        <v>319</v>
      </c>
      <c r="L531" t="s">
        <v>320</v>
      </c>
      <c r="M531" t="s">
        <v>81</v>
      </c>
      <c r="N531" t="s">
        <v>81</v>
      </c>
      <c r="O531" t="s">
        <v>62</v>
      </c>
      <c r="P531" t="s">
        <v>63</v>
      </c>
      <c r="Q531" t="s">
        <v>74</v>
      </c>
      <c r="R531" t="s">
        <v>83</v>
      </c>
      <c r="S531" t="s">
        <v>74</v>
      </c>
      <c r="T531" t="s">
        <v>64</v>
      </c>
      <c r="U531" t="s">
        <v>75</v>
      </c>
      <c r="V531">
        <v>330</v>
      </c>
      <c r="W531">
        <v>9</v>
      </c>
      <c r="X531" t="s">
        <v>67</v>
      </c>
      <c r="Y531" t="s">
        <v>68</v>
      </c>
      <c r="Z531">
        <v>8.11</v>
      </c>
      <c r="AA531">
        <v>0.01</v>
      </c>
      <c r="AB531" t="s">
        <v>67</v>
      </c>
      <c r="AC531">
        <v>642</v>
      </c>
      <c r="AD531">
        <v>15</v>
      </c>
      <c r="AE531" t="s">
        <v>67</v>
      </c>
      <c r="AF531">
        <v>7.86</v>
      </c>
      <c r="AG531">
        <v>0.01</v>
      </c>
      <c r="AH531" t="s">
        <v>67</v>
      </c>
      <c r="AI531">
        <v>5.2</v>
      </c>
      <c r="AJ531">
        <v>0.1</v>
      </c>
      <c r="AK531" t="s">
        <v>67</v>
      </c>
      <c r="AL531">
        <v>17.899999999999999</v>
      </c>
      <c r="AM531">
        <v>0.03</v>
      </c>
      <c r="AN531" t="s">
        <v>67</v>
      </c>
      <c r="AO531">
        <v>312</v>
      </c>
      <c r="AP531">
        <v>12.7</v>
      </c>
      <c r="AQ531" t="s">
        <v>67</v>
      </c>
      <c r="AR531" t="s">
        <v>464</v>
      </c>
      <c r="AS531" t="s">
        <v>412</v>
      </c>
      <c r="AT531" t="s">
        <v>135</v>
      </c>
      <c r="AU531" t="s">
        <v>465</v>
      </c>
      <c r="AV531" t="s">
        <v>132</v>
      </c>
      <c r="AX531" t="s">
        <v>73</v>
      </c>
      <c r="AY531">
        <v>3.3664999999999998</v>
      </c>
      <c r="AZ531">
        <v>3.3664999999999998</v>
      </c>
      <c r="BA531">
        <v>0.43</v>
      </c>
      <c r="BC531">
        <v>8</v>
      </c>
      <c r="BD531">
        <v>12.010999999999999</v>
      </c>
      <c r="BE531">
        <v>12.010999999999999</v>
      </c>
      <c r="BF531">
        <v>0.50900000000000001</v>
      </c>
      <c r="BH531">
        <v>8</v>
      </c>
      <c r="BI531">
        <v>90</v>
      </c>
      <c r="BJ531">
        <v>2</v>
      </c>
      <c r="BK531">
        <v>1.2719</v>
      </c>
      <c r="BL531">
        <v>1.7899999999999999E-2</v>
      </c>
    </row>
    <row r="532" spans="1:64" hidden="1" x14ac:dyDescent="0.2">
      <c r="A532">
        <v>140</v>
      </c>
      <c r="D532" t="s">
        <v>54</v>
      </c>
      <c r="E532">
        <v>2014</v>
      </c>
      <c r="F532" t="s">
        <v>427</v>
      </c>
      <c r="G532" t="s">
        <v>318</v>
      </c>
      <c r="H532" t="s">
        <v>78</v>
      </c>
      <c r="K532" t="s">
        <v>194</v>
      </c>
      <c r="L532" t="s">
        <v>299</v>
      </c>
      <c r="M532" t="s">
        <v>120</v>
      </c>
      <c r="N532" t="s">
        <v>120</v>
      </c>
      <c r="O532" t="s">
        <v>62</v>
      </c>
      <c r="P532" t="s">
        <v>196</v>
      </c>
      <c r="Q532" t="s">
        <v>64</v>
      </c>
      <c r="R532" t="s">
        <v>83</v>
      </c>
      <c r="S532" t="s">
        <v>64</v>
      </c>
      <c r="T532" t="s">
        <v>64</v>
      </c>
      <c r="U532" t="s">
        <v>66</v>
      </c>
      <c r="V532">
        <v>432</v>
      </c>
      <c r="W532" t="s">
        <v>67</v>
      </c>
      <c r="X532">
        <v>22.5</v>
      </c>
      <c r="Y532" t="s">
        <v>68</v>
      </c>
      <c r="Z532" t="s">
        <v>67</v>
      </c>
      <c r="AA532" t="s">
        <v>67</v>
      </c>
      <c r="AB532" t="s">
        <v>67</v>
      </c>
      <c r="AC532">
        <v>1053</v>
      </c>
      <c r="AD532" t="s">
        <v>67</v>
      </c>
      <c r="AE532">
        <v>71.87</v>
      </c>
      <c r="AF532" t="s">
        <v>67</v>
      </c>
      <c r="AG532" t="s">
        <v>67</v>
      </c>
      <c r="AH532" t="s">
        <v>67</v>
      </c>
      <c r="AI532">
        <v>-0.7</v>
      </c>
      <c r="AJ532" t="s">
        <v>67</v>
      </c>
      <c r="AK532">
        <v>0.15</v>
      </c>
      <c r="AL532">
        <v>4</v>
      </c>
      <c r="AM532" t="s">
        <v>67</v>
      </c>
      <c r="AN532">
        <v>0.32</v>
      </c>
      <c r="AO532">
        <v>621</v>
      </c>
      <c r="AP532">
        <v>4.7</v>
      </c>
      <c r="AQ532" t="s">
        <v>434</v>
      </c>
      <c r="AR532" t="s">
        <v>452</v>
      </c>
      <c r="AS532" t="s">
        <v>178</v>
      </c>
      <c r="AT532" t="s">
        <v>70</v>
      </c>
      <c r="AU532" t="s">
        <v>453</v>
      </c>
      <c r="AV532" t="s">
        <v>132</v>
      </c>
      <c r="AX532" t="s">
        <v>73</v>
      </c>
      <c r="AY532">
        <v>390</v>
      </c>
      <c r="AZ532">
        <v>390</v>
      </c>
      <c r="BA532">
        <v>38</v>
      </c>
      <c r="BC532">
        <v>5</v>
      </c>
      <c r="BD532">
        <v>380</v>
      </c>
      <c r="BE532">
        <v>380</v>
      </c>
      <c r="BF532">
        <v>35</v>
      </c>
      <c r="BH532">
        <v>5</v>
      </c>
      <c r="BI532">
        <v>42</v>
      </c>
      <c r="BJ532">
        <v>1</v>
      </c>
      <c r="BK532">
        <v>-2.5999999999999999E-2</v>
      </c>
      <c r="BL532">
        <v>1.7999999999999999E-2</v>
      </c>
    </row>
    <row r="533" spans="1:64" hidden="1" x14ac:dyDescent="0.2">
      <c r="A533">
        <v>133</v>
      </c>
      <c r="D533" t="s">
        <v>54</v>
      </c>
      <c r="E533">
        <v>2015</v>
      </c>
      <c r="F533" t="s">
        <v>414</v>
      </c>
      <c r="G533" t="s">
        <v>154</v>
      </c>
      <c r="H533" t="s">
        <v>78</v>
      </c>
      <c r="K533" t="s">
        <v>93</v>
      </c>
      <c r="L533" t="s">
        <v>439</v>
      </c>
      <c r="M533" t="s">
        <v>95</v>
      </c>
      <c r="N533" t="s">
        <v>61</v>
      </c>
      <c r="O533" t="s">
        <v>62</v>
      </c>
      <c r="P533" t="s">
        <v>63</v>
      </c>
      <c r="Q533" t="s">
        <v>64</v>
      </c>
      <c r="R533" t="s">
        <v>83</v>
      </c>
      <c r="S533" t="s">
        <v>64</v>
      </c>
      <c r="T533" t="s">
        <v>74</v>
      </c>
      <c r="U533" t="s">
        <v>84</v>
      </c>
      <c r="V533">
        <v>436</v>
      </c>
      <c r="W533" t="s">
        <v>67</v>
      </c>
      <c r="X533">
        <v>13.6</v>
      </c>
      <c r="Y533" t="s">
        <v>96</v>
      </c>
      <c r="Z533">
        <v>8.15</v>
      </c>
      <c r="AA533" t="s">
        <v>67</v>
      </c>
      <c r="AB533">
        <v>0.01</v>
      </c>
      <c r="AC533">
        <v>985</v>
      </c>
      <c r="AD533" t="s">
        <v>67</v>
      </c>
      <c r="AE533">
        <v>10.6</v>
      </c>
      <c r="AF533">
        <v>7.85</v>
      </c>
      <c r="AG533" t="s">
        <v>67</v>
      </c>
      <c r="AH533">
        <v>0</v>
      </c>
      <c r="AI533">
        <v>27.8</v>
      </c>
      <c r="AJ533" t="s">
        <v>67</v>
      </c>
      <c r="AK533">
        <v>0.1</v>
      </c>
      <c r="AL533">
        <v>27.8</v>
      </c>
      <c r="AM533" t="s">
        <v>67</v>
      </c>
      <c r="AN533">
        <v>0.1</v>
      </c>
      <c r="AO533">
        <v>549</v>
      </c>
      <c r="AP533">
        <v>0</v>
      </c>
      <c r="AQ533" t="s">
        <v>67</v>
      </c>
      <c r="AR533" t="s">
        <v>287</v>
      </c>
      <c r="AS533" t="s">
        <v>134</v>
      </c>
      <c r="AT533" t="s">
        <v>135</v>
      </c>
      <c r="AU533" t="s">
        <v>425</v>
      </c>
      <c r="AV533" t="s">
        <v>137</v>
      </c>
      <c r="AX533" t="s">
        <v>73</v>
      </c>
      <c r="AY533">
        <v>690</v>
      </c>
      <c r="AZ533">
        <v>690</v>
      </c>
      <c r="BA533">
        <v>56</v>
      </c>
      <c r="BC533">
        <v>8</v>
      </c>
      <c r="BD533">
        <v>720</v>
      </c>
      <c r="BE533">
        <v>720</v>
      </c>
      <c r="BF533">
        <v>77</v>
      </c>
      <c r="BH533">
        <v>8</v>
      </c>
      <c r="BI533">
        <v>4</v>
      </c>
      <c r="BJ533" t="s">
        <v>67</v>
      </c>
      <c r="BK533">
        <v>4.2599999999999999E-2</v>
      </c>
      <c r="BL533">
        <v>1.7999999999999999E-2</v>
      </c>
    </row>
    <row r="534" spans="1:64" hidden="1" x14ac:dyDescent="0.2">
      <c r="A534">
        <v>138</v>
      </c>
      <c r="D534" t="s">
        <v>54</v>
      </c>
      <c r="E534">
        <v>2009</v>
      </c>
      <c r="F534" t="s">
        <v>443</v>
      </c>
      <c r="G534" t="s">
        <v>444</v>
      </c>
      <c r="H534" t="s">
        <v>78</v>
      </c>
      <c r="K534" t="s">
        <v>445</v>
      </c>
      <c r="L534" t="s">
        <v>446</v>
      </c>
      <c r="M534" t="s">
        <v>156</v>
      </c>
      <c r="N534" t="s">
        <v>156</v>
      </c>
      <c r="O534" t="s">
        <v>62</v>
      </c>
      <c r="P534" t="s">
        <v>196</v>
      </c>
      <c r="Q534" t="s">
        <v>64</v>
      </c>
      <c r="R534" t="s">
        <v>83</v>
      </c>
      <c r="S534" t="s">
        <v>64</v>
      </c>
      <c r="T534" t="s">
        <v>64</v>
      </c>
      <c r="U534" t="s">
        <v>66</v>
      </c>
      <c r="V534">
        <v>380</v>
      </c>
      <c r="W534" t="s">
        <v>67</v>
      </c>
      <c r="X534" t="s">
        <v>67</v>
      </c>
      <c r="Y534" t="s">
        <v>67</v>
      </c>
      <c r="Z534">
        <v>8.15</v>
      </c>
      <c r="AA534" t="s">
        <v>67</v>
      </c>
      <c r="AB534" t="s">
        <v>67</v>
      </c>
      <c r="AC534">
        <v>380</v>
      </c>
      <c r="AD534" t="s">
        <v>67</v>
      </c>
      <c r="AE534" t="s">
        <v>67</v>
      </c>
      <c r="AF534">
        <v>8.15</v>
      </c>
      <c r="AG534" t="s">
        <v>67</v>
      </c>
      <c r="AH534" t="s">
        <v>67</v>
      </c>
      <c r="AI534">
        <v>29</v>
      </c>
      <c r="AJ534" t="s">
        <v>67</v>
      </c>
      <c r="AK534">
        <v>0.5</v>
      </c>
      <c r="AL534">
        <v>32</v>
      </c>
      <c r="AM534" t="s">
        <v>67</v>
      </c>
      <c r="AN534">
        <v>0.5</v>
      </c>
      <c r="AO534">
        <v>0</v>
      </c>
      <c r="AP534">
        <v>3</v>
      </c>
      <c r="AQ534" t="s">
        <v>67</v>
      </c>
      <c r="AR534" t="s">
        <v>360</v>
      </c>
      <c r="AS534" t="s">
        <v>361</v>
      </c>
      <c r="AT534" t="s">
        <v>70</v>
      </c>
      <c r="AU534" t="s">
        <v>447</v>
      </c>
      <c r="AV534" t="s">
        <v>363</v>
      </c>
      <c r="AX534" t="s">
        <v>73</v>
      </c>
      <c r="AY534">
        <v>600</v>
      </c>
      <c r="AZ534">
        <v>600</v>
      </c>
      <c r="BA534">
        <v>58</v>
      </c>
      <c r="BC534">
        <v>10</v>
      </c>
      <c r="BD534">
        <v>440</v>
      </c>
      <c r="BE534">
        <v>440</v>
      </c>
      <c r="BF534">
        <v>41</v>
      </c>
      <c r="BH534">
        <v>10</v>
      </c>
      <c r="BI534">
        <v>7</v>
      </c>
      <c r="BJ534">
        <v>1</v>
      </c>
      <c r="BK534">
        <v>-0.31019999999999998</v>
      </c>
      <c r="BL534">
        <v>1.7999999999999999E-2</v>
      </c>
    </row>
    <row r="535" spans="1:64" hidden="1" x14ac:dyDescent="0.2">
      <c r="A535">
        <v>129</v>
      </c>
      <c r="D535" t="s">
        <v>54</v>
      </c>
      <c r="E535">
        <v>2016</v>
      </c>
      <c r="F535" t="s">
        <v>462</v>
      </c>
      <c r="G535" t="s">
        <v>463</v>
      </c>
      <c r="H535" t="s">
        <v>78</v>
      </c>
      <c r="K535" t="s">
        <v>319</v>
      </c>
      <c r="L535" t="s">
        <v>320</v>
      </c>
      <c r="M535" t="s">
        <v>81</v>
      </c>
      <c r="N535" t="s">
        <v>81</v>
      </c>
      <c r="O535" t="s">
        <v>62</v>
      </c>
      <c r="P535" t="s">
        <v>63</v>
      </c>
      <c r="Q535" t="s">
        <v>74</v>
      </c>
      <c r="R535" t="s">
        <v>83</v>
      </c>
      <c r="S535" t="s">
        <v>74</v>
      </c>
      <c r="T535" t="s">
        <v>64</v>
      </c>
      <c r="U535" t="s">
        <v>75</v>
      </c>
      <c r="V535">
        <v>330</v>
      </c>
      <c r="W535">
        <v>9</v>
      </c>
      <c r="X535" t="s">
        <v>67</v>
      </c>
      <c r="Y535" t="s">
        <v>68</v>
      </c>
      <c r="Z535">
        <v>8.11</v>
      </c>
      <c r="AA535">
        <v>0.01</v>
      </c>
      <c r="AB535" t="s">
        <v>67</v>
      </c>
      <c r="AC535">
        <v>526</v>
      </c>
      <c r="AD535">
        <v>13</v>
      </c>
      <c r="AE535" t="s">
        <v>67</v>
      </c>
      <c r="AF535">
        <v>7.95</v>
      </c>
      <c r="AG535">
        <v>0.01</v>
      </c>
      <c r="AH535" t="s">
        <v>67</v>
      </c>
      <c r="AI535">
        <v>5.2</v>
      </c>
      <c r="AJ535">
        <v>0.1</v>
      </c>
      <c r="AK535" t="s">
        <v>67</v>
      </c>
      <c r="AL535">
        <v>13.6</v>
      </c>
      <c r="AM535">
        <v>7.0000000000000007E-2</v>
      </c>
      <c r="AN535" t="s">
        <v>67</v>
      </c>
      <c r="AO535">
        <v>196</v>
      </c>
      <c r="AP535">
        <v>8.4</v>
      </c>
      <c r="AQ535" t="s">
        <v>67</v>
      </c>
      <c r="AR535" t="s">
        <v>464</v>
      </c>
      <c r="AS535" t="s">
        <v>412</v>
      </c>
      <c r="AT535" t="s">
        <v>135</v>
      </c>
      <c r="AU535" t="s">
        <v>465</v>
      </c>
      <c r="AV535" t="s">
        <v>132</v>
      </c>
      <c r="AX535" t="s">
        <v>73</v>
      </c>
      <c r="AY535">
        <v>3.3664999999999998</v>
      </c>
      <c r="AZ535">
        <v>3.3664999999999998</v>
      </c>
      <c r="BA535">
        <v>0.43</v>
      </c>
      <c r="BC535">
        <v>8</v>
      </c>
      <c r="BD535">
        <v>5.71</v>
      </c>
      <c r="BE535">
        <v>5.71</v>
      </c>
      <c r="BF535">
        <v>0.25</v>
      </c>
      <c r="BH535">
        <v>8</v>
      </c>
      <c r="BI535">
        <v>90</v>
      </c>
      <c r="BJ535">
        <v>2</v>
      </c>
      <c r="BK535">
        <v>0.52829999999999999</v>
      </c>
      <c r="BL535">
        <v>1.7999999999999999E-2</v>
      </c>
    </row>
    <row r="536" spans="1:64" hidden="1" x14ac:dyDescent="0.2">
      <c r="A536">
        <v>131</v>
      </c>
      <c r="D536" t="s">
        <v>54</v>
      </c>
      <c r="E536">
        <v>2013</v>
      </c>
      <c r="F536" t="s">
        <v>421</v>
      </c>
      <c r="G536" t="s">
        <v>422</v>
      </c>
      <c r="H536" t="s">
        <v>78</v>
      </c>
      <c r="K536" t="s">
        <v>194</v>
      </c>
      <c r="L536" t="s">
        <v>299</v>
      </c>
      <c r="M536" t="s">
        <v>120</v>
      </c>
      <c r="N536" t="s">
        <v>120</v>
      </c>
      <c r="O536" t="s">
        <v>62</v>
      </c>
      <c r="P536" t="s">
        <v>196</v>
      </c>
      <c r="Q536" t="s">
        <v>64</v>
      </c>
      <c r="R536" t="s">
        <v>83</v>
      </c>
      <c r="S536" t="s">
        <v>64</v>
      </c>
      <c r="T536" t="s">
        <v>74</v>
      </c>
      <c r="U536" t="s">
        <v>84</v>
      </c>
      <c r="V536">
        <v>439</v>
      </c>
      <c r="W536" t="s">
        <v>67</v>
      </c>
      <c r="X536">
        <v>16.079999999999998</v>
      </c>
      <c r="Y536" t="s">
        <v>68</v>
      </c>
      <c r="Z536">
        <v>7.94</v>
      </c>
      <c r="AA536" t="s">
        <v>67</v>
      </c>
      <c r="AB536">
        <v>0.01</v>
      </c>
      <c r="AC536">
        <v>954</v>
      </c>
      <c r="AD536" t="s">
        <v>67</v>
      </c>
      <c r="AE536">
        <v>50.38</v>
      </c>
      <c r="AF536">
        <v>7.69</v>
      </c>
      <c r="AG536" t="s">
        <v>67</v>
      </c>
      <c r="AH536">
        <v>7.0000000000000007E-2</v>
      </c>
      <c r="AI536">
        <v>-0.6</v>
      </c>
      <c r="AJ536" t="s">
        <v>67</v>
      </c>
      <c r="AK536">
        <v>0.17</v>
      </c>
      <c r="AL536">
        <v>-0.5</v>
      </c>
      <c r="AM536" t="s">
        <v>67</v>
      </c>
      <c r="AN536">
        <v>0.16</v>
      </c>
      <c r="AO536">
        <v>515</v>
      </c>
      <c r="AP536">
        <v>0.2</v>
      </c>
      <c r="AQ536" t="s">
        <v>67</v>
      </c>
      <c r="AR536" t="s">
        <v>424</v>
      </c>
      <c r="AS536" t="s">
        <v>134</v>
      </c>
      <c r="AT536" t="s">
        <v>135</v>
      </c>
      <c r="AU536" t="s">
        <v>425</v>
      </c>
      <c r="AV536" t="s">
        <v>137</v>
      </c>
      <c r="AX536" t="s">
        <v>73</v>
      </c>
      <c r="AY536">
        <v>11.08</v>
      </c>
      <c r="AZ536">
        <v>11.08</v>
      </c>
      <c r="BA536">
        <v>0.9</v>
      </c>
      <c r="BC536">
        <v>4</v>
      </c>
      <c r="BD536">
        <v>31.76</v>
      </c>
      <c r="BE536">
        <v>31.76</v>
      </c>
      <c r="BF536">
        <v>3.4</v>
      </c>
      <c r="BH536">
        <v>4</v>
      </c>
      <c r="BI536">
        <v>28</v>
      </c>
      <c r="BJ536">
        <v>1</v>
      </c>
      <c r="BK536">
        <v>1.0530999999999999</v>
      </c>
      <c r="BL536">
        <v>1.8100000000000002E-2</v>
      </c>
    </row>
    <row r="537" spans="1:64" hidden="1" x14ac:dyDescent="0.2">
      <c r="A537">
        <v>131</v>
      </c>
      <c r="D537" t="s">
        <v>54</v>
      </c>
      <c r="E537">
        <v>2013</v>
      </c>
      <c r="F537" t="s">
        <v>421</v>
      </c>
      <c r="G537" t="s">
        <v>422</v>
      </c>
      <c r="H537" t="s">
        <v>78</v>
      </c>
      <c r="K537" t="s">
        <v>194</v>
      </c>
      <c r="L537" t="s">
        <v>195</v>
      </c>
      <c r="M537" t="s">
        <v>120</v>
      </c>
      <c r="N537" t="s">
        <v>120</v>
      </c>
      <c r="O537" t="s">
        <v>106</v>
      </c>
      <c r="P537" t="s">
        <v>196</v>
      </c>
      <c r="Q537" t="s">
        <v>64</v>
      </c>
      <c r="R537" t="s">
        <v>83</v>
      </c>
      <c r="S537" t="s">
        <v>74</v>
      </c>
      <c r="T537" t="s">
        <v>64</v>
      </c>
      <c r="U537" t="s">
        <v>75</v>
      </c>
      <c r="V537">
        <v>439</v>
      </c>
      <c r="W537" t="s">
        <v>67</v>
      </c>
      <c r="X537">
        <v>16.079999999999998</v>
      </c>
      <c r="Y537" t="s">
        <v>68</v>
      </c>
      <c r="Z537">
        <v>7.94</v>
      </c>
      <c r="AA537" t="s">
        <v>67</v>
      </c>
      <c r="AB537">
        <v>0.01</v>
      </c>
      <c r="AC537">
        <v>525</v>
      </c>
      <c r="AD537" t="s">
        <v>67</v>
      </c>
      <c r="AE537">
        <v>21.07</v>
      </c>
      <c r="AF537">
        <v>7.94</v>
      </c>
      <c r="AG537" t="s">
        <v>67</v>
      </c>
      <c r="AH537">
        <v>0.02</v>
      </c>
      <c r="AI537">
        <v>-0.6</v>
      </c>
      <c r="AJ537" t="s">
        <v>67</v>
      </c>
      <c r="AK537">
        <v>0.17</v>
      </c>
      <c r="AL537">
        <v>4</v>
      </c>
      <c r="AM537" t="s">
        <v>67</v>
      </c>
      <c r="AN537">
        <v>0.44</v>
      </c>
      <c r="AO537">
        <v>86</v>
      </c>
      <c r="AP537">
        <v>4.5999999999999996</v>
      </c>
      <c r="AQ537" t="s">
        <v>67</v>
      </c>
      <c r="AR537" t="s">
        <v>424</v>
      </c>
      <c r="AS537" t="s">
        <v>134</v>
      </c>
      <c r="AT537" t="s">
        <v>135</v>
      </c>
      <c r="AU537" t="s">
        <v>425</v>
      </c>
      <c r="AV537" t="s">
        <v>137</v>
      </c>
      <c r="AX537" t="s">
        <v>73</v>
      </c>
      <c r="AY537">
        <v>19.57</v>
      </c>
      <c r="AZ537">
        <v>19.57</v>
      </c>
      <c r="BA537">
        <v>1.7</v>
      </c>
      <c r="BC537">
        <v>4</v>
      </c>
      <c r="BD537">
        <v>24.29</v>
      </c>
      <c r="BE537">
        <v>24.29</v>
      </c>
      <c r="BF537">
        <v>2.5</v>
      </c>
      <c r="BH537">
        <v>4</v>
      </c>
      <c r="BI537">
        <v>28</v>
      </c>
      <c r="BJ537">
        <v>1</v>
      </c>
      <c r="BK537">
        <v>0.21609999999999999</v>
      </c>
      <c r="BL537">
        <v>1.8100000000000002E-2</v>
      </c>
    </row>
    <row r="538" spans="1:64" x14ac:dyDescent="0.2">
      <c r="A538">
        <v>152</v>
      </c>
      <c r="B538" t="str">
        <f>ROW()-1&amp;"_AltersFish"</f>
        <v>537_AltersFish</v>
      </c>
      <c r="C538" t="str">
        <f>A538 &amp; "_" &amp; P538 &amp; "_" &amp;
SUBSTITUTE(TRIM(L538)," ","_") &amp;
"_pH" &amp; TEXT(Z538,"0.00") &amp;
"_T" &amp; TEXT(AI538,"0.00") &amp;
"_CO2" &amp; TEXT(V538,"0") &amp;
"_LANG"</f>
        <v>152_LARVA_Sparus_aurata_pH8.09_T18.40_CO2342_LANG</v>
      </c>
      <c r="D538" t="s">
        <v>54</v>
      </c>
      <c r="E538">
        <v>2020</v>
      </c>
      <c r="F538" t="s">
        <v>267</v>
      </c>
      <c r="G538" t="s">
        <v>163</v>
      </c>
      <c r="H538" t="s">
        <v>78</v>
      </c>
      <c r="I538" t="s">
        <v>540</v>
      </c>
      <c r="J538" t="s">
        <v>543</v>
      </c>
      <c r="K538" t="s">
        <v>79</v>
      </c>
      <c r="L538" t="s">
        <v>164</v>
      </c>
      <c r="M538" t="s">
        <v>156</v>
      </c>
      <c r="N538" t="s">
        <v>156</v>
      </c>
      <c r="O538" t="s">
        <v>106</v>
      </c>
      <c r="P538" t="s">
        <v>107</v>
      </c>
      <c r="Q538" t="s">
        <v>74</v>
      </c>
      <c r="R538" t="s">
        <v>83</v>
      </c>
      <c r="S538" t="s">
        <v>64</v>
      </c>
      <c r="T538" t="s">
        <v>74</v>
      </c>
      <c r="U538" t="s">
        <v>84</v>
      </c>
      <c r="V538">
        <v>342</v>
      </c>
      <c r="W538">
        <v>73</v>
      </c>
      <c r="X538" t="s">
        <v>67</v>
      </c>
      <c r="Y538" t="s">
        <v>157</v>
      </c>
      <c r="Z538">
        <v>8.09</v>
      </c>
      <c r="AA538">
        <v>7.0000000000000007E-2</v>
      </c>
      <c r="AB538" t="s">
        <v>67</v>
      </c>
      <c r="AC538">
        <v>1484</v>
      </c>
      <c r="AD538">
        <v>91</v>
      </c>
      <c r="AE538" t="s">
        <v>67</v>
      </c>
      <c r="AF538">
        <v>7.53</v>
      </c>
      <c r="AG538">
        <v>0.04</v>
      </c>
      <c r="AH538" t="s">
        <v>67</v>
      </c>
      <c r="AI538">
        <v>18.399999999999999</v>
      </c>
      <c r="AJ538">
        <v>0.3</v>
      </c>
      <c r="AK538" t="s">
        <v>67</v>
      </c>
      <c r="AL538">
        <v>18.2</v>
      </c>
      <c r="AM538">
        <v>0.3</v>
      </c>
      <c r="AN538" t="s">
        <v>67</v>
      </c>
      <c r="AO538">
        <v>1142</v>
      </c>
      <c r="AP538">
        <v>-0.2</v>
      </c>
      <c r="AQ538" t="s">
        <v>67</v>
      </c>
      <c r="AR538" t="s">
        <v>500</v>
      </c>
      <c r="AS538" t="s">
        <v>412</v>
      </c>
      <c r="AT538" t="s">
        <v>135</v>
      </c>
      <c r="AU538" t="s">
        <v>501</v>
      </c>
      <c r="AV538" t="s">
        <v>132</v>
      </c>
      <c r="AW538" t="s">
        <v>132</v>
      </c>
      <c r="AX538" t="s">
        <v>73</v>
      </c>
      <c r="AY538">
        <v>1.85</v>
      </c>
      <c r="AZ538">
        <v>1.85</v>
      </c>
      <c r="BA538">
        <v>0.25</v>
      </c>
      <c r="BB538">
        <f>BA538*SQRT(BC538)</f>
        <v>0.4330127018922193</v>
      </c>
      <c r="BC538">
        <v>3</v>
      </c>
      <c r="BD538">
        <v>1.44</v>
      </c>
      <c r="BE538">
        <v>1.44</v>
      </c>
      <c r="BF538">
        <v>0.02</v>
      </c>
      <c r="BG538">
        <f>BF538*SQRT(BH538)</f>
        <v>3.4641016151377546E-2</v>
      </c>
      <c r="BH538">
        <v>3</v>
      </c>
      <c r="BI538">
        <v>15</v>
      </c>
      <c r="BJ538">
        <v>3</v>
      </c>
      <c r="BK538">
        <v>-0.2505</v>
      </c>
      <c r="BL538">
        <v>3.4099999999999998E-2</v>
      </c>
    </row>
    <row r="539" spans="1:64" hidden="1" x14ac:dyDescent="0.2">
      <c r="A539">
        <v>147</v>
      </c>
      <c r="D539" t="s">
        <v>54</v>
      </c>
      <c r="E539">
        <v>2014</v>
      </c>
      <c r="F539" t="s">
        <v>317</v>
      </c>
      <c r="G539" t="s">
        <v>318</v>
      </c>
      <c r="H539" t="s">
        <v>78</v>
      </c>
      <c r="K539" t="s">
        <v>319</v>
      </c>
      <c r="L539" t="s">
        <v>320</v>
      </c>
      <c r="M539" t="s">
        <v>81</v>
      </c>
      <c r="N539" t="s">
        <v>81</v>
      </c>
      <c r="O539" t="s">
        <v>62</v>
      </c>
      <c r="P539" t="s">
        <v>63</v>
      </c>
      <c r="Q539" t="s">
        <v>74</v>
      </c>
      <c r="R539" t="s">
        <v>83</v>
      </c>
      <c r="S539" t="s">
        <v>64</v>
      </c>
      <c r="T539" t="s">
        <v>64</v>
      </c>
      <c r="U539" t="s">
        <v>66</v>
      </c>
      <c r="V539">
        <v>330</v>
      </c>
      <c r="W539">
        <v>9.5</v>
      </c>
      <c r="X539" t="s">
        <v>67</v>
      </c>
      <c r="Y539" t="s">
        <v>68</v>
      </c>
      <c r="Z539">
        <v>8.11</v>
      </c>
      <c r="AA539">
        <v>0.01</v>
      </c>
      <c r="AB539" t="s">
        <v>67</v>
      </c>
      <c r="AC539">
        <v>1826</v>
      </c>
      <c r="AD539">
        <v>95</v>
      </c>
      <c r="AE539" t="s">
        <v>67</v>
      </c>
      <c r="AF539">
        <v>7.47</v>
      </c>
      <c r="AG539">
        <v>0.02</v>
      </c>
      <c r="AH539" t="s">
        <v>67</v>
      </c>
      <c r="AI539">
        <v>5.2</v>
      </c>
      <c r="AJ539">
        <v>0.11</v>
      </c>
      <c r="AK539" t="s">
        <v>67</v>
      </c>
      <c r="AL539">
        <v>17.899999999999999</v>
      </c>
      <c r="AM539">
        <v>7.0000000000000007E-2</v>
      </c>
      <c r="AN539" t="s">
        <v>67</v>
      </c>
      <c r="AO539">
        <v>1496</v>
      </c>
      <c r="AP539">
        <v>12.7</v>
      </c>
      <c r="AQ539" t="s">
        <v>67</v>
      </c>
      <c r="AR539" t="s">
        <v>113</v>
      </c>
      <c r="AS539" t="s">
        <v>113</v>
      </c>
      <c r="AT539" t="s">
        <v>70</v>
      </c>
      <c r="AU539" t="s">
        <v>442</v>
      </c>
      <c r="AV539" t="s">
        <v>72</v>
      </c>
      <c r="AX539" t="s">
        <v>73</v>
      </c>
      <c r="AY539">
        <v>0.46760000000000002</v>
      </c>
      <c r="AZ539">
        <v>0.46761999999999998</v>
      </c>
      <c r="BA539">
        <v>0.06</v>
      </c>
      <c r="BC539">
        <v>38</v>
      </c>
      <c r="BD539">
        <v>0.82179999999999997</v>
      </c>
      <c r="BE539">
        <v>0.82177650400000002</v>
      </c>
      <c r="BF539">
        <v>5.5E-2</v>
      </c>
      <c r="BH539">
        <v>38</v>
      </c>
      <c r="BI539">
        <v>105</v>
      </c>
      <c r="BJ539">
        <v>2</v>
      </c>
      <c r="BK539">
        <v>0.56379999999999997</v>
      </c>
      <c r="BL539">
        <v>1.83E-2</v>
      </c>
    </row>
    <row r="540" spans="1:64" hidden="1" x14ac:dyDescent="0.2">
      <c r="A540">
        <v>138</v>
      </c>
      <c r="D540" t="s">
        <v>54</v>
      </c>
      <c r="E540">
        <v>2009</v>
      </c>
      <c r="F540" t="s">
        <v>443</v>
      </c>
      <c r="G540" t="s">
        <v>444</v>
      </c>
      <c r="H540" t="s">
        <v>78</v>
      </c>
      <c r="K540" t="s">
        <v>445</v>
      </c>
      <c r="L540" t="s">
        <v>446</v>
      </c>
      <c r="M540" t="s">
        <v>156</v>
      </c>
      <c r="N540" t="s">
        <v>156</v>
      </c>
      <c r="O540" t="s">
        <v>62</v>
      </c>
      <c r="P540" t="s">
        <v>196</v>
      </c>
      <c r="Q540" t="s">
        <v>64</v>
      </c>
      <c r="R540" t="s">
        <v>83</v>
      </c>
      <c r="S540" t="s">
        <v>64</v>
      </c>
      <c r="T540" t="s">
        <v>64</v>
      </c>
      <c r="U540" t="s">
        <v>66</v>
      </c>
      <c r="V540">
        <v>380</v>
      </c>
      <c r="W540" t="s">
        <v>67</v>
      </c>
      <c r="X540" t="s">
        <v>67</v>
      </c>
      <c r="Y540" t="s">
        <v>67</v>
      </c>
      <c r="Z540">
        <v>8.15</v>
      </c>
      <c r="AA540" t="s">
        <v>67</v>
      </c>
      <c r="AB540" t="s">
        <v>67</v>
      </c>
      <c r="AC540">
        <v>1025</v>
      </c>
      <c r="AD540" t="s">
        <v>67</v>
      </c>
      <c r="AE540" t="s">
        <v>67</v>
      </c>
      <c r="AF540">
        <v>7.8</v>
      </c>
      <c r="AG540" t="s">
        <v>67</v>
      </c>
      <c r="AH540" t="s">
        <v>67</v>
      </c>
      <c r="AI540">
        <v>29</v>
      </c>
      <c r="AJ540" t="s">
        <v>67</v>
      </c>
      <c r="AK540">
        <v>0.5</v>
      </c>
      <c r="AL540">
        <v>32</v>
      </c>
      <c r="AM540" t="s">
        <v>67</v>
      </c>
      <c r="AN540">
        <v>0.5</v>
      </c>
      <c r="AO540">
        <v>645</v>
      </c>
      <c r="AP540">
        <v>3</v>
      </c>
      <c r="AQ540" t="s">
        <v>67</v>
      </c>
      <c r="AR540" t="s">
        <v>360</v>
      </c>
      <c r="AS540" t="s">
        <v>361</v>
      </c>
      <c r="AT540" t="s">
        <v>70</v>
      </c>
      <c r="AU540" t="s">
        <v>447</v>
      </c>
      <c r="AV540" t="s">
        <v>363</v>
      </c>
      <c r="AX540" t="s">
        <v>73</v>
      </c>
      <c r="AY540">
        <v>600</v>
      </c>
      <c r="AZ540">
        <v>600</v>
      </c>
      <c r="BA540">
        <v>58</v>
      </c>
      <c r="BC540">
        <v>10</v>
      </c>
      <c r="BD540">
        <v>200</v>
      </c>
      <c r="BE540">
        <v>200</v>
      </c>
      <c r="BF540">
        <v>19</v>
      </c>
      <c r="BH540">
        <v>10</v>
      </c>
      <c r="BI540">
        <v>7</v>
      </c>
      <c r="BJ540">
        <v>1</v>
      </c>
      <c r="BK540">
        <v>-1.0986</v>
      </c>
      <c r="BL540">
        <v>1.84E-2</v>
      </c>
    </row>
    <row r="541" spans="1:64" x14ac:dyDescent="0.2">
      <c r="A541">
        <v>152</v>
      </c>
      <c r="B541" t="str">
        <f>ROW()-1&amp;"_AltersFish"</f>
        <v>540_AltersFish</v>
      </c>
      <c r="C541" t="str">
        <f>A541 &amp; "_" &amp; P541 &amp; "_" &amp;
SUBSTITUTE(TRIM(L541)," ","_") &amp;
"_pH" &amp; TEXT(Z541,"0.00") &amp;
"_T" &amp; TEXT(AI541,"0.00") &amp;
"_CO2" &amp; TEXT(V541,"0") &amp;
"_LANG"</f>
        <v>152_LARVA_Sparus_aurata_pH8.09_T18.40_CO2342_LANG</v>
      </c>
      <c r="D541" t="s">
        <v>54</v>
      </c>
      <c r="E541">
        <v>2020</v>
      </c>
      <c r="F541" t="s">
        <v>267</v>
      </c>
      <c r="G541" t="s">
        <v>163</v>
      </c>
      <c r="H541" t="s">
        <v>78</v>
      </c>
      <c r="I541" t="s">
        <v>540</v>
      </c>
      <c r="J541" t="s">
        <v>543</v>
      </c>
      <c r="K541" t="s">
        <v>79</v>
      </c>
      <c r="L541" t="s">
        <v>164</v>
      </c>
      <c r="M541" t="s">
        <v>156</v>
      </c>
      <c r="N541" t="s">
        <v>156</v>
      </c>
      <c r="O541" t="s">
        <v>106</v>
      </c>
      <c r="P541" t="s">
        <v>107</v>
      </c>
      <c r="Q541" t="s">
        <v>74</v>
      </c>
      <c r="R541" t="s">
        <v>83</v>
      </c>
      <c r="S541" t="s">
        <v>74</v>
      </c>
      <c r="T541" t="s">
        <v>64</v>
      </c>
      <c r="U541" t="s">
        <v>75</v>
      </c>
      <c r="V541">
        <v>342</v>
      </c>
      <c r="W541">
        <v>73</v>
      </c>
      <c r="X541" t="s">
        <v>67</v>
      </c>
      <c r="Y541" t="s">
        <v>157</v>
      </c>
      <c r="Z541">
        <v>8.09</v>
      </c>
      <c r="AA541">
        <v>7.0000000000000007E-2</v>
      </c>
      <c r="AB541" t="s">
        <v>67</v>
      </c>
      <c r="AC541">
        <v>337</v>
      </c>
      <c r="AD541">
        <v>74</v>
      </c>
      <c r="AE541" t="s">
        <v>67</v>
      </c>
      <c r="AF541">
        <v>8.09</v>
      </c>
      <c r="AG541">
        <v>7.0000000000000007E-2</v>
      </c>
      <c r="AH541" t="s">
        <v>67</v>
      </c>
      <c r="AI541">
        <v>18.399999999999999</v>
      </c>
      <c r="AJ541">
        <v>0.3</v>
      </c>
      <c r="AK541" t="s">
        <v>67</v>
      </c>
      <c r="AL541">
        <v>22.3</v>
      </c>
      <c r="AM541">
        <v>0.3</v>
      </c>
      <c r="AN541" t="s">
        <v>67</v>
      </c>
      <c r="AO541">
        <v>-5</v>
      </c>
      <c r="AP541">
        <v>3.9</v>
      </c>
      <c r="AQ541" t="s">
        <v>67</v>
      </c>
      <c r="AR541" t="s">
        <v>134</v>
      </c>
      <c r="AS541" t="s">
        <v>134</v>
      </c>
      <c r="AT541" t="s">
        <v>135</v>
      </c>
      <c r="AU541" t="s">
        <v>268</v>
      </c>
      <c r="AV541" t="s">
        <v>269</v>
      </c>
      <c r="AW541" t="s">
        <v>132</v>
      </c>
      <c r="AX541" t="s">
        <v>73</v>
      </c>
      <c r="AY541">
        <v>29.8</v>
      </c>
      <c r="AZ541">
        <v>29.8</v>
      </c>
      <c r="BA541">
        <v>0.8</v>
      </c>
      <c r="BB541">
        <f>BA541*SQRT(BC541)</f>
        <v>2.4000000000000004</v>
      </c>
      <c r="BC541">
        <v>9</v>
      </c>
      <c r="BD541">
        <v>36.6</v>
      </c>
      <c r="BE541">
        <v>36.6</v>
      </c>
      <c r="BF541">
        <v>0.8</v>
      </c>
      <c r="BG541">
        <f>BF541*SQRT(BH541)</f>
        <v>2.4000000000000004</v>
      </c>
      <c r="BH541">
        <v>9</v>
      </c>
      <c r="BI541">
        <v>15</v>
      </c>
      <c r="BJ541">
        <v>3</v>
      </c>
      <c r="BK541">
        <v>0.20549999999999999</v>
      </c>
      <c r="BL541">
        <v>1.1999999999999999E-3</v>
      </c>
    </row>
    <row r="542" spans="1:64" hidden="1" x14ac:dyDescent="0.2">
      <c r="A542">
        <v>138</v>
      </c>
      <c r="D542" t="s">
        <v>54</v>
      </c>
      <c r="E542">
        <v>2009</v>
      </c>
      <c r="F542" t="s">
        <v>443</v>
      </c>
      <c r="G542" t="s">
        <v>444</v>
      </c>
      <c r="H542" t="s">
        <v>78</v>
      </c>
      <c r="K542" t="s">
        <v>445</v>
      </c>
      <c r="L542" t="s">
        <v>446</v>
      </c>
      <c r="M542" t="s">
        <v>156</v>
      </c>
      <c r="N542" t="s">
        <v>156</v>
      </c>
      <c r="O542" t="s">
        <v>62</v>
      </c>
      <c r="P542" t="s">
        <v>196</v>
      </c>
      <c r="Q542" t="s">
        <v>64</v>
      </c>
      <c r="R542" t="s">
        <v>83</v>
      </c>
      <c r="S542" t="s">
        <v>64</v>
      </c>
      <c r="T542" t="s">
        <v>64</v>
      </c>
      <c r="U542" t="s">
        <v>66</v>
      </c>
      <c r="V542">
        <v>380</v>
      </c>
      <c r="W542" t="s">
        <v>67</v>
      </c>
      <c r="X542" t="s">
        <v>67</v>
      </c>
      <c r="Y542" t="s">
        <v>67</v>
      </c>
      <c r="Z542">
        <v>8.15</v>
      </c>
      <c r="AA542" t="s">
        <v>67</v>
      </c>
      <c r="AB542" t="s">
        <v>67</v>
      </c>
      <c r="AC542">
        <v>1025</v>
      </c>
      <c r="AD542" t="s">
        <v>67</v>
      </c>
      <c r="AE542" t="s">
        <v>67</v>
      </c>
      <c r="AF542">
        <v>7.8</v>
      </c>
      <c r="AG542" t="s">
        <v>67</v>
      </c>
      <c r="AH542" t="s">
        <v>67</v>
      </c>
      <c r="AI542">
        <v>29</v>
      </c>
      <c r="AJ542" t="s">
        <v>67</v>
      </c>
      <c r="AK542">
        <v>0.5</v>
      </c>
      <c r="AL542">
        <v>31</v>
      </c>
      <c r="AM542" t="s">
        <v>67</v>
      </c>
      <c r="AN542">
        <v>0.5</v>
      </c>
      <c r="AO542">
        <v>645</v>
      </c>
      <c r="AP542">
        <v>2</v>
      </c>
      <c r="AQ542" t="s">
        <v>67</v>
      </c>
      <c r="AR542" t="s">
        <v>360</v>
      </c>
      <c r="AS542" t="s">
        <v>361</v>
      </c>
      <c r="AT542" t="s">
        <v>70</v>
      </c>
      <c r="AU542" t="s">
        <v>447</v>
      </c>
      <c r="AV542" t="s">
        <v>363</v>
      </c>
      <c r="AX542" t="s">
        <v>73</v>
      </c>
      <c r="AY542">
        <v>600</v>
      </c>
      <c r="AZ542">
        <v>600</v>
      </c>
      <c r="BA542">
        <v>55</v>
      </c>
      <c r="BC542">
        <v>10</v>
      </c>
      <c r="BD542">
        <v>440</v>
      </c>
      <c r="BE542">
        <v>440</v>
      </c>
      <c r="BF542">
        <v>44</v>
      </c>
      <c r="BH542">
        <v>10</v>
      </c>
      <c r="BI542">
        <v>7</v>
      </c>
      <c r="BJ542">
        <v>1</v>
      </c>
      <c r="BK542">
        <v>-0.31019999999999998</v>
      </c>
      <c r="BL542">
        <v>1.84E-2</v>
      </c>
    </row>
    <row r="543" spans="1:64" hidden="1" x14ac:dyDescent="0.2">
      <c r="A543">
        <v>237</v>
      </c>
      <c r="D543" t="s">
        <v>54</v>
      </c>
      <c r="E543">
        <v>2019</v>
      </c>
      <c r="F543" t="s">
        <v>466</v>
      </c>
      <c r="G543" t="s">
        <v>124</v>
      </c>
      <c r="H543" t="s">
        <v>78</v>
      </c>
      <c r="L543" t="s">
        <v>210</v>
      </c>
      <c r="P543" t="s">
        <v>63</v>
      </c>
      <c r="S543" t="s">
        <v>64</v>
      </c>
      <c r="T543" t="s">
        <v>74</v>
      </c>
      <c r="U543" t="s">
        <v>84</v>
      </c>
      <c r="V543">
        <v>655</v>
      </c>
      <c r="AC543">
        <v>1841</v>
      </c>
      <c r="AI543">
        <v>16</v>
      </c>
      <c r="AL543">
        <v>16.100000000000001</v>
      </c>
      <c r="AO543">
        <v>1186</v>
      </c>
      <c r="AP543">
        <v>0.1</v>
      </c>
      <c r="AR543" t="s">
        <v>440</v>
      </c>
      <c r="AS543" t="s">
        <v>337</v>
      </c>
      <c r="AT543" t="s">
        <v>70</v>
      </c>
      <c r="AU543" t="s">
        <v>467</v>
      </c>
      <c r="AV543" t="s">
        <v>132</v>
      </c>
      <c r="AX543" t="s">
        <v>73</v>
      </c>
      <c r="AY543">
        <v>70.283965249999994</v>
      </c>
      <c r="AZ543">
        <v>70.283969999999997</v>
      </c>
      <c r="BA543">
        <v>6.7567347499999997</v>
      </c>
      <c r="BC543">
        <v>16</v>
      </c>
      <c r="BD543">
        <v>70.581984649999995</v>
      </c>
      <c r="BE543">
        <v>70.581984649999995</v>
      </c>
      <c r="BF543">
        <v>6.7564904720000003</v>
      </c>
      <c r="BH543">
        <v>16</v>
      </c>
      <c r="BI543">
        <v>181</v>
      </c>
      <c r="BK543">
        <v>4.1999999999999997E-3</v>
      </c>
      <c r="BL543">
        <v>1.84E-2</v>
      </c>
    </row>
    <row r="544" spans="1:64" hidden="1" x14ac:dyDescent="0.2">
      <c r="A544">
        <v>140</v>
      </c>
      <c r="D544" t="s">
        <v>54</v>
      </c>
      <c r="E544">
        <v>2014</v>
      </c>
      <c r="F544" t="s">
        <v>427</v>
      </c>
      <c r="G544" t="s">
        <v>318</v>
      </c>
      <c r="H544" t="s">
        <v>78</v>
      </c>
      <c r="K544" t="s">
        <v>194</v>
      </c>
      <c r="L544" t="s">
        <v>299</v>
      </c>
      <c r="M544" t="s">
        <v>120</v>
      </c>
      <c r="N544" t="s">
        <v>120</v>
      </c>
      <c r="O544" t="s">
        <v>62</v>
      </c>
      <c r="P544" t="s">
        <v>196</v>
      </c>
      <c r="Q544" t="s">
        <v>64</v>
      </c>
      <c r="R544" t="s">
        <v>83</v>
      </c>
      <c r="S544" t="s">
        <v>74</v>
      </c>
      <c r="T544" t="s">
        <v>64</v>
      </c>
      <c r="U544" t="s">
        <v>75</v>
      </c>
      <c r="V544">
        <v>432</v>
      </c>
      <c r="W544" t="s">
        <v>67</v>
      </c>
      <c r="X544">
        <v>22.5</v>
      </c>
      <c r="Y544" t="s">
        <v>68</v>
      </c>
      <c r="Z544" t="s">
        <v>67</v>
      </c>
      <c r="AA544" t="s">
        <v>67</v>
      </c>
      <c r="AB544" t="s">
        <v>67</v>
      </c>
      <c r="AC544">
        <v>525</v>
      </c>
      <c r="AD544" t="s">
        <v>67</v>
      </c>
      <c r="AE544">
        <v>22.41</v>
      </c>
      <c r="AF544" t="s">
        <v>67</v>
      </c>
      <c r="AG544" t="s">
        <v>67</v>
      </c>
      <c r="AH544" t="s">
        <v>67</v>
      </c>
      <c r="AI544">
        <v>-0.7</v>
      </c>
      <c r="AJ544" t="s">
        <v>67</v>
      </c>
      <c r="AK544">
        <v>0.15</v>
      </c>
      <c r="AL544">
        <v>3.9</v>
      </c>
      <c r="AM544" t="s">
        <v>67</v>
      </c>
      <c r="AN544">
        <v>4.84</v>
      </c>
      <c r="AO544">
        <v>93</v>
      </c>
      <c r="AP544">
        <v>4.5999999999999996</v>
      </c>
      <c r="AQ544" t="s">
        <v>434</v>
      </c>
      <c r="AR544" t="s">
        <v>452</v>
      </c>
      <c r="AS544" t="s">
        <v>178</v>
      </c>
      <c r="AT544" t="s">
        <v>70</v>
      </c>
      <c r="AU544" t="s">
        <v>453</v>
      </c>
      <c r="AV544" t="s">
        <v>132</v>
      </c>
      <c r="AX544" t="s">
        <v>73</v>
      </c>
      <c r="AY544">
        <v>390</v>
      </c>
      <c r="AZ544">
        <v>390</v>
      </c>
      <c r="BA544">
        <v>38</v>
      </c>
      <c r="BC544">
        <v>5</v>
      </c>
      <c r="BD544">
        <v>370</v>
      </c>
      <c r="BE544">
        <v>370</v>
      </c>
      <c r="BF544">
        <v>35</v>
      </c>
      <c r="BH544">
        <v>5</v>
      </c>
      <c r="BI544">
        <v>42</v>
      </c>
      <c r="BJ544">
        <v>1</v>
      </c>
      <c r="BK544">
        <v>-5.2600000000000001E-2</v>
      </c>
      <c r="BL544">
        <v>1.84E-2</v>
      </c>
    </row>
    <row r="545" spans="1:64" hidden="1" x14ac:dyDescent="0.2">
      <c r="A545">
        <v>140</v>
      </c>
      <c r="D545" t="s">
        <v>54</v>
      </c>
      <c r="E545">
        <v>2014</v>
      </c>
      <c r="F545" t="s">
        <v>427</v>
      </c>
      <c r="G545" t="s">
        <v>318</v>
      </c>
      <c r="H545" t="s">
        <v>78</v>
      </c>
      <c r="K545" t="s">
        <v>194</v>
      </c>
      <c r="L545" t="s">
        <v>299</v>
      </c>
      <c r="M545" t="s">
        <v>120</v>
      </c>
      <c r="N545" t="s">
        <v>120</v>
      </c>
      <c r="O545" t="s">
        <v>62</v>
      </c>
      <c r="P545" t="s">
        <v>196</v>
      </c>
      <c r="Q545" t="s">
        <v>64</v>
      </c>
      <c r="R545" t="s">
        <v>83</v>
      </c>
      <c r="S545" t="s">
        <v>64</v>
      </c>
      <c r="T545" t="s">
        <v>74</v>
      </c>
      <c r="U545" t="s">
        <v>84</v>
      </c>
      <c r="V545">
        <v>432</v>
      </c>
      <c r="W545" t="s">
        <v>67</v>
      </c>
      <c r="X545">
        <v>22.5</v>
      </c>
      <c r="Y545" t="s">
        <v>68</v>
      </c>
      <c r="Z545" t="s">
        <v>67</v>
      </c>
      <c r="AA545" t="s">
        <v>67</v>
      </c>
      <c r="AB545" t="s">
        <v>67</v>
      </c>
      <c r="AC545">
        <v>1025</v>
      </c>
      <c r="AD545" t="s">
        <v>67</v>
      </c>
      <c r="AE545">
        <v>94.2</v>
      </c>
      <c r="AF545" t="s">
        <v>67</v>
      </c>
      <c r="AG545" t="s">
        <v>67</v>
      </c>
      <c r="AH545" t="s">
        <v>67</v>
      </c>
      <c r="AI545">
        <v>-0.7</v>
      </c>
      <c r="AJ545" t="s">
        <v>67</v>
      </c>
      <c r="AK545">
        <v>0.15</v>
      </c>
      <c r="AL545">
        <v>-0.6</v>
      </c>
      <c r="AM545" t="s">
        <v>67</v>
      </c>
      <c r="AN545">
        <v>0.15</v>
      </c>
      <c r="AO545">
        <v>593</v>
      </c>
      <c r="AP545">
        <v>0.1</v>
      </c>
      <c r="AQ545" t="s">
        <v>434</v>
      </c>
      <c r="AR545" t="s">
        <v>452</v>
      </c>
      <c r="AS545" t="s">
        <v>178</v>
      </c>
      <c r="AT545" t="s">
        <v>70</v>
      </c>
      <c r="AU545" t="s">
        <v>453</v>
      </c>
      <c r="AV545" t="s">
        <v>132</v>
      </c>
      <c r="AX545" t="s">
        <v>73</v>
      </c>
      <c r="AY545">
        <v>390</v>
      </c>
      <c r="AZ545">
        <v>390</v>
      </c>
      <c r="BA545">
        <v>38</v>
      </c>
      <c r="BC545">
        <v>5</v>
      </c>
      <c r="BD545">
        <v>370</v>
      </c>
      <c r="BE545">
        <v>370</v>
      </c>
      <c r="BF545">
        <v>35</v>
      </c>
      <c r="BH545">
        <v>5</v>
      </c>
      <c r="BI545">
        <v>42</v>
      </c>
      <c r="BJ545">
        <v>1</v>
      </c>
      <c r="BK545">
        <v>-5.2600000000000001E-2</v>
      </c>
      <c r="BL545">
        <v>1.84E-2</v>
      </c>
    </row>
    <row r="546" spans="1:64" hidden="1" x14ac:dyDescent="0.2">
      <c r="A546">
        <v>146</v>
      </c>
      <c r="D546" t="s">
        <v>54</v>
      </c>
      <c r="E546">
        <v>2016</v>
      </c>
      <c r="F546" t="s">
        <v>347</v>
      </c>
      <c r="G546" t="s">
        <v>348</v>
      </c>
      <c r="H546" t="s">
        <v>78</v>
      </c>
      <c r="K546" t="s">
        <v>349</v>
      </c>
      <c r="L546" t="s">
        <v>125</v>
      </c>
      <c r="M546" t="s">
        <v>126</v>
      </c>
      <c r="N546" t="s">
        <v>81</v>
      </c>
      <c r="O546" t="s">
        <v>62</v>
      </c>
      <c r="P546" t="s">
        <v>63</v>
      </c>
      <c r="Q546" t="s">
        <v>74</v>
      </c>
      <c r="R546" t="s">
        <v>83</v>
      </c>
      <c r="S546" t="s">
        <v>64</v>
      </c>
      <c r="T546" t="s">
        <v>64</v>
      </c>
      <c r="U546" t="s">
        <v>66</v>
      </c>
      <c r="V546">
        <v>360</v>
      </c>
      <c r="W546" t="s">
        <v>67</v>
      </c>
      <c r="X546">
        <v>35.299999999999997</v>
      </c>
      <c r="Y546" t="s">
        <v>68</v>
      </c>
      <c r="Z546">
        <v>8.01</v>
      </c>
      <c r="AA546" t="s">
        <v>67</v>
      </c>
      <c r="AB546">
        <v>0.04</v>
      </c>
      <c r="AC546">
        <v>952</v>
      </c>
      <c r="AD546" t="s">
        <v>67</v>
      </c>
      <c r="AE546">
        <v>52.1</v>
      </c>
      <c r="AF546">
        <v>7.61</v>
      </c>
      <c r="AG546" t="s">
        <v>67</v>
      </c>
      <c r="AH546">
        <v>0.03</v>
      </c>
      <c r="AI546">
        <v>19.2</v>
      </c>
      <c r="AJ546" t="s">
        <v>67</v>
      </c>
      <c r="AK546">
        <v>0.3</v>
      </c>
      <c r="AL546">
        <v>23</v>
      </c>
      <c r="AM546" t="s">
        <v>67</v>
      </c>
      <c r="AN546">
        <v>0.32</v>
      </c>
      <c r="AO546">
        <v>592</v>
      </c>
      <c r="AP546">
        <v>3.8</v>
      </c>
      <c r="AQ546" t="s">
        <v>350</v>
      </c>
      <c r="AR546" t="s">
        <v>468</v>
      </c>
      <c r="AS546" t="s">
        <v>412</v>
      </c>
      <c r="AT546" t="s">
        <v>135</v>
      </c>
      <c r="AU546" t="s">
        <v>469</v>
      </c>
      <c r="AV546" t="s">
        <v>132</v>
      </c>
      <c r="AX546" t="s">
        <v>73</v>
      </c>
      <c r="AY546">
        <v>8.66</v>
      </c>
      <c r="AZ546">
        <v>8.66</v>
      </c>
      <c r="BA546">
        <v>0.76</v>
      </c>
      <c r="BC546">
        <v>5</v>
      </c>
      <c r="BD546">
        <v>10.95</v>
      </c>
      <c r="BE546">
        <v>10.95</v>
      </c>
      <c r="BF546">
        <v>1.1499999999999999</v>
      </c>
      <c r="BH546">
        <v>5</v>
      </c>
      <c r="BI546">
        <v>28</v>
      </c>
      <c r="BJ546">
        <v>6</v>
      </c>
      <c r="BK546">
        <v>0.2346</v>
      </c>
      <c r="BL546">
        <v>1.8700000000000001E-2</v>
      </c>
    </row>
    <row r="547" spans="1:64" hidden="1" x14ac:dyDescent="0.2">
      <c r="A547">
        <v>142</v>
      </c>
      <c r="D547" t="s">
        <v>54</v>
      </c>
      <c r="E547">
        <v>2017</v>
      </c>
      <c r="F547" t="s">
        <v>193</v>
      </c>
      <c r="G547" t="s">
        <v>181</v>
      </c>
      <c r="H547" t="s">
        <v>78</v>
      </c>
      <c r="K547" t="s">
        <v>194</v>
      </c>
      <c r="L547" t="s">
        <v>195</v>
      </c>
      <c r="M547" t="s">
        <v>120</v>
      </c>
      <c r="N547" t="s">
        <v>120</v>
      </c>
      <c r="O547" t="s">
        <v>106</v>
      </c>
      <c r="P547" t="s">
        <v>196</v>
      </c>
      <c r="Q547" t="s">
        <v>64</v>
      </c>
      <c r="R547" t="s">
        <v>83</v>
      </c>
      <c r="S547" t="s">
        <v>74</v>
      </c>
      <c r="T547" t="s">
        <v>64</v>
      </c>
      <c r="U547" t="s">
        <v>75</v>
      </c>
      <c r="V547">
        <v>439</v>
      </c>
      <c r="W547">
        <v>16.079999999999998</v>
      </c>
      <c r="X547" t="s">
        <v>67</v>
      </c>
      <c r="Y547" t="s">
        <v>67</v>
      </c>
      <c r="Z547" t="s">
        <v>67</v>
      </c>
      <c r="AA547" t="s">
        <v>67</v>
      </c>
      <c r="AB547" t="s">
        <v>67</v>
      </c>
      <c r="AC547">
        <v>525</v>
      </c>
      <c r="AD547">
        <v>21.07</v>
      </c>
      <c r="AE547" t="s">
        <v>67</v>
      </c>
      <c r="AF547" t="s">
        <v>67</v>
      </c>
      <c r="AG547" t="s">
        <v>67</v>
      </c>
      <c r="AH547" t="s">
        <v>67</v>
      </c>
      <c r="AI547">
        <v>-0.6</v>
      </c>
      <c r="AJ547">
        <v>0.17</v>
      </c>
      <c r="AK547" t="s">
        <v>67</v>
      </c>
      <c r="AL547">
        <v>4</v>
      </c>
      <c r="AM547">
        <v>0.44</v>
      </c>
      <c r="AN547" t="s">
        <v>67</v>
      </c>
      <c r="AO547">
        <v>86</v>
      </c>
      <c r="AP547">
        <v>4.5999999999999996</v>
      </c>
      <c r="AQ547" t="s">
        <v>470</v>
      </c>
      <c r="AR547" t="s">
        <v>471</v>
      </c>
      <c r="AS547" t="s">
        <v>412</v>
      </c>
      <c r="AT547" t="s">
        <v>135</v>
      </c>
      <c r="AU547" t="s">
        <v>472</v>
      </c>
      <c r="AV547" t="s">
        <v>132</v>
      </c>
      <c r="AX547" t="s">
        <v>73</v>
      </c>
      <c r="AY547">
        <v>5.7000000000000002E-2</v>
      </c>
      <c r="AZ547">
        <v>5.7000000000000002E-2</v>
      </c>
      <c r="BA547">
        <v>4.0000000000000001E-3</v>
      </c>
      <c r="BC547">
        <v>9</v>
      </c>
      <c r="BD547">
        <v>3.4000000000000002E-2</v>
      </c>
      <c r="BE547">
        <v>3.4000000000000002E-2</v>
      </c>
      <c r="BF547">
        <v>4.0000000000000001E-3</v>
      </c>
      <c r="BH547">
        <v>5</v>
      </c>
      <c r="BI547">
        <v>56</v>
      </c>
      <c r="BJ547">
        <v>1</v>
      </c>
      <c r="BK547">
        <v>-0.51670000000000005</v>
      </c>
      <c r="BL547">
        <v>1.8800000000000001E-2</v>
      </c>
    </row>
    <row r="548" spans="1:64" hidden="1" x14ac:dyDescent="0.2">
      <c r="A548">
        <v>129</v>
      </c>
      <c r="D548" t="s">
        <v>54</v>
      </c>
      <c r="E548">
        <v>2016</v>
      </c>
      <c r="F548" t="s">
        <v>462</v>
      </c>
      <c r="G548" t="s">
        <v>463</v>
      </c>
      <c r="H548" t="s">
        <v>78</v>
      </c>
      <c r="K548" t="s">
        <v>319</v>
      </c>
      <c r="L548" t="s">
        <v>320</v>
      </c>
      <c r="M548" t="s">
        <v>81</v>
      </c>
      <c r="N548" t="s">
        <v>81</v>
      </c>
      <c r="O548" t="s">
        <v>62</v>
      </c>
      <c r="P548" t="s">
        <v>63</v>
      </c>
      <c r="Q548" t="s">
        <v>74</v>
      </c>
      <c r="R548" t="s">
        <v>83</v>
      </c>
      <c r="S548" t="s">
        <v>64</v>
      </c>
      <c r="T548" t="s">
        <v>64</v>
      </c>
      <c r="U548" t="s">
        <v>66</v>
      </c>
      <c r="V548">
        <v>330</v>
      </c>
      <c r="W548">
        <v>9</v>
      </c>
      <c r="X548" t="s">
        <v>67</v>
      </c>
      <c r="Y548" t="s">
        <v>68</v>
      </c>
      <c r="Z548">
        <v>8.11</v>
      </c>
      <c r="AA548">
        <v>0.01</v>
      </c>
      <c r="AB548" t="s">
        <v>67</v>
      </c>
      <c r="AC548">
        <v>1443</v>
      </c>
      <c r="AD548">
        <v>68</v>
      </c>
      <c r="AE548" t="s">
        <v>67</v>
      </c>
      <c r="AF548">
        <v>7.55</v>
      </c>
      <c r="AG548">
        <v>0.02</v>
      </c>
      <c r="AH548" t="s">
        <v>67</v>
      </c>
      <c r="AI548">
        <v>5.2</v>
      </c>
      <c r="AJ548">
        <v>0.1</v>
      </c>
      <c r="AK548" t="s">
        <v>67</v>
      </c>
      <c r="AL548">
        <v>13.6</v>
      </c>
      <c r="AM548">
        <v>0.08</v>
      </c>
      <c r="AN548" t="s">
        <v>67</v>
      </c>
      <c r="AO548">
        <v>1113</v>
      </c>
      <c r="AP548">
        <v>8.5</v>
      </c>
      <c r="AQ548" t="s">
        <v>67</v>
      </c>
      <c r="AR548" t="s">
        <v>464</v>
      </c>
      <c r="AS548" t="s">
        <v>412</v>
      </c>
      <c r="AT548" t="s">
        <v>135</v>
      </c>
      <c r="AU548" t="s">
        <v>465</v>
      </c>
      <c r="AV548" t="s">
        <v>132</v>
      </c>
      <c r="AX548" t="s">
        <v>73</v>
      </c>
      <c r="AY548">
        <v>3.3664999999999998</v>
      </c>
      <c r="AZ548">
        <v>3.3664999999999998</v>
      </c>
      <c r="BA548">
        <v>0.43</v>
      </c>
      <c r="BC548">
        <v>8</v>
      </c>
      <c r="BD548">
        <v>7.3368000000000002</v>
      </c>
      <c r="BE548">
        <v>7.3368000000000002</v>
      </c>
      <c r="BF548">
        <v>0.38129999999999997</v>
      </c>
      <c r="BH548">
        <v>8</v>
      </c>
      <c r="BI548">
        <v>90</v>
      </c>
      <c r="BJ548">
        <v>2</v>
      </c>
      <c r="BK548">
        <v>0.77900000000000003</v>
      </c>
      <c r="BL548">
        <v>1.8800000000000001E-2</v>
      </c>
    </row>
    <row r="549" spans="1:64" hidden="1" x14ac:dyDescent="0.2">
      <c r="A549">
        <v>139</v>
      </c>
      <c r="D549" t="s">
        <v>54</v>
      </c>
      <c r="E549">
        <v>2018</v>
      </c>
      <c r="F549" t="s">
        <v>214</v>
      </c>
      <c r="G549" t="s">
        <v>154</v>
      </c>
      <c r="H549" t="s">
        <v>78</v>
      </c>
      <c r="K549" t="s">
        <v>194</v>
      </c>
      <c r="L549" t="s">
        <v>215</v>
      </c>
      <c r="M549" t="s">
        <v>120</v>
      </c>
      <c r="N549" t="s">
        <v>120</v>
      </c>
      <c r="O549" t="s">
        <v>62</v>
      </c>
      <c r="P549" t="s">
        <v>63</v>
      </c>
      <c r="Q549" t="s">
        <v>64</v>
      </c>
      <c r="R549" t="s">
        <v>83</v>
      </c>
      <c r="S549" t="s">
        <v>64</v>
      </c>
      <c r="T549" t="s">
        <v>74</v>
      </c>
      <c r="U549" t="s">
        <v>84</v>
      </c>
      <c r="V549">
        <v>458</v>
      </c>
      <c r="W549" t="s">
        <v>67</v>
      </c>
      <c r="X549">
        <v>30</v>
      </c>
      <c r="Y549" t="s">
        <v>157</v>
      </c>
      <c r="Z549">
        <v>7.98</v>
      </c>
      <c r="AA549" t="s">
        <v>67</v>
      </c>
      <c r="AB549">
        <v>0.03</v>
      </c>
      <c r="AC549">
        <v>1233</v>
      </c>
      <c r="AD549" t="s">
        <v>67</v>
      </c>
      <c r="AE549">
        <v>40</v>
      </c>
      <c r="AF549">
        <v>7.58</v>
      </c>
      <c r="AG549" t="s">
        <v>67</v>
      </c>
      <c r="AH549">
        <v>0.01</v>
      </c>
      <c r="AI549">
        <v>-1</v>
      </c>
      <c r="AJ549" t="s">
        <v>67</v>
      </c>
      <c r="AK549">
        <v>0.1</v>
      </c>
      <c r="AL549">
        <v>-1</v>
      </c>
      <c r="AM549" t="s">
        <v>67</v>
      </c>
      <c r="AN549">
        <v>0.1</v>
      </c>
      <c r="AO549">
        <v>775</v>
      </c>
      <c r="AP549">
        <v>0</v>
      </c>
      <c r="AQ549" t="s">
        <v>67</v>
      </c>
      <c r="AR549" t="s">
        <v>454</v>
      </c>
      <c r="AS549" t="s">
        <v>412</v>
      </c>
      <c r="AT549" t="s">
        <v>135</v>
      </c>
      <c r="AU549" t="s">
        <v>455</v>
      </c>
      <c r="AV549" t="s">
        <v>132</v>
      </c>
      <c r="AX549" t="s">
        <v>73</v>
      </c>
      <c r="AY549">
        <v>1.9803999999999999</v>
      </c>
      <c r="AZ549">
        <v>1.9803999999999999</v>
      </c>
      <c r="BA549">
        <v>0.22</v>
      </c>
      <c r="BC549">
        <v>9</v>
      </c>
      <c r="BD549">
        <v>2.2959000000000001</v>
      </c>
      <c r="BE549">
        <v>2.2959080799999998</v>
      </c>
      <c r="BF549">
        <v>0.1915</v>
      </c>
      <c r="BH549">
        <v>9</v>
      </c>
      <c r="BI549">
        <v>28</v>
      </c>
      <c r="BJ549">
        <v>3</v>
      </c>
      <c r="BK549">
        <v>0.14779999999999999</v>
      </c>
      <c r="BL549">
        <v>1.9E-2</v>
      </c>
    </row>
    <row r="550" spans="1:64" hidden="1" x14ac:dyDescent="0.2">
      <c r="A550">
        <v>163</v>
      </c>
      <c r="D550" t="s">
        <v>54</v>
      </c>
      <c r="E550">
        <v>2018</v>
      </c>
      <c r="F550" t="s">
        <v>273</v>
      </c>
      <c r="G550" t="s">
        <v>230</v>
      </c>
      <c r="H550" t="s">
        <v>78</v>
      </c>
      <c r="K550" t="s">
        <v>79</v>
      </c>
      <c r="L550" t="s">
        <v>274</v>
      </c>
      <c r="M550" t="s">
        <v>95</v>
      </c>
      <c r="N550" t="s">
        <v>61</v>
      </c>
      <c r="O550" t="s">
        <v>62</v>
      </c>
      <c r="P550" t="s">
        <v>63</v>
      </c>
      <c r="Q550" t="s">
        <v>64</v>
      </c>
      <c r="R550" t="s">
        <v>65</v>
      </c>
      <c r="S550" t="s">
        <v>74</v>
      </c>
      <c r="T550" t="s">
        <v>64</v>
      </c>
      <c r="U550" t="s">
        <v>75</v>
      </c>
      <c r="V550">
        <v>435</v>
      </c>
      <c r="W550" t="s">
        <v>67</v>
      </c>
      <c r="X550">
        <v>38</v>
      </c>
      <c r="Y550" t="s">
        <v>67</v>
      </c>
      <c r="Z550" t="s">
        <v>67</v>
      </c>
      <c r="AA550" t="s">
        <v>67</v>
      </c>
      <c r="AB550" t="s">
        <v>67</v>
      </c>
      <c r="AC550">
        <v>475</v>
      </c>
      <c r="AD550" t="s">
        <v>67</v>
      </c>
      <c r="AE550">
        <v>44</v>
      </c>
      <c r="AF550" t="s">
        <v>67</v>
      </c>
      <c r="AG550" t="s">
        <v>67</v>
      </c>
      <c r="AH550" t="s">
        <v>67</v>
      </c>
      <c r="AI550">
        <v>28.8</v>
      </c>
      <c r="AJ550" t="s">
        <v>67</v>
      </c>
      <c r="AK550">
        <v>0.2</v>
      </c>
      <c r="AL550">
        <v>31.1</v>
      </c>
      <c r="AM550" t="s">
        <v>67</v>
      </c>
      <c r="AN550">
        <v>0.3</v>
      </c>
      <c r="AO550">
        <v>40</v>
      </c>
      <c r="AP550">
        <v>2.2999999999999998</v>
      </c>
      <c r="AQ550" t="s">
        <v>67</v>
      </c>
      <c r="AR550" t="s">
        <v>473</v>
      </c>
      <c r="AS550" t="s">
        <v>473</v>
      </c>
      <c r="AT550" t="s">
        <v>135</v>
      </c>
      <c r="AU550" t="s">
        <v>474</v>
      </c>
      <c r="AV550" t="s">
        <v>251</v>
      </c>
      <c r="AX550" t="s">
        <v>73</v>
      </c>
      <c r="AY550">
        <v>34.545499999999997</v>
      </c>
      <c r="AZ550">
        <v>34.545450000000002</v>
      </c>
      <c r="BA550">
        <v>3.81</v>
      </c>
      <c r="BC550">
        <v>44</v>
      </c>
      <c r="BD550">
        <v>41.136400000000002</v>
      </c>
      <c r="BE550">
        <v>41.136363639999999</v>
      </c>
      <c r="BF550">
        <v>3.4133</v>
      </c>
      <c r="BH550">
        <v>44</v>
      </c>
      <c r="BI550">
        <v>45</v>
      </c>
      <c r="BJ550">
        <v>6</v>
      </c>
      <c r="BK550">
        <v>0.17460000000000001</v>
      </c>
      <c r="BL550">
        <v>1.9099999999999999E-2</v>
      </c>
    </row>
    <row r="551" spans="1:64" hidden="1" x14ac:dyDescent="0.2">
      <c r="A551">
        <v>129</v>
      </c>
      <c r="D551" t="s">
        <v>54</v>
      </c>
      <c r="E551">
        <v>2016</v>
      </c>
      <c r="F551" t="s">
        <v>462</v>
      </c>
      <c r="G551" t="s">
        <v>463</v>
      </c>
      <c r="H551" t="s">
        <v>78</v>
      </c>
      <c r="K551" t="s">
        <v>319</v>
      </c>
      <c r="L551" t="s">
        <v>320</v>
      </c>
      <c r="M551" t="s">
        <v>81</v>
      </c>
      <c r="N551" t="s">
        <v>81</v>
      </c>
      <c r="O551" t="s">
        <v>62</v>
      </c>
      <c r="P551" t="s">
        <v>63</v>
      </c>
      <c r="Q551" t="s">
        <v>74</v>
      </c>
      <c r="R551" t="s">
        <v>83</v>
      </c>
      <c r="S551" t="s">
        <v>64</v>
      </c>
      <c r="T551" t="s">
        <v>74</v>
      </c>
      <c r="U551" t="s">
        <v>84</v>
      </c>
      <c r="V551">
        <v>330</v>
      </c>
      <c r="W551">
        <v>9</v>
      </c>
      <c r="X551" t="s">
        <v>67</v>
      </c>
      <c r="Y551" t="s">
        <v>68</v>
      </c>
      <c r="Z551">
        <v>8.11</v>
      </c>
      <c r="AA551">
        <v>0.01</v>
      </c>
      <c r="AB551" t="s">
        <v>67</v>
      </c>
      <c r="AC551">
        <v>888</v>
      </c>
      <c r="AD551">
        <v>43</v>
      </c>
      <c r="AE551" t="s">
        <v>67</v>
      </c>
      <c r="AF551">
        <v>7.71</v>
      </c>
      <c r="AG551">
        <v>0.02</v>
      </c>
      <c r="AH551" t="s">
        <v>67</v>
      </c>
      <c r="AI551">
        <v>5.2</v>
      </c>
      <c r="AJ551">
        <v>0.1</v>
      </c>
      <c r="AK551" t="s">
        <v>67</v>
      </c>
      <c r="AL551">
        <v>5.0999999999999996</v>
      </c>
      <c r="AM551">
        <v>0.11</v>
      </c>
      <c r="AN551" t="s">
        <v>67</v>
      </c>
      <c r="AO551">
        <v>558</v>
      </c>
      <c r="AP551">
        <v>-0.1</v>
      </c>
      <c r="AQ551" t="s">
        <v>67</v>
      </c>
      <c r="AR551" t="s">
        <v>464</v>
      </c>
      <c r="AS551" t="s">
        <v>412</v>
      </c>
      <c r="AT551" t="s">
        <v>135</v>
      </c>
      <c r="AU551" t="s">
        <v>465</v>
      </c>
      <c r="AV551" t="s">
        <v>132</v>
      </c>
      <c r="AX551" t="s">
        <v>73</v>
      </c>
      <c r="AY551">
        <v>3.3664999999999998</v>
      </c>
      <c r="AZ551">
        <v>3.3664999999999998</v>
      </c>
      <c r="BA551">
        <v>0.43</v>
      </c>
      <c r="BC551">
        <v>8</v>
      </c>
      <c r="BD551">
        <v>5.29</v>
      </c>
      <c r="BE551">
        <v>5.29</v>
      </c>
      <c r="BF551">
        <v>0.28999999999999998</v>
      </c>
      <c r="BH551">
        <v>8</v>
      </c>
      <c r="BI551">
        <v>90</v>
      </c>
      <c r="BJ551">
        <v>2</v>
      </c>
      <c r="BK551">
        <v>0.45190000000000002</v>
      </c>
      <c r="BL551">
        <v>1.9099999999999999E-2</v>
      </c>
    </row>
    <row r="552" spans="1:64" hidden="1" x14ac:dyDescent="0.2">
      <c r="A552">
        <v>129</v>
      </c>
      <c r="D552" t="s">
        <v>54</v>
      </c>
      <c r="E552">
        <v>2016</v>
      </c>
      <c r="F552" t="s">
        <v>462</v>
      </c>
      <c r="G552" t="s">
        <v>463</v>
      </c>
      <c r="H552" t="s">
        <v>78</v>
      </c>
      <c r="K552" t="s">
        <v>319</v>
      </c>
      <c r="L552" t="s">
        <v>320</v>
      </c>
      <c r="M552" t="s">
        <v>81</v>
      </c>
      <c r="N552" t="s">
        <v>81</v>
      </c>
      <c r="O552" t="s">
        <v>62</v>
      </c>
      <c r="P552" t="s">
        <v>63</v>
      </c>
      <c r="Q552" t="s">
        <v>74</v>
      </c>
      <c r="R552" t="s">
        <v>83</v>
      </c>
      <c r="S552" t="s">
        <v>74</v>
      </c>
      <c r="T552" t="s">
        <v>64</v>
      </c>
      <c r="U552" t="s">
        <v>75</v>
      </c>
      <c r="V552">
        <v>330</v>
      </c>
      <c r="W552">
        <v>9</v>
      </c>
      <c r="X552" t="s">
        <v>67</v>
      </c>
      <c r="Y552" t="s">
        <v>68</v>
      </c>
      <c r="Z552">
        <v>8.11</v>
      </c>
      <c r="AA552">
        <v>0.01</v>
      </c>
      <c r="AB552" t="s">
        <v>67</v>
      </c>
      <c r="AC552">
        <v>581</v>
      </c>
      <c r="AD552">
        <v>13</v>
      </c>
      <c r="AE552" t="s">
        <v>67</v>
      </c>
      <c r="AF552">
        <v>7.91</v>
      </c>
      <c r="AG552">
        <v>0.01</v>
      </c>
      <c r="AH552" t="s">
        <v>67</v>
      </c>
      <c r="AI552">
        <v>5.2</v>
      </c>
      <c r="AJ552">
        <v>0.1</v>
      </c>
      <c r="AK552" t="s">
        <v>67</v>
      </c>
      <c r="AL552">
        <v>15.8</v>
      </c>
      <c r="AM552">
        <v>0.04</v>
      </c>
      <c r="AN552" t="s">
        <v>67</v>
      </c>
      <c r="AO552">
        <v>251</v>
      </c>
      <c r="AP552">
        <v>10.7</v>
      </c>
      <c r="AQ552" t="s">
        <v>67</v>
      </c>
      <c r="AR552" t="s">
        <v>464</v>
      </c>
      <c r="AS552" t="s">
        <v>412</v>
      </c>
      <c r="AT552" t="s">
        <v>135</v>
      </c>
      <c r="AU552" t="s">
        <v>465</v>
      </c>
      <c r="AV552" t="s">
        <v>132</v>
      </c>
      <c r="AX552" t="s">
        <v>73</v>
      </c>
      <c r="AY552">
        <v>3.3664999999999998</v>
      </c>
      <c r="AZ552">
        <v>3.3664999999999998</v>
      </c>
      <c r="BA552">
        <v>0.43</v>
      </c>
      <c r="BC552">
        <v>8</v>
      </c>
      <c r="BD552">
        <v>6.1460999999999997</v>
      </c>
      <c r="BE552">
        <v>6.1460999999999997</v>
      </c>
      <c r="BF552">
        <v>0.33900000000000002</v>
      </c>
      <c r="BH552">
        <v>8</v>
      </c>
      <c r="BI552">
        <v>90</v>
      </c>
      <c r="BJ552">
        <v>2</v>
      </c>
      <c r="BK552">
        <v>0.60189999999999999</v>
      </c>
      <c r="BL552">
        <v>1.9199999999999998E-2</v>
      </c>
    </row>
    <row r="553" spans="1:64" hidden="1" x14ac:dyDescent="0.2">
      <c r="A553">
        <v>164</v>
      </c>
      <c r="D553" t="s">
        <v>54</v>
      </c>
      <c r="E553">
        <v>2017</v>
      </c>
      <c r="F553" t="s">
        <v>371</v>
      </c>
      <c r="G553" t="s">
        <v>224</v>
      </c>
      <c r="H553" t="s">
        <v>78</v>
      </c>
      <c r="K553" t="s">
        <v>79</v>
      </c>
      <c r="L553" t="s">
        <v>225</v>
      </c>
      <c r="M553" t="s">
        <v>120</v>
      </c>
      <c r="N553" t="s">
        <v>120</v>
      </c>
      <c r="O553" t="s">
        <v>110</v>
      </c>
      <c r="P553" t="s">
        <v>63</v>
      </c>
      <c r="Q553" t="s">
        <v>64</v>
      </c>
      <c r="R553" t="s">
        <v>83</v>
      </c>
      <c r="S553" t="s">
        <v>64</v>
      </c>
      <c r="T553" t="s">
        <v>64</v>
      </c>
      <c r="U553" t="s">
        <v>66</v>
      </c>
      <c r="V553">
        <v>435</v>
      </c>
      <c r="W553" t="s">
        <v>67</v>
      </c>
      <c r="X553">
        <v>19</v>
      </c>
      <c r="Y553" t="s">
        <v>157</v>
      </c>
      <c r="Z553">
        <v>8.01</v>
      </c>
      <c r="AA553" t="s">
        <v>67</v>
      </c>
      <c r="AB553">
        <v>0.02</v>
      </c>
      <c r="AC553">
        <v>1027</v>
      </c>
      <c r="AD553" t="s">
        <v>67</v>
      </c>
      <c r="AE553">
        <v>103</v>
      </c>
      <c r="AF553">
        <v>7.71</v>
      </c>
      <c r="AG553" t="s">
        <v>67</v>
      </c>
      <c r="AH553">
        <v>0.06</v>
      </c>
      <c r="AI553">
        <v>5.7</v>
      </c>
      <c r="AJ553" t="s">
        <v>67</v>
      </c>
      <c r="AK553">
        <v>0.23</v>
      </c>
      <c r="AL553">
        <v>8.1999999999999993</v>
      </c>
      <c r="AM553" t="s">
        <v>67</v>
      </c>
      <c r="AN553">
        <v>0.16</v>
      </c>
      <c r="AO553">
        <v>592</v>
      </c>
      <c r="AP553">
        <v>2.5</v>
      </c>
      <c r="AQ553" t="s">
        <v>67</v>
      </c>
      <c r="AR553" t="s">
        <v>293</v>
      </c>
      <c r="AS553" t="s">
        <v>293</v>
      </c>
      <c r="AT553" t="s">
        <v>70</v>
      </c>
      <c r="AU553" t="s">
        <v>310</v>
      </c>
      <c r="AV553" t="s">
        <v>72</v>
      </c>
      <c r="AX553" t="s">
        <v>73</v>
      </c>
      <c r="AY553">
        <v>21.8</v>
      </c>
      <c r="AZ553">
        <v>21.8</v>
      </c>
      <c r="BA553">
        <v>0.83720000000000006</v>
      </c>
      <c r="BC553">
        <v>12</v>
      </c>
      <c r="BD553">
        <v>21.7</v>
      </c>
      <c r="BE553">
        <v>21.7</v>
      </c>
      <c r="BF553">
        <v>2.8868</v>
      </c>
      <c r="BH553">
        <v>12</v>
      </c>
      <c r="BI553">
        <v>50</v>
      </c>
      <c r="BJ553">
        <v>8</v>
      </c>
      <c r="BK553">
        <v>-4.5999999999999999E-3</v>
      </c>
      <c r="BL553">
        <v>1.9199999999999998E-2</v>
      </c>
    </row>
    <row r="554" spans="1:64" hidden="1" x14ac:dyDescent="0.2">
      <c r="A554">
        <v>160</v>
      </c>
      <c r="D554" t="s">
        <v>54</v>
      </c>
      <c r="E554">
        <v>2018</v>
      </c>
      <c r="F554" t="s">
        <v>254</v>
      </c>
      <c r="G554" t="s">
        <v>255</v>
      </c>
      <c r="H554" t="s">
        <v>78</v>
      </c>
      <c r="K554" t="s">
        <v>189</v>
      </c>
      <c r="L554" t="s">
        <v>190</v>
      </c>
      <c r="M554" t="s">
        <v>156</v>
      </c>
      <c r="N554" t="s">
        <v>156</v>
      </c>
      <c r="O554" t="s">
        <v>110</v>
      </c>
      <c r="P554" t="s">
        <v>63</v>
      </c>
      <c r="Q554" t="s">
        <v>74</v>
      </c>
      <c r="R554" t="s">
        <v>83</v>
      </c>
      <c r="S554" t="s">
        <v>74</v>
      </c>
      <c r="T554" t="s">
        <v>64</v>
      </c>
      <c r="U554" t="s">
        <v>75</v>
      </c>
      <c r="V554">
        <v>500</v>
      </c>
      <c r="W554" t="s">
        <v>67</v>
      </c>
      <c r="X554" t="s">
        <v>67</v>
      </c>
      <c r="Y554" t="s">
        <v>67</v>
      </c>
      <c r="Z554" t="s">
        <v>67</v>
      </c>
      <c r="AA554" t="s">
        <v>67</v>
      </c>
      <c r="AB554" t="s">
        <v>67</v>
      </c>
      <c r="AC554">
        <v>509</v>
      </c>
      <c r="AD554" t="s">
        <v>67</v>
      </c>
      <c r="AE554">
        <v>9</v>
      </c>
      <c r="AF554">
        <v>8.01</v>
      </c>
      <c r="AG554" t="s">
        <v>67</v>
      </c>
      <c r="AH554">
        <v>0.02</v>
      </c>
      <c r="AI554">
        <v>19</v>
      </c>
      <c r="AJ554" t="s">
        <v>67</v>
      </c>
      <c r="AK554">
        <v>0.2</v>
      </c>
      <c r="AL554">
        <v>24</v>
      </c>
      <c r="AM554" t="s">
        <v>67</v>
      </c>
      <c r="AN554">
        <v>0.3</v>
      </c>
      <c r="AO554">
        <v>9</v>
      </c>
      <c r="AP554">
        <v>5</v>
      </c>
      <c r="AQ554" t="s">
        <v>67</v>
      </c>
      <c r="AR554" t="s">
        <v>367</v>
      </c>
      <c r="AS554" t="s">
        <v>367</v>
      </c>
      <c r="AT554" t="s">
        <v>135</v>
      </c>
      <c r="AU554" t="s">
        <v>461</v>
      </c>
      <c r="AV554" t="s">
        <v>251</v>
      </c>
      <c r="AX554" t="s">
        <v>73</v>
      </c>
      <c r="AY554">
        <v>30</v>
      </c>
      <c r="AZ554">
        <v>30</v>
      </c>
      <c r="BA554">
        <v>3.79</v>
      </c>
      <c r="BC554">
        <v>10</v>
      </c>
      <c r="BD554">
        <v>22</v>
      </c>
      <c r="BE554">
        <v>22</v>
      </c>
      <c r="BF554">
        <v>1.2648999999999999</v>
      </c>
      <c r="BH554">
        <v>10</v>
      </c>
      <c r="BI554">
        <v>28</v>
      </c>
      <c r="BJ554">
        <v>3</v>
      </c>
      <c r="BK554">
        <v>-0.31019999999999998</v>
      </c>
      <c r="BL554">
        <v>1.9300000000000001E-2</v>
      </c>
    </row>
    <row r="555" spans="1:64" hidden="1" x14ac:dyDescent="0.2">
      <c r="A555">
        <v>173</v>
      </c>
      <c r="D555" t="s">
        <v>54</v>
      </c>
      <c r="E555">
        <v>2014</v>
      </c>
      <c r="F555" t="s">
        <v>257</v>
      </c>
      <c r="G555" t="s">
        <v>258</v>
      </c>
      <c r="H555" t="s">
        <v>78</v>
      </c>
      <c r="K555" t="s">
        <v>79</v>
      </c>
      <c r="L555" t="s">
        <v>210</v>
      </c>
      <c r="M555" t="s">
        <v>156</v>
      </c>
      <c r="N555" t="s">
        <v>156</v>
      </c>
      <c r="O555" t="s">
        <v>62</v>
      </c>
      <c r="P555" t="s">
        <v>63</v>
      </c>
      <c r="Q555" t="s">
        <v>74</v>
      </c>
      <c r="R555" t="s">
        <v>83</v>
      </c>
      <c r="S555" t="s">
        <v>64</v>
      </c>
      <c r="T555" t="s">
        <v>64</v>
      </c>
      <c r="U555" t="s">
        <v>66</v>
      </c>
      <c r="V555">
        <v>598.33000000000004</v>
      </c>
      <c r="W555" t="s">
        <v>67</v>
      </c>
      <c r="X555">
        <v>38.33</v>
      </c>
      <c r="Y555" t="s">
        <v>96</v>
      </c>
      <c r="Z555">
        <v>8.0299999999999994</v>
      </c>
      <c r="AA555" t="s">
        <v>67</v>
      </c>
      <c r="AB555">
        <v>0.03</v>
      </c>
      <c r="AC555">
        <v>1030</v>
      </c>
      <c r="AD555" t="s">
        <v>67</v>
      </c>
      <c r="AE555">
        <v>88.66</v>
      </c>
      <c r="AF555">
        <v>7.82</v>
      </c>
      <c r="AG555" t="s">
        <v>67</v>
      </c>
      <c r="AH555">
        <v>0.05</v>
      </c>
      <c r="AI555">
        <v>17</v>
      </c>
      <c r="AJ555" t="s">
        <v>67</v>
      </c>
      <c r="AK555">
        <v>0.34</v>
      </c>
      <c r="AL555">
        <v>18.7</v>
      </c>
      <c r="AM555" t="s">
        <v>67</v>
      </c>
      <c r="AN555">
        <v>0.62</v>
      </c>
      <c r="AO555">
        <v>432</v>
      </c>
      <c r="AP555">
        <v>1.7</v>
      </c>
      <c r="AQ555" t="s">
        <v>67</v>
      </c>
      <c r="AR555" t="s">
        <v>389</v>
      </c>
      <c r="AS555" t="s">
        <v>293</v>
      </c>
      <c r="AT555" t="s">
        <v>70</v>
      </c>
      <c r="AU555" t="s">
        <v>294</v>
      </c>
      <c r="AV555" t="s">
        <v>72</v>
      </c>
      <c r="AX555" t="s">
        <v>73</v>
      </c>
      <c r="AY555">
        <v>169.6</v>
      </c>
      <c r="AZ555">
        <v>169.6</v>
      </c>
      <c r="BA555">
        <v>22.4</v>
      </c>
      <c r="BC555">
        <v>14</v>
      </c>
      <c r="BD555">
        <v>355.2</v>
      </c>
      <c r="BE555">
        <v>355.2</v>
      </c>
      <c r="BF555">
        <v>16</v>
      </c>
      <c r="BH555">
        <v>14</v>
      </c>
      <c r="BI555">
        <v>69</v>
      </c>
      <c r="BJ555">
        <v>3</v>
      </c>
      <c r="BK555">
        <v>0.73919999999999997</v>
      </c>
      <c r="BL555">
        <v>1.95E-2</v>
      </c>
    </row>
    <row r="556" spans="1:64" x14ac:dyDescent="0.2">
      <c r="A556">
        <v>152</v>
      </c>
      <c r="B556" t="str">
        <f>ROW()-1&amp;"_AltersFish"</f>
        <v>555_AltersFish</v>
      </c>
      <c r="C556" t="str">
        <f>A556 &amp; "_" &amp; P556 &amp; "_" &amp;
SUBSTITUTE(TRIM(L556)," ","_") &amp;
"_pH" &amp; TEXT(Z556,"0.00") &amp;
"_T" &amp; TEXT(AI556,"0.00") &amp;
"_CO2" &amp; TEXT(V556,"0") &amp;
"_LANG"</f>
        <v>152_LARVA_Sparus_aurata_pH8.09_T18.40_CO2342_LANG</v>
      </c>
      <c r="D556" t="s">
        <v>54</v>
      </c>
      <c r="E556">
        <v>2020</v>
      </c>
      <c r="F556" t="s">
        <v>267</v>
      </c>
      <c r="G556" t="s">
        <v>163</v>
      </c>
      <c r="H556" t="s">
        <v>78</v>
      </c>
      <c r="I556" t="s">
        <v>540</v>
      </c>
      <c r="J556" t="s">
        <v>543</v>
      </c>
      <c r="K556" t="s">
        <v>79</v>
      </c>
      <c r="L556" t="s">
        <v>164</v>
      </c>
      <c r="M556" t="s">
        <v>156</v>
      </c>
      <c r="N556" t="s">
        <v>156</v>
      </c>
      <c r="O556" t="s">
        <v>106</v>
      </c>
      <c r="P556" t="s">
        <v>107</v>
      </c>
      <c r="Q556" t="s">
        <v>74</v>
      </c>
      <c r="R556" t="s">
        <v>83</v>
      </c>
      <c r="S556" t="s">
        <v>64</v>
      </c>
      <c r="T556" t="s">
        <v>64</v>
      </c>
      <c r="U556" t="s">
        <v>66</v>
      </c>
      <c r="V556">
        <v>342</v>
      </c>
      <c r="W556">
        <v>73</v>
      </c>
      <c r="X556" t="s">
        <v>67</v>
      </c>
      <c r="Y556" t="s">
        <v>157</v>
      </c>
      <c r="Z556">
        <v>8.09</v>
      </c>
      <c r="AA556">
        <v>7.0000000000000007E-2</v>
      </c>
      <c r="AB556" t="s">
        <v>67</v>
      </c>
      <c r="AC556">
        <v>1473</v>
      </c>
      <c r="AD556">
        <v>92</v>
      </c>
      <c r="AE556" t="s">
        <v>67</v>
      </c>
      <c r="AF556">
        <v>7.53</v>
      </c>
      <c r="AG556">
        <v>0.04</v>
      </c>
      <c r="AH556" t="s">
        <v>67</v>
      </c>
      <c r="AI556">
        <v>18.399999999999999</v>
      </c>
      <c r="AJ556">
        <v>0.3</v>
      </c>
      <c r="AK556" t="s">
        <v>67</v>
      </c>
      <c r="AL556">
        <v>22.1</v>
      </c>
      <c r="AM556">
        <v>0.5</v>
      </c>
      <c r="AN556" t="s">
        <v>67</v>
      </c>
      <c r="AO556">
        <v>1131</v>
      </c>
      <c r="AP556">
        <v>3.7</v>
      </c>
      <c r="AQ556" t="s">
        <v>67</v>
      </c>
      <c r="AR556" t="s">
        <v>134</v>
      </c>
      <c r="AS556" t="s">
        <v>134</v>
      </c>
      <c r="AT556" t="s">
        <v>135</v>
      </c>
      <c r="AU556" t="s">
        <v>268</v>
      </c>
      <c r="AV556" t="s">
        <v>269</v>
      </c>
      <c r="AW556" t="s">
        <v>132</v>
      </c>
      <c r="AX556" t="s">
        <v>73</v>
      </c>
      <c r="AY556">
        <v>29.8</v>
      </c>
      <c r="AZ556">
        <v>29.8</v>
      </c>
      <c r="BA556">
        <v>0.8</v>
      </c>
      <c r="BB556">
        <f>BA556*SQRT(BC556)</f>
        <v>2.4000000000000004</v>
      </c>
      <c r="BC556">
        <v>9</v>
      </c>
      <c r="BD556">
        <v>28.7</v>
      </c>
      <c r="BE556">
        <v>28.7</v>
      </c>
      <c r="BF556">
        <v>0.6</v>
      </c>
      <c r="BG556">
        <f>BF556*SQRT(BH556)</f>
        <v>1.7999999999999998</v>
      </c>
      <c r="BH556">
        <v>9</v>
      </c>
      <c r="BI556">
        <v>15</v>
      </c>
      <c r="BJ556">
        <v>3</v>
      </c>
      <c r="BK556">
        <v>-3.7600000000000001E-2</v>
      </c>
      <c r="BL556">
        <v>1.1999999999999999E-3</v>
      </c>
    </row>
    <row r="557" spans="1:64" hidden="1" x14ac:dyDescent="0.2">
      <c r="A557">
        <v>138</v>
      </c>
      <c r="D557" t="s">
        <v>54</v>
      </c>
      <c r="E557">
        <v>2009</v>
      </c>
      <c r="F557" t="s">
        <v>443</v>
      </c>
      <c r="G557" t="s">
        <v>444</v>
      </c>
      <c r="H557" t="s">
        <v>78</v>
      </c>
      <c r="K557" t="s">
        <v>445</v>
      </c>
      <c r="L557" t="s">
        <v>475</v>
      </c>
      <c r="M557" t="s">
        <v>156</v>
      </c>
      <c r="N557" t="s">
        <v>156</v>
      </c>
      <c r="O557" t="s">
        <v>62</v>
      </c>
      <c r="P557" t="s">
        <v>196</v>
      </c>
      <c r="Q557" t="s">
        <v>64</v>
      </c>
      <c r="R557" t="s">
        <v>83</v>
      </c>
      <c r="S557" t="s">
        <v>74</v>
      </c>
      <c r="T557" t="s">
        <v>64</v>
      </c>
      <c r="U557" t="s">
        <v>75</v>
      </c>
      <c r="V557">
        <v>380</v>
      </c>
      <c r="W557" t="s">
        <v>67</v>
      </c>
      <c r="X557" t="s">
        <v>67</v>
      </c>
      <c r="Y557" t="s">
        <v>67</v>
      </c>
      <c r="Z557">
        <v>8.15</v>
      </c>
      <c r="AA557" t="s">
        <v>67</v>
      </c>
      <c r="AB557" t="s">
        <v>67</v>
      </c>
      <c r="AC557">
        <v>380</v>
      </c>
      <c r="AD557" t="s">
        <v>67</v>
      </c>
      <c r="AE557" t="s">
        <v>67</v>
      </c>
      <c r="AF557">
        <v>8.15</v>
      </c>
      <c r="AG557" t="s">
        <v>67</v>
      </c>
      <c r="AH557" t="s">
        <v>67</v>
      </c>
      <c r="AI557">
        <v>29</v>
      </c>
      <c r="AJ557" t="s">
        <v>67</v>
      </c>
      <c r="AK557">
        <v>0.5</v>
      </c>
      <c r="AL557">
        <v>31</v>
      </c>
      <c r="AM557" t="s">
        <v>67</v>
      </c>
      <c r="AN557">
        <v>0.5</v>
      </c>
      <c r="AO557">
        <v>0</v>
      </c>
      <c r="AP557">
        <v>2</v>
      </c>
      <c r="AQ557" t="s">
        <v>67</v>
      </c>
      <c r="AR557" t="s">
        <v>360</v>
      </c>
      <c r="AS557" t="s">
        <v>361</v>
      </c>
      <c r="AT557" t="s">
        <v>70</v>
      </c>
      <c r="AU557" t="s">
        <v>447</v>
      </c>
      <c r="AV557" t="s">
        <v>363</v>
      </c>
      <c r="AX557" t="s">
        <v>73</v>
      </c>
      <c r="AY557">
        <v>800</v>
      </c>
      <c r="AZ557">
        <v>800</v>
      </c>
      <c r="BA557">
        <v>77</v>
      </c>
      <c r="BC557">
        <v>10</v>
      </c>
      <c r="BD557">
        <v>600</v>
      </c>
      <c r="BE557">
        <v>600</v>
      </c>
      <c r="BF557">
        <v>61</v>
      </c>
      <c r="BH557">
        <v>10</v>
      </c>
      <c r="BI557">
        <v>7</v>
      </c>
      <c r="BJ557">
        <v>1</v>
      </c>
      <c r="BK557">
        <v>-0.28770000000000001</v>
      </c>
      <c r="BL557">
        <v>1.9599999999999999E-2</v>
      </c>
    </row>
    <row r="558" spans="1:64" hidden="1" x14ac:dyDescent="0.2">
      <c r="A558">
        <v>138</v>
      </c>
      <c r="D558" t="s">
        <v>54</v>
      </c>
      <c r="E558">
        <v>2009</v>
      </c>
      <c r="F558" t="s">
        <v>443</v>
      </c>
      <c r="G558" t="s">
        <v>444</v>
      </c>
      <c r="H558" t="s">
        <v>78</v>
      </c>
      <c r="K558" t="s">
        <v>445</v>
      </c>
      <c r="L558" t="s">
        <v>475</v>
      </c>
      <c r="M558" t="s">
        <v>156</v>
      </c>
      <c r="N558" t="s">
        <v>156</v>
      </c>
      <c r="O558" t="s">
        <v>62</v>
      </c>
      <c r="P558" t="s">
        <v>196</v>
      </c>
      <c r="Q558" t="s">
        <v>64</v>
      </c>
      <c r="R558" t="s">
        <v>83</v>
      </c>
      <c r="S558" t="s">
        <v>74</v>
      </c>
      <c r="T558" t="s">
        <v>64</v>
      </c>
      <c r="U558" t="s">
        <v>75</v>
      </c>
      <c r="V558">
        <v>380</v>
      </c>
      <c r="W558" t="s">
        <v>67</v>
      </c>
      <c r="X558" t="s">
        <v>67</v>
      </c>
      <c r="Y558" t="s">
        <v>67</v>
      </c>
      <c r="Z558">
        <v>8.15</v>
      </c>
      <c r="AA558" t="s">
        <v>67</v>
      </c>
      <c r="AB558" t="s">
        <v>67</v>
      </c>
      <c r="AC558">
        <v>380</v>
      </c>
      <c r="AD558" t="s">
        <v>67</v>
      </c>
      <c r="AE558" t="s">
        <v>67</v>
      </c>
      <c r="AF558">
        <v>8.15</v>
      </c>
      <c r="AG558" t="s">
        <v>67</v>
      </c>
      <c r="AH558" t="s">
        <v>67</v>
      </c>
      <c r="AI558">
        <v>29</v>
      </c>
      <c r="AJ558" t="s">
        <v>67</v>
      </c>
      <c r="AK558">
        <v>0.5</v>
      </c>
      <c r="AL558">
        <v>32</v>
      </c>
      <c r="AM558" t="s">
        <v>67</v>
      </c>
      <c r="AN558">
        <v>0.5</v>
      </c>
      <c r="AO558">
        <v>0</v>
      </c>
      <c r="AP558">
        <v>3</v>
      </c>
      <c r="AQ558" t="s">
        <v>67</v>
      </c>
      <c r="AR558" t="s">
        <v>360</v>
      </c>
      <c r="AS558" t="s">
        <v>361</v>
      </c>
      <c r="AT558" t="s">
        <v>70</v>
      </c>
      <c r="AU558" t="s">
        <v>447</v>
      </c>
      <c r="AV558" t="s">
        <v>363</v>
      </c>
      <c r="AX558" t="s">
        <v>73</v>
      </c>
      <c r="AY558">
        <v>800</v>
      </c>
      <c r="AZ558">
        <v>800</v>
      </c>
      <c r="BA558">
        <v>77</v>
      </c>
      <c r="BC558">
        <v>10</v>
      </c>
      <c r="BD558">
        <v>600</v>
      </c>
      <c r="BE558">
        <v>600</v>
      </c>
      <c r="BF558">
        <v>61</v>
      </c>
      <c r="BH558">
        <v>10</v>
      </c>
      <c r="BI558">
        <v>7</v>
      </c>
      <c r="BJ558">
        <v>1</v>
      </c>
      <c r="BK558">
        <v>-0.28770000000000001</v>
      </c>
      <c r="BL558">
        <v>1.9599999999999999E-2</v>
      </c>
    </row>
    <row r="559" spans="1:64" hidden="1" x14ac:dyDescent="0.2">
      <c r="A559">
        <v>149</v>
      </c>
      <c r="D559" t="s">
        <v>54</v>
      </c>
      <c r="E559">
        <v>2020</v>
      </c>
      <c r="F559" t="s">
        <v>377</v>
      </c>
      <c r="G559" t="s">
        <v>378</v>
      </c>
      <c r="H559" t="s">
        <v>78</v>
      </c>
      <c r="K559" t="s">
        <v>379</v>
      </c>
      <c r="L559" t="s">
        <v>380</v>
      </c>
      <c r="M559" t="s">
        <v>81</v>
      </c>
      <c r="N559" t="s">
        <v>81</v>
      </c>
      <c r="O559" t="s">
        <v>110</v>
      </c>
      <c r="P559" t="s">
        <v>196</v>
      </c>
      <c r="Q559" t="s">
        <v>64</v>
      </c>
      <c r="R559" t="s">
        <v>83</v>
      </c>
      <c r="S559" t="s">
        <v>64</v>
      </c>
      <c r="T559" t="s">
        <v>74</v>
      </c>
      <c r="U559" t="s">
        <v>84</v>
      </c>
      <c r="V559">
        <v>391</v>
      </c>
      <c r="W559" t="s">
        <v>67</v>
      </c>
      <c r="X559" t="s">
        <v>67</v>
      </c>
      <c r="Y559" t="s">
        <v>157</v>
      </c>
      <c r="Z559">
        <v>8.07</v>
      </c>
      <c r="AA559" t="s">
        <v>67</v>
      </c>
      <c r="AB559" t="s">
        <v>67</v>
      </c>
      <c r="AC559">
        <v>1238</v>
      </c>
      <c r="AD559" t="s">
        <v>67</v>
      </c>
      <c r="AE559" t="s">
        <v>67</v>
      </c>
      <c r="AF559">
        <v>7.6</v>
      </c>
      <c r="AG559" t="s">
        <v>67</v>
      </c>
      <c r="AH559" t="s">
        <v>67</v>
      </c>
      <c r="AI559">
        <v>19.100000000000001</v>
      </c>
      <c r="AJ559" t="s">
        <v>67</v>
      </c>
      <c r="AK559" t="s">
        <v>67</v>
      </c>
      <c r="AL559">
        <v>19.100000000000001</v>
      </c>
      <c r="AM559" t="s">
        <v>67</v>
      </c>
      <c r="AN559" t="s">
        <v>67</v>
      </c>
      <c r="AO559">
        <v>847</v>
      </c>
      <c r="AP559">
        <v>0</v>
      </c>
      <c r="AQ559" t="s">
        <v>67</v>
      </c>
      <c r="AR559" t="s">
        <v>476</v>
      </c>
      <c r="AS559" t="s">
        <v>476</v>
      </c>
      <c r="AT559" t="s">
        <v>135</v>
      </c>
      <c r="AU559" t="s">
        <v>477</v>
      </c>
      <c r="AV559" t="s">
        <v>251</v>
      </c>
      <c r="AX559" t="s">
        <v>73</v>
      </c>
      <c r="AY559">
        <v>152.5</v>
      </c>
      <c r="AZ559">
        <v>152.5</v>
      </c>
      <c r="BA559">
        <v>15</v>
      </c>
      <c r="BC559">
        <v>8</v>
      </c>
      <c r="BD559">
        <v>125</v>
      </c>
      <c r="BE559">
        <v>125</v>
      </c>
      <c r="BF559">
        <v>12.5</v>
      </c>
      <c r="BH559">
        <v>8</v>
      </c>
      <c r="BI559">
        <v>30</v>
      </c>
      <c r="BJ559">
        <v>8</v>
      </c>
      <c r="BK559">
        <v>-0.19889999999999999</v>
      </c>
      <c r="BL559">
        <v>1.9699999999999999E-2</v>
      </c>
    </row>
    <row r="560" spans="1:64" hidden="1" x14ac:dyDescent="0.2">
      <c r="A560">
        <v>138</v>
      </c>
      <c r="D560" t="s">
        <v>54</v>
      </c>
      <c r="E560">
        <v>2009</v>
      </c>
      <c r="F560" t="s">
        <v>443</v>
      </c>
      <c r="G560" t="s">
        <v>444</v>
      </c>
      <c r="H560" t="s">
        <v>78</v>
      </c>
      <c r="K560" t="s">
        <v>445</v>
      </c>
      <c r="L560" t="s">
        <v>475</v>
      </c>
      <c r="M560" t="s">
        <v>156</v>
      </c>
      <c r="N560" t="s">
        <v>156</v>
      </c>
      <c r="O560" t="s">
        <v>62</v>
      </c>
      <c r="P560" t="s">
        <v>196</v>
      </c>
      <c r="Q560" t="s">
        <v>64</v>
      </c>
      <c r="R560" t="s">
        <v>83</v>
      </c>
      <c r="S560" t="s">
        <v>64</v>
      </c>
      <c r="T560" t="s">
        <v>64</v>
      </c>
      <c r="U560" t="s">
        <v>66</v>
      </c>
      <c r="V560">
        <v>380</v>
      </c>
      <c r="W560" t="s">
        <v>67</v>
      </c>
      <c r="X560" t="s">
        <v>67</v>
      </c>
      <c r="Y560" t="s">
        <v>67</v>
      </c>
      <c r="Z560">
        <v>8.15</v>
      </c>
      <c r="AA560" t="s">
        <v>67</v>
      </c>
      <c r="AB560" t="s">
        <v>67</v>
      </c>
      <c r="AC560">
        <v>1025</v>
      </c>
      <c r="AD560" t="s">
        <v>67</v>
      </c>
      <c r="AE560" t="s">
        <v>67</v>
      </c>
      <c r="AF560">
        <v>7.8</v>
      </c>
      <c r="AG560" t="s">
        <v>67</v>
      </c>
      <c r="AH560" t="s">
        <v>67</v>
      </c>
      <c r="AI560">
        <v>29</v>
      </c>
      <c r="AJ560" t="s">
        <v>67</v>
      </c>
      <c r="AK560">
        <v>0.5</v>
      </c>
      <c r="AL560">
        <v>31</v>
      </c>
      <c r="AM560" t="s">
        <v>67</v>
      </c>
      <c r="AN560">
        <v>0.5</v>
      </c>
      <c r="AO560">
        <v>645</v>
      </c>
      <c r="AP560">
        <v>2</v>
      </c>
      <c r="AQ560" t="s">
        <v>67</v>
      </c>
      <c r="AR560" t="s">
        <v>360</v>
      </c>
      <c r="AS560" t="s">
        <v>361</v>
      </c>
      <c r="AT560" t="s">
        <v>70</v>
      </c>
      <c r="AU560" t="s">
        <v>447</v>
      </c>
      <c r="AV560" t="s">
        <v>363</v>
      </c>
      <c r="AX560" t="s">
        <v>73</v>
      </c>
      <c r="AY560">
        <v>800</v>
      </c>
      <c r="AZ560">
        <v>800</v>
      </c>
      <c r="BA560">
        <v>77</v>
      </c>
      <c r="BC560">
        <v>10</v>
      </c>
      <c r="BD560">
        <v>400</v>
      </c>
      <c r="BE560">
        <v>400</v>
      </c>
      <c r="BF560">
        <v>41</v>
      </c>
      <c r="BH560">
        <v>10</v>
      </c>
      <c r="BI560">
        <v>7</v>
      </c>
      <c r="BJ560">
        <v>1</v>
      </c>
      <c r="BK560">
        <v>-0.69310000000000005</v>
      </c>
      <c r="BL560">
        <v>1.9800000000000002E-2</v>
      </c>
    </row>
    <row r="561" spans="1:65" hidden="1" x14ac:dyDescent="0.2">
      <c r="A561">
        <v>140</v>
      </c>
      <c r="D561" t="s">
        <v>54</v>
      </c>
      <c r="E561">
        <v>2014</v>
      </c>
      <c r="F561" t="s">
        <v>427</v>
      </c>
      <c r="G561" t="s">
        <v>318</v>
      </c>
      <c r="H561" t="s">
        <v>78</v>
      </c>
      <c r="K561" t="s">
        <v>194</v>
      </c>
      <c r="L561" t="s">
        <v>195</v>
      </c>
      <c r="M561" t="s">
        <v>120</v>
      </c>
      <c r="N561" t="s">
        <v>120</v>
      </c>
      <c r="O561" t="s">
        <v>106</v>
      </c>
      <c r="P561" t="s">
        <v>196</v>
      </c>
      <c r="Q561" t="s">
        <v>64</v>
      </c>
      <c r="R561" t="s">
        <v>83</v>
      </c>
      <c r="S561" t="s">
        <v>64</v>
      </c>
      <c r="T561" t="s">
        <v>74</v>
      </c>
      <c r="U561" t="s">
        <v>84</v>
      </c>
      <c r="V561">
        <v>432</v>
      </c>
      <c r="W561" t="s">
        <v>67</v>
      </c>
      <c r="X561">
        <v>22.5</v>
      </c>
      <c r="Y561" t="s">
        <v>68</v>
      </c>
      <c r="Z561" t="s">
        <v>67</v>
      </c>
      <c r="AA561" t="s">
        <v>67</v>
      </c>
      <c r="AB561" t="s">
        <v>67</v>
      </c>
      <c r="AC561">
        <v>1025</v>
      </c>
      <c r="AD561" t="s">
        <v>67</v>
      </c>
      <c r="AE561">
        <v>94.2</v>
      </c>
      <c r="AF561" t="s">
        <v>67</v>
      </c>
      <c r="AG561" t="s">
        <v>67</v>
      </c>
      <c r="AH561" t="s">
        <v>67</v>
      </c>
      <c r="AI561">
        <v>-0.7</v>
      </c>
      <c r="AJ561" t="s">
        <v>67</v>
      </c>
      <c r="AK561">
        <v>0.15</v>
      </c>
      <c r="AL561">
        <v>-0.6</v>
      </c>
      <c r="AM561" t="s">
        <v>67</v>
      </c>
      <c r="AN561">
        <v>0.15</v>
      </c>
      <c r="AO561">
        <v>593</v>
      </c>
      <c r="AP561">
        <v>0.1</v>
      </c>
      <c r="AQ561" t="s">
        <v>428</v>
      </c>
      <c r="AR561" t="s">
        <v>429</v>
      </c>
      <c r="AS561" t="s">
        <v>332</v>
      </c>
      <c r="AT561" t="s">
        <v>333</v>
      </c>
      <c r="AU561" t="s">
        <v>430</v>
      </c>
      <c r="AV561" t="s">
        <v>132</v>
      </c>
      <c r="AX561" t="s">
        <v>73</v>
      </c>
      <c r="AY561">
        <v>1.1499999999999999</v>
      </c>
      <c r="AZ561">
        <v>1.1499999999999999</v>
      </c>
      <c r="BA561">
        <v>0.13</v>
      </c>
      <c r="BC561">
        <v>5</v>
      </c>
      <c r="BD561">
        <v>1.3</v>
      </c>
      <c r="BE561">
        <v>1.3</v>
      </c>
      <c r="BF561">
        <v>0.11</v>
      </c>
      <c r="BH561">
        <v>5</v>
      </c>
      <c r="BI561">
        <v>56</v>
      </c>
      <c r="BJ561">
        <v>1</v>
      </c>
      <c r="BK561">
        <v>-0.1226</v>
      </c>
      <c r="BL561">
        <v>1.9900000000000001E-2</v>
      </c>
      <c r="BM561" t="s">
        <v>420</v>
      </c>
    </row>
    <row r="562" spans="1:65" hidden="1" x14ac:dyDescent="0.2">
      <c r="A562">
        <v>140</v>
      </c>
      <c r="D562" t="s">
        <v>54</v>
      </c>
      <c r="E562">
        <v>2014</v>
      </c>
      <c r="F562" t="s">
        <v>427</v>
      </c>
      <c r="G562" t="s">
        <v>318</v>
      </c>
      <c r="H562" t="s">
        <v>78</v>
      </c>
      <c r="K562" t="s">
        <v>194</v>
      </c>
      <c r="L562" t="s">
        <v>195</v>
      </c>
      <c r="M562" t="s">
        <v>120</v>
      </c>
      <c r="N562" t="s">
        <v>120</v>
      </c>
      <c r="O562" t="s">
        <v>106</v>
      </c>
      <c r="P562" t="s">
        <v>196</v>
      </c>
      <c r="Q562" t="s">
        <v>64</v>
      </c>
      <c r="R562" t="s">
        <v>83</v>
      </c>
      <c r="S562" t="s">
        <v>64</v>
      </c>
      <c r="T562" t="s">
        <v>64</v>
      </c>
      <c r="U562" t="s">
        <v>66</v>
      </c>
      <c r="V562">
        <v>432</v>
      </c>
      <c r="W562" t="s">
        <v>67</v>
      </c>
      <c r="X562">
        <v>22.5</v>
      </c>
      <c r="Y562" t="s">
        <v>68</v>
      </c>
      <c r="Z562" t="s">
        <v>67</v>
      </c>
      <c r="AA562" t="s">
        <v>67</v>
      </c>
      <c r="AB562" t="s">
        <v>67</v>
      </c>
      <c r="AC562">
        <v>1053</v>
      </c>
      <c r="AD562" t="s">
        <v>67</v>
      </c>
      <c r="AE562">
        <v>71.87</v>
      </c>
      <c r="AF562" t="s">
        <v>67</v>
      </c>
      <c r="AG562" t="s">
        <v>67</v>
      </c>
      <c r="AH562" t="s">
        <v>67</v>
      </c>
      <c r="AI562">
        <v>-0.7</v>
      </c>
      <c r="AJ562" t="s">
        <v>67</v>
      </c>
      <c r="AK562">
        <v>0.15</v>
      </c>
      <c r="AL562">
        <v>4</v>
      </c>
      <c r="AM562" t="s">
        <v>67</v>
      </c>
      <c r="AN562">
        <v>0.32</v>
      </c>
      <c r="AO562">
        <v>621</v>
      </c>
      <c r="AP562">
        <v>4.7</v>
      </c>
      <c r="AQ562" t="s">
        <v>428</v>
      </c>
      <c r="AR562" t="s">
        <v>429</v>
      </c>
      <c r="AS562" t="s">
        <v>332</v>
      </c>
      <c r="AT562" t="s">
        <v>333</v>
      </c>
      <c r="AU562" t="s">
        <v>430</v>
      </c>
      <c r="AV562" t="s">
        <v>132</v>
      </c>
      <c r="AX562" t="s">
        <v>73</v>
      </c>
      <c r="AY562">
        <v>1.1499999999999999</v>
      </c>
      <c r="AZ562">
        <v>1.1499999999999999</v>
      </c>
      <c r="BA562">
        <v>0.13</v>
      </c>
      <c r="BC562">
        <v>5</v>
      </c>
      <c r="BD562">
        <v>1.3</v>
      </c>
      <c r="BE562">
        <v>1.3</v>
      </c>
      <c r="BF562">
        <v>0.11</v>
      </c>
      <c r="BH562">
        <v>5</v>
      </c>
      <c r="BI562">
        <v>56</v>
      </c>
      <c r="BJ562">
        <v>1</v>
      </c>
      <c r="BK562">
        <v>-0.1226</v>
      </c>
      <c r="BL562">
        <v>1.9900000000000001E-2</v>
      </c>
      <c r="BM562" t="s">
        <v>420</v>
      </c>
    </row>
    <row r="563" spans="1:65" hidden="1" x14ac:dyDescent="0.2">
      <c r="A563">
        <v>142</v>
      </c>
      <c r="D563" t="s">
        <v>54</v>
      </c>
      <c r="E563">
        <v>2017</v>
      </c>
      <c r="F563" t="s">
        <v>193</v>
      </c>
      <c r="G563" t="s">
        <v>181</v>
      </c>
      <c r="H563" t="s">
        <v>78</v>
      </c>
      <c r="K563" t="s">
        <v>194</v>
      </c>
      <c r="L563" t="s">
        <v>195</v>
      </c>
      <c r="M563" t="s">
        <v>120</v>
      </c>
      <c r="N563" t="s">
        <v>120</v>
      </c>
      <c r="O563" t="s">
        <v>106</v>
      </c>
      <c r="P563" t="s">
        <v>196</v>
      </c>
      <c r="Q563" t="s">
        <v>64</v>
      </c>
      <c r="R563" t="s">
        <v>83</v>
      </c>
      <c r="S563" t="s">
        <v>64</v>
      </c>
      <c r="T563" t="s">
        <v>64</v>
      </c>
      <c r="U563" t="s">
        <v>66</v>
      </c>
      <c r="V563">
        <v>439</v>
      </c>
      <c r="W563">
        <v>16.079999999999998</v>
      </c>
      <c r="X563" t="s">
        <v>67</v>
      </c>
      <c r="Y563" t="s">
        <v>67</v>
      </c>
      <c r="Z563" t="s">
        <v>67</v>
      </c>
      <c r="AA563" t="s">
        <v>67</v>
      </c>
      <c r="AB563" t="s">
        <v>67</v>
      </c>
      <c r="AC563">
        <v>1027</v>
      </c>
      <c r="AD563">
        <v>9.0299999999999994</v>
      </c>
      <c r="AE563" t="s">
        <v>67</v>
      </c>
      <c r="AF563" t="s">
        <v>67</v>
      </c>
      <c r="AG563" t="s">
        <v>67</v>
      </c>
      <c r="AH563" t="s">
        <v>67</v>
      </c>
      <c r="AI563">
        <v>-0.6</v>
      </c>
      <c r="AJ563">
        <v>0.17</v>
      </c>
      <c r="AK563" t="s">
        <v>67</v>
      </c>
      <c r="AL563">
        <v>4.2</v>
      </c>
      <c r="AM563">
        <v>0.56000000000000005</v>
      </c>
      <c r="AN563" t="s">
        <v>67</v>
      </c>
      <c r="AO563">
        <v>588</v>
      </c>
      <c r="AP563">
        <v>4.8</v>
      </c>
      <c r="AQ563" t="s">
        <v>67</v>
      </c>
      <c r="AR563" t="s">
        <v>356</v>
      </c>
      <c r="AS563" t="s">
        <v>134</v>
      </c>
      <c r="AT563" t="s">
        <v>135</v>
      </c>
      <c r="AU563" t="s">
        <v>357</v>
      </c>
      <c r="AV563" t="s">
        <v>137</v>
      </c>
      <c r="AX563" t="s">
        <v>73</v>
      </c>
      <c r="AY563">
        <v>26.58</v>
      </c>
      <c r="AZ563">
        <v>26.58</v>
      </c>
      <c r="BA563">
        <v>3.14</v>
      </c>
      <c r="BC563">
        <v>5</v>
      </c>
      <c r="BD563">
        <v>52.016100000000002</v>
      </c>
      <c r="BE563">
        <v>52.016129030000002</v>
      </c>
      <c r="BF563">
        <v>4.0323000000000002</v>
      </c>
      <c r="BH563">
        <v>5</v>
      </c>
      <c r="BI563">
        <v>56</v>
      </c>
      <c r="BJ563">
        <v>1</v>
      </c>
      <c r="BK563">
        <v>0.6714</v>
      </c>
      <c r="BL563">
        <v>0.02</v>
      </c>
    </row>
    <row r="564" spans="1:65" hidden="1" x14ac:dyDescent="0.2">
      <c r="A564">
        <v>160</v>
      </c>
      <c r="D564" t="s">
        <v>54</v>
      </c>
      <c r="E564">
        <v>2018</v>
      </c>
      <c r="F564" t="s">
        <v>254</v>
      </c>
      <c r="G564" t="s">
        <v>255</v>
      </c>
      <c r="H564" t="s">
        <v>78</v>
      </c>
      <c r="K564" t="s">
        <v>189</v>
      </c>
      <c r="L564" t="s">
        <v>190</v>
      </c>
      <c r="M564" t="s">
        <v>156</v>
      </c>
      <c r="N564" t="s">
        <v>156</v>
      </c>
      <c r="O564" t="s">
        <v>110</v>
      </c>
      <c r="P564" t="s">
        <v>63</v>
      </c>
      <c r="Q564" t="s">
        <v>74</v>
      </c>
      <c r="R564" t="s">
        <v>83</v>
      </c>
      <c r="S564" t="s">
        <v>64</v>
      </c>
      <c r="T564" t="s">
        <v>64</v>
      </c>
      <c r="U564" t="s">
        <v>66</v>
      </c>
      <c r="V564">
        <v>500</v>
      </c>
      <c r="W564" t="s">
        <v>67</v>
      </c>
      <c r="X564" t="s">
        <v>67</v>
      </c>
      <c r="Y564" t="s">
        <v>67</v>
      </c>
      <c r="Z564" t="s">
        <v>67</v>
      </c>
      <c r="AA564" t="s">
        <v>67</v>
      </c>
      <c r="AB564" t="s">
        <v>67</v>
      </c>
      <c r="AC564">
        <v>1434</v>
      </c>
      <c r="AD564" t="s">
        <v>67</v>
      </c>
      <c r="AE564">
        <v>108</v>
      </c>
      <c r="AF564">
        <v>7.62</v>
      </c>
      <c r="AG564" t="s">
        <v>67</v>
      </c>
      <c r="AH564">
        <v>0.03</v>
      </c>
      <c r="AI564">
        <v>19</v>
      </c>
      <c r="AJ564" t="s">
        <v>67</v>
      </c>
      <c r="AK564">
        <v>0.2</v>
      </c>
      <c r="AL564">
        <v>24</v>
      </c>
      <c r="AM564" t="s">
        <v>67</v>
      </c>
      <c r="AN564">
        <v>0.2</v>
      </c>
      <c r="AO564">
        <v>934</v>
      </c>
      <c r="AP564">
        <v>5</v>
      </c>
      <c r="AQ564" t="s">
        <v>67</v>
      </c>
      <c r="AR564" t="s">
        <v>367</v>
      </c>
      <c r="AS564" t="s">
        <v>367</v>
      </c>
      <c r="AT564" t="s">
        <v>135</v>
      </c>
      <c r="AU564" t="s">
        <v>461</v>
      </c>
      <c r="AV564" t="s">
        <v>251</v>
      </c>
      <c r="AX564" t="s">
        <v>73</v>
      </c>
      <c r="AY564">
        <v>30</v>
      </c>
      <c r="AZ564">
        <v>30</v>
      </c>
      <c r="BA564">
        <v>3.79</v>
      </c>
      <c r="BC564">
        <v>10</v>
      </c>
      <c r="BD564">
        <v>45</v>
      </c>
      <c r="BE564">
        <v>45</v>
      </c>
      <c r="BF564">
        <v>2.8460000000000001</v>
      </c>
      <c r="BH564">
        <v>10</v>
      </c>
      <c r="BI564">
        <v>28</v>
      </c>
      <c r="BJ564">
        <v>3</v>
      </c>
      <c r="BK564">
        <v>0.40550000000000003</v>
      </c>
      <c r="BL564">
        <v>0.02</v>
      </c>
    </row>
    <row r="565" spans="1:65" hidden="1" x14ac:dyDescent="0.2">
      <c r="A565">
        <v>128</v>
      </c>
      <c r="D565" t="s">
        <v>54</v>
      </c>
      <c r="E565">
        <v>2013</v>
      </c>
      <c r="F565" t="s">
        <v>449</v>
      </c>
      <c r="G565" t="s">
        <v>344</v>
      </c>
      <c r="H565" t="s">
        <v>78</v>
      </c>
      <c r="K565" t="s">
        <v>194</v>
      </c>
      <c r="L565" t="s">
        <v>221</v>
      </c>
      <c r="M565" t="s">
        <v>120</v>
      </c>
      <c r="N565" t="s">
        <v>120</v>
      </c>
      <c r="O565" t="s">
        <v>62</v>
      </c>
      <c r="P565" t="s">
        <v>196</v>
      </c>
      <c r="Q565" t="s">
        <v>64</v>
      </c>
      <c r="R565" t="s">
        <v>83</v>
      </c>
      <c r="S565" t="s">
        <v>74</v>
      </c>
      <c r="T565" t="s">
        <v>64</v>
      </c>
      <c r="U565" t="s">
        <v>75</v>
      </c>
      <c r="V565">
        <v>357</v>
      </c>
      <c r="W565">
        <v>18.260000000000002</v>
      </c>
      <c r="X565" t="s">
        <v>67</v>
      </c>
      <c r="Y565" t="s">
        <v>96</v>
      </c>
      <c r="Z565">
        <v>8.25</v>
      </c>
      <c r="AA565">
        <v>0.02</v>
      </c>
      <c r="AB565" t="s">
        <v>67</v>
      </c>
      <c r="AC565">
        <v>461</v>
      </c>
      <c r="AD565">
        <v>13.69</v>
      </c>
      <c r="AE565" t="s">
        <v>67</v>
      </c>
      <c r="AF565">
        <v>7.91</v>
      </c>
      <c r="AG565">
        <v>0.02</v>
      </c>
      <c r="AH565" t="s">
        <v>67</v>
      </c>
      <c r="AI565">
        <v>1.5</v>
      </c>
      <c r="AJ565">
        <v>0.09</v>
      </c>
      <c r="AK565" t="s">
        <v>67</v>
      </c>
      <c r="AL565">
        <v>7.3</v>
      </c>
      <c r="AM565">
        <v>7.0000000000000007E-2</v>
      </c>
      <c r="AN565" t="s">
        <v>67</v>
      </c>
      <c r="AO565">
        <v>105</v>
      </c>
      <c r="AP565">
        <v>5.8</v>
      </c>
      <c r="AQ565" t="s">
        <v>67</v>
      </c>
      <c r="AR565" t="s">
        <v>450</v>
      </c>
      <c r="AS565" t="s">
        <v>450</v>
      </c>
      <c r="AT565" t="s">
        <v>333</v>
      </c>
      <c r="AU565" t="s">
        <v>451</v>
      </c>
      <c r="AV565" t="s">
        <v>132</v>
      </c>
      <c r="AX565" t="s">
        <v>73</v>
      </c>
      <c r="AY565">
        <v>20.399999999999999</v>
      </c>
      <c r="AZ565">
        <v>20.399999999999999</v>
      </c>
      <c r="BA565">
        <v>2.1</v>
      </c>
      <c r="BC565">
        <v>9</v>
      </c>
      <c r="BD565">
        <v>17.5</v>
      </c>
      <c r="BE565">
        <v>17.5</v>
      </c>
      <c r="BF565">
        <v>1.7</v>
      </c>
      <c r="BH565">
        <v>5</v>
      </c>
      <c r="BI565">
        <v>32</v>
      </c>
      <c r="BJ565">
        <v>1</v>
      </c>
      <c r="BK565">
        <v>0.15329999999999999</v>
      </c>
      <c r="BL565">
        <v>0.02</v>
      </c>
      <c r="BM565" t="s">
        <v>420</v>
      </c>
    </row>
    <row r="566" spans="1:65" hidden="1" x14ac:dyDescent="0.2">
      <c r="A566">
        <v>138</v>
      </c>
      <c r="D566" t="s">
        <v>54</v>
      </c>
      <c r="E566">
        <v>2009</v>
      </c>
      <c r="F566" t="s">
        <v>443</v>
      </c>
      <c r="G566" t="s">
        <v>444</v>
      </c>
      <c r="H566" t="s">
        <v>78</v>
      </c>
      <c r="K566" t="s">
        <v>445</v>
      </c>
      <c r="L566" t="s">
        <v>446</v>
      </c>
      <c r="M566" t="s">
        <v>156</v>
      </c>
      <c r="N566" t="s">
        <v>156</v>
      </c>
      <c r="O566" t="s">
        <v>62</v>
      </c>
      <c r="P566" t="s">
        <v>196</v>
      </c>
      <c r="Q566" t="s">
        <v>64</v>
      </c>
      <c r="R566" t="s">
        <v>83</v>
      </c>
      <c r="S566" t="s">
        <v>64</v>
      </c>
      <c r="T566" t="s">
        <v>74</v>
      </c>
      <c r="U566" t="s">
        <v>84</v>
      </c>
      <c r="V566">
        <v>380</v>
      </c>
      <c r="W566" t="s">
        <v>67</v>
      </c>
      <c r="X566" t="s">
        <v>67</v>
      </c>
      <c r="Y566" t="s">
        <v>67</v>
      </c>
      <c r="Z566">
        <v>8.15</v>
      </c>
      <c r="AA566" t="s">
        <v>67</v>
      </c>
      <c r="AB566" t="s">
        <v>67</v>
      </c>
      <c r="AC566">
        <v>1025</v>
      </c>
      <c r="AD566" t="s">
        <v>67</v>
      </c>
      <c r="AE566" t="s">
        <v>67</v>
      </c>
      <c r="AF566">
        <v>7.8</v>
      </c>
      <c r="AG566" t="s">
        <v>67</v>
      </c>
      <c r="AH566" t="s">
        <v>67</v>
      </c>
      <c r="AI566">
        <v>29</v>
      </c>
      <c r="AJ566" t="s">
        <v>67</v>
      </c>
      <c r="AK566">
        <v>0.5</v>
      </c>
      <c r="AL566">
        <v>29</v>
      </c>
      <c r="AM566" t="s">
        <v>67</v>
      </c>
      <c r="AN566">
        <v>0.5</v>
      </c>
      <c r="AO566">
        <v>645</v>
      </c>
      <c r="AP566">
        <v>0</v>
      </c>
      <c r="AQ566" t="s">
        <v>67</v>
      </c>
      <c r="AR566" t="s">
        <v>360</v>
      </c>
      <c r="AS566" t="s">
        <v>361</v>
      </c>
      <c r="AT566" t="s">
        <v>70</v>
      </c>
      <c r="AU566" t="s">
        <v>447</v>
      </c>
      <c r="AV566" t="s">
        <v>363</v>
      </c>
      <c r="AX566" t="s">
        <v>73</v>
      </c>
      <c r="AY566">
        <v>600</v>
      </c>
      <c r="AZ566">
        <v>600</v>
      </c>
      <c r="BA566">
        <v>55</v>
      </c>
      <c r="BC566">
        <v>10</v>
      </c>
      <c r="BD566">
        <v>370</v>
      </c>
      <c r="BE566">
        <v>370</v>
      </c>
      <c r="BF566">
        <v>40</v>
      </c>
      <c r="BH566">
        <v>10</v>
      </c>
      <c r="BI566">
        <v>7</v>
      </c>
      <c r="BJ566">
        <v>1</v>
      </c>
      <c r="BK566">
        <v>-0.4834</v>
      </c>
      <c r="BL566">
        <v>2.01E-2</v>
      </c>
    </row>
    <row r="567" spans="1:65" hidden="1" x14ac:dyDescent="0.2">
      <c r="A567">
        <v>138</v>
      </c>
      <c r="D567" t="s">
        <v>54</v>
      </c>
      <c r="E567">
        <v>2009</v>
      </c>
      <c r="F567" t="s">
        <v>443</v>
      </c>
      <c r="G567" t="s">
        <v>444</v>
      </c>
      <c r="H567" t="s">
        <v>78</v>
      </c>
      <c r="K567" t="s">
        <v>445</v>
      </c>
      <c r="L567" t="s">
        <v>475</v>
      </c>
      <c r="M567" t="s">
        <v>156</v>
      </c>
      <c r="N567" t="s">
        <v>156</v>
      </c>
      <c r="O567" t="s">
        <v>62</v>
      </c>
      <c r="P567" t="s">
        <v>196</v>
      </c>
      <c r="Q567" t="s">
        <v>64</v>
      </c>
      <c r="R567" t="s">
        <v>83</v>
      </c>
      <c r="S567" t="s">
        <v>64</v>
      </c>
      <c r="T567" t="s">
        <v>64</v>
      </c>
      <c r="U567" t="s">
        <v>66</v>
      </c>
      <c r="V567">
        <v>380</v>
      </c>
      <c r="W567" t="s">
        <v>67</v>
      </c>
      <c r="X567" t="s">
        <v>67</v>
      </c>
      <c r="Y567" t="s">
        <v>67</v>
      </c>
      <c r="Z567">
        <v>8.15</v>
      </c>
      <c r="AA567" t="s">
        <v>67</v>
      </c>
      <c r="AB567" t="s">
        <v>67</v>
      </c>
      <c r="AC567">
        <v>1025</v>
      </c>
      <c r="AD567" t="s">
        <v>67</v>
      </c>
      <c r="AE567" t="s">
        <v>67</v>
      </c>
      <c r="AF567">
        <v>7.8</v>
      </c>
      <c r="AG567" t="s">
        <v>67</v>
      </c>
      <c r="AH567" t="s">
        <v>67</v>
      </c>
      <c r="AI567">
        <v>29</v>
      </c>
      <c r="AJ567" t="s">
        <v>67</v>
      </c>
      <c r="AK567">
        <v>0.5</v>
      </c>
      <c r="AL567">
        <v>32</v>
      </c>
      <c r="AM567" t="s">
        <v>67</v>
      </c>
      <c r="AN567">
        <v>0.5</v>
      </c>
      <c r="AO567">
        <v>645</v>
      </c>
      <c r="AP567">
        <v>3</v>
      </c>
      <c r="AQ567" t="s">
        <v>67</v>
      </c>
      <c r="AR567" t="s">
        <v>360</v>
      </c>
      <c r="AS567" t="s">
        <v>361</v>
      </c>
      <c r="AT567" t="s">
        <v>70</v>
      </c>
      <c r="AU567" t="s">
        <v>447</v>
      </c>
      <c r="AV567" t="s">
        <v>363</v>
      </c>
      <c r="AX567" t="s">
        <v>73</v>
      </c>
      <c r="AY567">
        <v>800</v>
      </c>
      <c r="AZ567">
        <v>800</v>
      </c>
      <c r="BA567">
        <v>77</v>
      </c>
      <c r="BC567">
        <v>10</v>
      </c>
      <c r="BD567">
        <v>230</v>
      </c>
      <c r="BE567">
        <v>230</v>
      </c>
      <c r="BF567">
        <v>24</v>
      </c>
      <c r="BH567">
        <v>10</v>
      </c>
      <c r="BI567">
        <v>7</v>
      </c>
      <c r="BJ567">
        <v>1</v>
      </c>
      <c r="BK567">
        <v>-1.2464999999999999</v>
      </c>
      <c r="BL567">
        <v>2.0199999999999999E-2</v>
      </c>
    </row>
    <row r="568" spans="1:65" hidden="1" x14ac:dyDescent="0.2">
      <c r="A568">
        <v>133</v>
      </c>
      <c r="D568" t="s">
        <v>54</v>
      </c>
      <c r="E568">
        <v>2015</v>
      </c>
      <c r="F568" t="s">
        <v>414</v>
      </c>
      <c r="G568" t="s">
        <v>154</v>
      </c>
      <c r="H568" t="s">
        <v>78</v>
      </c>
      <c r="K568" t="s">
        <v>93</v>
      </c>
      <c r="L568" t="s">
        <v>415</v>
      </c>
      <c r="M568" t="s">
        <v>95</v>
      </c>
      <c r="N568" t="s">
        <v>61</v>
      </c>
      <c r="O568" t="s">
        <v>62</v>
      </c>
      <c r="P568" t="s">
        <v>63</v>
      </c>
      <c r="Q568" t="s">
        <v>64</v>
      </c>
      <c r="R568" t="s">
        <v>83</v>
      </c>
      <c r="S568" t="s">
        <v>64</v>
      </c>
      <c r="T568" t="s">
        <v>74</v>
      </c>
      <c r="U568" t="s">
        <v>84</v>
      </c>
      <c r="V568">
        <v>436</v>
      </c>
      <c r="W568" t="s">
        <v>67</v>
      </c>
      <c r="X568">
        <v>13.6</v>
      </c>
      <c r="Y568" t="s">
        <v>96</v>
      </c>
      <c r="Z568">
        <v>8.15</v>
      </c>
      <c r="AA568" t="s">
        <v>67</v>
      </c>
      <c r="AB568">
        <v>0.01</v>
      </c>
      <c r="AC568">
        <v>985</v>
      </c>
      <c r="AD568" t="s">
        <v>67</v>
      </c>
      <c r="AE568">
        <v>10.6</v>
      </c>
      <c r="AF568">
        <v>7.85</v>
      </c>
      <c r="AG568" t="s">
        <v>67</v>
      </c>
      <c r="AH568">
        <v>0</v>
      </c>
      <c r="AI568">
        <v>27.8</v>
      </c>
      <c r="AJ568" t="s">
        <v>67</v>
      </c>
      <c r="AK568">
        <v>0.1</v>
      </c>
      <c r="AL568">
        <v>27.8</v>
      </c>
      <c r="AM568" t="s">
        <v>67</v>
      </c>
      <c r="AN568">
        <v>0.1</v>
      </c>
      <c r="AO568">
        <v>549</v>
      </c>
      <c r="AP568">
        <v>0</v>
      </c>
      <c r="AQ568" t="s">
        <v>67</v>
      </c>
      <c r="AR568" t="s">
        <v>287</v>
      </c>
      <c r="AS568" t="s">
        <v>134</v>
      </c>
      <c r="AT568" t="s">
        <v>135</v>
      </c>
      <c r="AU568" t="s">
        <v>425</v>
      </c>
      <c r="AV568" t="s">
        <v>137</v>
      </c>
      <c r="AX568" t="s">
        <v>73</v>
      </c>
      <c r="AY568">
        <v>640</v>
      </c>
      <c r="AZ568">
        <v>640</v>
      </c>
      <c r="BA568">
        <v>61</v>
      </c>
      <c r="BC568">
        <v>8</v>
      </c>
      <c r="BD568">
        <v>625</v>
      </c>
      <c r="BE568">
        <v>625</v>
      </c>
      <c r="BF568">
        <v>66</v>
      </c>
      <c r="BH568">
        <v>8</v>
      </c>
      <c r="BI568">
        <v>4</v>
      </c>
      <c r="BJ568" t="s">
        <v>67</v>
      </c>
      <c r="BK568">
        <v>-2.3699999999999999E-2</v>
      </c>
      <c r="BL568">
        <v>2.0199999999999999E-2</v>
      </c>
    </row>
    <row r="569" spans="1:65" hidden="1" x14ac:dyDescent="0.2">
      <c r="A569">
        <v>159</v>
      </c>
      <c r="D569" t="s">
        <v>54</v>
      </c>
      <c r="E569">
        <v>2018</v>
      </c>
      <c r="F569" t="s">
        <v>326</v>
      </c>
      <c r="G569" t="s">
        <v>327</v>
      </c>
      <c r="H569" t="s">
        <v>78</v>
      </c>
      <c r="K569" t="s">
        <v>205</v>
      </c>
      <c r="L569" t="s">
        <v>225</v>
      </c>
      <c r="M569" t="s">
        <v>120</v>
      </c>
      <c r="N569" t="s">
        <v>120</v>
      </c>
      <c r="O569" t="s">
        <v>110</v>
      </c>
      <c r="P569" t="s">
        <v>196</v>
      </c>
      <c r="Q569" t="s">
        <v>64</v>
      </c>
      <c r="R569" t="s">
        <v>83</v>
      </c>
      <c r="S569" t="s">
        <v>64</v>
      </c>
      <c r="T569" t="s">
        <v>64</v>
      </c>
      <c r="U569" t="s">
        <v>66</v>
      </c>
      <c r="V569">
        <v>390</v>
      </c>
      <c r="W569" t="s">
        <v>67</v>
      </c>
      <c r="X569" t="s">
        <v>67</v>
      </c>
      <c r="Y569" t="s">
        <v>67</v>
      </c>
      <c r="Z569" t="s">
        <v>67</v>
      </c>
      <c r="AA569" t="s">
        <v>67</v>
      </c>
      <c r="AB569" t="s">
        <v>67</v>
      </c>
      <c r="AC569">
        <v>1170</v>
      </c>
      <c r="AD569" t="s">
        <v>67</v>
      </c>
      <c r="AE569" t="s">
        <v>67</v>
      </c>
      <c r="AF569" t="s">
        <v>67</v>
      </c>
      <c r="AG569" t="s">
        <v>67</v>
      </c>
      <c r="AH569" t="s">
        <v>67</v>
      </c>
      <c r="AI569">
        <v>0</v>
      </c>
      <c r="AJ569" t="s">
        <v>67</v>
      </c>
      <c r="AK569" t="s">
        <v>67</v>
      </c>
      <c r="AL569">
        <v>3</v>
      </c>
      <c r="AM569" t="s">
        <v>67</v>
      </c>
      <c r="AN569" t="s">
        <v>67</v>
      </c>
      <c r="AO569">
        <v>780</v>
      </c>
      <c r="AP569">
        <v>3</v>
      </c>
      <c r="AQ569" t="s">
        <v>67</v>
      </c>
      <c r="AR569" t="s">
        <v>389</v>
      </c>
      <c r="AS569" t="s">
        <v>293</v>
      </c>
      <c r="AT569" t="s">
        <v>70</v>
      </c>
      <c r="AU569" t="s">
        <v>310</v>
      </c>
      <c r="AV569" t="s">
        <v>72</v>
      </c>
      <c r="AX569" t="s">
        <v>73</v>
      </c>
      <c r="AY569">
        <v>23.3</v>
      </c>
      <c r="AZ569">
        <v>23.3</v>
      </c>
      <c r="BA569">
        <v>1.9</v>
      </c>
      <c r="BC569">
        <v>5</v>
      </c>
      <c r="BD569">
        <v>34.299999999999997</v>
      </c>
      <c r="BE569">
        <v>34.299999999999997</v>
      </c>
      <c r="BF569">
        <v>4</v>
      </c>
      <c r="BH569">
        <v>6</v>
      </c>
      <c r="BI569">
        <v>120</v>
      </c>
      <c r="BJ569" t="s">
        <v>67</v>
      </c>
      <c r="BK569">
        <v>0.38669999999999999</v>
      </c>
      <c r="BL569">
        <v>2.0199999999999999E-2</v>
      </c>
    </row>
    <row r="570" spans="1:65" hidden="1" x14ac:dyDescent="0.2">
      <c r="A570">
        <v>221</v>
      </c>
      <c r="D570" t="s">
        <v>54</v>
      </c>
      <c r="E570">
        <v>2016</v>
      </c>
      <c r="F570" t="s">
        <v>409</v>
      </c>
      <c r="G570" t="s">
        <v>410</v>
      </c>
      <c r="H570" t="s">
        <v>78</v>
      </c>
      <c r="K570" t="s">
        <v>205</v>
      </c>
      <c r="L570" t="s">
        <v>206</v>
      </c>
      <c r="P570" t="s">
        <v>63</v>
      </c>
      <c r="S570" t="s">
        <v>64</v>
      </c>
      <c r="T570" t="s">
        <v>74</v>
      </c>
      <c r="U570" t="s">
        <v>84</v>
      </c>
      <c r="V570">
        <v>553</v>
      </c>
      <c r="AC570">
        <v>1469</v>
      </c>
      <c r="AI570">
        <v>10.199999999999999</v>
      </c>
      <c r="AL570">
        <v>10.199999999999999</v>
      </c>
      <c r="AO570">
        <v>916</v>
      </c>
      <c r="AP570">
        <v>0</v>
      </c>
      <c r="AQ570" t="s">
        <v>67</v>
      </c>
      <c r="AR570" t="s">
        <v>411</v>
      </c>
      <c r="AS570" t="s">
        <v>412</v>
      </c>
      <c r="AT570" t="s">
        <v>135</v>
      </c>
      <c r="AU570" t="s">
        <v>413</v>
      </c>
      <c r="AV570" t="s">
        <v>132</v>
      </c>
      <c r="AX570" t="s">
        <v>73</v>
      </c>
      <c r="AY570">
        <v>0.54</v>
      </c>
      <c r="AZ570">
        <v>0.54279999999999995</v>
      </c>
      <c r="BA570">
        <v>4.9700000000000001E-2</v>
      </c>
      <c r="BC570">
        <v>7</v>
      </c>
      <c r="BD570">
        <v>0.52</v>
      </c>
      <c r="BE570">
        <v>0.51619999999999999</v>
      </c>
      <c r="BF570">
        <v>5.67E-2</v>
      </c>
      <c r="BH570">
        <v>7</v>
      </c>
      <c r="BI570">
        <v>28</v>
      </c>
      <c r="BK570">
        <v>-5.0200000000000002E-2</v>
      </c>
      <c r="BL570">
        <v>2.0400000000000001E-2</v>
      </c>
    </row>
    <row r="571" spans="1:65" hidden="1" x14ac:dyDescent="0.2">
      <c r="A571">
        <v>138</v>
      </c>
      <c r="D571" t="s">
        <v>54</v>
      </c>
      <c r="E571">
        <v>2009</v>
      </c>
      <c r="F571" t="s">
        <v>443</v>
      </c>
      <c r="G571" t="s">
        <v>444</v>
      </c>
      <c r="H571" t="s">
        <v>78</v>
      </c>
      <c r="K571" t="s">
        <v>445</v>
      </c>
      <c r="L571" t="s">
        <v>475</v>
      </c>
      <c r="M571" t="s">
        <v>156</v>
      </c>
      <c r="N571" t="s">
        <v>156</v>
      </c>
      <c r="O571" t="s">
        <v>62</v>
      </c>
      <c r="P571" t="s">
        <v>196</v>
      </c>
      <c r="Q571" t="s">
        <v>64</v>
      </c>
      <c r="R571" t="s">
        <v>83</v>
      </c>
      <c r="S571" t="s">
        <v>64</v>
      </c>
      <c r="T571" t="s">
        <v>74</v>
      </c>
      <c r="U571" t="s">
        <v>84</v>
      </c>
      <c r="V571">
        <v>380</v>
      </c>
      <c r="W571" t="s">
        <v>67</v>
      </c>
      <c r="X571" t="s">
        <v>67</v>
      </c>
      <c r="Y571" t="s">
        <v>67</v>
      </c>
      <c r="Z571">
        <v>8.15</v>
      </c>
      <c r="AA571" t="s">
        <v>67</v>
      </c>
      <c r="AB571" t="s">
        <v>67</v>
      </c>
      <c r="AC571">
        <v>1025</v>
      </c>
      <c r="AD571" t="s">
        <v>67</v>
      </c>
      <c r="AE571" t="s">
        <v>67</v>
      </c>
      <c r="AF571">
        <v>7.8</v>
      </c>
      <c r="AG571" t="s">
        <v>67</v>
      </c>
      <c r="AH571" t="s">
        <v>67</v>
      </c>
      <c r="AI571">
        <v>29</v>
      </c>
      <c r="AJ571" t="s">
        <v>67</v>
      </c>
      <c r="AK571">
        <v>0.5</v>
      </c>
      <c r="AL571">
        <v>29</v>
      </c>
      <c r="AM571" t="s">
        <v>67</v>
      </c>
      <c r="AN571">
        <v>0.5</v>
      </c>
      <c r="AO571">
        <v>645</v>
      </c>
      <c r="AP571">
        <v>0</v>
      </c>
      <c r="AQ571" t="s">
        <v>67</v>
      </c>
      <c r="AR571" t="s">
        <v>360</v>
      </c>
      <c r="AS571" t="s">
        <v>361</v>
      </c>
      <c r="AT571" t="s">
        <v>70</v>
      </c>
      <c r="AU571" t="s">
        <v>447</v>
      </c>
      <c r="AV571" t="s">
        <v>363</v>
      </c>
      <c r="AX571" t="s">
        <v>73</v>
      </c>
      <c r="AY571">
        <v>800</v>
      </c>
      <c r="AZ571">
        <v>800</v>
      </c>
      <c r="BA571">
        <v>77</v>
      </c>
      <c r="BC571">
        <v>10</v>
      </c>
      <c r="BD571">
        <v>425</v>
      </c>
      <c r="BE571">
        <v>425</v>
      </c>
      <c r="BF571">
        <v>45</v>
      </c>
      <c r="BH571">
        <v>10</v>
      </c>
      <c r="BI571">
        <v>7</v>
      </c>
      <c r="BJ571">
        <v>1</v>
      </c>
      <c r="BK571">
        <v>-0.63249999999999995</v>
      </c>
      <c r="BL571">
        <v>2.0500000000000001E-2</v>
      </c>
    </row>
    <row r="572" spans="1:65" hidden="1" x14ac:dyDescent="0.2">
      <c r="A572">
        <v>221</v>
      </c>
      <c r="D572" t="s">
        <v>54</v>
      </c>
      <c r="E572">
        <v>2016</v>
      </c>
      <c r="F572" t="s">
        <v>409</v>
      </c>
      <c r="G572" t="s">
        <v>410</v>
      </c>
      <c r="H572" t="s">
        <v>78</v>
      </c>
      <c r="K572" t="s">
        <v>205</v>
      </c>
      <c r="L572" t="s">
        <v>206</v>
      </c>
      <c r="P572" t="s">
        <v>63</v>
      </c>
      <c r="S572" t="s">
        <v>64</v>
      </c>
      <c r="T572" t="s">
        <v>64</v>
      </c>
      <c r="U572" t="s">
        <v>66</v>
      </c>
      <c r="V572">
        <v>553</v>
      </c>
      <c r="AC572">
        <v>2227</v>
      </c>
      <c r="AI572">
        <v>10.199999999999999</v>
      </c>
      <c r="AL572">
        <v>18.100000000000001</v>
      </c>
      <c r="AO572">
        <v>1674</v>
      </c>
      <c r="AP572">
        <v>7.9</v>
      </c>
      <c r="AQ572" t="s">
        <v>67</v>
      </c>
      <c r="AR572" t="s">
        <v>411</v>
      </c>
      <c r="AS572" t="s">
        <v>412</v>
      </c>
      <c r="AT572" t="s">
        <v>135</v>
      </c>
      <c r="AU572" t="s">
        <v>413</v>
      </c>
      <c r="AV572" t="s">
        <v>132</v>
      </c>
      <c r="AX572" t="s">
        <v>73</v>
      </c>
      <c r="AY572">
        <v>0.54</v>
      </c>
      <c r="AZ572">
        <v>0.54279999999999995</v>
      </c>
      <c r="BA572">
        <v>4.9700000000000001E-2</v>
      </c>
      <c r="BC572">
        <v>7</v>
      </c>
      <c r="BD572">
        <v>0.32</v>
      </c>
      <c r="BE572">
        <v>0.32279999999999998</v>
      </c>
      <c r="BF572">
        <v>3.5499999999999997E-2</v>
      </c>
      <c r="BH572">
        <v>7</v>
      </c>
      <c r="BI572">
        <v>28</v>
      </c>
      <c r="BK572">
        <v>-0.51970000000000005</v>
      </c>
      <c r="BL572">
        <v>2.0500000000000001E-2</v>
      </c>
    </row>
    <row r="573" spans="1:65" hidden="1" x14ac:dyDescent="0.2">
      <c r="A573">
        <v>129</v>
      </c>
      <c r="D573" t="s">
        <v>54</v>
      </c>
      <c r="E573">
        <v>2016</v>
      </c>
      <c r="F573" t="s">
        <v>462</v>
      </c>
      <c r="G573" t="s">
        <v>463</v>
      </c>
      <c r="H573" t="s">
        <v>78</v>
      </c>
      <c r="K573" t="s">
        <v>319</v>
      </c>
      <c r="L573" t="s">
        <v>320</v>
      </c>
      <c r="M573" t="s">
        <v>81</v>
      </c>
      <c r="N573" t="s">
        <v>81</v>
      </c>
      <c r="O573" t="s">
        <v>62</v>
      </c>
      <c r="P573" t="s">
        <v>63</v>
      </c>
      <c r="Q573" t="s">
        <v>74</v>
      </c>
      <c r="R573" t="s">
        <v>83</v>
      </c>
      <c r="S573" t="s">
        <v>64</v>
      </c>
      <c r="T573" t="s">
        <v>64</v>
      </c>
      <c r="U573" t="s">
        <v>66</v>
      </c>
      <c r="V573">
        <v>330</v>
      </c>
      <c r="W573">
        <v>9</v>
      </c>
      <c r="X573" t="s">
        <v>67</v>
      </c>
      <c r="Y573" t="s">
        <v>68</v>
      </c>
      <c r="Z573">
        <v>8.11</v>
      </c>
      <c r="AA573">
        <v>0.01</v>
      </c>
      <c r="AB573" t="s">
        <v>67</v>
      </c>
      <c r="AC573">
        <v>1202</v>
      </c>
      <c r="AD573">
        <v>61</v>
      </c>
      <c r="AE573" t="s">
        <v>67</v>
      </c>
      <c r="AF573">
        <v>7.59</v>
      </c>
      <c r="AG573">
        <v>0.02</v>
      </c>
      <c r="AH573" t="s">
        <v>67</v>
      </c>
      <c r="AI573">
        <v>5.2</v>
      </c>
      <c r="AJ573">
        <v>0.1</v>
      </c>
      <c r="AK573" t="s">
        <v>67</v>
      </c>
      <c r="AL573">
        <v>11.7</v>
      </c>
      <c r="AM573">
        <v>0.02</v>
      </c>
      <c r="AN573" t="s">
        <v>67</v>
      </c>
      <c r="AO573">
        <v>872</v>
      </c>
      <c r="AP573">
        <v>6.6</v>
      </c>
      <c r="AQ573" t="s">
        <v>67</v>
      </c>
      <c r="AR573" t="s">
        <v>464</v>
      </c>
      <c r="AS573" t="s">
        <v>412</v>
      </c>
      <c r="AT573" t="s">
        <v>135</v>
      </c>
      <c r="AU573" t="s">
        <v>465</v>
      </c>
      <c r="AV573" t="s">
        <v>132</v>
      </c>
      <c r="AX573" t="s">
        <v>73</v>
      </c>
      <c r="AY573">
        <v>3.3664999999999998</v>
      </c>
      <c r="AZ573">
        <v>3.3664999999999998</v>
      </c>
      <c r="BA573">
        <v>0.43</v>
      </c>
      <c r="BC573">
        <v>8</v>
      </c>
      <c r="BD573">
        <v>6.5571999999999999</v>
      </c>
      <c r="BE573">
        <v>6.5571999999999999</v>
      </c>
      <c r="BF573">
        <v>0.44490000000000002</v>
      </c>
      <c r="BH573">
        <v>8</v>
      </c>
      <c r="BI573">
        <v>90</v>
      </c>
      <c r="BJ573">
        <v>2</v>
      </c>
      <c r="BK573">
        <v>0.66669999999999996</v>
      </c>
      <c r="BL573">
        <v>2.07E-2</v>
      </c>
    </row>
    <row r="574" spans="1:65" hidden="1" x14ac:dyDescent="0.2">
      <c r="A574">
        <v>173</v>
      </c>
      <c r="D574" t="s">
        <v>54</v>
      </c>
      <c r="E574">
        <v>2014</v>
      </c>
      <c r="F574" t="s">
        <v>257</v>
      </c>
      <c r="G574" t="s">
        <v>258</v>
      </c>
      <c r="H574" t="s">
        <v>78</v>
      </c>
      <c r="K574" t="s">
        <v>79</v>
      </c>
      <c r="L574" t="s">
        <v>210</v>
      </c>
      <c r="M574" t="s">
        <v>156</v>
      </c>
      <c r="N574" t="s">
        <v>156</v>
      </c>
      <c r="O574" t="s">
        <v>62</v>
      </c>
      <c r="P574" t="s">
        <v>63</v>
      </c>
      <c r="Q574" t="s">
        <v>74</v>
      </c>
      <c r="R574" t="s">
        <v>83</v>
      </c>
      <c r="S574" t="s">
        <v>64</v>
      </c>
      <c r="T574" t="s">
        <v>64</v>
      </c>
      <c r="U574" t="s">
        <v>66</v>
      </c>
      <c r="V574">
        <v>598.33000000000004</v>
      </c>
      <c r="W574" t="s">
        <v>67</v>
      </c>
      <c r="X574">
        <v>38.33</v>
      </c>
      <c r="Y574" t="s">
        <v>96</v>
      </c>
      <c r="Z574">
        <v>8.0299999999999994</v>
      </c>
      <c r="AA574" t="s">
        <v>67</v>
      </c>
      <c r="AB574">
        <v>0.03</v>
      </c>
      <c r="AC574">
        <v>1030</v>
      </c>
      <c r="AD574" t="s">
        <v>67</v>
      </c>
      <c r="AE574">
        <v>88.66</v>
      </c>
      <c r="AF574">
        <v>7.82</v>
      </c>
      <c r="AG574" t="s">
        <v>67</v>
      </c>
      <c r="AH574">
        <v>0.05</v>
      </c>
      <c r="AI574">
        <v>17</v>
      </c>
      <c r="AJ574" t="s">
        <v>67</v>
      </c>
      <c r="AK574">
        <v>0.34</v>
      </c>
      <c r="AL574">
        <v>18.7</v>
      </c>
      <c r="AM574" t="s">
        <v>67</v>
      </c>
      <c r="AN574">
        <v>0.62</v>
      </c>
      <c r="AO574">
        <v>432</v>
      </c>
      <c r="AP574">
        <v>1.7</v>
      </c>
      <c r="AQ574" t="s">
        <v>67</v>
      </c>
      <c r="AR574" t="s">
        <v>456</v>
      </c>
      <c r="AS574" t="s">
        <v>134</v>
      </c>
      <c r="AT574" t="s">
        <v>135</v>
      </c>
      <c r="AU574" t="s">
        <v>457</v>
      </c>
      <c r="AV574" t="s">
        <v>137</v>
      </c>
      <c r="AX574" t="s">
        <v>73</v>
      </c>
      <c r="AY574">
        <v>0.20180000000000001</v>
      </c>
      <c r="AZ574">
        <v>0.20177999999999999</v>
      </c>
      <c r="BA574">
        <v>0.02</v>
      </c>
      <c r="BC574">
        <v>14</v>
      </c>
      <c r="BD574">
        <v>0.2041</v>
      </c>
      <c r="BE574">
        <v>0.20414201200000001</v>
      </c>
      <c r="BF574">
        <v>2.01E-2</v>
      </c>
      <c r="BH574">
        <v>14</v>
      </c>
      <c r="BI574">
        <v>69</v>
      </c>
      <c r="BJ574">
        <v>3</v>
      </c>
      <c r="BK574">
        <v>1.17E-2</v>
      </c>
      <c r="BL574">
        <v>2.0899999999999998E-2</v>
      </c>
    </row>
    <row r="575" spans="1:65" hidden="1" x14ac:dyDescent="0.2">
      <c r="A575">
        <v>173</v>
      </c>
      <c r="D575" t="s">
        <v>54</v>
      </c>
      <c r="E575">
        <v>2014</v>
      </c>
      <c r="F575" t="s">
        <v>257</v>
      </c>
      <c r="G575" t="s">
        <v>258</v>
      </c>
      <c r="H575" t="s">
        <v>78</v>
      </c>
      <c r="K575" t="s">
        <v>79</v>
      </c>
      <c r="L575" t="s">
        <v>210</v>
      </c>
      <c r="M575" t="s">
        <v>156</v>
      </c>
      <c r="N575" t="s">
        <v>156</v>
      </c>
      <c r="O575" t="s">
        <v>62</v>
      </c>
      <c r="P575" t="s">
        <v>63</v>
      </c>
      <c r="Q575" t="s">
        <v>74</v>
      </c>
      <c r="R575" t="s">
        <v>83</v>
      </c>
      <c r="S575" t="s">
        <v>64</v>
      </c>
      <c r="T575" t="s">
        <v>74</v>
      </c>
      <c r="U575" t="s">
        <v>84</v>
      </c>
      <c r="V575">
        <v>598.33000000000004</v>
      </c>
      <c r="W575" t="s">
        <v>67</v>
      </c>
      <c r="X575">
        <v>38.33</v>
      </c>
      <c r="Y575" t="s">
        <v>96</v>
      </c>
      <c r="Z575">
        <v>8.0299999999999994</v>
      </c>
      <c r="AA575" t="s">
        <v>67</v>
      </c>
      <c r="AB575">
        <v>0.03</v>
      </c>
      <c r="AC575">
        <v>1004</v>
      </c>
      <c r="AD575" t="s">
        <v>67</v>
      </c>
      <c r="AE575">
        <v>92.33</v>
      </c>
      <c r="AF575">
        <v>7.82</v>
      </c>
      <c r="AG575" t="s">
        <v>67</v>
      </c>
      <c r="AH575">
        <v>0.05</v>
      </c>
      <c r="AI575">
        <v>17</v>
      </c>
      <c r="AJ575" t="s">
        <v>67</v>
      </c>
      <c r="AK575">
        <v>0.34</v>
      </c>
      <c r="AL575">
        <v>17</v>
      </c>
      <c r="AM575" t="s">
        <v>67</v>
      </c>
      <c r="AN575">
        <v>0.34</v>
      </c>
      <c r="AO575">
        <v>406</v>
      </c>
      <c r="AP575">
        <v>0</v>
      </c>
      <c r="AQ575" t="s">
        <v>67</v>
      </c>
      <c r="AR575" t="s">
        <v>456</v>
      </c>
      <c r="AS575" t="s">
        <v>134</v>
      </c>
      <c r="AT575" t="s">
        <v>135</v>
      </c>
      <c r="AU575" t="s">
        <v>457</v>
      </c>
      <c r="AV575" t="s">
        <v>137</v>
      </c>
      <c r="AX575" t="s">
        <v>73</v>
      </c>
      <c r="AY575">
        <v>0.20180000000000001</v>
      </c>
      <c r="AZ575">
        <v>0.20177999999999999</v>
      </c>
      <c r="BA575">
        <v>0.02</v>
      </c>
      <c r="BC575">
        <v>14</v>
      </c>
      <c r="BD575">
        <v>0.16569999999999999</v>
      </c>
      <c r="BE575">
        <v>0.16568047299999999</v>
      </c>
      <c r="BF575">
        <v>1.66E-2</v>
      </c>
      <c r="BH575">
        <v>14</v>
      </c>
      <c r="BI575">
        <v>69</v>
      </c>
      <c r="BJ575">
        <v>3</v>
      </c>
      <c r="BK575">
        <v>-0.1971</v>
      </c>
      <c r="BL575">
        <v>2.1100000000000001E-2</v>
      </c>
    </row>
    <row r="576" spans="1:65" hidden="1" x14ac:dyDescent="0.2">
      <c r="A576">
        <v>173</v>
      </c>
      <c r="D576" t="s">
        <v>54</v>
      </c>
      <c r="E576">
        <v>2014</v>
      </c>
      <c r="F576" t="s">
        <v>257</v>
      </c>
      <c r="G576" t="s">
        <v>258</v>
      </c>
      <c r="H576" t="s">
        <v>78</v>
      </c>
      <c r="K576" t="s">
        <v>79</v>
      </c>
      <c r="L576" t="s">
        <v>210</v>
      </c>
      <c r="M576" t="s">
        <v>156</v>
      </c>
      <c r="N576" t="s">
        <v>156</v>
      </c>
      <c r="O576" t="s">
        <v>62</v>
      </c>
      <c r="P576" t="s">
        <v>63</v>
      </c>
      <c r="Q576" t="s">
        <v>74</v>
      </c>
      <c r="R576" t="s">
        <v>83</v>
      </c>
      <c r="S576" t="s">
        <v>74</v>
      </c>
      <c r="T576" t="s">
        <v>64</v>
      </c>
      <c r="U576" t="s">
        <v>75</v>
      </c>
      <c r="V576">
        <v>598.33000000000004</v>
      </c>
      <c r="W576" t="s">
        <v>67</v>
      </c>
      <c r="X576">
        <v>38.33</v>
      </c>
      <c r="Y576" t="s">
        <v>96</v>
      </c>
      <c r="Z576">
        <v>8.0299999999999994</v>
      </c>
      <c r="AA576" t="s">
        <v>67</v>
      </c>
      <c r="AB576">
        <v>0.03</v>
      </c>
      <c r="AC576">
        <v>586</v>
      </c>
      <c r="AD576" t="s">
        <v>67</v>
      </c>
      <c r="AE576">
        <v>46</v>
      </c>
      <c r="AF576">
        <v>8.0299999999999994</v>
      </c>
      <c r="AG576" t="s">
        <v>67</v>
      </c>
      <c r="AH576">
        <v>0.03</v>
      </c>
      <c r="AI576">
        <v>17</v>
      </c>
      <c r="AJ576" t="s">
        <v>67</v>
      </c>
      <c r="AK576">
        <v>0.34</v>
      </c>
      <c r="AL576">
        <v>18.899999999999999</v>
      </c>
      <c r="AM576" t="s">
        <v>67</v>
      </c>
      <c r="AN576">
        <v>0.64</v>
      </c>
      <c r="AO576">
        <v>-12</v>
      </c>
      <c r="AP576">
        <v>1.8</v>
      </c>
      <c r="AQ576" t="s">
        <v>67</v>
      </c>
      <c r="AR576" t="s">
        <v>389</v>
      </c>
      <c r="AS576" t="s">
        <v>293</v>
      </c>
      <c r="AT576" t="s">
        <v>70</v>
      </c>
      <c r="AU576" t="s">
        <v>294</v>
      </c>
      <c r="AV576" t="s">
        <v>72</v>
      </c>
      <c r="AX576" t="s">
        <v>73</v>
      </c>
      <c r="AY576">
        <v>169.6</v>
      </c>
      <c r="AZ576">
        <v>169.6</v>
      </c>
      <c r="BA576">
        <v>22.4</v>
      </c>
      <c r="BC576">
        <v>14</v>
      </c>
      <c r="BD576">
        <v>262.39999999999998</v>
      </c>
      <c r="BE576">
        <v>262.39999999999998</v>
      </c>
      <c r="BF576">
        <v>16</v>
      </c>
      <c r="BH576">
        <v>14</v>
      </c>
      <c r="BI576">
        <v>69</v>
      </c>
      <c r="BJ576">
        <v>3</v>
      </c>
      <c r="BK576">
        <v>0.43640000000000001</v>
      </c>
      <c r="BL576">
        <v>2.12E-2</v>
      </c>
    </row>
    <row r="577" spans="1:65" hidden="1" x14ac:dyDescent="0.2">
      <c r="A577">
        <v>134</v>
      </c>
      <c r="D577" t="s">
        <v>54</v>
      </c>
      <c r="E577">
        <v>2017</v>
      </c>
      <c r="F577" t="s">
        <v>435</v>
      </c>
      <c r="G577" t="s">
        <v>56</v>
      </c>
      <c r="H577" t="s">
        <v>78</v>
      </c>
      <c r="K577" t="s">
        <v>93</v>
      </c>
      <c r="L577" t="s">
        <v>436</v>
      </c>
      <c r="M577" t="s">
        <v>95</v>
      </c>
      <c r="N577" t="s">
        <v>61</v>
      </c>
      <c r="O577" t="s">
        <v>62</v>
      </c>
      <c r="P577" t="s">
        <v>196</v>
      </c>
      <c r="Q577" t="s">
        <v>64</v>
      </c>
      <c r="R577" t="s">
        <v>83</v>
      </c>
      <c r="S577" t="s">
        <v>74</v>
      </c>
      <c r="T577" t="s">
        <v>64</v>
      </c>
      <c r="U577" t="s">
        <v>75</v>
      </c>
      <c r="V577">
        <v>396</v>
      </c>
      <c r="W577">
        <v>0.8</v>
      </c>
      <c r="X577" t="s">
        <v>67</v>
      </c>
      <c r="Y577" t="s">
        <v>96</v>
      </c>
      <c r="Z577">
        <v>8.18</v>
      </c>
      <c r="AA577">
        <v>0.01</v>
      </c>
      <c r="AB577" t="s">
        <v>67</v>
      </c>
      <c r="AC577">
        <v>415</v>
      </c>
      <c r="AD577">
        <v>9</v>
      </c>
      <c r="AE577" t="s">
        <v>67</v>
      </c>
      <c r="AF577">
        <v>8.17</v>
      </c>
      <c r="AG577">
        <v>0.01</v>
      </c>
      <c r="AH577" t="s">
        <v>67</v>
      </c>
      <c r="AI577">
        <v>26.7</v>
      </c>
      <c r="AJ577">
        <v>0.1</v>
      </c>
      <c r="AK577" t="s">
        <v>67</v>
      </c>
      <c r="AL577">
        <v>29.6</v>
      </c>
      <c r="AM577">
        <v>0.1</v>
      </c>
      <c r="AN577" t="s">
        <v>67</v>
      </c>
      <c r="AO577">
        <v>19</v>
      </c>
      <c r="AP577">
        <v>2.9</v>
      </c>
      <c r="AQ577" t="s">
        <v>67</v>
      </c>
      <c r="AR577" t="s">
        <v>437</v>
      </c>
      <c r="AS577" t="s">
        <v>437</v>
      </c>
      <c r="AT577" t="s">
        <v>135</v>
      </c>
      <c r="AU577" t="s">
        <v>438</v>
      </c>
      <c r="AV577" t="s">
        <v>251</v>
      </c>
      <c r="AX577" t="s">
        <v>73</v>
      </c>
      <c r="AY577">
        <v>0.3</v>
      </c>
      <c r="AZ577">
        <v>0.3</v>
      </c>
      <c r="BA577">
        <v>0.03</v>
      </c>
      <c r="BC577">
        <v>17</v>
      </c>
      <c r="BD577">
        <v>0.17</v>
      </c>
      <c r="BE577">
        <v>0.17</v>
      </c>
      <c r="BF577">
        <v>1.7999999999999999E-2</v>
      </c>
      <c r="BH577">
        <v>19</v>
      </c>
      <c r="BI577">
        <v>7</v>
      </c>
      <c r="BJ577">
        <v>3</v>
      </c>
      <c r="BK577">
        <v>-0.56799999999999995</v>
      </c>
      <c r="BL577">
        <v>2.12E-2</v>
      </c>
    </row>
    <row r="578" spans="1:65" hidden="1" x14ac:dyDescent="0.2">
      <c r="A578">
        <v>142</v>
      </c>
      <c r="D578" t="s">
        <v>397</v>
      </c>
      <c r="E578">
        <v>2017</v>
      </c>
      <c r="F578" t="s">
        <v>193</v>
      </c>
      <c r="G578" t="s">
        <v>181</v>
      </c>
      <c r="H578" t="s">
        <v>78</v>
      </c>
      <c r="K578" t="s">
        <v>194</v>
      </c>
      <c r="L578" t="s">
        <v>299</v>
      </c>
      <c r="M578" t="s">
        <v>120</v>
      </c>
      <c r="N578" t="s">
        <v>120</v>
      </c>
      <c r="O578" t="s">
        <v>62</v>
      </c>
      <c r="P578" t="s">
        <v>196</v>
      </c>
      <c r="Q578" t="s">
        <v>64</v>
      </c>
      <c r="R578" t="s">
        <v>83</v>
      </c>
      <c r="S578" t="s">
        <v>74</v>
      </c>
      <c r="T578" t="s">
        <v>64</v>
      </c>
      <c r="U578" t="s">
        <v>75</v>
      </c>
      <c r="V578">
        <v>439</v>
      </c>
      <c r="W578">
        <v>16.079999999999998</v>
      </c>
      <c r="X578" t="s">
        <v>67</v>
      </c>
      <c r="Y578" t="s">
        <v>67</v>
      </c>
      <c r="Z578" t="s">
        <v>67</v>
      </c>
      <c r="AA578" t="s">
        <v>67</v>
      </c>
      <c r="AB578" t="s">
        <v>67</v>
      </c>
      <c r="AC578">
        <v>525</v>
      </c>
      <c r="AD578">
        <v>21.07</v>
      </c>
      <c r="AE578" t="s">
        <v>67</v>
      </c>
      <c r="AF578" t="s">
        <v>67</v>
      </c>
      <c r="AG578" t="s">
        <v>67</v>
      </c>
      <c r="AH578" t="s">
        <v>67</v>
      </c>
      <c r="AI578">
        <v>-0.6</v>
      </c>
      <c r="AJ578">
        <v>0.17</v>
      </c>
      <c r="AK578" t="s">
        <v>67</v>
      </c>
      <c r="AL578">
        <v>4</v>
      </c>
      <c r="AM578">
        <v>0.44</v>
      </c>
      <c r="AN578" t="s">
        <v>67</v>
      </c>
      <c r="AO578">
        <v>86</v>
      </c>
      <c r="AP578">
        <v>4.5999999999999996</v>
      </c>
      <c r="AQ578" t="s">
        <v>67</v>
      </c>
      <c r="AR578" t="s">
        <v>113</v>
      </c>
      <c r="AS578" t="s">
        <v>113</v>
      </c>
      <c r="AT578" t="s">
        <v>70</v>
      </c>
      <c r="AU578" t="s">
        <v>398</v>
      </c>
      <c r="AV578" t="s">
        <v>72</v>
      </c>
      <c r="AX578" t="s">
        <v>73</v>
      </c>
      <c r="AY578">
        <v>2.2000000000000001E-3</v>
      </c>
      <c r="AZ578">
        <v>0.43617</v>
      </c>
      <c r="BA578">
        <v>0.02</v>
      </c>
      <c r="BC578">
        <v>5</v>
      </c>
      <c r="BD578">
        <v>-0.22</v>
      </c>
      <c r="BE578">
        <v>0.217</v>
      </c>
      <c r="BF578">
        <v>0.03</v>
      </c>
      <c r="BH578">
        <v>5</v>
      </c>
      <c r="BI578">
        <v>56</v>
      </c>
      <c r="BJ578">
        <v>1</v>
      </c>
      <c r="BK578">
        <v>-0.69810000000000005</v>
      </c>
      <c r="BL578">
        <v>2.12E-2</v>
      </c>
      <c r="BM578" t="s">
        <v>399</v>
      </c>
    </row>
    <row r="579" spans="1:65" hidden="1" x14ac:dyDescent="0.2">
      <c r="A579">
        <v>237</v>
      </c>
      <c r="D579" t="s">
        <v>54</v>
      </c>
      <c r="E579">
        <v>2019</v>
      </c>
      <c r="F579" t="s">
        <v>466</v>
      </c>
      <c r="G579" t="s">
        <v>124</v>
      </c>
      <c r="H579" t="s">
        <v>78</v>
      </c>
      <c r="L579" t="s">
        <v>210</v>
      </c>
      <c r="P579" t="s">
        <v>63</v>
      </c>
      <c r="S579" t="s">
        <v>64</v>
      </c>
      <c r="T579" t="s">
        <v>64</v>
      </c>
      <c r="U579" t="s">
        <v>66</v>
      </c>
      <c r="V579">
        <v>655</v>
      </c>
      <c r="AC579">
        <v>1808</v>
      </c>
      <c r="AI579">
        <v>16</v>
      </c>
      <c r="AL579">
        <v>21.9</v>
      </c>
      <c r="AO579">
        <v>1153</v>
      </c>
      <c r="AP579">
        <v>5.9</v>
      </c>
      <c r="AR579" t="s">
        <v>440</v>
      </c>
      <c r="AS579" t="s">
        <v>337</v>
      </c>
      <c r="AT579" t="s">
        <v>70</v>
      </c>
      <c r="AU579" t="s">
        <v>467</v>
      </c>
      <c r="AV579" t="s">
        <v>132</v>
      </c>
      <c r="AX579" t="s">
        <v>73</v>
      </c>
      <c r="AY579">
        <v>70.283965249999994</v>
      </c>
      <c r="AZ579">
        <v>70.283969999999997</v>
      </c>
      <c r="BA579">
        <v>6.7567347499999997</v>
      </c>
      <c r="BC579">
        <v>16</v>
      </c>
      <c r="BD579">
        <v>65.752849100000006</v>
      </c>
      <c r="BE579">
        <v>65.752849100000006</v>
      </c>
      <c r="BF579">
        <v>7.2071837329999999</v>
      </c>
      <c r="BH579">
        <v>15</v>
      </c>
      <c r="BI579">
        <v>232</v>
      </c>
      <c r="BK579">
        <v>-6.6600000000000006E-2</v>
      </c>
      <c r="BL579">
        <v>2.1299999999999999E-2</v>
      </c>
    </row>
    <row r="580" spans="1:65" hidden="1" x14ac:dyDescent="0.2">
      <c r="A580">
        <v>153</v>
      </c>
      <c r="D580" t="s">
        <v>397</v>
      </c>
      <c r="E580">
        <v>2017</v>
      </c>
      <c r="F580" t="s">
        <v>335</v>
      </c>
      <c r="G580" t="s">
        <v>220</v>
      </c>
      <c r="H580" t="s">
        <v>78</v>
      </c>
      <c r="K580" t="s">
        <v>205</v>
      </c>
      <c r="L580" t="s">
        <v>225</v>
      </c>
      <c r="M580" t="s">
        <v>120</v>
      </c>
      <c r="N580" t="s">
        <v>120</v>
      </c>
      <c r="O580" t="s">
        <v>110</v>
      </c>
      <c r="P580" t="s">
        <v>63</v>
      </c>
      <c r="Q580" t="s">
        <v>64</v>
      </c>
      <c r="R580" t="s">
        <v>83</v>
      </c>
      <c r="S580" t="s">
        <v>74</v>
      </c>
      <c r="T580" t="s">
        <v>64</v>
      </c>
      <c r="U580" t="s">
        <v>75</v>
      </c>
      <c r="V580">
        <v>437</v>
      </c>
      <c r="W580" t="s">
        <v>67</v>
      </c>
      <c r="X580">
        <v>21.6</v>
      </c>
      <c r="Y580" t="s">
        <v>68</v>
      </c>
      <c r="Z580">
        <v>8.0299999999999994</v>
      </c>
      <c r="AA580" t="s">
        <v>67</v>
      </c>
      <c r="AB580">
        <v>0.02</v>
      </c>
      <c r="AC580">
        <v>441</v>
      </c>
      <c r="AD580" t="s">
        <v>67</v>
      </c>
      <c r="AE580">
        <v>29.1</v>
      </c>
      <c r="AF580">
        <v>8.0500000000000007</v>
      </c>
      <c r="AG580" t="s">
        <v>67</v>
      </c>
      <c r="AH580">
        <v>0.02</v>
      </c>
      <c r="AI580">
        <v>5.6</v>
      </c>
      <c r="AJ580" t="s">
        <v>67</v>
      </c>
      <c r="AK580">
        <v>0.19</v>
      </c>
      <c r="AL580">
        <v>8.1999999999999993</v>
      </c>
      <c r="AM580" t="s">
        <v>67</v>
      </c>
      <c r="AN580">
        <v>0.13</v>
      </c>
      <c r="AO580">
        <v>4</v>
      </c>
      <c r="AP580">
        <v>2.6</v>
      </c>
      <c r="AQ580" t="s">
        <v>67</v>
      </c>
      <c r="AR580" t="s">
        <v>440</v>
      </c>
      <c r="AS580" t="s">
        <v>337</v>
      </c>
      <c r="AT580" t="s">
        <v>70</v>
      </c>
      <c r="AU580" t="s">
        <v>441</v>
      </c>
      <c r="AV580" t="s">
        <v>132</v>
      </c>
      <c r="AX580" t="s">
        <v>73</v>
      </c>
      <c r="AY580">
        <v>40.474299999999999</v>
      </c>
      <c r="AZ580">
        <v>40.474308299999997</v>
      </c>
      <c r="BA580">
        <v>2.5295999999999998</v>
      </c>
      <c r="BC580">
        <v>6</v>
      </c>
      <c r="BD580">
        <v>45.217399999999998</v>
      </c>
      <c r="BE580">
        <v>45.217391300000003</v>
      </c>
      <c r="BF580">
        <v>6.0079000000000002</v>
      </c>
      <c r="BH580">
        <v>6</v>
      </c>
      <c r="BI580">
        <v>120</v>
      </c>
      <c r="BJ580">
        <v>6</v>
      </c>
      <c r="BK580">
        <v>0.1108</v>
      </c>
      <c r="BL580">
        <v>2.1600000000000001E-2</v>
      </c>
    </row>
    <row r="581" spans="1:65" hidden="1" x14ac:dyDescent="0.2">
      <c r="A581">
        <v>139</v>
      </c>
      <c r="D581" t="s">
        <v>54</v>
      </c>
      <c r="E581">
        <v>2018</v>
      </c>
      <c r="F581" t="s">
        <v>214</v>
      </c>
      <c r="G581" t="s">
        <v>154</v>
      </c>
      <c r="H581" t="s">
        <v>78</v>
      </c>
      <c r="K581" t="s">
        <v>194</v>
      </c>
      <c r="L581" t="s">
        <v>215</v>
      </c>
      <c r="M581" t="s">
        <v>120</v>
      </c>
      <c r="N581" t="s">
        <v>120</v>
      </c>
      <c r="O581" t="s">
        <v>62</v>
      </c>
      <c r="P581" t="s">
        <v>63</v>
      </c>
      <c r="Q581" t="s">
        <v>64</v>
      </c>
      <c r="R581" t="s">
        <v>83</v>
      </c>
      <c r="S581" t="s">
        <v>64</v>
      </c>
      <c r="T581" t="s">
        <v>74</v>
      </c>
      <c r="U581" t="s">
        <v>84</v>
      </c>
      <c r="V581">
        <v>438</v>
      </c>
      <c r="W581" t="s">
        <v>67</v>
      </c>
      <c r="X581">
        <v>16</v>
      </c>
      <c r="Y581" t="s">
        <v>68</v>
      </c>
      <c r="Z581">
        <v>8</v>
      </c>
      <c r="AA581" t="s">
        <v>67</v>
      </c>
      <c r="AB581">
        <v>0.01</v>
      </c>
      <c r="AC581">
        <v>846</v>
      </c>
      <c r="AD581" t="s">
        <v>67</v>
      </c>
      <c r="AE581">
        <v>19</v>
      </c>
      <c r="AF581">
        <v>7.73</v>
      </c>
      <c r="AG581" t="s">
        <v>67</v>
      </c>
      <c r="AH581">
        <v>0.01</v>
      </c>
      <c r="AI581">
        <v>-0.9</v>
      </c>
      <c r="AJ581" t="s">
        <v>67</v>
      </c>
      <c r="AK581">
        <v>0.1</v>
      </c>
      <c r="AL581">
        <v>-0.9</v>
      </c>
      <c r="AM581" t="s">
        <v>67</v>
      </c>
      <c r="AN581">
        <v>0.1</v>
      </c>
      <c r="AO581">
        <v>408</v>
      </c>
      <c r="AP581">
        <v>0</v>
      </c>
      <c r="AQ581" t="s">
        <v>67</v>
      </c>
      <c r="AR581" t="s">
        <v>407</v>
      </c>
      <c r="AS581" t="s">
        <v>407</v>
      </c>
      <c r="AT581" t="s">
        <v>135</v>
      </c>
      <c r="AU581" t="s">
        <v>408</v>
      </c>
      <c r="AV581" t="s">
        <v>251</v>
      </c>
      <c r="AX581" t="s">
        <v>73</v>
      </c>
      <c r="AY581">
        <v>53</v>
      </c>
      <c r="AZ581">
        <v>53</v>
      </c>
      <c r="BA581">
        <v>5</v>
      </c>
      <c r="BC581">
        <v>8</v>
      </c>
      <c r="BD581">
        <v>53</v>
      </c>
      <c r="BE581">
        <v>53</v>
      </c>
      <c r="BF581">
        <v>6</v>
      </c>
      <c r="BH581">
        <v>8</v>
      </c>
      <c r="BI581">
        <v>14</v>
      </c>
      <c r="BJ581">
        <v>3</v>
      </c>
      <c r="BK581">
        <v>0</v>
      </c>
      <c r="BL581">
        <v>2.1700000000000001E-2</v>
      </c>
    </row>
    <row r="582" spans="1:65" x14ac:dyDescent="0.2">
      <c r="A582">
        <v>152</v>
      </c>
      <c r="B582" t="str">
        <f>ROW()-1&amp;"_AltersFish"</f>
        <v>581_AltersFish</v>
      </c>
      <c r="C582" t="str">
        <f>A582 &amp; "_" &amp; P582 &amp; "_" &amp;
SUBSTITUTE(TRIM(L582)," ","_") &amp;
"_pH" &amp; TEXT(Z582,"0.00") &amp;
"_T" &amp; TEXT(AI582,"0.00") &amp;
"_CO2" &amp; TEXT(V582,"0") &amp;
"_LANG"</f>
        <v>152_LARVA_Sparus_aurata_pH8.09_T18.40_CO2342_LANG</v>
      </c>
      <c r="D582" t="s">
        <v>54</v>
      </c>
      <c r="E582">
        <v>2020</v>
      </c>
      <c r="F582" t="s">
        <v>267</v>
      </c>
      <c r="G582" t="s">
        <v>163</v>
      </c>
      <c r="H582" t="s">
        <v>78</v>
      </c>
      <c r="I582" t="s">
        <v>540</v>
      </c>
      <c r="J582" t="s">
        <v>543</v>
      </c>
      <c r="K582" t="s">
        <v>79</v>
      </c>
      <c r="L582" t="s">
        <v>164</v>
      </c>
      <c r="M582" t="s">
        <v>156</v>
      </c>
      <c r="N582" t="s">
        <v>156</v>
      </c>
      <c r="O582" t="s">
        <v>106</v>
      </c>
      <c r="P582" t="s">
        <v>107</v>
      </c>
      <c r="Q582" t="s">
        <v>74</v>
      </c>
      <c r="R582" t="s">
        <v>83</v>
      </c>
      <c r="S582" t="s">
        <v>64</v>
      </c>
      <c r="T582" t="s">
        <v>74</v>
      </c>
      <c r="U582" t="s">
        <v>84</v>
      </c>
      <c r="V582">
        <v>342</v>
      </c>
      <c r="W582">
        <v>73</v>
      </c>
      <c r="X582" t="s">
        <v>67</v>
      </c>
      <c r="Y582" t="s">
        <v>157</v>
      </c>
      <c r="Z582">
        <v>8.09</v>
      </c>
      <c r="AA582">
        <v>7.0000000000000007E-2</v>
      </c>
      <c r="AB582" t="s">
        <v>67</v>
      </c>
      <c r="AC582">
        <v>1484</v>
      </c>
      <c r="AD582">
        <v>91</v>
      </c>
      <c r="AE582" t="s">
        <v>67</v>
      </c>
      <c r="AF582">
        <v>7.53</v>
      </c>
      <c r="AG582">
        <v>0.04</v>
      </c>
      <c r="AH582" t="s">
        <v>67</v>
      </c>
      <c r="AI582">
        <v>18.399999999999999</v>
      </c>
      <c r="AJ582">
        <v>0.3</v>
      </c>
      <c r="AK582" t="s">
        <v>67</v>
      </c>
      <c r="AL582">
        <v>18.2</v>
      </c>
      <c r="AM582">
        <v>0.3</v>
      </c>
      <c r="AN582" t="s">
        <v>67</v>
      </c>
      <c r="AO582">
        <v>1142</v>
      </c>
      <c r="AP582">
        <v>-0.2</v>
      </c>
      <c r="AQ582" t="s">
        <v>67</v>
      </c>
      <c r="AR582" t="s">
        <v>134</v>
      </c>
      <c r="AS582" t="s">
        <v>134</v>
      </c>
      <c r="AT582" t="s">
        <v>135</v>
      </c>
      <c r="AU582" t="s">
        <v>268</v>
      </c>
      <c r="AV582" t="s">
        <v>269</v>
      </c>
      <c r="AW582" t="s">
        <v>132</v>
      </c>
      <c r="AX582" t="s">
        <v>73</v>
      </c>
      <c r="AY582">
        <v>29.8</v>
      </c>
      <c r="AZ582">
        <v>29.8</v>
      </c>
      <c r="BA582">
        <v>0.8</v>
      </c>
      <c r="BB582">
        <f>BA582*SQRT(BC582)</f>
        <v>2.4000000000000004</v>
      </c>
      <c r="BC582">
        <v>9</v>
      </c>
      <c r="BD582">
        <v>23.8</v>
      </c>
      <c r="BE582">
        <v>23.8</v>
      </c>
      <c r="BF582">
        <v>0.5</v>
      </c>
      <c r="BG582">
        <f>BF582*SQRT(BH582)</f>
        <v>1.5</v>
      </c>
      <c r="BH582">
        <v>9</v>
      </c>
      <c r="BI582">
        <v>15</v>
      </c>
      <c r="BJ582">
        <v>3</v>
      </c>
      <c r="BK582">
        <v>-0.2248</v>
      </c>
      <c r="BL582">
        <v>1.1999999999999999E-3</v>
      </c>
    </row>
    <row r="583" spans="1:65" hidden="1" x14ac:dyDescent="0.2">
      <c r="A583">
        <v>129</v>
      </c>
      <c r="D583" t="s">
        <v>54</v>
      </c>
      <c r="E583">
        <v>2016</v>
      </c>
      <c r="F583" t="s">
        <v>462</v>
      </c>
      <c r="G583" t="s">
        <v>463</v>
      </c>
      <c r="H583" t="s">
        <v>78</v>
      </c>
      <c r="K583" t="s">
        <v>319</v>
      </c>
      <c r="L583" t="s">
        <v>320</v>
      </c>
      <c r="M583" t="s">
        <v>81</v>
      </c>
      <c r="N583" t="s">
        <v>81</v>
      </c>
      <c r="O583" t="s">
        <v>62</v>
      </c>
      <c r="P583" t="s">
        <v>63</v>
      </c>
      <c r="Q583" t="s">
        <v>74</v>
      </c>
      <c r="R583" t="s">
        <v>83</v>
      </c>
      <c r="S583" t="s">
        <v>64</v>
      </c>
      <c r="T583" t="s">
        <v>64</v>
      </c>
      <c r="U583" t="s">
        <v>66</v>
      </c>
      <c r="V583">
        <v>330</v>
      </c>
      <c r="W583">
        <v>9</v>
      </c>
      <c r="X583" t="s">
        <v>67</v>
      </c>
      <c r="Y583" t="s">
        <v>68</v>
      </c>
      <c r="Z583">
        <v>8.11</v>
      </c>
      <c r="AA583">
        <v>0.01</v>
      </c>
      <c r="AB583" t="s">
        <v>67</v>
      </c>
      <c r="AC583">
        <v>1826</v>
      </c>
      <c r="AD583">
        <v>95</v>
      </c>
      <c r="AE583" t="s">
        <v>67</v>
      </c>
      <c r="AF583">
        <v>7.46</v>
      </c>
      <c r="AG583">
        <v>0.02</v>
      </c>
      <c r="AH583" t="s">
        <v>67</v>
      </c>
      <c r="AI583">
        <v>5.2</v>
      </c>
      <c r="AJ583">
        <v>0.1</v>
      </c>
      <c r="AK583" t="s">
        <v>67</v>
      </c>
      <c r="AL583">
        <v>17.899999999999999</v>
      </c>
      <c r="AM583">
        <v>0.06</v>
      </c>
      <c r="AN583" t="s">
        <v>67</v>
      </c>
      <c r="AO583">
        <v>1496</v>
      </c>
      <c r="AP583">
        <v>12.7</v>
      </c>
      <c r="AQ583" t="s">
        <v>67</v>
      </c>
      <c r="AR583" t="s">
        <v>464</v>
      </c>
      <c r="AS583" t="s">
        <v>412</v>
      </c>
      <c r="AT583" t="s">
        <v>135</v>
      </c>
      <c r="AU583" t="s">
        <v>465</v>
      </c>
      <c r="AV583" t="s">
        <v>132</v>
      </c>
      <c r="AX583" t="s">
        <v>73</v>
      </c>
      <c r="AY583">
        <v>3.3664999999999998</v>
      </c>
      <c r="AZ583">
        <v>3.3664999999999998</v>
      </c>
      <c r="BA583">
        <v>0.43</v>
      </c>
      <c r="BC583">
        <v>8</v>
      </c>
      <c r="BD583">
        <v>7.0952999999999999</v>
      </c>
      <c r="BE583">
        <v>7.0952999999999999</v>
      </c>
      <c r="BF583">
        <v>0.55089999999999995</v>
      </c>
      <c r="BH583">
        <v>8</v>
      </c>
      <c r="BI583">
        <v>90</v>
      </c>
      <c r="BJ583">
        <v>2</v>
      </c>
      <c r="BK583">
        <v>0.74560000000000004</v>
      </c>
      <c r="BL583">
        <v>2.2100000000000002E-2</v>
      </c>
    </row>
    <row r="584" spans="1:65" hidden="1" x14ac:dyDescent="0.2">
      <c r="A584">
        <v>211</v>
      </c>
      <c r="D584" t="s">
        <v>54</v>
      </c>
      <c r="E584">
        <v>2019</v>
      </c>
      <c r="F584" t="s">
        <v>187</v>
      </c>
      <c r="G584" t="s">
        <v>188</v>
      </c>
      <c r="H584" t="s">
        <v>78</v>
      </c>
      <c r="K584" t="s">
        <v>189</v>
      </c>
      <c r="L584" t="s">
        <v>190</v>
      </c>
      <c r="M584" t="s">
        <v>156</v>
      </c>
      <c r="N584" t="s">
        <v>156</v>
      </c>
      <c r="O584" t="s">
        <v>110</v>
      </c>
      <c r="P584" t="s">
        <v>63</v>
      </c>
      <c r="Q584" t="s">
        <v>74</v>
      </c>
      <c r="R584" t="s">
        <v>83</v>
      </c>
      <c r="S584" t="s">
        <v>64</v>
      </c>
      <c r="T584" t="s">
        <v>64</v>
      </c>
      <c r="U584" t="s">
        <v>66</v>
      </c>
      <c r="V584">
        <v>540</v>
      </c>
      <c r="W584" t="s">
        <v>67</v>
      </c>
      <c r="X584">
        <v>4.5999999999999996</v>
      </c>
      <c r="Y584" t="s">
        <v>96</v>
      </c>
      <c r="Z584">
        <v>8.02</v>
      </c>
      <c r="AA584" t="s">
        <v>67</v>
      </c>
      <c r="AB584">
        <v>0.01</v>
      </c>
      <c r="AC584">
        <v>1434</v>
      </c>
      <c r="AD584" t="s">
        <v>67</v>
      </c>
      <c r="AE584">
        <v>108</v>
      </c>
      <c r="AF584">
        <v>7.62</v>
      </c>
      <c r="AG584" t="s">
        <v>67</v>
      </c>
      <c r="AH584">
        <v>0.03</v>
      </c>
      <c r="AI584">
        <v>19</v>
      </c>
      <c r="AJ584" t="s">
        <v>67</v>
      </c>
      <c r="AK584">
        <v>0.2</v>
      </c>
      <c r="AL584">
        <v>24</v>
      </c>
      <c r="AM584" t="s">
        <v>67</v>
      </c>
      <c r="AN584">
        <v>2</v>
      </c>
      <c r="AO584">
        <v>894</v>
      </c>
      <c r="AP584">
        <v>5</v>
      </c>
      <c r="AQ584" t="s">
        <v>191</v>
      </c>
      <c r="AR584" t="s">
        <v>478</v>
      </c>
      <c r="AS584" t="s">
        <v>332</v>
      </c>
      <c r="AT584" t="s">
        <v>333</v>
      </c>
      <c r="AU584" t="s">
        <v>479</v>
      </c>
      <c r="AV584" t="s">
        <v>132</v>
      </c>
      <c r="AX584" t="s">
        <v>73</v>
      </c>
      <c r="AY584">
        <v>1.38E-2</v>
      </c>
      <c r="AZ584">
        <v>1.3831325E-2</v>
      </c>
      <c r="BA584">
        <v>2.0658349999999998E-3</v>
      </c>
      <c r="BC584">
        <v>6</v>
      </c>
      <c r="BD584">
        <v>4.7060241000000003E-2</v>
      </c>
      <c r="BE584">
        <v>4.7060241000000003E-2</v>
      </c>
      <c r="BF584">
        <v>6.8861200000000001E-4</v>
      </c>
      <c r="BH584">
        <v>6</v>
      </c>
      <c r="BI584">
        <v>28</v>
      </c>
      <c r="BJ584">
        <v>3</v>
      </c>
      <c r="BK584">
        <v>1.2244999999999999</v>
      </c>
      <c r="BL584">
        <v>2.2499999999999999E-2</v>
      </c>
    </row>
    <row r="585" spans="1:65" hidden="1" x14ac:dyDescent="0.2">
      <c r="A585">
        <v>170</v>
      </c>
      <c r="C585" t="s">
        <v>549</v>
      </c>
      <c r="D585" t="s">
        <v>54</v>
      </c>
      <c r="E585">
        <v>2014</v>
      </c>
      <c r="F585" t="s">
        <v>55</v>
      </c>
      <c r="G585" t="s">
        <v>56</v>
      </c>
      <c r="H585" t="s">
        <v>57</v>
      </c>
      <c r="K585" t="s">
        <v>58</v>
      </c>
      <c r="L585" t="s">
        <v>59</v>
      </c>
      <c r="M585" t="s">
        <v>60</v>
      </c>
      <c r="N585" t="s">
        <v>61</v>
      </c>
      <c r="O585" t="s">
        <v>62</v>
      </c>
      <c r="P585" t="s">
        <v>82</v>
      </c>
      <c r="Q585" t="s">
        <v>64</v>
      </c>
      <c r="R585" t="s">
        <v>65</v>
      </c>
      <c r="S585" t="s">
        <v>74</v>
      </c>
      <c r="T585" t="s">
        <v>64</v>
      </c>
      <c r="U585" t="s">
        <v>75</v>
      </c>
      <c r="V585">
        <v>371.86</v>
      </c>
      <c r="W585" t="s">
        <v>67</v>
      </c>
      <c r="X585">
        <v>51.93</v>
      </c>
      <c r="Y585" t="s">
        <v>68</v>
      </c>
      <c r="Z585">
        <v>8.02</v>
      </c>
      <c r="AA585" t="s">
        <v>67</v>
      </c>
      <c r="AB585">
        <v>0.05</v>
      </c>
      <c r="AC585">
        <v>382.16</v>
      </c>
      <c r="AD585" t="s">
        <v>67</v>
      </c>
      <c r="AE585">
        <v>87.53</v>
      </c>
      <c r="AF585">
        <v>8</v>
      </c>
      <c r="AG585" t="s">
        <v>67</v>
      </c>
      <c r="AH585">
        <v>7.0000000000000007E-2</v>
      </c>
      <c r="AI585">
        <v>25.9</v>
      </c>
      <c r="AJ585" t="s">
        <v>67</v>
      </c>
      <c r="AK585">
        <v>0.7</v>
      </c>
      <c r="AL585">
        <v>29.9</v>
      </c>
      <c r="AM585" t="s">
        <v>67</v>
      </c>
      <c r="AN585">
        <v>0.2</v>
      </c>
      <c r="AO585">
        <v>10</v>
      </c>
      <c r="AP585">
        <v>4</v>
      </c>
      <c r="AQ585" t="s">
        <v>67</v>
      </c>
      <c r="AR585" t="s">
        <v>202</v>
      </c>
      <c r="AS585" t="s">
        <v>202</v>
      </c>
      <c r="AT585" t="s">
        <v>135</v>
      </c>
      <c r="AU585" t="s">
        <v>203</v>
      </c>
      <c r="AV585" t="s">
        <v>11</v>
      </c>
      <c r="AW585" t="s">
        <v>11</v>
      </c>
      <c r="AX585" t="s">
        <v>73</v>
      </c>
      <c r="AY585">
        <v>86.8</v>
      </c>
      <c r="AZ585">
        <v>86.8</v>
      </c>
      <c r="BA585">
        <v>6.62</v>
      </c>
      <c r="BC585">
        <v>5</v>
      </c>
      <c r="BD585">
        <v>57.4</v>
      </c>
      <c r="BE585">
        <v>57.4</v>
      </c>
      <c r="BF585">
        <v>7.4237000000000002</v>
      </c>
      <c r="BH585">
        <v>5</v>
      </c>
      <c r="BI585">
        <v>90</v>
      </c>
      <c r="BJ585">
        <v>3</v>
      </c>
      <c r="BK585">
        <v>-0.41360000000000002</v>
      </c>
      <c r="BL585">
        <v>2.2499999999999999E-2</v>
      </c>
    </row>
    <row r="586" spans="1:65" hidden="1" x14ac:dyDescent="0.2">
      <c r="A586">
        <v>129</v>
      </c>
      <c r="D586" t="s">
        <v>54</v>
      </c>
      <c r="E586">
        <v>2016</v>
      </c>
      <c r="F586" t="s">
        <v>462</v>
      </c>
      <c r="G586" t="s">
        <v>463</v>
      </c>
      <c r="H586" t="s">
        <v>78</v>
      </c>
      <c r="K586" t="s">
        <v>319</v>
      </c>
      <c r="L586" t="s">
        <v>320</v>
      </c>
      <c r="M586" t="s">
        <v>81</v>
      </c>
      <c r="N586" t="s">
        <v>81</v>
      </c>
      <c r="O586" t="s">
        <v>62</v>
      </c>
      <c r="P586" t="s">
        <v>63</v>
      </c>
      <c r="Q586" t="s">
        <v>74</v>
      </c>
      <c r="R586" t="s">
        <v>83</v>
      </c>
      <c r="S586" t="s">
        <v>74</v>
      </c>
      <c r="T586" t="s">
        <v>64</v>
      </c>
      <c r="U586" t="s">
        <v>75</v>
      </c>
      <c r="V586">
        <v>330</v>
      </c>
      <c r="W586">
        <v>9</v>
      </c>
      <c r="X586" t="s">
        <v>67</v>
      </c>
      <c r="Y586" t="s">
        <v>68</v>
      </c>
      <c r="Z586">
        <v>8.11</v>
      </c>
      <c r="AA586">
        <v>0.01</v>
      </c>
      <c r="AB586" t="s">
        <v>67</v>
      </c>
      <c r="AC586">
        <v>473</v>
      </c>
      <c r="AD586">
        <v>12</v>
      </c>
      <c r="AE586" t="s">
        <v>67</v>
      </c>
      <c r="AF586">
        <v>7.99</v>
      </c>
      <c r="AG586">
        <v>0.01</v>
      </c>
      <c r="AH586" t="s">
        <v>67</v>
      </c>
      <c r="AI586">
        <v>5.2</v>
      </c>
      <c r="AJ586">
        <v>0.1</v>
      </c>
      <c r="AK586" t="s">
        <v>67</v>
      </c>
      <c r="AL586">
        <v>11.7</v>
      </c>
      <c r="AM586">
        <v>0.02</v>
      </c>
      <c r="AN586" t="s">
        <v>67</v>
      </c>
      <c r="AO586">
        <v>143</v>
      </c>
      <c r="AP586">
        <v>6.6</v>
      </c>
      <c r="AQ586" t="s">
        <v>67</v>
      </c>
      <c r="AR586" t="s">
        <v>464</v>
      </c>
      <c r="AS586" t="s">
        <v>412</v>
      </c>
      <c r="AT586" t="s">
        <v>135</v>
      </c>
      <c r="AU586" t="s">
        <v>465</v>
      </c>
      <c r="AV586" t="s">
        <v>132</v>
      </c>
      <c r="AX586" t="s">
        <v>73</v>
      </c>
      <c r="AY586">
        <v>3.3664999999999998</v>
      </c>
      <c r="AZ586">
        <v>3.3664999999999998</v>
      </c>
      <c r="BA586">
        <v>0.43</v>
      </c>
      <c r="BC586">
        <v>8</v>
      </c>
      <c r="BD586">
        <v>4.4596999999999998</v>
      </c>
      <c r="BE586">
        <v>4.4596999999999998</v>
      </c>
      <c r="BF586">
        <v>0.36009999999999998</v>
      </c>
      <c r="BH586">
        <v>8</v>
      </c>
      <c r="BI586">
        <v>90</v>
      </c>
      <c r="BJ586">
        <v>2</v>
      </c>
      <c r="BK586">
        <v>0.28120000000000001</v>
      </c>
      <c r="BL586">
        <v>2.2599999999999999E-2</v>
      </c>
    </row>
    <row r="587" spans="1:65" hidden="1" x14ac:dyDescent="0.2">
      <c r="A587">
        <v>162</v>
      </c>
      <c r="D587" t="s">
        <v>54</v>
      </c>
      <c r="E587">
        <v>2018</v>
      </c>
      <c r="F587" t="s">
        <v>404</v>
      </c>
      <c r="G587" t="s">
        <v>255</v>
      </c>
      <c r="H587" t="s">
        <v>78</v>
      </c>
      <c r="K587" t="s">
        <v>79</v>
      </c>
      <c r="L587" t="s">
        <v>190</v>
      </c>
      <c r="M587" t="s">
        <v>156</v>
      </c>
      <c r="N587" t="s">
        <v>156</v>
      </c>
      <c r="O587" t="s">
        <v>110</v>
      </c>
      <c r="P587" t="s">
        <v>63</v>
      </c>
      <c r="Q587" t="s">
        <v>74</v>
      </c>
      <c r="R587" t="s">
        <v>83</v>
      </c>
      <c r="S587" t="s">
        <v>64</v>
      </c>
      <c r="T587" t="s">
        <v>64</v>
      </c>
      <c r="U587" t="s">
        <v>66</v>
      </c>
      <c r="V587">
        <v>391</v>
      </c>
      <c r="W587" t="s">
        <v>67</v>
      </c>
      <c r="X587">
        <v>17</v>
      </c>
      <c r="Y587" t="s">
        <v>157</v>
      </c>
      <c r="Z587">
        <v>8.0299999999999994</v>
      </c>
      <c r="AA587" t="s">
        <v>67</v>
      </c>
      <c r="AB587">
        <v>0.01</v>
      </c>
      <c r="AC587">
        <v>1482</v>
      </c>
      <c r="AD587" t="s">
        <v>67</v>
      </c>
      <c r="AE587">
        <v>14</v>
      </c>
      <c r="AF587">
        <v>7.52</v>
      </c>
      <c r="AG587" t="s">
        <v>67</v>
      </c>
      <c r="AH587">
        <v>0.01</v>
      </c>
      <c r="AI587">
        <v>19.100000000000001</v>
      </c>
      <c r="AJ587" t="s">
        <v>67</v>
      </c>
      <c r="AK587">
        <v>0.2</v>
      </c>
      <c r="AL587">
        <v>23.2</v>
      </c>
      <c r="AM587" t="s">
        <v>67</v>
      </c>
      <c r="AN587">
        <v>0.2</v>
      </c>
      <c r="AO587">
        <v>1091</v>
      </c>
      <c r="AP587">
        <v>4.0999999999999996</v>
      </c>
      <c r="AQ587" t="s">
        <v>67</v>
      </c>
      <c r="AR587" t="s">
        <v>375</v>
      </c>
      <c r="AS587" t="s">
        <v>178</v>
      </c>
      <c r="AT587" t="s">
        <v>70</v>
      </c>
      <c r="AU587" t="s">
        <v>426</v>
      </c>
      <c r="AV587" t="s">
        <v>132</v>
      </c>
      <c r="AX587" t="s">
        <v>73</v>
      </c>
      <c r="AY587">
        <v>8.5894999999999992</v>
      </c>
      <c r="AZ587">
        <v>8.5894700000000004</v>
      </c>
      <c r="BA587">
        <v>0.4</v>
      </c>
      <c r="BC587">
        <v>6</v>
      </c>
      <c r="BD587">
        <v>6.3711000000000002</v>
      </c>
      <c r="BE587">
        <v>6.371066667</v>
      </c>
      <c r="BF587">
        <v>0.91290000000000004</v>
      </c>
      <c r="BH587">
        <v>6</v>
      </c>
      <c r="BI587">
        <v>30</v>
      </c>
      <c r="BJ587">
        <v>3</v>
      </c>
      <c r="BK587">
        <v>-0.29880000000000001</v>
      </c>
      <c r="BL587">
        <v>2.2700000000000001E-2</v>
      </c>
    </row>
    <row r="588" spans="1:65" hidden="1" x14ac:dyDescent="0.2">
      <c r="A588">
        <v>153</v>
      </c>
      <c r="D588" t="s">
        <v>397</v>
      </c>
      <c r="E588">
        <v>2017</v>
      </c>
      <c r="F588" t="s">
        <v>335</v>
      </c>
      <c r="G588" t="s">
        <v>220</v>
      </c>
      <c r="H588" t="s">
        <v>78</v>
      </c>
      <c r="K588" t="s">
        <v>205</v>
      </c>
      <c r="L588" t="s">
        <v>225</v>
      </c>
      <c r="M588" t="s">
        <v>120</v>
      </c>
      <c r="N588" t="s">
        <v>120</v>
      </c>
      <c r="O588" t="s">
        <v>110</v>
      </c>
      <c r="P588" t="s">
        <v>63</v>
      </c>
      <c r="Q588" t="s">
        <v>64</v>
      </c>
      <c r="R588" t="s">
        <v>83</v>
      </c>
      <c r="S588" t="s">
        <v>64</v>
      </c>
      <c r="T588" t="s">
        <v>74</v>
      </c>
      <c r="U588" t="s">
        <v>84</v>
      </c>
      <c r="V588">
        <v>437</v>
      </c>
      <c r="W588" t="s">
        <v>67</v>
      </c>
      <c r="X588">
        <v>21.6</v>
      </c>
      <c r="Y588" t="s">
        <v>68</v>
      </c>
      <c r="Z588">
        <v>8.0299999999999994</v>
      </c>
      <c r="AA588" t="s">
        <v>67</v>
      </c>
      <c r="AB588">
        <v>0.02</v>
      </c>
      <c r="AC588">
        <v>1124</v>
      </c>
      <c r="AD588" t="s">
        <v>67</v>
      </c>
      <c r="AE588">
        <v>86.23</v>
      </c>
      <c r="AF588">
        <v>7.64</v>
      </c>
      <c r="AG588" t="s">
        <v>67</v>
      </c>
      <c r="AH588">
        <v>0.03</v>
      </c>
      <c r="AI588">
        <v>5.6</v>
      </c>
      <c r="AJ588" t="s">
        <v>67</v>
      </c>
      <c r="AK588">
        <v>0.19</v>
      </c>
      <c r="AL588">
        <v>5.6</v>
      </c>
      <c r="AM588" t="s">
        <v>67</v>
      </c>
      <c r="AN588">
        <v>0.21</v>
      </c>
      <c r="AO588">
        <v>687</v>
      </c>
      <c r="AP588">
        <v>0</v>
      </c>
      <c r="AQ588" t="s">
        <v>67</v>
      </c>
      <c r="AR588" t="s">
        <v>440</v>
      </c>
      <c r="AS588" t="s">
        <v>337</v>
      </c>
      <c r="AT588" t="s">
        <v>70</v>
      </c>
      <c r="AU588" t="s">
        <v>441</v>
      </c>
      <c r="AV588" t="s">
        <v>132</v>
      </c>
      <c r="AX588" t="s">
        <v>73</v>
      </c>
      <c r="AY588">
        <v>40.474299999999999</v>
      </c>
      <c r="AZ588">
        <v>40.474308299999997</v>
      </c>
      <c r="BA588">
        <v>2.5295999999999998</v>
      </c>
      <c r="BC588">
        <v>6</v>
      </c>
      <c r="BD588">
        <v>34.150199999999998</v>
      </c>
      <c r="BE588">
        <v>34.150197630000001</v>
      </c>
      <c r="BF588">
        <v>4.7431000000000001</v>
      </c>
      <c r="BH588">
        <v>5</v>
      </c>
      <c r="BI588">
        <v>120</v>
      </c>
      <c r="BJ588">
        <v>6</v>
      </c>
      <c r="BK588">
        <v>-0.1699</v>
      </c>
      <c r="BL588">
        <v>2.3199999999999998E-2</v>
      </c>
    </row>
    <row r="589" spans="1:65" hidden="1" x14ac:dyDescent="0.2">
      <c r="A589">
        <v>237</v>
      </c>
      <c r="D589" t="s">
        <v>54</v>
      </c>
      <c r="E589">
        <v>2019</v>
      </c>
      <c r="F589" t="s">
        <v>466</v>
      </c>
      <c r="G589" t="s">
        <v>124</v>
      </c>
      <c r="H589" t="s">
        <v>78</v>
      </c>
      <c r="L589" t="s">
        <v>210</v>
      </c>
      <c r="P589" t="s">
        <v>63</v>
      </c>
      <c r="S589" t="s">
        <v>64</v>
      </c>
      <c r="T589" t="s">
        <v>74</v>
      </c>
      <c r="U589" t="s">
        <v>84</v>
      </c>
      <c r="V589">
        <v>655</v>
      </c>
      <c r="AC589">
        <v>1107</v>
      </c>
      <c r="AI589">
        <v>16</v>
      </c>
      <c r="AL589">
        <v>16</v>
      </c>
      <c r="AO589">
        <v>452</v>
      </c>
      <c r="AP589">
        <v>0</v>
      </c>
      <c r="AR589" t="s">
        <v>440</v>
      </c>
      <c r="AS589" t="s">
        <v>337</v>
      </c>
      <c r="AT589" t="s">
        <v>70</v>
      </c>
      <c r="AU589" t="s">
        <v>467</v>
      </c>
      <c r="AV589" t="s">
        <v>132</v>
      </c>
      <c r="AX589" t="s">
        <v>73</v>
      </c>
      <c r="AY589">
        <v>70.283965249999994</v>
      </c>
      <c r="AZ589">
        <v>70.283969999999997</v>
      </c>
      <c r="BA589">
        <v>6.7567347499999997</v>
      </c>
      <c r="BC589">
        <v>16</v>
      </c>
      <c r="BD589">
        <v>55.230810320000003</v>
      </c>
      <c r="BE589">
        <v>55.230810320000003</v>
      </c>
      <c r="BF589">
        <v>6.530777423</v>
      </c>
      <c r="BH589">
        <v>15</v>
      </c>
      <c r="BI589">
        <v>181</v>
      </c>
      <c r="BK589">
        <v>-0.24099999999999999</v>
      </c>
      <c r="BL589">
        <v>2.3199999999999998E-2</v>
      </c>
    </row>
    <row r="590" spans="1:65" hidden="1" x14ac:dyDescent="0.2">
      <c r="A590">
        <v>164</v>
      </c>
      <c r="D590" t="s">
        <v>54</v>
      </c>
      <c r="E590">
        <v>2017</v>
      </c>
      <c r="F590" t="s">
        <v>371</v>
      </c>
      <c r="G590" t="s">
        <v>224</v>
      </c>
      <c r="H590" t="s">
        <v>78</v>
      </c>
      <c r="K590" t="s">
        <v>79</v>
      </c>
      <c r="L590" t="s">
        <v>206</v>
      </c>
      <c r="M590" t="s">
        <v>120</v>
      </c>
      <c r="N590" t="s">
        <v>120</v>
      </c>
      <c r="O590" t="s">
        <v>110</v>
      </c>
      <c r="P590" t="s">
        <v>196</v>
      </c>
      <c r="Q590" t="s">
        <v>480</v>
      </c>
      <c r="R590" t="s">
        <v>83</v>
      </c>
      <c r="S590" t="s">
        <v>64</v>
      </c>
      <c r="T590" t="s">
        <v>74</v>
      </c>
      <c r="U590" t="s">
        <v>84</v>
      </c>
      <c r="V590">
        <v>437</v>
      </c>
      <c r="W590" t="s">
        <v>67</v>
      </c>
      <c r="X590">
        <v>10</v>
      </c>
      <c r="Y590" t="s">
        <v>157</v>
      </c>
      <c r="Z590">
        <v>8.02</v>
      </c>
      <c r="AA590" t="s">
        <v>67</v>
      </c>
      <c r="AB590">
        <v>0.01</v>
      </c>
      <c r="AC590">
        <v>852</v>
      </c>
      <c r="AD590" t="s">
        <v>67</v>
      </c>
      <c r="AE590">
        <v>110</v>
      </c>
      <c r="AF590">
        <v>7.77</v>
      </c>
      <c r="AG590" t="s">
        <v>67</v>
      </c>
      <c r="AH590">
        <v>0.09</v>
      </c>
      <c r="AI590">
        <v>8.1999999999999993</v>
      </c>
      <c r="AJ590" t="s">
        <v>67</v>
      </c>
      <c r="AK590">
        <v>0.09</v>
      </c>
      <c r="AL590">
        <v>8.1</v>
      </c>
      <c r="AM590" t="s">
        <v>67</v>
      </c>
      <c r="AN590">
        <v>0.13</v>
      </c>
      <c r="AO590">
        <v>415</v>
      </c>
      <c r="AP590">
        <v>-0.1</v>
      </c>
      <c r="AQ590" t="s">
        <v>67</v>
      </c>
      <c r="AR590" t="s">
        <v>367</v>
      </c>
      <c r="AS590" t="s">
        <v>367</v>
      </c>
      <c r="AT590" t="s">
        <v>135</v>
      </c>
      <c r="AU590" t="s">
        <v>388</v>
      </c>
      <c r="AV590" t="s">
        <v>251</v>
      </c>
      <c r="AX590" t="s">
        <v>73</v>
      </c>
      <c r="AY590">
        <v>13.2</v>
      </c>
      <c r="AZ590">
        <v>13.2</v>
      </c>
      <c r="BA590">
        <v>1.3</v>
      </c>
      <c r="BC590">
        <v>12</v>
      </c>
      <c r="BD590">
        <v>14.6</v>
      </c>
      <c r="BE590">
        <v>14.6</v>
      </c>
      <c r="BF590">
        <v>1.7</v>
      </c>
      <c r="BH590">
        <v>11</v>
      </c>
      <c r="BI590">
        <v>42</v>
      </c>
      <c r="BJ590">
        <v>8</v>
      </c>
      <c r="BK590">
        <v>0.1008</v>
      </c>
      <c r="BL590">
        <v>2.3300000000000001E-2</v>
      </c>
    </row>
    <row r="591" spans="1:65" hidden="1" x14ac:dyDescent="0.2">
      <c r="A591">
        <v>129</v>
      </c>
      <c r="D591" t="s">
        <v>54</v>
      </c>
      <c r="E591">
        <v>2016</v>
      </c>
      <c r="F591" t="s">
        <v>462</v>
      </c>
      <c r="G591" t="s">
        <v>463</v>
      </c>
      <c r="H591" t="s">
        <v>78</v>
      </c>
      <c r="K591" t="s">
        <v>319</v>
      </c>
      <c r="L591" t="s">
        <v>320</v>
      </c>
      <c r="M591" t="s">
        <v>81</v>
      </c>
      <c r="N591" t="s">
        <v>81</v>
      </c>
      <c r="O591" t="s">
        <v>62</v>
      </c>
      <c r="P591" t="s">
        <v>63</v>
      </c>
      <c r="Q591" t="s">
        <v>74</v>
      </c>
      <c r="R591" t="s">
        <v>83</v>
      </c>
      <c r="S591" t="s">
        <v>74</v>
      </c>
      <c r="T591" t="s">
        <v>64</v>
      </c>
      <c r="U591" t="s">
        <v>75</v>
      </c>
      <c r="V591">
        <v>330</v>
      </c>
      <c r="W591">
        <v>9</v>
      </c>
      <c r="X591" t="s">
        <v>67</v>
      </c>
      <c r="Y591" t="s">
        <v>68</v>
      </c>
      <c r="Z591">
        <v>8.11</v>
      </c>
      <c r="AA591">
        <v>0.01</v>
      </c>
      <c r="AB591" t="s">
        <v>67</v>
      </c>
      <c r="AC591">
        <v>427</v>
      </c>
      <c r="AD591">
        <v>11</v>
      </c>
      <c r="AE591" t="s">
        <v>67</v>
      </c>
      <c r="AF591">
        <v>8.01</v>
      </c>
      <c r="AG591">
        <v>0.01</v>
      </c>
      <c r="AH591" t="s">
        <v>67</v>
      </c>
      <c r="AI591">
        <v>5.2</v>
      </c>
      <c r="AJ591">
        <v>0.1</v>
      </c>
      <c r="AK591" t="s">
        <v>67</v>
      </c>
      <c r="AL591">
        <v>10</v>
      </c>
      <c r="AM591">
        <v>0.02</v>
      </c>
      <c r="AN591" t="s">
        <v>67</v>
      </c>
      <c r="AO591">
        <v>97</v>
      </c>
      <c r="AP591">
        <v>4.9000000000000004</v>
      </c>
      <c r="AQ591" t="s">
        <v>67</v>
      </c>
      <c r="AR591" t="s">
        <v>464</v>
      </c>
      <c r="AS591" t="s">
        <v>412</v>
      </c>
      <c r="AT591" t="s">
        <v>135</v>
      </c>
      <c r="AU591" t="s">
        <v>465</v>
      </c>
      <c r="AV591" t="s">
        <v>132</v>
      </c>
      <c r="AX591" t="s">
        <v>73</v>
      </c>
      <c r="AY591">
        <v>3.3664999999999998</v>
      </c>
      <c r="AZ591">
        <v>3.3664999999999998</v>
      </c>
      <c r="BA591">
        <v>0.43</v>
      </c>
      <c r="BC591">
        <v>8</v>
      </c>
      <c r="BD591">
        <v>3.42</v>
      </c>
      <c r="BE591">
        <v>3.42</v>
      </c>
      <c r="BF591">
        <v>0.28999999999999998</v>
      </c>
      <c r="BH591">
        <v>8</v>
      </c>
      <c r="BI591">
        <v>90</v>
      </c>
      <c r="BJ591">
        <v>2</v>
      </c>
      <c r="BK591">
        <v>1.5800000000000002E-2</v>
      </c>
      <c r="BL591">
        <v>2.3300000000000001E-2</v>
      </c>
    </row>
    <row r="592" spans="1:65" hidden="1" x14ac:dyDescent="0.2">
      <c r="A592">
        <v>211</v>
      </c>
      <c r="D592" t="s">
        <v>54</v>
      </c>
      <c r="E592">
        <v>2019</v>
      </c>
      <c r="F592" t="s">
        <v>187</v>
      </c>
      <c r="G592" t="s">
        <v>188</v>
      </c>
      <c r="H592" t="s">
        <v>78</v>
      </c>
      <c r="K592" t="s">
        <v>189</v>
      </c>
      <c r="L592" t="s">
        <v>190</v>
      </c>
      <c r="M592" t="s">
        <v>156</v>
      </c>
      <c r="N592" t="s">
        <v>156</v>
      </c>
      <c r="O592" t="s">
        <v>110</v>
      </c>
      <c r="P592" t="s">
        <v>63</v>
      </c>
      <c r="Q592" t="s">
        <v>74</v>
      </c>
      <c r="R592" t="s">
        <v>83</v>
      </c>
      <c r="S592" t="s">
        <v>64</v>
      </c>
      <c r="T592" t="s">
        <v>74</v>
      </c>
      <c r="U592" t="s">
        <v>84</v>
      </c>
      <c r="V592">
        <v>540</v>
      </c>
      <c r="W592" t="s">
        <v>67</v>
      </c>
      <c r="X592">
        <v>4.5999999999999996</v>
      </c>
      <c r="Y592" t="s">
        <v>96</v>
      </c>
      <c r="Z592">
        <v>8.02</v>
      </c>
      <c r="AA592" t="s">
        <v>67</v>
      </c>
      <c r="AB592">
        <v>0.01</v>
      </c>
      <c r="AC592">
        <v>1497</v>
      </c>
      <c r="AD592" t="s">
        <v>67</v>
      </c>
      <c r="AE592">
        <v>33</v>
      </c>
      <c r="AF592">
        <v>7.61</v>
      </c>
      <c r="AG592" t="s">
        <v>67</v>
      </c>
      <c r="AH592">
        <v>0.03</v>
      </c>
      <c r="AI592">
        <v>19</v>
      </c>
      <c r="AJ592" t="s">
        <v>67</v>
      </c>
      <c r="AK592">
        <v>0.2</v>
      </c>
      <c r="AL592">
        <v>19</v>
      </c>
      <c r="AM592" t="s">
        <v>67</v>
      </c>
      <c r="AN592">
        <v>0.1</v>
      </c>
      <c r="AO592">
        <v>957</v>
      </c>
      <c r="AP592">
        <v>0</v>
      </c>
      <c r="AQ592" t="s">
        <v>191</v>
      </c>
      <c r="AR592" t="s">
        <v>478</v>
      </c>
      <c r="AS592" t="s">
        <v>332</v>
      </c>
      <c r="AT592" t="s">
        <v>333</v>
      </c>
      <c r="AU592" t="s">
        <v>479</v>
      </c>
      <c r="AV592" t="s">
        <v>132</v>
      </c>
      <c r="AX592" t="s">
        <v>73</v>
      </c>
      <c r="AY592">
        <v>1.38E-2</v>
      </c>
      <c r="AZ592">
        <v>1.3831325E-2</v>
      </c>
      <c r="BA592">
        <v>2.0658349999999998E-3</v>
      </c>
      <c r="BC592">
        <v>6</v>
      </c>
      <c r="BD592">
        <v>2.9899999999999999E-2</v>
      </c>
      <c r="BE592">
        <v>2.9855422E-2</v>
      </c>
      <c r="BF592">
        <v>9.6405600000000003E-4</v>
      </c>
      <c r="BH592">
        <v>6</v>
      </c>
      <c r="BI592">
        <v>28</v>
      </c>
      <c r="BJ592">
        <v>3</v>
      </c>
      <c r="BK592">
        <v>0.76939999999999997</v>
      </c>
      <c r="BL592">
        <v>2.3400000000000001E-2</v>
      </c>
    </row>
    <row r="593" spans="1:65" x14ac:dyDescent="0.2">
      <c r="A593">
        <v>152</v>
      </c>
      <c r="B593" t="str">
        <f>ROW()-1&amp;"_AltersFish"</f>
        <v>592_AltersFish</v>
      </c>
      <c r="C593" t="str">
        <f>A593 &amp; "_" &amp; P593 &amp; "_" &amp;
SUBSTITUTE(TRIM(L593)," ","_") &amp;
"_pH" &amp; TEXT(Z593,"0.00") &amp;
"_T" &amp; TEXT(AI593,"0.00") &amp;
"_CO2" &amp; TEXT(V593,"0") &amp;
"_LANG"</f>
        <v>152_LARVA_Sparus_aurata_pH8.09_T18.40_CO2342_LANG</v>
      </c>
      <c r="D593" t="s">
        <v>54</v>
      </c>
      <c r="E593">
        <v>2020</v>
      </c>
      <c r="F593" t="s">
        <v>267</v>
      </c>
      <c r="G593" t="s">
        <v>163</v>
      </c>
      <c r="H593" t="s">
        <v>78</v>
      </c>
      <c r="I593" t="s">
        <v>540</v>
      </c>
      <c r="J593" t="s">
        <v>543</v>
      </c>
      <c r="K593" t="s">
        <v>79</v>
      </c>
      <c r="L593" t="s">
        <v>164</v>
      </c>
      <c r="M593" t="s">
        <v>156</v>
      </c>
      <c r="N593" t="s">
        <v>156</v>
      </c>
      <c r="O593" t="s">
        <v>106</v>
      </c>
      <c r="P593" t="s">
        <v>107</v>
      </c>
      <c r="Q593" t="s">
        <v>74</v>
      </c>
      <c r="R593" t="s">
        <v>83</v>
      </c>
      <c r="S593" t="s">
        <v>74</v>
      </c>
      <c r="T593" t="s">
        <v>64</v>
      </c>
      <c r="U593" t="s">
        <v>75</v>
      </c>
      <c r="V593">
        <v>342</v>
      </c>
      <c r="W593">
        <v>73</v>
      </c>
      <c r="X593" t="s">
        <v>67</v>
      </c>
      <c r="Y593" t="s">
        <v>157</v>
      </c>
      <c r="Z593">
        <v>8.09</v>
      </c>
      <c r="AA593">
        <v>7.0000000000000007E-2</v>
      </c>
      <c r="AB593" t="s">
        <v>67</v>
      </c>
      <c r="AC593">
        <v>337</v>
      </c>
      <c r="AD593">
        <v>74</v>
      </c>
      <c r="AE593" t="s">
        <v>67</v>
      </c>
      <c r="AF593">
        <v>8.09</v>
      </c>
      <c r="AG593">
        <v>7.0000000000000007E-2</v>
      </c>
      <c r="AH593" t="s">
        <v>67</v>
      </c>
      <c r="AI593">
        <v>18.399999999999999</v>
      </c>
      <c r="AJ593">
        <v>0.3</v>
      </c>
      <c r="AK593" t="s">
        <v>67</v>
      </c>
      <c r="AL593">
        <v>22.3</v>
      </c>
      <c r="AM593">
        <v>0.3</v>
      </c>
      <c r="AN593" t="s">
        <v>67</v>
      </c>
      <c r="AO593">
        <v>-5</v>
      </c>
      <c r="AP593">
        <v>3.9</v>
      </c>
      <c r="AQ593" t="s">
        <v>67</v>
      </c>
      <c r="AR593" t="s">
        <v>166</v>
      </c>
      <c r="AS593" t="s">
        <v>166</v>
      </c>
      <c r="AT593" t="s">
        <v>135</v>
      </c>
      <c r="AU593" t="s">
        <v>280</v>
      </c>
      <c r="AV593" t="s">
        <v>132</v>
      </c>
      <c r="AW593" t="s">
        <v>132</v>
      </c>
      <c r="AX593" t="s">
        <v>73</v>
      </c>
      <c r="AY593">
        <v>98.8</v>
      </c>
      <c r="AZ593">
        <v>98.8</v>
      </c>
      <c r="BA593">
        <v>3.2</v>
      </c>
      <c r="BB593">
        <f>BA593*SQRT(BC593)</f>
        <v>11.085125168440815</v>
      </c>
      <c r="BC593">
        <v>12</v>
      </c>
      <c r="BD593">
        <v>128.19999999999999</v>
      </c>
      <c r="BE593">
        <v>128.19999999999999</v>
      </c>
      <c r="BF593">
        <v>2.2999999999999998</v>
      </c>
      <c r="BG593">
        <f>BF593*SQRT(BH593)</f>
        <v>7.9674337148168348</v>
      </c>
      <c r="BH593">
        <v>12</v>
      </c>
      <c r="BI593">
        <v>15</v>
      </c>
      <c r="BJ593">
        <v>3</v>
      </c>
      <c r="BK593">
        <v>0.26050000000000001</v>
      </c>
      <c r="BL593">
        <v>1.4E-3</v>
      </c>
    </row>
    <row r="594" spans="1:65" hidden="1" x14ac:dyDescent="0.2">
      <c r="A594">
        <v>149</v>
      </c>
      <c r="D594" t="s">
        <v>54</v>
      </c>
      <c r="E594">
        <v>2020</v>
      </c>
      <c r="F594" t="s">
        <v>377</v>
      </c>
      <c r="G594" t="s">
        <v>378</v>
      </c>
      <c r="H594" t="s">
        <v>78</v>
      </c>
      <c r="K594" t="s">
        <v>379</v>
      </c>
      <c r="L594" t="s">
        <v>380</v>
      </c>
      <c r="M594" t="s">
        <v>81</v>
      </c>
      <c r="N594" t="s">
        <v>81</v>
      </c>
      <c r="O594" t="s">
        <v>110</v>
      </c>
      <c r="P594" t="s">
        <v>196</v>
      </c>
      <c r="Q594" t="s">
        <v>64</v>
      </c>
      <c r="R594" t="s">
        <v>83</v>
      </c>
      <c r="S594" t="s">
        <v>74</v>
      </c>
      <c r="T594" t="s">
        <v>64</v>
      </c>
      <c r="U594" t="s">
        <v>75</v>
      </c>
      <c r="V594">
        <v>391</v>
      </c>
      <c r="W594" t="s">
        <v>67</v>
      </c>
      <c r="X594" t="s">
        <v>67</v>
      </c>
      <c r="Y594" t="s">
        <v>157</v>
      </c>
      <c r="Z594">
        <v>8.07</v>
      </c>
      <c r="AA594" t="s">
        <v>67</v>
      </c>
      <c r="AB594" t="s">
        <v>67</v>
      </c>
      <c r="AC594">
        <v>432</v>
      </c>
      <c r="AD594" t="s">
        <v>67</v>
      </c>
      <c r="AE594" t="s">
        <v>67</v>
      </c>
      <c r="AF594">
        <v>8.0299999999999994</v>
      </c>
      <c r="AG594" t="s">
        <v>67</v>
      </c>
      <c r="AH594" t="s">
        <v>67</v>
      </c>
      <c r="AI594">
        <v>19.100000000000001</v>
      </c>
      <c r="AJ594" t="s">
        <v>67</v>
      </c>
      <c r="AK594" t="s">
        <v>67</v>
      </c>
      <c r="AL594">
        <v>21.8</v>
      </c>
      <c r="AM594" t="s">
        <v>67</v>
      </c>
      <c r="AN594" t="s">
        <v>67</v>
      </c>
      <c r="AO594">
        <v>41</v>
      </c>
      <c r="AP594">
        <v>2.7</v>
      </c>
      <c r="AQ594" t="s">
        <v>67</v>
      </c>
      <c r="AR594" t="s">
        <v>476</v>
      </c>
      <c r="AS594" t="s">
        <v>476</v>
      </c>
      <c r="AT594" t="s">
        <v>135</v>
      </c>
      <c r="AU594" t="s">
        <v>477</v>
      </c>
      <c r="AV594" t="s">
        <v>251</v>
      </c>
      <c r="AX594" t="s">
        <v>73</v>
      </c>
      <c r="AY594">
        <v>152.5</v>
      </c>
      <c r="AZ594">
        <v>152.5</v>
      </c>
      <c r="BA594">
        <v>15</v>
      </c>
      <c r="BC594">
        <v>8</v>
      </c>
      <c r="BD594">
        <v>167.5</v>
      </c>
      <c r="BE594">
        <v>167.5</v>
      </c>
      <c r="BF594">
        <v>20</v>
      </c>
      <c r="BH594">
        <v>8</v>
      </c>
      <c r="BI594">
        <v>30</v>
      </c>
      <c r="BJ594">
        <v>8</v>
      </c>
      <c r="BK594">
        <v>9.3799999999999994E-2</v>
      </c>
      <c r="BL594">
        <v>2.3900000000000001E-2</v>
      </c>
    </row>
    <row r="595" spans="1:65" hidden="1" x14ac:dyDescent="0.2">
      <c r="A595">
        <v>156</v>
      </c>
      <c r="D595" t="s">
        <v>54</v>
      </c>
      <c r="E595">
        <v>2019</v>
      </c>
      <c r="F595" t="s">
        <v>458</v>
      </c>
      <c r="G595" t="s">
        <v>378</v>
      </c>
      <c r="H595" t="s">
        <v>78</v>
      </c>
      <c r="K595" t="s">
        <v>93</v>
      </c>
      <c r="L595" t="s">
        <v>274</v>
      </c>
      <c r="M595" t="s">
        <v>95</v>
      </c>
      <c r="N595" t="s">
        <v>61</v>
      </c>
      <c r="O595" t="s">
        <v>62</v>
      </c>
      <c r="P595" t="s">
        <v>63</v>
      </c>
      <c r="Q595" t="s">
        <v>64</v>
      </c>
      <c r="R595" t="s">
        <v>65</v>
      </c>
      <c r="S595" t="s">
        <v>64</v>
      </c>
      <c r="T595" t="s">
        <v>74</v>
      </c>
      <c r="U595" t="s">
        <v>84</v>
      </c>
      <c r="V595">
        <v>487</v>
      </c>
      <c r="W595" t="s">
        <v>67</v>
      </c>
      <c r="X595">
        <v>36</v>
      </c>
      <c r="Y595" t="s">
        <v>157</v>
      </c>
      <c r="Z595">
        <v>7.94</v>
      </c>
      <c r="AA595" t="s">
        <v>67</v>
      </c>
      <c r="AB595">
        <v>0.03</v>
      </c>
      <c r="AC595">
        <v>967</v>
      </c>
      <c r="AD595" t="s">
        <v>67</v>
      </c>
      <c r="AE595">
        <v>74</v>
      </c>
      <c r="AF595">
        <v>7.68</v>
      </c>
      <c r="AG595" t="s">
        <v>67</v>
      </c>
      <c r="AH595">
        <v>0.03</v>
      </c>
      <c r="AI595">
        <v>29</v>
      </c>
      <c r="AJ595" t="s">
        <v>67</v>
      </c>
      <c r="AK595">
        <v>0.2</v>
      </c>
      <c r="AL595">
        <v>29</v>
      </c>
      <c r="AM595" t="s">
        <v>67</v>
      </c>
      <c r="AN595">
        <v>0.2</v>
      </c>
      <c r="AO595">
        <v>480</v>
      </c>
      <c r="AP595">
        <v>0</v>
      </c>
      <c r="AQ595" t="s">
        <v>67</v>
      </c>
      <c r="AR595" t="s">
        <v>459</v>
      </c>
      <c r="AS595" t="s">
        <v>459</v>
      </c>
      <c r="AT595" t="s">
        <v>135</v>
      </c>
      <c r="AU595" t="s">
        <v>89</v>
      </c>
      <c r="AV595" t="s">
        <v>251</v>
      </c>
      <c r="AX595" t="s">
        <v>73</v>
      </c>
      <c r="AY595">
        <v>-46.23</v>
      </c>
      <c r="AZ595">
        <v>-46.23</v>
      </c>
      <c r="BA595">
        <v>3.88</v>
      </c>
      <c r="BC595">
        <v>40</v>
      </c>
      <c r="BD595">
        <v>-25.51</v>
      </c>
      <c r="BE595">
        <v>-25.51</v>
      </c>
      <c r="BF595">
        <v>3.3170000000000002</v>
      </c>
      <c r="BH595">
        <v>47</v>
      </c>
      <c r="BI595">
        <v>63</v>
      </c>
      <c r="BJ595">
        <v>4</v>
      </c>
      <c r="BK595">
        <v>0.59460000000000002</v>
      </c>
      <c r="BL595">
        <v>2.3900000000000001E-2</v>
      </c>
      <c r="BM595" t="s">
        <v>460</v>
      </c>
    </row>
    <row r="596" spans="1:65" hidden="1" x14ac:dyDescent="0.2">
      <c r="A596">
        <v>159</v>
      </c>
      <c r="D596" t="s">
        <v>54</v>
      </c>
      <c r="E596">
        <v>2018</v>
      </c>
      <c r="F596" t="s">
        <v>326</v>
      </c>
      <c r="G596" t="s">
        <v>327</v>
      </c>
      <c r="H596" t="s">
        <v>78</v>
      </c>
      <c r="K596" t="s">
        <v>205</v>
      </c>
      <c r="L596" t="s">
        <v>225</v>
      </c>
      <c r="M596" t="s">
        <v>120</v>
      </c>
      <c r="N596" t="s">
        <v>120</v>
      </c>
      <c r="O596" t="s">
        <v>110</v>
      </c>
      <c r="P596" t="s">
        <v>196</v>
      </c>
      <c r="Q596" t="s">
        <v>64</v>
      </c>
      <c r="R596" t="s">
        <v>83</v>
      </c>
      <c r="S596" t="s">
        <v>74</v>
      </c>
      <c r="T596" t="s">
        <v>64</v>
      </c>
      <c r="U596" t="s">
        <v>75</v>
      </c>
      <c r="V596">
        <v>390</v>
      </c>
      <c r="W596" t="s">
        <v>67</v>
      </c>
      <c r="X596" t="s">
        <v>67</v>
      </c>
      <c r="Y596" t="s">
        <v>67</v>
      </c>
      <c r="Z596" t="s">
        <v>67</v>
      </c>
      <c r="AA596" t="s">
        <v>67</v>
      </c>
      <c r="AB596" t="s">
        <v>67</v>
      </c>
      <c r="AC596">
        <v>390</v>
      </c>
      <c r="AD596" t="s">
        <v>67</v>
      </c>
      <c r="AE596" t="s">
        <v>67</v>
      </c>
      <c r="AF596" t="s">
        <v>67</v>
      </c>
      <c r="AG596" t="s">
        <v>67</v>
      </c>
      <c r="AH596" t="s">
        <v>67</v>
      </c>
      <c r="AI596">
        <v>0</v>
      </c>
      <c r="AJ596" t="s">
        <v>67</v>
      </c>
      <c r="AK596" t="s">
        <v>67</v>
      </c>
      <c r="AL596">
        <v>8</v>
      </c>
      <c r="AM596" t="s">
        <v>67</v>
      </c>
      <c r="AN596" t="s">
        <v>67</v>
      </c>
      <c r="AO596">
        <v>0</v>
      </c>
      <c r="AP596">
        <v>8</v>
      </c>
      <c r="AQ596" t="s">
        <v>67</v>
      </c>
      <c r="AR596" t="s">
        <v>389</v>
      </c>
      <c r="AS596" t="s">
        <v>293</v>
      </c>
      <c r="AT596" t="s">
        <v>70</v>
      </c>
      <c r="AU596" t="s">
        <v>310</v>
      </c>
      <c r="AV596" t="s">
        <v>72</v>
      </c>
      <c r="AX596" t="s">
        <v>73</v>
      </c>
      <c r="AY596">
        <v>23.3</v>
      </c>
      <c r="AZ596">
        <v>23.3</v>
      </c>
      <c r="BA596">
        <v>1.9</v>
      </c>
      <c r="BC596">
        <v>5</v>
      </c>
      <c r="BD596">
        <v>20.5</v>
      </c>
      <c r="BE596">
        <v>20.5</v>
      </c>
      <c r="BF596">
        <v>2.7</v>
      </c>
      <c r="BH596">
        <v>6</v>
      </c>
      <c r="BI596">
        <v>120</v>
      </c>
      <c r="BJ596" t="s">
        <v>67</v>
      </c>
      <c r="BK596">
        <v>-0.128</v>
      </c>
      <c r="BL596">
        <v>2.4E-2</v>
      </c>
    </row>
    <row r="597" spans="1:65" hidden="1" x14ac:dyDescent="0.2">
      <c r="A597">
        <v>237</v>
      </c>
      <c r="D597" t="s">
        <v>54</v>
      </c>
      <c r="E597">
        <v>2019</v>
      </c>
      <c r="F597" t="s">
        <v>466</v>
      </c>
      <c r="G597" t="s">
        <v>124</v>
      </c>
      <c r="H597" t="s">
        <v>78</v>
      </c>
      <c r="L597" t="s">
        <v>210</v>
      </c>
      <c r="P597" t="s">
        <v>63</v>
      </c>
      <c r="S597" t="s">
        <v>74</v>
      </c>
      <c r="T597" t="s">
        <v>64</v>
      </c>
      <c r="U597" t="s">
        <v>75</v>
      </c>
      <c r="V597">
        <v>655</v>
      </c>
      <c r="AC597">
        <v>788</v>
      </c>
      <c r="AI597">
        <v>16</v>
      </c>
      <c r="AL597">
        <v>21.9</v>
      </c>
      <c r="AO597">
        <v>133</v>
      </c>
      <c r="AP597">
        <v>5.9</v>
      </c>
      <c r="AR597" t="s">
        <v>440</v>
      </c>
      <c r="AS597" t="s">
        <v>337</v>
      </c>
      <c r="AT597" t="s">
        <v>70</v>
      </c>
      <c r="AU597" t="s">
        <v>467</v>
      </c>
      <c r="AV597" t="s">
        <v>132</v>
      </c>
      <c r="AX597" t="s">
        <v>73</v>
      </c>
      <c r="AY597">
        <v>70.283965249999994</v>
      </c>
      <c r="AZ597">
        <v>70.283969999999997</v>
      </c>
      <c r="BA597">
        <v>6.7567347499999997</v>
      </c>
      <c r="BC597">
        <v>16</v>
      </c>
      <c r="BD597">
        <v>49.687893899999999</v>
      </c>
      <c r="BE597">
        <v>49.687893899999999</v>
      </c>
      <c r="BF597">
        <v>6.0822826660000002</v>
      </c>
      <c r="BH597">
        <v>15</v>
      </c>
      <c r="BI597">
        <v>232</v>
      </c>
      <c r="BK597">
        <v>-0.3468</v>
      </c>
      <c r="BL597">
        <v>2.4199999999999999E-2</v>
      </c>
    </row>
    <row r="598" spans="1:65" hidden="1" x14ac:dyDescent="0.2">
      <c r="A598">
        <v>146</v>
      </c>
      <c r="D598" t="s">
        <v>54</v>
      </c>
      <c r="E598">
        <v>2016</v>
      </c>
      <c r="F598" t="s">
        <v>347</v>
      </c>
      <c r="G598" t="s">
        <v>348</v>
      </c>
      <c r="H598" t="s">
        <v>78</v>
      </c>
      <c r="K598" t="s">
        <v>349</v>
      </c>
      <c r="L598" t="s">
        <v>125</v>
      </c>
      <c r="M598" t="s">
        <v>126</v>
      </c>
      <c r="N598" t="s">
        <v>81</v>
      </c>
      <c r="O598" t="s">
        <v>62</v>
      </c>
      <c r="P598" t="s">
        <v>63</v>
      </c>
      <c r="Q598" t="s">
        <v>74</v>
      </c>
      <c r="R598" t="s">
        <v>83</v>
      </c>
      <c r="S598" t="s">
        <v>64</v>
      </c>
      <c r="T598" t="s">
        <v>74</v>
      </c>
      <c r="U598" t="s">
        <v>84</v>
      </c>
      <c r="V598">
        <v>360</v>
      </c>
      <c r="W598" t="s">
        <v>67</v>
      </c>
      <c r="X598">
        <v>35.299999999999997</v>
      </c>
      <c r="Y598" t="s">
        <v>68</v>
      </c>
      <c r="Z598">
        <v>8.01</v>
      </c>
      <c r="AA598" t="s">
        <v>67</v>
      </c>
      <c r="AB598">
        <v>0.04</v>
      </c>
      <c r="AC598">
        <v>960</v>
      </c>
      <c r="AD598" t="s">
        <v>67</v>
      </c>
      <c r="AE598">
        <v>50.8</v>
      </c>
      <c r="AF598">
        <v>7.61</v>
      </c>
      <c r="AG598" t="s">
        <v>67</v>
      </c>
      <c r="AH598">
        <v>0.02</v>
      </c>
      <c r="AI598">
        <v>19.2</v>
      </c>
      <c r="AJ598" t="s">
        <v>67</v>
      </c>
      <c r="AK598">
        <v>0.3</v>
      </c>
      <c r="AL598">
        <v>19.100000000000001</v>
      </c>
      <c r="AM598" t="s">
        <v>67</v>
      </c>
      <c r="AN598">
        <v>0.31</v>
      </c>
      <c r="AO598">
        <v>600</v>
      </c>
      <c r="AP598">
        <v>-0.1</v>
      </c>
      <c r="AQ598" t="s">
        <v>350</v>
      </c>
      <c r="AR598" t="s">
        <v>351</v>
      </c>
      <c r="AS598" t="s">
        <v>351</v>
      </c>
      <c r="AT598" t="s">
        <v>135</v>
      </c>
      <c r="AU598" t="s">
        <v>352</v>
      </c>
      <c r="AV598" t="s">
        <v>251</v>
      </c>
      <c r="AX598" t="s">
        <v>73</v>
      </c>
      <c r="AY598">
        <v>167</v>
      </c>
      <c r="AZ598">
        <v>167</v>
      </c>
      <c r="BA598">
        <v>7</v>
      </c>
      <c r="BC598">
        <v>10</v>
      </c>
      <c r="BD598">
        <v>126</v>
      </c>
      <c r="BE598">
        <v>126</v>
      </c>
      <c r="BF598">
        <v>19</v>
      </c>
      <c r="BH598">
        <v>10</v>
      </c>
      <c r="BI598">
        <v>28</v>
      </c>
      <c r="BJ598">
        <v>6</v>
      </c>
      <c r="BK598">
        <v>-0.28170000000000001</v>
      </c>
      <c r="BL598">
        <v>2.4500000000000001E-2</v>
      </c>
    </row>
    <row r="599" spans="1:65" hidden="1" x14ac:dyDescent="0.2">
      <c r="A599">
        <v>130</v>
      </c>
      <c r="D599" t="s">
        <v>54</v>
      </c>
      <c r="E599">
        <v>2014</v>
      </c>
      <c r="F599" t="s">
        <v>481</v>
      </c>
      <c r="G599" t="s">
        <v>482</v>
      </c>
      <c r="H599" t="s">
        <v>78</v>
      </c>
      <c r="K599" t="s">
        <v>93</v>
      </c>
      <c r="L599" t="s">
        <v>436</v>
      </c>
      <c r="M599" t="s">
        <v>95</v>
      </c>
      <c r="N599" t="s">
        <v>61</v>
      </c>
      <c r="O599" t="s">
        <v>62</v>
      </c>
      <c r="P599" t="s">
        <v>63</v>
      </c>
      <c r="Q599" t="s">
        <v>64</v>
      </c>
      <c r="R599" t="s">
        <v>83</v>
      </c>
      <c r="S599" t="s">
        <v>74</v>
      </c>
      <c r="T599" t="s">
        <v>64</v>
      </c>
      <c r="U599" t="s">
        <v>75</v>
      </c>
      <c r="V599">
        <v>396</v>
      </c>
      <c r="W599">
        <v>0.8</v>
      </c>
      <c r="X599" t="s">
        <v>67</v>
      </c>
      <c r="Y599" t="s">
        <v>96</v>
      </c>
      <c r="Z599">
        <v>8.18</v>
      </c>
      <c r="AA599">
        <v>0.01</v>
      </c>
      <c r="AB599" t="s">
        <v>67</v>
      </c>
      <c r="AC599">
        <v>415</v>
      </c>
      <c r="AD599">
        <v>9</v>
      </c>
      <c r="AE599" t="s">
        <v>67</v>
      </c>
      <c r="AF599">
        <v>8.17</v>
      </c>
      <c r="AG599">
        <v>0.01</v>
      </c>
      <c r="AH599" t="s">
        <v>67</v>
      </c>
      <c r="AI599">
        <v>26.7</v>
      </c>
      <c r="AJ599">
        <v>0.1</v>
      </c>
      <c r="AK599" t="s">
        <v>67</v>
      </c>
      <c r="AL599">
        <v>29.6</v>
      </c>
      <c r="AM599">
        <v>0.1</v>
      </c>
      <c r="AN599" t="s">
        <v>67</v>
      </c>
      <c r="AO599">
        <v>19</v>
      </c>
      <c r="AP599">
        <v>2.9</v>
      </c>
      <c r="AQ599" t="s">
        <v>67</v>
      </c>
      <c r="AR599" t="s">
        <v>473</v>
      </c>
      <c r="AS599" t="s">
        <v>473</v>
      </c>
      <c r="AT599" t="s">
        <v>135</v>
      </c>
      <c r="AU599" t="s">
        <v>67</v>
      </c>
      <c r="AV599" t="s">
        <v>251</v>
      </c>
      <c r="AX599" t="s">
        <v>73</v>
      </c>
      <c r="AY599">
        <v>31.79</v>
      </c>
      <c r="AZ599">
        <v>31.79</v>
      </c>
      <c r="BA599">
        <v>3.49</v>
      </c>
      <c r="BC599">
        <v>58</v>
      </c>
      <c r="BD599">
        <v>24.8</v>
      </c>
      <c r="BE599">
        <v>24.8</v>
      </c>
      <c r="BF599">
        <v>2.8</v>
      </c>
      <c r="BH599">
        <v>42</v>
      </c>
      <c r="BI599">
        <v>7</v>
      </c>
      <c r="BJ599">
        <v>4</v>
      </c>
      <c r="BK599">
        <v>-0.24829999999999999</v>
      </c>
      <c r="BL599">
        <v>2.4799999999999999E-2</v>
      </c>
    </row>
    <row r="600" spans="1:65" hidden="1" x14ac:dyDescent="0.2">
      <c r="A600">
        <v>140</v>
      </c>
      <c r="D600" t="s">
        <v>54</v>
      </c>
      <c r="E600">
        <v>2014</v>
      </c>
      <c r="F600" t="s">
        <v>427</v>
      </c>
      <c r="G600" t="s">
        <v>318</v>
      </c>
      <c r="H600" t="s">
        <v>78</v>
      </c>
      <c r="K600" t="s">
        <v>194</v>
      </c>
      <c r="L600" t="s">
        <v>195</v>
      </c>
      <c r="M600" t="s">
        <v>120</v>
      </c>
      <c r="N600" t="s">
        <v>120</v>
      </c>
      <c r="O600" t="s">
        <v>106</v>
      </c>
      <c r="P600" t="s">
        <v>196</v>
      </c>
      <c r="Q600" t="s">
        <v>64</v>
      </c>
      <c r="R600" t="s">
        <v>83</v>
      </c>
      <c r="S600" t="s">
        <v>64</v>
      </c>
      <c r="T600" t="s">
        <v>64</v>
      </c>
      <c r="U600" t="s">
        <v>66</v>
      </c>
      <c r="V600">
        <v>432</v>
      </c>
      <c r="W600" t="s">
        <v>67</v>
      </c>
      <c r="X600">
        <v>22.5</v>
      </c>
      <c r="Y600" t="s">
        <v>68</v>
      </c>
      <c r="Z600" t="s">
        <v>67</v>
      </c>
      <c r="AA600" t="s">
        <v>67</v>
      </c>
      <c r="AB600" t="s">
        <v>67</v>
      </c>
      <c r="AC600">
        <v>1053</v>
      </c>
      <c r="AD600" t="s">
        <v>67</v>
      </c>
      <c r="AE600">
        <v>71.87</v>
      </c>
      <c r="AF600" t="s">
        <v>67</v>
      </c>
      <c r="AG600" t="s">
        <v>67</v>
      </c>
      <c r="AH600" t="s">
        <v>67</v>
      </c>
      <c r="AI600">
        <v>-0.7</v>
      </c>
      <c r="AJ600" t="s">
        <v>67</v>
      </c>
      <c r="AK600">
        <v>0.15</v>
      </c>
      <c r="AL600">
        <v>4</v>
      </c>
      <c r="AM600" t="s">
        <v>67</v>
      </c>
      <c r="AN600">
        <v>0.32</v>
      </c>
      <c r="AO600">
        <v>621</v>
      </c>
      <c r="AP600">
        <v>4.7</v>
      </c>
      <c r="AQ600" t="s">
        <v>428</v>
      </c>
      <c r="AR600" t="s">
        <v>452</v>
      </c>
      <c r="AS600" t="s">
        <v>178</v>
      </c>
      <c r="AT600" t="s">
        <v>70</v>
      </c>
      <c r="AU600" t="s">
        <v>453</v>
      </c>
      <c r="AV600" t="s">
        <v>132</v>
      </c>
      <c r="AX600" t="s">
        <v>73</v>
      </c>
      <c r="AY600">
        <v>390</v>
      </c>
      <c r="AZ600">
        <v>390</v>
      </c>
      <c r="BA600">
        <v>37</v>
      </c>
      <c r="BC600">
        <v>5</v>
      </c>
      <c r="BD600">
        <v>270</v>
      </c>
      <c r="BE600">
        <v>270</v>
      </c>
      <c r="BF600">
        <v>34</v>
      </c>
      <c r="BH600">
        <v>5</v>
      </c>
      <c r="BI600">
        <v>56</v>
      </c>
      <c r="BJ600">
        <v>1</v>
      </c>
      <c r="BK600">
        <v>-0.36770000000000003</v>
      </c>
      <c r="BL600">
        <v>2.4899999999999999E-2</v>
      </c>
    </row>
    <row r="601" spans="1:65" hidden="1" x14ac:dyDescent="0.2">
      <c r="A601">
        <v>237</v>
      </c>
      <c r="D601" t="s">
        <v>54</v>
      </c>
      <c r="E601">
        <v>2019</v>
      </c>
      <c r="F601" t="s">
        <v>466</v>
      </c>
      <c r="G601" t="s">
        <v>124</v>
      </c>
      <c r="H601" t="s">
        <v>78</v>
      </c>
      <c r="L601" t="s">
        <v>210</v>
      </c>
      <c r="P601" t="s">
        <v>63</v>
      </c>
      <c r="S601" t="s">
        <v>64</v>
      </c>
      <c r="T601" t="s">
        <v>64</v>
      </c>
      <c r="U601" t="s">
        <v>66</v>
      </c>
      <c r="V601">
        <v>655</v>
      </c>
      <c r="AC601">
        <v>1133</v>
      </c>
      <c r="AI601">
        <v>16</v>
      </c>
      <c r="AL601">
        <v>21.9</v>
      </c>
      <c r="AO601">
        <v>478</v>
      </c>
      <c r="AP601">
        <v>5.9</v>
      </c>
      <c r="AR601" t="s">
        <v>440</v>
      </c>
      <c r="AS601" t="s">
        <v>337</v>
      </c>
      <c r="AT601" t="s">
        <v>70</v>
      </c>
      <c r="AU601" t="s">
        <v>467</v>
      </c>
      <c r="AV601" t="s">
        <v>132</v>
      </c>
      <c r="AX601" t="s">
        <v>73</v>
      </c>
      <c r="AY601">
        <v>70.283965249999994</v>
      </c>
      <c r="AZ601">
        <v>70.283969999999997</v>
      </c>
      <c r="BA601">
        <v>6.7567347499999997</v>
      </c>
      <c r="BC601">
        <v>16</v>
      </c>
      <c r="BD601">
        <v>49.949027280000003</v>
      </c>
      <c r="BE601">
        <v>49.949027280000003</v>
      </c>
      <c r="BF601">
        <v>6.3072628789999996</v>
      </c>
      <c r="BH601">
        <v>11</v>
      </c>
      <c r="BI601">
        <v>232</v>
      </c>
      <c r="BK601">
        <v>-0.34150000000000003</v>
      </c>
      <c r="BL601">
        <v>2.52E-2</v>
      </c>
    </row>
    <row r="602" spans="1:65" hidden="1" x14ac:dyDescent="0.2">
      <c r="A602">
        <v>139</v>
      </c>
      <c r="D602" t="s">
        <v>54</v>
      </c>
      <c r="E602">
        <v>2018</v>
      </c>
      <c r="F602" t="s">
        <v>214</v>
      </c>
      <c r="G602" t="s">
        <v>154</v>
      </c>
      <c r="H602" t="s">
        <v>78</v>
      </c>
      <c r="K602" t="s">
        <v>194</v>
      </c>
      <c r="L602" t="s">
        <v>215</v>
      </c>
      <c r="M602" t="s">
        <v>120</v>
      </c>
      <c r="N602" t="s">
        <v>120</v>
      </c>
      <c r="O602" t="s">
        <v>62</v>
      </c>
      <c r="P602" t="s">
        <v>63</v>
      </c>
      <c r="Q602" t="s">
        <v>64</v>
      </c>
      <c r="R602" t="s">
        <v>83</v>
      </c>
      <c r="S602" t="s">
        <v>64</v>
      </c>
      <c r="T602" t="s">
        <v>64</v>
      </c>
      <c r="U602" t="s">
        <v>66</v>
      </c>
      <c r="V602">
        <v>458</v>
      </c>
      <c r="W602" t="s">
        <v>67</v>
      </c>
      <c r="X602">
        <v>30</v>
      </c>
      <c r="Y602" t="s">
        <v>157</v>
      </c>
      <c r="Z602">
        <v>7.98</v>
      </c>
      <c r="AA602" t="s">
        <v>67</v>
      </c>
      <c r="AB602">
        <v>0.03</v>
      </c>
      <c r="AC602">
        <v>958</v>
      </c>
      <c r="AD602" t="s">
        <v>67</v>
      </c>
      <c r="AE602">
        <v>33</v>
      </c>
      <c r="AF602">
        <v>7.7</v>
      </c>
      <c r="AG602" t="s">
        <v>67</v>
      </c>
      <c r="AH602">
        <v>0.01</v>
      </c>
      <c r="AI602">
        <v>-1</v>
      </c>
      <c r="AJ602" t="s">
        <v>67</v>
      </c>
      <c r="AK602">
        <v>0.1</v>
      </c>
      <c r="AL602">
        <v>2.1</v>
      </c>
      <c r="AM602" t="s">
        <v>67</v>
      </c>
      <c r="AN602">
        <v>0.1</v>
      </c>
      <c r="AO602">
        <v>500</v>
      </c>
      <c r="AP602">
        <v>3.1</v>
      </c>
      <c r="AQ602" t="s">
        <v>67</v>
      </c>
      <c r="AR602" t="s">
        <v>454</v>
      </c>
      <c r="AS602" t="s">
        <v>412</v>
      </c>
      <c r="AT602" t="s">
        <v>135</v>
      </c>
      <c r="AU602" t="s">
        <v>455</v>
      </c>
      <c r="AV602" t="s">
        <v>132</v>
      </c>
      <c r="AX602" t="s">
        <v>73</v>
      </c>
      <c r="AY602">
        <v>1.9803999999999999</v>
      </c>
      <c r="AZ602">
        <v>1.9803999999999999</v>
      </c>
      <c r="BA602">
        <v>0.22</v>
      </c>
      <c r="BC602">
        <v>9</v>
      </c>
      <c r="BD602">
        <v>1.7450000000000001</v>
      </c>
      <c r="BE602">
        <v>1.7450054749999999</v>
      </c>
      <c r="BF602">
        <v>0.20069999999999999</v>
      </c>
      <c r="BH602">
        <v>8</v>
      </c>
      <c r="BI602">
        <v>28</v>
      </c>
      <c r="BJ602">
        <v>3</v>
      </c>
      <c r="BK602">
        <v>-0.1265</v>
      </c>
      <c r="BL602">
        <v>2.52E-2</v>
      </c>
    </row>
    <row r="603" spans="1:65" hidden="1" x14ac:dyDescent="0.2">
      <c r="A603">
        <v>162</v>
      </c>
      <c r="D603" t="s">
        <v>54</v>
      </c>
      <c r="E603">
        <v>2018</v>
      </c>
      <c r="F603" t="s">
        <v>404</v>
      </c>
      <c r="G603" t="s">
        <v>255</v>
      </c>
      <c r="H603" t="s">
        <v>78</v>
      </c>
      <c r="K603" t="s">
        <v>79</v>
      </c>
      <c r="L603" t="s">
        <v>190</v>
      </c>
      <c r="M603" t="s">
        <v>156</v>
      </c>
      <c r="N603" t="s">
        <v>156</v>
      </c>
      <c r="O603" t="s">
        <v>110</v>
      </c>
      <c r="P603" t="s">
        <v>63</v>
      </c>
      <c r="Q603" t="s">
        <v>74</v>
      </c>
      <c r="R603" t="s">
        <v>83</v>
      </c>
      <c r="S603" t="s">
        <v>64</v>
      </c>
      <c r="T603" t="s">
        <v>74</v>
      </c>
      <c r="U603" t="s">
        <v>84</v>
      </c>
      <c r="V603">
        <v>391</v>
      </c>
      <c r="W603" t="s">
        <v>67</v>
      </c>
      <c r="X603">
        <v>17</v>
      </c>
      <c r="Y603" t="s">
        <v>157</v>
      </c>
      <c r="Z603">
        <v>8.0299999999999994</v>
      </c>
      <c r="AA603" t="s">
        <v>67</v>
      </c>
      <c r="AB603">
        <v>0.01</v>
      </c>
      <c r="AC603">
        <v>1454</v>
      </c>
      <c r="AD603" t="s">
        <v>67</v>
      </c>
      <c r="AE603">
        <v>39</v>
      </c>
      <c r="AF603">
        <v>7.52</v>
      </c>
      <c r="AG603" t="s">
        <v>67</v>
      </c>
      <c r="AH603">
        <v>0.01</v>
      </c>
      <c r="AI603">
        <v>19.100000000000001</v>
      </c>
      <c r="AJ603" t="s">
        <v>67</v>
      </c>
      <c r="AK603">
        <v>0.2</v>
      </c>
      <c r="AL603">
        <v>19.2</v>
      </c>
      <c r="AM603" t="s">
        <v>67</v>
      </c>
      <c r="AN603">
        <v>0.1</v>
      </c>
      <c r="AO603">
        <v>1063</v>
      </c>
      <c r="AP603">
        <v>0.1</v>
      </c>
      <c r="AQ603" t="s">
        <v>67</v>
      </c>
      <c r="AR603" t="s">
        <v>375</v>
      </c>
      <c r="AS603" t="s">
        <v>178</v>
      </c>
      <c r="AT603" t="s">
        <v>70</v>
      </c>
      <c r="AU603" t="s">
        <v>426</v>
      </c>
      <c r="AV603" t="s">
        <v>132</v>
      </c>
      <c r="AX603" t="s">
        <v>73</v>
      </c>
      <c r="AY603">
        <v>8.5894999999999992</v>
      </c>
      <c r="AZ603">
        <v>8.5894700000000004</v>
      </c>
      <c r="BA603">
        <v>0.4</v>
      </c>
      <c r="BC603">
        <v>6</v>
      </c>
      <c r="BD603">
        <v>9.2759</v>
      </c>
      <c r="BE603">
        <v>9.2759</v>
      </c>
      <c r="BF603">
        <v>1.4080999999999999</v>
      </c>
      <c r="BH603">
        <v>6</v>
      </c>
      <c r="BI603">
        <v>30</v>
      </c>
      <c r="BJ603">
        <v>3</v>
      </c>
      <c r="BK603">
        <v>7.6899999999999996E-2</v>
      </c>
      <c r="BL603">
        <v>2.52E-2</v>
      </c>
    </row>
    <row r="604" spans="1:65" hidden="1" x14ac:dyDescent="0.2">
      <c r="A604">
        <v>129</v>
      </c>
      <c r="D604" t="s">
        <v>54</v>
      </c>
      <c r="E604">
        <v>2016</v>
      </c>
      <c r="F604" t="s">
        <v>462</v>
      </c>
      <c r="G604" t="s">
        <v>463</v>
      </c>
      <c r="H604" t="s">
        <v>78</v>
      </c>
      <c r="K604" t="s">
        <v>319</v>
      </c>
      <c r="L604" t="s">
        <v>320</v>
      </c>
      <c r="M604" t="s">
        <v>81</v>
      </c>
      <c r="N604" t="s">
        <v>81</v>
      </c>
      <c r="O604" t="s">
        <v>62</v>
      </c>
      <c r="P604" t="s">
        <v>63</v>
      </c>
      <c r="Q604" t="s">
        <v>74</v>
      </c>
      <c r="R604" t="s">
        <v>83</v>
      </c>
      <c r="S604" t="s">
        <v>64</v>
      </c>
      <c r="T604" t="s">
        <v>64</v>
      </c>
      <c r="U604" t="s">
        <v>66</v>
      </c>
      <c r="V604">
        <v>330</v>
      </c>
      <c r="W604">
        <v>9</v>
      </c>
      <c r="X604" t="s">
        <v>67</v>
      </c>
      <c r="Y604" t="s">
        <v>68</v>
      </c>
      <c r="Z604">
        <v>8.11</v>
      </c>
      <c r="AA604">
        <v>0.01</v>
      </c>
      <c r="AB604" t="s">
        <v>67</v>
      </c>
      <c r="AC604">
        <v>1113</v>
      </c>
      <c r="AD604">
        <v>61</v>
      </c>
      <c r="AE604" t="s">
        <v>67</v>
      </c>
      <c r="AF604">
        <v>7.63</v>
      </c>
      <c r="AG604">
        <v>0.02</v>
      </c>
      <c r="AH604" t="s">
        <v>67</v>
      </c>
      <c r="AI604">
        <v>5.2</v>
      </c>
      <c r="AJ604">
        <v>0.1</v>
      </c>
      <c r="AK604" t="s">
        <v>67</v>
      </c>
      <c r="AL604">
        <v>10</v>
      </c>
      <c r="AM604">
        <v>0.02</v>
      </c>
      <c r="AN604" t="s">
        <v>67</v>
      </c>
      <c r="AO604">
        <v>783</v>
      </c>
      <c r="AP604">
        <v>4.9000000000000004</v>
      </c>
      <c r="AQ604" t="s">
        <v>67</v>
      </c>
      <c r="AR604" t="s">
        <v>464</v>
      </c>
      <c r="AS604" t="s">
        <v>412</v>
      </c>
      <c r="AT604" t="s">
        <v>135</v>
      </c>
      <c r="AU604" t="s">
        <v>465</v>
      </c>
      <c r="AV604" t="s">
        <v>132</v>
      </c>
      <c r="AX604" t="s">
        <v>73</v>
      </c>
      <c r="AY604">
        <v>3.3664999999999998</v>
      </c>
      <c r="AZ604">
        <v>3.3664999999999998</v>
      </c>
      <c r="BA604">
        <v>0.43</v>
      </c>
      <c r="BC604">
        <v>8</v>
      </c>
      <c r="BD604">
        <v>5.6715999999999998</v>
      </c>
      <c r="BE604">
        <v>5.6715999999999998</v>
      </c>
      <c r="BF604">
        <v>0.55089999999999995</v>
      </c>
      <c r="BH604">
        <v>8</v>
      </c>
      <c r="BI604">
        <v>90</v>
      </c>
      <c r="BJ604">
        <v>2</v>
      </c>
      <c r="BK604">
        <v>0.52159999999999995</v>
      </c>
      <c r="BL604">
        <v>2.5499999999999998E-2</v>
      </c>
    </row>
    <row r="605" spans="1:65" hidden="1" x14ac:dyDescent="0.2">
      <c r="A605">
        <v>129</v>
      </c>
      <c r="D605" t="s">
        <v>54</v>
      </c>
      <c r="E605">
        <v>2016</v>
      </c>
      <c r="F605" t="s">
        <v>462</v>
      </c>
      <c r="G605" t="s">
        <v>463</v>
      </c>
      <c r="H605" t="s">
        <v>78</v>
      </c>
      <c r="K605" t="s">
        <v>319</v>
      </c>
      <c r="L605" t="s">
        <v>320</v>
      </c>
      <c r="M605" t="s">
        <v>81</v>
      </c>
      <c r="N605" t="s">
        <v>81</v>
      </c>
      <c r="O605" t="s">
        <v>62</v>
      </c>
      <c r="P605" t="s">
        <v>63</v>
      </c>
      <c r="Q605" t="s">
        <v>74</v>
      </c>
      <c r="R605" t="s">
        <v>83</v>
      </c>
      <c r="S605" t="s">
        <v>64</v>
      </c>
      <c r="T605" t="s">
        <v>64</v>
      </c>
      <c r="U605" t="s">
        <v>66</v>
      </c>
      <c r="V605">
        <v>330</v>
      </c>
      <c r="W605">
        <v>9</v>
      </c>
      <c r="X605" t="s">
        <v>67</v>
      </c>
      <c r="Y605" t="s">
        <v>68</v>
      </c>
      <c r="Z605">
        <v>8.11</v>
      </c>
      <c r="AA605">
        <v>0.01</v>
      </c>
      <c r="AB605" t="s">
        <v>67</v>
      </c>
      <c r="AC605">
        <v>1548</v>
      </c>
      <c r="AD605">
        <v>85</v>
      </c>
      <c r="AE605" t="s">
        <v>67</v>
      </c>
      <c r="AF605">
        <v>7.53</v>
      </c>
      <c r="AG605">
        <v>0.02</v>
      </c>
      <c r="AH605" t="s">
        <v>67</v>
      </c>
      <c r="AI605">
        <v>5.2</v>
      </c>
      <c r="AJ605">
        <v>0.1</v>
      </c>
      <c r="AK605" t="s">
        <v>67</v>
      </c>
      <c r="AL605">
        <v>15.7</v>
      </c>
      <c r="AM605">
        <v>0.04</v>
      </c>
      <c r="AN605" t="s">
        <v>67</v>
      </c>
      <c r="AO605">
        <v>1218</v>
      </c>
      <c r="AP605">
        <v>10.6</v>
      </c>
      <c r="AQ605" t="s">
        <v>67</v>
      </c>
      <c r="AR605" t="s">
        <v>464</v>
      </c>
      <c r="AS605" t="s">
        <v>412</v>
      </c>
      <c r="AT605" t="s">
        <v>135</v>
      </c>
      <c r="AU605" t="s">
        <v>465</v>
      </c>
      <c r="AV605" t="s">
        <v>132</v>
      </c>
      <c r="AX605" t="s">
        <v>73</v>
      </c>
      <c r="AY605">
        <v>3.3664999999999998</v>
      </c>
      <c r="AZ605">
        <v>3.3664999999999998</v>
      </c>
      <c r="BA605">
        <v>0.43</v>
      </c>
      <c r="BC605">
        <v>8</v>
      </c>
      <c r="BD605">
        <v>8.0528999999999993</v>
      </c>
      <c r="BE605">
        <v>8.0528999999999993</v>
      </c>
      <c r="BF605">
        <v>0.78390000000000004</v>
      </c>
      <c r="BH605">
        <v>8</v>
      </c>
      <c r="BI605">
        <v>90</v>
      </c>
      <c r="BJ605">
        <v>2</v>
      </c>
      <c r="BK605">
        <v>0.87219999999999998</v>
      </c>
      <c r="BL605">
        <v>2.5600000000000001E-2</v>
      </c>
    </row>
    <row r="606" spans="1:65" hidden="1" x14ac:dyDescent="0.2">
      <c r="A606">
        <v>128</v>
      </c>
      <c r="D606" t="s">
        <v>54</v>
      </c>
      <c r="E606">
        <v>2013</v>
      </c>
      <c r="F606" t="s">
        <v>449</v>
      </c>
      <c r="G606" t="s">
        <v>344</v>
      </c>
      <c r="H606" t="s">
        <v>78</v>
      </c>
      <c r="K606" t="s">
        <v>194</v>
      </c>
      <c r="L606" t="s">
        <v>221</v>
      </c>
      <c r="M606" t="s">
        <v>120</v>
      </c>
      <c r="N606" t="s">
        <v>120</v>
      </c>
      <c r="O606" t="s">
        <v>62</v>
      </c>
      <c r="P606" t="s">
        <v>196</v>
      </c>
      <c r="Q606" t="s">
        <v>64</v>
      </c>
      <c r="R606" t="s">
        <v>83</v>
      </c>
      <c r="S606" t="s">
        <v>64</v>
      </c>
      <c r="T606" t="s">
        <v>74</v>
      </c>
      <c r="U606" t="s">
        <v>84</v>
      </c>
      <c r="V606">
        <v>357</v>
      </c>
      <c r="W606">
        <v>18.260000000000002</v>
      </c>
      <c r="X606" t="s">
        <v>67</v>
      </c>
      <c r="Y606" t="s">
        <v>96</v>
      </c>
      <c r="Z606">
        <v>8.25</v>
      </c>
      <c r="AA606">
        <v>0.02</v>
      </c>
      <c r="AB606" t="s">
        <v>67</v>
      </c>
      <c r="AC606">
        <v>2179</v>
      </c>
      <c r="AD606">
        <v>54.5</v>
      </c>
      <c r="AE606" t="s">
        <v>67</v>
      </c>
      <c r="AF606">
        <v>7.46</v>
      </c>
      <c r="AG606">
        <v>0.02</v>
      </c>
      <c r="AH606" t="s">
        <v>67</v>
      </c>
      <c r="AI606">
        <v>1.5</v>
      </c>
      <c r="AJ606">
        <v>0.09</v>
      </c>
      <c r="AK606" t="s">
        <v>67</v>
      </c>
      <c r="AL606">
        <v>1.4</v>
      </c>
      <c r="AM606">
        <v>0.17</v>
      </c>
      <c r="AN606" t="s">
        <v>67</v>
      </c>
      <c r="AO606">
        <v>1822</v>
      </c>
      <c r="AP606">
        <v>-0.1</v>
      </c>
      <c r="AQ606" t="s">
        <v>67</v>
      </c>
      <c r="AR606" t="s">
        <v>450</v>
      </c>
      <c r="AS606" t="s">
        <v>450</v>
      </c>
      <c r="AT606" t="s">
        <v>333</v>
      </c>
      <c r="AU606" t="s">
        <v>451</v>
      </c>
      <c r="AV606" t="s">
        <v>132</v>
      </c>
      <c r="AX606" t="s">
        <v>73</v>
      </c>
      <c r="AY606">
        <v>20.399999999999999</v>
      </c>
      <c r="AZ606">
        <v>20.399999999999999</v>
      </c>
      <c r="BA606">
        <v>2.1</v>
      </c>
      <c r="BC606">
        <v>9</v>
      </c>
      <c r="BD606">
        <v>25.9</v>
      </c>
      <c r="BE606">
        <v>25.9</v>
      </c>
      <c r="BF606">
        <v>3.2</v>
      </c>
      <c r="BH606">
        <v>10</v>
      </c>
      <c r="BI606">
        <v>32</v>
      </c>
      <c r="BJ606">
        <v>1</v>
      </c>
      <c r="BK606">
        <v>-0.2387</v>
      </c>
      <c r="BL606">
        <v>2.5899999999999999E-2</v>
      </c>
      <c r="BM606" t="s">
        <v>420</v>
      </c>
    </row>
    <row r="607" spans="1:65" hidden="1" x14ac:dyDescent="0.2">
      <c r="A607">
        <v>142</v>
      </c>
      <c r="D607" t="s">
        <v>54</v>
      </c>
      <c r="E607">
        <v>2017</v>
      </c>
      <c r="F607" t="s">
        <v>193</v>
      </c>
      <c r="G607" t="s">
        <v>181</v>
      </c>
      <c r="H607" t="s">
        <v>78</v>
      </c>
      <c r="K607" t="s">
        <v>194</v>
      </c>
      <c r="L607" t="s">
        <v>215</v>
      </c>
      <c r="M607" t="s">
        <v>120</v>
      </c>
      <c r="N607" t="s">
        <v>120</v>
      </c>
      <c r="O607" t="s">
        <v>62</v>
      </c>
      <c r="P607" t="s">
        <v>196</v>
      </c>
      <c r="Q607" t="s">
        <v>64</v>
      </c>
      <c r="R607" t="s">
        <v>83</v>
      </c>
      <c r="S607" t="s">
        <v>64</v>
      </c>
      <c r="T607" t="s">
        <v>64</v>
      </c>
      <c r="U607" t="s">
        <v>66</v>
      </c>
      <c r="V607">
        <v>439</v>
      </c>
      <c r="W607">
        <v>16.079999999999998</v>
      </c>
      <c r="X607" t="s">
        <v>67</v>
      </c>
      <c r="Y607" t="s">
        <v>67</v>
      </c>
      <c r="Z607" t="s">
        <v>67</v>
      </c>
      <c r="AA607" t="s">
        <v>67</v>
      </c>
      <c r="AB607" t="s">
        <v>67</v>
      </c>
      <c r="AC607">
        <v>1027</v>
      </c>
      <c r="AD607">
        <v>9.0299999999999994</v>
      </c>
      <c r="AE607" t="s">
        <v>67</v>
      </c>
      <c r="AF607" t="s">
        <v>67</v>
      </c>
      <c r="AG607" t="s">
        <v>67</v>
      </c>
      <c r="AH607" t="s">
        <v>67</v>
      </c>
      <c r="AI607">
        <v>-0.6</v>
      </c>
      <c r="AJ607">
        <v>0.17</v>
      </c>
      <c r="AK607" t="s">
        <v>67</v>
      </c>
      <c r="AL607">
        <v>4.2</v>
      </c>
      <c r="AM607">
        <v>0.56000000000000005</v>
      </c>
      <c r="AN607" t="s">
        <v>67</v>
      </c>
      <c r="AO607">
        <v>588</v>
      </c>
      <c r="AP607">
        <v>4.8</v>
      </c>
      <c r="AQ607" t="s">
        <v>483</v>
      </c>
      <c r="AR607" t="s">
        <v>471</v>
      </c>
      <c r="AS607" t="s">
        <v>412</v>
      </c>
      <c r="AT607" t="s">
        <v>135</v>
      </c>
      <c r="AU607" t="s">
        <v>472</v>
      </c>
      <c r="AV607" t="s">
        <v>132</v>
      </c>
      <c r="AX607" t="s">
        <v>73</v>
      </c>
      <c r="AY607">
        <v>4.9000000000000002E-2</v>
      </c>
      <c r="AZ607">
        <v>4.9000000000000002E-2</v>
      </c>
      <c r="BA607">
        <v>0.01</v>
      </c>
      <c r="BC607">
        <v>5</v>
      </c>
      <c r="BD607">
        <v>0.04</v>
      </c>
      <c r="BE607">
        <v>0.04</v>
      </c>
      <c r="BF607">
        <v>5.0000000000000001E-3</v>
      </c>
      <c r="BH607">
        <v>5</v>
      </c>
      <c r="BI607">
        <v>56</v>
      </c>
      <c r="BJ607">
        <v>1</v>
      </c>
      <c r="BK607">
        <v>-0.2029</v>
      </c>
      <c r="BL607">
        <v>2.5999999999999999E-2</v>
      </c>
    </row>
    <row r="608" spans="1:65" x14ac:dyDescent="0.2">
      <c r="A608">
        <v>152</v>
      </c>
      <c r="B608" t="str">
        <f>ROW()-1&amp;"_AltersFish"</f>
        <v>607_AltersFish</v>
      </c>
      <c r="C608" t="str">
        <f>A608 &amp; "_" &amp; P608 &amp; "_" &amp;
SUBSTITUTE(TRIM(L608)," ","_") &amp;
"_pH" &amp; TEXT(Z608,"0.00") &amp;
"_T" &amp; TEXT(AI608,"0.00") &amp;
"_CO2" &amp; TEXT(V608,"0") &amp;
"_LANG"</f>
        <v>152_LARVA_Sparus_aurata_pH8.09_T18.40_CO2342_LANG</v>
      </c>
      <c r="D608" t="s">
        <v>54</v>
      </c>
      <c r="E608">
        <v>2020</v>
      </c>
      <c r="F608" t="s">
        <v>267</v>
      </c>
      <c r="G608" t="s">
        <v>163</v>
      </c>
      <c r="H608" t="s">
        <v>78</v>
      </c>
      <c r="I608" t="s">
        <v>540</v>
      </c>
      <c r="J608" t="s">
        <v>543</v>
      </c>
      <c r="K608" t="s">
        <v>79</v>
      </c>
      <c r="L608" t="s">
        <v>164</v>
      </c>
      <c r="M608" t="s">
        <v>156</v>
      </c>
      <c r="N608" t="s">
        <v>156</v>
      </c>
      <c r="O608" t="s">
        <v>106</v>
      </c>
      <c r="P608" t="s">
        <v>107</v>
      </c>
      <c r="Q608" t="s">
        <v>74</v>
      </c>
      <c r="R608" t="s">
        <v>83</v>
      </c>
      <c r="S608" t="s">
        <v>64</v>
      </c>
      <c r="T608" t="s">
        <v>64</v>
      </c>
      <c r="U608" t="s">
        <v>66</v>
      </c>
      <c r="V608">
        <v>342</v>
      </c>
      <c r="W608">
        <v>73</v>
      </c>
      <c r="X608" t="s">
        <v>67</v>
      </c>
      <c r="Y608" t="s">
        <v>157</v>
      </c>
      <c r="Z608">
        <v>8.09</v>
      </c>
      <c r="AA608">
        <v>7.0000000000000007E-2</v>
      </c>
      <c r="AB608" t="s">
        <v>67</v>
      </c>
      <c r="AC608">
        <v>1473</v>
      </c>
      <c r="AD608">
        <v>92</v>
      </c>
      <c r="AE608" t="s">
        <v>67</v>
      </c>
      <c r="AF608">
        <v>7.53</v>
      </c>
      <c r="AG608">
        <v>0.04</v>
      </c>
      <c r="AH608" t="s">
        <v>67</v>
      </c>
      <c r="AI608">
        <v>18.399999999999999</v>
      </c>
      <c r="AJ608">
        <v>0.3</v>
      </c>
      <c r="AK608" t="s">
        <v>67</v>
      </c>
      <c r="AL608">
        <v>22.1</v>
      </c>
      <c r="AM608">
        <v>0.5</v>
      </c>
      <c r="AN608" t="s">
        <v>67</v>
      </c>
      <c r="AO608">
        <v>1131</v>
      </c>
      <c r="AP608">
        <v>3.7</v>
      </c>
      <c r="AQ608" t="s">
        <v>67</v>
      </c>
      <c r="AR608" t="s">
        <v>166</v>
      </c>
      <c r="AS608" t="s">
        <v>166</v>
      </c>
      <c r="AT608" t="s">
        <v>135</v>
      </c>
      <c r="AU608" t="s">
        <v>280</v>
      </c>
      <c r="AV608" t="s">
        <v>132</v>
      </c>
      <c r="AW608" t="s">
        <v>132</v>
      </c>
      <c r="AX608" t="s">
        <v>73</v>
      </c>
      <c r="AY608">
        <v>98.8</v>
      </c>
      <c r="AZ608">
        <v>98.8</v>
      </c>
      <c r="BA608">
        <v>3.2</v>
      </c>
      <c r="BB608">
        <f>BA608*SQRT(BC608)</f>
        <v>11.085125168440815</v>
      </c>
      <c r="BC608">
        <v>12</v>
      </c>
      <c r="BD608">
        <v>109.7</v>
      </c>
      <c r="BE608">
        <v>109.7</v>
      </c>
      <c r="BF608">
        <v>4.5</v>
      </c>
      <c r="BG608">
        <f>BF608*SQRT(BH608)</f>
        <v>15.588457268119894</v>
      </c>
      <c r="BH608">
        <v>12</v>
      </c>
      <c r="BI608">
        <v>15</v>
      </c>
      <c r="BJ608">
        <v>3</v>
      </c>
      <c r="BK608">
        <v>0.1047</v>
      </c>
      <c r="BL608">
        <v>2.7000000000000001E-3</v>
      </c>
    </row>
    <row r="609" spans="1:64" x14ac:dyDescent="0.2">
      <c r="A609">
        <v>152</v>
      </c>
      <c r="B609" t="str">
        <f>ROW()-1&amp;"_AltersFish"</f>
        <v>608_AltersFish</v>
      </c>
      <c r="C609" t="str">
        <f>A609 &amp; "_" &amp; P609 &amp; "_" &amp;
SUBSTITUTE(TRIM(L609)," ","_") &amp;
"_pH" &amp; TEXT(Z609,"0.00") &amp;
"_T" &amp; TEXT(AI609,"0.00") &amp;
"_CO2" &amp; TEXT(V609,"0") &amp;
"_LANG"</f>
        <v>152_LARVA_Sparus_aurata_pH8.09_T18.40_CO2342_LANG</v>
      </c>
      <c r="D609" t="s">
        <v>54</v>
      </c>
      <c r="E609">
        <v>2020</v>
      </c>
      <c r="F609" t="s">
        <v>267</v>
      </c>
      <c r="G609" t="s">
        <v>163</v>
      </c>
      <c r="H609" t="s">
        <v>78</v>
      </c>
      <c r="I609" t="s">
        <v>540</v>
      </c>
      <c r="J609" t="s">
        <v>543</v>
      </c>
      <c r="K609" t="s">
        <v>79</v>
      </c>
      <c r="L609" t="s">
        <v>164</v>
      </c>
      <c r="M609" t="s">
        <v>156</v>
      </c>
      <c r="N609" t="s">
        <v>156</v>
      </c>
      <c r="O609" t="s">
        <v>106</v>
      </c>
      <c r="P609" t="s">
        <v>107</v>
      </c>
      <c r="Q609" t="s">
        <v>74</v>
      </c>
      <c r="R609" t="s">
        <v>83</v>
      </c>
      <c r="S609" t="s">
        <v>64</v>
      </c>
      <c r="T609" t="s">
        <v>74</v>
      </c>
      <c r="U609" t="s">
        <v>84</v>
      </c>
      <c r="V609">
        <v>342</v>
      </c>
      <c r="W609">
        <v>73</v>
      </c>
      <c r="X609" t="s">
        <v>67</v>
      </c>
      <c r="Y609" t="s">
        <v>157</v>
      </c>
      <c r="Z609">
        <v>8.09</v>
      </c>
      <c r="AA609">
        <v>7.0000000000000007E-2</v>
      </c>
      <c r="AB609" t="s">
        <v>67</v>
      </c>
      <c r="AC609">
        <v>1484</v>
      </c>
      <c r="AD609">
        <v>91</v>
      </c>
      <c r="AE609" t="s">
        <v>67</v>
      </c>
      <c r="AF609">
        <v>7.53</v>
      </c>
      <c r="AG609">
        <v>0.04</v>
      </c>
      <c r="AH609" t="s">
        <v>67</v>
      </c>
      <c r="AI609">
        <v>18.399999999999999</v>
      </c>
      <c r="AJ609">
        <v>0.3</v>
      </c>
      <c r="AK609" t="s">
        <v>67</v>
      </c>
      <c r="AL609">
        <v>18.2</v>
      </c>
      <c r="AM609">
        <v>0.3</v>
      </c>
      <c r="AN609" t="s">
        <v>67</v>
      </c>
      <c r="AO609">
        <v>1142</v>
      </c>
      <c r="AP609">
        <v>-0.2</v>
      </c>
      <c r="AQ609" t="s">
        <v>67</v>
      </c>
      <c r="AR609" t="s">
        <v>166</v>
      </c>
      <c r="AS609" t="s">
        <v>166</v>
      </c>
      <c r="AT609" t="s">
        <v>135</v>
      </c>
      <c r="AU609" t="s">
        <v>280</v>
      </c>
      <c r="AV609" t="s">
        <v>132</v>
      </c>
      <c r="AW609" t="s">
        <v>132</v>
      </c>
      <c r="AX609" t="s">
        <v>73</v>
      </c>
      <c r="AY609">
        <v>98.8</v>
      </c>
      <c r="AZ609">
        <v>98.8</v>
      </c>
      <c r="BA609">
        <v>3.2</v>
      </c>
      <c r="BB609">
        <f>BA609*SQRT(BC609)</f>
        <v>11.085125168440815</v>
      </c>
      <c r="BC609">
        <v>12</v>
      </c>
      <c r="BD609">
        <v>74.3</v>
      </c>
      <c r="BE609">
        <v>74.3</v>
      </c>
      <c r="BF609">
        <v>2.2000000000000002</v>
      </c>
      <c r="BG609">
        <f>BF609*SQRT(BH609)</f>
        <v>7.6210235533030604</v>
      </c>
      <c r="BH609">
        <v>12</v>
      </c>
      <c r="BI609">
        <v>15</v>
      </c>
      <c r="BJ609">
        <v>3</v>
      </c>
      <c r="BK609">
        <v>-0.28499999999999998</v>
      </c>
      <c r="BL609">
        <v>1.9E-3</v>
      </c>
    </row>
    <row r="610" spans="1:64" hidden="1" x14ac:dyDescent="0.2">
      <c r="A610">
        <v>142</v>
      </c>
      <c r="D610" t="s">
        <v>54</v>
      </c>
      <c r="E610">
        <v>2017</v>
      </c>
      <c r="F610" t="s">
        <v>193</v>
      </c>
      <c r="G610" t="s">
        <v>181</v>
      </c>
      <c r="H610" t="s">
        <v>78</v>
      </c>
      <c r="K610" t="s">
        <v>194</v>
      </c>
      <c r="L610" t="s">
        <v>195</v>
      </c>
      <c r="M610" t="s">
        <v>120</v>
      </c>
      <c r="N610" t="s">
        <v>120</v>
      </c>
      <c r="O610" t="s">
        <v>106</v>
      </c>
      <c r="P610" t="s">
        <v>196</v>
      </c>
      <c r="Q610" t="s">
        <v>64</v>
      </c>
      <c r="R610" t="s">
        <v>83</v>
      </c>
      <c r="S610" t="s">
        <v>64</v>
      </c>
      <c r="T610" t="s">
        <v>74</v>
      </c>
      <c r="U610" t="s">
        <v>84</v>
      </c>
      <c r="V610">
        <v>439</v>
      </c>
      <c r="W610">
        <v>16.079999999999998</v>
      </c>
      <c r="X610" t="s">
        <v>67</v>
      </c>
      <c r="Y610" t="s">
        <v>67</v>
      </c>
      <c r="Z610" t="s">
        <v>67</v>
      </c>
      <c r="AA610" t="s">
        <v>67</v>
      </c>
      <c r="AB610" t="s">
        <v>67</v>
      </c>
      <c r="AC610">
        <v>954</v>
      </c>
      <c r="AD610">
        <v>50.38</v>
      </c>
      <c r="AE610" t="s">
        <v>67</v>
      </c>
      <c r="AF610" t="s">
        <v>67</v>
      </c>
      <c r="AG610" t="s">
        <v>67</v>
      </c>
      <c r="AH610" t="s">
        <v>67</v>
      </c>
      <c r="AI610">
        <v>-0.6</v>
      </c>
      <c r="AJ610">
        <v>0.17</v>
      </c>
      <c r="AK610" t="s">
        <v>67</v>
      </c>
      <c r="AL610">
        <v>-0.5</v>
      </c>
      <c r="AM610">
        <v>0.16</v>
      </c>
      <c r="AN610" t="s">
        <v>67</v>
      </c>
      <c r="AO610">
        <v>515</v>
      </c>
      <c r="AP610">
        <v>0.2</v>
      </c>
      <c r="AQ610" t="s">
        <v>67</v>
      </c>
      <c r="AR610" t="s">
        <v>356</v>
      </c>
      <c r="AS610" t="s">
        <v>134</v>
      </c>
      <c r="AT610" t="s">
        <v>135</v>
      </c>
      <c r="AU610" t="s">
        <v>357</v>
      </c>
      <c r="AV610" t="s">
        <v>137</v>
      </c>
      <c r="AX610" t="s">
        <v>73</v>
      </c>
      <c r="AY610">
        <v>26.58</v>
      </c>
      <c r="AZ610">
        <v>26.58</v>
      </c>
      <c r="BA610">
        <v>3.14</v>
      </c>
      <c r="BC610">
        <v>5</v>
      </c>
      <c r="BD610">
        <v>31.854800000000001</v>
      </c>
      <c r="BE610">
        <v>31.854838709999999</v>
      </c>
      <c r="BF610">
        <v>3.629</v>
      </c>
      <c r="BH610">
        <v>5</v>
      </c>
      <c r="BI610">
        <v>56</v>
      </c>
      <c r="BJ610">
        <v>1</v>
      </c>
      <c r="BK610">
        <v>0.18099999999999999</v>
      </c>
      <c r="BL610">
        <v>2.69E-2</v>
      </c>
    </row>
    <row r="611" spans="1:64" hidden="1" x14ac:dyDescent="0.2">
      <c r="A611">
        <v>163</v>
      </c>
      <c r="D611" t="s">
        <v>54</v>
      </c>
      <c r="E611">
        <v>2018</v>
      </c>
      <c r="F611" t="s">
        <v>273</v>
      </c>
      <c r="G611" t="s">
        <v>230</v>
      </c>
      <c r="H611" t="s">
        <v>78</v>
      </c>
      <c r="K611" t="s">
        <v>79</v>
      </c>
      <c r="L611" t="s">
        <v>274</v>
      </c>
      <c r="M611" t="s">
        <v>95</v>
      </c>
      <c r="N611" t="s">
        <v>61</v>
      </c>
      <c r="O611" t="s">
        <v>62</v>
      </c>
      <c r="P611" t="s">
        <v>63</v>
      </c>
      <c r="Q611" t="s">
        <v>64</v>
      </c>
      <c r="R611" t="s">
        <v>65</v>
      </c>
      <c r="S611" t="s">
        <v>64</v>
      </c>
      <c r="T611" t="s">
        <v>64</v>
      </c>
      <c r="U611" t="s">
        <v>66</v>
      </c>
      <c r="V611">
        <v>435</v>
      </c>
      <c r="W611" t="s">
        <v>67</v>
      </c>
      <c r="X611">
        <v>38</v>
      </c>
      <c r="Y611" t="s">
        <v>67</v>
      </c>
      <c r="Z611" t="s">
        <v>67</v>
      </c>
      <c r="AA611" t="s">
        <v>67</v>
      </c>
      <c r="AB611" t="s">
        <v>67</v>
      </c>
      <c r="AC611">
        <v>981</v>
      </c>
      <c r="AD611" t="s">
        <v>67</v>
      </c>
      <c r="AE611">
        <v>8</v>
      </c>
      <c r="AF611" t="s">
        <v>67</v>
      </c>
      <c r="AG611" t="s">
        <v>67</v>
      </c>
      <c r="AH611" t="s">
        <v>67</v>
      </c>
      <c r="AI611">
        <v>28.8</v>
      </c>
      <c r="AJ611" t="s">
        <v>67</v>
      </c>
      <c r="AK611">
        <v>0.2</v>
      </c>
      <c r="AL611">
        <v>31.1</v>
      </c>
      <c r="AM611" t="s">
        <v>67</v>
      </c>
      <c r="AN611">
        <v>0.3</v>
      </c>
      <c r="AO611">
        <v>546</v>
      </c>
      <c r="AP611">
        <v>2.2999999999999998</v>
      </c>
      <c r="AQ611" t="s">
        <v>67</v>
      </c>
      <c r="AR611" t="s">
        <v>473</v>
      </c>
      <c r="AS611" t="s">
        <v>473</v>
      </c>
      <c r="AT611" t="s">
        <v>135</v>
      </c>
      <c r="AU611" t="s">
        <v>474</v>
      </c>
      <c r="AV611" t="s">
        <v>251</v>
      </c>
      <c r="AX611" t="s">
        <v>73</v>
      </c>
      <c r="AY611">
        <v>34.545499999999997</v>
      </c>
      <c r="AZ611">
        <v>34.545450000000002</v>
      </c>
      <c r="BA611">
        <v>3.81</v>
      </c>
      <c r="BC611">
        <v>44</v>
      </c>
      <c r="BD611">
        <v>26.363600000000002</v>
      </c>
      <c r="BE611">
        <v>26.363636360000001</v>
      </c>
      <c r="BF611">
        <v>3.2364999999999999</v>
      </c>
      <c r="BH611">
        <v>44</v>
      </c>
      <c r="BI611">
        <v>45</v>
      </c>
      <c r="BJ611">
        <v>6</v>
      </c>
      <c r="BK611">
        <v>-0.27029999999999998</v>
      </c>
      <c r="BL611">
        <v>2.7199999999999998E-2</v>
      </c>
    </row>
    <row r="612" spans="1:64" hidden="1" x14ac:dyDescent="0.2">
      <c r="A612">
        <v>160</v>
      </c>
      <c r="D612" t="s">
        <v>54</v>
      </c>
      <c r="E612">
        <v>2018</v>
      </c>
      <c r="F612" t="s">
        <v>254</v>
      </c>
      <c r="G612" t="s">
        <v>255</v>
      </c>
      <c r="H612" t="s">
        <v>78</v>
      </c>
      <c r="K612" t="s">
        <v>189</v>
      </c>
      <c r="L612" t="s">
        <v>190</v>
      </c>
      <c r="M612" t="s">
        <v>156</v>
      </c>
      <c r="N612" t="s">
        <v>156</v>
      </c>
      <c r="O612" t="s">
        <v>110</v>
      </c>
      <c r="P612" t="s">
        <v>63</v>
      </c>
      <c r="Q612" t="s">
        <v>74</v>
      </c>
      <c r="R612" t="s">
        <v>83</v>
      </c>
      <c r="S612" t="s">
        <v>64</v>
      </c>
      <c r="T612" t="s">
        <v>64</v>
      </c>
      <c r="U612" t="s">
        <v>66</v>
      </c>
      <c r="V612">
        <v>500</v>
      </c>
      <c r="W612" t="s">
        <v>67</v>
      </c>
      <c r="X612" t="s">
        <v>67</v>
      </c>
      <c r="Y612" t="s">
        <v>67</v>
      </c>
      <c r="Z612" t="s">
        <v>67</v>
      </c>
      <c r="AA612" t="s">
        <v>67</v>
      </c>
      <c r="AB612" t="s">
        <v>67</v>
      </c>
      <c r="AC612">
        <v>1434</v>
      </c>
      <c r="AD612" t="s">
        <v>67</v>
      </c>
      <c r="AE612">
        <v>108</v>
      </c>
      <c r="AF612">
        <v>7.62</v>
      </c>
      <c r="AG612" t="s">
        <v>67</v>
      </c>
      <c r="AH612">
        <v>0.03</v>
      </c>
      <c r="AI612">
        <v>19</v>
      </c>
      <c r="AJ612" t="s">
        <v>67</v>
      </c>
      <c r="AK612">
        <v>0.2</v>
      </c>
      <c r="AL612">
        <v>24</v>
      </c>
      <c r="AM612" t="s">
        <v>67</v>
      </c>
      <c r="AN612">
        <v>0.2</v>
      </c>
      <c r="AO612">
        <v>934</v>
      </c>
      <c r="AP612">
        <v>5</v>
      </c>
      <c r="AQ612" t="s">
        <v>67</v>
      </c>
      <c r="AR612" t="s">
        <v>484</v>
      </c>
      <c r="AS612" t="s">
        <v>473</v>
      </c>
      <c r="AT612" t="s">
        <v>135</v>
      </c>
      <c r="AU612" t="s">
        <v>485</v>
      </c>
      <c r="AV612" t="s">
        <v>251</v>
      </c>
      <c r="AX612" t="s">
        <v>73</v>
      </c>
      <c r="AY612">
        <v>63.5</v>
      </c>
      <c r="AZ612">
        <v>63.5</v>
      </c>
      <c r="BA612">
        <v>6.32</v>
      </c>
      <c r="BC612">
        <v>10</v>
      </c>
      <c r="BD612">
        <v>26</v>
      </c>
      <c r="BE612">
        <v>26</v>
      </c>
      <c r="BF612">
        <v>3.4784999999999999</v>
      </c>
      <c r="BH612">
        <v>10</v>
      </c>
      <c r="BI612">
        <v>28</v>
      </c>
      <c r="BJ612">
        <v>3</v>
      </c>
      <c r="BK612">
        <v>-0.89290000000000003</v>
      </c>
      <c r="BL612">
        <v>2.7799999999999998E-2</v>
      </c>
    </row>
    <row r="613" spans="1:64" hidden="1" x14ac:dyDescent="0.2">
      <c r="A613">
        <v>135</v>
      </c>
      <c r="D613" t="s">
        <v>54</v>
      </c>
      <c r="E613">
        <v>2012</v>
      </c>
      <c r="F613" t="s">
        <v>219</v>
      </c>
      <c r="G613" t="s">
        <v>220</v>
      </c>
      <c r="H613" t="s">
        <v>78</v>
      </c>
      <c r="K613" t="s">
        <v>194</v>
      </c>
      <c r="L613" t="s">
        <v>221</v>
      </c>
      <c r="M613" t="s">
        <v>120</v>
      </c>
      <c r="N613" t="s">
        <v>120</v>
      </c>
      <c r="O613" t="s">
        <v>62</v>
      </c>
      <c r="P613" t="s">
        <v>196</v>
      </c>
      <c r="Q613" t="s">
        <v>64</v>
      </c>
      <c r="R613" t="s">
        <v>83</v>
      </c>
      <c r="S613" t="s">
        <v>74</v>
      </c>
      <c r="T613" t="s">
        <v>64</v>
      </c>
      <c r="U613" t="s">
        <v>75</v>
      </c>
      <c r="V613">
        <v>357</v>
      </c>
      <c r="W613">
        <v>18.260000000000002</v>
      </c>
      <c r="X613" t="s">
        <v>67</v>
      </c>
      <c r="Y613" t="s">
        <v>96</v>
      </c>
      <c r="Z613">
        <v>8.25</v>
      </c>
      <c r="AA613">
        <v>0.02</v>
      </c>
      <c r="AB613" t="s">
        <v>67</v>
      </c>
      <c r="AC613">
        <v>461</v>
      </c>
      <c r="AD613">
        <v>13.69</v>
      </c>
      <c r="AE613" t="s">
        <v>67</v>
      </c>
      <c r="AF613">
        <v>7.91</v>
      </c>
      <c r="AG613">
        <v>0.02</v>
      </c>
      <c r="AH613" t="s">
        <v>67</v>
      </c>
      <c r="AI613">
        <v>1.5</v>
      </c>
      <c r="AJ613">
        <v>0.09</v>
      </c>
      <c r="AK613" t="s">
        <v>67</v>
      </c>
      <c r="AL613">
        <v>7.3</v>
      </c>
      <c r="AM613">
        <v>7.0000000000000007E-2</v>
      </c>
      <c r="AN613" t="s">
        <v>67</v>
      </c>
      <c r="AO613">
        <v>105</v>
      </c>
      <c r="AP613">
        <v>5.8</v>
      </c>
      <c r="AQ613" t="s">
        <v>67</v>
      </c>
      <c r="AR613" t="s">
        <v>486</v>
      </c>
      <c r="AS613" t="s">
        <v>487</v>
      </c>
      <c r="AT613" t="s">
        <v>135</v>
      </c>
      <c r="AU613" t="s">
        <v>488</v>
      </c>
      <c r="AV613" t="s">
        <v>132</v>
      </c>
      <c r="AX613" t="s">
        <v>73</v>
      </c>
      <c r="AY613">
        <v>1.18</v>
      </c>
      <c r="AZ613">
        <v>1.18</v>
      </c>
      <c r="BA613">
        <v>0.19</v>
      </c>
      <c r="BC613">
        <v>9</v>
      </c>
      <c r="BD613">
        <v>1.1000000000000001</v>
      </c>
      <c r="BE613">
        <v>1.1000000000000001</v>
      </c>
      <c r="BF613">
        <v>0.05</v>
      </c>
      <c r="BH613">
        <v>5</v>
      </c>
      <c r="BI613">
        <v>32</v>
      </c>
      <c r="BJ613">
        <v>1</v>
      </c>
      <c r="BK613">
        <v>-7.0199999999999999E-2</v>
      </c>
      <c r="BL613">
        <v>2.8000000000000001E-2</v>
      </c>
    </row>
    <row r="614" spans="1:64" hidden="1" x14ac:dyDescent="0.2">
      <c r="A614">
        <v>211</v>
      </c>
      <c r="D614" t="s">
        <v>54</v>
      </c>
      <c r="E614">
        <v>2019</v>
      </c>
      <c r="F614" t="s">
        <v>187</v>
      </c>
      <c r="G614" t="s">
        <v>188</v>
      </c>
      <c r="H614" t="s">
        <v>78</v>
      </c>
      <c r="K614" t="s">
        <v>189</v>
      </c>
      <c r="L614" t="s">
        <v>190</v>
      </c>
      <c r="M614" t="s">
        <v>156</v>
      </c>
      <c r="N614" t="s">
        <v>156</v>
      </c>
      <c r="O614" t="s">
        <v>110</v>
      </c>
      <c r="P614" t="s">
        <v>63</v>
      </c>
      <c r="Q614" t="s">
        <v>74</v>
      </c>
      <c r="R614" t="s">
        <v>83</v>
      </c>
      <c r="S614" t="s">
        <v>74</v>
      </c>
      <c r="T614" t="s">
        <v>64</v>
      </c>
      <c r="U614" t="s">
        <v>75</v>
      </c>
      <c r="V614">
        <v>540</v>
      </c>
      <c r="W614" t="s">
        <v>67</v>
      </c>
      <c r="X614">
        <v>4.5999999999999996</v>
      </c>
      <c r="Y614" t="s">
        <v>96</v>
      </c>
      <c r="Z614">
        <v>8.02</v>
      </c>
      <c r="AA614" t="s">
        <v>67</v>
      </c>
      <c r="AB614">
        <v>0.01</v>
      </c>
      <c r="AC614">
        <v>510</v>
      </c>
      <c r="AD614" t="s">
        <v>67</v>
      </c>
      <c r="AE614">
        <v>9.4</v>
      </c>
      <c r="AF614">
        <v>8.01</v>
      </c>
      <c r="AG614" t="s">
        <v>67</v>
      </c>
      <c r="AH614">
        <v>0.02</v>
      </c>
      <c r="AI614">
        <v>19</v>
      </c>
      <c r="AJ614" t="s">
        <v>67</v>
      </c>
      <c r="AK614">
        <v>0.2</v>
      </c>
      <c r="AL614">
        <v>24</v>
      </c>
      <c r="AM614" t="s">
        <v>67</v>
      </c>
      <c r="AN614">
        <v>0.3</v>
      </c>
      <c r="AO614">
        <v>-30.5</v>
      </c>
      <c r="AP614">
        <v>5</v>
      </c>
      <c r="AQ614" t="s">
        <v>191</v>
      </c>
      <c r="AR614" t="s">
        <v>478</v>
      </c>
      <c r="AS614" t="s">
        <v>332</v>
      </c>
      <c r="AT614" t="s">
        <v>333</v>
      </c>
      <c r="AU614" t="s">
        <v>479</v>
      </c>
      <c r="AV614" t="s">
        <v>132</v>
      </c>
      <c r="AX614" t="s">
        <v>73</v>
      </c>
      <c r="AY614">
        <v>1.38E-2</v>
      </c>
      <c r="AZ614">
        <v>1.3831325E-2</v>
      </c>
      <c r="BA614">
        <v>2.0658349999999998E-3</v>
      </c>
      <c r="BC614">
        <v>6</v>
      </c>
      <c r="BD614">
        <v>2.9012047999999999E-2</v>
      </c>
      <c r="BE614">
        <v>2.9012047999999999E-2</v>
      </c>
      <c r="BF614">
        <v>2.2035570000000001E-3</v>
      </c>
      <c r="BH614">
        <v>6</v>
      </c>
      <c r="BI614">
        <v>28</v>
      </c>
      <c r="BJ614">
        <v>3</v>
      </c>
      <c r="BK614">
        <v>0.74080000000000001</v>
      </c>
      <c r="BL614">
        <v>2.81E-2</v>
      </c>
    </row>
    <row r="615" spans="1:64" hidden="1" x14ac:dyDescent="0.2">
      <c r="A615">
        <v>142</v>
      </c>
      <c r="D615" t="s">
        <v>54</v>
      </c>
      <c r="E615">
        <v>2017</v>
      </c>
      <c r="F615" t="s">
        <v>193</v>
      </c>
      <c r="G615" t="s">
        <v>181</v>
      </c>
      <c r="H615" t="s">
        <v>78</v>
      </c>
      <c r="K615" t="s">
        <v>194</v>
      </c>
      <c r="L615" t="s">
        <v>299</v>
      </c>
      <c r="M615" t="s">
        <v>120</v>
      </c>
      <c r="N615" t="s">
        <v>120</v>
      </c>
      <c r="O615" t="s">
        <v>62</v>
      </c>
      <c r="P615" t="s">
        <v>196</v>
      </c>
      <c r="Q615" t="s">
        <v>64</v>
      </c>
      <c r="R615" t="s">
        <v>83</v>
      </c>
      <c r="S615" t="s">
        <v>64</v>
      </c>
      <c r="T615" t="s">
        <v>74</v>
      </c>
      <c r="U615" t="s">
        <v>84</v>
      </c>
      <c r="V615">
        <v>439</v>
      </c>
      <c r="W615">
        <v>16.079999999999998</v>
      </c>
      <c r="X615" t="s">
        <v>67</v>
      </c>
      <c r="Y615" t="s">
        <v>67</v>
      </c>
      <c r="Z615" t="s">
        <v>67</v>
      </c>
      <c r="AA615" t="s">
        <v>67</v>
      </c>
      <c r="AB615" t="s">
        <v>67</v>
      </c>
      <c r="AC615">
        <v>954</v>
      </c>
      <c r="AD615">
        <v>50.38</v>
      </c>
      <c r="AE615" t="s">
        <v>67</v>
      </c>
      <c r="AF615" t="s">
        <v>67</v>
      </c>
      <c r="AG615" t="s">
        <v>67</v>
      </c>
      <c r="AH615" t="s">
        <v>67</v>
      </c>
      <c r="AI615">
        <v>-0.6</v>
      </c>
      <c r="AJ615">
        <v>0.17</v>
      </c>
      <c r="AK615" t="s">
        <v>67</v>
      </c>
      <c r="AL615">
        <v>-0.5</v>
      </c>
      <c r="AM615">
        <v>0.16</v>
      </c>
      <c r="AN615" t="s">
        <v>67</v>
      </c>
      <c r="AO615">
        <v>515</v>
      </c>
      <c r="AP615">
        <v>0.2</v>
      </c>
      <c r="AQ615" t="s">
        <v>67</v>
      </c>
      <c r="AR615" t="s">
        <v>489</v>
      </c>
      <c r="AS615" t="s">
        <v>401</v>
      </c>
      <c r="AT615" t="s">
        <v>135</v>
      </c>
      <c r="AU615" t="s">
        <v>402</v>
      </c>
      <c r="AV615" t="s">
        <v>132</v>
      </c>
      <c r="AX615" t="s">
        <v>73</v>
      </c>
      <c r="AY615">
        <v>5.6360000000000001</v>
      </c>
      <c r="AZ615">
        <v>5.6360000000000001</v>
      </c>
      <c r="BA615">
        <v>0.56999999999999995</v>
      </c>
      <c r="BC615">
        <v>10</v>
      </c>
      <c r="BD615">
        <v>6.1849999999999996</v>
      </c>
      <c r="BE615">
        <v>6.1849999999999996</v>
      </c>
      <c r="BF615">
        <v>0.83</v>
      </c>
      <c r="BH615">
        <v>10</v>
      </c>
      <c r="BI615">
        <v>49</v>
      </c>
      <c r="BJ615">
        <v>1</v>
      </c>
      <c r="BK615">
        <v>9.2999999999999999E-2</v>
      </c>
      <c r="BL615">
        <v>2.8199999999999999E-2</v>
      </c>
    </row>
    <row r="616" spans="1:64" x14ac:dyDescent="0.2">
      <c r="A616">
        <v>177</v>
      </c>
      <c r="B616" t="str">
        <f>ROW()-1&amp;"_AltersFish"</f>
        <v>615_AltersFish</v>
      </c>
      <c r="C616" t="str">
        <f>A616 &amp; "_" &amp; P616 &amp; "_" &amp;
SUBSTITUTE(TRIM(L616)," ","_") &amp;
"_pH" &amp; TEXT(Z616,"0.00") &amp;
"_T" &amp; TEXT(AI616,"0.00") &amp;
"_CO2" &amp; TEXT(V616,"0") &amp;
"_LANG"</f>
        <v>177_LARVA_Sparus_aurata_pH8.09_T18.40_CO2342_LANG</v>
      </c>
      <c r="D616" t="s">
        <v>54</v>
      </c>
      <c r="E616">
        <v>2019</v>
      </c>
      <c r="F616" t="s">
        <v>162</v>
      </c>
      <c r="G616" t="s">
        <v>163</v>
      </c>
      <c r="H616" t="s">
        <v>78</v>
      </c>
      <c r="I616" t="s">
        <v>540</v>
      </c>
      <c r="J616" t="s">
        <v>543</v>
      </c>
      <c r="K616" t="s">
        <v>79</v>
      </c>
      <c r="L616" t="s">
        <v>164</v>
      </c>
      <c r="M616" t="s">
        <v>156</v>
      </c>
      <c r="N616" t="s">
        <v>156</v>
      </c>
      <c r="O616" t="s">
        <v>106</v>
      </c>
      <c r="P616" t="s">
        <v>107</v>
      </c>
      <c r="Q616" t="s">
        <v>74</v>
      </c>
      <c r="R616" t="s">
        <v>83</v>
      </c>
      <c r="S616" t="s">
        <v>74</v>
      </c>
      <c r="T616" t="s">
        <v>64</v>
      </c>
      <c r="U616" t="s">
        <v>75</v>
      </c>
      <c r="V616">
        <v>342</v>
      </c>
      <c r="W616" t="s">
        <v>67</v>
      </c>
      <c r="X616">
        <v>74</v>
      </c>
      <c r="Y616" t="s">
        <v>157</v>
      </c>
      <c r="Z616">
        <v>8.09</v>
      </c>
      <c r="AA616" t="s">
        <v>67</v>
      </c>
      <c r="AB616">
        <v>7.0000000000000007E-2</v>
      </c>
      <c r="AC616">
        <v>337</v>
      </c>
      <c r="AD616" t="s">
        <v>67</v>
      </c>
      <c r="AE616">
        <v>73</v>
      </c>
      <c r="AF616">
        <v>8.09</v>
      </c>
      <c r="AG616" t="s">
        <v>67</v>
      </c>
      <c r="AH616">
        <v>7.0000000000000007E-2</v>
      </c>
      <c r="AI616">
        <v>18.399999999999999</v>
      </c>
      <c r="AJ616" t="s">
        <v>67</v>
      </c>
      <c r="AK616">
        <v>0.3</v>
      </c>
      <c r="AL616">
        <v>22.3</v>
      </c>
      <c r="AM616" t="s">
        <v>67</v>
      </c>
      <c r="AN616">
        <v>0.3</v>
      </c>
      <c r="AO616">
        <v>-5</v>
      </c>
      <c r="AP616">
        <v>3.9</v>
      </c>
      <c r="AQ616" t="s">
        <v>67</v>
      </c>
      <c r="AR616" t="s">
        <v>134</v>
      </c>
      <c r="AS616" t="s">
        <v>134</v>
      </c>
      <c r="AT616" t="s">
        <v>135</v>
      </c>
      <c r="AU616" t="s">
        <v>272</v>
      </c>
      <c r="AV616" t="s">
        <v>137</v>
      </c>
      <c r="AW616" t="s">
        <v>132</v>
      </c>
      <c r="AX616" t="s">
        <v>73</v>
      </c>
      <c r="AY616">
        <v>29.771100000000001</v>
      </c>
      <c r="AZ616">
        <v>29.771100000000001</v>
      </c>
      <c r="BA616">
        <v>0.86</v>
      </c>
      <c r="BB616">
        <f>BA616*SQRT(BC616)</f>
        <v>2.58</v>
      </c>
      <c r="BC616">
        <v>9</v>
      </c>
      <c r="BD616">
        <v>36.781100000000002</v>
      </c>
      <c r="BE616">
        <v>36.781115880000002</v>
      </c>
      <c r="BF616">
        <v>0.71530000000000005</v>
      </c>
      <c r="BG616">
        <f>BF616*SQRT(BH616)</f>
        <v>2.1459000000000001</v>
      </c>
      <c r="BH616">
        <v>9</v>
      </c>
      <c r="BI616">
        <v>15</v>
      </c>
      <c r="BJ616">
        <v>3</v>
      </c>
      <c r="BK616">
        <v>0.2114</v>
      </c>
      <c r="BL616">
        <v>1.1999999999999999E-3</v>
      </c>
    </row>
    <row r="617" spans="1:64" hidden="1" x14ac:dyDescent="0.2">
      <c r="A617">
        <v>171</v>
      </c>
      <c r="C617" t="s">
        <v>549</v>
      </c>
      <c r="D617" t="s">
        <v>54</v>
      </c>
      <c r="E617">
        <v>2015</v>
      </c>
      <c r="F617" t="s">
        <v>198</v>
      </c>
      <c r="G617" t="s">
        <v>199</v>
      </c>
      <c r="H617" t="s">
        <v>57</v>
      </c>
      <c r="K617" t="s">
        <v>79</v>
      </c>
      <c r="L617" t="s">
        <v>200</v>
      </c>
      <c r="M617" t="s">
        <v>81</v>
      </c>
      <c r="N617" t="s">
        <v>81</v>
      </c>
      <c r="O617" t="s">
        <v>62</v>
      </c>
      <c r="P617" t="s">
        <v>82</v>
      </c>
      <c r="Q617" t="s">
        <v>64</v>
      </c>
      <c r="R617" t="s">
        <v>65</v>
      </c>
      <c r="S617" t="s">
        <v>64</v>
      </c>
      <c r="T617" t="s">
        <v>64</v>
      </c>
      <c r="U617" t="s">
        <v>66</v>
      </c>
      <c r="V617">
        <v>422.07</v>
      </c>
      <c r="W617" t="s">
        <v>67</v>
      </c>
      <c r="X617">
        <v>16.57</v>
      </c>
      <c r="Y617" t="s">
        <v>96</v>
      </c>
      <c r="Z617">
        <v>8.1</v>
      </c>
      <c r="AA617" t="s">
        <v>67</v>
      </c>
      <c r="AB617">
        <v>0.05</v>
      </c>
      <c r="AC617">
        <v>1078.21</v>
      </c>
      <c r="AD617" t="s">
        <v>67</v>
      </c>
      <c r="AE617">
        <v>53.06</v>
      </c>
      <c r="AF617">
        <v>7.7</v>
      </c>
      <c r="AG617" t="s">
        <v>67</v>
      </c>
      <c r="AH617">
        <v>0.05</v>
      </c>
      <c r="AI617">
        <v>15</v>
      </c>
      <c r="AJ617" t="s">
        <v>67</v>
      </c>
      <c r="AK617">
        <v>0.5</v>
      </c>
      <c r="AL617">
        <v>20</v>
      </c>
      <c r="AM617" t="s">
        <v>67</v>
      </c>
      <c r="AN617">
        <v>0.5</v>
      </c>
      <c r="AO617">
        <v>656</v>
      </c>
      <c r="AP617">
        <v>5</v>
      </c>
      <c r="AQ617" t="s">
        <v>201</v>
      </c>
      <c r="AR617" t="s">
        <v>104</v>
      </c>
      <c r="AS617" t="s">
        <v>105</v>
      </c>
      <c r="AT617" t="s">
        <v>70</v>
      </c>
      <c r="AU617" t="s">
        <v>89</v>
      </c>
      <c r="AV617" t="s">
        <v>88</v>
      </c>
      <c r="AW617" t="s">
        <v>151</v>
      </c>
      <c r="AX617" t="s">
        <v>90</v>
      </c>
      <c r="AY617">
        <v>88.090299999999999</v>
      </c>
      <c r="AZ617">
        <v>88.090350000000001</v>
      </c>
      <c r="BA617">
        <v>7.1868999999999996</v>
      </c>
      <c r="BC617">
        <v>77</v>
      </c>
      <c r="BD617">
        <v>59.548299999999998</v>
      </c>
      <c r="BE617">
        <v>59.548254620000002</v>
      </c>
      <c r="BF617">
        <v>8.8295999999999992</v>
      </c>
      <c r="BH617">
        <v>77</v>
      </c>
      <c r="BI617">
        <v>146</v>
      </c>
      <c r="BJ617">
        <v>5</v>
      </c>
      <c r="BK617">
        <v>-0.3916</v>
      </c>
      <c r="BL617">
        <v>2.86E-2</v>
      </c>
    </row>
    <row r="618" spans="1:64" hidden="1" x14ac:dyDescent="0.2">
      <c r="A618">
        <v>163</v>
      </c>
      <c r="D618" t="s">
        <v>54</v>
      </c>
      <c r="E618">
        <v>2018</v>
      </c>
      <c r="F618" t="s">
        <v>273</v>
      </c>
      <c r="G618" t="s">
        <v>230</v>
      </c>
      <c r="H618" t="s">
        <v>78</v>
      </c>
      <c r="K618" t="s">
        <v>79</v>
      </c>
      <c r="L618" t="s">
        <v>274</v>
      </c>
      <c r="M618" t="s">
        <v>95</v>
      </c>
      <c r="N618" t="s">
        <v>61</v>
      </c>
      <c r="O618" t="s">
        <v>62</v>
      </c>
      <c r="P618" t="s">
        <v>63</v>
      </c>
      <c r="Q618" t="s">
        <v>64</v>
      </c>
      <c r="R618" t="s">
        <v>65</v>
      </c>
      <c r="S618" t="s">
        <v>64</v>
      </c>
      <c r="T618" t="s">
        <v>74</v>
      </c>
      <c r="U618" t="s">
        <v>84</v>
      </c>
      <c r="V618">
        <v>435</v>
      </c>
      <c r="W618" t="s">
        <v>67</v>
      </c>
      <c r="X618">
        <v>38</v>
      </c>
      <c r="Y618" t="s">
        <v>67</v>
      </c>
      <c r="Z618" t="s">
        <v>67</v>
      </c>
      <c r="AA618" t="s">
        <v>67</v>
      </c>
      <c r="AB618" t="s">
        <v>67</v>
      </c>
      <c r="AC618">
        <v>992</v>
      </c>
      <c r="AD618" t="s">
        <v>67</v>
      </c>
      <c r="AE618">
        <v>19</v>
      </c>
      <c r="AF618" t="s">
        <v>67</v>
      </c>
      <c r="AG618" t="s">
        <v>67</v>
      </c>
      <c r="AH618" t="s">
        <v>67</v>
      </c>
      <c r="AI618">
        <v>28.8</v>
      </c>
      <c r="AJ618" t="s">
        <v>67</v>
      </c>
      <c r="AK618">
        <v>0.2</v>
      </c>
      <c r="AL618">
        <v>28.8</v>
      </c>
      <c r="AM618" t="s">
        <v>67</v>
      </c>
      <c r="AN618">
        <v>0.2</v>
      </c>
      <c r="AO618">
        <v>557</v>
      </c>
      <c r="AP618">
        <v>0</v>
      </c>
      <c r="AQ618" t="s">
        <v>67</v>
      </c>
      <c r="AR618" t="s">
        <v>473</v>
      </c>
      <c r="AS618" t="s">
        <v>473</v>
      </c>
      <c r="AT618" t="s">
        <v>135</v>
      </c>
      <c r="AU618" t="s">
        <v>474</v>
      </c>
      <c r="AV618" t="s">
        <v>251</v>
      </c>
      <c r="AX618" t="s">
        <v>73</v>
      </c>
      <c r="AY618">
        <v>34.545499999999997</v>
      </c>
      <c r="AZ618">
        <v>34.545450000000002</v>
      </c>
      <c r="BA618">
        <v>3.81</v>
      </c>
      <c r="BC618">
        <v>44</v>
      </c>
      <c r="BD618">
        <v>23.181799999999999</v>
      </c>
      <c r="BE618">
        <v>23.18181818</v>
      </c>
      <c r="BF618">
        <v>2.9758</v>
      </c>
      <c r="BH618">
        <v>44</v>
      </c>
      <c r="BI618">
        <v>45</v>
      </c>
      <c r="BJ618">
        <v>6</v>
      </c>
      <c r="BK618">
        <v>-0.39889999999999998</v>
      </c>
      <c r="BL618">
        <v>2.87E-2</v>
      </c>
    </row>
    <row r="619" spans="1:64" hidden="1" x14ac:dyDescent="0.2">
      <c r="A619">
        <v>142</v>
      </c>
      <c r="D619" t="s">
        <v>54</v>
      </c>
      <c r="E619">
        <v>2017</v>
      </c>
      <c r="F619" t="s">
        <v>193</v>
      </c>
      <c r="G619" t="s">
        <v>181</v>
      </c>
      <c r="H619" t="s">
        <v>78</v>
      </c>
      <c r="K619" t="s">
        <v>194</v>
      </c>
      <c r="L619" t="s">
        <v>299</v>
      </c>
      <c r="M619" t="s">
        <v>120</v>
      </c>
      <c r="N619" t="s">
        <v>120</v>
      </c>
      <c r="O619" t="s">
        <v>62</v>
      </c>
      <c r="P619" t="s">
        <v>196</v>
      </c>
      <c r="Q619" t="s">
        <v>64</v>
      </c>
      <c r="R619" t="s">
        <v>83</v>
      </c>
      <c r="S619" t="s">
        <v>64</v>
      </c>
      <c r="T619" t="s">
        <v>74</v>
      </c>
      <c r="U619" t="s">
        <v>84</v>
      </c>
      <c r="V619">
        <v>439</v>
      </c>
      <c r="W619">
        <v>16.079999999999998</v>
      </c>
      <c r="X619" t="s">
        <v>67</v>
      </c>
      <c r="Y619" t="s">
        <v>67</v>
      </c>
      <c r="Z619" t="s">
        <v>67</v>
      </c>
      <c r="AA619" t="s">
        <v>67</v>
      </c>
      <c r="AB619" t="s">
        <v>67</v>
      </c>
      <c r="AC619">
        <v>954</v>
      </c>
      <c r="AD619">
        <v>50.38</v>
      </c>
      <c r="AE619" t="s">
        <v>67</v>
      </c>
      <c r="AF619" t="s">
        <v>67</v>
      </c>
      <c r="AG619" t="s">
        <v>67</v>
      </c>
      <c r="AH619" t="s">
        <v>67</v>
      </c>
      <c r="AI619">
        <v>-0.6</v>
      </c>
      <c r="AJ619">
        <v>0.17</v>
      </c>
      <c r="AK619" t="s">
        <v>67</v>
      </c>
      <c r="AL619">
        <v>-0.5</v>
      </c>
      <c r="AM619">
        <v>0.16</v>
      </c>
      <c r="AN619" t="s">
        <v>67</v>
      </c>
      <c r="AO619">
        <v>515</v>
      </c>
      <c r="AP619">
        <v>0.2</v>
      </c>
      <c r="AQ619" t="s">
        <v>470</v>
      </c>
      <c r="AR619" t="s">
        <v>471</v>
      </c>
      <c r="AS619" t="s">
        <v>412</v>
      </c>
      <c r="AT619" t="s">
        <v>135</v>
      </c>
      <c r="AU619" t="s">
        <v>472</v>
      </c>
      <c r="AV619" t="s">
        <v>132</v>
      </c>
      <c r="AX619" t="s">
        <v>73</v>
      </c>
      <c r="AY619">
        <v>5.1999999999999998E-2</v>
      </c>
      <c r="AZ619">
        <v>5.1999999999999998E-2</v>
      </c>
      <c r="BA619">
        <v>0.01</v>
      </c>
      <c r="BC619">
        <v>9</v>
      </c>
      <c r="BD619">
        <v>7.3599999999999999E-2</v>
      </c>
      <c r="BE619">
        <v>7.3599999999999999E-2</v>
      </c>
      <c r="BF619">
        <v>6.3E-3</v>
      </c>
      <c r="BH619">
        <v>9</v>
      </c>
      <c r="BI619">
        <v>42</v>
      </c>
      <c r="BJ619">
        <v>1</v>
      </c>
      <c r="BK619">
        <v>0.34739999999999999</v>
      </c>
      <c r="BL619">
        <v>2.87E-2</v>
      </c>
    </row>
    <row r="620" spans="1:64" hidden="1" x14ac:dyDescent="0.2">
      <c r="A620">
        <v>142</v>
      </c>
      <c r="D620" t="s">
        <v>54</v>
      </c>
      <c r="E620">
        <v>2017</v>
      </c>
      <c r="F620" t="s">
        <v>193</v>
      </c>
      <c r="G620" t="s">
        <v>181</v>
      </c>
      <c r="H620" t="s">
        <v>78</v>
      </c>
      <c r="K620" t="s">
        <v>194</v>
      </c>
      <c r="L620" t="s">
        <v>299</v>
      </c>
      <c r="M620" t="s">
        <v>120</v>
      </c>
      <c r="N620" t="s">
        <v>120</v>
      </c>
      <c r="O620" t="s">
        <v>62</v>
      </c>
      <c r="P620" t="s">
        <v>196</v>
      </c>
      <c r="Q620" t="s">
        <v>64</v>
      </c>
      <c r="R620" t="s">
        <v>83</v>
      </c>
      <c r="S620" t="s">
        <v>64</v>
      </c>
      <c r="T620" t="s">
        <v>64</v>
      </c>
      <c r="U620" t="s">
        <v>66</v>
      </c>
      <c r="V620">
        <v>439</v>
      </c>
      <c r="W620">
        <v>16.079999999999998</v>
      </c>
      <c r="X620" t="s">
        <v>67</v>
      </c>
      <c r="Y620" t="s">
        <v>67</v>
      </c>
      <c r="Z620" t="s">
        <v>67</v>
      </c>
      <c r="AA620" t="s">
        <v>67</v>
      </c>
      <c r="AB620" t="s">
        <v>67</v>
      </c>
      <c r="AC620">
        <v>1027</v>
      </c>
      <c r="AD620">
        <v>9.0299999999999994</v>
      </c>
      <c r="AE620" t="s">
        <v>67</v>
      </c>
      <c r="AF620" t="s">
        <v>67</v>
      </c>
      <c r="AG620" t="s">
        <v>67</v>
      </c>
      <c r="AH620" t="s">
        <v>67</v>
      </c>
      <c r="AI620">
        <v>-0.6</v>
      </c>
      <c r="AJ620">
        <v>0.17</v>
      </c>
      <c r="AK620" t="s">
        <v>67</v>
      </c>
      <c r="AL620">
        <v>4.2</v>
      </c>
      <c r="AM620">
        <v>0.56000000000000005</v>
      </c>
      <c r="AN620" t="s">
        <v>67</v>
      </c>
      <c r="AO620">
        <v>588</v>
      </c>
      <c r="AP620">
        <v>4.8</v>
      </c>
      <c r="AQ620" t="s">
        <v>470</v>
      </c>
      <c r="AR620" t="s">
        <v>471</v>
      </c>
      <c r="AS620" t="s">
        <v>412</v>
      </c>
      <c r="AT620" t="s">
        <v>135</v>
      </c>
      <c r="AU620" t="s">
        <v>472</v>
      </c>
      <c r="AV620" t="s">
        <v>132</v>
      </c>
      <c r="AX620" t="s">
        <v>73</v>
      </c>
      <c r="AY620">
        <v>5.1999999999999998E-2</v>
      </c>
      <c r="AZ620">
        <v>5.1999999999999998E-2</v>
      </c>
      <c r="BA620">
        <v>0.01</v>
      </c>
      <c r="BC620">
        <v>9</v>
      </c>
      <c r="BD620">
        <v>4.3099999999999999E-2</v>
      </c>
      <c r="BE620">
        <v>4.3099999999999999E-2</v>
      </c>
      <c r="BF620">
        <v>3.8E-3</v>
      </c>
      <c r="BH620">
        <v>9</v>
      </c>
      <c r="BI620">
        <v>42</v>
      </c>
      <c r="BJ620">
        <v>1</v>
      </c>
      <c r="BK620">
        <v>-0.18770000000000001</v>
      </c>
      <c r="BL620">
        <v>2.9100000000000001E-2</v>
      </c>
    </row>
    <row r="621" spans="1:64" hidden="1" x14ac:dyDescent="0.2">
      <c r="A621">
        <v>173</v>
      </c>
      <c r="D621" t="s">
        <v>54</v>
      </c>
      <c r="E621">
        <v>2014</v>
      </c>
      <c r="F621" t="s">
        <v>257</v>
      </c>
      <c r="G621" t="s">
        <v>258</v>
      </c>
      <c r="H621" t="s">
        <v>78</v>
      </c>
      <c r="K621" t="s">
        <v>79</v>
      </c>
      <c r="L621" t="s">
        <v>210</v>
      </c>
      <c r="M621" t="s">
        <v>156</v>
      </c>
      <c r="N621" t="s">
        <v>156</v>
      </c>
      <c r="O621" t="s">
        <v>62</v>
      </c>
      <c r="P621" t="s">
        <v>63</v>
      </c>
      <c r="Q621" t="s">
        <v>74</v>
      </c>
      <c r="R621" t="s">
        <v>83</v>
      </c>
      <c r="S621" t="s">
        <v>64</v>
      </c>
      <c r="T621" t="s">
        <v>74</v>
      </c>
      <c r="U621" t="s">
        <v>84</v>
      </c>
      <c r="V621">
        <v>598.33000000000004</v>
      </c>
      <c r="W621" t="s">
        <v>67</v>
      </c>
      <c r="X621">
        <v>38.33</v>
      </c>
      <c r="Y621" t="s">
        <v>96</v>
      </c>
      <c r="Z621">
        <v>8.0299999999999994</v>
      </c>
      <c r="AA621" t="s">
        <v>67</v>
      </c>
      <c r="AB621">
        <v>0.03</v>
      </c>
      <c r="AC621">
        <v>1004</v>
      </c>
      <c r="AD621" t="s">
        <v>67</v>
      </c>
      <c r="AE621">
        <v>92.33</v>
      </c>
      <c r="AF621">
        <v>7.82</v>
      </c>
      <c r="AG621" t="s">
        <v>67</v>
      </c>
      <c r="AH621">
        <v>0.05</v>
      </c>
      <c r="AI621">
        <v>17</v>
      </c>
      <c r="AJ621" t="s">
        <v>67</v>
      </c>
      <c r="AK621">
        <v>0.34</v>
      </c>
      <c r="AL621">
        <v>17</v>
      </c>
      <c r="AM621" t="s">
        <v>67</v>
      </c>
      <c r="AN621">
        <v>0.34</v>
      </c>
      <c r="AO621">
        <v>406</v>
      </c>
      <c r="AP621">
        <v>0</v>
      </c>
      <c r="AQ621" t="s">
        <v>67</v>
      </c>
      <c r="AR621" t="s">
        <v>389</v>
      </c>
      <c r="AS621" t="s">
        <v>293</v>
      </c>
      <c r="AT621" t="s">
        <v>70</v>
      </c>
      <c r="AU621" t="s">
        <v>294</v>
      </c>
      <c r="AV621" t="s">
        <v>72</v>
      </c>
      <c r="AX621" t="s">
        <v>73</v>
      </c>
      <c r="AY621">
        <v>169.6</v>
      </c>
      <c r="AZ621">
        <v>169.6</v>
      </c>
      <c r="BA621">
        <v>22.4</v>
      </c>
      <c r="BC621">
        <v>14</v>
      </c>
      <c r="BD621">
        <v>176</v>
      </c>
      <c r="BE621">
        <v>176</v>
      </c>
      <c r="BF621">
        <v>19.2</v>
      </c>
      <c r="BH621">
        <v>14</v>
      </c>
      <c r="BI621">
        <v>69</v>
      </c>
      <c r="BJ621">
        <v>3</v>
      </c>
      <c r="BK621">
        <v>3.6999999999999998E-2</v>
      </c>
      <c r="BL621">
        <v>2.93E-2</v>
      </c>
    </row>
    <row r="622" spans="1:64" x14ac:dyDescent="0.2">
      <c r="A622">
        <v>177</v>
      </c>
      <c r="B622" t="str">
        <f>ROW()-1&amp;"_AltersFish"</f>
        <v>621_AltersFish</v>
      </c>
      <c r="C622" t="str">
        <f>A622 &amp; "_" &amp; P622 &amp; "_" &amp;
SUBSTITUTE(TRIM(L622)," ","_") &amp;
"_pH" &amp; TEXT(Z622,"0.00") &amp;
"_T" &amp; TEXT(AI622,"0.00") &amp;
"_CO2" &amp; TEXT(V622,"0") &amp;
"_LANG"</f>
        <v>177_LARVA_Sparus_aurata_pH8.09_T18.40_CO2342_LANG</v>
      </c>
      <c r="D622" t="s">
        <v>54</v>
      </c>
      <c r="E622">
        <v>2019</v>
      </c>
      <c r="F622" t="s">
        <v>162</v>
      </c>
      <c r="G622" t="s">
        <v>163</v>
      </c>
      <c r="H622" t="s">
        <v>78</v>
      </c>
      <c r="I622" t="s">
        <v>540</v>
      </c>
      <c r="J622" t="s">
        <v>543</v>
      </c>
      <c r="K622" t="s">
        <v>79</v>
      </c>
      <c r="L622" t="s">
        <v>164</v>
      </c>
      <c r="M622" t="s">
        <v>156</v>
      </c>
      <c r="N622" t="s">
        <v>156</v>
      </c>
      <c r="O622" t="s">
        <v>106</v>
      </c>
      <c r="P622" t="s">
        <v>107</v>
      </c>
      <c r="Q622" t="s">
        <v>74</v>
      </c>
      <c r="R622" t="s">
        <v>83</v>
      </c>
      <c r="S622" t="s">
        <v>64</v>
      </c>
      <c r="T622" t="s">
        <v>64</v>
      </c>
      <c r="U622" t="s">
        <v>66</v>
      </c>
      <c r="V622">
        <v>342</v>
      </c>
      <c r="W622" t="s">
        <v>67</v>
      </c>
      <c r="X622">
        <v>74</v>
      </c>
      <c r="Y622" t="s">
        <v>157</v>
      </c>
      <c r="Z622">
        <v>8.09</v>
      </c>
      <c r="AA622" t="s">
        <v>67</v>
      </c>
      <c r="AB622">
        <v>7.0000000000000007E-2</v>
      </c>
      <c r="AC622">
        <v>1473</v>
      </c>
      <c r="AD622" t="s">
        <v>67</v>
      </c>
      <c r="AE622">
        <v>92</v>
      </c>
      <c r="AF622">
        <v>7.53</v>
      </c>
      <c r="AG622" t="s">
        <v>67</v>
      </c>
      <c r="AH622">
        <v>0.04</v>
      </c>
      <c r="AI622">
        <v>18.399999999999999</v>
      </c>
      <c r="AJ622" t="s">
        <v>67</v>
      </c>
      <c r="AK622">
        <v>0.3</v>
      </c>
      <c r="AL622">
        <v>22.1</v>
      </c>
      <c r="AM622" t="s">
        <v>67</v>
      </c>
      <c r="AN622">
        <v>0.5</v>
      </c>
      <c r="AO622">
        <v>1131</v>
      </c>
      <c r="AP622">
        <v>3.7</v>
      </c>
      <c r="AQ622" t="s">
        <v>67</v>
      </c>
      <c r="AR622" t="s">
        <v>134</v>
      </c>
      <c r="AS622" t="s">
        <v>134</v>
      </c>
      <c r="AT622" t="s">
        <v>135</v>
      </c>
      <c r="AU622" t="s">
        <v>272</v>
      </c>
      <c r="AV622" t="s">
        <v>137</v>
      </c>
      <c r="AW622" t="s">
        <v>132</v>
      </c>
      <c r="AX622" t="s">
        <v>73</v>
      </c>
      <c r="AY622">
        <v>29.771100000000001</v>
      </c>
      <c r="AZ622">
        <v>29.771100000000001</v>
      </c>
      <c r="BA622">
        <v>0.86</v>
      </c>
      <c r="BB622">
        <f>BA622*SQRT(BC622)</f>
        <v>2.58</v>
      </c>
      <c r="BC622">
        <v>9</v>
      </c>
      <c r="BD622">
        <v>28.841200000000001</v>
      </c>
      <c r="BE622">
        <v>28.841201720000001</v>
      </c>
      <c r="BF622">
        <v>0.57220000000000004</v>
      </c>
      <c r="BG622">
        <f>BF622*SQRT(BH622)</f>
        <v>1.7166000000000001</v>
      </c>
      <c r="BH622">
        <v>9</v>
      </c>
      <c r="BI622">
        <v>15</v>
      </c>
      <c r="BJ622">
        <v>3</v>
      </c>
      <c r="BK622">
        <v>-3.1699999999999999E-2</v>
      </c>
      <c r="BL622">
        <v>1.1999999999999999E-3</v>
      </c>
    </row>
    <row r="623" spans="1:64" x14ac:dyDescent="0.2">
      <c r="A623">
        <v>177</v>
      </c>
      <c r="B623" t="str">
        <f>ROW()-1&amp;"_AltersFish"</f>
        <v>622_AltersFish</v>
      </c>
      <c r="C623" t="str">
        <f>A623 &amp; "_" &amp; P623 &amp; "_" &amp;
SUBSTITUTE(TRIM(L623)," ","_") &amp;
"_pH" &amp; TEXT(Z623,"0.00") &amp;
"_T" &amp; TEXT(AI623,"0.00") &amp;
"_CO2" &amp; TEXT(V623,"0") &amp;
"_LANG"</f>
        <v>177_LARVA_Sparus_aurata_pH8.09_T18.40_CO2342_LANG</v>
      </c>
      <c r="D623" t="s">
        <v>54</v>
      </c>
      <c r="E623">
        <v>2019</v>
      </c>
      <c r="F623" t="s">
        <v>162</v>
      </c>
      <c r="G623" t="s">
        <v>163</v>
      </c>
      <c r="H623" t="s">
        <v>78</v>
      </c>
      <c r="I623" t="s">
        <v>540</v>
      </c>
      <c r="J623" t="s">
        <v>543</v>
      </c>
      <c r="K623" t="s">
        <v>79</v>
      </c>
      <c r="L623" t="s">
        <v>164</v>
      </c>
      <c r="M623" t="s">
        <v>156</v>
      </c>
      <c r="N623" t="s">
        <v>156</v>
      </c>
      <c r="O623" t="s">
        <v>106</v>
      </c>
      <c r="P623" t="s">
        <v>107</v>
      </c>
      <c r="Q623" t="s">
        <v>74</v>
      </c>
      <c r="R623" t="s">
        <v>83</v>
      </c>
      <c r="S623" t="s">
        <v>64</v>
      </c>
      <c r="T623" t="s">
        <v>74</v>
      </c>
      <c r="U623" t="s">
        <v>84</v>
      </c>
      <c r="V623">
        <v>342</v>
      </c>
      <c r="W623" t="s">
        <v>67</v>
      </c>
      <c r="X623">
        <v>74</v>
      </c>
      <c r="Y623" t="s">
        <v>157</v>
      </c>
      <c r="Z623">
        <v>8.09</v>
      </c>
      <c r="AA623" t="s">
        <v>67</v>
      </c>
      <c r="AB623">
        <v>7.0000000000000007E-2</v>
      </c>
      <c r="AC623">
        <v>1485</v>
      </c>
      <c r="AD623" t="s">
        <v>67</v>
      </c>
      <c r="AE623">
        <v>91</v>
      </c>
      <c r="AF623">
        <v>7.53</v>
      </c>
      <c r="AG623" t="s">
        <v>67</v>
      </c>
      <c r="AH623">
        <v>0.04</v>
      </c>
      <c r="AI623">
        <v>18.399999999999999</v>
      </c>
      <c r="AJ623" t="s">
        <v>67</v>
      </c>
      <c r="AK623">
        <v>0.3</v>
      </c>
      <c r="AL623">
        <v>18.2</v>
      </c>
      <c r="AM623" t="s">
        <v>67</v>
      </c>
      <c r="AN623">
        <v>0.3</v>
      </c>
      <c r="AO623">
        <v>1143</v>
      </c>
      <c r="AP623">
        <v>-0.2</v>
      </c>
      <c r="AQ623" t="s">
        <v>67</v>
      </c>
      <c r="AR623" t="s">
        <v>134</v>
      </c>
      <c r="AS623" t="s">
        <v>134</v>
      </c>
      <c r="AT623" t="s">
        <v>135</v>
      </c>
      <c r="AU623" t="s">
        <v>272</v>
      </c>
      <c r="AV623" t="s">
        <v>137</v>
      </c>
      <c r="AW623" t="s">
        <v>132</v>
      </c>
      <c r="AX623" t="s">
        <v>73</v>
      </c>
      <c r="AY623">
        <v>29.771100000000001</v>
      </c>
      <c r="AZ623">
        <v>29.771100000000001</v>
      </c>
      <c r="BA623">
        <v>0.86</v>
      </c>
      <c r="BB623">
        <f>BA623*SQRT(BC623)</f>
        <v>2.58</v>
      </c>
      <c r="BC623">
        <v>9</v>
      </c>
      <c r="BD623">
        <v>23.690999999999999</v>
      </c>
      <c r="BE623">
        <v>23.690987119999999</v>
      </c>
      <c r="BF623">
        <v>0.57220000000000004</v>
      </c>
      <c r="BG623">
        <f>BF623*SQRT(BH623)</f>
        <v>1.7166000000000001</v>
      </c>
      <c r="BH623">
        <v>9</v>
      </c>
      <c r="BI623">
        <v>15</v>
      </c>
      <c r="BJ623">
        <v>3</v>
      </c>
      <c r="BK623">
        <v>-0.22839999999999999</v>
      </c>
      <c r="BL623">
        <v>1.4E-3</v>
      </c>
    </row>
    <row r="624" spans="1:64" hidden="1" x14ac:dyDescent="0.2">
      <c r="A624">
        <v>164</v>
      </c>
      <c r="D624" t="s">
        <v>54</v>
      </c>
      <c r="E624">
        <v>2017</v>
      </c>
      <c r="F624" t="s">
        <v>371</v>
      </c>
      <c r="G624" t="s">
        <v>224</v>
      </c>
      <c r="H624" t="s">
        <v>78</v>
      </c>
      <c r="K624" t="s">
        <v>79</v>
      </c>
      <c r="L624" t="s">
        <v>206</v>
      </c>
      <c r="M624" t="s">
        <v>120</v>
      </c>
      <c r="N624" t="s">
        <v>120</v>
      </c>
      <c r="O624" t="s">
        <v>110</v>
      </c>
      <c r="P624" t="s">
        <v>196</v>
      </c>
      <c r="Q624" t="s">
        <v>480</v>
      </c>
      <c r="R624" t="s">
        <v>83</v>
      </c>
      <c r="S624" t="s">
        <v>74</v>
      </c>
      <c r="T624" t="s">
        <v>64</v>
      </c>
      <c r="U624" t="s">
        <v>75</v>
      </c>
      <c r="V624">
        <v>437</v>
      </c>
      <c r="W624" t="s">
        <v>67</v>
      </c>
      <c r="X624">
        <v>10</v>
      </c>
      <c r="Y624" t="s">
        <v>157</v>
      </c>
      <c r="Z624">
        <v>8.02</v>
      </c>
      <c r="AA624" t="s">
        <v>67</v>
      </c>
      <c r="AB624">
        <v>0.01</v>
      </c>
      <c r="AC624">
        <v>458</v>
      </c>
      <c r="AD624" t="s">
        <v>67</v>
      </c>
      <c r="AE624">
        <v>45</v>
      </c>
      <c r="AF624">
        <v>8.0299999999999994</v>
      </c>
      <c r="AG624" t="s">
        <v>67</v>
      </c>
      <c r="AH624">
        <v>0.04</v>
      </c>
      <c r="AI624">
        <v>8.1999999999999993</v>
      </c>
      <c r="AJ624" t="s">
        <v>67</v>
      </c>
      <c r="AK624">
        <v>0.09</v>
      </c>
      <c r="AL624">
        <v>12.3</v>
      </c>
      <c r="AM624" t="s">
        <v>67</v>
      </c>
      <c r="AN624">
        <v>0.4</v>
      </c>
      <c r="AO624">
        <v>21</v>
      </c>
      <c r="AP624">
        <v>4.0999999999999996</v>
      </c>
      <c r="AQ624" t="s">
        <v>67</v>
      </c>
      <c r="AR624" t="s">
        <v>367</v>
      </c>
      <c r="AS624" t="s">
        <v>367</v>
      </c>
      <c r="AT624" t="s">
        <v>135</v>
      </c>
      <c r="AU624" t="s">
        <v>388</v>
      </c>
      <c r="AV624" t="s">
        <v>251</v>
      </c>
      <c r="AX624" t="s">
        <v>73</v>
      </c>
      <c r="AY624">
        <v>13.2</v>
      </c>
      <c r="AZ624">
        <v>13.2</v>
      </c>
      <c r="BA624">
        <v>1.3</v>
      </c>
      <c r="BC624">
        <v>12</v>
      </c>
      <c r="BD624">
        <v>14.2</v>
      </c>
      <c r="BE624">
        <v>14.2</v>
      </c>
      <c r="BF624">
        <v>2</v>
      </c>
      <c r="BH624">
        <v>10</v>
      </c>
      <c r="BI624">
        <v>42</v>
      </c>
      <c r="BJ624">
        <v>8</v>
      </c>
      <c r="BK624">
        <v>7.2999999999999995E-2</v>
      </c>
      <c r="BL624">
        <v>2.9499999999999998E-2</v>
      </c>
    </row>
    <row r="625" spans="1:65" hidden="1" x14ac:dyDescent="0.2">
      <c r="A625">
        <v>158</v>
      </c>
      <c r="D625" t="s">
        <v>54</v>
      </c>
      <c r="E625">
        <v>2019</v>
      </c>
      <c r="F625" t="s">
        <v>493</v>
      </c>
      <c r="G625" t="s">
        <v>494</v>
      </c>
      <c r="H625" t="s">
        <v>57</v>
      </c>
      <c r="K625" t="s">
        <v>234</v>
      </c>
      <c r="L625" t="s">
        <v>200</v>
      </c>
      <c r="M625" t="s">
        <v>81</v>
      </c>
      <c r="N625" t="s">
        <v>81</v>
      </c>
      <c r="O625" t="s">
        <v>62</v>
      </c>
      <c r="P625" t="s">
        <v>63</v>
      </c>
      <c r="Q625" t="s">
        <v>74</v>
      </c>
      <c r="R625" t="s">
        <v>65</v>
      </c>
      <c r="S625" t="s">
        <v>64</v>
      </c>
      <c r="T625" t="s">
        <v>64</v>
      </c>
      <c r="U625" t="s">
        <v>66</v>
      </c>
      <c r="V625">
        <v>422</v>
      </c>
      <c r="W625" t="s">
        <v>67</v>
      </c>
      <c r="X625">
        <v>52</v>
      </c>
      <c r="Y625" t="s">
        <v>121</v>
      </c>
      <c r="Z625">
        <v>8.07</v>
      </c>
      <c r="AA625" t="s">
        <v>67</v>
      </c>
      <c r="AB625">
        <v>7.0000000000000007E-2</v>
      </c>
      <c r="AC625">
        <v>1103</v>
      </c>
      <c r="AD625" t="s">
        <v>67</v>
      </c>
      <c r="AE625">
        <v>153</v>
      </c>
      <c r="AF625">
        <v>7.7</v>
      </c>
      <c r="AG625" t="s">
        <v>67</v>
      </c>
      <c r="AH625">
        <v>0.06</v>
      </c>
      <c r="AI625">
        <v>15</v>
      </c>
      <c r="AJ625" t="s">
        <v>67</v>
      </c>
      <c r="AK625">
        <v>0.5</v>
      </c>
      <c r="AL625">
        <v>20</v>
      </c>
      <c r="AM625" t="s">
        <v>67</v>
      </c>
      <c r="AN625">
        <v>0.5</v>
      </c>
      <c r="AO625">
        <v>681</v>
      </c>
      <c r="AP625">
        <v>5</v>
      </c>
      <c r="AQ625" t="s">
        <v>67</v>
      </c>
      <c r="AR625" t="s">
        <v>495</v>
      </c>
      <c r="AS625" t="s">
        <v>495</v>
      </c>
      <c r="AT625" t="s">
        <v>135</v>
      </c>
      <c r="AU625" t="s">
        <v>496</v>
      </c>
      <c r="AV625" t="s">
        <v>142</v>
      </c>
      <c r="AX625" t="s">
        <v>73</v>
      </c>
      <c r="AY625">
        <v>607.76900000000001</v>
      </c>
      <c r="AZ625">
        <v>607.76900000000001</v>
      </c>
      <c r="BA625">
        <v>93.71</v>
      </c>
      <c r="BC625">
        <v>10</v>
      </c>
      <c r="BD625">
        <v>1445.481</v>
      </c>
      <c r="BE625">
        <v>1445.481</v>
      </c>
      <c r="BF625">
        <v>110.1407</v>
      </c>
      <c r="BH625">
        <v>10</v>
      </c>
      <c r="BI625">
        <v>180</v>
      </c>
      <c r="BJ625">
        <v>10</v>
      </c>
      <c r="BK625">
        <v>0.86639999999999995</v>
      </c>
      <c r="BL625">
        <v>2.9600000000000001E-2</v>
      </c>
    </row>
    <row r="626" spans="1:65" hidden="1" x14ac:dyDescent="0.2">
      <c r="A626">
        <v>146</v>
      </c>
      <c r="D626" t="s">
        <v>54</v>
      </c>
      <c r="E626">
        <v>2016</v>
      </c>
      <c r="F626" t="s">
        <v>347</v>
      </c>
      <c r="G626" t="s">
        <v>348</v>
      </c>
      <c r="H626" t="s">
        <v>78</v>
      </c>
      <c r="K626" t="s">
        <v>349</v>
      </c>
      <c r="L626" t="s">
        <v>125</v>
      </c>
      <c r="M626" t="s">
        <v>126</v>
      </c>
      <c r="N626" t="s">
        <v>81</v>
      </c>
      <c r="O626" t="s">
        <v>62</v>
      </c>
      <c r="P626" t="s">
        <v>63</v>
      </c>
      <c r="Q626" t="s">
        <v>74</v>
      </c>
      <c r="R626" t="s">
        <v>83</v>
      </c>
      <c r="S626" t="s">
        <v>64</v>
      </c>
      <c r="T626" t="s">
        <v>74</v>
      </c>
      <c r="U626" t="s">
        <v>84</v>
      </c>
      <c r="V626">
        <v>360</v>
      </c>
      <c r="W626" t="s">
        <v>67</v>
      </c>
      <c r="X626">
        <v>35.299999999999997</v>
      </c>
      <c r="Y626" t="s">
        <v>68</v>
      </c>
      <c r="Z626">
        <v>8.01</v>
      </c>
      <c r="AA626" t="s">
        <v>67</v>
      </c>
      <c r="AB626">
        <v>0.04</v>
      </c>
      <c r="AC626">
        <v>960</v>
      </c>
      <c r="AD626" t="s">
        <v>67</v>
      </c>
      <c r="AE626">
        <v>50.8</v>
      </c>
      <c r="AF626">
        <v>7.61</v>
      </c>
      <c r="AG626" t="s">
        <v>67</v>
      </c>
      <c r="AH626">
        <v>0.02</v>
      </c>
      <c r="AI626">
        <v>19.2</v>
      </c>
      <c r="AJ626" t="s">
        <v>67</v>
      </c>
      <c r="AK626">
        <v>0.3</v>
      </c>
      <c r="AL626">
        <v>19.100000000000001</v>
      </c>
      <c r="AM626" t="s">
        <v>67</v>
      </c>
      <c r="AN626">
        <v>0.31</v>
      </c>
      <c r="AO626">
        <v>600</v>
      </c>
      <c r="AP626">
        <v>-0.1</v>
      </c>
      <c r="AQ626" t="s">
        <v>350</v>
      </c>
      <c r="AR626" t="s">
        <v>468</v>
      </c>
      <c r="AS626" t="s">
        <v>412</v>
      </c>
      <c r="AT626" t="s">
        <v>135</v>
      </c>
      <c r="AU626" t="s">
        <v>469</v>
      </c>
      <c r="AV626" t="s">
        <v>132</v>
      </c>
      <c r="AX626" t="s">
        <v>73</v>
      </c>
      <c r="AY626">
        <v>8.66</v>
      </c>
      <c r="AZ626">
        <v>8.66</v>
      </c>
      <c r="BA626">
        <v>0.76</v>
      </c>
      <c r="BC626">
        <v>5</v>
      </c>
      <c r="BD626">
        <v>5.8</v>
      </c>
      <c r="BE626">
        <v>5.8</v>
      </c>
      <c r="BF626">
        <v>0.86</v>
      </c>
      <c r="BH626">
        <v>5</v>
      </c>
      <c r="BI626">
        <v>28</v>
      </c>
      <c r="BJ626">
        <v>6</v>
      </c>
      <c r="BK626">
        <v>-0.40089999999999998</v>
      </c>
      <c r="BL626">
        <v>2.9700000000000001E-2</v>
      </c>
    </row>
    <row r="627" spans="1:65" hidden="1" x14ac:dyDescent="0.2">
      <c r="A627">
        <v>135</v>
      </c>
      <c r="D627" t="s">
        <v>54</v>
      </c>
      <c r="E627">
        <v>2012</v>
      </c>
      <c r="F627" t="s">
        <v>219</v>
      </c>
      <c r="G627" t="s">
        <v>220</v>
      </c>
      <c r="H627" t="s">
        <v>78</v>
      </c>
      <c r="K627" t="s">
        <v>194</v>
      </c>
      <c r="L627" t="s">
        <v>221</v>
      </c>
      <c r="M627" t="s">
        <v>120</v>
      </c>
      <c r="N627" t="s">
        <v>120</v>
      </c>
      <c r="O627" t="s">
        <v>62</v>
      </c>
      <c r="P627" t="s">
        <v>196</v>
      </c>
      <c r="Q627" t="s">
        <v>64</v>
      </c>
      <c r="R627" t="s">
        <v>83</v>
      </c>
      <c r="S627" t="s">
        <v>64</v>
      </c>
      <c r="T627" t="s">
        <v>74</v>
      </c>
      <c r="U627" t="s">
        <v>84</v>
      </c>
      <c r="V627">
        <v>357</v>
      </c>
      <c r="W627">
        <v>18.260000000000002</v>
      </c>
      <c r="X627" t="s">
        <v>67</v>
      </c>
      <c r="Y627" t="s">
        <v>96</v>
      </c>
      <c r="Z627">
        <v>8.25</v>
      </c>
      <c r="AA627">
        <v>0.02</v>
      </c>
      <c r="AB627" t="s">
        <v>67</v>
      </c>
      <c r="AC627">
        <v>2179</v>
      </c>
      <c r="AD627">
        <v>54.5</v>
      </c>
      <c r="AE627" t="s">
        <v>67</v>
      </c>
      <c r="AF627">
        <v>7.46</v>
      </c>
      <c r="AG627">
        <v>0.02</v>
      </c>
      <c r="AH627" t="s">
        <v>67</v>
      </c>
      <c r="AI627">
        <v>1.5</v>
      </c>
      <c r="AJ627">
        <v>0.09</v>
      </c>
      <c r="AK627" t="s">
        <v>67</v>
      </c>
      <c r="AL627">
        <v>1.4</v>
      </c>
      <c r="AM627">
        <v>0.17</v>
      </c>
      <c r="AN627" t="s">
        <v>67</v>
      </c>
      <c r="AO627">
        <v>1822</v>
      </c>
      <c r="AP627">
        <v>-0.1</v>
      </c>
      <c r="AQ627" t="s">
        <v>67</v>
      </c>
      <c r="AR627" t="s">
        <v>486</v>
      </c>
      <c r="AS627" t="s">
        <v>487</v>
      </c>
      <c r="AT627" t="s">
        <v>135</v>
      </c>
      <c r="AU627" t="s">
        <v>488</v>
      </c>
      <c r="AV627" t="s">
        <v>132</v>
      </c>
      <c r="AX627" t="s">
        <v>73</v>
      </c>
      <c r="AY627">
        <v>1.18</v>
      </c>
      <c r="AZ627">
        <v>1.18</v>
      </c>
      <c r="BA627">
        <v>0.19</v>
      </c>
      <c r="BC627">
        <v>9</v>
      </c>
      <c r="BD627">
        <v>1.46</v>
      </c>
      <c r="BE627">
        <v>1.46</v>
      </c>
      <c r="BF627">
        <v>0.09</v>
      </c>
      <c r="BH627">
        <v>10</v>
      </c>
      <c r="BI627">
        <v>32</v>
      </c>
      <c r="BJ627">
        <v>1</v>
      </c>
      <c r="BK627">
        <v>0.21290000000000001</v>
      </c>
      <c r="BL627">
        <v>2.9700000000000001E-2</v>
      </c>
    </row>
    <row r="628" spans="1:65" hidden="1" x14ac:dyDescent="0.2">
      <c r="A628">
        <v>142</v>
      </c>
      <c r="D628" t="s">
        <v>54</v>
      </c>
      <c r="E628">
        <v>2017</v>
      </c>
      <c r="F628" t="s">
        <v>193</v>
      </c>
      <c r="G628" t="s">
        <v>181</v>
      </c>
      <c r="H628" t="s">
        <v>78</v>
      </c>
      <c r="K628" t="s">
        <v>194</v>
      </c>
      <c r="L628" t="s">
        <v>195</v>
      </c>
      <c r="M628" t="s">
        <v>120</v>
      </c>
      <c r="N628" t="s">
        <v>120</v>
      </c>
      <c r="O628" t="s">
        <v>106</v>
      </c>
      <c r="P628" t="s">
        <v>196</v>
      </c>
      <c r="Q628" t="s">
        <v>64</v>
      </c>
      <c r="R628" t="s">
        <v>83</v>
      </c>
      <c r="S628" t="s">
        <v>64</v>
      </c>
      <c r="T628" t="s">
        <v>64</v>
      </c>
      <c r="U628" t="s">
        <v>66</v>
      </c>
      <c r="V628">
        <v>439</v>
      </c>
      <c r="W628">
        <v>16.079999999999998</v>
      </c>
      <c r="X628" t="s">
        <v>67</v>
      </c>
      <c r="Y628" t="s">
        <v>67</v>
      </c>
      <c r="Z628" t="s">
        <v>67</v>
      </c>
      <c r="AA628" t="s">
        <v>67</v>
      </c>
      <c r="AB628" t="s">
        <v>67</v>
      </c>
      <c r="AC628">
        <v>1027</v>
      </c>
      <c r="AD628">
        <v>9.0299999999999994</v>
      </c>
      <c r="AE628" t="s">
        <v>67</v>
      </c>
      <c r="AF628" t="s">
        <v>67</v>
      </c>
      <c r="AG628" t="s">
        <v>67</v>
      </c>
      <c r="AH628" t="s">
        <v>67</v>
      </c>
      <c r="AI628">
        <v>-0.6</v>
      </c>
      <c r="AJ628">
        <v>0.17</v>
      </c>
      <c r="AK628" t="s">
        <v>67</v>
      </c>
      <c r="AL628">
        <v>4.2</v>
      </c>
      <c r="AM628">
        <v>0.56000000000000005</v>
      </c>
      <c r="AN628" t="s">
        <v>67</v>
      </c>
      <c r="AO628">
        <v>588</v>
      </c>
      <c r="AP628">
        <v>4.8</v>
      </c>
      <c r="AQ628" t="s">
        <v>470</v>
      </c>
      <c r="AR628" t="s">
        <v>471</v>
      </c>
      <c r="AS628" t="s">
        <v>412</v>
      </c>
      <c r="AT628" t="s">
        <v>135</v>
      </c>
      <c r="AU628" t="s">
        <v>472</v>
      </c>
      <c r="AV628" t="s">
        <v>132</v>
      </c>
      <c r="AX628" t="s">
        <v>73</v>
      </c>
      <c r="AY628">
        <v>5.7000000000000002E-2</v>
      </c>
      <c r="AZ628">
        <v>5.7000000000000002E-2</v>
      </c>
      <c r="BA628">
        <v>4.0000000000000001E-3</v>
      </c>
      <c r="BC628">
        <v>9</v>
      </c>
      <c r="BD628">
        <v>1.9E-2</v>
      </c>
      <c r="BE628">
        <v>1.9E-2</v>
      </c>
      <c r="BF628">
        <v>3.0000000000000001E-3</v>
      </c>
      <c r="BH628">
        <v>5</v>
      </c>
      <c r="BI628">
        <v>56</v>
      </c>
      <c r="BJ628">
        <v>1</v>
      </c>
      <c r="BK628">
        <v>-1.0986</v>
      </c>
      <c r="BL628">
        <v>2.9899999999999999E-2</v>
      </c>
    </row>
    <row r="629" spans="1:65" x14ac:dyDescent="0.2">
      <c r="A629">
        <v>177</v>
      </c>
      <c r="B629" t="str">
        <f>ROW()-1&amp;"_AltersFish"</f>
        <v>628_AltersFish</v>
      </c>
      <c r="C629" t="str">
        <f>A629 &amp; "_" &amp; P629 &amp; "_" &amp;
SUBSTITUTE(TRIM(L629)," ","_") &amp;
"_pH" &amp; TEXT(Z629,"0.00") &amp;
"_T" &amp; TEXT(AI629,"0.00") &amp;
"_CO2" &amp; TEXT(V629,"0") &amp;
"_LANG"</f>
        <v>177_LARVA_Sparus_aurata_pH8.09_T18.40_CO2342_LANG</v>
      </c>
      <c r="D629" t="s">
        <v>54</v>
      </c>
      <c r="E629">
        <v>2019</v>
      </c>
      <c r="F629" t="s">
        <v>162</v>
      </c>
      <c r="G629" t="s">
        <v>163</v>
      </c>
      <c r="H629" t="s">
        <v>78</v>
      </c>
      <c r="I629" t="s">
        <v>540</v>
      </c>
      <c r="J629" t="s">
        <v>543</v>
      </c>
      <c r="K629" t="s">
        <v>79</v>
      </c>
      <c r="L629" t="s">
        <v>164</v>
      </c>
      <c r="M629" t="s">
        <v>156</v>
      </c>
      <c r="N629" t="s">
        <v>156</v>
      </c>
      <c r="O629" t="s">
        <v>106</v>
      </c>
      <c r="P629" t="s">
        <v>107</v>
      </c>
      <c r="Q629" t="s">
        <v>74</v>
      </c>
      <c r="R629" t="s">
        <v>83</v>
      </c>
      <c r="S629" t="s">
        <v>74</v>
      </c>
      <c r="T629" t="s">
        <v>64</v>
      </c>
      <c r="U629" t="s">
        <v>75</v>
      </c>
      <c r="V629">
        <v>342</v>
      </c>
      <c r="W629" t="s">
        <v>67</v>
      </c>
      <c r="X629">
        <v>74</v>
      </c>
      <c r="Y629" t="s">
        <v>157</v>
      </c>
      <c r="Z629">
        <v>8.09</v>
      </c>
      <c r="AA629" t="s">
        <v>67</v>
      </c>
      <c r="AB629">
        <v>7.0000000000000007E-2</v>
      </c>
      <c r="AC629">
        <v>337</v>
      </c>
      <c r="AD629" t="s">
        <v>67</v>
      </c>
      <c r="AE629">
        <v>73</v>
      </c>
      <c r="AF629">
        <v>8.09</v>
      </c>
      <c r="AG629" t="s">
        <v>67</v>
      </c>
      <c r="AH629">
        <v>7.0000000000000007E-2</v>
      </c>
      <c r="AI629">
        <v>18.399999999999999</v>
      </c>
      <c r="AJ629" t="s">
        <v>67</v>
      </c>
      <c r="AK629">
        <v>0.3</v>
      </c>
      <c r="AL629">
        <v>22.3</v>
      </c>
      <c r="AM629" t="s">
        <v>67</v>
      </c>
      <c r="AN629">
        <v>0.3</v>
      </c>
      <c r="AO629">
        <v>-5</v>
      </c>
      <c r="AP629">
        <v>3.9</v>
      </c>
      <c r="AQ629" t="s">
        <v>67</v>
      </c>
      <c r="AR629" t="s">
        <v>165</v>
      </c>
      <c r="AS629" t="s">
        <v>166</v>
      </c>
      <c r="AT629" t="s">
        <v>135</v>
      </c>
      <c r="AU629" t="s">
        <v>167</v>
      </c>
      <c r="AV629" t="s">
        <v>132</v>
      </c>
      <c r="AW629" t="s">
        <v>132</v>
      </c>
      <c r="AX629" t="s">
        <v>73</v>
      </c>
      <c r="AY629">
        <v>98.4</v>
      </c>
      <c r="AZ629">
        <v>98.4</v>
      </c>
      <c r="BA629">
        <v>0.92</v>
      </c>
      <c r="BB629">
        <f>BA629*SQRT(BC629)</f>
        <v>3.186973485926734</v>
      </c>
      <c r="BC629">
        <v>12</v>
      </c>
      <c r="BD629">
        <v>127.3</v>
      </c>
      <c r="BE629">
        <v>127.3</v>
      </c>
      <c r="BF629">
        <v>0.92379999999999995</v>
      </c>
      <c r="BG629">
        <f>BF629*SQRT(BH629)</f>
        <v>3.2001370720642575</v>
      </c>
      <c r="BH629">
        <v>12</v>
      </c>
      <c r="BI629">
        <v>15</v>
      </c>
      <c r="BJ629">
        <v>3</v>
      </c>
      <c r="BK629">
        <v>0.25750000000000001</v>
      </c>
      <c r="BL629">
        <v>1E-4</v>
      </c>
    </row>
    <row r="630" spans="1:65" hidden="1" x14ac:dyDescent="0.2">
      <c r="A630">
        <v>171</v>
      </c>
      <c r="C630" t="s">
        <v>549</v>
      </c>
      <c r="D630" t="s">
        <v>54</v>
      </c>
      <c r="E630">
        <v>2015</v>
      </c>
      <c r="F630" t="s">
        <v>198</v>
      </c>
      <c r="G630" t="s">
        <v>199</v>
      </c>
      <c r="H630" t="s">
        <v>57</v>
      </c>
      <c r="K630" t="s">
        <v>79</v>
      </c>
      <c r="L630" t="s">
        <v>200</v>
      </c>
      <c r="M630" t="s">
        <v>81</v>
      </c>
      <c r="N630" t="s">
        <v>81</v>
      </c>
      <c r="O630" t="s">
        <v>62</v>
      </c>
      <c r="P630" t="s">
        <v>82</v>
      </c>
      <c r="Q630" t="s">
        <v>64</v>
      </c>
      <c r="R630" t="s">
        <v>65</v>
      </c>
      <c r="S630" t="s">
        <v>74</v>
      </c>
      <c r="T630" t="s">
        <v>64</v>
      </c>
      <c r="U630" t="s">
        <v>75</v>
      </c>
      <c r="V630">
        <v>422.07</v>
      </c>
      <c r="W630" t="s">
        <v>67</v>
      </c>
      <c r="X630">
        <v>16.57</v>
      </c>
      <c r="Y630" t="s">
        <v>96</v>
      </c>
      <c r="Z630">
        <v>8.1</v>
      </c>
      <c r="AA630" t="s">
        <v>67</v>
      </c>
      <c r="AB630">
        <v>0.05</v>
      </c>
      <c r="AC630">
        <v>423.94</v>
      </c>
      <c r="AD630" t="s">
        <v>67</v>
      </c>
      <c r="AE630">
        <v>16.579999999999998</v>
      </c>
      <c r="AF630">
        <v>8.1</v>
      </c>
      <c r="AG630" t="s">
        <v>67</v>
      </c>
      <c r="AH630">
        <v>0.05</v>
      </c>
      <c r="AI630">
        <v>15</v>
      </c>
      <c r="AJ630" t="s">
        <v>67</v>
      </c>
      <c r="AK630">
        <v>0.5</v>
      </c>
      <c r="AL630">
        <v>20</v>
      </c>
      <c r="AM630" t="s">
        <v>67</v>
      </c>
      <c r="AN630">
        <v>0.5</v>
      </c>
      <c r="AO630">
        <v>2</v>
      </c>
      <c r="AP630">
        <v>5</v>
      </c>
      <c r="AQ630" t="s">
        <v>201</v>
      </c>
      <c r="AR630" t="s">
        <v>104</v>
      </c>
      <c r="AS630" t="s">
        <v>105</v>
      </c>
      <c r="AT630" t="s">
        <v>70</v>
      </c>
      <c r="AU630" t="s">
        <v>89</v>
      </c>
      <c r="AV630" t="s">
        <v>88</v>
      </c>
      <c r="AW630" t="s">
        <v>151</v>
      </c>
      <c r="AX630" t="s">
        <v>90</v>
      </c>
      <c r="AY630">
        <v>88.090299999999999</v>
      </c>
      <c r="AZ630">
        <v>88.090350000000001</v>
      </c>
      <c r="BA630">
        <v>7.1868999999999996</v>
      </c>
      <c r="BC630">
        <v>77</v>
      </c>
      <c r="BD630">
        <v>61.191000000000003</v>
      </c>
      <c r="BE630">
        <v>61.190965089999999</v>
      </c>
      <c r="BF630">
        <v>9.4456000000000007</v>
      </c>
      <c r="BH630">
        <v>77</v>
      </c>
      <c r="BI630">
        <v>151</v>
      </c>
      <c r="BJ630">
        <v>5</v>
      </c>
      <c r="BK630">
        <v>-0.3644</v>
      </c>
      <c r="BL630">
        <v>3.0499999999999999E-2</v>
      </c>
    </row>
    <row r="631" spans="1:65" hidden="1" x14ac:dyDescent="0.2">
      <c r="A631">
        <v>130</v>
      </c>
      <c r="D631" t="s">
        <v>54</v>
      </c>
      <c r="E631">
        <v>2014</v>
      </c>
      <c r="F631" t="s">
        <v>481</v>
      </c>
      <c r="G631" t="s">
        <v>482</v>
      </c>
      <c r="H631" t="s">
        <v>78</v>
      </c>
      <c r="K631" t="s">
        <v>93</v>
      </c>
      <c r="L631" t="s">
        <v>436</v>
      </c>
      <c r="M631" t="s">
        <v>95</v>
      </c>
      <c r="N631" t="s">
        <v>61</v>
      </c>
      <c r="O631" t="s">
        <v>62</v>
      </c>
      <c r="P631" t="s">
        <v>63</v>
      </c>
      <c r="Q631" t="s">
        <v>64</v>
      </c>
      <c r="R631" t="s">
        <v>83</v>
      </c>
      <c r="S631" t="s">
        <v>64</v>
      </c>
      <c r="T631" t="s">
        <v>74</v>
      </c>
      <c r="U631" t="s">
        <v>84</v>
      </c>
      <c r="V631">
        <v>396</v>
      </c>
      <c r="W631">
        <v>0.8</v>
      </c>
      <c r="X631" t="s">
        <v>67</v>
      </c>
      <c r="Y631" t="s">
        <v>96</v>
      </c>
      <c r="Z631">
        <v>8.18</v>
      </c>
      <c r="AA631">
        <v>0.01</v>
      </c>
      <c r="AB631" t="s">
        <v>67</v>
      </c>
      <c r="AC631">
        <v>921</v>
      </c>
      <c r="AD631">
        <v>19</v>
      </c>
      <c r="AE631" t="s">
        <v>67</v>
      </c>
      <c r="AF631">
        <v>7.87</v>
      </c>
      <c r="AG631">
        <v>0.01</v>
      </c>
      <c r="AH631" t="s">
        <v>67</v>
      </c>
      <c r="AI631">
        <v>26.7</v>
      </c>
      <c r="AJ631">
        <v>0.1</v>
      </c>
      <c r="AK631" t="s">
        <v>67</v>
      </c>
      <c r="AL631">
        <v>26.8</v>
      </c>
      <c r="AM631">
        <v>0.1</v>
      </c>
      <c r="AN631" t="s">
        <v>67</v>
      </c>
      <c r="AO631">
        <v>525</v>
      </c>
      <c r="AP631">
        <v>0.1</v>
      </c>
      <c r="AQ631" t="s">
        <v>67</v>
      </c>
      <c r="AR631" t="s">
        <v>473</v>
      </c>
      <c r="AS631" t="s">
        <v>473</v>
      </c>
      <c r="AT631" t="s">
        <v>135</v>
      </c>
      <c r="AU631" t="s">
        <v>67</v>
      </c>
      <c r="AV631" t="s">
        <v>251</v>
      </c>
      <c r="AX631" t="s">
        <v>73</v>
      </c>
      <c r="AY631">
        <v>31.79</v>
      </c>
      <c r="AZ631">
        <v>31.79</v>
      </c>
      <c r="BA631">
        <v>3.49</v>
      </c>
      <c r="BC631">
        <v>58</v>
      </c>
      <c r="BD631">
        <v>28.12</v>
      </c>
      <c r="BE631">
        <v>28.12</v>
      </c>
      <c r="BF631">
        <v>3.84</v>
      </c>
      <c r="BH631">
        <v>40</v>
      </c>
      <c r="BI631">
        <v>7</v>
      </c>
      <c r="BJ631">
        <v>4</v>
      </c>
      <c r="BK631">
        <v>-0.1227</v>
      </c>
      <c r="BL631">
        <v>3.0700000000000002E-2</v>
      </c>
    </row>
    <row r="632" spans="1:65" hidden="1" x14ac:dyDescent="0.2">
      <c r="A632">
        <v>149</v>
      </c>
      <c r="D632" t="s">
        <v>54</v>
      </c>
      <c r="E632">
        <v>2020</v>
      </c>
      <c r="F632" t="s">
        <v>377</v>
      </c>
      <c r="G632" t="s">
        <v>378</v>
      </c>
      <c r="H632" t="s">
        <v>78</v>
      </c>
      <c r="K632" t="s">
        <v>379</v>
      </c>
      <c r="L632" t="s">
        <v>380</v>
      </c>
      <c r="M632" t="s">
        <v>81</v>
      </c>
      <c r="N632" t="s">
        <v>81</v>
      </c>
      <c r="O632" t="s">
        <v>110</v>
      </c>
      <c r="P632" t="s">
        <v>196</v>
      </c>
      <c r="Q632" t="s">
        <v>64</v>
      </c>
      <c r="R632" t="s">
        <v>83</v>
      </c>
      <c r="S632" t="s">
        <v>64</v>
      </c>
      <c r="T632" t="s">
        <v>64</v>
      </c>
      <c r="U632" t="s">
        <v>66</v>
      </c>
      <c r="V632">
        <v>391</v>
      </c>
      <c r="W632" t="s">
        <v>67</v>
      </c>
      <c r="X632" t="s">
        <v>67</v>
      </c>
      <c r="Y632" t="s">
        <v>157</v>
      </c>
      <c r="Z632">
        <v>8.07</v>
      </c>
      <c r="AA632" t="s">
        <v>67</v>
      </c>
      <c r="AB632" t="s">
        <v>67</v>
      </c>
      <c r="AC632">
        <v>1245</v>
      </c>
      <c r="AD632" t="s">
        <v>67</v>
      </c>
      <c r="AE632" t="s">
        <v>67</v>
      </c>
      <c r="AF632">
        <v>7.61</v>
      </c>
      <c r="AG632" t="s">
        <v>67</v>
      </c>
      <c r="AH632" t="s">
        <v>67</v>
      </c>
      <c r="AI632">
        <v>19.100000000000001</v>
      </c>
      <c r="AJ632" t="s">
        <v>67</v>
      </c>
      <c r="AK632" t="s">
        <v>67</v>
      </c>
      <c r="AL632">
        <v>21.8</v>
      </c>
      <c r="AM632" t="s">
        <v>67</v>
      </c>
      <c r="AN632" t="s">
        <v>67</v>
      </c>
      <c r="AO632">
        <v>854</v>
      </c>
      <c r="AP632">
        <v>2.7</v>
      </c>
      <c r="AQ632" t="s">
        <v>67</v>
      </c>
      <c r="AR632" t="s">
        <v>476</v>
      </c>
      <c r="AS632" t="s">
        <v>476</v>
      </c>
      <c r="AT632" t="s">
        <v>135</v>
      </c>
      <c r="AU632" t="s">
        <v>477</v>
      </c>
      <c r="AV632" t="s">
        <v>251</v>
      </c>
      <c r="AX632" t="s">
        <v>73</v>
      </c>
      <c r="AY632">
        <v>152.5</v>
      </c>
      <c r="AZ632">
        <v>152.5</v>
      </c>
      <c r="BA632">
        <v>15</v>
      </c>
      <c r="BC632">
        <v>8</v>
      </c>
      <c r="BD632">
        <v>137.5</v>
      </c>
      <c r="BE632">
        <v>137.5</v>
      </c>
      <c r="BF632">
        <v>20</v>
      </c>
      <c r="BH632">
        <v>8</v>
      </c>
      <c r="BI632">
        <v>30</v>
      </c>
      <c r="BJ632">
        <v>8</v>
      </c>
      <c r="BK632">
        <v>-0.10349999999999999</v>
      </c>
      <c r="BL632">
        <v>3.0800000000000001E-2</v>
      </c>
    </row>
    <row r="633" spans="1:65" hidden="1" x14ac:dyDescent="0.2">
      <c r="A633">
        <v>135</v>
      </c>
      <c r="D633" t="s">
        <v>54</v>
      </c>
      <c r="E633">
        <v>2012</v>
      </c>
      <c r="F633" t="s">
        <v>219</v>
      </c>
      <c r="G633" t="s">
        <v>220</v>
      </c>
      <c r="H633" t="s">
        <v>78</v>
      </c>
      <c r="K633" t="s">
        <v>194</v>
      </c>
      <c r="L633" t="s">
        <v>221</v>
      </c>
      <c r="M633" t="s">
        <v>120</v>
      </c>
      <c r="N633" t="s">
        <v>120</v>
      </c>
      <c r="O633" t="s">
        <v>62</v>
      </c>
      <c r="P633" t="s">
        <v>196</v>
      </c>
      <c r="Q633" t="s">
        <v>64</v>
      </c>
      <c r="R633" t="s">
        <v>83</v>
      </c>
      <c r="S633" t="s">
        <v>74</v>
      </c>
      <c r="T633" t="s">
        <v>64</v>
      </c>
      <c r="U633" t="s">
        <v>75</v>
      </c>
      <c r="V633">
        <v>357</v>
      </c>
      <c r="W633">
        <v>18.260000000000002</v>
      </c>
      <c r="X633" t="s">
        <v>67</v>
      </c>
      <c r="Y633" t="s">
        <v>96</v>
      </c>
      <c r="Z633">
        <v>8.25</v>
      </c>
      <c r="AA633">
        <v>0.02</v>
      </c>
      <c r="AB633" t="s">
        <v>67</v>
      </c>
      <c r="AC633">
        <v>461</v>
      </c>
      <c r="AD633">
        <v>13.69</v>
      </c>
      <c r="AE633" t="s">
        <v>67</v>
      </c>
      <c r="AF633">
        <v>7.91</v>
      </c>
      <c r="AG633">
        <v>0.02</v>
      </c>
      <c r="AH633" t="s">
        <v>67</v>
      </c>
      <c r="AI633">
        <v>1.5</v>
      </c>
      <c r="AJ633">
        <v>0.09</v>
      </c>
      <c r="AK633" t="s">
        <v>67</v>
      </c>
      <c r="AL633">
        <v>7.3</v>
      </c>
      <c r="AM633">
        <v>7.0000000000000007E-2</v>
      </c>
      <c r="AN633" t="s">
        <v>67</v>
      </c>
      <c r="AO633">
        <v>105</v>
      </c>
      <c r="AP633">
        <v>5.8</v>
      </c>
      <c r="AQ633" t="s">
        <v>67</v>
      </c>
      <c r="AR633" t="s">
        <v>368</v>
      </c>
      <c r="AS633" t="s">
        <v>134</v>
      </c>
      <c r="AT633" t="s">
        <v>135</v>
      </c>
      <c r="AU633" t="s">
        <v>497</v>
      </c>
      <c r="AV633" t="s">
        <v>137</v>
      </c>
      <c r="AX633" t="s">
        <v>73</v>
      </c>
      <c r="AY633">
        <v>1.35</v>
      </c>
      <c r="AZ633">
        <v>1.35</v>
      </c>
      <c r="BA633">
        <v>0.22</v>
      </c>
      <c r="BC633">
        <v>4</v>
      </c>
      <c r="BD633">
        <v>2.2799999999999998</v>
      </c>
      <c r="BE633">
        <v>2.2799999999999998</v>
      </c>
      <c r="BF633">
        <v>0.15</v>
      </c>
      <c r="BH633">
        <v>4</v>
      </c>
      <c r="BI633">
        <v>32</v>
      </c>
      <c r="BJ633">
        <v>1</v>
      </c>
      <c r="BK633">
        <v>0.52410000000000001</v>
      </c>
      <c r="BL633">
        <v>3.09E-2</v>
      </c>
    </row>
    <row r="634" spans="1:65" hidden="1" x14ac:dyDescent="0.2">
      <c r="A634">
        <v>221</v>
      </c>
      <c r="D634" t="s">
        <v>54</v>
      </c>
      <c r="E634">
        <v>2016</v>
      </c>
      <c r="F634" t="s">
        <v>409</v>
      </c>
      <c r="G634" t="s">
        <v>410</v>
      </c>
      <c r="H634" t="s">
        <v>78</v>
      </c>
      <c r="K634" t="s">
        <v>205</v>
      </c>
      <c r="L634" t="s">
        <v>206</v>
      </c>
      <c r="P634" t="s">
        <v>63</v>
      </c>
      <c r="S634" t="s">
        <v>64</v>
      </c>
      <c r="T634" t="s">
        <v>64</v>
      </c>
      <c r="U634" t="s">
        <v>66</v>
      </c>
      <c r="V634">
        <v>553</v>
      </c>
      <c r="AC634">
        <v>1469</v>
      </c>
      <c r="AI634">
        <v>10.199999999999999</v>
      </c>
      <c r="AL634">
        <v>18.100000000000001</v>
      </c>
      <c r="AO634">
        <v>916</v>
      </c>
      <c r="AP634">
        <v>7.9</v>
      </c>
      <c r="AQ634" t="s">
        <v>67</v>
      </c>
      <c r="AR634" t="s">
        <v>411</v>
      </c>
      <c r="AS634" t="s">
        <v>412</v>
      </c>
      <c r="AT634" t="s">
        <v>135</v>
      </c>
      <c r="AU634" t="s">
        <v>413</v>
      </c>
      <c r="AV634" t="s">
        <v>132</v>
      </c>
      <c r="AX634" t="s">
        <v>73</v>
      </c>
      <c r="AY634">
        <v>0.54</v>
      </c>
      <c r="AZ634">
        <v>0.54279999999999995</v>
      </c>
      <c r="BA634">
        <v>4.9700000000000001E-2</v>
      </c>
      <c r="BC634">
        <v>7</v>
      </c>
      <c r="BD634">
        <v>0.34</v>
      </c>
      <c r="BE634">
        <v>0.34239999999999998</v>
      </c>
      <c r="BF634">
        <v>5.1400000000000001E-2</v>
      </c>
      <c r="BH634">
        <v>7</v>
      </c>
      <c r="BI634">
        <v>28</v>
      </c>
      <c r="BK634">
        <v>-0.46079999999999999</v>
      </c>
      <c r="BL634">
        <v>3.09E-2</v>
      </c>
    </row>
    <row r="635" spans="1:65" hidden="1" x14ac:dyDescent="0.2">
      <c r="A635">
        <v>131</v>
      </c>
      <c r="D635" t="s">
        <v>54</v>
      </c>
      <c r="E635">
        <v>2013</v>
      </c>
      <c r="F635" t="s">
        <v>421</v>
      </c>
      <c r="G635" t="s">
        <v>422</v>
      </c>
      <c r="H635" t="s">
        <v>78</v>
      </c>
      <c r="K635" t="s">
        <v>194</v>
      </c>
      <c r="L635" t="s">
        <v>215</v>
      </c>
      <c r="M635" t="s">
        <v>120</v>
      </c>
      <c r="N635" t="s">
        <v>120</v>
      </c>
      <c r="O635" t="s">
        <v>62</v>
      </c>
      <c r="P635" t="s">
        <v>196</v>
      </c>
      <c r="Q635" t="s">
        <v>64</v>
      </c>
      <c r="R635" t="s">
        <v>83</v>
      </c>
      <c r="S635" t="s">
        <v>64</v>
      </c>
      <c r="T635" t="s">
        <v>74</v>
      </c>
      <c r="U635" t="s">
        <v>84</v>
      </c>
      <c r="V635">
        <v>439</v>
      </c>
      <c r="W635" t="s">
        <v>67</v>
      </c>
      <c r="X635">
        <v>16.079999999999998</v>
      </c>
      <c r="Y635" t="s">
        <v>68</v>
      </c>
      <c r="Z635">
        <v>7.94</v>
      </c>
      <c r="AA635" t="s">
        <v>67</v>
      </c>
      <c r="AB635">
        <v>0.01</v>
      </c>
      <c r="AC635">
        <v>954</v>
      </c>
      <c r="AD635" t="s">
        <v>67</v>
      </c>
      <c r="AE635">
        <v>50.38</v>
      </c>
      <c r="AF635">
        <v>7.69</v>
      </c>
      <c r="AG635" t="s">
        <v>67</v>
      </c>
      <c r="AH635">
        <v>7.0000000000000007E-2</v>
      </c>
      <c r="AI635">
        <v>-0.6</v>
      </c>
      <c r="AJ635" t="s">
        <v>67</v>
      </c>
      <c r="AK635">
        <v>0.17</v>
      </c>
      <c r="AL635">
        <v>-0.5</v>
      </c>
      <c r="AM635" t="s">
        <v>67</v>
      </c>
      <c r="AN635">
        <v>0.16</v>
      </c>
      <c r="AO635">
        <v>515</v>
      </c>
      <c r="AP635">
        <v>0.2</v>
      </c>
      <c r="AQ635" t="s">
        <v>67</v>
      </c>
      <c r="AR635" t="s">
        <v>424</v>
      </c>
      <c r="AS635" t="s">
        <v>134</v>
      </c>
      <c r="AT635" t="s">
        <v>135</v>
      </c>
      <c r="AU635" t="s">
        <v>425</v>
      </c>
      <c r="AV635" t="s">
        <v>137</v>
      </c>
      <c r="AX635" t="s">
        <v>73</v>
      </c>
      <c r="AY635">
        <v>9.7200000000000006</v>
      </c>
      <c r="AZ635">
        <v>9.7200000000000006</v>
      </c>
      <c r="BA635">
        <v>0.8</v>
      </c>
      <c r="BC635">
        <v>4</v>
      </c>
      <c r="BD635">
        <v>13.8</v>
      </c>
      <c r="BE635">
        <v>13.8</v>
      </c>
      <c r="BF635">
        <v>2.15</v>
      </c>
      <c r="BH635">
        <v>4</v>
      </c>
      <c r="BI635">
        <v>28</v>
      </c>
      <c r="BJ635">
        <v>1</v>
      </c>
      <c r="BK635">
        <v>0.35049999999999998</v>
      </c>
      <c r="BL635">
        <v>3.1E-2</v>
      </c>
    </row>
    <row r="636" spans="1:65" hidden="1" x14ac:dyDescent="0.2">
      <c r="A636">
        <v>153</v>
      </c>
      <c r="D636" t="s">
        <v>54</v>
      </c>
      <c r="E636">
        <v>2017</v>
      </c>
      <c r="F636" t="s">
        <v>335</v>
      </c>
      <c r="G636" t="s">
        <v>220</v>
      </c>
      <c r="H636" t="s">
        <v>78</v>
      </c>
      <c r="K636" t="s">
        <v>205</v>
      </c>
      <c r="L636" t="s">
        <v>206</v>
      </c>
      <c r="M636" t="s">
        <v>81</v>
      </c>
      <c r="N636" t="s">
        <v>81</v>
      </c>
      <c r="O636" t="s">
        <v>110</v>
      </c>
      <c r="P636" t="s">
        <v>63</v>
      </c>
      <c r="Q636" t="s">
        <v>64</v>
      </c>
      <c r="R636" t="s">
        <v>83</v>
      </c>
      <c r="S636" t="s">
        <v>64</v>
      </c>
      <c r="T636" t="s">
        <v>74</v>
      </c>
      <c r="U636" t="s">
        <v>84</v>
      </c>
      <c r="V636">
        <v>435</v>
      </c>
      <c r="W636" t="s">
        <v>67</v>
      </c>
      <c r="X636">
        <v>49.9</v>
      </c>
      <c r="Y636" t="s">
        <v>68</v>
      </c>
      <c r="Z636">
        <v>8.01</v>
      </c>
      <c r="AA636" t="s">
        <v>67</v>
      </c>
      <c r="AB636">
        <v>0.04</v>
      </c>
      <c r="AC636">
        <v>915</v>
      </c>
      <c r="AD636" t="s">
        <v>67</v>
      </c>
      <c r="AE636">
        <v>127.39</v>
      </c>
      <c r="AF636">
        <v>7.72</v>
      </c>
      <c r="AG636" t="s">
        <v>67</v>
      </c>
      <c r="AH636">
        <v>0.08</v>
      </c>
      <c r="AI636">
        <v>8.1999999999999993</v>
      </c>
      <c r="AJ636" t="s">
        <v>67</v>
      </c>
      <c r="AK636">
        <v>0.11</v>
      </c>
      <c r="AL636">
        <v>8.1</v>
      </c>
      <c r="AM636" t="s">
        <v>67</v>
      </c>
      <c r="AN636">
        <v>0.17</v>
      </c>
      <c r="AO636">
        <v>480</v>
      </c>
      <c r="AP636">
        <v>-0.1</v>
      </c>
      <c r="AQ636" t="s">
        <v>67</v>
      </c>
      <c r="AR636" t="s">
        <v>336</v>
      </c>
      <c r="AS636" t="s">
        <v>337</v>
      </c>
      <c r="AT636" t="s">
        <v>70</v>
      </c>
      <c r="AU636" t="s">
        <v>67</v>
      </c>
      <c r="AV636" t="s">
        <v>132</v>
      </c>
      <c r="AX636" t="s">
        <v>73</v>
      </c>
      <c r="AY636">
        <v>0.81540000000000001</v>
      </c>
      <c r="AZ636">
        <v>0.81538461500000003</v>
      </c>
      <c r="BA636">
        <v>0.02</v>
      </c>
      <c r="BC636">
        <v>5</v>
      </c>
      <c r="BD636">
        <v>0.4667</v>
      </c>
      <c r="BE636">
        <v>0.46666666699999998</v>
      </c>
      <c r="BF636">
        <v>8.2100000000000006E-2</v>
      </c>
      <c r="BH636">
        <v>8</v>
      </c>
      <c r="BI636">
        <v>120</v>
      </c>
      <c r="BJ636">
        <v>8</v>
      </c>
      <c r="BK636">
        <v>-0.55800000000000005</v>
      </c>
      <c r="BL636">
        <v>3.15E-2</v>
      </c>
    </row>
    <row r="637" spans="1:65" hidden="1" x14ac:dyDescent="0.2">
      <c r="A637">
        <v>140</v>
      </c>
      <c r="D637" t="s">
        <v>54</v>
      </c>
      <c r="E637">
        <v>2014</v>
      </c>
      <c r="F637" t="s">
        <v>427</v>
      </c>
      <c r="G637" t="s">
        <v>318</v>
      </c>
      <c r="H637" t="s">
        <v>78</v>
      </c>
      <c r="K637" t="s">
        <v>194</v>
      </c>
      <c r="L637" t="s">
        <v>195</v>
      </c>
      <c r="M637" t="s">
        <v>120</v>
      </c>
      <c r="N637" t="s">
        <v>120</v>
      </c>
      <c r="O637" t="s">
        <v>106</v>
      </c>
      <c r="P637" t="s">
        <v>196</v>
      </c>
      <c r="Q637" t="s">
        <v>64</v>
      </c>
      <c r="R637" t="s">
        <v>83</v>
      </c>
      <c r="S637" t="s">
        <v>74</v>
      </c>
      <c r="T637" t="s">
        <v>64</v>
      </c>
      <c r="U637" t="s">
        <v>75</v>
      </c>
      <c r="V637">
        <v>432</v>
      </c>
      <c r="W637" t="s">
        <v>67</v>
      </c>
      <c r="X637">
        <v>22.5</v>
      </c>
      <c r="Y637" t="s">
        <v>68</v>
      </c>
      <c r="Z637" t="s">
        <v>67</v>
      </c>
      <c r="AA637" t="s">
        <v>67</v>
      </c>
      <c r="AB637" t="s">
        <v>67</v>
      </c>
      <c r="AC637">
        <v>525</v>
      </c>
      <c r="AD637" t="s">
        <v>67</v>
      </c>
      <c r="AE637">
        <v>22.41</v>
      </c>
      <c r="AF637" t="s">
        <v>67</v>
      </c>
      <c r="AG637" t="s">
        <v>67</v>
      </c>
      <c r="AH637" t="s">
        <v>67</v>
      </c>
      <c r="AI637">
        <v>-0.7</v>
      </c>
      <c r="AJ637" t="s">
        <v>67</v>
      </c>
      <c r="AK637">
        <v>0.15</v>
      </c>
      <c r="AL637">
        <v>3.9</v>
      </c>
      <c r="AM637" t="s">
        <v>67</v>
      </c>
      <c r="AN637">
        <v>4.84</v>
      </c>
      <c r="AO637">
        <v>93</v>
      </c>
      <c r="AP637">
        <v>4.5999999999999996</v>
      </c>
      <c r="AQ637" t="s">
        <v>428</v>
      </c>
      <c r="AR637" t="s">
        <v>429</v>
      </c>
      <c r="AS637" t="s">
        <v>332</v>
      </c>
      <c r="AT637" t="s">
        <v>333</v>
      </c>
      <c r="AU637" t="s">
        <v>430</v>
      </c>
      <c r="AV637" t="s">
        <v>132</v>
      </c>
      <c r="AX637" t="s">
        <v>73</v>
      </c>
      <c r="AY637">
        <v>1.1499999999999999</v>
      </c>
      <c r="AZ637">
        <v>1.1499999999999999</v>
      </c>
      <c r="BA637">
        <v>0.13</v>
      </c>
      <c r="BC637">
        <v>5</v>
      </c>
      <c r="BD637">
        <v>1.3</v>
      </c>
      <c r="BE637">
        <v>1.3</v>
      </c>
      <c r="BF637">
        <v>0.18</v>
      </c>
      <c r="BH637">
        <v>5</v>
      </c>
      <c r="BI637">
        <v>56</v>
      </c>
      <c r="BJ637">
        <v>1</v>
      </c>
      <c r="BK637">
        <v>-0.1226</v>
      </c>
      <c r="BL637">
        <v>3.2000000000000001E-2</v>
      </c>
      <c r="BM637" t="s">
        <v>420</v>
      </c>
    </row>
    <row r="638" spans="1:65" hidden="1" x14ac:dyDescent="0.2">
      <c r="A638">
        <v>135</v>
      </c>
      <c r="D638" t="s">
        <v>54</v>
      </c>
      <c r="E638">
        <v>2012</v>
      </c>
      <c r="F638" t="s">
        <v>219</v>
      </c>
      <c r="G638" t="s">
        <v>220</v>
      </c>
      <c r="H638" t="s">
        <v>78</v>
      </c>
      <c r="K638" t="s">
        <v>194</v>
      </c>
      <c r="L638" t="s">
        <v>221</v>
      </c>
      <c r="M638" t="s">
        <v>120</v>
      </c>
      <c r="N638" t="s">
        <v>120</v>
      </c>
      <c r="O638" t="s">
        <v>62</v>
      </c>
      <c r="P638" t="s">
        <v>196</v>
      </c>
      <c r="Q638" t="s">
        <v>64</v>
      </c>
      <c r="R638" t="s">
        <v>83</v>
      </c>
      <c r="S638" t="s">
        <v>64</v>
      </c>
      <c r="T638" t="s">
        <v>64</v>
      </c>
      <c r="U638" t="s">
        <v>66</v>
      </c>
      <c r="V638">
        <v>357</v>
      </c>
      <c r="W638">
        <v>18.260000000000002</v>
      </c>
      <c r="X638" t="s">
        <v>67</v>
      </c>
      <c r="Y638" t="s">
        <v>96</v>
      </c>
      <c r="Z638">
        <v>8.25</v>
      </c>
      <c r="AA638">
        <v>0.02</v>
      </c>
      <c r="AB638" t="s">
        <v>67</v>
      </c>
      <c r="AC638">
        <v>2019</v>
      </c>
      <c r="AD638">
        <v>26.93</v>
      </c>
      <c r="AE638" t="s">
        <v>67</v>
      </c>
      <c r="AF638">
        <v>7.49</v>
      </c>
      <c r="AG638">
        <v>0.01</v>
      </c>
      <c r="AH638" t="s">
        <v>67</v>
      </c>
      <c r="AI638">
        <v>1.5</v>
      </c>
      <c r="AJ638">
        <v>0.09</v>
      </c>
      <c r="AK638" t="s">
        <v>67</v>
      </c>
      <c r="AL638">
        <v>6.9</v>
      </c>
      <c r="AM638">
        <v>0.06</v>
      </c>
      <c r="AN638" t="s">
        <v>67</v>
      </c>
      <c r="AO638">
        <v>1662</v>
      </c>
      <c r="AP638">
        <v>5.4</v>
      </c>
      <c r="AQ638" t="s">
        <v>67</v>
      </c>
      <c r="AR638" t="s">
        <v>486</v>
      </c>
      <c r="AS638" t="s">
        <v>487</v>
      </c>
      <c r="AT638" t="s">
        <v>135</v>
      </c>
      <c r="AU638" t="s">
        <v>488</v>
      </c>
      <c r="AV638" t="s">
        <v>132</v>
      </c>
      <c r="AX638" t="s">
        <v>73</v>
      </c>
      <c r="AY638">
        <v>1.18</v>
      </c>
      <c r="AZ638">
        <v>1.18</v>
      </c>
      <c r="BA638">
        <v>0.19</v>
      </c>
      <c r="BC638">
        <v>9</v>
      </c>
      <c r="BD638">
        <v>1.41</v>
      </c>
      <c r="BE638">
        <v>1.41</v>
      </c>
      <c r="BF638">
        <v>0.11</v>
      </c>
      <c r="BH638">
        <v>10</v>
      </c>
      <c r="BI638">
        <v>32</v>
      </c>
      <c r="BJ638">
        <v>1</v>
      </c>
      <c r="BK638">
        <v>0.17810000000000001</v>
      </c>
      <c r="BL638">
        <v>3.2000000000000001E-2</v>
      </c>
    </row>
    <row r="639" spans="1:65" hidden="1" x14ac:dyDescent="0.2">
      <c r="A639">
        <v>135</v>
      </c>
      <c r="D639" t="s">
        <v>54</v>
      </c>
      <c r="E639">
        <v>2012</v>
      </c>
      <c r="F639" t="s">
        <v>219</v>
      </c>
      <c r="G639" t="s">
        <v>220</v>
      </c>
      <c r="H639" t="s">
        <v>78</v>
      </c>
      <c r="K639" t="s">
        <v>194</v>
      </c>
      <c r="L639" t="s">
        <v>221</v>
      </c>
      <c r="M639" t="s">
        <v>120</v>
      </c>
      <c r="N639" t="s">
        <v>120</v>
      </c>
      <c r="O639" t="s">
        <v>62</v>
      </c>
      <c r="P639" t="s">
        <v>196</v>
      </c>
      <c r="Q639" t="s">
        <v>64</v>
      </c>
      <c r="R639" t="s">
        <v>83</v>
      </c>
      <c r="S639" t="s">
        <v>64</v>
      </c>
      <c r="T639" t="s">
        <v>74</v>
      </c>
      <c r="U639" t="s">
        <v>84</v>
      </c>
      <c r="V639">
        <v>357</v>
      </c>
      <c r="W639">
        <v>18.260000000000002</v>
      </c>
      <c r="X639" t="s">
        <v>67</v>
      </c>
      <c r="Y639" t="s">
        <v>96</v>
      </c>
      <c r="Z639">
        <v>8.25</v>
      </c>
      <c r="AA639">
        <v>0.02</v>
      </c>
      <c r="AB639" t="s">
        <v>67</v>
      </c>
      <c r="AC639">
        <v>2179</v>
      </c>
      <c r="AD639">
        <v>54.5</v>
      </c>
      <c r="AE639" t="s">
        <v>67</v>
      </c>
      <c r="AF639">
        <v>7.46</v>
      </c>
      <c r="AG639">
        <v>0.02</v>
      </c>
      <c r="AH639" t="s">
        <v>67</v>
      </c>
      <c r="AI639">
        <v>1.5</v>
      </c>
      <c r="AJ639">
        <v>0.09</v>
      </c>
      <c r="AK639" t="s">
        <v>67</v>
      </c>
      <c r="AL639">
        <v>1.4</v>
      </c>
      <c r="AM639">
        <v>0.17</v>
      </c>
      <c r="AN639" t="s">
        <v>67</v>
      </c>
      <c r="AO639">
        <v>1822</v>
      </c>
      <c r="AP639">
        <v>-0.1</v>
      </c>
      <c r="AQ639" t="s">
        <v>67</v>
      </c>
      <c r="AR639" t="s">
        <v>368</v>
      </c>
      <c r="AS639" t="s">
        <v>134</v>
      </c>
      <c r="AT639" t="s">
        <v>135</v>
      </c>
      <c r="AU639" t="s">
        <v>497</v>
      </c>
      <c r="AV639" t="s">
        <v>137</v>
      </c>
      <c r="AX639" t="s">
        <v>73</v>
      </c>
      <c r="AY639">
        <v>1.35</v>
      </c>
      <c r="AZ639">
        <v>1.35</v>
      </c>
      <c r="BA639">
        <v>0.22</v>
      </c>
      <c r="BC639">
        <v>4</v>
      </c>
      <c r="BD639">
        <v>1.48</v>
      </c>
      <c r="BE639">
        <v>1.48</v>
      </c>
      <c r="BF639">
        <v>0.11</v>
      </c>
      <c r="BH639">
        <v>4</v>
      </c>
      <c r="BI639">
        <v>32</v>
      </c>
      <c r="BJ639">
        <v>1</v>
      </c>
      <c r="BK639">
        <v>9.1899999999999996E-2</v>
      </c>
      <c r="BL639">
        <v>3.2099999999999997E-2</v>
      </c>
    </row>
    <row r="640" spans="1:65" hidden="1" x14ac:dyDescent="0.2">
      <c r="A640">
        <v>136</v>
      </c>
      <c r="D640" t="s">
        <v>54</v>
      </c>
      <c r="E640">
        <v>2012</v>
      </c>
      <c r="F640" t="s">
        <v>384</v>
      </c>
      <c r="G640" t="s">
        <v>199</v>
      </c>
      <c r="H640" t="s">
        <v>78</v>
      </c>
      <c r="K640" t="s">
        <v>93</v>
      </c>
      <c r="L640" t="s">
        <v>94</v>
      </c>
      <c r="M640" t="s">
        <v>95</v>
      </c>
      <c r="N640" t="s">
        <v>61</v>
      </c>
      <c r="O640" t="s">
        <v>62</v>
      </c>
      <c r="P640" t="s">
        <v>63</v>
      </c>
      <c r="Q640" t="s">
        <v>74</v>
      </c>
      <c r="R640" t="s">
        <v>83</v>
      </c>
      <c r="S640" t="s">
        <v>64</v>
      </c>
      <c r="T640" t="s">
        <v>74</v>
      </c>
      <c r="U640" t="s">
        <v>84</v>
      </c>
      <c r="V640">
        <v>433</v>
      </c>
      <c r="W640" t="s">
        <v>67</v>
      </c>
      <c r="X640">
        <v>69</v>
      </c>
      <c r="Y640" t="s">
        <v>96</v>
      </c>
      <c r="Z640">
        <v>8.2100000000000009</v>
      </c>
      <c r="AA640" t="s">
        <v>67</v>
      </c>
      <c r="AB640">
        <v>0.05</v>
      </c>
      <c r="AC640">
        <v>1020</v>
      </c>
      <c r="AD640" t="s">
        <v>67</v>
      </c>
      <c r="AE640">
        <v>123</v>
      </c>
      <c r="AF640">
        <v>7.89</v>
      </c>
      <c r="AG640" t="s">
        <v>67</v>
      </c>
      <c r="AH640">
        <v>0.08</v>
      </c>
      <c r="AI640">
        <v>28.1</v>
      </c>
      <c r="AJ640" t="s">
        <v>67</v>
      </c>
      <c r="AK640">
        <v>0.12</v>
      </c>
      <c r="AL640">
        <v>28.3</v>
      </c>
      <c r="AM640">
        <v>0.15</v>
      </c>
      <c r="AN640" t="s">
        <v>67</v>
      </c>
      <c r="AO640">
        <v>587</v>
      </c>
      <c r="AP640">
        <v>0.1</v>
      </c>
      <c r="AQ640" t="s">
        <v>67</v>
      </c>
      <c r="AR640" t="s">
        <v>498</v>
      </c>
      <c r="AS640" t="s">
        <v>367</v>
      </c>
      <c r="AT640" t="s">
        <v>135</v>
      </c>
      <c r="AU640" t="s">
        <v>387</v>
      </c>
      <c r="AV640" t="s">
        <v>251</v>
      </c>
      <c r="AX640" t="s">
        <v>73</v>
      </c>
      <c r="AY640">
        <v>27</v>
      </c>
      <c r="AZ640">
        <v>27</v>
      </c>
      <c r="BA640">
        <v>3</v>
      </c>
      <c r="BC640">
        <v>5</v>
      </c>
      <c r="BD640">
        <v>35</v>
      </c>
      <c r="BE640">
        <v>35</v>
      </c>
      <c r="BF640">
        <v>5</v>
      </c>
      <c r="BH640">
        <v>5</v>
      </c>
      <c r="BI640">
        <v>21</v>
      </c>
      <c r="BJ640" t="s">
        <v>67</v>
      </c>
      <c r="BK640">
        <v>0.25950000000000001</v>
      </c>
      <c r="BL640">
        <v>3.2800000000000003E-2</v>
      </c>
    </row>
    <row r="641" spans="1:65" hidden="1" x14ac:dyDescent="0.2">
      <c r="A641">
        <v>130</v>
      </c>
      <c r="D641" t="s">
        <v>54</v>
      </c>
      <c r="E641">
        <v>2014</v>
      </c>
      <c r="F641" t="s">
        <v>481</v>
      </c>
      <c r="G641" t="s">
        <v>482</v>
      </c>
      <c r="H641" t="s">
        <v>78</v>
      </c>
      <c r="K641" t="s">
        <v>93</v>
      </c>
      <c r="L641" t="s">
        <v>436</v>
      </c>
      <c r="M641" t="s">
        <v>95</v>
      </c>
      <c r="N641" t="s">
        <v>61</v>
      </c>
      <c r="O641" t="s">
        <v>62</v>
      </c>
      <c r="P641" t="s">
        <v>63</v>
      </c>
      <c r="Q641" t="s">
        <v>64</v>
      </c>
      <c r="R641" t="s">
        <v>83</v>
      </c>
      <c r="S641" t="s">
        <v>64</v>
      </c>
      <c r="T641" t="s">
        <v>64</v>
      </c>
      <c r="U641" t="s">
        <v>66</v>
      </c>
      <c r="V641">
        <v>396</v>
      </c>
      <c r="W641">
        <v>0.8</v>
      </c>
      <c r="X641" t="s">
        <v>67</v>
      </c>
      <c r="Y641" t="s">
        <v>96</v>
      </c>
      <c r="Z641">
        <v>8.18</v>
      </c>
      <c r="AA641">
        <v>0.01</v>
      </c>
      <c r="AB641" t="s">
        <v>67</v>
      </c>
      <c r="AC641">
        <v>935</v>
      </c>
      <c r="AD641">
        <v>19</v>
      </c>
      <c r="AE641" t="s">
        <v>67</v>
      </c>
      <c r="AF641">
        <v>7.87</v>
      </c>
      <c r="AG641">
        <v>0.01</v>
      </c>
      <c r="AH641" t="s">
        <v>67</v>
      </c>
      <c r="AI641">
        <v>26.7</v>
      </c>
      <c r="AJ641">
        <v>0.1</v>
      </c>
      <c r="AK641" t="s">
        <v>67</v>
      </c>
      <c r="AL641">
        <v>29.8</v>
      </c>
      <c r="AM641">
        <v>0.1</v>
      </c>
      <c r="AN641" t="s">
        <v>67</v>
      </c>
      <c r="AO641">
        <v>539</v>
      </c>
      <c r="AP641">
        <v>3.1</v>
      </c>
      <c r="AQ641" t="s">
        <v>67</v>
      </c>
      <c r="AR641" t="s">
        <v>473</v>
      </c>
      <c r="AS641" t="s">
        <v>473</v>
      </c>
      <c r="AT641" t="s">
        <v>135</v>
      </c>
      <c r="AU641" t="s">
        <v>67</v>
      </c>
      <c r="AV641" t="s">
        <v>251</v>
      </c>
      <c r="AX641" t="s">
        <v>73</v>
      </c>
      <c r="AY641">
        <v>31.79</v>
      </c>
      <c r="AZ641">
        <v>31.79</v>
      </c>
      <c r="BA641">
        <v>3.49</v>
      </c>
      <c r="BC641">
        <v>58</v>
      </c>
      <c r="BD641">
        <v>24.1</v>
      </c>
      <c r="BE641">
        <v>24.1</v>
      </c>
      <c r="BF641">
        <v>3.5</v>
      </c>
      <c r="BH641">
        <v>24</v>
      </c>
      <c r="BI641">
        <v>7</v>
      </c>
      <c r="BJ641">
        <v>4</v>
      </c>
      <c r="BK641">
        <v>-0.27689999999999998</v>
      </c>
      <c r="BL641">
        <v>3.3099999999999997E-2</v>
      </c>
    </row>
    <row r="642" spans="1:65" hidden="1" x14ac:dyDescent="0.2">
      <c r="A642">
        <v>221</v>
      </c>
      <c r="D642" t="s">
        <v>54</v>
      </c>
      <c r="E642">
        <v>2016</v>
      </c>
      <c r="F642" t="s">
        <v>409</v>
      </c>
      <c r="G642" t="s">
        <v>410</v>
      </c>
      <c r="H642" t="s">
        <v>78</v>
      </c>
      <c r="K642" t="s">
        <v>205</v>
      </c>
      <c r="L642" t="s">
        <v>206</v>
      </c>
      <c r="P642" t="s">
        <v>63</v>
      </c>
      <c r="S642" t="s">
        <v>74</v>
      </c>
      <c r="T642" t="s">
        <v>64</v>
      </c>
      <c r="U642" t="s">
        <v>75</v>
      </c>
      <c r="V642">
        <v>553</v>
      </c>
      <c r="AC642">
        <v>553</v>
      </c>
      <c r="AI642">
        <v>10.199999999999999</v>
      </c>
      <c r="AL642">
        <v>18.100000000000001</v>
      </c>
      <c r="AO642">
        <v>0</v>
      </c>
      <c r="AP642">
        <v>7.9</v>
      </c>
      <c r="AQ642" t="s">
        <v>67</v>
      </c>
      <c r="AR642" t="s">
        <v>411</v>
      </c>
      <c r="AS642" t="s">
        <v>412</v>
      </c>
      <c r="AT642" t="s">
        <v>135</v>
      </c>
      <c r="AU642" t="s">
        <v>413</v>
      </c>
      <c r="AV642" t="s">
        <v>132</v>
      </c>
      <c r="AX642" t="s">
        <v>73</v>
      </c>
      <c r="AY642">
        <v>0.54</v>
      </c>
      <c r="AZ642">
        <v>0.54279999999999995</v>
      </c>
      <c r="BA642">
        <v>4.9700000000000001E-2</v>
      </c>
      <c r="BC642">
        <v>7</v>
      </c>
      <c r="BD642">
        <v>0.37</v>
      </c>
      <c r="BE642">
        <v>0.36899999999999999</v>
      </c>
      <c r="BF642">
        <v>5.8500000000000003E-2</v>
      </c>
      <c r="BH642">
        <v>7</v>
      </c>
      <c r="BI642">
        <v>28</v>
      </c>
      <c r="BK642">
        <v>-0.38590000000000002</v>
      </c>
      <c r="BL642">
        <v>3.3500000000000002E-2</v>
      </c>
    </row>
    <row r="643" spans="1:65" hidden="1" x14ac:dyDescent="0.2">
      <c r="A643">
        <v>132</v>
      </c>
      <c r="D643" t="s">
        <v>54</v>
      </c>
      <c r="E643">
        <v>2015</v>
      </c>
      <c r="F643" t="s">
        <v>283</v>
      </c>
      <c r="G643" t="s">
        <v>181</v>
      </c>
      <c r="H643" t="s">
        <v>284</v>
      </c>
      <c r="K643" t="s">
        <v>285</v>
      </c>
      <c r="L643" t="s">
        <v>286</v>
      </c>
      <c r="M643" t="s">
        <v>81</v>
      </c>
      <c r="N643" t="s">
        <v>81</v>
      </c>
      <c r="O643" t="s">
        <v>62</v>
      </c>
      <c r="P643" t="s">
        <v>196</v>
      </c>
      <c r="Q643" t="s">
        <v>64</v>
      </c>
      <c r="R643" t="s">
        <v>83</v>
      </c>
      <c r="S643" t="s">
        <v>64</v>
      </c>
      <c r="T643" t="s">
        <v>64</v>
      </c>
      <c r="U643" t="s">
        <v>66</v>
      </c>
      <c r="V643">
        <v>372</v>
      </c>
      <c r="W643" t="s">
        <v>67</v>
      </c>
      <c r="X643">
        <v>51.9</v>
      </c>
      <c r="Y643" t="s">
        <v>68</v>
      </c>
      <c r="Z643">
        <v>8.02</v>
      </c>
      <c r="AA643" t="s">
        <v>67</v>
      </c>
      <c r="AB643">
        <v>0.05</v>
      </c>
      <c r="AC643">
        <v>1481</v>
      </c>
      <c r="AD643" t="s">
        <v>67</v>
      </c>
      <c r="AE643">
        <v>107.7</v>
      </c>
      <c r="AF643">
        <v>7.49</v>
      </c>
      <c r="AG643" t="s">
        <v>67</v>
      </c>
      <c r="AH643">
        <v>0.03</v>
      </c>
      <c r="AI643">
        <v>25.9</v>
      </c>
      <c r="AJ643" t="s">
        <v>67</v>
      </c>
      <c r="AK643">
        <v>0.7</v>
      </c>
      <c r="AL643">
        <v>30.1</v>
      </c>
      <c r="AM643" t="s">
        <v>67</v>
      </c>
      <c r="AN643">
        <v>0.5</v>
      </c>
      <c r="AO643">
        <v>1109</v>
      </c>
      <c r="AP643">
        <v>4.2</v>
      </c>
      <c r="AQ643" t="s">
        <v>67</v>
      </c>
      <c r="AR643" t="s">
        <v>499</v>
      </c>
      <c r="AS643" t="s">
        <v>499</v>
      </c>
      <c r="AT643" t="s">
        <v>135</v>
      </c>
      <c r="AU643" t="s">
        <v>217</v>
      </c>
      <c r="AV643" t="s">
        <v>132</v>
      </c>
      <c r="AX643" t="s">
        <v>73</v>
      </c>
      <c r="AY643">
        <v>41.6</v>
      </c>
      <c r="AZ643">
        <v>41.6</v>
      </c>
      <c r="BA643">
        <v>7.4709000000000003</v>
      </c>
      <c r="BC643">
        <v>6</v>
      </c>
      <c r="BD643">
        <v>40.200000000000003</v>
      </c>
      <c r="BE643">
        <v>40.200000000000003</v>
      </c>
      <c r="BF643">
        <v>1.4697</v>
      </c>
      <c r="BH643">
        <v>6</v>
      </c>
      <c r="BI643">
        <v>31</v>
      </c>
      <c r="BJ643">
        <v>3</v>
      </c>
      <c r="BK643">
        <v>-3.4200000000000001E-2</v>
      </c>
      <c r="BL643">
        <v>3.3599999999999998E-2</v>
      </c>
    </row>
    <row r="644" spans="1:65" x14ac:dyDescent="0.2">
      <c r="A644">
        <v>177</v>
      </c>
      <c r="B644" t="str">
        <f>ROW()-1&amp;"_AltersFish"</f>
        <v>643_AltersFish</v>
      </c>
      <c r="C644" t="str">
        <f>A644 &amp; "_" &amp; P644 &amp; "_" &amp;
SUBSTITUTE(TRIM(L644)," ","_") &amp;
"_pH" &amp; TEXT(Z644,"0.00") &amp;
"_T" &amp; TEXT(AI644,"0.00") &amp;
"_CO2" &amp; TEXT(V644,"0") &amp;
"_LANG"</f>
        <v>177_LARVA_Sparus_aurata_pH8.09_T18.40_CO2342_LANG</v>
      </c>
      <c r="D644" t="s">
        <v>54</v>
      </c>
      <c r="E644">
        <v>2019</v>
      </c>
      <c r="F644" t="s">
        <v>162</v>
      </c>
      <c r="G644" t="s">
        <v>163</v>
      </c>
      <c r="H644" t="s">
        <v>78</v>
      </c>
      <c r="I644" t="s">
        <v>540</v>
      </c>
      <c r="J644" t="s">
        <v>543</v>
      </c>
      <c r="K644" t="s">
        <v>79</v>
      </c>
      <c r="L644" t="s">
        <v>164</v>
      </c>
      <c r="M644" t="s">
        <v>156</v>
      </c>
      <c r="N644" t="s">
        <v>156</v>
      </c>
      <c r="O644" t="s">
        <v>106</v>
      </c>
      <c r="P644" t="s">
        <v>107</v>
      </c>
      <c r="Q644" t="s">
        <v>74</v>
      </c>
      <c r="R644" t="s">
        <v>83</v>
      </c>
      <c r="S644" t="s">
        <v>64</v>
      </c>
      <c r="T644" t="s">
        <v>64</v>
      </c>
      <c r="U644" t="s">
        <v>66</v>
      </c>
      <c r="V644">
        <v>342</v>
      </c>
      <c r="W644" t="s">
        <v>67</v>
      </c>
      <c r="X644">
        <v>74</v>
      </c>
      <c r="Y644" t="s">
        <v>157</v>
      </c>
      <c r="Z644">
        <v>8.09</v>
      </c>
      <c r="AA644" t="s">
        <v>67</v>
      </c>
      <c r="AB644">
        <v>7.0000000000000007E-2</v>
      </c>
      <c r="AC644">
        <v>1473</v>
      </c>
      <c r="AD644" t="s">
        <v>67</v>
      </c>
      <c r="AE644">
        <v>92</v>
      </c>
      <c r="AF644">
        <v>7.53</v>
      </c>
      <c r="AG644" t="s">
        <v>67</v>
      </c>
      <c r="AH644">
        <v>0.04</v>
      </c>
      <c r="AI644">
        <v>18.399999999999999</v>
      </c>
      <c r="AJ644" t="s">
        <v>67</v>
      </c>
      <c r="AK644">
        <v>0.3</v>
      </c>
      <c r="AL644">
        <v>22.1</v>
      </c>
      <c r="AM644" t="s">
        <v>67</v>
      </c>
      <c r="AN644">
        <v>0.5</v>
      </c>
      <c r="AO644">
        <v>1131</v>
      </c>
      <c r="AP644">
        <v>3.7</v>
      </c>
      <c r="AQ644" t="s">
        <v>67</v>
      </c>
      <c r="AR644" t="s">
        <v>165</v>
      </c>
      <c r="AS644" t="s">
        <v>166</v>
      </c>
      <c r="AT644" t="s">
        <v>135</v>
      </c>
      <c r="AU644" t="s">
        <v>167</v>
      </c>
      <c r="AV644" t="s">
        <v>132</v>
      </c>
      <c r="AW644" t="s">
        <v>132</v>
      </c>
      <c r="AX644" t="s">
        <v>73</v>
      </c>
      <c r="AY644">
        <v>98.4</v>
      </c>
      <c r="AZ644">
        <v>98.4</v>
      </c>
      <c r="BA644">
        <v>0.92</v>
      </c>
      <c r="BB644">
        <f>BA644*SQRT(BC644)</f>
        <v>3.186973485926734</v>
      </c>
      <c r="BC644">
        <v>12</v>
      </c>
      <c r="BD644">
        <v>109.7</v>
      </c>
      <c r="BE644">
        <v>109.7</v>
      </c>
      <c r="BF644">
        <v>0.92379999999999995</v>
      </c>
      <c r="BG644">
        <f>BF644*SQRT(BH644)</f>
        <v>3.2001370720642575</v>
      </c>
      <c r="BH644">
        <v>12</v>
      </c>
      <c r="BI644">
        <v>15</v>
      </c>
      <c r="BJ644">
        <v>3</v>
      </c>
      <c r="BK644">
        <v>0.1087</v>
      </c>
      <c r="BL644">
        <v>2.0000000000000001E-4</v>
      </c>
    </row>
    <row r="645" spans="1:65" hidden="1" x14ac:dyDescent="0.2">
      <c r="A645">
        <v>135</v>
      </c>
      <c r="D645" t="s">
        <v>54</v>
      </c>
      <c r="E645">
        <v>2012</v>
      </c>
      <c r="F645" t="s">
        <v>219</v>
      </c>
      <c r="G645" t="s">
        <v>220</v>
      </c>
      <c r="H645" t="s">
        <v>78</v>
      </c>
      <c r="K645" t="s">
        <v>194</v>
      </c>
      <c r="L645" t="s">
        <v>221</v>
      </c>
      <c r="M645" t="s">
        <v>120</v>
      </c>
      <c r="N645" t="s">
        <v>120</v>
      </c>
      <c r="O645" t="s">
        <v>62</v>
      </c>
      <c r="P645" t="s">
        <v>196</v>
      </c>
      <c r="Q645" t="s">
        <v>64</v>
      </c>
      <c r="R645" t="s">
        <v>83</v>
      </c>
      <c r="S645" t="s">
        <v>64</v>
      </c>
      <c r="T645" t="s">
        <v>64</v>
      </c>
      <c r="U645" t="s">
        <v>66</v>
      </c>
      <c r="V645">
        <v>357</v>
      </c>
      <c r="W645">
        <v>18.260000000000002</v>
      </c>
      <c r="X645" t="s">
        <v>67</v>
      </c>
      <c r="Y645" t="s">
        <v>96</v>
      </c>
      <c r="Z645">
        <v>8.25</v>
      </c>
      <c r="AA645">
        <v>0.02</v>
      </c>
      <c r="AB645" t="s">
        <v>67</v>
      </c>
      <c r="AC645">
        <v>2019</v>
      </c>
      <c r="AD645">
        <v>26.93</v>
      </c>
      <c r="AE645" t="s">
        <v>67</v>
      </c>
      <c r="AF645">
        <v>7.49</v>
      </c>
      <c r="AG645">
        <v>0.01</v>
      </c>
      <c r="AH645" t="s">
        <v>67</v>
      </c>
      <c r="AI645">
        <v>1.5</v>
      </c>
      <c r="AJ645">
        <v>0.09</v>
      </c>
      <c r="AK645" t="s">
        <v>67</v>
      </c>
      <c r="AL645">
        <v>6.9</v>
      </c>
      <c r="AM645">
        <v>0.06</v>
      </c>
      <c r="AN645" t="s">
        <v>67</v>
      </c>
      <c r="AO645">
        <v>1662</v>
      </c>
      <c r="AP645">
        <v>5.4</v>
      </c>
      <c r="AQ645" t="s">
        <v>67</v>
      </c>
      <c r="AR645" t="s">
        <v>368</v>
      </c>
      <c r="AS645" t="s">
        <v>134</v>
      </c>
      <c r="AT645" t="s">
        <v>135</v>
      </c>
      <c r="AU645" t="s">
        <v>497</v>
      </c>
      <c r="AV645" t="s">
        <v>137</v>
      </c>
      <c r="AX645" t="s">
        <v>73</v>
      </c>
      <c r="AY645">
        <v>1.35</v>
      </c>
      <c r="AZ645">
        <v>1.35</v>
      </c>
      <c r="BA645">
        <v>0.22</v>
      </c>
      <c r="BC645">
        <v>4</v>
      </c>
      <c r="BD645">
        <v>2.4900000000000002</v>
      </c>
      <c r="BE645">
        <v>2.4900000000000002</v>
      </c>
      <c r="BF645">
        <v>0.22</v>
      </c>
      <c r="BH645">
        <v>4</v>
      </c>
      <c r="BI645">
        <v>32</v>
      </c>
      <c r="BJ645">
        <v>1</v>
      </c>
      <c r="BK645">
        <v>0.61219999999999997</v>
      </c>
      <c r="BL645">
        <v>3.44E-2</v>
      </c>
    </row>
    <row r="646" spans="1:65" hidden="1" x14ac:dyDescent="0.2">
      <c r="A646">
        <v>131</v>
      </c>
      <c r="D646" t="s">
        <v>54</v>
      </c>
      <c r="E646">
        <v>2013</v>
      </c>
      <c r="F646" t="s">
        <v>421</v>
      </c>
      <c r="G646" t="s">
        <v>422</v>
      </c>
      <c r="H646" t="s">
        <v>78</v>
      </c>
      <c r="K646" t="s">
        <v>194</v>
      </c>
      <c r="L646" t="s">
        <v>195</v>
      </c>
      <c r="M646" t="s">
        <v>120</v>
      </c>
      <c r="N646" t="s">
        <v>120</v>
      </c>
      <c r="O646" t="s">
        <v>106</v>
      </c>
      <c r="P646" t="s">
        <v>196</v>
      </c>
      <c r="Q646" t="s">
        <v>64</v>
      </c>
      <c r="R646" t="s">
        <v>83</v>
      </c>
      <c r="S646" t="s">
        <v>64</v>
      </c>
      <c r="T646" t="s">
        <v>74</v>
      </c>
      <c r="U646" t="s">
        <v>84</v>
      </c>
      <c r="V646">
        <v>439</v>
      </c>
      <c r="W646" t="s">
        <v>67</v>
      </c>
      <c r="X646">
        <v>16.079999999999998</v>
      </c>
      <c r="Y646" t="s">
        <v>68</v>
      </c>
      <c r="Z646">
        <v>7.94</v>
      </c>
      <c r="AA646" t="s">
        <v>67</v>
      </c>
      <c r="AB646">
        <v>0.01</v>
      </c>
      <c r="AC646">
        <v>954</v>
      </c>
      <c r="AD646" t="s">
        <v>67</v>
      </c>
      <c r="AE646">
        <v>50.38</v>
      </c>
      <c r="AF646">
        <v>7.69</v>
      </c>
      <c r="AG646" t="s">
        <v>67</v>
      </c>
      <c r="AH646">
        <v>7.0000000000000007E-2</v>
      </c>
      <c r="AI646">
        <v>-0.6</v>
      </c>
      <c r="AJ646" t="s">
        <v>67</v>
      </c>
      <c r="AK646">
        <v>0.17</v>
      </c>
      <c r="AL646">
        <v>-0.5</v>
      </c>
      <c r="AM646" t="s">
        <v>67</v>
      </c>
      <c r="AN646">
        <v>0.16</v>
      </c>
      <c r="AO646">
        <v>515</v>
      </c>
      <c r="AP646">
        <v>0.2</v>
      </c>
      <c r="AQ646" t="s">
        <v>67</v>
      </c>
      <c r="AR646" t="s">
        <v>424</v>
      </c>
      <c r="AS646" t="s">
        <v>134</v>
      </c>
      <c r="AT646" t="s">
        <v>135</v>
      </c>
      <c r="AU646" t="s">
        <v>425</v>
      </c>
      <c r="AV646" t="s">
        <v>137</v>
      </c>
      <c r="AX646" t="s">
        <v>73</v>
      </c>
      <c r="AY646">
        <v>19.57</v>
      </c>
      <c r="AZ646">
        <v>19.57</v>
      </c>
      <c r="BA646">
        <v>1.7</v>
      </c>
      <c r="BC646">
        <v>4</v>
      </c>
      <c r="BD646">
        <v>22.39</v>
      </c>
      <c r="BE646">
        <v>22.39</v>
      </c>
      <c r="BF646">
        <v>3.68</v>
      </c>
      <c r="BH646">
        <v>4</v>
      </c>
      <c r="BI646">
        <v>28</v>
      </c>
      <c r="BJ646">
        <v>1</v>
      </c>
      <c r="BK646">
        <v>0.1346</v>
      </c>
      <c r="BL646">
        <v>3.4599999999999999E-2</v>
      </c>
    </row>
    <row r="647" spans="1:65" hidden="1" x14ac:dyDescent="0.2">
      <c r="A647">
        <v>158</v>
      </c>
      <c r="D647" t="s">
        <v>54</v>
      </c>
      <c r="E647">
        <v>2019</v>
      </c>
      <c r="F647" t="s">
        <v>493</v>
      </c>
      <c r="G647" t="s">
        <v>494</v>
      </c>
      <c r="H647" t="s">
        <v>57</v>
      </c>
      <c r="K647" t="s">
        <v>234</v>
      </c>
      <c r="L647" t="s">
        <v>200</v>
      </c>
      <c r="M647" t="s">
        <v>81</v>
      </c>
      <c r="N647" t="s">
        <v>81</v>
      </c>
      <c r="O647" t="s">
        <v>62</v>
      </c>
      <c r="P647" t="s">
        <v>63</v>
      </c>
      <c r="Q647" t="s">
        <v>74</v>
      </c>
      <c r="R647" t="s">
        <v>65</v>
      </c>
      <c r="S647" t="s">
        <v>64</v>
      </c>
      <c r="T647" t="s">
        <v>74</v>
      </c>
      <c r="U647" t="s">
        <v>84</v>
      </c>
      <c r="V647">
        <v>422</v>
      </c>
      <c r="W647" t="s">
        <v>67</v>
      </c>
      <c r="X647">
        <v>52</v>
      </c>
      <c r="Y647" t="s">
        <v>121</v>
      </c>
      <c r="Z647">
        <v>8.07</v>
      </c>
      <c r="AA647" t="s">
        <v>67</v>
      </c>
      <c r="AB647">
        <v>7.0000000000000007E-2</v>
      </c>
      <c r="AC647">
        <v>1108</v>
      </c>
      <c r="AD647" t="s">
        <v>67</v>
      </c>
      <c r="AE647">
        <v>62</v>
      </c>
      <c r="AF647">
        <v>7.7</v>
      </c>
      <c r="AG647" t="s">
        <v>67</v>
      </c>
      <c r="AH647">
        <v>0.05</v>
      </c>
      <c r="AI647">
        <v>15</v>
      </c>
      <c r="AJ647" t="s">
        <v>67</v>
      </c>
      <c r="AK647">
        <v>0.5</v>
      </c>
      <c r="AL647">
        <v>15</v>
      </c>
      <c r="AM647" t="s">
        <v>67</v>
      </c>
      <c r="AN647">
        <v>0.5</v>
      </c>
      <c r="AO647">
        <v>686</v>
      </c>
      <c r="AP647">
        <v>0</v>
      </c>
      <c r="AQ647" t="s">
        <v>67</v>
      </c>
      <c r="AR647" t="s">
        <v>495</v>
      </c>
      <c r="AS647" t="s">
        <v>495</v>
      </c>
      <c r="AT647" t="s">
        <v>135</v>
      </c>
      <c r="AU647" t="s">
        <v>496</v>
      </c>
      <c r="AV647" t="s">
        <v>142</v>
      </c>
      <c r="AX647" t="s">
        <v>73</v>
      </c>
      <c r="AY647">
        <v>607.76900000000001</v>
      </c>
      <c r="AZ647">
        <v>607.76900000000001</v>
      </c>
      <c r="BA647">
        <v>93.71</v>
      </c>
      <c r="BC647">
        <v>10</v>
      </c>
      <c r="BD647">
        <v>1314.011</v>
      </c>
      <c r="BE647">
        <v>1314.011</v>
      </c>
      <c r="BF647">
        <v>138.55279999999999</v>
      </c>
      <c r="BH647">
        <v>10</v>
      </c>
      <c r="BI647">
        <v>180</v>
      </c>
      <c r="BJ647">
        <v>10</v>
      </c>
      <c r="BK647">
        <v>0.77100000000000002</v>
      </c>
      <c r="BL647">
        <v>3.49E-2</v>
      </c>
    </row>
    <row r="648" spans="1:65" hidden="1" x14ac:dyDescent="0.2">
      <c r="A648">
        <v>139</v>
      </c>
      <c r="D648" t="s">
        <v>54</v>
      </c>
      <c r="E648">
        <v>2018</v>
      </c>
      <c r="F648" t="s">
        <v>214</v>
      </c>
      <c r="G648" t="s">
        <v>154</v>
      </c>
      <c r="H648" t="s">
        <v>78</v>
      </c>
      <c r="K648" t="s">
        <v>194</v>
      </c>
      <c r="L648" t="s">
        <v>215</v>
      </c>
      <c r="M648" t="s">
        <v>120</v>
      </c>
      <c r="N648" t="s">
        <v>120</v>
      </c>
      <c r="O648" t="s">
        <v>62</v>
      </c>
      <c r="P648" t="s">
        <v>63</v>
      </c>
      <c r="Q648" t="s">
        <v>64</v>
      </c>
      <c r="R648" t="s">
        <v>83</v>
      </c>
      <c r="S648" t="s">
        <v>64</v>
      </c>
      <c r="T648" t="s">
        <v>64</v>
      </c>
      <c r="U648" t="s">
        <v>66</v>
      </c>
      <c r="V648">
        <v>458</v>
      </c>
      <c r="W648" t="s">
        <v>67</v>
      </c>
      <c r="X648">
        <v>30</v>
      </c>
      <c r="Y648" t="s">
        <v>157</v>
      </c>
      <c r="Z648">
        <v>7.98</v>
      </c>
      <c r="AA648" t="s">
        <v>67</v>
      </c>
      <c r="AB648">
        <v>0.03</v>
      </c>
      <c r="AC648">
        <v>1323</v>
      </c>
      <c r="AD648" t="s">
        <v>67</v>
      </c>
      <c r="AE648">
        <v>64</v>
      </c>
      <c r="AF648">
        <v>7.56</v>
      </c>
      <c r="AG648" t="s">
        <v>67</v>
      </c>
      <c r="AH648">
        <v>0.02</v>
      </c>
      <c r="AI648">
        <v>-1</v>
      </c>
      <c r="AJ648" t="s">
        <v>67</v>
      </c>
      <c r="AK648">
        <v>0.1</v>
      </c>
      <c r="AL648">
        <v>2.1</v>
      </c>
      <c r="AM648" t="s">
        <v>67</v>
      </c>
      <c r="AN648">
        <v>0.1</v>
      </c>
      <c r="AO648">
        <v>865</v>
      </c>
      <c r="AP648">
        <v>3.1</v>
      </c>
      <c r="AQ648" t="s">
        <v>67</v>
      </c>
      <c r="AR648" t="s">
        <v>454</v>
      </c>
      <c r="AS648" t="s">
        <v>412</v>
      </c>
      <c r="AT648" t="s">
        <v>135</v>
      </c>
      <c r="AU648" t="s">
        <v>455</v>
      </c>
      <c r="AV648" t="s">
        <v>132</v>
      </c>
      <c r="AX648" t="s">
        <v>73</v>
      </c>
      <c r="AY648">
        <v>1.9803999999999999</v>
      </c>
      <c r="AZ648">
        <v>1.9803999999999999</v>
      </c>
      <c r="BA648">
        <v>0.22</v>
      </c>
      <c r="BC648">
        <v>9</v>
      </c>
      <c r="BD648">
        <v>1.7771999999999999</v>
      </c>
      <c r="BE648">
        <v>1.7772110969999999</v>
      </c>
      <c r="BF648">
        <v>0.27029999999999998</v>
      </c>
      <c r="BH648">
        <v>9</v>
      </c>
      <c r="BI648">
        <v>28</v>
      </c>
      <c r="BJ648">
        <v>3</v>
      </c>
      <c r="BK648">
        <v>-0.10829999999999999</v>
      </c>
      <c r="BL648">
        <v>3.5099999999999999E-2</v>
      </c>
    </row>
    <row r="649" spans="1:65" hidden="1" x14ac:dyDescent="0.2">
      <c r="A649">
        <v>153</v>
      </c>
      <c r="D649" t="s">
        <v>397</v>
      </c>
      <c r="E649">
        <v>2017</v>
      </c>
      <c r="F649" t="s">
        <v>335</v>
      </c>
      <c r="G649" t="s">
        <v>220</v>
      </c>
      <c r="H649" t="s">
        <v>78</v>
      </c>
      <c r="K649" t="s">
        <v>205</v>
      </c>
      <c r="L649" t="s">
        <v>206</v>
      </c>
      <c r="M649" t="s">
        <v>81</v>
      </c>
      <c r="N649" t="s">
        <v>81</v>
      </c>
      <c r="O649" t="s">
        <v>110</v>
      </c>
      <c r="P649" t="s">
        <v>63</v>
      </c>
      <c r="Q649" t="s">
        <v>64</v>
      </c>
      <c r="R649" t="s">
        <v>83</v>
      </c>
      <c r="S649" t="s">
        <v>64</v>
      </c>
      <c r="T649" t="s">
        <v>74</v>
      </c>
      <c r="U649" t="s">
        <v>84</v>
      </c>
      <c r="V649">
        <v>435</v>
      </c>
      <c r="W649" t="s">
        <v>67</v>
      </c>
      <c r="X649">
        <v>49.9</v>
      </c>
      <c r="Y649" t="s">
        <v>68</v>
      </c>
      <c r="Z649">
        <v>8.01</v>
      </c>
      <c r="AA649" t="s">
        <v>67</v>
      </c>
      <c r="AB649">
        <v>0.04</v>
      </c>
      <c r="AC649">
        <v>915</v>
      </c>
      <c r="AD649" t="s">
        <v>67</v>
      </c>
      <c r="AE649">
        <v>127.39</v>
      </c>
      <c r="AF649">
        <v>7.72</v>
      </c>
      <c r="AG649" t="s">
        <v>67</v>
      </c>
      <c r="AH649">
        <v>0.08</v>
      </c>
      <c r="AI649">
        <v>8.1999999999999993</v>
      </c>
      <c r="AJ649" t="s">
        <v>67</v>
      </c>
      <c r="AK649">
        <v>0.11</v>
      </c>
      <c r="AL649">
        <v>8.1</v>
      </c>
      <c r="AM649" t="s">
        <v>67</v>
      </c>
      <c r="AN649">
        <v>0.17</v>
      </c>
      <c r="AO649">
        <v>480</v>
      </c>
      <c r="AP649">
        <v>-0.1</v>
      </c>
      <c r="AQ649" t="s">
        <v>67</v>
      </c>
      <c r="AR649" t="s">
        <v>440</v>
      </c>
      <c r="AS649" t="s">
        <v>337</v>
      </c>
      <c r="AT649" t="s">
        <v>70</v>
      </c>
      <c r="AU649" t="s">
        <v>441</v>
      </c>
      <c r="AV649" t="s">
        <v>132</v>
      </c>
      <c r="AX649" t="s">
        <v>73</v>
      </c>
      <c r="AY649">
        <v>36.047400000000003</v>
      </c>
      <c r="AZ649">
        <v>36.047430830000003</v>
      </c>
      <c r="BA649">
        <v>5.3754999999999997</v>
      </c>
      <c r="BC649">
        <v>5</v>
      </c>
      <c r="BD649">
        <v>24.9802</v>
      </c>
      <c r="BE649">
        <v>24.980237150000001</v>
      </c>
      <c r="BF649">
        <v>2.8458000000000001</v>
      </c>
      <c r="BH649">
        <v>8</v>
      </c>
      <c r="BI649">
        <v>120</v>
      </c>
      <c r="BJ649">
        <v>8</v>
      </c>
      <c r="BK649">
        <v>-0.36680000000000001</v>
      </c>
      <c r="BL649">
        <v>3.5200000000000002E-2</v>
      </c>
    </row>
    <row r="650" spans="1:65" hidden="1" x14ac:dyDescent="0.2">
      <c r="A650">
        <v>142</v>
      </c>
      <c r="D650" t="s">
        <v>54</v>
      </c>
      <c r="E650">
        <v>2017</v>
      </c>
      <c r="F650" t="s">
        <v>193</v>
      </c>
      <c r="G650" t="s">
        <v>181</v>
      </c>
      <c r="H650" t="s">
        <v>78</v>
      </c>
      <c r="K650" t="s">
        <v>194</v>
      </c>
      <c r="L650" t="s">
        <v>215</v>
      </c>
      <c r="M650" t="s">
        <v>120</v>
      </c>
      <c r="N650" t="s">
        <v>120</v>
      </c>
      <c r="O650" t="s">
        <v>62</v>
      </c>
      <c r="P650" t="s">
        <v>196</v>
      </c>
      <c r="Q650" t="s">
        <v>64</v>
      </c>
      <c r="R650" t="s">
        <v>83</v>
      </c>
      <c r="S650" t="s">
        <v>74</v>
      </c>
      <c r="T650" t="s">
        <v>64</v>
      </c>
      <c r="U650" t="s">
        <v>75</v>
      </c>
      <c r="V650">
        <v>439</v>
      </c>
      <c r="W650">
        <v>16.079999999999998</v>
      </c>
      <c r="X650" t="s">
        <v>67</v>
      </c>
      <c r="Y650" t="s">
        <v>67</v>
      </c>
      <c r="Z650" t="s">
        <v>67</v>
      </c>
      <c r="AA650" t="s">
        <v>67</v>
      </c>
      <c r="AB650" t="s">
        <v>67</v>
      </c>
      <c r="AC650">
        <v>525</v>
      </c>
      <c r="AD650">
        <v>21.07</v>
      </c>
      <c r="AE650" t="s">
        <v>67</v>
      </c>
      <c r="AF650" t="s">
        <v>67</v>
      </c>
      <c r="AG650" t="s">
        <v>67</v>
      </c>
      <c r="AH650" t="s">
        <v>67</v>
      </c>
      <c r="AI650">
        <v>-0.6</v>
      </c>
      <c r="AJ650">
        <v>0.17</v>
      </c>
      <c r="AK650" t="s">
        <v>67</v>
      </c>
      <c r="AL650">
        <v>4</v>
      </c>
      <c r="AM650">
        <v>0.44</v>
      </c>
      <c r="AN650" t="s">
        <v>67</v>
      </c>
      <c r="AO650">
        <v>86</v>
      </c>
      <c r="AP650">
        <v>4.5999999999999996</v>
      </c>
      <c r="AQ650" t="s">
        <v>483</v>
      </c>
      <c r="AR650" t="s">
        <v>471</v>
      </c>
      <c r="AS650" t="s">
        <v>412</v>
      </c>
      <c r="AT650" t="s">
        <v>135</v>
      </c>
      <c r="AU650" t="s">
        <v>472</v>
      </c>
      <c r="AV650" t="s">
        <v>132</v>
      </c>
      <c r="AX650" t="s">
        <v>73</v>
      </c>
      <c r="AY650">
        <v>4.9000000000000002E-2</v>
      </c>
      <c r="AZ650">
        <v>4.9000000000000002E-2</v>
      </c>
      <c r="BA650">
        <v>0.01</v>
      </c>
      <c r="BC650">
        <v>5</v>
      </c>
      <c r="BD650">
        <v>3.7999999999999999E-2</v>
      </c>
      <c r="BE650">
        <v>3.7999999999999999E-2</v>
      </c>
      <c r="BF650">
        <v>6.0000000000000001E-3</v>
      </c>
      <c r="BH650">
        <v>5</v>
      </c>
      <c r="BI650">
        <v>56</v>
      </c>
      <c r="BJ650">
        <v>1</v>
      </c>
      <c r="BK650">
        <v>-0.25419999999999998</v>
      </c>
      <c r="BL650">
        <v>3.5299999999999998E-2</v>
      </c>
    </row>
    <row r="651" spans="1:65" hidden="1" x14ac:dyDescent="0.2">
      <c r="A651">
        <v>142</v>
      </c>
      <c r="D651" t="s">
        <v>54</v>
      </c>
      <c r="E651">
        <v>2017</v>
      </c>
      <c r="F651" t="s">
        <v>193</v>
      </c>
      <c r="G651" t="s">
        <v>181</v>
      </c>
      <c r="H651" t="s">
        <v>78</v>
      </c>
      <c r="K651" t="s">
        <v>194</v>
      </c>
      <c r="L651" t="s">
        <v>195</v>
      </c>
      <c r="M651" t="s">
        <v>120</v>
      </c>
      <c r="N651" t="s">
        <v>120</v>
      </c>
      <c r="O651" t="s">
        <v>106</v>
      </c>
      <c r="P651" t="s">
        <v>196</v>
      </c>
      <c r="Q651" t="s">
        <v>64</v>
      </c>
      <c r="R651" t="s">
        <v>83</v>
      </c>
      <c r="S651" t="s">
        <v>64</v>
      </c>
      <c r="T651" t="s">
        <v>74</v>
      </c>
      <c r="U651" t="s">
        <v>84</v>
      </c>
      <c r="V651">
        <v>439</v>
      </c>
      <c r="W651">
        <v>16.079999999999998</v>
      </c>
      <c r="X651" t="s">
        <v>67</v>
      </c>
      <c r="Y651" t="s">
        <v>67</v>
      </c>
      <c r="Z651" t="s">
        <v>67</v>
      </c>
      <c r="AA651" t="s">
        <v>67</v>
      </c>
      <c r="AB651" t="s">
        <v>67</v>
      </c>
      <c r="AC651">
        <v>954</v>
      </c>
      <c r="AD651">
        <v>50.38</v>
      </c>
      <c r="AE651" t="s">
        <v>67</v>
      </c>
      <c r="AF651" t="s">
        <v>67</v>
      </c>
      <c r="AG651" t="s">
        <v>67</v>
      </c>
      <c r="AH651" t="s">
        <v>67</v>
      </c>
      <c r="AI651">
        <v>-0.6</v>
      </c>
      <c r="AJ651">
        <v>0.17</v>
      </c>
      <c r="AK651" t="s">
        <v>67</v>
      </c>
      <c r="AL651">
        <v>-0.5</v>
      </c>
      <c r="AM651">
        <v>0.16</v>
      </c>
      <c r="AN651" t="s">
        <v>67</v>
      </c>
      <c r="AO651">
        <v>515</v>
      </c>
      <c r="AP651">
        <v>0.2</v>
      </c>
      <c r="AQ651" t="s">
        <v>470</v>
      </c>
      <c r="AR651" t="s">
        <v>471</v>
      </c>
      <c r="AS651" t="s">
        <v>412</v>
      </c>
      <c r="AT651" t="s">
        <v>135</v>
      </c>
      <c r="AU651" t="s">
        <v>472</v>
      </c>
      <c r="AV651" t="s">
        <v>132</v>
      </c>
      <c r="AX651" t="s">
        <v>73</v>
      </c>
      <c r="AY651">
        <v>5.7000000000000002E-2</v>
      </c>
      <c r="AZ651">
        <v>5.7000000000000002E-2</v>
      </c>
      <c r="BA651">
        <v>4.0000000000000001E-3</v>
      </c>
      <c r="BC651">
        <v>9</v>
      </c>
      <c r="BD651">
        <v>0.04</v>
      </c>
      <c r="BE651">
        <v>0.04</v>
      </c>
      <c r="BF651">
        <v>7.0000000000000001E-3</v>
      </c>
      <c r="BH651">
        <v>5</v>
      </c>
      <c r="BI651">
        <v>56</v>
      </c>
      <c r="BJ651">
        <v>1</v>
      </c>
      <c r="BK651">
        <v>-0.35420000000000001</v>
      </c>
      <c r="BL651">
        <v>3.5499999999999997E-2</v>
      </c>
    </row>
    <row r="652" spans="1:65" hidden="1" x14ac:dyDescent="0.2">
      <c r="A652">
        <v>156</v>
      </c>
      <c r="D652" t="s">
        <v>54</v>
      </c>
      <c r="E652">
        <v>2019</v>
      </c>
      <c r="F652" t="s">
        <v>458</v>
      </c>
      <c r="G652" t="s">
        <v>378</v>
      </c>
      <c r="H652" t="s">
        <v>78</v>
      </c>
      <c r="K652" t="s">
        <v>93</v>
      </c>
      <c r="L652" t="s">
        <v>274</v>
      </c>
      <c r="M652" t="s">
        <v>95</v>
      </c>
      <c r="N652" t="s">
        <v>61</v>
      </c>
      <c r="O652" t="s">
        <v>62</v>
      </c>
      <c r="P652" t="s">
        <v>63</v>
      </c>
      <c r="Q652" t="s">
        <v>64</v>
      </c>
      <c r="R652" t="s">
        <v>65</v>
      </c>
      <c r="S652" t="s">
        <v>64</v>
      </c>
      <c r="T652" t="s">
        <v>64</v>
      </c>
      <c r="U652" t="s">
        <v>66</v>
      </c>
      <c r="V652">
        <v>487</v>
      </c>
      <c r="W652" t="s">
        <v>67</v>
      </c>
      <c r="X652">
        <v>36</v>
      </c>
      <c r="Y652" t="s">
        <v>157</v>
      </c>
      <c r="Z652">
        <v>7.94</v>
      </c>
      <c r="AA652" t="s">
        <v>67</v>
      </c>
      <c r="AB652">
        <v>0.03</v>
      </c>
      <c r="AC652">
        <v>1078</v>
      </c>
      <c r="AD652" t="s">
        <v>67</v>
      </c>
      <c r="AE652">
        <v>82</v>
      </c>
      <c r="AF652">
        <v>7.64</v>
      </c>
      <c r="AG652" t="s">
        <v>67</v>
      </c>
      <c r="AH652">
        <v>0.03</v>
      </c>
      <c r="AI652">
        <v>29</v>
      </c>
      <c r="AJ652" t="s">
        <v>67</v>
      </c>
      <c r="AK652">
        <v>0.2</v>
      </c>
      <c r="AL652">
        <v>31.9</v>
      </c>
      <c r="AM652" t="s">
        <v>67</v>
      </c>
      <c r="AN652">
        <v>0.2</v>
      </c>
      <c r="AO652">
        <v>591</v>
      </c>
      <c r="AP652">
        <v>2.9</v>
      </c>
      <c r="AQ652" t="s">
        <v>67</v>
      </c>
      <c r="AR652" t="s">
        <v>459</v>
      </c>
      <c r="AS652" t="s">
        <v>459</v>
      </c>
      <c r="AT652" t="s">
        <v>135</v>
      </c>
      <c r="AU652" t="s">
        <v>89</v>
      </c>
      <c r="AV652" t="s">
        <v>251</v>
      </c>
      <c r="AX652" t="s">
        <v>73</v>
      </c>
      <c r="AY652">
        <v>-46.23</v>
      </c>
      <c r="AZ652">
        <v>-46.23</v>
      </c>
      <c r="BA652">
        <v>3.88</v>
      </c>
      <c r="BC652">
        <v>40</v>
      </c>
      <c r="BD652">
        <v>-24.15</v>
      </c>
      <c r="BE652">
        <v>-24.15</v>
      </c>
      <c r="BF652">
        <v>4.1691000000000003</v>
      </c>
      <c r="BH652">
        <v>38</v>
      </c>
      <c r="BI652">
        <v>63</v>
      </c>
      <c r="BJ652">
        <v>4</v>
      </c>
      <c r="BK652">
        <v>0.64929999999999999</v>
      </c>
      <c r="BL652">
        <v>3.6799999999999999E-2</v>
      </c>
      <c r="BM652" t="s">
        <v>460</v>
      </c>
    </row>
    <row r="653" spans="1:65" x14ac:dyDescent="0.2">
      <c r="A653">
        <v>177</v>
      </c>
      <c r="B653" t="str">
        <f>ROW()-1&amp;"_AltersFish"</f>
        <v>652_AltersFish</v>
      </c>
      <c r="C653" t="str">
        <f>A653 &amp; "_" &amp; P653 &amp; "_" &amp;
SUBSTITUTE(TRIM(L653)," ","_") &amp;
"_pH" &amp; TEXT(Z653,"0.00") &amp;
"_T" &amp; TEXT(AI653,"0.00") &amp;
"_CO2" &amp; TEXT(V653,"0") &amp;
"_LANG"</f>
        <v>177_LARVA_Sparus_aurata_pH8.09_T18.40_CO2342_LANG</v>
      </c>
      <c r="D653" t="s">
        <v>54</v>
      </c>
      <c r="E653">
        <v>2019</v>
      </c>
      <c r="F653" t="s">
        <v>162</v>
      </c>
      <c r="G653" t="s">
        <v>163</v>
      </c>
      <c r="H653" t="s">
        <v>78</v>
      </c>
      <c r="I653" t="s">
        <v>540</v>
      </c>
      <c r="J653" t="s">
        <v>543</v>
      </c>
      <c r="K653" t="s">
        <v>79</v>
      </c>
      <c r="L653" t="s">
        <v>164</v>
      </c>
      <c r="M653" t="s">
        <v>156</v>
      </c>
      <c r="N653" t="s">
        <v>156</v>
      </c>
      <c r="O653" t="s">
        <v>106</v>
      </c>
      <c r="P653" t="s">
        <v>107</v>
      </c>
      <c r="Q653" t="s">
        <v>74</v>
      </c>
      <c r="R653" t="s">
        <v>83</v>
      </c>
      <c r="S653" t="s">
        <v>64</v>
      </c>
      <c r="T653" t="s">
        <v>74</v>
      </c>
      <c r="U653" t="s">
        <v>84</v>
      </c>
      <c r="V653">
        <v>342</v>
      </c>
      <c r="W653" t="s">
        <v>67</v>
      </c>
      <c r="X653">
        <v>74</v>
      </c>
      <c r="Y653" t="s">
        <v>157</v>
      </c>
      <c r="Z653">
        <v>8.09</v>
      </c>
      <c r="AA653" t="s">
        <v>67</v>
      </c>
      <c r="AB653">
        <v>7.0000000000000007E-2</v>
      </c>
      <c r="AC653">
        <v>1485</v>
      </c>
      <c r="AD653" t="s">
        <v>67</v>
      </c>
      <c r="AE653">
        <v>91</v>
      </c>
      <c r="AF653">
        <v>7.53</v>
      </c>
      <c r="AG653" t="s">
        <v>67</v>
      </c>
      <c r="AH653">
        <v>0.04</v>
      </c>
      <c r="AI653">
        <v>18.399999999999999</v>
      </c>
      <c r="AJ653" t="s">
        <v>67</v>
      </c>
      <c r="AK653">
        <v>0.3</v>
      </c>
      <c r="AL653">
        <v>18.2</v>
      </c>
      <c r="AM653" t="s">
        <v>67</v>
      </c>
      <c r="AN653">
        <v>0.3</v>
      </c>
      <c r="AO653">
        <v>1143</v>
      </c>
      <c r="AP653">
        <v>-0.2</v>
      </c>
      <c r="AQ653" t="s">
        <v>67</v>
      </c>
      <c r="AR653" t="s">
        <v>165</v>
      </c>
      <c r="AS653" t="s">
        <v>166</v>
      </c>
      <c r="AT653" t="s">
        <v>135</v>
      </c>
      <c r="AU653" t="s">
        <v>167</v>
      </c>
      <c r="AV653" t="s">
        <v>132</v>
      </c>
      <c r="AW653" t="s">
        <v>132</v>
      </c>
      <c r="AX653" t="s">
        <v>73</v>
      </c>
      <c r="AY653">
        <v>98.4</v>
      </c>
      <c r="AZ653">
        <v>98.4</v>
      </c>
      <c r="BA653">
        <v>0.92</v>
      </c>
      <c r="BB653">
        <f>BA653*SQRT(BC653)</f>
        <v>3.186973485926734</v>
      </c>
      <c r="BC653">
        <v>12</v>
      </c>
      <c r="BD653">
        <v>73.900000000000006</v>
      </c>
      <c r="BE653">
        <v>73.900000000000006</v>
      </c>
      <c r="BF653">
        <v>0.92379999999999995</v>
      </c>
      <c r="BG653">
        <f>BF653*SQRT(BH653)</f>
        <v>3.2001370720642575</v>
      </c>
      <c r="BH653">
        <v>12</v>
      </c>
      <c r="BI653">
        <v>15</v>
      </c>
      <c r="BJ653">
        <v>3</v>
      </c>
      <c r="BK653">
        <v>-0.2863</v>
      </c>
      <c r="BL653">
        <v>2.0000000000000001E-4</v>
      </c>
    </row>
    <row r="654" spans="1:65" hidden="1" x14ac:dyDescent="0.2">
      <c r="A654">
        <v>136</v>
      </c>
      <c r="D654" t="s">
        <v>54</v>
      </c>
      <c r="E654">
        <v>2012</v>
      </c>
      <c r="F654" t="s">
        <v>384</v>
      </c>
      <c r="G654" t="s">
        <v>199</v>
      </c>
      <c r="H654" t="s">
        <v>78</v>
      </c>
      <c r="K654" t="s">
        <v>93</v>
      </c>
      <c r="L654" t="s">
        <v>94</v>
      </c>
      <c r="M654" t="s">
        <v>95</v>
      </c>
      <c r="N654" t="s">
        <v>61</v>
      </c>
      <c r="O654" t="s">
        <v>62</v>
      </c>
      <c r="P654" t="s">
        <v>63</v>
      </c>
      <c r="Q654" t="s">
        <v>74</v>
      </c>
      <c r="R654" t="s">
        <v>83</v>
      </c>
      <c r="S654" t="s">
        <v>64</v>
      </c>
      <c r="T654" t="s">
        <v>64</v>
      </c>
      <c r="U654" t="s">
        <v>66</v>
      </c>
      <c r="V654">
        <v>433</v>
      </c>
      <c r="W654" t="s">
        <v>67</v>
      </c>
      <c r="X654">
        <v>69</v>
      </c>
      <c r="Y654" t="s">
        <v>96</v>
      </c>
      <c r="Z654">
        <v>8.2100000000000009</v>
      </c>
      <c r="AA654" t="s">
        <v>67</v>
      </c>
      <c r="AB654">
        <v>0.05</v>
      </c>
      <c r="AC654">
        <v>523</v>
      </c>
      <c r="AD654" t="s">
        <v>67</v>
      </c>
      <c r="AE654">
        <v>85</v>
      </c>
      <c r="AF654">
        <v>8.1199999999999992</v>
      </c>
      <c r="AG654" t="s">
        <v>67</v>
      </c>
      <c r="AH654">
        <v>0.06</v>
      </c>
      <c r="AI654">
        <v>28.1</v>
      </c>
      <c r="AJ654" t="s">
        <v>67</v>
      </c>
      <c r="AK654">
        <v>0.12</v>
      </c>
      <c r="AL654">
        <v>29.5</v>
      </c>
      <c r="AM654">
        <v>0.09</v>
      </c>
      <c r="AN654" t="s">
        <v>67</v>
      </c>
      <c r="AO654">
        <v>90</v>
      </c>
      <c r="AP654">
        <v>1.4</v>
      </c>
      <c r="AQ654" t="s">
        <v>67</v>
      </c>
      <c r="AR654" t="s">
        <v>498</v>
      </c>
      <c r="AS654" t="s">
        <v>367</v>
      </c>
      <c r="AT654" t="s">
        <v>135</v>
      </c>
      <c r="AU654" t="s">
        <v>387</v>
      </c>
      <c r="AV654" t="s">
        <v>251</v>
      </c>
      <c r="AX654" t="s">
        <v>73</v>
      </c>
      <c r="AY654">
        <v>27</v>
      </c>
      <c r="AZ654">
        <v>27</v>
      </c>
      <c r="BA654">
        <v>3</v>
      </c>
      <c r="BC654">
        <v>5</v>
      </c>
      <c r="BD654">
        <v>38</v>
      </c>
      <c r="BE654">
        <v>38</v>
      </c>
      <c r="BF654">
        <v>6</v>
      </c>
      <c r="BH654">
        <v>5</v>
      </c>
      <c r="BI654">
        <v>21</v>
      </c>
      <c r="BJ654" t="s">
        <v>67</v>
      </c>
      <c r="BK654">
        <v>0.3417</v>
      </c>
      <c r="BL654">
        <v>3.73E-2</v>
      </c>
    </row>
    <row r="655" spans="1:65" hidden="1" x14ac:dyDescent="0.2">
      <c r="A655">
        <v>158</v>
      </c>
      <c r="D655" t="s">
        <v>54</v>
      </c>
      <c r="E655">
        <v>2019</v>
      </c>
      <c r="F655" t="s">
        <v>493</v>
      </c>
      <c r="G655" t="s">
        <v>494</v>
      </c>
      <c r="H655" t="s">
        <v>57</v>
      </c>
      <c r="K655" t="s">
        <v>234</v>
      </c>
      <c r="L655" t="s">
        <v>200</v>
      </c>
      <c r="M655" t="s">
        <v>81</v>
      </c>
      <c r="N655" t="s">
        <v>81</v>
      </c>
      <c r="O655" t="s">
        <v>62</v>
      </c>
      <c r="P655" t="s">
        <v>63</v>
      </c>
      <c r="Q655" t="s">
        <v>74</v>
      </c>
      <c r="R655" t="s">
        <v>65</v>
      </c>
      <c r="S655" t="s">
        <v>74</v>
      </c>
      <c r="T655" t="s">
        <v>64</v>
      </c>
      <c r="U655" t="s">
        <v>75</v>
      </c>
      <c r="V655">
        <v>422</v>
      </c>
      <c r="W655" t="s">
        <v>67</v>
      </c>
      <c r="X655">
        <v>52</v>
      </c>
      <c r="Y655" t="s">
        <v>121</v>
      </c>
      <c r="Z655">
        <v>8.07</v>
      </c>
      <c r="AA655" t="s">
        <v>67</v>
      </c>
      <c r="AB655">
        <v>7.0000000000000007E-2</v>
      </c>
      <c r="AC655">
        <v>404</v>
      </c>
      <c r="AD655" t="s">
        <v>67</v>
      </c>
      <c r="AE655">
        <v>44</v>
      </c>
      <c r="AF655">
        <v>8.0500000000000007</v>
      </c>
      <c r="AG655" t="s">
        <v>67</v>
      </c>
      <c r="AH655">
        <v>0.08</v>
      </c>
      <c r="AI655">
        <v>15</v>
      </c>
      <c r="AJ655" t="s">
        <v>67</v>
      </c>
      <c r="AK655">
        <v>0.5</v>
      </c>
      <c r="AL655">
        <v>20</v>
      </c>
      <c r="AM655" t="s">
        <v>67</v>
      </c>
      <c r="AN655">
        <v>0.5</v>
      </c>
      <c r="AO655">
        <v>-18</v>
      </c>
      <c r="AP655">
        <v>5</v>
      </c>
      <c r="AQ655" t="s">
        <v>67</v>
      </c>
      <c r="AR655" t="s">
        <v>495</v>
      </c>
      <c r="AS655" t="s">
        <v>495</v>
      </c>
      <c r="AT655" t="s">
        <v>135</v>
      </c>
      <c r="AU655" t="s">
        <v>496</v>
      </c>
      <c r="AV655" t="s">
        <v>142</v>
      </c>
      <c r="AX655" t="s">
        <v>73</v>
      </c>
      <c r="AY655">
        <v>607.76900000000001</v>
      </c>
      <c r="AZ655">
        <v>607.76900000000001</v>
      </c>
      <c r="BA655">
        <v>93.71</v>
      </c>
      <c r="BC655">
        <v>10</v>
      </c>
      <c r="BD655">
        <v>778.67399999999998</v>
      </c>
      <c r="BE655">
        <v>778.67399999999998</v>
      </c>
      <c r="BF655">
        <v>90.730400000000003</v>
      </c>
      <c r="BH655">
        <v>10</v>
      </c>
      <c r="BI655">
        <v>180</v>
      </c>
      <c r="BJ655">
        <v>10</v>
      </c>
      <c r="BK655">
        <v>0.24779999999999999</v>
      </c>
      <c r="BL655">
        <v>3.7400000000000003E-2</v>
      </c>
    </row>
    <row r="656" spans="1:65" hidden="1" x14ac:dyDescent="0.2">
      <c r="A656">
        <v>159</v>
      </c>
      <c r="D656" t="s">
        <v>54</v>
      </c>
      <c r="E656">
        <v>2018</v>
      </c>
      <c r="F656" t="s">
        <v>326</v>
      </c>
      <c r="G656" t="s">
        <v>327</v>
      </c>
      <c r="H656" t="s">
        <v>78</v>
      </c>
      <c r="K656" t="s">
        <v>205</v>
      </c>
      <c r="L656" t="s">
        <v>225</v>
      </c>
      <c r="M656" t="s">
        <v>120</v>
      </c>
      <c r="N656" t="s">
        <v>120</v>
      </c>
      <c r="O656" t="s">
        <v>110</v>
      </c>
      <c r="P656" t="s">
        <v>196</v>
      </c>
      <c r="Q656" t="s">
        <v>64</v>
      </c>
      <c r="R656" t="s">
        <v>83</v>
      </c>
      <c r="S656" t="s">
        <v>74</v>
      </c>
      <c r="T656" t="s">
        <v>64</v>
      </c>
      <c r="U656" t="s">
        <v>75</v>
      </c>
      <c r="V656">
        <v>390</v>
      </c>
      <c r="W656" t="s">
        <v>67</v>
      </c>
      <c r="X656" t="s">
        <v>67</v>
      </c>
      <c r="Y656" t="s">
        <v>67</v>
      </c>
      <c r="Z656" t="s">
        <v>67</v>
      </c>
      <c r="AA656" t="s">
        <v>67</v>
      </c>
      <c r="AB656" t="s">
        <v>67</v>
      </c>
      <c r="AC656">
        <v>390</v>
      </c>
      <c r="AD656" t="s">
        <v>67</v>
      </c>
      <c r="AE656" t="s">
        <v>67</v>
      </c>
      <c r="AF656" t="s">
        <v>67</v>
      </c>
      <c r="AG656" t="s">
        <v>67</v>
      </c>
      <c r="AH656" t="s">
        <v>67</v>
      </c>
      <c r="AI656">
        <v>0</v>
      </c>
      <c r="AJ656" t="s">
        <v>67</v>
      </c>
      <c r="AK656" t="s">
        <v>67</v>
      </c>
      <c r="AL656">
        <v>3</v>
      </c>
      <c r="AM656" t="s">
        <v>67</v>
      </c>
      <c r="AN656" t="s">
        <v>67</v>
      </c>
      <c r="AO656">
        <v>0</v>
      </c>
      <c r="AP656">
        <v>3</v>
      </c>
      <c r="AQ656" t="s">
        <v>67</v>
      </c>
      <c r="AR656" t="s">
        <v>389</v>
      </c>
      <c r="AS656" t="s">
        <v>293</v>
      </c>
      <c r="AT656" t="s">
        <v>70</v>
      </c>
      <c r="AU656" t="s">
        <v>310</v>
      </c>
      <c r="AV656" t="s">
        <v>72</v>
      </c>
      <c r="AX656" t="s">
        <v>73</v>
      </c>
      <c r="AY656">
        <v>23.3</v>
      </c>
      <c r="AZ656">
        <v>23.3</v>
      </c>
      <c r="BA656">
        <v>1.9</v>
      </c>
      <c r="BC656">
        <v>5</v>
      </c>
      <c r="BD656">
        <v>26.8</v>
      </c>
      <c r="BE656">
        <v>26.8</v>
      </c>
      <c r="BF656">
        <v>4.7</v>
      </c>
      <c r="BH656">
        <v>6</v>
      </c>
      <c r="BI656">
        <v>120</v>
      </c>
      <c r="BJ656" t="s">
        <v>67</v>
      </c>
      <c r="BK656">
        <v>0.1399</v>
      </c>
      <c r="BL656">
        <v>3.7400000000000003E-2</v>
      </c>
    </row>
    <row r="657" spans="1:64" hidden="1" x14ac:dyDescent="0.2">
      <c r="A657">
        <v>142</v>
      </c>
      <c r="D657" t="s">
        <v>54</v>
      </c>
      <c r="E657">
        <v>2017</v>
      </c>
      <c r="F657" t="s">
        <v>193</v>
      </c>
      <c r="G657" t="s">
        <v>181</v>
      </c>
      <c r="H657" t="s">
        <v>78</v>
      </c>
      <c r="K657" t="s">
        <v>194</v>
      </c>
      <c r="L657" t="s">
        <v>299</v>
      </c>
      <c r="M657" t="s">
        <v>120</v>
      </c>
      <c r="N657" t="s">
        <v>120</v>
      </c>
      <c r="O657" t="s">
        <v>62</v>
      </c>
      <c r="P657" t="s">
        <v>196</v>
      </c>
      <c r="Q657" t="s">
        <v>64</v>
      </c>
      <c r="R657" t="s">
        <v>83</v>
      </c>
      <c r="S657" t="s">
        <v>64</v>
      </c>
      <c r="T657" t="s">
        <v>64</v>
      </c>
      <c r="U657" t="s">
        <v>66</v>
      </c>
      <c r="V657">
        <v>439</v>
      </c>
      <c r="W657">
        <v>16.079999999999998</v>
      </c>
      <c r="X657" t="s">
        <v>67</v>
      </c>
      <c r="Y657" t="s">
        <v>67</v>
      </c>
      <c r="Z657" t="s">
        <v>67</v>
      </c>
      <c r="AA657" t="s">
        <v>67</v>
      </c>
      <c r="AB657" t="s">
        <v>67</v>
      </c>
      <c r="AC657">
        <v>1027</v>
      </c>
      <c r="AD657">
        <v>9.0299999999999994</v>
      </c>
      <c r="AE657" t="s">
        <v>67</v>
      </c>
      <c r="AF657" t="s">
        <v>67</v>
      </c>
      <c r="AG657" t="s">
        <v>67</v>
      </c>
      <c r="AH657" t="s">
        <v>67</v>
      </c>
      <c r="AI657">
        <v>-0.6</v>
      </c>
      <c r="AJ657">
        <v>0.17</v>
      </c>
      <c r="AK657" t="s">
        <v>67</v>
      </c>
      <c r="AL657">
        <v>4.2</v>
      </c>
      <c r="AM657">
        <v>0.56000000000000005</v>
      </c>
      <c r="AN657" t="s">
        <v>67</v>
      </c>
      <c r="AO657">
        <v>588</v>
      </c>
      <c r="AP657">
        <v>4.8</v>
      </c>
      <c r="AQ657" t="s">
        <v>67</v>
      </c>
      <c r="AR657" t="s">
        <v>489</v>
      </c>
      <c r="AS657" t="s">
        <v>401</v>
      </c>
      <c r="AT657" t="s">
        <v>135</v>
      </c>
      <c r="AU657" t="s">
        <v>402</v>
      </c>
      <c r="AV657" t="s">
        <v>132</v>
      </c>
      <c r="AX657" t="s">
        <v>73</v>
      </c>
      <c r="AY657">
        <v>5.6360000000000001</v>
      </c>
      <c r="AZ657">
        <v>5.6360000000000001</v>
      </c>
      <c r="BA657">
        <v>0.56999999999999995</v>
      </c>
      <c r="BC657">
        <v>10</v>
      </c>
      <c r="BD657">
        <v>6.593</v>
      </c>
      <c r="BE657">
        <v>6.593</v>
      </c>
      <c r="BF657">
        <v>1.0900000000000001</v>
      </c>
      <c r="BH657">
        <v>10</v>
      </c>
      <c r="BI657">
        <v>49</v>
      </c>
      <c r="BJ657">
        <v>1</v>
      </c>
      <c r="BK657">
        <v>0.15679999999999999</v>
      </c>
      <c r="BL657">
        <v>3.7600000000000001E-2</v>
      </c>
    </row>
    <row r="658" spans="1:64" x14ac:dyDescent="0.2">
      <c r="A658">
        <v>181</v>
      </c>
      <c r="B658" t="str">
        <f>ROW()-1&amp;"_AltersFish"</f>
        <v>657_AltersFish</v>
      </c>
      <c r="C658" t="str">
        <f>A658 &amp; "_" &amp; P658 &amp; "_" &amp;
SUBSTITUTE(TRIM(L658)," ","_") &amp;
"_pH" &amp; TEXT(Z658,"0.00") &amp;
"_T" &amp; TEXT(AI658,"0.00") &amp;
"_CO2" &amp; TEXT(V658,"0") &amp;
"_LANG"</f>
        <v>181_LARVA_Solea_senegalensis_pH8.02_T18.20_CO2400_LANG</v>
      </c>
      <c r="D658" t="s">
        <v>54</v>
      </c>
      <c r="E658">
        <v>2015</v>
      </c>
      <c r="F658" t="s">
        <v>343</v>
      </c>
      <c r="G658" t="s">
        <v>344</v>
      </c>
      <c r="H658" t="s">
        <v>78</v>
      </c>
      <c r="I658" t="s">
        <v>540</v>
      </c>
      <c r="J658" t="s">
        <v>543</v>
      </c>
      <c r="K658" t="s">
        <v>79</v>
      </c>
      <c r="L658" t="s">
        <v>125</v>
      </c>
      <c r="M658" t="s">
        <v>156</v>
      </c>
      <c r="N658" t="s">
        <v>156</v>
      </c>
      <c r="O658" t="s">
        <v>106</v>
      </c>
      <c r="P658" t="s">
        <v>107</v>
      </c>
      <c r="Q658" t="s">
        <v>74</v>
      </c>
      <c r="R658" t="s">
        <v>83</v>
      </c>
      <c r="S658" t="s">
        <v>74</v>
      </c>
      <c r="T658" t="s">
        <v>64</v>
      </c>
      <c r="U658" t="s">
        <v>75</v>
      </c>
      <c r="V658">
        <v>400</v>
      </c>
      <c r="W658" t="s">
        <v>67</v>
      </c>
      <c r="X658">
        <v>67</v>
      </c>
      <c r="Y658" t="s">
        <v>157</v>
      </c>
      <c r="Z658">
        <v>8.02</v>
      </c>
      <c r="AA658" t="s">
        <v>67</v>
      </c>
      <c r="AB658">
        <v>0.04</v>
      </c>
      <c r="AC658">
        <v>424</v>
      </c>
      <c r="AD658" t="s">
        <v>67</v>
      </c>
      <c r="AE658">
        <v>20</v>
      </c>
      <c r="AF658">
        <v>8.0299999999999994</v>
      </c>
      <c r="AG658" t="s">
        <v>67</v>
      </c>
      <c r="AH658">
        <v>0.05</v>
      </c>
      <c r="AI658">
        <v>18.2</v>
      </c>
      <c r="AJ658" t="s">
        <v>67</v>
      </c>
      <c r="AK658">
        <v>0.4</v>
      </c>
      <c r="AL658">
        <v>22</v>
      </c>
      <c r="AM658" t="s">
        <v>67</v>
      </c>
      <c r="AN658">
        <v>0.42</v>
      </c>
      <c r="AO658">
        <v>24</v>
      </c>
      <c r="AP658">
        <v>3.8</v>
      </c>
      <c r="AQ658" t="s">
        <v>67</v>
      </c>
      <c r="AR658" t="s">
        <v>345</v>
      </c>
      <c r="AS658" t="s">
        <v>134</v>
      </c>
      <c r="AT658" t="s">
        <v>135</v>
      </c>
      <c r="AU658" t="s">
        <v>346</v>
      </c>
      <c r="AV658" t="s">
        <v>137</v>
      </c>
      <c r="AW658" t="s">
        <v>132</v>
      </c>
      <c r="AX658" t="s">
        <v>73</v>
      </c>
      <c r="AY658">
        <v>22.8</v>
      </c>
      <c r="AZ658">
        <v>22.8</v>
      </c>
      <c r="BA658">
        <v>1.23</v>
      </c>
      <c r="BB658">
        <f>BA658*SQRT(BC658)</f>
        <v>3.69</v>
      </c>
      <c r="BC658">
        <v>9</v>
      </c>
      <c r="BD658">
        <v>34.700000000000003</v>
      </c>
      <c r="BE658">
        <v>34.700000000000003</v>
      </c>
      <c r="BF658">
        <v>1.3</v>
      </c>
      <c r="BG658">
        <f>BF658*SQRT(BH658)</f>
        <v>3.9000000000000004</v>
      </c>
      <c r="BH658">
        <v>9</v>
      </c>
      <c r="BI658">
        <v>30</v>
      </c>
      <c r="BJ658">
        <v>3</v>
      </c>
      <c r="BK658">
        <v>0.42</v>
      </c>
      <c r="BL658">
        <v>4.3E-3</v>
      </c>
    </row>
    <row r="659" spans="1:64" hidden="1" x14ac:dyDescent="0.2">
      <c r="A659">
        <v>142</v>
      </c>
      <c r="D659" t="s">
        <v>54</v>
      </c>
      <c r="E659">
        <v>2017</v>
      </c>
      <c r="F659" t="s">
        <v>193</v>
      </c>
      <c r="G659" t="s">
        <v>181</v>
      </c>
      <c r="H659" t="s">
        <v>78</v>
      </c>
      <c r="K659" t="s">
        <v>194</v>
      </c>
      <c r="L659" t="s">
        <v>215</v>
      </c>
      <c r="M659" t="s">
        <v>120</v>
      </c>
      <c r="N659" t="s">
        <v>120</v>
      </c>
      <c r="O659" t="s">
        <v>62</v>
      </c>
      <c r="P659" t="s">
        <v>196</v>
      </c>
      <c r="Q659" t="s">
        <v>64</v>
      </c>
      <c r="R659" t="s">
        <v>83</v>
      </c>
      <c r="S659" t="s">
        <v>64</v>
      </c>
      <c r="T659" t="s">
        <v>74</v>
      </c>
      <c r="U659" t="s">
        <v>84</v>
      </c>
      <c r="V659">
        <v>439</v>
      </c>
      <c r="W659">
        <v>16.079999999999998</v>
      </c>
      <c r="X659" t="s">
        <v>67</v>
      </c>
      <c r="Y659" t="s">
        <v>67</v>
      </c>
      <c r="Z659" t="s">
        <v>67</v>
      </c>
      <c r="AA659" t="s">
        <v>67</v>
      </c>
      <c r="AB659" t="s">
        <v>67</v>
      </c>
      <c r="AC659">
        <v>954</v>
      </c>
      <c r="AD659">
        <v>50.38</v>
      </c>
      <c r="AE659" t="s">
        <v>67</v>
      </c>
      <c r="AF659" t="s">
        <v>67</v>
      </c>
      <c r="AG659" t="s">
        <v>67</v>
      </c>
      <c r="AH659" t="s">
        <v>67</v>
      </c>
      <c r="AI659">
        <v>-0.6</v>
      </c>
      <c r="AJ659">
        <v>0.17</v>
      </c>
      <c r="AK659" t="s">
        <v>67</v>
      </c>
      <c r="AL659">
        <v>-0.5</v>
      </c>
      <c r="AM659">
        <v>0.16</v>
      </c>
      <c r="AN659" t="s">
        <v>67</v>
      </c>
      <c r="AO659">
        <v>515</v>
      </c>
      <c r="AP659">
        <v>0.2</v>
      </c>
      <c r="AQ659" t="s">
        <v>67</v>
      </c>
      <c r="AR659" t="s">
        <v>356</v>
      </c>
      <c r="AS659" t="s">
        <v>134</v>
      </c>
      <c r="AT659" t="s">
        <v>135</v>
      </c>
      <c r="AU659" t="s">
        <v>357</v>
      </c>
      <c r="AV659" t="s">
        <v>137</v>
      </c>
      <c r="AX659" t="s">
        <v>73</v>
      </c>
      <c r="AY659">
        <v>28.51</v>
      </c>
      <c r="AZ659">
        <v>28.51</v>
      </c>
      <c r="BA659">
        <v>3.16</v>
      </c>
      <c r="BC659">
        <v>5</v>
      </c>
      <c r="BD659">
        <v>33.871000000000002</v>
      </c>
      <c r="BE659">
        <v>33.870967739999998</v>
      </c>
      <c r="BF659">
        <v>5.6452</v>
      </c>
      <c r="BH659">
        <v>5</v>
      </c>
      <c r="BI659">
        <v>56</v>
      </c>
      <c r="BJ659">
        <v>1</v>
      </c>
      <c r="BK659">
        <v>0.17230000000000001</v>
      </c>
      <c r="BL659">
        <v>4.0099999999999997E-2</v>
      </c>
    </row>
    <row r="660" spans="1:64" hidden="1" x14ac:dyDescent="0.2">
      <c r="A660">
        <v>136</v>
      </c>
      <c r="D660" t="s">
        <v>54</v>
      </c>
      <c r="E660">
        <v>2012</v>
      </c>
      <c r="F660" t="s">
        <v>384</v>
      </c>
      <c r="G660" t="s">
        <v>199</v>
      </c>
      <c r="H660" t="s">
        <v>78</v>
      </c>
      <c r="K660" t="s">
        <v>93</v>
      </c>
      <c r="L660" t="s">
        <v>94</v>
      </c>
      <c r="M660" t="s">
        <v>95</v>
      </c>
      <c r="N660" t="s">
        <v>61</v>
      </c>
      <c r="O660" t="s">
        <v>62</v>
      </c>
      <c r="P660" t="s">
        <v>63</v>
      </c>
      <c r="Q660" t="s">
        <v>74</v>
      </c>
      <c r="R660" t="s">
        <v>83</v>
      </c>
      <c r="S660" t="s">
        <v>64</v>
      </c>
      <c r="T660" t="s">
        <v>64</v>
      </c>
      <c r="U660" t="s">
        <v>66</v>
      </c>
      <c r="V660">
        <v>433</v>
      </c>
      <c r="W660" t="s">
        <v>67</v>
      </c>
      <c r="X660">
        <v>69</v>
      </c>
      <c r="Y660" t="s">
        <v>96</v>
      </c>
      <c r="Z660">
        <v>8.2100000000000009</v>
      </c>
      <c r="AA660" t="s">
        <v>67</v>
      </c>
      <c r="AB660">
        <v>0.05</v>
      </c>
      <c r="AC660">
        <v>511</v>
      </c>
      <c r="AD660" t="s">
        <v>67</v>
      </c>
      <c r="AE660">
        <v>85</v>
      </c>
      <c r="AF660">
        <v>8.1300000000000008</v>
      </c>
      <c r="AG660" t="s">
        <v>67</v>
      </c>
      <c r="AH660">
        <v>0.06</v>
      </c>
      <c r="AI660">
        <v>28.1</v>
      </c>
      <c r="AJ660" t="s">
        <v>67</v>
      </c>
      <c r="AK660">
        <v>0.12</v>
      </c>
      <c r="AL660">
        <v>31.4</v>
      </c>
      <c r="AM660">
        <v>0.01</v>
      </c>
      <c r="AN660" t="s">
        <v>67</v>
      </c>
      <c r="AO660">
        <v>78</v>
      </c>
      <c r="AP660">
        <v>3.3</v>
      </c>
      <c r="AQ660" t="s">
        <v>67</v>
      </c>
      <c r="AR660" t="s">
        <v>498</v>
      </c>
      <c r="AS660" t="s">
        <v>367</v>
      </c>
      <c r="AT660" t="s">
        <v>135</v>
      </c>
      <c r="AU660" t="s">
        <v>387</v>
      </c>
      <c r="AV660" t="s">
        <v>251</v>
      </c>
      <c r="AX660" t="s">
        <v>73</v>
      </c>
      <c r="AY660">
        <v>27</v>
      </c>
      <c r="AZ660">
        <v>27</v>
      </c>
      <c r="BA660">
        <v>3</v>
      </c>
      <c r="BC660">
        <v>5</v>
      </c>
      <c r="BD660">
        <v>36</v>
      </c>
      <c r="BE660">
        <v>36</v>
      </c>
      <c r="BF660">
        <v>6</v>
      </c>
      <c r="BH660">
        <v>5</v>
      </c>
      <c r="BI660">
        <v>21</v>
      </c>
      <c r="BJ660" t="s">
        <v>67</v>
      </c>
      <c r="BK660">
        <v>0.28770000000000001</v>
      </c>
      <c r="BL660">
        <v>4.0099999999999997E-2</v>
      </c>
    </row>
    <row r="661" spans="1:64" hidden="1" x14ac:dyDescent="0.2">
      <c r="A661">
        <v>136</v>
      </c>
      <c r="D661" t="s">
        <v>54</v>
      </c>
      <c r="E661">
        <v>2012</v>
      </c>
      <c r="F661" t="s">
        <v>384</v>
      </c>
      <c r="G661" t="s">
        <v>199</v>
      </c>
      <c r="H661" t="s">
        <v>78</v>
      </c>
      <c r="K661" t="s">
        <v>93</v>
      </c>
      <c r="L661" t="s">
        <v>94</v>
      </c>
      <c r="M661" t="s">
        <v>95</v>
      </c>
      <c r="N661" t="s">
        <v>61</v>
      </c>
      <c r="O661" t="s">
        <v>62</v>
      </c>
      <c r="P661" t="s">
        <v>63</v>
      </c>
      <c r="Q661" t="s">
        <v>74</v>
      </c>
      <c r="R661" t="s">
        <v>83</v>
      </c>
      <c r="S661" t="s">
        <v>64</v>
      </c>
      <c r="T661" t="s">
        <v>74</v>
      </c>
      <c r="U661" t="s">
        <v>84</v>
      </c>
      <c r="V661">
        <v>433</v>
      </c>
      <c r="W661" t="s">
        <v>67</v>
      </c>
      <c r="X661">
        <v>69</v>
      </c>
      <c r="Y661" t="s">
        <v>96</v>
      </c>
      <c r="Z661">
        <v>8.2100000000000009</v>
      </c>
      <c r="AA661" t="s">
        <v>67</v>
      </c>
      <c r="AB661">
        <v>0.05</v>
      </c>
      <c r="AC661">
        <v>551</v>
      </c>
      <c r="AD661" t="s">
        <v>67</v>
      </c>
      <c r="AE661">
        <v>99</v>
      </c>
      <c r="AF661">
        <v>8.11</v>
      </c>
      <c r="AG661" t="s">
        <v>67</v>
      </c>
      <c r="AH661">
        <v>7.0000000000000007E-2</v>
      </c>
      <c r="AI661">
        <v>28.1</v>
      </c>
      <c r="AJ661" t="s">
        <v>67</v>
      </c>
      <c r="AK661">
        <v>0.12</v>
      </c>
      <c r="AL661">
        <v>28.2</v>
      </c>
      <c r="AM661">
        <v>0.09</v>
      </c>
      <c r="AN661" t="s">
        <v>67</v>
      </c>
      <c r="AO661">
        <v>118</v>
      </c>
      <c r="AP661">
        <v>0.1</v>
      </c>
      <c r="AQ661" t="s">
        <v>67</v>
      </c>
      <c r="AR661" t="s">
        <v>498</v>
      </c>
      <c r="AS661" t="s">
        <v>367</v>
      </c>
      <c r="AT661" t="s">
        <v>135</v>
      </c>
      <c r="AU661" t="s">
        <v>387</v>
      </c>
      <c r="AV661" t="s">
        <v>251</v>
      </c>
      <c r="AX661" t="s">
        <v>73</v>
      </c>
      <c r="AY661">
        <v>27</v>
      </c>
      <c r="AZ661">
        <v>27</v>
      </c>
      <c r="BA661">
        <v>3</v>
      </c>
      <c r="BC661">
        <v>5</v>
      </c>
      <c r="BD661">
        <v>36</v>
      </c>
      <c r="BE661">
        <v>36</v>
      </c>
      <c r="BF661">
        <v>6</v>
      </c>
      <c r="BH661">
        <v>5</v>
      </c>
      <c r="BI661">
        <v>21</v>
      </c>
      <c r="BJ661" t="s">
        <v>67</v>
      </c>
      <c r="BK661">
        <v>0.28770000000000001</v>
      </c>
      <c r="BL661">
        <v>4.0099999999999997E-2</v>
      </c>
    </row>
    <row r="662" spans="1:64" hidden="1" x14ac:dyDescent="0.2">
      <c r="A662">
        <v>142</v>
      </c>
      <c r="D662" t="s">
        <v>54</v>
      </c>
      <c r="E662">
        <v>2017</v>
      </c>
      <c r="F662" t="s">
        <v>193</v>
      </c>
      <c r="G662" t="s">
        <v>181</v>
      </c>
      <c r="H662" t="s">
        <v>78</v>
      </c>
      <c r="K662" t="s">
        <v>194</v>
      </c>
      <c r="L662" t="s">
        <v>215</v>
      </c>
      <c r="M662" t="s">
        <v>120</v>
      </c>
      <c r="N662" t="s">
        <v>120</v>
      </c>
      <c r="O662" t="s">
        <v>62</v>
      </c>
      <c r="P662" t="s">
        <v>196</v>
      </c>
      <c r="Q662" t="s">
        <v>64</v>
      </c>
      <c r="R662" t="s">
        <v>83</v>
      </c>
      <c r="S662" t="s">
        <v>64</v>
      </c>
      <c r="T662" t="s">
        <v>74</v>
      </c>
      <c r="U662" t="s">
        <v>84</v>
      </c>
      <c r="V662">
        <v>439</v>
      </c>
      <c r="W662">
        <v>16.079999999999998</v>
      </c>
      <c r="X662" t="s">
        <v>67</v>
      </c>
      <c r="Y662" t="s">
        <v>67</v>
      </c>
      <c r="Z662" t="s">
        <v>67</v>
      </c>
      <c r="AA662" t="s">
        <v>67</v>
      </c>
      <c r="AB662" t="s">
        <v>67</v>
      </c>
      <c r="AC662">
        <v>954</v>
      </c>
      <c r="AD662">
        <v>50.38</v>
      </c>
      <c r="AE662" t="s">
        <v>67</v>
      </c>
      <c r="AF662" t="s">
        <v>67</v>
      </c>
      <c r="AG662" t="s">
        <v>67</v>
      </c>
      <c r="AH662" t="s">
        <v>67</v>
      </c>
      <c r="AI662">
        <v>-0.6</v>
      </c>
      <c r="AJ662">
        <v>0.17</v>
      </c>
      <c r="AK662" t="s">
        <v>67</v>
      </c>
      <c r="AL662">
        <v>-0.5</v>
      </c>
      <c r="AM662">
        <v>0.16</v>
      </c>
      <c r="AN662" t="s">
        <v>67</v>
      </c>
      <c r="AO662">
        <v>515</v>
      </c>
      <c r="AP662">
        <v>0.2</v>
      </c>
      <c r="AQ662" t="s">
        <v>483</v>
      </c>
      <c r="AR662" t="s">
        <v>471</v>
      </c>
      <c r="AS662" t="s">
        <v>412</v>
      </c>
      <c r="AT662" t="s">
        <v>135</v>
      </c>
      <c r="AU662" t="s">
        <v>472</v>
      </c>
      <c r="AV662" t="s">
        <v>132</v>
      </c>
      <c r="AX662" t="s">
        <v>73</v>
      </c>
      <c r="AY662">
        <v>4.9000000000000002E-2</v>
      </c>
      <c r="AZ662">
        <v>4.9000000000000002E-2</v>
      </c>
      <c r="BA662">
        <v>0.01</v>
      </c>
      <c r="BC662">
        <v>5</v>
      </c>
      <c r="BD662">
        <v>4.6899999999999997E-2</v>
      </c>
      <c r="BE662">
        <v>4.6899999999999997E-2</v>
      </c>
      <c r="BF662">
        <v>8.0999999999999996E-3</v>
      </c>
      <c r="BH662">
        <v>5</v>
      </c>
      <c r="BI662">
        <v>56</v>
      </c>
      <c r="BJ662">
        <v>1</v>
      </c>
      <c r="BK662">
        <v>-4.3799999999999999E-2</v>
      </c>
      <c r="BL662">
        <v>4.02E-2</v>
      </c>
    </row>
    <row r="663" spans="1:64" hidden="1" x14ac:dyDescent="0.2">
      <c r="A663">
        <v>209</v>
      </c>
      <c r="D663" t="s">
        <v>54</v>
      </c>
      <c r="E663">
        <v>2020</v>
      </c>
      <c r="F663" t="s">
        <v>223</v>
      </c>
      <c r="G663" t="s">
        <v>224</v>
      </c>
      <c r="H663" t="s">
        <v>78</v>
      </c>
      <c r="K663" t="s">
        <v>205</v>
      </c>
      <c r="L663" t="s">
        <v>206</v>
      </c>
      <c r="M663" t="s">
        <v>81</v>
      </c>
      <c r="N663" t="s">
        <v>81</v>
      </c>
      <c r="O663" t="s">
        <v>110</v>
      </c>
      <c r="P663" t="s">
        <v>63</v>
      </c>
      <c r="Q663" t="s">
        <v>64</v>
      </c>
      <c r="R663" t="s">
        <v>83</v>
      </c>
      <c r="S663" t="s">
        <v>74</v>
      </c>
      <c r="T663" t="s">
        <v>64</v>
      </c>
      <c r="U663" t="s">
        <v>75</v>
      </c>
      <c r="V663">
        <v>434.51</v>
      </c>
      <c r="W663" t="s">
        <v>67</v>
      </c>
      <c r="X663">
        <v>49.9</v>
      </c>
      <c r="Y663" t="s">
        <v>68</v>
      </c>
      <c r="Z663">
        <v>8.01</v>
      </c>
      <c r="AA663" t="s">
        <v>67</v>
      </c>
      <c r="AB663">
        <v>0.04</v>
      </c>
      <c r="AC663">
        <v>547.87</v>
      </c>
      <c r="AD663" t="s">
        <v>67</v>
      </c>
      <c r="AE663">
        <v>92.69</v>
      </c>
      <c r="AF663">
        <v>7.87</v>
      </c>
      <c r="AG663" t="s">
        <v>67</v>
      </c>
      <c r="AH663">
        <v>0.06</v>
      </c>
      <c r="AI663">
        <v>8.1999999999999993</v>
      </c>
      <c r="AJ663" t="s">
        <v>67</v>
      </c>
      <c r="AK663">
        <v>0.11</v>
      </c>
      <c r="AL663">
        <v>15.8</v>
      </c>
      <c r="AM663" t="s">
        <v>67</v>
      </c>
      <c r="AN663">
        <v>0.25</v>
      </c>
      <c r="AO663">
        <v>113</v>
      </c>
      <c r="AP663">
        <v>7.6</v>
      </c>
      <c r="AQ663" t="s">
        <v>67</v>
      </c>
      <c r="AR663" t="s">
        <v>502</v>
      </c>
      <c r="AS663" t="s">
        <v>412</v>
      </c>
      <c r="AT663" t="s">
        <v>135</v>
      </c>
      <c r="AU663" t="s">
        <v>503</v>
      </c>
      <c r="AV663" t="s">
        <v>132</v>
      </c>
      <c r="AX663" t="s">
        <v>73</v>
      </c>
      <c r="AY663">
        <v>2.1806000000000001</v>
      </c>
      <c r="AZ663">
        <v>2.1805555559999998</v>
      </c>
      <c r="BA663">
        <v>0.43055555600000001</v>
      </c>
      <c r="BC663">
        <v>3</v>
      </c>
      <c r="BD663">
        <v>3.6943999999999999</v>
      </c>
      <c r="BE663">
        <v>3.6944444440000002</v>
      </c>
      <c r="BF663">
        <v>0.13888888899999999</v>
      </c>
      <c r="BH663">
        <v>3</v>
      </c>
      <c r="BI663">
        <v>120</v>
      </c>
      <c r="BJ663">
        <v>12</v>
      </c>
      <c r="BK663">
        <v>0.52729999999999999</v>
      </c>
      <c r="BL663">
        <v>4.0399999999999998E-2</v>
      </c>
    </row>
    <row r="664" spans="1:64" hidden="1" x14ac:dyDescent="0.2">
      <c r="A664">
        <v>146</v>
      </c>
      <c r="D664" t="s">
        <v>54</v>
      </c>
      <c r="E664">
        <v>2016</v>
      </c>
      <c r="F664" t="s">
        <v>347</v>
      </c>
      <c r="G664" t="s">
        <v>348</v>
      </c>
      <c r="H664" t="s">
        <v>78</v>
      </c>
      <c r="K664" t="s">
        <v>349</v>
      </c>
      <c r="L664" t="s">
        <v>125</v>
      </c>
      <c r="M664" t="s">
        <v>126</v>
      </c>
      <c r="N664" t="s">
        <v>81</v>
      </c>
      <c r="O664" t="s">
        <v>62</v>
      </c>
      <c r="P664" t="s">
        <v>63</v>
      </c>
      <c r="Q664" t="s">
        <v>74</v>
      </c>
      <c r="R664" t="s">
        <v>83</v>
      </c>
      <c r="S664" t="s">
        <v>74</v>
      </c>
      <c r="T664" t="s">
        <v>64</v>
      </c>
      <c r="U664" t="s">
        <v>75</v>
      </c>
      <c r="V664">
        <v>360</v>
      </c>
      <c r="W664" t="s">
        <v>67</v>
      </c>
      <c r="X664">
        <v>35.299999999999997</v>
      </c>
      <c r="Y664" t="s">
        <v>68</v>
      </c>
      <c r="Z664">
        <v>8.01</v>
      </c>
      <c r="AA664" t="s">
        <v>67</v>
      </c>
      <c r="AB664">
        <v>0.04</v>
      </c>
      <c r="AC664">
        <v>348</v>
      </c>
      <c r="AD664" t="s">
        <v>67</v>
      </c>
      <c r="AE664">
        <v>37.1</v>
      </c>
      <c r="AF664">
        <v>8</v>
      </c>
      <c r="AG664" t="s">
        <v>67</v>
      </c>
      <c r="AH664">
        <v>0.03</v>
      </c>
      <c r="AI664">
        <v>19.2</v>
      </c>
      <c r="AJ664" t="s">
        <v>67</v>
      </c>
      <c r="AK664">
        <v>0.3</v>
      </c>
      <c r="AL664">
        <v>23</v>
      </c>
      <c r="AM664" t="s">
        <v>67</v>
      </c>
      <c r="AN664">
        <v>0.28999999999999998</v>
      </c>
      <c r="AO664">
        <v>-12</v>
      </c>
      <c r="AP664">
        <v>3.8</v>
      </c>
      <c r="AQ664" t="s">
        <v>350</v>
      </c>
      <c r="AR664" t="s">
        <v>468</v>
      </c>
      <c r="AS664" t="s">
        <v>412</v>
      </c>
      <c r="AT664" t="s">
        <v>135</v>
      </c>
      <c r="AU664" t="s">
        <v>469</v>
      </c>
      <c r="AV664" t="s">
        <v>132</v>
      </c>
      <c r="AX664" t="s">
        <v>73</v>
      </c>
      <c r="AY664">
        <v>8.66</v>
      </c>
      <c r="AZ664">
        <v>8.66</v>
      </c>
      <c r="BA664">
        <v>0.76</v>
      </c>
      <c r="BC664">
        <v>5</v>
      </c>
      <c r="BD664">
        <v>8.3800000000000008</v>
      </c>
      <c r="BE664">
        <v>8.3800000000000008</v>
      </c>
      <c r="BF664">
        <v>1.52</v>
      </c>
      <c r="BH664">
        <v>5</v>
      </c>
      <c r="BI664">
        <v>28</v>
      </c>
      <c r="BJ664">
        <v>6</v>
      </c>
      <c r="BK664">
        <v>-3.2899999999999999E-2</v>
      </c>
      <c r="BL664">
        <v>4.0599999999999997E-2</v>
      </c>
    </row>
    <row r="665" spans="1:64" hidden="1" x14ac:dyDescent="0.2">
      <c r="A665">
        <v>209</v>
      </c>
      <c r="D665" t="s">
        <v>54</v>
      </c>
      <c r="E665">
        <v>2020</v>
      </c>
      <c r="F665" t="s">
        <v>223</v>
      </c>
      <c r="G665" t="s">
        <v>224</v>
      </c>
      <c r="H665" t="s">
        <v>78</v>
      </c>
      <c r="K665" t="s">
        <v>205</v>
      </c>
      <c r="L665" t="s">
        <v>206</v>
      </c>
      <c r="M665" t="s">
        <v>81</v>
      </c>
      <c r="N665" t="s">
        <v>81</v>
      </c>
      <c r="O665" t="s">
        <v>110</v>
      </c>
      <c r="P665" t="s">
        <v>63</v>
      </c>
      <c r="Q665" t="s">
        <v>64</v>
      </c>
      <c r="R665" t="s">
        <v>83</v>
      </c>
      <c r="S665" t="s">
        <v>74</v>
      </c>
      <c r="T665" t="s">
        <v>64</v>
      </c>
      <c r="U665" t="s">
        <v>75</v>
      </c>
      <c r="V665">
        <v>434.51</v>
      </c>
      <c r="W665" t="s">
        <v>67</v>
      </c>
      <c r="X665">
        <v>49.9</v>
      </c>
      <c r="Y665" t="s">
        <v>68</v>
      </c>
      <c r="Z665">
        <v>8.01</v>
      </c>
      <c r="AA665" t="s">
        <v>67</v>
      </c>
      <c r="AB665">
        <v>0.04</v>
      </c>
      <c r="AC665">
        <v>490.29</v>
      </c>
      <c r="AD665" t="s">
        <v>67</v>
      </c>
      <c r="AE665">
        <v>112.75</v>
      </c>
      <c r="AF665">
        <v>8</v>
      </c>
      <c r="AG665" t="s">
        <v>67</v>
      </c>
      <c r="AH665">
        <v>0.08</v>
      </c>
      <c r="AI665">
        <v>8.1999999999999993</v>
      </c>
      <c r="AJ665" t="s">
        <v>67</v>
      </c>
      <c r="AK665">
        <v>0.11</v>
      </c>
      <c r="AL665">
        <v>12</v>
      </c>
      <c r="AM665" t="s">
        <v>67</v>
      </c>
      <c r="AN665">
        <v>0.35</v>
      </c>
      <c r="AO665">
        <v>56</v>
      </c>
      <c r="AP665">
        <v>3.8</v>
      </c>
      <c r="AQ665" t="s">
        <v>67</v>
      </c>
      <c r="AR665" t="s">
        <v>502</v>
      </c>
      <c r="AS665" t="s">
        <v>412</v>
      </c>
      <c r="AT665" t="s">
        <v>135</v>
      </c>
      <c r="AU665" t="s">
        <v>503</v>
      </c>
      <c r="AV665" t="s">
        <v>132</v>
      </c>
      <c r="AX665" t="s">
        <v>73</v>
      </c>
      <c r="AY665">
        <v>2.1806000000000001</v>
      </c>
      <c r="AZ665">
        <v>2.1805555559999998</v>
      </c>
      <c r="BA665">
        <v>0.43055555600000001</v>
      </c>
      <c r="BC665">
        <v>3</v>
      </c>
      <c r="BD665">
        <v>2.75</v>
      </c>
      <c r="BE665">
        <v>2.75</v>
      </c>
      <c r="BF665">
        <v>0.111111111</v>
      </c>
      <c r="BH665">
        <v>6</v>
      </c>
      <c r="BI665">
        <v>120</v>
      </c>
      <c r="BJ665">
        <v>12</v>
      </c>
      <c r="BK665">
        <v>0.23200000000000001</v>
      </c>
      <c r="BL665">
        <v>4.0599999999999997E-2</v>
      </c>
    </row>
    <row r="666" spans="1:64" hidden="1" x14ac:dyDescent="0.2">
      <c r="A666">
        <v>164</v>
      </c>
      <c r="D666" t="s">
        <v>54</v>
      </c>
      <c r="E666">
        <v>2017</v>
      </c>
      <c r="F666" t="s">
        <v>371</v>
      </c>
      <c r="G666" t="s">
        <v>224</v>
      </c>
      <c r="H666" t="s">
        <v>78</v>
      </c>
      <c r="K666" t="s">
        <v>79</v>
      </c>
      <c r="L666" t="s">
        <v>206</v>
      </c>
      <c r="M666" t="s">
        <v>120</v>
      </c>
      <c r="N666" t="s">
        <v>120</v>
      </c>
      <c r="O666" t="s">
        <v>110</v>
      </c>
      <c r="P666" t="s">
        <v>196</v>
      </c>
      <c r="Q666" t="s">
        <v>480</v>
      </c>
      <c r="R666" t="s">
        <v>83</v>
      </c>
      <c r="S666" t="s">
        <v>64</v>
      </c>
      <c r="T666" t="s">
        <v>64</v>
      </c>
      <c r="U666" t="s">
        <v>66</v>
      </c>
      <c r="V666">
        <v>437</v>
      </c>
      <c r="W666" t="s">
        <v>67</v>
      </c>
      <c r="X666">
        <v>10</v>
      </c>
      <c r="Y666" t="s">
        <v>157</v>
      </c>
      <c r="Z666">
        <v>8.02</v>
      </c>
      <c r="AA666" t="s">
        <v>67</v>
      </c>
      <c r="AB666">
        <v>0.01</v>
      </c>
      <c r="AC666">
        <v>1416</v>
      </c>
      <c r="AD666" t="s">
        <v>67</v>
      </c>
      <c r="AE666">
        <v>357</v>
      </c>
      <c r="AF666">
        <v>7.5</v>
      </c>
      <c r="AG666" t="s">
        <v>67</v>
      </c>
      <c r="AH666">
        <v>0.12</v>
      </c>
      <c r="AI666">
        <v>8.1999999999999993</v>
      </c>
      <c r="AJ666" t="s">
        <v>67</v>
      </c>
      <c r="AK666">
        <v>0.09</v>
      </c>
      <c r="AL666">
        <v>15.7</v>
      </c>
      <c r="AM666" t="s">
        <v>67</v>
      </c>
      <c r="AN666">
        <v>0.4</v>
      </c>
      <c r="AO666">
        <v>979</v>
      </c>
      <c r="AP666">
        <v>7.5</v>
      </c>
      <c r="AQ666" t="s">
        <v>67</v>
      </c>
      <c r="AR666" t="s">
        <v>367</v>
      </c>
      <c r="AS666" t="s">
        <v>367</v>
      </c>
      <c r="AT666" t="s">
        <v>135</v>
      </c>
      <c r="AU666" t="s">
        <v>388</v>
      </c>
      <c r="AV666" t="s">
        <v>251</v>
      </c>
      <c r="AX666" t="s">
        <v>73</v>
      </c>
      <c r="AY666">
        <v>13.2</v>
      </c>
      <c r="AZ666">
        <v>13.2</v>
      </c>
      <c r="BA666">
        <v>1.3</v>
      </c>
      <c r="BC666">
        <v>12</v>
      </c>
      <c r="BD666">
        <v>14.2</v>
      </c>
      <c r="BE666">
        <v>14.2</v>
      </c>
      <c r="BF666">
        <v>2.5</v>
      </c>
      <c r="BH666">
        <v>11</v>
      </c>
      <c r="BI666">
        <v>42</v>
      </c>
      <c r="BJ666">
        <v>8</v>
      </c>
      <c r="BK666">
        <v>7.2999999999999995E-2</v>
      </c>
      <c r="BL666">
        <v>4.07E-2</v>
      </c>
    </row>
    <row r="667" spans="1:64" hidden="1" x14ac:dyDescent="0.2">
      <c r="A667">
        <v>142</v>
      </c>
      <c r="D667" t="s">
        <v>54</v>
      </c>
      <c r="E667">
        <v>2017</v>
      </c>
      <c r="F667" t="s">
        <v>193</v>
      </c>
      <c r="G667" t="s">
        <v>181</v>
      </c>
      <c r="H667" t="s">
        <v>78</v>
      </c>
      <c r="K667" t="s">
        <v>194</v>
      </c>
      <c r="L667" t="s">
        <v>299</v>
      </c>
      <c r="M667" t="s">
        <v>120</v>
      </c>
      <c r="N667" t="s">
        <v>120</v>
      </c>
      <c r="O667" t="s">
        <v>62</v>
      </c>
      <c r="P667" t="s">
        <v>196</v>
      </c>
      <c r="Q667" t="s">
        <v>64</v>
      </c>
      <c r="R667" t="s">
        <v>83</v>
      </c>
      <c r="S667" t="s">
        <v>74</v>
      </c>
      <c r="T667" t="s">
        <v>64</v>
      </c>
      <c r="U667" t="s">
        <v>75</v>
      </c>
      <c r="V667">
        <v>439</v>
      </c>
      <c r="W667">
        <v>16.079999999999998</v>
      </c>
      <c r="X667" t="s">
        <v>67</v>
      </c>
      <c r="Y667" t="s">
        <v>67</v>
      </c>
      <c r="Z667" t="s">
        <v>67</v>
      </c>
      <c r="AA667" t="s">
        <v>67</v>
      </c>
      <c r="AB667" t="s">
        <v>67</v>
      </c>
      <c r="AC667">
        <v>525</v>
      </c>
      <c r="AD667">
        <v>21.07</v>
      </c>
      <c r="AE667" t="s">
        <v>67</v>
      </c>
      <c r="AF667" t="s">
        <v>67</v>
      </c>
      <c r="AG667" t="s">
        <v>67</v>
      </c>
      <c r="AH667" t="s">
        <v>67</v>
      </c>
      <c r="AI667">
        <v>-0.6</v>
      </c>
      <c r="AJ667">
        <v>0.17</v>
      </c>
      <c r="AK667" t="s">
        <v>67</v>
      </c>
      <c r="AL667">
        <v>4</v>
      </c>
      <c r="AM667">
        <v>0.44</v>
      </c>
      <c r="AN667" t="s">
        <v>67</v>
      </c>
      <c r="AO667">
        <v>86</v>
      </c>
      <c r="AP667">
        <v>4.5999999999999996</v>
      </c>
      <c r="AQ667" t="s">
        <v>470</v>
      </c>
      <c r="AR667" t="s">
        <v>471</v>
      </c>
      <c r="AS667" t="s">
        <v>412</v>
      </c>
      <c r="AT667" t="s">
        <v>135</v>
      </c>
      <c r="AU667" t="s">
        <v>472</v>
      </c>
      <c r="AV667" t="s">
        <v>132</v>
      </c>
      <c r="AX667" t="s">
        <v>73</v>
      </c>
      <c r="AY667">
        <v>5.1999999999999998E-2</v>
      </c>
      <c r="AZ667">
        <v>5.1999999999999998E-2</v>
      </c>
      <c r="BA667">
        <v>0.01</v>
      </c>
      <c r="BC667">
        <v>9</v>
      </c>
      <c r="BD667">
        <v>4.5600000000000002E-2</v>
      </c>
      <c r="BE667">
        <v>4.5600000000000002E-2</v>
      </c>
      <c r="BF667">
        <v>6.4000000000000003E-3</v>
      </c>
      <c r="BH667">
        <v>9</v>
      </c>
      <c r="BI667">
        <v>42</v>
      </c>
      <c r="BJ667">
        <v>1</v>
      </c>
      <c r="BK667">
        <v>-0.1313</v>
      </c>
      <c r="BL667">
        <v>4.1099999999999998E-2</v>
      </c>
    </row>
    <row r="668" spans="1:64" hidden="1" x14ac:dyDescent="0.2">
      <c r="A668">
        <v>153</v>
      </c>
      <c r="D668" t="s">
        <v>397</v>
      </c>
      <c r="E668">
        <v>2017</v>
      </c>
      <c r="F668" t="s">
        <v>335</v>
      </c>
      <c r="G668" t="s">
        <v>220</v>
      </c>
      <c r="H668" t="s">
        <v>78</v>
      </c>
      <c r="K668" t="s">
        <v>205</v>
      </c>
      <c r="L668" t="s">
        <v>206</v>
      </c>
      <c r="M668" t="s">
        <v>81</v>
      </c>
      <c r="N668" t="s">
        <v>81</v>
      </c>
      <c r="O668" t="s">
        <v>110</v>
      </c>
      <c r="P668" t="s">
        <v>63</v>
      </c>
      <c r="Q668" t="s">
        <v>64</v>
      </c>
      <c r="R668" t="s">
        <v>83</v>
      </c>
      <c r="S668" t="s">
        <v>64</v>
      </c>
      <c r="T668" t="s">
        <v>64</v>
      </c>
      <c r="U668" t="s">
        <v>66</v>
      </c>
      <c r="V668">
        <v>435</v>
      </c>
      <c r="W668" t="s">
        <v>67</v>
      </c>
      <c r="X668">
        <v>49.9</v>
      </c>
      <c r="Y668" t="s">
        <v>68</v>
      </c>
      <c r="Z668">
        <v>8.01</v>
      </c>
      <c r="AA668" t="s">
        <v>67</v>
      </c>
      <c r="AB668">
        <v>0.04</v>
      </c>
      <c r="AC668">
        <v>1272</v>
      </c>
      <c r="AD668" t="s">
        <v>67</v>
      </c>
      <c r="AE668">
        <v>365.09</v>
      </c>
      <c r="AF668">
        <v>7.54</v>
      </c>
      <c r="AG668" t="s">
        <v>67</v>
      </c>
      <c r="AH668">
        <v>0.1</v>
      </c>
      <c r="AI668">
        <v>8.1999999999999993</v>
      </c>
      <c r="AJ668" t="s">
        <v>67</v>
      </c>
      <c r="AK668">
        <v>0.11</v>
      </c>
      <c r="AL668">
        <v>15.8</v>
      </c>
      <c r="AM668" t="s">
        <v>67</v>
      </c>
      <c r="AN668">
        <v>0.27</v>
      </c>
      <c r="AO668">
        <v>837</v>
      </c>
      <c r="AP668">
        <v>7.6</v>
      </c>
      <c r="AQ668" t="s">
        <v>67</v>
      </c>
      <c r="AR668" t="s">
        <v>440</v>
      </c>
      <c r="AS668" t="s">
        <v>337</v>
      </c>
      <c r="AT668" t="s">
        <v>70</v>
      </c>
      <c r="AU668" t="s">
        <v>441</v>
      </c>
      <c r="AV668" t="s">
        <v>132</v>
      </c>
      <c r="AX668" t="s">
        <v>73</v>
      </c>
      <c r="AY668">
        <v>36.047400000000003</v>
      </c>
      <c r="AZ668">
        <v>36.047430830000003</v>
      </c>
      <c r="BA668">
        <v>5.3754999999999997</v>
      </c>
      <c r="BC668">
        <v>5</v>
      </c>
      <c r="BD668">
        <v>31.936800000000002</v>
      </c>
      <c r="BE668">
        <v>31.93675889</v>
      </c>
      <c r="BF668">
        <v>4.4268999999999998</v>
      </c>
      <c r="BH668">
        <v>6</v>
      </c>
      <c r="BI668">
        <v>120</v>
      </c>
      <c r="BJ668">
        <v>8</v>
      </c>
      <c r="BK668">
        <v>-0.1211</v>
      </c>
      <c r="BL668">
        <v>4.1500000000000002E-2</v>
      </c>
    </row>
    <row r="669" spans="1:64" x14ac:dyDescent="0.2">
      <c r="A669">
        <v>181</v>
      </c>
      <c r="B669" t="str">
        <f>ROW()-1&amp;"_AltersFish"</f>
        <v>668_AltersFish</v>
      </c>
      <c r="C669" t="str">
        <f>A669 &amp; "_" &amp; P669 &amp; "_" &amp;
SUBSTITUTE(TRIM(L669)," ","_") &amp;
"_pH" &amp; TEXT(Z669,"0.00") &amp;
"_T" &amp; TEXT(AI669,"0.00") &amp;
"_CO2" &amp; TEXT(V669,"0") &amp;
"_LANG"</f>
        <v>181_LARVA_Solea_senegalensis_pH8.02_T18.20_CO2400_LANG</v>
      </c>
      <c r="D669" t="s">
        <v>54</v>
      </c>
      <c r="E669">
        <v>2015</v>
      </c>
      <c r="F669" t="s">
        <v>343</v>
      </c>
      <c r="G669" t="s">
        <v>344</v>
      </c>
      <c r="H669" t="s">
        <v>78</v>
      </c>
      <c r="I669" t="s">
        <v>540</v>
      </c>
      <c r="J669" t="s">
        <v>543</v>
      </c>
      <c r="K669" t="s">
        <v>79</v>
      </c>
      <c r="L669" t="s">
        <v>125</v>
      </c>
      <c r="M669" t="s">
        <v>156</v>
      </c>
      <c r="N669" t="s">
        <v>156</v>
      </c>
      <c r="O669" t="s">
        <v>106</v>
      </c>
      <c r="P669" t="s">
        <v>107</v>
      </c>
      <c r="Q669" t="s">
        <v>74</v>
      </c>
      <c r="R669" t="s">
        <v>83</v>
      </c>
      <c r="S669" t="s">
        <v>64</v>
      </c>
      <c r="T669" t="s">
        <v>64</v>
      </c>
      <c r="U669" t="s">
        <v>66</v>
      </c>
      <c r="V669">
        <v>400</v>
      </c>
      <c r="W669" t="s">
        <v>67</v>
      </c>
      <c r="X669">
        <v>67</v>
      </c>
      <c r="Y669" t="s">
        <v>157</v>
      </c>
      <c r="Z669">
        <v>8.02</v>
      </c>
      <c r="AA669" t="s">
        <v>67</v>
      </c>
      <c r="AB669">
        <v>0.04</v>
      </c>
      <c r="AC669">
        <v>1654</v>
      </c>
      <c r="AD669" t="s">
        <v>67</v>
      </c>
      <c r="AE669">
        <v>49</v>
      </c>
      <c r="AF669">
        <v>7.51</v>
      </c>
      <c r="AG669" t="s">
        <v>67</v>
      </c>
      <c r="AH669">
        <v>0.05</v>
      </c>
      <c r="AI669">
        <v>18.2</v>
      </c>
      <c r="AJ669" t="s">
        <v>67</v>
      </c>
      <c r="AK669">
        <v>0.4</v>
      </c>
      <c r="AL669">
        <v>22.1</v>
      </c>
      <c r="AM669" t="s">
        <v>67</v>
      </c>
      <c r="AN669">
        <v>1.01</v>
      </c>
      <c r="AO669">
        <v>1254</v>
      </c>
      <c r="AP669">
        <v>3.9</v>
      </c>
      <c r="AQ669" t="s">
        <v>67</v>
      </c>
      <c r="AR669" t="s">
        <v>345</v>
      </c>
      <c r="AS669" t="s">
        <v>134</v>
      </c>
      <c r="AT669" t="s">
        <v>135</v>
      </c>
      <c r="AU669" t="s">
        <v>346</v>
      </c>
      <c r="AV669" t="s">
        <v>137</v>
      </c>
      <c r="AW669" t="s">
        <v>132</v>
      </c>
      <c r="AX669" t="s">
        <v>73</v>
      </c>
      <c r="AY669">
        <v>22.8</v>
      </c>
      <c r="AZ669">
        <v>22.8</v>
      </c>
      <c r="BA669">
        <v>1.23</v>
      </c>
      <c r="BB669">
        <f>BA669*SQRT(BC669)</f>
        <v>3.69</v>
      </c>
      <c r="BC669">
        <v>9</v>
      </c>
      <c r="BD669">
        <v>25</v>
      </c>
      <c r="BE669">
        <v>25</v>
      </c>
      <c r="BF669">
        <v>1.0667</v>
      </c>
      <c r="BG669">
        <f>BF669*SQRT(BH669)</f>
        <v>3.2000999999999999</v>
      </c>
      <c r="BH669">
        <v>9</v>
      </c>
      <c r="BI669">
        <v>30</v>
      </c>
      <c r="BJ669">
        <v>3</v>
      </c>
      <c r="BK669">
        <v>9.2100000000000001E-2</v>
      </c>
      <c r="BL669">
        <v>4.7000000000000002E-3</v>
      </c>
    </row>
    <row r="670" spans="1:64" hidden="1" x14ac:dyDescent="0.2">
      <c r="A670">
        <v>209</v>
      </c>
      <c r="D670" t="s">
        <v>54</v>
      </c>
      <c r="E670">
        <v>2020</v>
      </c>
      <c r="F670" t="s">
        <v>223</v>
      </c>
      <c r="G670" t="s">
        <v>224</v>
      </c>
      <c r="H670" t="s">
        <v>78</v>
      </c>
      <c r="K670" t="s">
        <v>205</v>
      </c>
      <c r="L670" t="s">
        <v>206</v>
      </c>
      <c r="M670" t="s">
        <v>81</v>
      </c>
      <c r="N670" t="s">
        <v>81</v>
      </c>
      <c r="O670" t="s">
        <v>110</v>
      </c>
      <c r="P670" t="s">
        <v>63</v>
      </c>
      <c r="Q670" t="s">
        <v>64</v>
      </c>
      <c r="R670" t="s">
        <v>83</v>
      </c>
      <c r="S670" t="s">
        <v>64</v>
      </c>
      <c r="T670" t="s">
        <v>74</v>
      </c>
      <c r="U670" t="s">
        <v>84</v>
      </c>
      <c r="V670">
        <v>434.51</v>
      </c>
      <c r="W670" t="s">
        <v>67</v>
      </c>
      <c r="X670">
        <v>49.9</v>
      </c>
      <c r="Y670" t="s">
        <v>68</v>
      </c>
      <c r="Z670">
        <v>8.01</v>
      </c>
      <c r="AA670" t="s">
        <v>67</v>
      </c>
      <c r="AB670">
        <v>0.04</v>
      </c>
      <c r="AC670">
        <v>915.08</v>
      </c>
      <c r="AD670" t="s">
        <v>67</v>
      </c>
      <c r="AE670">
        <v>127.39</v>
      </c>
      <c r="AF670">
        <v>7.72</v>
      </c>
      <c r="AG670" t="s">
        <v>67</v>
      </c>
      <c r="AH670">
        <v>0.08</v>
      </c>
      <c r="AI670">
        <v>8.1999999999999993</v>
      </c>
      <c r="AJ670" t="s">
        <v>67</v>
      </c>
      <c r="AK670">
        <v>0.11</v>
      </c>
      <c r="AL670">
        <v>8.1</v>
      </c>
      <c r="AM670" t="s">
        <v>67</v>
      </c>
      <c r="AN670">
        <v>0.17</v>
      </c>
      <c r="AO670">
        <v>481</v>
      </c>
      <c r="AP670">
        <v>-0.1</v>
      </c>
      <c r="AQ670" t="s">
        <v>67</v>
      </c>
      <c r="AR670" t="s">
        <v>502</v>
      </c>
      <c r="AS670" t="s">
        <v>412</v>
      </c>
      <c r="AT670" t="s">
        <v>135</v>
      </c>
      <c r="AU670" t="s">
        <v>503</v>
      </c>
      <c r="AV670" t="s">
        <v>132</v>
      </c>
      <c r="AX670" t="s">
        <v>73</v>
      </c>
      <c r="AY670">
        <v>2.1806000000000001</v>
      </c>
      <c r="AZ670">
        <v>2.1805555559999998</v>
      </c>
      <c r="BA670">
        <v>0.43055555600000001</v>
      </c>
      <c r="BC670">
        <v>3</v>
      </c>
      <c r="BD670">
        <v>2.2082999999999999</v>
      </c>
      <c r="BE670">
        <v>2.2083333330000001</v>
      </c>
      <c r="BF670">
        <v>0.111111111</v>
      </c>
      <c r="BH670">
        <v>4</v>
      </c>
      <c r="BI670">
        <v>120</v>
      </c>
      <c r="BJ670">
        <v>12</v>
      </c>
      <c r="BK670">
        <v>1.2699999999999999E-2</v>
      </c>
      <c r="BL670">
        <v>4.1500000000000002E-2</v>
      </c>
    </row>
    <row r="671" spans="1:64" hidden="1" x14ac:dyDescent="0.2">
      <c r="A671">
        <v>132</v>
      </c>
      <c r="D671" t="s">
        <v>54</v>
      </c>
      <c r="E671">
        <v>2015</v>
      </c>
      <c r="F671" t="s">
        <v>283</v>
      </c>
      <c r="G671" t="s">
        <v>181</v>
      </c>
      <c r="H671" t="s">
        <v>284</v>
      </c>
      <c r="K671" t="s">
        <v>285</v>
      </c>
      <c r="L671" t="s">
        <v>286</v>
      </c>
      <c r="M671" t="s">
        <v>81</v>
      </c>
      <c r="N671" t="s">
        <v>81</v>
      </c>
      <c r="O671" t="s">
        <v>62</v>
      </c>
      <c r="P671" t="s">
        <v>196</v>
      </c>
      <c r="Q671" t="s">
        <v>64</v>
      </c>
      <c r="R671" t="s">
        <v>83</v>
      </c>
      <c r="S671" t="s">
        <v>64</v>
      </c>
      <c r="T671" t="s">
        <v>74</v>
      </c>
      <c r="U671" t="s">
        <v>84</v>
      </c>
      <c r="V671">
        <v>372</v>
      </c>
      <c r="W671" t="s">
        <v>67</v>
      </c>
      <c r="X671">
        <v>51.9</v>
      </c>
      <c r="Y671" t="s">
        <v>68</v>
      </c>
      <c r="Z671">
        <v>8.02</v>
      </c>
      <c r="AA671" t="s">
        <v>67</v>
      </c>
      <c r="AB671">
        <v>0.05</v>
      </c>
      <c r="AC671">
        <v>1384</v>
      </c>
      <c r="AD671" t="s">
        <v>67</v>
      </c>
      <c r="AE671">
        <v>113.6</v>
      </c>
      <c r="AF671">
        <v>7.52</v>
      </c>
      <c r="AG671" t="s">
        <v>67</v>
      </c>
      <c r="AH671">
        <v>0.04</v>
      </c>
      <c r="AI671">
        <v>25.9</v>
      </c>
      <c r="AJ671" t="s">
        <v>67</v>
      </c>
      <c r="AK671">
        <v>0.7</v>
      </c>
      <c r="AL671">
        <v>26.2</v>
      </c>
      <c r="AM671" t="s">
        <v>67</v>
      </c>
      <c r="AN671">
        <v>0.5</v>
      </c>
      <c r="AO671">
        <v>1012</v>
      </c>
      <c r="AP671">
        <v>0.3</v>
      </c>
      <c r="AQ671" t="s">
        <v>67</v>
      </c>
      <c r="AR671" t="s">
        <v>499</v>
      </c>
      <c r="AS671" t="s">
        <v>499</v>
      </c>
      <c r="AT671" t="s">
        <v>135</v>
      </c>
      <c r="AU671" t="s">
        <v>217</v>
      </c>
      <c r="AV671" t="s">
        <v>132</v>
      </c>
      <c r="AX671" t="s">
        <v>73</v>
      </c>
      <c r="AY671">
        <v>41.6</v>
      </c>
      <c r="AZ671">
        <v>41.6</v>
      </c>
      <c r="BA671">
        <v>7.4709000000000003</v>
      </c>
      <c r="BC671">
        <v>6</v>
      </c>
      <c r="BD671">
        <v>49.2</v>
      </c>
      <c r="BE671">
        <v>49.2</v>
      </c>
      <c r="BF671">
        <v>5.1031000000000004</v>
      </c>
      <c r="BH671">
        <v>6</v>
      </c>
      <c r="BI671">
        <v>31</v>
      </c>
      <c r="BJ671">
        <v>3</v>
      </c>
      <c r="BK671">
        <v>0.1678</v>
      </c>
      <c r="BL671">
        <v>4.2999999999999997E-2</v>
      </c>
    </row>
    <row r="672" spans="1:64" hidden="1" x14ac:dyDescent="0.2">
      <c r="A672">
        <v>136</v>
      </c>
      <c r="D672" t="s">
        <v>54</v>
      </c>
      <c r="E672">
        <v>2012</v>
      </c>
      <c r="F672" t="s">
        <v>384</v>
      </c>
      <c r="G672" t="s">
        <v>199</v>
      </c>
      <c r="H672" t="s">
        <v>78</v>
      </c>
      <c r="K672" t="s">
        <v>93</v>
      </c>
      <c r="L672" t="s">
        <v>94</v>
      </c>
      <c r="M672" t="s">
        <v>95</v>
      </c>
      <c r="N672" t="s">
        <v>61</v>
      </c>
      <c r="O672" t="s">
        <v>62</v>
      </c>
      <c r="P672" t="s">
        <v>63</v>
      </c>
      <c r="Q672" t="s">
        <v>74</v>
      </c>
      <c r="R672" t="s">
        <v>83</v>
      </c>
      <c r="S672" t="s">
        <v>74</v>
      </c>
      <c r="T672" t="s">
        <v>64</v>
      </c>
      <c r="U672" t="s">
        <v>75</v>
      </c>
      <c r="V672">
        <v>433</v>
      </c>
      <c r="W672" t="s">
        <v>67</v>
      </c>
      <c r="X672">
        <v>69</v>
      </c>
      <c r="Y672" t="s">
        <v>96</v>
      </c>
      <c r="Z672">
        <v>8.2100000000000009</v>
      </c>
      <c r="AA672" t="s">
        <v>67</v>
      </c>
      <c r="AB672">
        <v>0.05</v>
      </c>
      <c r="AC672">
        <v>415</v>
      </c>
      <c r="AD672" t="s">
        <v>67</v>
      </c>
      <c r="AE672">
        <v>61</v>
      </c>
      <c r="AF672">
        <v>8.2200000000000006</v>
      </c>
      <c r="AG672" t="s">
        <v>67</v>
      </c>
      <c r="AH672">
        <v>0.05</v>
      </c>
      <c r="AI672">
        <v>28.1</v>
      </c>
      <c r="AJ672" t="s">
        <v>67</v>
      </c>
      <c r="AK672">
        <v>0.12</v>
      </c>
      <c r="AL672">
        <v>31.4</v>
      </c>
      <c r="AM672">
        <v>0.11</v>
      </c>
      <c r="AN672" t="s">
        <v>67</v>
      </c>
      <c r="AO672">
        <v>-18</v>
      </c>
      <c r="AP672">
        <v>3.3</v>
      </c>
      <c r="AQ672" t="s">
        <v>67</v>
      </c>
      <c r="AR672" t="s">
        <v>498</v>
      </c>
      <c r="AS672" t="s">
        <v>367</v>
      </c>
      <c r="AT672" t="s">
        <v>135</v>
      </c>
      <c r="AU672" t="s">
        <v>387</v>
      </c>
      <c r="AV672" t="s">
        <v>251</v>
      </c>
      <c r="AX672" t="s">
        <v>73</v>
      </c>
      <c r="AY672">
        <v>27</v>
      </c>
      <c r="AZ672">
        <v>27</v>
      </c>
      <c r="BA672">
        <v>3</v>
      </c>
      <c r="BC672">
        <v>5</v>
      </c>
      <c r="BD672">
        <v>34</v>
      </c>
      <c r="BE672">
        <v>34</v>
      </c>
      <c r="BF672">
        <v>6</v>
      </c>
      <c r="BH672">
        <v>5</v>
      </c>
      <c r="BI672">
        <v>21</v>
      </c>
      <c r="BJ672" t="s">
        <v>67</v>
      </c>
      <c r="BK672">
        <v>0.23050000000000001</v>
      </c>
      <c r="BL672">
        <v>4.3499999999999997E-2</v>
      </c>
    </row>
    <row r="673" spans="1:65" hidden="1" x14ac:dyDescent="0.2">
      <c r="A673">
        <v>153</v>
      </c>
      <c r="D673" t="s">
        <v>397</v>
      </c>
      <c r="E673">
        <v>2017</v>
      </c>
      <c r="F673" t="s">
        <v>335</v>
      </c>
      <c r="G673" t="s">
        <v>220</v>
      </c>
      <c r="H673" t="s">
        <v>78</v>
      </c>
      <c r="K673" t="s">
        <v>205</v>
      </c>
      <c r="L673" t="s">
        <v>206</v>
      </c>
      <c r="M673" t="s">
        <v>81</v>
      </c>
      <c r="N673" t="s">
        <v>81</v>
      </c>
      <c r="O673" t="s">
        <v>110</v>
      </c>
      <c r="P673" t="s">
        <v>63</v>
      </c>
      <c r="Q673" t="s">
        <v>64</v>
      </c>
      <c r="R673" t="s">
        <v>83</v>
      </c>
      <c r="S673" t="s">
        <v>64</v>
      </c>
      <c r="T673" t="s">
        <v>64</v>
      </c>
      <c r="U673" t="s">
        <v>66</v>
      </c>
      <c r="V673">
        <v>435</v>
      </c>
      <c r="W673" t="s">
        <v>67</v>
      </c>
      <c r="X673">
        <v>49.9</v>
      </c>
      <c r="Y673" t="s">
        <v>68</v>
      </c>
      <c r="Z673">
        <v>8.01</v>
      </c>
      <c r="AA673" t="s">
        <v>67</v>
      </c>
      <c r="AB673">
        <v>0.04</v>
      </c>
      <c r="AC673">
        <v>1164</v>
      </c>
      <c r="AD673" t="s">
        <v>67</v>
      </c>
      <c r="AE673">
        <v>199.68</v>
      </c>
      <c r="AF673">
        <v>7.66</v>
      </c>
      <c r="AG673" t="s">
        <v>67</v>
      </c>
      <c r="AH673">
        <v>7.0000000000000007E-2</v>
      </c>
      <c r="AI673">
        <v>8.1999999999999993</v>
      </c>
      <c r="AJ673" t="s">
        <v>67</v>
      </c>
      <c r="AK673">
        <v>0.11</v>
      </c>
      <c r="AL673">
        <v>11.9</v>
      </c>
      <c r="AM673" t="s">
        <v>67</v>
      </c>
      <c r="AN673">
        <v>0.37</v>
      </c>
      <c r="AO673">
        <v>729</v>
      </c>
      <c r="AP673">
        <v>3.7</v>
      </c>
      <c r="AQ673" t="s">
        <v>67</v>
      </c>
      <c r="AR673" t="s">
        <v>440</v>
      </c>
      <c r="AS673" t="s">
        <v>337</v>
      </c>
      <c r="AT673" t="s">
        <v>70</v>
      </c>
      <c r="AU673" t="s">
        <v>441</v>
      </c>
      <c r="AV673" t="s">
        <v>132</v>
      </c>
      <c r="AX673" t="s">
        <v>73</v>
      </c>
      <c r="AY673">
        <v>36.047400000000003</v>
      </c>
      <c r="AZ673">
        <v>36.047430830000003</v>
      </c>
      <c r="BA673">
        <v>5.3754999999999997</v>
      </c>
      <c r="BC673">
        <v>5</v>
      </c>
      <c r="BD673">
        <v>30.355699999999999</v>
      </c>
      <c r="BE673">
        <v>30.35573123</v>
      </c>
      <c r="BF673">
        <v>4.4268999999999998</v>
      </c>
      <c r="BH673">
        <v>8</v>
      </c>
      <c r="BI673">
        <v>120</v>
      </c>
      <c r="BJ673">
        <v>8</v>
      </c>
      <c r="BK673">
        <v>-0.1719</v>
      </c>
      <c r="BL673">
        <v>4.3499999999999997E-2</v>
      </c>
    </row>
    <row r="674" spans="1:65" hidden="1" x14ac:dyDescent="0.2">
      <c r="A674">
        <v>132</v>
      </c>
      <c r="D674" t="s">
        <v>54</v>
      </c>
      <c r="E674">
        <v>2015</v>
      </c>
      <c r="F674" t="s">
        <v>283</v>
      </c>
      <c r="G674" t="s">
        <v>181</v>
      </c>
      <c r="H674" t="s">
        <v>284</v>
      </c>
      <c r="K674" t="s">
        <v>285</v>
      </c>
      <c r="L674" t="s">
        <v>286</v>
      </c>
      <c r="M674" t="s">
        <v>81</v>
      </c>
      <c r="N674" t="s">
        <v>81</v>
      </c>
      <c r="O674" t="s">
        <v>62</v>
      </c>
      <c r="P674" t="s">
        <v>196</v>
      </c>
      <c r="Q674" t="s">
        <v>64</v>
      </c>
      <c r="R674" t="s">
        <v>83</v>
      </c>
      <c r="S674" t="s">
        <v>74</v>
      </c>
      <c r="T674" t="s">
        <v>64</v>
      </c>
      <c r="U674" t="s">
        <v>75</v>
      </c>
      <c r="V674">
        <v>372</v>
      </c>
      <c r="W674" t="s">
        <v>67</v>
      </c>
      <c r="X674">
        <v>51.9</v>
      </c>
      <c r="Y674" t="s">
        <v>68</v>
      </c>
      <c r="Z674">
        <v>8.02</v>
      </c>
      <c r="AA674" t="s">
        <v>67</v>
      </c>
      <c r="AB674">
        <v>0.05</v>
      </c>
      <c r="AC674">
        <v>382</v>
      </c>
      <c r="AD674" t="s">
        <v>67</v>
      </c>
      <c r="AE674">
        <v>87.5</v>
      </c>
      <c r="AF674">
        <v>8</v>
      </c>
      <c r="AG674" t="s">
        <v>67</v>
      </c>
      <c r="AH674">
        <v>7.0000000000000007E-2</v>
      </c>
      <c r="AI674">
        <v>25.9</v>
      </c>
      <c r="AJ674" t="s">
        <v>67</v>
      </c>
      <c r="AK674">
        <v>0.7</v>
      </c>
      <c r="AL674">
        <v>29.9</v>
      </c>
      <c r="AM674" t="s">
        <v>67</v>
      </c>
      <c r="AN674">
        <v>0.2</v>
      </c>
      <c r="AO674">
        <v>10</v>
      </c>
      <c r="AP674">
        <v>4</v>
      </c>
      <c r="AQ674" t="s">
        <v>67</v>
      </c>
      <c r="AR674" t="s">
        <v>499</v>
      </c>
      <c r="AS674" t="s">
        <v>499</v>
      </c>
      <c r="AT674" t="s">
        <v>135</v>
      </c>
      <c r="AU674" t="s">
        <v>217</v>
      </c>
      <c r="AV674" t="s">
        <v>132</v>
      </c>
      <c r="AX674" t="s">
        <v>73</v>
      </c>
      <c r="AY674">
        <v>41.6</v>
      </c>
      <c r="AZ674">
        <v>41.6</v>
      </c>
      <c r="BA674">
        <v>7.4709000000000003</v>
      </c>
      <c r="BC674">
        <v>6</v>
      </c>
      <c r="BD674">
        <v>59.7</v>
      </c>
      <c r="BE674">
        <v>59.7</v>
      </c>
      <c r="BF674">
        <v>6.6135999999999999</v>
      </c>
      <c r="BH674">
        <v>6</v>
      </c>
      <c r="BI674">
        <v>31</v>
      </c>
      <c r="BJ674">
        <v>3</v>
      </c>
      <c r="BK674">
        <v>0.36120000000000002</v>
      </c>
      <c r="BL674">
        <v>4.4499999999999998E-2</v>
      </c>
    </row>
    <row r="675" spans="1:65" hidden="1" x14ac:dyDescent="0.2">
      <c r="A675">
        <v>142</v>
      </c>
      <c r="D675" t="s">
        <v>54</v>
      </c>
      <c r="E675">
        <v>2017</v>
      </c>
      <c r="F675" t="s">
        <v>193</v>
      </c>
      <c r="G675" t="s">
        <v>181</v>
      </c>
      <c r="H675" t="s">
        <v>78</v>
      </c>
      <c r="K675" t="s">
        <v>194</v>
      </c>
      <c r="L675" t="s">
        <v>195</v>
      </c>
      <c r="M675" t="s">
        <v>120</v>
      </c>
      <c r="N675" t="s">
        <v>120</v>
      </c>
      <c r="O675" t="s">
        <v>106</v>
      </c>
      <c r="P675" t="s">
        <v>196</v>
      </c>
      <c r="Q675" t="s">
        <v>64</v>
      </c>
      <c r="R675" t="s">
        <v>83</v>
      </c>
      <c r="S675" t="s">
        <v>64</v>
      </c>
      <c r="T675" t="s">
        <v>74</v>
      </c>
      <c r="U675" t="s">
        <v>84</v>
      </c>
      <c r="V675">
        <v>439</v>
      </c>
      <c r="W675">
        <v>16.079999999999998</v>
      </c>
      <c r="X675" t="s">
        <v>67</v>
      </c>
      <c r="Y675" t="s">
        <v>67</v>
      </c>
      <c r="Z675" t="s">
        <v>67</v>
      </c>
      <c r="AA675" t="s">
        <v>67</v>
      </c>
      <c r="AB675" t="s">
        <v>67</v>
      </c>
      <c r="AC675">
        <v>954</v>
      </c>
      <c r="AD675">
        <v>50.38</v>
      </c>
      <c r="AE675" t="s">
        <v>67</v>
      </c>
      <c r="AF675" t="s">
        <v>67</v>
      </c>
      <c r="AG675" t="s">
        <v>67</v>
      </c>
      <c r="AH675" t="s">
        <v>67</v>
      </c>
      <c r="AI675">
        <v>-0.6</v>
      </c>
      <c r="AJ675">
        <v>0.17</v>
      </c>
      <c r="AK675" t="s">
        <v>67</v>
      </c>
      <c r="AL675">
        <v>-0.5</v>
      </c>
      <c r="AM675">
        <v>0.16</v>
      </c>
      <c r="AN675" t="s">
        <v>67</v>
      </c>
      <c r="AO675">
        <v>515</v>
      </c>
      <c r="AP675">
        <v>0.2</v>
      </c>
      <c r="AQ675" t="s">
        <v>67</v>
      </c>
      <c r="AR675" t="s">
        <v>400</v>
      </c>
      <c r="AS675" t="s">
        <v>401</v>
      </c>
      <c r="AT675" t="s">
        <v>135</v>
      </c>
      <c r="AU675" t="s">
        <v>402</v>
      </c>
      <c r="AV675" t="s">
        <v>132</v>
      </c>
      <c r="AX675" t="s">
        <v>73</v>
      </c>
      <c r="AY675">
        <v>1.74</v>
      </c>
      <c r="AZ675">
        <v>1.74</v>
      </c>
      <c r="BA675">
        <v>0.33</v>
      </c>
      <c r="BC675">
        <v>10</v>
      </c>
      <c r="BD675">
        <v>1.718</v>
      </c>
      <c r="BE675">
        <v>1.718</v>
      </c>
      <c r="BF675">
        <v>0.16</v>
      </c>
      <c r="BH675">
        <v>10</v>
      </c>
      <c r="BI675">
        <v>49</v>
      </c>
      <c r="BJ675">
        <v>1</v>
      </c>
      <c r="BK675">
        <v>-1.2699999999999999E-2</v>
      </c>
      <c r="BL675">
        <v>4.4600000000000001E-2</v>
      </c>
    </row>
    <row r="676" spans="1:65" hidden="1" x14ac:dyDescent="0.2">
      <c r="A676">
        <v>132</v>
      </c>
      <c r="D676" t="s">
        <v>54</v>
      </c>
      <c r="E676">
        <v>2015</v>
      </c>
      <c r="F676" t="s">
        <v>283</v>
      </c>
      <c r="G676" t="s">
        <v>181</v>
      </c>
      <c r="H676" t="s">
        <v>284</v>
      </c>
      <c r="K676" t="s">
        <v>285</v>
      </c>
      <c r="L676" t="s">
        <v>286</v>
      </c>
      <c r="M676" t="s">
        <v>81</v>
      </c>
      <c r="N676" t="s">
        <v>81</v>
      </c>
      <c r="O676" t="s">
        <v>62</v>
      </c>
      <c r="P676" t="s">
        <v>196</v>
      </c>
      <c r="Q676" t="s">
        <v>64</v>
      </c>
      <c r="R676" t="s">
        <v>83</v>
      </c>
      <c r="S676" t="s">
        <v>64</v>
      </c>
      <c r="T676" t="s">
        <v>74</v>
      </c>
      <c r="U676" t="s">
        <v>84</v>
      </c>
      <c r="V676">
        <v>372</v>
      </c>
      <c r="W676" t="s">
        <v>67</v>
      </c>
      <c r="X676">
        <v>51.9</v>
      </c>
      <c r="Y676" t="s">
        <v>68</v>
      </c>
      <c r="Z676">
        <v>8.02</v>
      </c>
      <c r="AA676" t="s">
        <v>67</v>
      </c>
      <c r="AB676">
        <v>0.05</v>
      </c>
      <c r="AC676">
        <v>1384</v>
      </c>
      <c r="AD676" t="s">
        <v>67</v>
      </c>
      <c r="AE676">
        <v>113.6</v>
      </c>
      <c r="AF676">
        <v>7.52</v>
      </c>
      <c r="AG676" t="s">
        <v>67</v>
      </c>
      <c r="AH676">
        <v>0.04</v>
      </c>
      <c r="AI676">
        <v>25.9</v>
      </c>
      <c r="AJ676" t="s">
        <v>67</v>
      </c>
      <c r="AK676">
        <v>0.7</v>
      </c>
      <c r="AL676">
        <v>26.2</v>
      </c>
      <c r="AM676" t="s">
        <v>67</v>
      </c>
      <c r="AN676">
        <v>0.5</v>
      </c>
      <c r="AO676">
        <v>1012</v>
      </c>
      <c r="AP676">
        <v>0.3</v>
      </c>
      <c r="AQ676" t="s">
        <v>67</v>
      </c>
      <c r="AR676" t="s">
        <v>505</v>
      </c>
      <c r="AS676" t="s">
        <v>386</v>
      </c>
      <c r="AT676" t="s">
        <v>135</v>
      </c>
      <c r="AU676" t="s">
        <v>506</v>
      </c>
      <c r="AV676" t="s">
        <v>251</v>
      </c>
      <c r="AX676" t="s">
        <v>73</v>
      </c>
      <c r="AY676">
        <v>27.47</v>
      </c>
      <c r="AZ676">
        <v>27.47</v>
      </c>
      <c r="BA676">
        <v>5.2705000000000002</v>
      </c>
      <c r="BC676">
        <v>6</v>
      </c>
      <c r="BD676">
        <v>9.6</v>
      </c>
      <c r="BE676">
        <v>9.6</v>
      </c>
      <c r="BF676">
        <v>0.85729999999999995</v>
      </c>
      <c r="BH676">
        <v>6</v>
      </c>
      <c r="BI676">
        <v>31</v>
      </c>
      <c r="BJ676">
        <v>3</v>
      </c>
      <c r="BK676">
        <v>-1.0512999999999999</v>
      </c>
      <c r="BL676">
        <v>4.48E-2</v>
      </c>
    </row>
    <row r="677" spans="1:65" hidden="1" x14ac:dyDescent="0.2">
      <c r="A677">
        <v>154</v>
      </c>
      <c r="D677" t="s">
        <v>54</v>
      </c>
      <c r="E677">
        <v>2017</v>
      </c>
      <c r="F677" t="s">
        <v>507</v>
      </c>
      <c r="G677" t="s">
        <v>508</v>
      </c>
      <c r="H677" t="s">
        <v>57</v>
      </c>
      <c r="K677" t="s">
        <v>264</v>
      </c>
      <c r="L677" t="s">
        <v>265</v>
      </c>
      <c r="M677" t="s">
        <v>81</v>
      </c>
      <c r="N677" t="s">
        <v>81</v>
      </c>
      <c r="O677" t="s">
        <v>62</v>
      </c>
      <c r="P677" t="s">
        <v>63</v>
      </c>
      <c r="Q677" t="s">
        <v>64</v>
      </c>
      <c r="R677" t="s">
        <v>65</v>
      </c>
      <c r="S677" t="s">
        <v>74</v>
      </c>
      <c r="T677" t="s">
        <v>64</v>
      </c>
      <c r="U677" t="s">
        <v>75</v>
      </c>
      <c r="V677">
        <v>518</v>
      </c>
      <c r="W677">
        <v>19.899999999999999</v>
      </c>
      <c r="X677" t="s">
        <v>67</v>
      </c>
      <c r="Y677" t="s">
        <v>96</v>
      </c>
      <c r="Z677">
        <v>8.02</v>
      </c>
      <c r="AA677">
        <v>0.01</v>
      </c>
      <c r="AB677" t="s">
        <v>67</v>
      </c>
      <c r="AC677">
        <v>532</v>
      </c>
      <c r="AD677">
        <v>22.4</v>
      </c>
      <c r="AE677" t="s">
        <v>67</v>
      </c>
      <c r="AF677">
        <v>8.06</v>
      </c>
      <c r="AG677">
        <v>0.01</v>
      </c>
      <c r="AH677" t="s">
        <v>67</v>
      </c>
      <c r="AI677">
        <v>16.3</v>
      </c>
      <c r="AJ677">
        <v>0.1</v>
      </c>
      <c r="AK677" t="s">
        <v>67</v>
      </c>
      <c r="AL677">
        <v>19.2</v>
      </c>
      <c r="AM677">
        <v>0</v>
      </c>
      <c r="AN677" t="s">
        <v>67</v>
      </c>
      <c r="AO677">
        <v>14</v>
      </c>
      <c r="AP677">
        <v>2.9</v>
      </c>
      <c r="AQ677" t="s">
        <v>67</v>
      </c>
      <c r="AR677" t="s">
        <v>509</v>
      </c>
      <c r="AS677" t="s">
        <v>367</v>
      </c>
      <c r="AT677" t="s">
        <v>135</v>
      </c>
      <c r="AU677" t="s">
        <v>226</v>
      </c>
      <c r="AV677" t="s">
        <v>251</v>
      </c>
      <c r="AX677" t="s">
        <v>73</v>
      </c>
      <c r="AY677">
        <v>1588.5608999999999</v>
      </c>
      <c r="AZ677">
        <v>1588.56089</v>
      </c>
      <c r="BA677">
        <v>219.56</v>
      </c>
      <c r="BC677">
        <v>20</v>
      </c>
      <c r="BD677">
        <v>2725.0922999999998</v>
      </c>
      <c r="BE677">
        <v>2725.092251</v>
      </c>
      <c r="BF677">
        <v>439.11439999999999</v>
      </c>
      <c r="BH677">
        <v>23</v>
      </c>
      <c r="BI677">
        <v>127</v>
      </c>
      <c r="BJ677">
        <v>4</v>
      </c>
      <c r="BK677">
        <v>0.53969999999999996</v>
      </c>
      <c r="BL677">
        <v>4.5100000000000001E-2</v>
      </c>
    </row>
    <row r="678" spans="1:65" hidden="1" x14ac:dyDescent="0.2">
      <c r="A678">
        <v>136</v>
      </c>
      <c r="D678" t="s">
        <v>54</v>
      </c>
      <c r="E678">
        <v>2012</v>
      </c>
      <c r="F678" t="s">
        <v>384</v>
      </c>
      <c r="G678" t="s">
        <v>199</v>
      </c>
      <c r="H678" t="s">
        <v>78</v>
      </c>
      <c r="K678" t="s">
        <v>93</v>
      </c>
      <c r="L678" t="s">
        <v>94</v>
      </c>
      <c r="M678" t="s">
        <v>95</v>
      </c>
      <c r="N678" t="s">
        <v>61</v>
      </c>
      <c r="O678" t="s">
        <v>62</v>
      </c>
      <c r="P678" t="s">
        <v>63</v>
      </c>
      <c r="Q678" t="s">
        <v>74</v>
      </c>
      <c r="R678" t="s">
        <v>83</v>
      </c>
      <c r="S678" t="s">
        <v>64</v>
      </c>
      <c r="T678" t="s">
        <v>64</v>
      </c>
      <c r="U678" t="s">
        <v>66</v>
      </c>
      <c r="V678">
        <v>433</v>
      </c>
      <c r="W678" t="s">
        <v>67</v>
      </c>
      <c r="X678">
        <v>69</v>
      </c>
      <c r="Y678" t="s">
        <v>96</v>
      </c>
      <c r="Z678">
        <v>8.2100000000000009</v>
      </c>
      <c r="AA678" t="s">
        <v>67</v>
      </c>
      <c r="AB678">
        <v>0.05</v>
      </c>
      <c r="AC678">
        <v>956</v>
      </c>
      <c r="AD678" t="s">
        <v>67</v>
      </c>
      <c r="AE678">
        <v>83</v>
      </c>
      <c r="AF678">
        <v>7.91</v>
      </c>
      <c r="AG678" t="s">
        <v>67</v>
      </c>
      <c r="AH678">
        <v>7.0000000000000007E-2</v>
      </c>
      <c r="AI678">
        <v>28.1</v>
      </c>
      <c r="AJ678" t="s">
        <v>67</v>
      </c>
      <c r="AK678">
        <v>0.12</v>
      </c>
      <c r="AL678">
        <v>29.6</v>
      </c>
      <c r="AM678">
        <v>0.1</v>
      </c>
      <c r="AN678" t="s">
        <v>67</v>
      </c>
      <c r="AO678">
        <v>523</v>
      </c>
      <c r="AP678">
        <v>1.5</v>
      </c>
      <c r="AQ678" t="s">
        <v>67</v>
      </c>
      <c r="AR678" t="s">
        <v>498</v>
      </c>
      <c r="AS678" t="s">
        <v>367</v>
      </c>
      <c r="AT678" t="s">
        <v>135</v>
      </c>
      <c r="AU678" t="s">
        <v>387</v>
      </c>
      <c r="AV678" t="s">
        <v>251</v>
      </c>
      <c r="AX678" t="s">
        <v>73</v>
      </c>
      <c r="AY678">
        <v>27</v>
      </c>
      <c r="AZ678">
        <v>27</v>
      </c>
      <c r="BA678">
        <v>3</v>
      </c>
      <c r="BC678">
        <v>5</v>
      </c>
      <c r="BD678">
        <v>33</v>
      </c>
      <c r="BE678">
        <v>33</v>
      </c>
      <c r="BF678">
        <v>6</v>
      </c>
      <c r="BH678">
        <v>5</v>
      </c>
      <c r="BI678">
        <v>21</v>
      </c>
      <c r="BJ678" t="s">
        <v>67</v>
      </c>
      <c r="BK678">
        <v>0.20069999999999999</v>
      </c>
      <c r="BL678">
        <v>4.5400000000000003E-2</v>
      </c>
    </row>
    <row r="679" spans="1:65" hidden="1" x14ac:dyDescent="0.2">
      <c r="A679">
        <v>159</v>
      </c>
      <c r="D679" t="s">
        <v>54</v>
      </c>
      <c r="E679">
        <v>2018</v>
      </c>
      <c r="F679" t="s">
        <v>326</v>
      </c>
      <c r="G679" t="s">
        <v>327</v>
      </c>
      <c r="H679" t="s">
        <v>78</v>
      </c>
      <c r="K679" t="s">
        <v>205</v>
      </c>
      <c r="L679" t="s">
        <v>225</v>
      </c>
      <c r="M679" t="s">
        <v>120</v>
      </c>
      <c r="N679" t="s">
        <v>120</v>
      </c>
      <c r="O679" t="s">
        <v>110</v>
      </c>
      <c r="P679" t="s">
        <v>196</v>
      </c>
      <c r="Q679" t="s">
        <v>64</v>
      </c>
      <c r="R679" t="s">
        <v>83</v>
      </c>
      <c r="S679" t="s">
        <v>64</v>
      </c>
      <c r="T679" t="s">
        <v>64</v>
      </c>
      <c r="U679" t="s">
        <v>66</v>
      </c>
      <c r="V679">
        <v>390</v>
      </c>
      <c r="W679" t="s">
        <v>67</v>
      </c>
      <c r="X679" t="s">
        <v>67</v>
      </c>
      <c r="Y679" t="s">
        <v>67</v>
      </c>
      <c r="Z679" t="s">
        <v>67</v>
      </c>
      <c r="AA679" t="s">
        <v>67</v>
      </c>
      <c r="AB679" t="s">
        <v>67</v>
      </c>
      <c r="AC679">
        <v>1170</v>
      </c>
      <c r="AD679" t="s">
        <v>67</v>
      </c>
      <c r="AE679" t="s">
        <v>67</v>
      </c>
      <c r="AF679" t="s">
        <v>67</v>
      </c>
      <c r="AG679" t="s">
        <v>67</v>
      </c>
      <c r="AH679" t="s">
        <v>67</v>
      </c>
      <c r="AI679">
        <v>0</v>
      </c>
      <c r="AJ679" t="s">
        <v>67</v>
      </c>
      <c r="AK679" t="s">
        <v>67</v>
      </c>
      <c r="AL679">
        <v>6</v>
      </c>
      <c r="AM679" t="s">
        <v>67</v>
      </c>
      <c r="AN679" t="s">
        <v>67</v>
      </c>
      <c r="AO679">
        <v>780</v>
      </c>
      <c r="AP679">
        <v>6</v>
      </c>
      <c r="AQ679" t="s">
        <v>67</v>
      </c>
      <c r="AR679" t="s">
        <v>361</v>
      </c>
      <c r="AS679" t="s">
        <v>361</v>
      </c>
      <c r="AT679" t="s">
        <v>70</v>
      </c>
      <c r="AU679" t="s">
        <v>510</v>
      </c>
      <c r="AV679" t="s">
        <v>363</v>
      </c>
      <c r="AX679" t="s">
        <v>73</v>
      </c>
      <c r="AY679">
        <v>4.3200000000000002E-2</v>
      </c>
      <c r="AZ679">
        <v>4.3200000000000002E-2</v>
      </c>
      <c r="BA679">
        <v>0.01</v>
      </c>
      <c r="BC679">
        <v>5</v>
      </c>
      <c r="BD679">
        <v>9.4500000000000001E-2</v>
      </c>
      <c r="BE679">
        <v>9.4500000000000001E-2</v>
      </c>
      <c r="BF679">
        <v>6.1000000000000004E-3</v>
      </c>
      <c r="BH679">
        <v>4</v>
      </c>
      <c r="BI679">
        <v>120</v>
      </c>
      <c r="BJ679" t="s">
        <v>67</v>
      </c>
      <c r="BK679">
        <v>0.78280000000000005</v>
      </c>
      <c r="BL679">
        <v>4.5699999999999998E-2</v>
      </c>
    </row>
    <row r="680" spans="1:65" hidden="1" x14ac:dyDescent="0.2">
      <c r="A680">
        <v>159</v>
      </c>
      <c r="D680" t="s">
        <v>54</v>
      </c>
      <c r="E680">
        <v>2018</v>
      </c>
      <c r="F680" t="s">
        <v>326</v>
      </c>
      <c r="G680" t="s">
        <v>327</v>
      </c>
      <c r="H680" t="s">
        <v>78</v>
      </c>
      <c r="K680" t="s">
        <v>205</v>
      </c>
      <c r="L680" t="s">
        <v>225</v>
      </c>
      <c r="M680" t="s">
        <v>120</v>
      </c>
      <c r="N680" t="s">
        <v>120</v>
      </c>
      <c r="O680" t="s">
        <v>110</v>
      </c>
      <c r="P680" t="s">
        <v>196</v>
      </c>
      <c r="Q680" t="s">
        <v>64</v>
      </c>
      <c r="R680" t="s">
        <v>83</v>
      </c>
      <c r="S680" t="s">
        <v>74</v>
      </c>
      <c r="T680" t="s">
        <v>64</v>
      </c>
      <c r="U680" t="s">
        <v>75</v>
      </c>
      <c r="V680">
        <v>390</v>
      </c>
      <c r="W680" t="s">
        <v>67</v>
      </c>
      <c r="X680" t="s">
        <v>67</v>
      </c>
      <c r="Y680" t="s">
        <v>67</v>
      </c>
      <c r="Z680" t="s">
        <v>67</v>
      </c>
      <c r="AA680" t="s">
        <v>67</v>
      </c>
      <c r="AB680" t="s">
        <v>67</v>
      </c>
      <c r="AC680">
        <v>390</v>
      </c>
      <c r="AD680" t="s">
        <v>67</v>
      </c>
      <c r="AE680" t="s">
        <v>67</v>
      </c>
      <c r="AF680" t="s">
        <v>67</v>
      </c>
      <c r="AG680" t="s">
        <v>67</v>
      </c>
      <c r="AH680" t="s">
        <v>67</v>
      </c>
      <c r="AI680">
        <v>0</v>
      </c>
      <c r="AJ680" t="s">
        <v>67</v>
      </c>
      <c r="AK680" t="s">
        <v>67</v>
      </c>
      <c r="AL680">
        <v>3</v>
      </c>
      <c r="AM680" t="s">
        <v>67</v>
      </c>
      <c r="AN680" t="s">
        <v>67</v>
      </c>
      <c r="AO680">
        <v>0</v>
      </c>
      <c r="AP680">
        <v>3</v>
      </c>
      <c r="AQ680" t="s">
        <v>67</v>
      </c>
      <c r="AR680" t="s">
        <v>361</v>
      </c>
      <c r="AS680" t="s">
        <v>361</v>
      </c>
      <c r="AT680" t="s">
        <v>70</v>
      </c>
      <c r="AU680" t="s">
        <v>510</v>
      </c>
      <c r="AV680" t="s">
        <v>363</v>
      </c>
      <c r="AX680" t="s">
        <v>73</v>
      </c>
      <c r="AY680">
        <v>4.3200000000000002E-2</v>
      </c>
      <c r="AZ680">
        <v>4.3200000000000002E-2</v>
      </c>
      <c r="BA680">
        <v>0.01</v>
      </c>
      <c r="BC680">
        <v>5</v>
      </c>
      <c r="BD680">
        <v>3.0499999999999999E-2</v>
      </c>
      <c r="BE680">
        <v>3.0499999999999999E-2</v>
      </c>
      <c r="BF680">
        <v>2E-3</v>
      </c>
      <c r="BH680">
        <v>3</v>
      </c>
      <c r="BI680">
        <v>120</v>
      </c>
      <c r="BJ680" t="s">
        <v>67</v>
      </c>
      <c r="BK680">
        <v>-0.34810000000000002</v>
      </c>
      <c r="BL680">
        <v>4.58E-2</v>
      </c>
    </row>
    <row r="681" spans="1:65" x14ac:dyDescent="0.2">
      <c r="A681">
        <v>181</v>
      </c>
      <c r="B681" t="str">
        <f>ROW()-1&amp;"_AltersFish"</f>
        <v>680_AltersFish</v>
      </c>
      <c r="C681" t="str">
        <f>A681 &amp; "_" &amp; P681 &amp; "_" &amp;
SUBSTITUTE(TRIM(L681)," ","_") &amp;
"_pH" &amp; TEXT(Z681,"0.00") &amp;
"_T" &amp; TEXT(AI681,"0.00") &amp;
"_CO2" &amp; TEXT(V681,"0") &amp;
"_LANG"</f>
        <v>181_LARVA_Solea_senegalensis_pH8.02_T18.20_CO2400_LANG</v>
      </c>
      <c r="D681" t="s">
        <v>54</v>
      </c>
      <c r="E681">
        <v>2015</v>
      </c>
      <c r="F681" t="s">
        <v>343</v>
      </c>
      <c r="G681" t="s">
        <v>344</v>
      </c>
      <c r="H681" t="s">
        <v>78</v>
      </c>
      <c r="I681" t="s">
        <v>540</v>
      </c>
      <c r="J681" t="s">
        <v>543</v>
      </c>
      <c r="K681" t="s">
        <v>79</v>
      </c>
      <c r="L681" t="s">
        <v>125</v>
      </c>
      <c r="M681" t="s">
        <v>156</v>
      </c>
      <c r="N681" t="s">
        <v>156</v>
      </c>
      <c r="O681" t="s">
        <v>106</v>
      </c>
      <c r="P681" t="s">
        <v>107</v>
      </c>
      <c r="Q681" t="s">
        <v>74</v>
      </c>
      <c r="R681" t="s">
        <v>83</v>
      </c>
      <c r="S681" t="s">
        <v>64</v>
      </c>
      <c r="T681" t="s">
        <v>74</v>
      </c>
      <c r="U681" t="s">
        <v>84</v>
      </c>
      <c r="V681">
        <v>400</v>
      </c>
      <c r="W681" t="s">
        <v>67</v>
      </c>
      <c r="X681">
        <v>67</v>
      </c>
      <c r="Y681" t="s">
        <v>157</v>
      </c>
      <c r="Z681">
        <v>8.02</v>
      </c>
      <c r="AA681" t="s">
        <v>67</v>
      </c>
      <c r="AB681">
        <v>0.04</v>
      </c>
      <c r="AC681">
        <v>1608</v>
      </c>
      <c r="AD681" t="s">
        <v>67</v>
      </c>
      <c r="AE681">
        <v>25</v>
      </c>
      <c r="AF681">
        <v>7.5</v>
      </c>
      <c r="AG681" t="s">
        <v>67</v>
      </c>
      <c r="AH681">
        <v>0.03</v>
      </c>
      <c r="AI681">
        <v>18.2</v>
      </c>
      <c r="AJ681" t="s">
        <v>67</v>
      </c>
      <c r="AK681">
        <v>0.4</v>
      </c>
      <c r="AL681">
        <v>18.2</v>
      </c>
      <c r="AM681" t="s">
        <v>67</v>
      </c>
      <c r="AN681">
        <v>0.28999999999999998</v>
      </c>
      <c r="AO681">
        <v>1208</v>
      </c>
      <c r="AP681">
        <v>-0.1</v>
      </c>
      <c r="AQ681" t="s">
        <v>67</v>
      </c>
      <c r="AR681" t="s">
        <v>345</v>
      </c>
      <c r="AS681" t="s">
        <v>134</v>
      </c>
      <c r="AT681" t="s">
        <v>135</v>
      </c>
      <c r="AU681" t="s">
        <v>346</v>
      </c>
      <c r="AV681" t="s">
        <v>137</v>
      </c>
      <c r="AW681" t="s">
        <v>132</v>
      </c>
      <c r="AX681" t="s">
        <v>73</v>
      </c>
      <c r="AY681">
        <v>22.8</v>
      </c>
      <c r="AZ681">
        <v>22.8</v>
      </c>
      <c r="BA681">
        <v>1.23</v>
      </c>
      <c r="BB681">
        <f>BA681*SQRT(BC681)</f>
        <v>3.69</v>
      </c>
      <c r="BC681">
        <v>9</v>
      </c>
      <c r="BD681">
        <v>16.7</v>
      </c>
      <c r="BE681">
        <v>16.7</v>
      </c>
      <c r="BF681">
        <v>1.1000000000000001</v>
      </c>
      <c r="BG681">
        <f>BF681*SQRT(BH681)</f>
        <v>3.3000000000000003</v>
      </c>
      <c r="BH681">
        <v>9</v>
      </c>
      <c r="BI681">
        <v>30</v>
      </c>
      <c r="BJ681">
        <v>3</v>
      </c>
      <c r="BK681">
        <v>-0.31140000000000001</v>
      </c>
      <c r="BL681">
        <v>7.3000000000000001E-3</v>
      </c>
    </row>
    <row r="682" spans="1:65" hidden="1" x14ac:dyDescent="0.2">
      <c r="A682">
        <v>171</v>
      </c>
      <c r="C682" t="s">
        <v>549</v>
      </c>
      <c r="D682" t="s">
        <v>54</v>
      </c>
      <c r="E682">
        <v>2015</v>
      </c>
      <c r="F682" t="s">
        <v>198</v>
      </c>
      <c r="G682" t="s">
        <v>199</v>
      </c>
      <c r="H682" t="s">
        <v>57</v>
      </c>
      <c r="K682" t="s">
        <v>79</v>
      </c>
      <c r="L682" t="s">
        <v>200</v>
      </c>
      <c r="M682" t="s">
        <v>81</v>
      </c>
      <c r="N682" t="s">
        <v>81</v>
      </c>
      <c r="O682" t="s">
        <v>62</v>
      </c>
      <c r="P682" t="s">
        <v>82</v>
      </c>
      <c r="Q682" t="s">
        <v>64</v>
      </c>
      <c r="R682" t="s">
        <v>65</v>
      </c>
      <c r="S682" t="s">
        <v>64</v>
      </c>
      <c r="T682" t="s">
        <v>64</v>
      </c>
      <c r="U682" t="s">
        <v>66</v>
      </c>
      <c r="V682">
        <v>422.07</v>
      </c>
      <c r="W682" t="s">
        <v>67</v>
      </c>
      <c r="X682">
        <v>16.57</v>
      </c>
      <c r="Y682" t="s">
        <v>96</v>
      </c>
      <c r="Z682">
        <v>8.1</v>
      </c>
      <c r="AA682" t="s">
        <v>67</v>
      </c>
      <c r="AB682">
        <v>0.05</v>
      </c>
      <c r="AC682">
        <v>1075</v>
      </c>
      <c r="AD682" t="s">
        <v>67</v>
      </c>
      <c r="AE682">
        <v>67.099999999999994</v>
      </c>
      <c r="AF682">
        <v>7.7</v>
      </c>
      <c r="AG682" t="s">
        <v>67</v>
      </c>
      <c r="AH682">
        <v>0.05</v>
      </c>
      <c r="AI682">
        <v>15</v>
      </c>
      <c r="AJ682" t="s">
        <v>67</v>
      </c>
      <c r="AK682">
        <v>0.5</v>
      </c>
      <c r="AL682">
        <v>18</v>
      </c>
      <c r="AM682" t="s">
        <v>67</v>
      </c>
      <c r="AN682">
        <v>0.5</v>
      </c>
      <c r="AO682">
        <v>653</v>
      </c>
      <c r="AP682">
        <v>3</v>
      </c>
      <c r="AQ682" t="s">
        <v>218</v>
      </c>
      <c r="AR682" t="s">
        <v>104</v>
      </c>
      <c r="AS682" t="s">
        <v>105</v>
      </c>
      <c r="AT682" t="s">
        <v>70</v>
      </c>
      <c r="AU682" t="s">
        <v>89</v>
      </c>
      <c r="AV682" t="s">
        <v>88</v>
      </c>
      <c r="AW682" t="s">
        <v>151</v>
      </c>
      <c r="AX682" t="s">
        <v>90</v>
      </c>
      <c r="AY682">
        <v>62.628300000000003</v>
      </c>
      <c r="AZ682">
        <v>62.628340000000001</v>
      </c>
      <c r="BA682">
        <v>12.3203</v>
      </c>
      <c r="BC682">
        <v>37</v>
      </c>
      <c r="BD682">
        <v>91.581100000000006</v>
      </c>
      <c r="BE682">
        <v>91.581108830000005</v>
      </c>
      <c r="BF682">
        <v>8.2135999999999996</v>
      </c>
      <c r="BH682">
        <v>37</v>
      </c>
      <c r="BI682">
        <v>125</v>
      </c>
      <c r="BJ682">
        <v>5</v>
      </c>
      <c r="BK682">
        <v>0.38</v>
      </c>
      <c r="BL682">
        <v>4.6699999999999998E-2</v>
      </c>
    </row>
    <row r="683" spans="1:65" x14ac:dyDescent="0.2">
      <c r="A683">
        <v>173</v>
      </c>
      <c r="B683" t="str">
        <f>ROW()-1&amp;"_AltersFish"</f>
        <v>682_AltersFish</v>
      </c>
      <c r="C683" t="str">
        <f>A683 &amp; "_" &amp; P683 &amp; "_" &amp;
SUBSTITUTE(TRIM(L683)," ","_") &amp;
"_pH" &amp; TEXT(Z683,"0.00") &amp;
"_T" &amp; TEXT(AI683,"0.00") &amp;
"_CO2" &amp; TEXT(V683,"0") &amp;
"_LANG"</f>
        <v>173_LARVA_Dicentrarchus_labrax_pH8.03_T17.00_CO2598_LANG</v>
      </c>
      <c r="D683" t="s">
        <v>54</v>
      </c>
      <c r="E683">
        <v>2014</v>
      </c>
      <c r="F683" t="s">
        <v>257</v>
      </c>
      <c r="G683" t="s">
        <v>258</v>
      </c>
      <c r="H683" t="s">
        <v>78</v>
      </c>
      <c r="I683" t="s">
        <v>540</v>
      </c>
      <c r="J683" t="s">
        <v>543</v>
      </c>
      <c r="K683" t="s">
        <v>79</v>
      </c>
      <c r="L683" t="s">
        <v>210</v>
      </c>
      <c r="M683" t="s">
        <v>156</v>
      </c>
      <c r="N683" t="s">
        <v>156</v>
      </c>
      <c r="O683" t="s">
        <v>106</v>
      </c>
      <c r="P683" t="s">
        <v>107</v>
      </c>
      <c r="Q683" t="s">
        <v>74</v>
      </c>
      <c r="R683" t="s">
        <v>83</v>
      </c>
      <c r="S683" t="s">
        <v>64</v>
      </c>
      <c r="T683" t="s">
        <v>64</v>
      </c>
      <c r="U683" t="s">
        <v>66</v>
      </c>
      <c r="V683">
        <v>598.33000000000004</v>
      </c>
      <c r="W683" t="s">
        <v>67</v>
      </c>
      <c r="X683">
        <v>38.33</v>
      </c>
      <c r="Y683" t="s">
        <v>96</v>
      </c>
      <c r="Z683">
        <v>8.0299999999999994</v>
      </c>
      <c r="AA683" t="s">
        <v>67</v>
      </c>
      <c r="AB683">
        <v>0.03</v>
      </c>
      <c r="AC683">
        <v>1030</v>
      </c>
      <c r="AD683" t="s">
        <v>67</v>
      </c>
      <c r="AE683">
        <v>88.66</v>
      </c>
      <c r="AF683">
        <v>7.82</v>
      </c>
      <c r="AG683" t="s">
        <v>67</v>
      </c>
      <c r="AH683">
        <v>0.05</v>
      </c>
      <c r="AI683">
        <v>17</v>
      </c>
      <c r="AJ683" t="s">
        <v>67</v>
      </c>
      <c r="AK683">
        <v>0.34</v>
      </c>
      <c r="AL683">
        <v>18.7</v>
      </c>
      <c r="AM683" t="s">
        <v>67</v>
      </c>
      <c r="AN683">
        <v>0.62</v>
      </c>
      <c r="AO683">
        <v>432</v>
      </c>
      <c r="AP683">
        <v>1.7</v>
      </c>
      <c r="AQ683" t="s">
        <v>67</v>
      </c>
      <c r="AR683" t="s">
        <v>490</v>
      </c>
      <c r="AS683" t="s">
        <v>88</v>
      </c>
      <c r="AT683" t="s">
        <v>333</v>
      </c>
      <c r="AU683" t="s">
        <v>491</v>
      </c>
      <c r="AV683" t="s">
        <v>87</v>
      </c>
      <c r="AW683" t="s">
        <v>88</v>
      </c>
      <c r="AX683" t="s">
        <v>90</v>
      </c>
      <c r="AY683">
        <v>6.5600000000000006E-2</v>
      </c>
      <c r="AZ683">
        <v>6.5579999999999999E-2</v>
      </c>
      <c r="BA683">
        <v>1.11E-2</v>
      </c>
      <c r="BB683">
        <f>BA683*SQRT(BC683)</f>
        <v>1.9225763964014538E-2</v>
      </c>
      <c r="BC683">
        <v>3</v>
      </c>
      <c r="BD683">
        <v>1.6799999999999999E-2</v>
      </c>
      <c r="BE683">
        <v>1.6834170999999998E-2</v>
      </c>
      <c r="BF683">
        <v>4.4999999999999997E-3</v>
      </c>
      <c r="BG683">
        <f>BF683*SQRT(BH683)</f>
        <v>7.7942286340599472E-3</v>
      </c>
      <c r="BH683">
        <v>3</v>
      </c>
      <c r="BI683">
        <v>42</v>
      </c>
      <c r="BJ683">
        <v>3</v>
      </c>
      <c r="BK683">
        <v>1.3597999999999999</v>
      </c>
      <c r="BL683">
        <v>0.10059999999999999</v>
      </c>
      <c r="BM683" t="s">
        <v>492</v>
      </c>
    </row>
    <row r="684" spans="1:65" hidden="1" x14ac:dyDescent="0.2">
      <c r="A684">
        <v>171</v>
      </c>
      <c r="D684" t="s">
        <v>54</v>
      </c>
      <c r="E684">
        <v>2015</v>
      </c>
      <c r="F684" t="s">
        <v>198</v>
      </c>
      <c r="G684" t="s">
        <v>199</v>
      </c>
      <c r="H684" t="s">
        <v>57</v>
      </c>
      <c r="K684" t="s">
        <v>79</v>
      </c>
      <c r="L684" t="s">
        <v>200</v>
      </c>
      <c r="M684" t="s">
        <v>81</v>
      </c>
      <c r="N684" t="s">
        <v>81</v>
      </c>
      <c r="O684" t="s">
        <v>62</v>
      </c>
      <c r="P684" t="s">
        <v>63</v>
      </c>
      <c r="Q684" t="s">
        <v>64</v>
      </c>
      <c r="R684" t="s">
        <v>65</v>
      </c>
      <c r="S684" t="s">
        <v>74</v>
      </c>
      <c r="T684" t="s">
        <v>64</v>
      </c>
      <c r="U684" t="s">
        <v>75</v>
      </c>
      <c r="V684">
        <v>422.07</v>
      </c>
      <c r="W684" t="s">
        <v>67</v>
      </c>
      <c r="X684">
        <v>16.57</v>
      </c>
      <c r="Y684" t="s">
        <v>96</v>
      </c>
      <c r="Z684">
        <v>8.1</v>
      </c>
      <c r="AA684" t="s">
        <v>67</v>
      </c>
      <c r="AB684">
        <v>0.05</v>
      </c>
      <c r="AC684">
        <v>414.68</v>
      </c>
      <c r="AD684" t="s">
        <v>67</v>
      </c>
      <c r="AE684">
        <v>5.22</v>
      </c>
      <c r="AF684">
        <v>8.1</v>
      </c>
      <c r="AG684" t="s">
        <v>67</v>
      </c>
      <c r="AH684">
        <v>0.05</v>
      </c>
      <c r="AI684">
        <v>15</v>
      </c>
      <c r="AJ684" t="s">
        <v>67</v>
      </c>
      <c r="AK684">
        <v>0.5</v>
      </c>
      <c r="AL684">
        <v>18</v>
      </c>
      <c r="AM684" t="s">
        <v>67</v>
      </c>
      <c r="AN684">
        <v>0.5</v>
      </c>
      <c r="AO684">
        <v>-7</v>
      </c>
      <c r="AP684">
        <v>3</v>
      </c>
      <c r="AQ684" t="s">
        <v>218</v>
      </c>
      <c r="AR684" t="s">
        <v>511</v>
      </c>
      <c r="AS684" t="s">
        <v>361</v>
      </c>
      <c r="AT684" t="s">
        <v>70</v>
      </c>
      <c r="AU684" t="s">
        <v>383</v>
      </c>
      <c r="AV684" t="s">
        <v>363</v>
      </c>
      <c r="AX684" t="s">
        <v>73</v>
      </c>
      <c r="AY684">
        <v>3.1800000000000002E-2</v>
      </c>
      <c r="AZ684">
        <v>3.1759999999999997E-2</v>
      </c>
      <c r="BA684">
        <v>0.01</v>
      </c>
      <c r="BC684">
        <v>29</v>
      </c>
      <c r="BD684">
        <v>0.2077</v>
      </c>
      <c r="BE684">
        <v>0.20772532199999999</v>
      </c>
      <c r="BF684">
        <v>7.3000000000000001E-3</v>
      </c>
      <c r="BH684">
        <v>29</v>
      </c>
      <c r="BI684">
        <v>143</v>
      </c>
      <c r="BJ684">
        <v>5</v>
      </c>
      <c r="BK684">
        <v>1.8779999999999999</v>
      </c>
      <c r="BL684">
        <v>4.8000000000000001E-2</v>
      </c>
    </row>
    <row r="685" spans="1:65" hidden="1" x14ac:dyDescent="0.2">
      <c r="A685">
        <v>136</v>
      </c>
      <c r="D685" t="s">
        <v>54</v>
      </c>
      <c r="E685">
        <v>2012</v>
      </c>
      <c r="F685" t="s">
        <v>384</v>
      </c>
      <c r="G685" t="s">
        <v>199</v>
      </c>
      <c r="H685" t="s">
        <v>78</v>
      </c>
      <c r="K685" t="s">
        <v>93</v>
      </c>
      <c r="L685" t="s">
        <v>94</v>
      </c>
      <c r="M685" t="s">
        <v>95</v>
      </c>
      <c r="N685" t="s">
        <v>61</v>
      </c>
      <c r="O685" t="s">
        <v>62</v>
      </c>
      <c r="P685" t="s">
        <v>63</v>
      </c>
      <c r="Q685" t="s">
        <v>74</v>
      </c>
      <c r="R685" t="s">
        <v>83</v>
      </c>
      <c r="S685" t="s">
        <v>233</v>
      </c>
      <c r="T685" t="s">
        <v>64</v>
      </c>
      <c r="U685" t="s">
        <v>75</v>
      </c>
      <c r="V685">
        <v>433</v>
      </c>
      <c r="W685" t="s">
        <v>67</v>
      </c>
      <c r="X685">
        <v>69</v>
      </c>
      <c r="Y685" t="s">
        <v>96</v>
      </c>
      <c r="Z685">
        <v>8.2100000000000009</v>
      </c>
      <c r="AA685" t="s">
        <v>67</v>
      </c>
      <c r="AB685">
        <v>0.05</v>
      </c>
      <c r="AC685">
        <v>410</v>
      </c>
      <c r="AD685" t="s">
        <v>67</v>
      </c>
      <c r="AE685">
        <v>62</v>
      </c>
      <c r="AF685">
        <v>8.2200000000000006</v>
      </c>
      <c r="AG685" t="s">
        <v>67</v>
      </c>
      <c r="AH685">
        <v>0.05</v>
      </c>
      <c r="AI685">
        <v>28.1</v>
      </c>
      <c r="AJ685" t="s">
        <v>67</v>
      </c>
      <c r="AK685">
        <v>0.12</v>
      </c>
      <c r="AL685">
        <v>29.3</v>
      </c>
      <c r="AM685">
        <v>0.1</v>
      </c>
      <c r="AN685" t="s">
        <v>67</v>
      </c>
      <c r="AO685">
        <v>-23</v>
      </c>
      <c r="AP685">
        <v>1.2</v>
      </c>
      <c r="AQ685" t="s">
        <v>67</v>
      </c>
      <c r="AR685" t="s">
        <v>498</v>
      </c>
      <c r="AS685" t="s">
        <v>367</v>
      </c>
      <c r="AT685" t="s">
        <v>135</v>
      </c>
      <c r="AU685" t="s">
        <v>387</v>
      </c>
      <c r="AV685" t="s">
        <v>251</v>
      </c>
      <c r="AX685" t="s">
        <v>73</v>
      </c>
      <c r="AY685">
        <v>27</v>
      </c>
      <c r="AZ685">
        <v>27</v>
      </c>
      <c r="BA685">
        <v>3</v>
      </c>
      <c r="BC685">
        <v>5</v>
      </c>
      <c r="BD685">
        <v>37</v>
      </c>
      <c r="BE685">
        <v>37</v>
      </c>
      <c r="BF685">
        <v>7</v>
      </c>
      <c r="BH685">
        <v>5</v>
      </c>
      <c r="BI685">
        <v>21</v>
      </c>
      <c r="BJ685" t="s">
        <v>67</v>
      </c>
      <c r="BK685">
        <v>0.31509999999999999</v>
      </c>
      <c r="BL685">
        <v>4.8099999999999997E-2</v>
      </c>
    </row>
    <row r="686" spans="1:65" hidden="1" x14ac:dyDescent="0.2">
      <c r="A686">
        <v>136</v>
      </c>
      <c r="D686" t="s">
        <v>54</v>
      </c>
      <c r="E686">
        <v>2012</v>
      </c>
      <c r="F686" t="s">
        <v>384</v>
      </c>
      <c r="G686" t="s">
        <v>199</v>
      </c>
      <c r="H686" t="s">
        <v>78</v>
      </c>
      <c r="K686" t="s">
        <v>93</v>
      </c>
      <c r="L686" t="s">
        <v>94</v>
      </c>
      <c r="M686" t="s">
        <v>95</v>
      </c>
      <c r="N686" t="s">
        <v>61</v>
      </c>
      <c r="O686" t="s">
        <v>62</v>
      </c>
      <c r="P686" t="s">
        <v>63</v>
      </c>
      <c r="Q686" t="s">
        <v>74</v>
      </c>
      <c r="R686" t="s">
        <v>83</v>
      </c>
      <c r="S686" t="s">
        <v>64</v>
      </c>
      <c r="T686" t="s">
        <v>64</v>
      </c>
      <c r="U686" t="s">
        <v>66</v>
      </c>
      <c r="V686">
        <v>433</v>
      </c>
      <c r="W686" t="s">
        <v>67</v>
      </c>
      <c r="X686">
        <v>69</v>
      </c>
      <c r="Y686" t="s">
        <v>96</v>
      </c>
      <c r="Z686">
        <v>8.2100000000000009</v>
      </c>
      <c r="AA686" t="s">
        <v>67</v>
      </c>
      <c r="AB686">
        <v>0.05</v>
      </c>
      <c r="AC686">
        <v>912</v>
      </c>
      <c r="AD686" t="s">
        <v>67</v>
      </c>
      <c r="AE686">
        <v>93</v>
      </c>
      <c r="AF686">
        <v>7.93</v>
      </c>
      <c r="AG686" t="s">
        <v>67</v>
      </c>
      <c r="AH686">
        <v>0.06</v>
      </c>
      <c r="AI686">
        <v>28.1</v>
      </c>
      <c r="AJ686" t="s">
        <v>67</v>
      </c>
      <c r="AK686">
        <v>0.12</v>
      </c>
      <c r="AL686">
        <v>31.5</v>
      </c>
      <c r="AM686">
        <v>0.02</v>
      </c>
      <c r="AN686" t="s">
        <v>67</v>
      </c>
      <c r="AO686">
        <v>479</v>
      </c>
      <c r="AP686">
        <v>3.4</v>
      </c>
      <c r="AQ686" t="s">
        <v>67</v>
      </c>
      <c r="AR686" t="s">
        <v>498</v>
      </c>
      <c r="AS686" t="s">
        <v>367</v>
      </c>
      <c r="AT686" t="s">
        <v>135</v>
      </c>
      <c r="AU686" t="s">
        <v>387</v>
      </c>
      <c r="AV686" t="s">
        <v>251</v>
      </c>
      <c r="AX686" t="s">
        <v>73</v>
      </c>
      <c r="AY686">
        <v>27</v>
      </c>
      <c r="AZ686">
        <v>27</v>
      </c>
      <c r="BA686">
        <v>3</v>
      </c>
      <c r="BC686">
        <v>5</v>
      </c>
      <c r="BD686">
        <v>37</v>
      </c>
      <c r="BE686">
        <v>37</v>
      </c>
      <c r="BF686">
        <v>7</v>
      </c>
      <c r="BH686">
        <v>5</v>
      </c>
      <c r="BI686">
        <v>21</v>
      </c>
      <c r="BJ686" t="s">
        <v>67</v>
      </c>
      <c r="BK686">
        <v>0.31509999999999999</v>
      </c>
      <c r="BL686">
        <v>4.8099999999999997E-2</v>
      </c>
    </row>
    <row r="687" spans="1:65" hidden="1" x14ac:dyDescent="0.2">
      <c r="A687">
        <v>209</v>
      </c>
      <c r="D687" t="s">
        <v>54</v>
      </c>
      <c r="E687">
        <v>2020</v>
      </c>
      <c r="F687" t="s">
        <v>223</v>
      </c>
      <c r="G687" t="s">
        <v>224</v>
      </c>
      <c r="H687" t="s">
        <v>78</v>
      </c>
      <c r="K687" t="s">
        <v>205</v>
      </c>
      <c r="L687" t="s">
        <v>206</v>
      </c>
      <c r="M687" t="s">
        <v>81</v>
      </c>
      <c r="N687" t="s">
        <v>81</v>
      </c>
      <c r="O687" t="s">
        <v>110</v>
      </c>
      <c r="P687" t="s">
        <v>63</v>
      </c>
      <c r="Q687" t="s">
        <v>64</v>
      </c>
      <c r="R687" t="s">
        <v>83</v>
      </c>
      <c r="S687" t="s">
        <v>64</v>
      </c>
      <c r="T687" t="s">
        <v>64</v>
      </c>
      <c r="U687" t="s">
        <v>66</v>
      </c>
      <c r="V687">
        <v>434.51</v>
      </c>
      <c r="W687" t="s">
        <v>67</v>
      </c>
      <c r="X687">
        <v>49.9</v>
      </c>
      <c r="Y687" t="s">
        <v>68</v>
      </c>
      <c r="Z687">
        <v>8.01</v>
      </c>
      <c r="AA687" t="s">
        <v>67</v>
      </c>
      <c r="AB687">
        <v>0.04</v>
      </c>
      <c r="AC687">
        <v>1163.71</v>
      </c>
      <c r="AD687" t="s">
        <v>67</v>
      </c>
      <c r="AE687">
        <v>199.68</v>
      </c>
      <c r="AF687">
        <v>7.66</v>
      </c>
      <c r="AG687" t="s">
        <v>67</v>
      </c>
      <c r="AH687">
        <v>7.0000000000000007E-2</v>
      </c>
      <c r="AI687">
        <v>8.1999999999999993</v>
      </c>
      <c r="AJ687" t="s">
        <v>67</v>
      </c>
      <c r="AK687">
        <v>0.11</v>
      </c>
      <c r="AL687">
        <v>11.9</v>
      </c>
      <c r="AM687" t="s">
        <v>67</v>
      </c>
      <c r="AN687">
        <v>0.37</v>
      </c>
      <c r="AO687">
        <v>729</v>
      </c>
      <c r="AP687">
        <v>3.7</v>
      </c>
      <c r="AQ687" t="s">
        <v>67</v>
      </c>
      <c r="AR687" t="s">
        <v>502</v>
      </c>
      <c r="AS687" t="s">
        <v>412</v>
      </c>
      <c r="AT687" t="s">
        <v>135</v>
      </c>
      <c r="AU687" t="s">
        <v>503</v>
      </c>
      <c r="AV687" t="s">
        <v>132</v>
      </c>
      <c r="AX687" t="s">
        <v>73</v>
      </c>
      <c r="AY687">
        <v>2.1806000000000001</v>
      </c>
      <c r="AZ687">
        <v>2.1805555559999998</v>
      </c>
      <c r="BA687">
        <v>0.43055555600000001</v>
      </c>
      <c r="BC687">
        <v>3</v>
      </c>
      <c r="BD687">
        <v>3.2917000000000001</v>
      </c>
      <c r="BE687">
        <v>3.2916666669999999</v>
      </c>
      <c r="BF687">
        <v>0.31944444399999999</v>
      </c>
      <c r="BH687">
        <v>5</v>
      </c>
      <c r="BI687">
        <v>120</v>
      </c>
      <c r="BJ687">
        <v>12</v>
      </c>
      <c r="BK687">
        <v>0.4118</v>
      </c>
      <c r="BL687">
        <v>4.8399999999999999E-2</v>
      </c>
    </row>
    <row r="688" spans="1:65" hidden="1" x14ac:dyDescent="0.2">
      <c r="A688">
        <v>171</v>
      </c>
      <c r="D688" t="s">
        <v>54</v>
      </c>
      <c r="E688">
        <v>2015</v>
      </c>
      <c r="F688" t="s">
        <v>198</v>
      </c>
      <c r="G688" t="s">
        <v>199</v>
      </c>
      <c r="H688" t="s">
        <v>57</v>
      </c>
      <c r="K688" t="s">
        <v>79</v>
      </c>
      <c r="L688" t="s">
        <v>200</v>
      </c>
      <c r="M688" t="s">
        <v>81</v>
      </c>
      <c r="N688" t="s">
        <v>81</v>
      </c>
      <c r="O688" t="s">
        <v>62</v>
      </c>
      <c r="P688" t="s">
        <v>63</v>
      </c>
      <c r="Q688" t="s">
        <v>64</v>
      </c>
      <c r="R688" t="s">
        <v>65</v>
      </c>
      <c r="S688" t="s">
        <v>64</v>
      </c>
      <c r="T688" t="s">
        <v>64</v>
      </c>
      <c r="U688" t="s">
        <v>66</v>
      </c>
      <c r="V688">
        <v>422.07</v>
      </c>
      <c r="W688" t="s">
        <v>67</v>
      </c>
      <c r="X688">
        <v>16.57</v>
      </c>
      <c r="Y688" t="s">
        <v>96</v>
      </c>
      <c r="Z688">
        <v>8.1</v>
      </c>
      <c r="AA688" t="s">
        <v>67</v>
      </c>
      <c r="AB688">
        <v>0.05</v>
      </c>
      <c r="AC688">
        <v>1075</v>
      </c>
      <c r="AD688" t="s">
        <v>67</v>
      </c>
      <c r="AE688">
        <v>67.099999999999994</v>
      </c>
      <c r="AF688">
        <v>7.7</v>
      </c>
      <c r="AG688" t="s">
        <v>67</v>
      </c>
      <c r="AH688">
        <v>0.05</v>
      </c>
      <c r="AI688">
        <v>15</v>
      </c>
      <c r="AJ688" t="s">
        <v>67</v>
      </c>
      <c r="AK688">
        <v>0.5</v>
      </c>
      <c r="AL688">
        <v>18</v>
      </c>
      <c r="AM688" t="s">
        <v>67</v>
      </c>
      <c r="AN688">
        <v>0.5</v>
      </c>
      <c r="AO688">
        <v>653</v>
      </c>
      <c r="AP688">
        <v>3</v>
      </c>
      <c r="AQ688" t="s">
        <v>218</v>
      </c>
      <c r="AR688" t="s">
        <v>511</v>
      </c>
      <c r="AS688" t="s">
        <v>361</v>
      </c>
      <c r="AT688" t="s">
        <v>70</v>
      </c>
      <c r="AU688" t="s">
        <v>383</v>
      </c>
      <c r="AV688" t="s">
        <v>363</v>
      </c>
      <c r="AX688" t="s">
        <v>73</v>
      </c>
      <c r="AY688">
        <v>3.1800000000000002E-2</v>
      </c>
      <c r="AZ688">
        <v>3.1759999999999997E-2</v>
      </c>
      <c r="BA688">
        <v>0.01</v>
      </c>
      <c r="BC688">
        <v>29</v>
      </c>
      <c r="BD688">
        <v>0.17680000000000001</v>
      </c>
      <c r="BE688">
        <v>0.17682403399999999</v>
      </c>
      <c r="BF688">
        <v>8.2000000000000007E-3</v>
      </c>
      <c r="BH688">
        <v>29</v>
      </c>
      <c r="BI688">
        <v>155</v>
      </c>
      <c r="BJ688">
        <v>5</v>
      </c>
      <c r="BK688">
        <v>1.7170000000000001</v>
      </c>
      <c r="BL688">
        <v>4.8899999999999999E-2</v>
      </c>
    </row>
    <row r="689" spans="1:65" hidden="1" x14ac:dyDescent="0.2">
      <c r="A689">
        <v>142</v>
      </c>
      <c r="D689" t="s">
        <v>54</v>
      </c>
      <c r="E689">
        <v>2017</v>
      </c>
      <c r="F689" t="s">
        <v>193</v>
      </c>
      <c r="G689" t="s">
        <v>181</v>
      </c>
      <c r="H689" t="s">
        <v>78</v>
      </c>
      <c r="K689" t="s">
        <v>194</v>
      </c>
      <c r="L689" t="s">
        <v>195</v>
      </c>
      <c r="M689" t="s">
        <v>120</v>
      </c>
      <c r="N689" t="s">
        <v>120</v>
      </c>
      <c r="O689" t="s">
        <v>106</v>
      </c>
      <c r="P689" t="s">
        <v>196</v>
      </c>
      <c r="Q689" t="s">
        <v>64</v>
      </c>
      <c r="R689" t="s">
        <v>83</v>
      </c>
      <c r="S689" t="s">
        <v>74</v>
      </c>
      <c r="T689" t="s">
        <v>64</v>
      </c>
      <c r="U689" t="s">
        <v>75</v>
      </c>
      <c r="V689">
        <v>439</v>
      </c>
      <c r="W689">
        <v>16.079999999999998</v>
      </c>
      <c r="X689" t="s">
        <v>67</v>
      </c>
      <c r="Y689" t="s">
        <v>67</v>
      </c>
      <c r="Z689" t="s">
        <v>67</v>
      </c>
      <c r="AA689" t="s">
        <v>67</v>
      </c>
      <c r="AB689" t="s">
        <v>67</v>
      </c>
      <c r="AC689">
        <v>525</v>
      </c>
      <c r="AD689">
        <v>21.07</v>
      </c>
      <c r="AE689" t="s">
        <v>67</v>
      </c>
      <c r="AF689" t="s">
        <v>67</v>
      </c>
      <c r="AG689" t="s">
        <v>67</v>
      </c>
      <c r="AH689" t="s">
        <v>67</v>
      </c>
      <c r="AI689">
        <v>-0.6</v>
      </c>
      <c r="AJ689">
        <v>0.17</v>
      </c>
      <c r="AK689" t="s">
        <v>67</v>
      </c>
      <c r="AL689">
        <v>4</v>
      </c>
      <c r="AM689">
        <v>0.44</v>
      </c>
      <c r="AN689" t="s">
        <v>67</v>
      </c>
      <c r="AO689">
        <v>86</v>
      </c>
      <c r="AP689">
        <v>4.5999999999999996</v>
      </c>
      <c r="AQ689" t="s">
        <v>67</v>
      </c>
      <c r="AR689" t="s">
        <v>400</v>
      </c>
      <c r="AS689" t="s">
        <v>401</v>
      </c>
      <c r="AT689" t="s">
        <v>135</v>
      </c>
      <c r="AU689" t="s">
        <v>402</v>
      </c>
      <c r="AV689" t="s">
        <v>132</v>
      </c>
      <c r="AX689" t="s">
        <v>73</v>
      </c>
      <c r="AY689">
        <v>1.74</v>
      </c>
      <c r="AZ689">
        <v>1.74</v>
      </c>
      <c r="BA689">
        <v>0.33</v>
      </c>
      <c r="BC689">
        <v>10</v>
      </c>
      <c r="BD689">
        <v>1.93</v>
      </c>
      <c r="BE689">
        <v>1.93</v>
      </c>
      <c r="BF689">
        <v>0.22</v>
      </c>
      <c r="BH689">
        <v>10</v>
      </c>
      <c r="BI689">
        <v>49</v>
      </c>
      <c r="BJ689">
        <v>1</v>
      </c>
      <c r="BK689">
        <v>0.1036</v>
      </c>
      <c r="BL689">
        <v>4.9000000000000002E-2</v>
      </c>
    </row>
    <row r="690" spans="1:65" hidden="1" x14ac:dyDescent="0.2">
      <c r="A690">
        <v>139</v>
      </c>
      <c r="D690" t="s">
        <v>54</v>
      </c>
      <c r="E690">
        <v>2018</v>
      </c>
      <c r="F690" t="s">
        <v>214</v>
      </c>
      <c r="G690" t="s">
        <v>154</v>
      </c>
      <c r="H690" t="s">
        <v>78</v>
      </c>
      <c r="K690" t="s">
        <v>194</v>
      </c>
      <c r="L690" t="s">
        <v>215</v>
      </c>
      <c r="M690" t="s">
        <v>120</v>
      </c>
      <c r="N690" t="s">
        <v>120</v>
      </c>
      <c r="O690" t="s">
        <v>62</v>
      </c>
      <c r="P690" t="s">
        <v>63</v>
      </c>
      <c r="Q690" t="s">
        <v>64</v>
      </c>
      <c r="R690" t="s">
        <v>83</v>
      </c>
      <c r="S690" t="s">
        <v>64</v>
      </c>
      <c r="T690" t="s">
        <v>74</v>
      </c>
      <c r="U690" t="s">
        <v>84</v>
      </c>
      <c r="V690">
        <v>458</v>
      </c>
      <c r="W690" t="s">
        <v>67</v>
      </c>
      <c r="X690">
        <v>30</v>
      </c>
      <c r="Y690" t="s">
        <v>157</v>
      </c>
      <c r="Z690">
        <v>7.98</v>
      </c>
      <c r="AA690" t="s">
        <v>67</v>
      </c>
      <c r="AB690">
        <v>0.03</v>
      </c>
      <c r="AC690">
        <v>822</v>
      </c>
      <c r="AD690" t="s">
        <v>67</v>
      </c>
      <c r="AE690">
        <v>51</v>
      </c>
      <c r="AF690">
        <v>7.75</v>
      </c>
      <c r="AG690" t="s">
        <v>67</v>
      </c>
      <c r="AH690">
        <v>0.03</v>
      </c>
      <c r="AI690">
        <v>-1</v>
      </c>
      <c r="AJ690" t="s">
        <v>67</v>
      </c>
      <c r="AK690">
        <v>0.1</v>
      </c>
      <c r="AL690">
        <v>-1</v>
      </c>
      <c r="AM690" t="s">
        <v>67</v>
      </c>
      <c r="AN690">
        <v>0.1</v>
      </c>
      <c r="AO690">
        <v>364</v>
      </c>
      <c r="AP690">
        <v>0</v>
      </c>
      <c r="AQ690" t="s">
        <v>67</v>
      </c>
      <c r="AR690" t="s">
        <v>454</v>
      </c>
      <c r="AS690" t="s">
        <v>412</v>
      </c>
      <c r="AT690" t="s">
        <v>135</v>
      </c>
      <c r="AU690" t="s">
        <v>455</v>
      </c>
      <c r="AV690" t="s">
        <v>132</v>
      </c>
      <c r="AX690" t="s">
        <v>73</v>
      </c>
      <c r="AY690">
        <v>1.9803999999999999</v>
      </c>
      <c r="AZ690">
        <v>1.9803999999999999</v>
      </c>
      <c r="BA690">
        <v>0.22</v>
      </c>
      <c r="BC690">
        <v>9</v>
      </c>
      <c r="BD690">
        <v>1.7816000000000001</v>
      </c>
      <c r="BE690">
        <v>1.7815846200000001</v>
      </c>
      <c r="BF690">
        <v>0.3427</v>
      </c>
      <c r="BH690">
        <v>9</v>
      </c>
      <c r="BI690">
        <v>28</v>
      </c>
      <c r="BJ690">
        <v>3</v>
      </c>
      <c r="BK690">
        <v>-0.10580000000000001</v>
      </c>
      <c r="BL690">
        <v>4.9000000000000002E-2</v>
      </c>
    </row>
    <row r="691" spans="1:65" x14ac:dyDescent="0.2">
      <c r="A691">
        <v>173</v>
      </c>
      <c r="B691" t="str">
        <f>ROW()-1&amp;"_AltersFish"</f>
        <v>690_AltersFish</v>
      </c>
      <c r="C691" t="str">
        <f>A691 &amp; "_" &amp; P691 &amp; "_" &amp;
SUBSTITUTE(TRIM(L691)," ","_") &amp;
"_pH" &amp; TEXT(Z691,"0.00") &amp;
"_T" &amp; TEXT(AI691,"0.00") &amp;
"_CO2" &amp; TEXT(V691,"0") &amp;
"_LANG"</f>
        <v>173_LARVA_Dicentrarchus_labrax_pH8.03_T17.00_CO2598_LANG</v>
      </c>
      <c r="D691" t="s">
        <v>54</v>
      </c>
      <c r="E691">
        <v>2014</v>
      </c>
      <c r="F691" t="s">
        <v>257</v>
      </c>
      <c r="G691" t="s">
        <v>258</v>
      </c>
      <c r="H691" t="s">
        <v>78</v>
      </c>
      <c r="I691" t="s">
        <v>540</v>
      </c>
      <c r="J691" t="s">
        <v>543</v>
      </c>
      <c r="K691" t="s">
        <v>79</v>
      </c>
      <c r="L691" t="s">
        <v>210</v>
      </c>
      <c r="M691" t="s">
        <v>156</v>
      </c>
      <c r="N691" t="s">
        <v>156</v>
      </c>
      <c r="O691" t="s">
        <v>106</v>
      </c>
      <c r="P691" t="s">
        <v>107</v>
      </c>
      <c r="Q691" t="s">
        <v>74</v>
      </c>
      <c r="R691" t="s">
        <v>83</v>
      </c>
      <c r="S691" t="s">
        <v>74</v>
      </c>
      <c r="T691" t="s">
        <v>64</v>
      </c>
      <c r="U691" t="s">
        <v>75</v>
      </c>
      <c r="V691">
        <v>598.33000000000004</v>
      </c>
      <c r="W691" t="s">
        <v>67</v>
      </c>
      <c r="X691">
        <v>38.33</v>
      </c>
      <c r="Y691" t="s">
        <v>96</v>
      </c>
      <c r="Z691">
        <v>8.0299999999999994</v>
      </c>
      <c r="AA691" t="s">
        <v>67</v>
      </c>
      <c r="AB691">
        <v>0.03</v>
      </c>
      <c r="AC691">
        <v>586</v>
      </c>
      <c r="AD691" t="s">
        <v>67</v>
      </c>
      <c r="AE691">
        <v>46</v>
      </c>
      <c r="AF691">
        <v>8.0299999999999994</v>
      </c>
      <c r="AG691" t="s">
        <v>67</v>
      </c>
      <c r="AH691">
        <v>0.03</v>
      </c>
      <c r="AI691">
        <v>17</v>
      </c>
      <c r="AJ691" t="s">
        <v>67</v>
      </c>
      <c r="AK691">
        <v>0.34</v>
      </c>
      <c r="AL691">
        <v>18.899999999999999</v>
      </c>
      <c r="AM691" t="s">
        <v>67</v>
      </c>
      <c r="AN691">
        <v>0.64</v>
      </c>
      <c r="AO691">
        <v>-12</v>
      </c>
      <c r="AP691">
        <v>1.8</v>
      </c>
      <c r="AQ691" t="s">
        <v>67</v>
      </c>
      <c r="AR691" t="s">
        <v>490</v>
      </c>
      <c r="AS691" t="s">
        <v>88</v>
      </c>
      <c r="AT691" t="s">
        <v>333</v>
      </c>
      <c r="AU691" t="s">
        <v>491</v>
      </c>
      <c r="AV691" t="s">
        <v>87</v>
      </c>
      <c r="AW691" t="s">
        <v>88</v>
      </c>
      <c r="AX691" t="s">
        <v>90</v>
      </c>
      <c r="AY691">
        <v>6.5600000000000006E-2</v>
      </c>
      <c r="AZ691">
        <v>6.5579999999999999E-2</v>
      </c>
      <c r="BA691">
        <v>1.11E-2</v>
      </c>
      <c r="BB691">
        <f>BA691*SQRT(BC691)</f>
        <v>1.9225763964014538E-2</v>
      </c>
      <c r="BC691">
        <v>3</v>
      </c>
      <c r="BD691">
        <v>2.0400000000000001E-2</v>
      </c>
      <c r="BE691">
        <v>2.0351759000000001E-2</v>
      </c>
      <c r="BF691">
        <v>2.8E-3</v>
      </c>
      <c r="BG691">
        <f>BF691*SQRT(BH691)</f>
        <v>4.8497422611928562E-3</v>
      </c>
      <c r="BH691">
        <v>3</v>
      </c>
      <c r="BI691">
        <v>42</v>
      </c>
      <c r="BJ691">
        <v>3</v>
      </c>
      <c r="BK691">
        <v>1.1700999999999999</v>
      </c>
      <c r="BL691">
        <v>4.6899999999999997E-2</v>
      </c>
      <c r="BM691" t="s">
        <v>492</v>
      </c>
    </row>
    <row r="692" spans="1:65" hidden="1" x14ac:dyDescent="0.2">
      <c r="A692">
        <v>164</v>
      </c>
      <c r="D692" t="s">
        <v>54</v>
      </c>
      <c r="E692">
        <v>2017</v>
      </c>
      <c r="F692" t="s">
        <v>371</v>
      </c>
      <c r="G692" t="s">
        <v>224</v>
      </c>
      <c r="H692" t="s">
        <v>78</v>
      </c>
      <c r="K692" t="s">
        <v>79</v>
      </c>
      <c r="L692" t="s">
        <v>206</v>
      </c>
      <c r="M692" t="s">
        <v>120</v>
      </c>
      <c r="N692" t="s">
        <v>120</v>
      </c>
      <c r="O692" t="s">
        <v>110</v>
      </c>
      <c r="P692" t="s">
        <v>196</v>
      </c>
      <c r="Q692" t="s">
        <v>480</v>
      </c>
      <c r="R692" t="s">
        <v>83</v>
      </c>
      <c r="S692" t="s">
        <v>64</v>
      </c>
      <c r="T692" t="s">
        <v>64</v>
      </c>
      <c r="U692" t="s">
        <v>66</v>
      </c>
      <c r="V692">
        <v>437</v>
      </c>
      <c r="W692" t="s">
        <v>67</v>
      </c>
      <c r="X692">
        <v>10</v>
      </c>
      <c r="Y692" t="s">
        <v>157</v>
      </c>
      <c r="Z692">
        <v>8.02</v>
      </c>
      <c r="AA692" t="s">
        <v>67</v>
      </c>
      <c r="AB692">
        <v>0.01</v>
      </c>
      <c r="AC692">
        <v>1137</v>
      </c>
      <c r="AD692" t="s">
        <v>67</v>
      </c>
      <c r="AE692">
        <v>92</v>
      </c>
      <c r="AF692">
        <v>7.67</v>
      </c>
      <c r="AG692" t="s">
        <v>67</v>
      </c>
      <c r="AH692">
        <v>0.03</v>
      </c>
      <c r="AI692">
        <v>8.1999999999999993</v>
      </c>
      <c r="AJ692" t="s">
        <v>67</v>
      </c>
      <c r="AK692">
        <v>0.09</v>
      </c>
      <c r="AL692">
        <v>12.2</v>
      </c>
      <c r="AM692" t="s">
        <v>67</v>
      </c>
      <c r="AN692">
        <v>0.35</v>
      </c>
      <c r="AO692">
        <v>700</v>
      </c>
      <c r="AP692">
        <v>4</v>
      </c>
      <c r="AQ692" t="s">
        <v>67</v>
      </c>
      <c r="AR692" t="s">
        <v>367</v>
      </c>
      <c r="AS692" t="s">
        <v>367</v>
      </c>
      <c r="AT692" t="s">
        <v>135</v>
      </c>
      <c r="AU692" t="s">
        <v>388</v>
      </c>
      <c r="AV692" t="s">
        <v>251</v>
      </c>
      <c r="AX692" t="s">
        <v>73</v>
      </c>
      <c r="AY692">
        <v>13.2</v>
      </c>
      <c r="AZ692">
        <v>13.2</v>
      </c>
      <c r="BA692">
        <v>1.3</v>
      </c>
      <c r="BC692">
        <v>12</v>
      </c>
      <c r="BD692">
        <v>14</v>
      </c>
      <c r="BE692">
        <v>14</v>
      </c>
      <c r="BF692">
        <v>2.8</v>
      </c>
      <c r="BH692">
        <v>10</v>
      </c>
      <c r="BI692">
        <v>42</v>
      </c>
      <c r="BJ692">
        <v>8</v>
      </c>
      <c r="BK692">
        <v>5.8799999999999998E-2</v>
      </c>
      <c r="BL692">
        <v>4.9700000000000001E-2</v>
      </c>
    </row>
    <row r="693" spans="1:65" hidden="1" x14ac:dyDescent="0.2">
      <c r="A693">
        <v>132</v>
      </c>
      <c r="D693" t="s">
        <v>54</v>
      </c>
      <c r="E693">
        <v>2015</v>
      </c>
      <c r="F693" t="s">
        <v>283</v>
      </c>
      <c r="G693" t="s">
        <v>181</v>
      </c>
      <c r="H693" t="s">
        <v>284</v>
      </c>
      <c r="K693" t="s">
        <v>285</v>
      </c>
      <c r="L693" t="s">
        <v>286</v>
      </c>
      <c r="M693" t="s">
        <v>81</v>
      </c>
      <c r="N693" t="s">
        <v>81</v>
      </c>
      <c r="O693" t="s">
        <v>62</v>
      </c>
      <c r="P693" t="s">
        <v>196</v>
      </c>
      <c r="Q693" t="s">
        <v>64</v>
      </c>
      <c r="R693" t="s">
        <v>83</v>
      </c>
      <c r="S693" t="s">
        <v>64</v>
      </c>
      <c r="T693" t="s">
        <v>64</v>
      </c>
      <c r="U693" t="s">
        <v>66</v>
      </c>
      <c r="V693">
        <v>372</v>
      </c>
      <c r="W693" t="s">
        <v>67</v>
      </c>
      <c r="X693">
        <v>51.9</v>
      </c>
      <c r="Y693" t="s">
        <v>68</v>
      </c>
      <c r="Z693">
        <v>8.02</v>
      </c>
      <c r="AA693" t="s">
        <v>67</v>
      </c>
      <c r="AB693">
        <v>0.05</v>
      </c>
      <c r="AC693">
        <v>1481</v>
      </c>
      <c r="AD693" t="s">
        <v>67</v>
      </c>
      <c r="AE693">
        <v>107.7</v>
      </c>
      <c r="AF693">
        <v>7.49</v>
      </c>
      <c r="AG693" t="s">
        <v>67</v>
      </c>
      <c r="AH693">
        <v>0.03</v>
      </c>
      <c r="AI693">
        <v>25.9</v>
      </c>
      <c r="AJ693" t="s">
        <v>67</v>
      </c>
      <c r="AK693">
        <v>0.7</v>
      </c>
      <c r="AL693">
        <v>30.1</v>
      </c>
      <c r="AM693" t="s">
        <v>67</v>
      </c>
      <c r="AN693">
        <v>0.5</v>
      </c>
      <c r="AO693">
        <v>1109</v>
      </c>
      <c r="AP693">
        <v>4.2</v>
      </c>
      <c r="AQ693" t="s">
        <v>67</v>
      </c>
      <c r="AR693" t="s">
        <v>505</v>
      </c>
      <c r="AS693" t="s">
        <v>386</v>
      </c>
      <c r="AT693" t="s">
        <v>135</v>
      </c>
      <c r="AU693" t="s">
        <v>506</v>
      </c>
      <c r="AV693" t="s">
        <v>251</v>
      </c>
      <c r="AX693" t="s">
        <v>73</v>
      </c>
      <c r="AY693">
        <v>27.47</v>
      </c>
      <c r="AZ693">
        <v>27.47</v>
      </c>
      <c r="BA693">
        <v>5.2705000000000002</v>
      </c>
      <c r="BC693">
        <v>6</v>
      </c>
      <c r="BD693">
        <v>6.8</v>
      </c>
      <c r="BE693">
        <v>6.8</v>
      </c>
      <c r="BF693">
        <v>0.77569999999999995</v>
      </c>
      <c r="BH693">
        <v>6</v>
      </c>
      <c r="BI693">
        <v>31</v>
      </c>
      <c r="BJ693">
        <v>3</v>
      </c>
      <c r="BK693">
        <v>-1.3962000000000001</v>
      </c>
      <c r="BL693">
        <v>4.9799999999999997E-2</v>
      </c>
    </row>
    <row r="694" spans="1:65" hidden="1" x14ac:dyDescent="0.2">
      <c r="A694">
        <v>154</v>
      </c>
      <c r="D694" t="s">
        <v>54</v>
      </c>
      <c r="E694">
        <v>2017</v>
      </c>
      <c r="F694" t="s">
        <v>507</v>
      </c>
      <c r="G694" t="s">
        <v>508</v>
      </c>
      <c r="H694" t="s">
        <v>57</v>
      </c>
      <c r="K694" t="s">
        <v>264</v>
      </c>
      <c r="L694" t="s">
        <v>265</v>
      </c>
      <c r="M694" t="s">
        <v>81</v>
      </c>
      <c r="N694" t="s">
        <v>81</v>
      </c>
      <c r="O694" t="s">
        <v>62</v>
      </c>
      <c r="P694" t="s">
        <v>63</v>
      </c>
      <c r="Q694" t="s">
        <v>64</v>
      </c>
      <c r="R694" t="s">
        <v>65</v>
      </c>
      <c r="S694" t="s">
        <v>64</v>
      </c>
      <c r="T694" t="s">
        <v>64</v>
      </c>
      <c r="U694" t="s">
        <v>66</v>
      </c>
      <c r="V694">
        <v>518</v>
      </c>
      <c r="W694">
        <v>19.899999999999999</v>
      </c>
      <c r="X694" t="s">
        <v>67</v>
      </c>
      <c r="Y694" t="s">
        <v>96</v>
      </c>
      <c r="Z694">
        <v>8.02</v>
      </c>
      <c r="AA694">
        <v>0.01</v>
      </c>
      <c r="AB694" t="s">
        <v>67</v>
      </c>
      <c r="AC694">
        <v>1049</v>
      </c>
      <c r="AD694">
        <v>45.9</v>
      </c>
      <c r="AE694" t="s">
        <v>67</v>
      </c>
      <c r="AF694">
        <v>7.81</v>
      </c>
      <c r="AG694">
        <v>0.01</v>
      </c>
      <c r="AH694" t="s">
        <v>67</v>
      </c>
      <c r="AI694">
        <v>16.3</v>
      </c>
      <c r="AJ694">
        <v>0.1</v>
      </c>
      <c r="AK694" t="s">
        <v>67</v>
      </c>
      <c r="AL694">
        <v>19.100000000000001</v>
      </c>
      <c r="AM694">
        <v>0</v>
      </c>
      <c r="AN694" t="s">
        <v>67</v>
      </c>
      <c r="AO694">
        <v>531</v>
      </c>
      <c r="AP694">
        <v>2.8</v>
      </c>
      <c r="AQ694" t="s">
        <v>67</v>
      </c>
      <c r="AR694" t="s">
        <v>509</v>
      </c>
      <c r="AS694" t="s">
        <v>367</v>
      </c>
      <c r="AT694" t="s">
        <v>135</v>
      </c>
      <c r="AU694" t="s">
        <v>226</v>
      </c>
      <c r="AV694" t="s">
        <v>251</v>
      </c>
      <c r="AX694" t="s">
        <v>73</v>
      </c>
      <c r="AY694">
        <v>1588.5608999999999</v>
      </c>
      <c r="AZ694">
        <v>1588.56089</v>
      </c>
      <c r="BA694">
        <v>219.56</v>
      </c>
      <c r="BC694">
        <v>20</v>
      </c>
      <c r="BD694">
        <v>2725.0922999999998</v>
      </c>
      <c r="BE694">
        <v>2725.092251</v>
      </c>
      <c r="BF694">
        <v>477.85980000000001</v>
      </c>
      <c r="BH694">
        <v>26</v>
      </c>
      <c r="BI694">
        <v>127</v>
      </c>
      <c r="BJ694">
        <v>4</v>
      </c>
      <c r="BK694">
        <v>0.53969999999999996</v>
      </c>
      <c r="BL694">
        <v>4.99E-2</v>
      </c>
    </row>
    <row r="695" spans="1:65" hidden="1" x14ac:dyDescent="0.2">
      <c r="A695">
        <v>159</v>
      </c>
      <c r="D695" t="s">
        <v>54</v>
      </c>
      <c r="E695">
        <v>2018</v>
      </c>
      <c r="F695" t="s">
        <v>326</v>
      </c>
      <c r="G695" t="s">
        <v>327</v>
      </c>
      <c r="H695" t="s">
        <v>78</v>
      </c>
      <c r="K695" t="s">
        <v>205</v>
      </c>
      <c r="L695" t="s">
        <v>225</v>
      </c>
      <c r="M695" t="s">
        <v>120</v>
      </c>
      <c r="N695" t="s">
        <v>120</v>
      </c>
      <c r="O695" t="s">
        <v>110</v>
      </c>
      <c r="P695" t="s">
        <v>196</v>
      </c>
      <c r="Q695" t="s">
        <v>64</v>
      </c>
      <c r="R695" t="s">
        <v>83</v>
      </c>
      <c r="S695" t="s">
        <v>74</v>
      </c>
      <c r="T695" t="s">
        <v>64</v>
      </c>
      <c r="U695" t="s">
        <v>75</v>
      </c>
      <c r="V695">
        <v>390</v>
      </c>
      <c r="W695" t="s">
        <v>67</v>
      </c>
      <c r="X695" t="s">
        <v>67</v>
      </c>
      <c r="Y695" t="s">
        <v>67</v>
      </c>
      <c r="Z695" t="s">
        <v>67</v>
      </c>
      <c r="AA695" t="s">
        <v>67</v>
      </c>
      <c r="AB695" t="s">
        <v>67</v>
      </c>
      <c r="AC695">
        <v>390</v>
      </c>
      <c r="AD695" t="s">
        <v>67</v>
      </c>
      <c r="AE695" t="s">
        <v>67</v>
      </c>
      <c r="AF695" t="s">
        <v>67</v>
      </c>
      <c r="AG695" t="s">
        <v>67</v>
      </c>
      <c r="AH695" t="s">
        <v>67</v>
      </c>
      <c r="AI695">
        <v>0</v>
      </c>
      <c r="AJ695" t="s">
        <v>67</v>
      </c>
      <c r="AK695" t="s">
        <v>67</v>
      </c>
      <c r="AL695">
        <v>6</v>
      </c>
      <c r="AM695" t="s">
        <v>67</v>
      </c>
      <c r="AN695" t="s">
        <v>67</v>
      </c>
      <c r="AO695">
        <v>0</v>
      </c>
      <c r="AP695">
        <v>6</v>
      </c>
      <c r="AQ695" t="s">
        <v>67</v>
      </c>
      <c r="AR695" t="s">
        <v>361</v>
      </c>
      <c r="AS695" t="s">
        <v>361</v>
      </c>
      <c r="AT695" t="s">
        <v>70</v>
      </c>
      <c r="AU695" t="s">
        <v>510</v>
      </c>
      <c r="AV695" t="s">
        <v>363</v>
      </c>
      <c r="AX695" t="s">
        <v>73</v>
      </c>
      <c r="AY695">
        <v>4.3200000000000002E-2</v>
      </c>
      <c r="AZ695">
        <v>4.3200000000000002E-2</v>
      </c>
      <c r="BA695">
        <v>0.01</v>
      </c>
      <c r="BC695">
        <v>5</v>
      </c>
      <c r="BD695">
        <v>6.4899999999999999E-2</v>
      </c>
      <c r="BE695">
        <v>6.4899999999999999E-2</v>
      </c>
      <c r="BF695">
        <v>6.1000000000000004E-3</v>
      </c>
      <c r="BH695">
        <v>4</v>
      </c>
      <c r="BI695">
        <v>120</v>
      </c>
      <c r="BJ695" t="s">
        <v>67</v>
      </c>
      <c r="BK695">
        <v>0.40699999999999997</v>
      </c>
      <c r="BL695">
        <v>5.0299999999999997E-2</v>
      </c>
    </row>
    <row r="696" spans="1:65" x14ac:dyDescent="0.2">
      <c r="A696">
        <v>173</v>
      </c>
      <c r="B696" t="str">
        <f>ROW()-1&amp;"_AltersFish"</f>
        <v>695_AltersFish</v>
      </c>
      <c r="C696" t="str">
        <f>A696 &amp; "_" &amp; P696 &amp; "_" &amp;
SUBSTITUTE(TRIM(L696)," ","_") &amp;
"_pH" &amp; TEXT(Z696,"0.00") &amp;
"_T" &amp; TEXT(AI696,"0.00") &amp;
"_CO2" &amp; TEXT(V696,"0") &amp;
"_LANG"</f>
        <v>173_LARVA_Dicentrarchus_labrax_pH8.03_T17.00_CO2598_LANG</v>
      </c>
      <c r="D696" t="s">
        <v>54</v>
      </c>
      <c r="E696">
        <v>2014</v>
      </c>
      <c r="F696" t="s">
        <v>257</v>
      </c>
      <c r="G696" t="s">
        <v>258</v>
      </c>
      <c r="H696" t="s">
        <v>78</v>
      </c>
      <c r="I696" t="s">
        <v>540</v>
      </c>
      <c r="J696" t="s">
        <v>543</v>
      </c>
      <c r="K696" t="s">
        <v>79</v>
      </c>
      <c r="L696" t="s">
        <v>210</v>
      </c>
      <c r="M696" t="s">
        <v>156</v>
      </c>
      <c r="N696" t="s">
        <v>156</v>
      </c>
      <c r="O696" t="s">
        <v>106</v>
      </c>
      <c r="P696" t="s">
        <v>107</v>
      </c>
      <c r="Q696" t="s">
        <v>74</v>
      </c>
      <c r="R696" t="s">
        <v>83</v>
      </c>
      <c r="S696" t="s">
        <v>64</v>
      </c>
      <c r="T696" t="s">
        <v>74</v>
      </c>
      <c r="U696" t="s">
        <v>84</v>
      </c>
      <c r="V696">
        <v>598.33000000000004</v>
      </c>
      <c r="W696" t="s">
        <v>67</v>
      </c>
      <c r="X696">
        <v>38.33</v>
      </c>
      <c r="Y696" t="s">
        <v>96</v>
      </c>
      <c r="Z696">
        <v>8.0299999999999994</v>
      </c>
      <c r="AA696" t="s">
        <v>67</v>
      </c>
      <c r="AB696">
        <v>0.03</v>
      </c>
      <c r="AC696">
        <v>1004</v>
      </c>
      <c r="AD696" t="s">
        <v>67</v>
      </c>
      <c r="AE696">
        <v>92.33</v>
      </c>
      <c r="AF696">
        <v>7.82</v>
      </c>
      <c r="AG696" t="s">
        <v>67</v>
      </c>
      <c r="AH696">
        <v>0.05</v>
      </c>
      <c r="AI696">
        <v>17</v>
      </c>
      <c r="AJ696" t="s">
        <v>67</v>
      </c>
      <c r="AK696">
        <v>0.34</v>
      </c>
      <c r="AL696">
        <v>17</v>
      </c>
      <c r="AM696" t="s">
        <v>67</v>
      </c>
      <c r="AN696">
        <v>0.34</v>
      </c>
      <c r="AO696">
        <v>406</v>
      </c>
      <c r="AP696">
        <v>0</v>
      </c>
      <c r="AQ696" t="s">
        <v>67</v>
      </c>
      <c r="AR696" t="s">
        <v>490</v>
      </c>
      <c r="AS696" t="s">
        <v>88</v>
      </c>
      <c r="AT696" t="s">
        <v>333</v>
      </c>
      <c r="AU696" t="s">
        <v>491</v>
      </c>
      <c r="AV696" t="s">
        <v>87</v>
      </c>
      <c r="AW696" t="s">
        <v>88</v>
      </c>
      <c r="AX696" t="s">
        <v>90</v>
      </c>
      <c r="AY696">
        <v>6.5600000000000006E-2</v>
      </c>
      <c r="AZ696">
        <v>6.5579999999999999E-2</v>
      </c>
      <c r="BA696">
        <v>1.11E-2</v>
      </c>
      <c r="BB696">
        <f>BA696*SQRT(BC696)</f>
        <v>1.9225763964014538E-2</v>
      </c>
      <c r="BC696">
        <v>3</v>
      </c>
      <c r="BD696">
        <v>3.1399999999999997E-2</v>
      </c>
      <c r="BE696">
        <v>3.1407035E-2</v>
      </c>
      <c r="BF696">
        <v>1E-3</v>
      </c>
      <c r="BG696">
        <f>BF696*SQRT(BH696)</f>
        <v>1.7320508075688772E-3</v>
      </c>
      <c r="BH696">
        <v>3</v>
      </c>
      <c r="BI696">
        <v>42</v>
      </c>
      <c r="BJ696">
        <v>3</v>
      </c>
      <c r="BK696">
        <v>0.73619999999999997</v>
      </c>
      <c r="BL696">
        <v>2.9399999999999999E-2</v>
      </c>
      <c r="BM696" t="s">
        <v>492</v>
      </c>
    </row>
    <row r="697" spans="1:65" hidden="1" x14ac:dyDescent="0.2">
      <c r="A697">
        <v>151</v>
      </c>
      <c r="D697" t="s">
        <v>54</v>
      </c>
      <c r="E697">
        <v>2015</v>
      </c>
      <c r="F697" t="s">
        <v>262</v>
      </c>
      <c r="G697" t="s">
        <v>263</v>
      </c>
      <c r="H697" t="s">
        <v>57</v>
      </c>
      <c r="K697" t="s">
        <v>264</v>
      </c>
      <c r="L697" t="s">
        <v>265</v>
      </c>
      <c r="M697" t="s">
        <v>81</v>
      </c>
      <c r="N697" t="s">
        <v>81</v>
      </c>
      <c r="O697" t="s">
        <v>62</v>
      </c>
      <c r="P697" t="s">
        <v>63</v>
      </c>
      <c r="Q697" t="s">
        <v>64</v>
      </c>
      <c r="R697" t="s">
        <v>65</v>
      </c>
      <c r="S697" t="s">
        <v>74</v>
      </c>
      <c r="T697" t="s">
        <v>64</v>
      </c>
      <c r="U697" t="s">
        <v>75</v>
      </c>
      <c r="V697">
        <v>589</v>
      </c>
      <c r="W697">
        <v>50.9</v>
      </c>
      <c r="X697" t="s">
        <v>67</v>
      </c>
      <c r="Y697" t="s">
        <v>96</v>
      </c>
      <c r="Z697">
        <v>7.96</v>
      </c>
      <c r="AA697">
        <v>0.01</v>
      </c>
      <c r="AB697" t="s">
        <v>67</v>
      </c>
      <c r="AC697">
        <v>661</v>
      </c>
      <c r="AD697">
        <v>15.4</v>
      </c>
      <c r="AE697" t="s">
        <v>67</v>
      </c>
      <c r="AF697">
        <v>7.87</v>
      </c>
      <c r="AG697">
        <v>0.02</v>
      </c>
      <c r="AH697" t="s">
        <v>67</v>
      </c>
      <c r="AI697">
        <v>16.399999999999999</v>
      </c>
      <c r="AJ697">
        <v>0.1</v>
      </c>
      <c r="AK697" t="s">
        <v>67</v>
      </c>
      <c r="AL697">
        <v>18.8</v>
      </c>
      <c r="AM697">
        <v>0.3</v>
      </c>
      <c r="AN697" t="s">
        <v>67</v>
      </c>
      <c r="AO697">
        <v>72</v>
      </c>
      <c r="AP697">
        <v>2.4</v>
      </c>
      <c r="AQ697" t="s">
        <v>325</v>
      </c>
      <c r="AR697" t="s">
        <v>513</v>
      </c>
      <c r="AS697" t="s">
        <v>386</v>
      </c>
      <c r="AT697" t="s">
        <v>135</v>
      </c>
      <c r="AU697" t="s">
        <v>514</v>
      </c>
      <c r="AV697" t="s">
        <v>251</v>
      </c>
      <c r="AX697" t="s">
        <v>73</v>
      </c>
      <c r="AY697">
        <v>0.71240000000000003</v>
      </c>
      <c r="AZ697">
        <v>0.71236999999999995</v>
      </c>
      <c r="BA697">
        <v>0.15</v>
      </c>
      <c r="BC697">
        <v>4</v>
      </c>
      <c r="BD697">
        <v>2.1371000000000002</v>
      </c>
      <c r="BE697">
        <v>2.1370967740000002</v>
      </c>
      <c r="BF697">
        <v>0.15229999999999999</v>
      </c>
      <c r="BH697">
        <v>4</v>
      </c>
      <c r="BI697">
        <v>57</v>
      </c>
      <c r="BJ697">
        <v>4</v>
      </c>
      <c r="BK697">
        <v>1.0986</v>
      </c>
      <c r="BL697">
        <v>5.0799999999999998E-2</v>
      </c>
    </row>
    <row r="698" spans="1:65" hidden="1" x14ac:dyDescent="0.2">
      <c r="A698">
        <v>139</v>
      </c>
      <c r="D698" t="s">
        <v>54</v>
      </c>
      <c r="E698">
        <v>2018</v>
      </c>
      <c r="F698" t="s">
        <v>214</v>
      </c>
      <c r="G698" t="s">
        <v>154</v>
      </c>
      <c r="H698" t="s">
        <v>78</v>
      </c>
      <c r="K698" t="s">
        <v>194</v>
      </c>
      <c r="L698" t="s">
        <v>215</v>
      </c>
      <c r="M698" t="s">
        <v>120</v>
      </c>
      <c r="N698" t="s">
        <v>120</v>
      </c>
      <c r="O698" t="s">
        <v>62</v>
      </c>
      <c r="P698" t="s">
        <v>63</v>
      </c>
      <c r="Q698" t="s">
        <v>64</v>
      </c>
      <c r="R698" t="s">
        <v>83</v>
      </c>
      <c r="S698" t="s">
        <v>64</v>
      </c>
      <c r="T698" t="s">
        <v>64</v>
      </c>
      <c r="U698" t="s">
        <v>66</v>
      </c>
      <c r="V698">
        <v>458</v>
      </c>
      <c r="W698" t="s">
        <v>67</v>
      </c>
      <c r="X698">
        <v>30</v>
      </c>
      <c r="Y698" t="s">
        <v>68</v>
      </c>
      <c r="Z698">
        <v>7.98</v>
      </c>
      <c r="AA698" t="s">
        <v>67</v>
      </c>
      <c r="AB698">
        <v>0.03</v>
      </c>
      <c r="AC698">
        <v>958</v>
      </c>
      <c r="AD698" t="s">
        <v>67</v>
      </c>
      <c r="AE698">
        <v>33</v>
      </c>
      <c r="AF698">
        <v>7.7</v>
      </c>
      <c r="AG698" t="s">
        <v>67</v>
      </c>
      <c r="AH698">
        <v>0.01</v>
      </c>
      <c r="AI698">
        <v>-1</v>
      </c>
      <c r="AJ698" t="s">
        <v>67</v>
      </c>
      <c r="AK698">
        <v>0.1</v>
      </c>
      <c r="AL698">
        <v>2.2000000000000002</v>
      </c>
      <c r="AM698" t="s">
        <v>67</v>
      </c>
      <c r="AN698">
        <v>0.1</v>
      </c>
      <c r="AO698">
        <v>500</v>
      </c>
      <c r="AP698">
        <v>3.2</v>
      </c>
      <c r="AQ698" t="s">
        <v>67</v>
      </c>
      <c r="AR698" t="s">
        <v>356</v>
      </c>
      <c r="AS698" t="s">
        <v>134</v>
      </c>
      <c r="AT698" t="s">
        <v>135</v>
      </c>
      <c r="AU698" t="s">
        <v>272</v>
      </c>
      <c r="AV698" t="s">
        <v>137</v>
      </c>
      <c r="AX698" t="s">
        <v>73</v>
      </c>
      <c r="AY698">
        <v>2.31</v>
      </c>
      <c r="AZ698">
        <v>2.31</v>
      </c>
      <c r="BA698">
        <v>0.36</v>
      </c>
      <c r="BC698">
        <v>9</v>
      </c>
      <c r="BD698">
        <v>2.82</v>
      </c>
      <c r="BE698">
        <v>2.82</v>
      </c>
      <c r="BF698">
        <v>0.46</v>
      </c>
      <c r="BH698">
        <v>12</v>
      </c>
      <c r="BI698">
        <v>28</v>
      </c>
      <c r="BJ698">
        <v>3</v>
      </c>
      <c r="BK698">
        <v>0.19950000000000001</v>
      </c>
      <c r="BL698">
        <v>5.0900000000000001E-2</v>
      </c>
    </row>
    <row r="699" spans="1:65" hidden="1" x14ac:dyDescent="0.2">
      <c r="A699">
        <v>171</v>
      </c>
      <c r="D699" t="s">
        <v>54</v>
      </c>
      <c r="E699">
        <v>2015</v>
      </c>
      <c r="F699" t="s">
        <v>198</v>
      </c>
      <c r="G699" t="s">
        <v>199</v>
      </c>
      <c r="H699" t="s">
        <v>57</v>
      </c>
      <c r="K699" t="s">
        <v>79</v>
      </c>
      <c r="L699" t="s">
        <v>200</v>
      </c>
      <c r="M699" t="s">
        <v>81</v>
      </c>
      <c r="N699" t="s">
        <v>81</v>
      </c>
      <c r="O699" t="s">
        <v>62</v>
      </c>
      <c r="P699" t="s">
        <v>63</v>
      </c>
      <c r="Q699" t="s">
        <v>64</v>
      </c>
      <c r="R699" t="s">
        <v>65</v>
      </c>
      <c r="S699" t="s">
        <v>64</v>
      </c>
      <c r="T699" t="s">
        <v>64</v>
      </c>
      <c r="U699" t="s">
        <v>66</v>
      </c>
      <c r="V699">
        <v>422.07</v>
      </c>
      <c r="W699" t="s">
        <v>67</v>
      </c>
      <c r="X699">
        <v>16.57</v>
      </c>
      <c r="Y699" t="s">
        <v>96</v>
      </c>
      <c r="Z699">
        <v>8.1</v>
      </c>
      <c r="AA699" t="s">
        <v>67</v>
      </c>
      <c r="AB699">
        <v>0.05</v>
      </c>
      <c r="AC699">
        <v>1078.21</v>
      </c>
      <c r="AD699" t="s">
        <v>67</v>
      </c>
      <c r="AE699">
        <v>53.06</v>
      </c>
      <c r="AF699">
        <v>7.7</v>
      </c>
      <c r="AG699" t="s">
        <v>67</v>
      </c>
      <c r="AH699">
        <v>0.05</v>
      </c>
      <c r="AI699">
        <v>15</v>
      </c>
      <c r="AJ699" t="s">
        <v>67</v>
      </c>
      <c r="AK699">
        <v>0.5</v>
      </c>
      <c r="AL699">
        <v>20</v>
      </c>
      <c r="AM699" t="s">
        <v>67</v>
      </c>
      <c r="AN699">
        <v>0.5</v>
      </c>
      <c r="AO699">
        <v>656</v>
      </c>
      <c r="AP699">
        <v>5</v>
      </c>
      <c r="AQ699" t="s">
        <v>218</v>
      </c>
      <c r="AR699" t="s">
        <v>511</v>
      </c>
      <c r="AS699" t="s">
        <v>361</v>
      </c>
      <c r="AT699" t="s">
        <v>70</v>
      </c>
      <c r="AU699" t="s">
        <v>383</v>
      </c>
      <c r="AV699" t="s">
        <v>363</v>
      </c>
      <c r="AX699" t="s">
        <v>73</v>
      </c>
      <c r="AY699">
        <v>3.1800000000000002E-2</v>
      </c>
      <c r="AZ699">
        <v>3.1759999999999997E-2</v>
      </c>
      <c r="BA699">
        <v>0.01</v>
      </c>
      <c r="BC699">
        <v>29</v>
      </c>
      <c r="BD699">
        <v>0.112</v>
      </c>
      <c r="BE699">
        <v>0.112017167</v>
      </c>
      <c r="BF699">
        <v>7.7000000000000002E-3</v>
      </c>
      <c r="BH699">
        <v>29</v>
      </c>
      <c r="BI699">
        <v>187</v>
      </c>
      <c r="BJ699">
        <v>5</v>
      </c>
      <c r="BK699">
        <v>1.2605</v>
      </c>
      <c r="BL699">
        <v>5.1499999999999997E-2</v>
      </c>
    </row>
    <row r="700" spans="1:65" hidden="1" x14ac:dyDescent="0.2">
      <c r="A700">
        <v>164</v>
      </c>
      <c r="D700" t="s">
        <v>54</v>
      </c>
      <c r="E700">
        <v>2017</v>
      </c>
      <c r="F700" t="s">
        <v>371</v>
      </c>
      <c r="G700" t="s">
        <v>224</v>
      </c>
      <c r="H700" t="s">
        <v>78</v>
      </c>
      <c r="K700" t="s">
        <v>79</v>
      </c>
      <c r="L700" t="s">
        <v>206</v>
      </c>
      <c r="M700" t="s">
        <v>120</v>
      </c>
      <c r="N700" t="s">
        <v>120</v>
      </c>
      <c r="O700" t="s">
        <v>110</v>
      </c>
      <c r="P700" t="s">
        <v>196</v>
      </c>
      <c r="Q700" t="s">
        <v>480</v>
      </c>
      <c r="R700" t="s">
        <v>83</v>
      </c>
      <c r="S700" t="s">
        <v>74</v>
      </c>
      <c r="T700" t="s">
        <v>64</v>
      </c>
      <c r="U700" t="s">
        <v>75</v>
      </c>
      <c r="V700">
        <v>437</v>
      </c>
      <c r="W700" t="s">
        <v>67</v>
      </c>
      <c r="X700">
        <v>10</v>
      </c>
      <c r="Y700" t="s">
        <v>157</v>
      </c>
      <c r="Z700">
        <v>8.02</v>
      </c>
      <c r="AA700" t="s">
        <v>67</v>
      </c>
      <c r="AB700">
        <v>0.01</v>
      </c>
      <c r="AC700">
        <v>458</v>
      </c>
      <c r="AD700" t="s">
        <v>67</v>
      </c>
      <c r="AE700">
        <v>45</v>
      </c>
      <c r="AF700">
        <v>8.0299999999999994</v>
      </c>
      <c r="AG700" t="s">
        <v>67</v>
      </c>
      <c r="AH700">
        <v>0.04</v>
      </c>
      <c r="AI700">
        <v>8.1999999999999993</v>
      </c>
      <c r="AJ700" t="s">
        <v>67</v>
      </c>
      <c r="AK700">
        <v>0.09</v>
      </c>
      <c r="AL700">
        <v>12.3</v>
      </c>
      <c r="AM700" t="s">
        <v>67</v>
      </c>
      <c r="AN700">
        <v>0.4</v>
      </c>
      <c r="AO700">
        <v>21</v>
      </c>
      <c r="AP700">
        <v>4.0999999999999996</v>
      </c>
      <c r="AQ700" t="s">
        <v>67</v>
      </c>
      <c r="AR700" t="s">
        <v>293</v>
      </c>
      <c r="AS700" t="s">
        <v>293</v>
      </c>
      <c r="AT700" t="s">
        <v>70</v>
      </c>
      <c r="AU700" t="s">
        <v>310</v>
      </c>
      <c r="AV700" t="s">
        <v>72</v>
      </c>
      <c r="AX700" t="s">
        <v>73</v>
      </c>
      <c r="AY700">
        <v>57.7</v>
      </c>
      <c r="AZ700">
        <v>57.7</v>
      </c>
      <c r="BA700">
        <v>10.5944</v>
      </c>
      <c r="BC700">
        <v>12</v>
      </c>
      <c r="BD700">
        <v>56.1</v>
      </c>
      <c r="BE700">
        <v>56.1</v>
      </c>
      <c r="BF700">
        <v>7.5262000000000002</v>
      </c>
      <c r="BH700">
        <v>10</v>
      </c>
      <c r="BI700">
        <v>50</v>
      </c>
      <c r="BJ700">
        <v>8</v>
      </c>
      <c r="BK700">
        <v>-2.81E-2</v>
      </c>
      <c r="BL700">
        <v>5.1700000000000003E-2</v>
      </c>
    </row>
    <row r="701" spans="1:65" hidden="1" x14ac:dyDescent="0.2">
      <c r="A701">
        <v>147</v>
      </c>
      <c r="D701" t="s">
        <v>54</v>
      </c>
      <c r="E701">
        <v>2014</v>
      </c>
      <c r="F701" t="s">
        <v>317</v>
      </c>
      <c r="G701" t="s">
        <v>318</v>
      </c>
      <c r="H701" t="s">
        <v>78</v>
      </c>
      <c r="K701" t="s">
        <v>319</v>
      </c>
      <c r="L701" t="s">
        <v>320</v>
      </c>
      <c r="M701" t="s">
        <v>81</v>
      </c>
      <c r="N701" t="s">
        <v>81</v>
      </c>
      <c r="O701" t="s">
        <v>62</v>
      </c>
      <c r="P701" t="s">
        <v>63</v>
      </c>
      <c r="Q701" t="s">
        <v>74</v>
      </c>
      <c r="R701" t="s">
        <v>83</v>
      </c>
      <c r="S701" t="s">
        <v>64</v>
      </c>
      <c r="T701" t="s">
        <v>74</v>
      </c>
      <c r="U701" t="s">
        <v>84</v>
      </c>
      <c r="V701">
        <v>330</v>
      </c>
      <c r="W701">
        <v>9.5</v>
      </c>
      <c r="X701" t="s">
        <v>67</v>
      </c>
      <c r="Y701" t="s">
        <v>68</v>
      </c>
      <c r="Z701">
        <v>8.11</v>
      </c>
      <c r="AA701">
        <v>0.01</v>
      </c>
      <c r="AB701" t="s">
        <v>67</v>
      </c>
      <c r="AC701">
        <v>889</v>
      </c>
      <c r="AD701">
        <v>43.5</v>
      </c>
      <c r="AE701" t="s">
        <v>67</v>
      </c>
      <c r="AF701">
        <v>7.71</v>
      </c>
      <c r="AG701">
        <v>0.03</v>
      </c>
      <c r="AH701" t="s">
        <v>67</v>
      </c>
      <c r="AI701">
        <v>5.2</v>
      </c>
      <c r="AJ701">
        <v>0.11</v>
      </c>
      <c r="AK701" t="s">
        <v>67</v>
      </c>
      <c r="AL701">
        <v>5.0999999999999996</v>
      </c>
      <c r="AM701">
        <v>0.11</v>
      </c>
      <c r="AN701" t="s">
        <v>67</v>
      </c>
      <c r="AO701">
        <v>559</v>
      </c>
      <c r="AP701">
        <v>0</v>
      </c>
      <c r="AQ701" t="s">
        <v>67</v>
      </c>
      <c r="AR701" t="s">
        <v>113</v>
      </c>
      <c r="AS701" t="s">
        <v>113</v>
      </c>
      <c r="AT701" t="s">
        <v>70</v>
      </c>
      <c r="AU701" t="s">
        <v>442</v>
      </c>
      <c r="AV701" t="s">
        <v>72</v>
      </c>
      <c r="AX701" t="s">
        <v>73</v>
      </c>
      <c r="AY701">
        <v>0.46760000000000002</v>
      </c>
      <c r="AZ701">
        <v>0.46761999999999998</v>
      </c>
      <c r="BA701">
        <v>0.06</v>
      </c>
      <c r="BC701">
        <v>38</v>
      </c>
      <c r="BD701">
        <v>0.26479999999999998</v>
      </c>
      <c r="BE701">
        <v>0.26475644700000001</v>
      </c>
      <c r="BF701">
        <v>5.16E-2</v>
      </c>
      <c r="BH701">
        <v>38</v>
      </c>
      <c r="BI701">
        <v>105</v>
      </c>
      <c r="BJ701">
        <v>2</v>
      </c>
      <c r="BK701">
        <v>-0.56879999999999997</v>
      </c>
      <c r="BL701">
        <v>5.1799999999999999E-2</v>
      </c>
    </row>
    <row r="702" spans="1:65" hidden="1" x14ac:dyDescent="0.2">
      <c r="A702">
        <v>171</v>
      </c>
      <c r="D702" t="s">
        <v>54</v>
      </c>
      <c r="E702">
        <v>2015</v>
      </c>
      <c r="F702" t="s">
        <v>198</v>
      </c>
      <c r="G702" t="s">
        <v>199</v>
      </c>
      <c r="H702" t="s">
        <v>57</v>
      </c>
      <c r="K702" t="s">
        <v>79</v>
      </c>
      <c r="L702" t="s">
        <v>200</v>
      </c>
      <c r="M702" t="s">
        <v>81</v>
      </c>
      <c r="N702" t="s">
        <v>81</v>
      </c>
      <c r="O702" t="s">
        <v>62</v>
      </c>
      <c r="P702" t="s">
        <v>63</v>
      </c>
      <c r="Q702" t="s">
        <v>64</v>
      </c>
      <c r="R702" t="s">
        <v>65</v>
      </c>
      <c r="S702" t="s">
        <v>74</v>
      </c>
      <c r="T702" t="s">
        <v>64</v>
      </c>
      <c r="U702" t="s">
        <v>75</v>
      </c>
      <c r="V702">
        <v>422.07</v>
      </c>
      <c r="W702" t="s">
        <v>67</v>
      </c>
      <c r="X702">
        <v>16.57</v>
      </c>
      <c r="Y702" t="s">
        <v>96</v>
      </c>
      <c r="Z702">
        <v>8.1</v>
      </c>
      <c r="AA702" t="s">
        <v>67</v>
      </c>
      <c r="AB702">
        <v>0.05</v>
      </c>
      <c r="AC702">
        <v>423.94</v>
      </c>
      <c r="AD702" t="s">
        <v>67</v>
      </c>
      <c r="AE702">
        <v>16.579999999999998</v>
      </c>
      <c r="AF702">
        <v>8.1</v>
      </c>
      <c r="AG702" t="s">
        <v>67</v>
      </c>
      <c r="AH702">
        <v>0.05</v>
      </c>
      <c r="AI702">
        <v>15</v>
      </c>
      <c r="AJ702" t="s">
        <v>67</v>
      </c>
      <c r="AK702">
        <v>0.5</v>
      </c>
      <c r="AL702">
        <v>20</v>
      </c>
      <c r="AM702" t="s">
        <v>67</v>
      </c>
      <c r="AN702">
        <v>0.5</v>
      </c>
      <c r="AO702">
        <v>2</v>
      </c>
      <c r="AP702">
        <v>5</v>
      </c>
      <c r="AQ702" t="s">
        <v>218</v>
      </c>
      <c r="AR702" t="s">
        <v>511</v>
      </c>
      <c r="AS702" t="s">
        <v>361</v>
      </c>
      <c r="AT702" t="s">
        <v>70</v>
      </c>
      <c r="AU702" t="s">
        <v>383</v>
      </c>
      <c r="AV702" t="s">
        <v>363</v>
      </c>
      <c r="AX702" t="s">
        <v>73</v>
      </c>
      <c r="AY702">
        <v>3.1800000000000002E-2</v>
      </c>
      <c r="AZ702">
        <v>3.1759999999999997E-2</v>
      </c>
      <c r="BA702">
        <v>0.01</v>
      </c>
      <c r="BC702">
        <v>29</v>
      </c>
      <c r="BD702">
        <v>7.0000000000000007E-2</v>
      </c>
      <c r="BE702">
        <v>6.9957082000000004E-2</v>
      </c>
      <c r="BF702">
        <v>5.1999999999999998E-3</v>
      </c>
      <c r="BH702">
        <v>29</v>
      </c>
      <c r="BI702">
        <v>150</v>
      </c>
      <c r="BJ702">
        <v>5</v>
      </c>
      <c r="BK702">
        <v>0.78969999999999996</v>
      </c>
      <c r="BL702">
        <v>5.2200000000000003E-2</v>
      </c>
    </row>
    <row r="703" spans="1:65" hidden="1" x14ac:dyDescent="0.2">
      <c r="A703">
        <v>160</v>
      </c>
      <c r="D703" t="s">
        <v>54</v>
      </c>
      <c r="E703">
        <v>2018</v>
      </c>
      <c r="F703" t="s">
        <v>254</v>
      </c>
      <c r="G703" t="s">
        <v>255</v>
      </c>
      <c r="H703" t="s">
        <v>78</v>
      </c>
      <c r="K703" t="s">
        <v>189</v>
      </c>
      <c r="L703" t="s">
        <v>190</v>
      </c>
      <c r="M703" t="s">
        <v>156</v>
      </c>
      <c r="N703" t="s">
        <v>156</v>
      </c>
      <c r="O703" t="s">
        <v>110</v>
      </c>
      <c r="P703" t="s">
        <v>63</v>
      </c>
      <c r="Q703" t="s">
        <v>74</v>
      </c>
      <c r="R703" t="s">
        <v>83</v>
      </c>
      <c r="S703" t="s">
        <v>74</v>
      </c>
      <c r="T703" t="s">
        <v>64</v>
      </c>
      <c r="U703" t="s">
        <v>75</v>
      </c>
      <c r="V703">
        <v>500</v>
      </c>
      <c r="W703" t="s">
        <v>67</v>
      </c>
      <c r="X703" t="s">
        <v>67</v>
      </c>
      <c r="Y703" t="s">
        <v>67</v>
      </c>
      <c r="Z703" t="s">
        <v>67</v>
      </c>
      <c r="AA703" t="s">
        <v>67</v>
      </c>
      <c r="AB703" t="s">
        <v>67</v>
      </c>
      <c r="AC703">
        <v>509</v>
      </c>
      <c r="AD703" t="s">
        <v>67</v>
      </c>
      <c r="AE703">
        <v>9</v>
      </c>
      <c r="AF703">
        <v>8.01</v>
      </c>
      <c r="AG703" t="s">
        <v>67</v>
      </c>
      <c r="AH703">
        <v>0.02</v>
      </c>
      <c r="AI703">
        <v>19</v>
      </c>
      <c r="AJ703" t="s">
        <v>67</v>
      </c>
      <c r="AK703">
        <v>0.2</v>
      </c>
      <c r="AL703">
        <v>24</v>
      </c>
      <c r="AM703" t="s">
        <v>67</v>
      </c>
      <c r="AN703">
        <v>0.3</v>
      </c>
      <c r="AO703">
        <v>9</v>
      </c>
      <c r="AP703">
        <v>5</v>
      </c>
      <c r="AQ703" t="s">
        <v>67</v>
      </c>
      <c r="AR703" t="s">
        <v>484</v>
      </c>
      <c r="AS703" t="s">
        <v>473</v>
      </c>
      <c r="AT703" t="s">
        <v>135</v>
      </c>
      <c r="AU703" t="s">
        <v>485</v>
      </c>
      <c r="AV703" t="s">
        <v>251</v>
      </c>
      <c r="AX703" t="s">
        <v>73</v>
      </c>
      <c r="AY703">
        <v>63.5</v>
      </c>
      <c r="AZ703">
        <v>63.5</v>
      </c>
      <c r="BA703">
        <v>6.32</v>
      </c>
      <c r="BC703">
        <v>10</v>
      </c>
      <c r="BD703">
        <v>23</v>
      </c>
      <c r="BE703">
        <v>23</v>
      </c>
      <c r="BF703">
        <v>4.7434000000000003</v>
      </c>
      <c r="BH703">
        <v>10</v>
      </c>
      <c r="BI703">
        <v>28</v>
      </c>
      <c r="BJ703">
        <v>3</v>
      </c>
      <c r="BK703">
        <v>-1.0155000000000001</v>
      </c>
      <c r="BL703">
        <v>5.2499999999999998E-2</v>
      </c>
    </row>
    <row r="704" spans="1:65" x14ac:dyDescent="0.2">
      <c r="A704">
        <v>173</v>
      </c>
      <c r="B704" t="str">
        <f>ROW()-1&amp;"_AltersFish"</f>
        <v>703_AltersFish</v>
      </c>
      <c r="C704" t="str">
        <f>A704 &amp; "_" &amp; P704 &amp; "_" &amp;
SUBSTITUTE(TRIM(L704)," ","_") &amp;
"_pH" &amp; TEXT(Z704,"0.00") &amp;
"_T" &amp; TEXT(AI704,"0.00") &amp;
"_CO2" &amp; TEXT(V704,"0") &amp;
"_LANG"</f>
        <v>173_LARVA_Dicentrarchus_labrax_pH8.03_T17.00_CO2598_LANG</v>
      </c>
      <c r="D704" t="s">
        <v>54</v>
      </c>
      <c r="E704">
        <v>2014</v>
      </c>
      <c r="F704" t="s">
        <v>257</v>
      </c>
      <c r="G704" t="s">
        <v>258</v>
      </c>
      <c r="H704" t="s">
        <v>78</v>
      </c>
      <c r="I704" t="s">
        <v>540</v>
      </c>
      <c r="J704" t="s">
        <v>543</v>
      </c>
      <c r="K704" t="s">
        <v>79</v>
      </c>
      <c r="L704" t="s">
        <v>210</v>
      </c>
      <c r="M704" t="s">
        <v>156</v>
      </c>
      <c r="N704" t="s">
        <v>156</v>
      </c>
      <c r="O704" t="s">
        <v>106</v>
      </c>
      <c r="P704" t="s">
        <v>107</v>
      </c>
      <c r="Q704" t="s">
        <v>74</v>
      </c>
      <c r="R704" t="s">
        <v>83</v>
      </c>
      <c r="S704" t="s">
        <v>64</v>
      </c>
      <c r="T704" t="s">
        <v>74</v>
      </c>
      <c r="U704" t="s">
        <v>84</v>
      </c>
      <c r="V704">
        <v>598.33000000000004</v>
      </c>
      <c r="W704" t="s">
        <v>67</v>
      </c>
      <c r="X704">
        <v>38.33</v>
      </c>
      <c r="Y704" t="s">
        <v>96</v>
      </c>
      <c r="Z704">
        <v>8.0299999999999994</v>
      </c>
      <c r="AA704" t="s">
        <v>67</v>
      </c>
      <c r="AB704">
        <v>0.03</v>
      </c>
      <c r="AC704">
        <v>1004</v>
      </c>
      <c r="AD704" t="s">
        <v>67</v>
      </c>
      <c r="AE704">
        <v>92.33</v>
      </c>
      <c r="AF704">
        <v>7.82</v>
      </c>
      <c r="AG704" t="s">
        <v>67</v>
      </c>
      <c r="AH704">
        <v>0.05</v>
      </c>
      <c r="AI704">
        <v>17</v>
      </c>
      <c r="AJ704" t="s">
        <v>67</v>
      </c>
      <c r="AK704">
        <v>0.34</v>
      </c>
      <c r="AL704">
        <v>17</v>
      </c>
      <c r="AM704" t="s">
        <v>67</v>
      </c>
      <c r="AN704">
        <v>0.34</v>
      </c>
      <c r="AO704">
        <v>406</v>
      </c>
      <c r="AP704">
        <v>0</v>
      </c>
      <c r="AQ704" t="s">
        <v>67</v>
      </c>
      <c r="AR704" t="s">
        <v>281</v>
      </c>
      <c r="AS704" t="s">
        <v>282</v>
      </c>
      <c r="AT704" t="s">
        <v>135</v>
      </c>
      <c r="AU704" t="s">
        <v>67</v>
      </c>
      <c r="AV704" t="s">
        <v>132</v>
      </c>
      <c r="AW704" t="s">
        <v>132</v>
      </c>
      <c r="AX704" t="s">
        <v>73</v>
      </c>
      <c r="AY704">
        <v>3.8458999999999999</v>
      </c>
      <c r="AZ704">
        <v>3.8458999999999999</v>
      </c>
      <c r="BA704">
        <v>0.15</v>
      </c>
      <c r="BB704">
        <f>BA704*SQRT(BC704)</f>
        <v>0.47434164902525688</v>
      </c>
      <c r="BC704">
        <v>10</v>
      </c>
      <c r="BD704">
        <v>3.8852000000000002</v>
      </c>
      <c r="BE704">
        <v>3.8852459019999999</v>
      </c>
      <c r="BF704">
        <v>1.6199999999999999E-2</v>
      </c>
      <c r="BG704">
        <f>BF704*SQRT(BH704)</f>
        <v>5.1228898094727748E-2</v>
      </c>
      <c r="BH704">
        <v>10</v>
      </c>
      <c r="BI704">
        <v>42</v>
      </c>
      <c r="BJ704">
        <v>3</v>
      </c>
      <c r="BK704">
        <v>1.0200000000000001E-2</v>
      </c>
      <c r="BL704">
        <v>1.5E-3</v>
      </c>
    </row>
    <row r="705" spans="1:65" hidden="1" x14ac:dyDescent="0.2">
      <c r="A705">
        <v>164</v>
      </c>
      <c r="D705" t="s">
        <v>54</v>
      </c>
      <c r="E705">
        <v>2017</v>
      </c>
      <c r="F705" t="s">
        <v>371</v>
      </c>
      <c r="G705" t="s">
        <v>224</v>
      </c>
      <c r="H705" t="s">
        <v>78</v>
      </c>
      <c r="K705" t="s">
        <v>79</v>
      </c>
      <c r="L705" t="s">
        <v>206</v>
      </c>
      <c r="M705" t="s">
        <v>120</v>
      </c>
      <c r="N705" t="s">
        <v>120</v>
      </c>
      <c r="O705" t="s">
        <v>110</v>
      </c>
      <c r="P705" t="s">
        <v>196</v>
      </c>
      <c r="Q705" t="s">
        <v>480</v>
      </c>
      <c r="R705" t="s">
        <v>83</v>
      </c>
      <c r="S705" t="s">
        <v>64</v>
      </c>
      <c r="T705" t="s">
        <v>64</v>
      </c>
      <c r="U705" t="s">
        <v>66</v>
      </c>
      <c r="V705">
        <v>437</v>
      </c>
      <c r="W705" t="s">
        <v>67</v>
      </c>
      <c r="X705">
        <v>10</v>
      </c>
      <c r="Y705" t="s">
        <v>157</v>
      </c>
      <c r="Z705">
        <v>8.02</v>
      </c>
      <c r="AA705" t="s">
        <v>67</v>
      </c>
      <c r="AB705">
        <v>0.01</v>
      </c>
      <c r="AC705">
        <v>1137</v>
      </c>
      <c r="AD705" t="s">
        <v>67</v>
      </c>
      <c r="AE705">
        <v>92</v>
      </c>
      <c r="AF705">
        <v>7.67</v>
      </c>
      <c r="AG705" t="s">
        <v>67</v>
      </c>
      <c r="AH705">
        <v>0.03</v>
      </c>
      <c r="AI705">
        <v>8.1999999999999993</v>
      </c>
      <c r="AJ705" t="s">
        <v>67</v>
      </c>
      <c r="AK705">
        <v>0.09</v>
      </c>
      <c r="AL705">
        <v>12.2</v>
      </c>
      <c r="AM705" t="s">
        <v>67</v>
      </c>
      <c r="AN705">
        <v>0.35</v>
      </c>
      <c r="AO705">
        <v>700</v>
      </c>
      <c r="AP705">
        <v>4</v>
      </c>
      <c r="AQ705" t="s">
        <v>67</v>
      </c>
      <c r="AR705" t="s">
        <v>293</v>
      </c>
      <c r="AS705" t="s">
        <v>293</v>
      </c>
      <c r="AT705" t="s">
        <v>70</v>
      </c>
      <c r="AU705" t="s">
        <v>310</v>
      </c>
      <c r="AV705" t="s">
        <v>72</v>
      </c>
      <c r="AX705" t="s">
        <v>73</v>
      </c>
      <c r="AY705">
        <v>57.7</v>
      </c>
      <c r="AZ705">
        <v>57.7</v>
      </c>
      <c r="BA705">
        <v>10.5944</v>
      </c>
      <c r="BC705">
        <v>12</v>
      </c>
      <c r="BD705">
        <v>58.2</v>
      </c>
      <c r="BE705">
        <v>58.2</v>
      </c>
      <c r="BF705">
        <v>8.0202000000000009</v>
      </c>
      <c r="BH705">
        <v>11</v>
      </c>
      <c r="BI705">
        <v>50</v>
      </c>
      <c r="BJ705">
        <v>8</v>
      </c>
      <c r="BK705">
        <v>8.6E-3</v>
      </c>
      <c r="BL705">
        <v>5.2699999999999997E-2</v>
      </c>
    </row>
    <row r="706" spans="1:65" hidden="1" x14ac:dyDescent="0.2">
      <c r="A706">
        <v>151</v>
      </c>
      <c r="D706" t="s">
        <v>54</v>
      </c>
      <c r="E706">
        <v>2015</v>
      </c>
      <c r="F706" t="s">
        <v>262</v>
      </c>
      <c r="G706" t="s">
        <v>263</v>
      </c>
      <c r="H706" t="s">
        <v>57</v>
      </c>
      <c r="K706" t="s">
        <v>264</v>
      </c>
      <c r="L706" t="s">
        <v>265</v>
      </c>
      <c r="M706" t="s">
        <v>81</v>
      </c>
      <c r="N706" t="s">
        <v>81</v>
      </c>
      <c r="O706" t="s">
        <v>62</v>
      </c>
      <c r="P706" t="s">
        <v>63</v>
      </c>
      <c r="Q706" t="s">
        <v>64</v>
      </c>
      <c r="R706" t="s">
        <v>65</v>
      </c>
      <c r="S706" t="s">
        <v>74</v>
      </c>
      <c r="T706" t="s">
        <v>64</v>
      </c>
      <c r="U706" t="s">
        <v>75</v>
      </c>
      <c r="V706">
        <v>470</v>
      </c>
      <c r="W706">
        <v>39.799999999999997</v>
      </c>
      <c r="X706" t="s">
        <v>67</v>
      </c>
      <c r="Y706" t="s">
        <v>96</v>
      </c>
      <c r="Z706">
        <v>8.11</v>
      </c>
      <c r="AA706">
        <v>0.01</v>
      </c>
      <c r="AB706" t="s">
        <v>67</v>
      </c>
      <c r="AC706">
        <v>518</v>
      </c>
      <c r="AD706">
        <v>43.5</v>
      </c>
      <c r="AE706" t="s">
        <v>67</v>
      </c>
      <c r="AF706">
        <v>8.1</v>
      </c>
      <c r="AG706">
        <v>0.01</v>
      </c>
      <c r="AH706" t="s">
        <v>67</v>
      </c>
      <c r="AI706">
        <v>17.7</v>
      </c>
      <c r="AJ706">
        <v>0.2</v>
      </c>
      <c r="AK706" t="s">
        <v>67</v>
      </c>
      <c r="AL706">
        <v>19.5</v>
      </c>
      <c r="AM706">
        <v>0.1</v>
      </c>
      <c r="AN706" t="s">
        <v>67</v>
      </c>
      <c r="AO706">
        <v>48</v>
      </c>
      <c r="AP706">
        <v>1.8</v>
      </c>
      <c r="AQ706" t="s">
        <v>515</v>
      </c>
      <c r="AR706" t="s">
        <v>113</v>
      </c>
      <c r="AS706" t="s">
        <v>113</v>
      </c>
      <c r="AT706" t="s">
        <v>70</v>
      </c>
      <c r="AU706" t="s">
        <v>67</v>
      </c>
      <c r="AV706" t="s">
        <v>72</v>
      </c>
      <c r="AX706" t="s">
        <v>73</v>
      </c>
      <c r="AY706">
        <v>0.66169999999999995</v>
      </c>
      <c r="AZ706">
        <v>0.66164999999999996</v>
      </c>
      <c r="BA706">
        <v>0.09</v>
      </c>
      <c r="BC706">
        <v>9</v>
      </c>
      <c r="BD706">
        <v>0.4677</v>
      </c>
      <c r="BE706">
        <v>0.46766917299999999</v>
      </c>
      <c r="BF706">
        <v>8.5699999999999998E-2</v>
      </c>
      <c r="BH706">
        <v>9</v>
      </c>
      <c r="BI706">
        <v>68</v>
      </c>
      <c r="BJ706">
        <v>3</v>
      </c>
      <c r="BK706">
        <v>-0.34699999999999998</v>
      </c>
      <c r="BL706">
        <v>5.28E-2</v>
      </c>
    </row>
    <row r="707" spans="1:65" hidden="1" x14ac:dyDescent="0.2">
      <c r="A707">
        <v>164</v>
      </c>
      <c r="D707" t="s">
        <v>54</v>
      </c>
      <c r="E707">
        <v>2017</v>
      </c>
      <c r="F707" t="s">
        <v>371</v>
      </c>
      <c r="G707" t="s">
        <v>224</v>
      </c>
      <c r="H707" t="s">
        <v>78</v>
      </c>
      <c r="K707" t="s">
        <v>79</v>
      </c>
      <c r="L707" t="s">
        <v>206</v>
      </c>
      <c r="M707" t="s">
        <v>120</v>
      </c>
      <c r="N707" t="s">
        <v>120</v>
      </c>
      <c r="O707" t="s">
        <v>110</v>
      </c>
      <c r="P707" t="s">
        <v>196</v>
      </c>
      <c r="Q707" t="s">
        <v>480</v>
      </c>
      <c r="R707" t="s">
        <v>83</v>
      </c>
      <c r="S707" t="s">
        <v>74</v>
      </c>
      <c r="T707" t="s">
        <v>64</v>
      </c>
      <c r="U707" t="s">
        <v>75</v>
      </c>
      <c r="V707">
        <v>437</v>
      </c>
      <c r="W707" t="s">
        <v>67</v>
      </c>
      <c r="X707">
        <v>10</v>
      </c>
      <c r="Y707" t="s">
        <v>157</v>
      </c>
      <c r="Z707">
        <v>8.02</v>
      </c>
      <c r="AA707" t="s">
        <v>67</v>
      </c>
      <c r="AB707">
        <v>0.01</v>
      </c>
      <c r="AC707">
        <v>515</v>
      </c>
      <c r="AD707" t="s">
        <v>67</v>
      </c>
      <c r="AE707">
        <v>26</v>
      </c>
      <c r="AF707">
        <v>7.9</v>
      </c>
      <c r="AG707" t="s">
        <v>67</v>
      </c>
      <c r="AH707">
        <v>0.03</v>
      </c>
      <c r="AI707">
        <v>8.1999999999999993</v>
      </c>
      <c r="AJ707" t="s">
        <v>67</v>
      </c>
      <c r="AK707">
        <v>0.09</v>
      </c>
      <c r="AL707">
        <v>15.7</v>
      </c>
      <c r="AM707" t="s">
        <v>67</v>
      </c>
      <c r="AN707">
        <v>0.4</v>
      </c>
      <c r="AO707">
        <v>78</v>
      </c>
      <c r="AP707">
        <v>7.5</v>
      </c>
      <c r="AQ707" t="s">
        <v>67</v>
      </c>
      <c r="AR707" t="s">
        <v>367</v>
      </c>
      <c r="AS707" t="s">
        <v>367</v>
      </c>
      <c r="AT707" t="s">
        <v>135</v>
      </c>
      <c r="AU707" t="s">
        <v>388</v>
      </c>
      <c r="AV707" t="s">
        <v>251</v>
      </c>
      <c r="AX707" t="s">
        <v>73</v>
      </c>
      <c r="AY707">
        <v>13.2</v>
      </c>
      <c r="AZ707">
        <v>13.2</v>
      </c>
      <c r="BA707">
        <v>1.3</v>
      </c>
      <c r="BC707">
        <v>12</v>
      </c>
      <c r="BD707">
        <v>11.5</v>
      </c>
      <c r="BE707">
        <v>11.5</v>
      </c>
      <c r="BF707">
        <v>2.4</v>
      </c>
      <c r="BH707">
        <v>9</v>
      </c>
      <c r="BI707">
        <v>42</v>
      </c>
      <c r="BJ707">
        <v>8</v>
      </c>
      <c r="BK707">
        <v>-0.13789999999999999</v>
      </c>
      <c r="BL707">
        <v>5.33E-2</v>
      </c>
    </row>
    <row r="708" spans="1:65" hidden="1" x14ac:dyDescent="0.2">
      <c r="A708">
        <v>164</v>
      </c>
      <c r="D708" t="s">
        <v>54</v>
      </c>
      <c r="E708">
        <v>2017</v>
      </c>
      <c r="F708" t="s">
        <v>371</v>
      </c>
      <c r="G708" t="s">
        <v>224</v>
      </c>
      <c r="H708" t="s">
        <v>78</v>
      </c>
      <c r="K708" t="s">
        <v>79</v>
      </c>
      <c r="L708" t="s">
        <v>206</v>
      </c>
      <c r="M708" t="s">
        <v>120</v>
      </c>
      <c r="N708" t="s">
        <v>120</v>
      </c>
      <c r="O708" t="s">
        <v>110</v>
      </c>
      <c r="P708" t="s">
        <v>196</v>
      </c>
      <c r="Q708" t="s">
        <v>480</v>
      </c>
      <c r="R708" t="s">
        <v>83</v>
      </c>
      <c r="S708" t="s">
        <v>74</v>
      </c>
      <c r="T708" t="s">
        <v>64</v>
      </c>
      <c r="U708" t="s">
        <v>75</v>
      </c>
      <c r="V708">
        <v>437</v>
      </c>
      <c r="W708" t="s">
        <v>67</v>
      </c>
      <c r="X708">
        <v>10</v>
      </c>
      <c r="Y708" t="s">
        <v>157</v>
      </c>
      <c r="Z708">
        <v>8.02</v>
      </c>
      <c r="AA708" t="s">
        <v>67</v>
      </c>
      <c r="AB708">
        <v>0.01</v>
      </c>
      <c r="AC708">
        <v>515</v>
      </c>
      <c r="AD708" t="s">
        <v>67</v>
      </c>
      <c r="AE708">
        <v>26</v>
      </c>
      <c r="AF708">
        <v>7.9</v>
      </c>
      <c r="AG708" t="s">
        <v>67</v>
      </c>
      <c r="AH708">
        <v>0.03</v>
      </c>
      <c r="AI708">
        <v>8.1999999999999993</v>
      </c>
      <c r="AJ708" t="s">
        <v>67</v>
      </c>
      <c r="AK708">
        <v>0.09</v>
      </c>
      <c r="AL708">
        <v>15.7</v>
      </c>
      <c r="AM708" t="s">
        <v>67</v>
      </c>
      <c r="AN708">
        <v>0.4</v>
      </c>
      <c r="AO708">
        <v>78</v>
      </c>
      <c r="AP708">
        <v>7.5</v>
      </c>
      <c r="AQ708" t="s">
        <v>67</v>
      </c>
      <c r="AR708" t="s">
        <v>293</v>
      </c>
      <c r="AS708" t="s">
        <v>293</v>
      </c>
      <c r="AT708" t="s">
        <v>70</v>
      </c>
      <c r="AU708" t="s">
        <v>310</v>
      </c>
      <c r="AV708" t="s">
        <v>72</v>
      </c>
      <c r="AX708" t="s">
        <v>73</v>
      </c>
      <c r="AY708">
        <v>57.7</v>
      </c>
      <c r="AZ708">
        <v>57.7</v>
      </c>
      <c r="BA708">
        <v>10.5944</v>
      </c>
      <c r="BC708">
        <v>12</v>
      </c>
      <c r="BD708">
        <v>55.4</v>
      </c>
      <c r="BE708">
        <v>55.4</v>
      </c>
      <c r="BF708">
        <v>7.7476000000000003</v>
      </c>
      <c r="BH708">
        <v>10</v>
      </c>
      <c r="BI708">
        <v>50</v>
      </c>
      <c r="BJ708">
        <v>8</v>
      </c>
      <c r="BK708">
        <v>-4.07E-2</v>
      </c>
      <c r="BL708">
        <v>5.33E-2</v>
      </c>
    </row>
    <row r="709" spans="1:65" hidden="1" x14ac:dyDescent="0.2">
      <c r="A709">
        <v>222</v>
      </c>
      <c r="D709" t="s">
        <v>54</v>
      </c>
      <c r="E709">
        <v>2015</v>
      </c>
      <c r="F709" t="s">
        <v>390</v>
      </c>
      <c r="G709" t="s">
        <v>391</v>
      </c>
      <c r="H709" t="s">
        <v>78</v>
      </c>
      <c r="K709" t="s">
        <v>392</v>
      </c>
      <c r="L709" t="s">
        <v>393</v>
      </c>
      <c r="P709" t="s">
        <v>196</v>
      </c>
      <c r="S709" t="s">
        <v>64</v>
      </c>
      <c r="T709" t="s">
        <v>74</v>
      </c>
      <c r="U709" t="s">
        <v>84</v>
      </c>
      <c r="V709">
        <v>424</v>
      </c>
      <c r="AC709">
        <v>939</v>
      </c>
      <c r="AI709">
        <v>15.5</v>
      </c>
      <c r="AL709">
        <v>15.4</v>
      </c>
      <c r="AO709">
        <v>515</v>
      </c>
      <c r="AP709">
        <v>-0.1</v>
      </c>
      <c r="AQ709" t="s">
        <v>67</v>
      </c>
      <c r="AR709" t="s">
        <v>394</v>
      </c>
      <c r="AS709" t="s">
        <v>367</v>
      </c>
      <c r="AT709" t="s">
        <v>135</v>
      </c>
      <c r="AU709" t="s">
        <v>89</v>
      </c>
      <c r="AV709" t="s">
        <v>251</v>
      </c>
      <c r="AX709" t="s">
        <v>73</v>
      </c>
      <c r="AY709">
        <v>2.14</v>
      </c>
      <c r="AZ709">
        <v>2.1415999999999999</v>
      </c>
      <c r="BA709">
        <v>0.15448039599999999</v>
      </c>
      <c r="BC709">
        <v>15</v>
      </c>
      <c r="BD709">
        <v>1.7</v>
      </c>
      <c r="BE709">
        <v>1.6994</v>
      </c>
      <c r="BF709">
        <v>0.37293940599999997</v>
      </c>
      <c r="BH709">
        <v>12</v>
      </c>
      <c r="BI709">
        <v>28</v>
      </c>
      <c r="BK709">
        <v>-0.23130000000000001</v>
      </c>
      <c r="BL709">
        <v>5.3400000000000003E-2</v>
      </c>
    </row>
    <row r="710" spans="1:65" hidden="1" x14ac:dyDescent="0.2">
      <c r="A710">
        <v>137</v>
      </c>
      <c r="D710" t="s">
        <v>54</v>
      </c>
      <c r="E710">
        <v>2013</v>
      </c>
      <c r="F710" t="s">
        <v>516</v>
      </c>
      <c r="G710" t="s">
        <v>517</v>
      </c>
      <c r="H710" t="s">
        <v>78</v>
      </c>
      <c r="K710" t="s">
        <v>194</v>
      </c>
      <c r="L710" t="s">
        <v>221</v>
      </c>
      <c r="M710" t="s">
        <v>120</v>
      </c>
      <c r="N710" t="s">
        <v>120</v>
      </c>
      <c r="O710" t="s">
        <v>62</v>
      </c>
      <c r="P710" t="s">
        <v>196</v>
      </c>
      <c r="Q710" t="s">
        <v>64</v>
      </c>
      <c r="R710" t="s">
        <v>83</v>
      </c>
      <c r="S710" t="s">
        <v>64</v>
      </c>
      <c r="T710" t="s">
        <v>74</v>
      </c>
      <c r="U710" t="s">
        <v>84</v>
      </c>
      <c r="V710">
        <v>357</v>
      </c>
      <c r="W710">
        <v>18.260000000000002</v>
      </c>
      <c r="X710" t="s">
        <v>67</v>
      </c>
      <c r="Y710" t="s">
        <v>96</v>
      </c>
      <c r="Z710">
        <v>8.25</v>
      </c>
      <c r="AA710">
        <v>0.02</v>
      </c>
      <c r="AB710" t="s">
        <v>67</v>
      </c>
      <c r="AC710">
        <v>2179</v>
      </c>
      <c r="AD710">
        <v>54.5</v>
      </c>
      <c r="AE710" t="s">
        <v>67</v>
      </c>
      <c r="AF710">
        <v>7.46</v>
      </c>
      <c r="AG710">
        <v>0.02</v>
      </c>
      <c r="AH710" t="s">
        <v>67</v>
      </c>
      <c r="AI710">
        <v>1.5</v>
      </c>
      <c r="AJ710">
        <v>0.09</v>
      </c>
      <c r="AK710" t="s">
        <v>67</v>
      </c>
      <c r="AL710">
        <v>1.4</v>
      </c>
      <c r="AM710">
        <v>0.02</v>
      </c>
      <c r="AN710" t="s">
        <v>67</v>
      </c>
      <c r="AO710">
        <v>1822</v>
      </c>
      <c r="AP710">
        <v>-0.1</v>
      </c>
      <c r="AQ710" t="s">
        <v>67</v>
      </c>
      <c r="AR710" t="s">
        <v>518</v>
      </c>
      <c r="AS710" t="s">
        <v>412</v>
      </c>
      <c r="AT710" t="s">
        <v>135</v>
      </c>
      <c r="AU710" t="s">
        <v>519</v>
      </c>
      <c r="AV710" t="s">
        <v>132</v>
      </c>
      <c r="AX710" t="s">
        <v>73</v>
      </c>
      <c r="AY710">
        <v>83.8</v>
      </c>
      <c r="AZ710">
        <v>83.8</v>
      </c>
      <c r="BA710">
        <v>15.2</v>
      </c>
      <c r="BC710">
        <v>6</v>
      </c>
      <c r="BD710">
        <v>110.5</v>
      </c>
      <c r="BE710">
        <v>110.5</v>
      </c>
      <c r="BF710">
        <v>15.9</v>
      </c>
      <c r="BH710">
        <v>7</v>
      </c>
      <c r="BI710">
        <v>32</v>
      </c>
      <c r="BJ710">
        <v>1</v>
      </c>
      <c r="BK710">
        <v>0.27660000000000001</v>
      </c>
      <c r="BL710">
        <v>5.3600000000000002E-2</v>
      </c>
    </row>
    <row r="711" spans="1:65" hidden="1" x14ac:dyDescent="0.2">
      <c r="A711">
        <v>150</v>
      </c>
      <c r="D711" t="s">
        <v>54</v>
      </c>
      <c r="E711">
        <v>2016</v>
      </c>
      <c r="F711" t="s">
        <v>373</v>
      </c>
      <c r="G711" t="s">
        <v>348</v>
      </c>
      <c r="H711" t="s">
        <v>57</v>
      </c>
      <c r="K711" t="s">
        <v>58</v>
      </c>
      <c r="L711" t="s">
        <v>59</v>
      </c>
      <c r="M711" t="s">
        <v>95</v>
      </c>
      <c r="N711" t="s">
        <v>61</v>
      </c>
      <c r="O711" t="s">
        <v>62</v>
      </c>
      <c r="P711" t="s">
        <v>63</v>
      </c>
      <c r="Q711" t="s">
        <v>64</v>
      </c>
      <c r="R711" t="s">
        <v>65</v>
      </c>
      <c r="S711" t="s">
        <v>64</v>
      </c>
      <c r="T711" t="s">
        <v>74</v>
      </c>
      <c r="U711" t="s">
        <v>84</v>
      </c>
      <c r="V711">
        <v>372</v>
      </c>
      <c r="W711" t="s">
        <v>67</v>
      </c>
      <c r="X711">
        <v>51.93</v>
      </c>
      <c r="Y711" t="s">
        <v>68</v>
      </c>
      <c r="Z711">
        <v>8.02</v>
      </c>
      <c r="AA711" t="s">
        <v>67</v>
      </c>
      <c r="AB711">
        <v>0.05</v>
      </c>
      <c r="AC711">
        <v>1384</v>
      </c>
      <c r="AD711" t="s">
        <v>67</v>
      </c>
      <c r="AE711">
        <v>113.55</v>
      </c>
      <c r="AF711">
        <v>7.52</v>
      </c>
      <c r="AG711" t="s">
        <v>67</v>
      </c>
      <c r="AH711">
        <v>0.04</v>
      </c>
      <c r="AI711">
        <v>25.9</v>
      </c>
      <c r="AJ711" t="s">
        <v>67</v>
      </c>
      <c r="AK711">
        <v>0.7</v>
      </c>
      <c r="AL711">
        <v>26.2</v>
      </c>
      <c r="AM711" t="s">
        <v>67</v>
      </c>
      <c r="AN711">
        <v>0.5</v>
      </c>
      <c r="AO711">
        <v>1012</v>
      </c>
      <c r="AP711">
        <v>0.3</v>
      </c>
      <c r="AQ711" t="s">
        <v>374</v>
      </c>
      <c r="AR711" t="s">
        <v>418</v>
      </c>
      <c r="AS711" t="s">
        <v>332</v>
      </c>
      <c r="AT711" t="s">
        <v>333</v>
      </c>
      <c r="AU711" t="s">
        <v>419</v>
      </c>
      <c r="AV711" t="s">
        <v>132</v>
      </c>
      <c r="AX711" t="s">
        <v>73</v>
      </c>
      <c r="AY711">
        <v>0.25259999999999999</v>
      </c>
      <c r="AZ711">
        <v>0.25263000000000002</v>
      </c>
      <c r="BA711">
        <v>0.02</v>
      </c>
      <c r="BC711">
        <v>6</v>
      </c>
      <c r="BD711">
        <v>0.36840000000000001</v>
      </c>
      <c r="BE711">
        <v>0.368421053</v>
      </c>
      <c r="BF711">
        <v>7.7399999999999997E-2</v>
      </c>
      <c r="BH711">
        <v>6</v>
      </c>
      <c r="BI711">
        <v>30</v>
      </c>
      <c r="BJ711">
        <v>3</v>
      </c>
      <c r="BK711">
        <v>-0.37730000000000002</v>
      </c>
      <c r="BL711">
        <v>5.3699999999999998E-2</v>
      </c>
      <c r="BM711" t="s">
        <v>420</v>
      </c>
    </row>
    <row r="712" spans="1:65" hidden="1" x14ac:dyDescent="0.2">
      <c r="A712">
        <v>164</v>
      </c>
      <c r="D712" t="s">
        <v>54</v>
      </c>
      <c r="E712">
        <v>2017</v>
      </c>
      <c r="F712" t="s">
        <v>371</v>
      </c>
      <c r="G712" t="s">
        <v>224</v>
      </c>
      <c r="H712" t="s">
        <v>78</v>
      </c>
      <c r="K712" t="s">
        <v>79</v>
      </c>
      <c r="L712" t="s">
        <v>206</v>
      </c>
      <c r="M712" t="s">
        <v>120</v>
      </c>
      <c r="N712" t="s">
        <v>120</v>
      </c>
      <c r="O712" t="s">
        <v>110</v>
      </c>
      <c r="P712" t="s">
        <v>196</v>
      </c>
      <c r="Q712" t="s">
        <v>480</v>
      </c>
      <c r="R712" t="s">
        <v>83</v>
      </c>
      <c r="S712" t="s">
        <v>64</v>
      </c>
      <c r="T712" t="s">
        <v>74</v>
      </c>
      <c r="U712" t="s">
        <v>84</v>
      </c>
      <c r="V712">
        <v>437</v>
      </c>
      <c r="W712" t="s">
        <v>67</v>
      </c>
      <c r="X712">
        <v>10</v>
      </c>
      <c r="Y712" t="s">
        <v>157</v>
      </c>
      <c r="Z712">
        <v>8.02</v>
      </c>
      <c r="AA712" t="s">
        <v>67</v>
      </c>
      <c r="AB712">
        <v>0.01</v>
      </c>
      <c r="AC712">
        <v>852</v>
      </c>
      <c r="AD712" t="s">
        <v>67</v>
      </c>
      <c r="AE712">
        <v>110</v>
      </c>
      <c r="AF712">
        <v>7.77</v>
      </c>
      <c r="AG712" t="s">
        <v>67</v>
      </c>
      <c r="AH712">
        <v>0.09</v>
      </c>
      <c r="AI712">
        <v>8.1999999999999993</v>
      </c>
      <c r="AJ712" t="s">
        <v>67</v>
      </c>
      <c r="AK712">
        <v>0.09</v>
      </c>
      <c r="AL712">
        <v>8.1</v>
      </c>
      <c r="AM712" t="s">
        <v>67</v>
      </c>
      <c r="AN712">
        <v>0.13</v>
      </c>
      <c r="AO712">
        <v>415</v>
      </c>
      <c r="AP712">
        <v>-0.1</v>
      </c>
      <c r="AQ712" t="s">
        <v>67</v>
      </c>
      <c r="AR712" t="s">
        <v>293</v>
      </c>
      <c r="AS712" t="s">
        <v>293</v>
      </c>
      <c r="AT712" t="s">
        <v>70</v>
      </c>
      <c r="AU712" t="s">
        <v>310</v>
      </c>
      <c r="AV712" t="s">
        <v>72</v>
      </c>
      <c r="AX712" t="s">
        <v>73</v>
      </c>
      <c r="AY712">
        <v>57.7</v>
      </c>
      <c r="AZ712">
        <v>57.7</v>
      </c>
      <c r="BA712">
        <v>10.5944</v>
      </c>
      <c r="BC712">
        <v>12</v>
      </c>
      <c r="BD712">
        <v>46.8</v>
      </c>
      <c r="BE712">
        <v>46.8</v>
      </c>
      <c r="BF712">
        <v>6.6407999999999996</v>
      </c>
      <c r="BH712">
        <v>10</v>
      </c>
      <c r="BI712">
        <v>50</v>
      </c>
      <c r="BJ712">
        <v>8</v>
      </c>
      <c r="BK712">
        <v>-0.2094</v>
      </c>
      <c r="BL712">
        <v>5.3800000000000001E-2</v>
      </c>
    </row>
    <row r="713" spans="1:65" hidden="1" x14ac:dyDescent="0.2">
      <c r="A713">
        <v>154</v>
      </c>
      <c r="D713" t="s">
        <v>54</v>
      </c>
      <c r="E713">
        <v>2017</v>
      </c>
      <c r="F713" t="s">
        <v>507</v>
      </c>
      <c r="G713" t="s">
        <v>508</v>
      </c>
      <c r="H713" t="s">
        <v>57</v>
      </c>
      <c r="K713" t="s">
        <v>264</v>
      </c>
      <c r="L713" t="s">
        <v>265</v>
      </c>
      <c r="M713" t="s">
        <v>81</v>
      </c>
      <c r="N713" t="s">
        <v>81</v>
      </c>
      <c r="O713" t="s">
        <v>62</v>
      </c>
      <c r="P713" t="s">
        <v>63</v>
      </c>
      <c r="Q713" t="s">
        <v>64</v>
      </c>
      <c r="R713" t="s">
        <v>65</v>
      </c>
      <c r="S713" t="s">
        <v>64</v>
      </c>
      <c r="T713" t="s">
        <v>74</v>
      </c>
      <c r="U713" t="s">
        <v>84</v>
      </c>
      <c r="V713">
        <v>518</v>
      </c>
      <c r="W713">
        <v>19.899999999999999</v>
      </c>
      <c r="X713" t="s">
        <v>67</v>
      </c>
      <c r="Y713" t="s">
        <v>96</v>
      </c>
      <c r="Z713">
        <v>8.02</v>
      </c>
      <c r="AA713">
        <v>0.01</v>
      </c>
      <c r="AB713" t="s">
        <v>67</v>
      </c>
      <c r="AC713">
        <v>947</v>
      </c>
      <c r="AD713">
        <v>39.700000000000003</v>
      </c>
      <c r="AE713" t="s">
        <v>67</v>
      </c>
      <c r="AF713">
        <v>7.82</v>
      </c>
      <c r="AG713">
        <v>0.01</v>
      </c>
      <c r="AH713" t="s">
        <v>67</v>
      </c>
      <c r="AI713">
        <v>16.3</v>
      </c>
      <c r="AJ713">
        <v>0.1</v>
      </c>
      <c r="AK713" t="s">
        <v>67</v>
      </c>
      <c r="AL713">
        <v>16.2</v>
      </c>
      <c r="AM713">
        <v>0</v>
      </c>
      <c r="AN713" t="s">
        <v>67</v>
      </c>
      <c r="AO713">
        <v>429</v>
      </c>
      <c r="AP713">
        <v>-0.1</v>
      </c>
      <c r="AQ713" t="s">
        <v>67</v>
      </c>
      <c r="AR713" t="s">
        <v>509</v>
      </c>
      <c r="AS713" t="s">
        <v>367</v>
      </c>
      <c r="AT713" t="s">
        <v>135</v>
      </c>
      <c r="AU713" t="s">
        <v>226</v>
      </c>
      <c r="AV713" t="s">
        <v>251</v>
      </c>
      <c r="AX713" t="s">
        <v>73</v>
      </c>
      <c r="AY713">
        <v>1588.5608999999999</v>
      </c>
      <c r="AZ713">
        <v>1588.56089</v>
      </c>
      <c r="BA713">
        <v>219.56</v>
      </c>
      <c r="BC713">
        <v>20</v>
      </c>
      <c r="BD713">
        <v>1730.6273000000001</v>
      </c>
      <c r="BE713">
        <v>1730.6273060000001</v>
      </c>
      <c r="BF713">
        <v>322.87819999999999</v>
      </c>
      <c r="BH713">
        <v>20</v>
      </c>
      <c r="BI713">
        <v>127</v>
      </c>
      <c r="BJ713">
        <v>4</v>
      </c>
      <c r="BK713">
        <v>8.5699999999999998E-2</v>
      </c>
      <c r="BL713">
        <v>5.3900000000000003E-2</v>
      </c>
    </row>
    <row r="714" spans="1:65" hidden="1" x14ac:dyDescent="0.2">
      <c r="A714">
        <v>209</v>
      </c>
      <c r="D714" t="s">
        <v>54</v>
      </c>
      <c r="E714">
        <v>2020</v>
      </c>
      <c r="F714" t="s">
        <v>223</v>
      </c>
      <c r="G714" t="s">
        <v>224</v>
      </c>
      <c r="H714" t="s">
        <v>78</v>
      </c>
      <c r="K714" t="s">
        <v>205</v>
      </c>
      <c r="L714" t="s">
        <v>206</v>
      </c>
      <c r="M714" t="s">
        <v>81</v>
      </c>
      <c r="N714" t="s">
        <v>81</v>
      </c>
      <c r="O714" t="s">
        <v>110</v>
      </c>
      <c r="P714" t="s">
        <v>63</v>
      </c>
      <c r="Q714" t="s">
        <v>64</v>
      </c>
      <c r="R714" t="s">
        <v>83</v>
      </c>
      <c r="S714" t="s">
        <v>64</v>
      </c>
      <c r="T714" t="s">
        <v>64</v>
      </c>
      <c r="U714" t="s">
        <v>66</v>
      </c>
      <c r="V714">
        <v>434.51</v>
      </c>
      <c r="W714" t="s">
        <v>67</v>
      </c>
      <c r="X714">
        <v>49.9</v>
      </c>
      <c r="Y714" t="s">
        <v>68</v>
      </c>
      <c r="Z714">
        <v>8.01</v>
      </c>
      <c r="AA714" t="s">
        <v>67</v>
      </c>
      <c r="AB714">
        <v>0.04</v>
      </c>
      <c r="AC714">
        <v>1271.67</v>
      </c>
      <c r="AD714" t="s">
        <v>67</v>
      </c>
      <c r="AE714">
        <v>365.09</v>
      </c>
      <c r="AF714">
        <v>7.54</v>
      </c>
      <c r="AG714" t="s">
        <v>67</v>
      </c>
      <c r="AH714">
        <v>0.1</v>
      </c>
      <c r="AI714">
        <v>8.1999999999999993</v>
      </c>
      <c r="AJ714" t="s">
        <v>67</v>
      </c>
      <c r="AK714">
        <v>0.11</v>
      </c>
      <c r="AL714">
        <v>15.8</v>
      </c>
      <c r="AM714" t="s">
        <v>67</v>
      </c>
      <c r="AN714">
        <v>0.27</v>
      </c>
      <c r="AO714">
        <v>837</v>
      </c>
      <c r="AP714">
        <v>7.6</v>
      </c>
      <c r="AQ714" t="s">
        <v>67</v>
      </c>
      <c r="AR714" t="s">
        <v>502</v>
      </c>
      <c r="AS714" t="s">
        <v>412</v>
      </c>
      <c r="AT714" t="s">
        <v>135</v>
      </c>
      <c r="AU714" t="s">
        <v>503</v>
      </c>
      <c r="AV714" t="s">
        <v>132</v>
      </c>
      <c r="AX714" t="s">
        <v>73</v>
      </c>
      <c r="AY714">
        <v>2.1806000000000001</v>
      </c>
      <c r="AZ714">
        <v>2.1805555559999998</v>
      </c>
      <c r="BA714">
        <v>0.43055555600000001</v>
      </c>
      <c r="BC714">
        <v>3</v>
      </c>
      <c r="BD714">
        <v>5.8472</v>
      </c>
      <c r="BE714">
        <v>5.8472222220000001</v>
      </c>
      <c r="BF714">
        <v>0.73611111100000004</v>
      </c>
      <c r="BH714">
        <v>3</v>
      </c>
      <c r="BI714">
        <v>120</v>
      </c>
      <c r="BJ714">
        <v>12</v>
      </c>
      <c r="BK714">
        <v>0.98640000000000005</v>
      </c>
      <c r="BL714">
        <v>5.4800000000000001E-2</v>
      </c>
    </row>
    <row r="715" spans="1:65" x14ac:dyDescent="0.2">
      <c r="A715">
        <v>173</v>
      </c>
      <c r="B715" t="str">
        <f>ROW()-1&amp;"_AltersFish"</f>
        <v>714_AltersFish</v>
      </c>
      <c r="C715" t="str">
        <f>A715 &amp; "_" &amp; P715 &amp; "_" &amp;
SUBSTITUTE(TRIM(L715)," ","_") &amp;
"_pH" &amp; TEXT(Z715,"0.00") &amp;
"_T" &amp; TEXT(AI715,"0.00") &amp;
"_CO2" &amp; TEXT(V715,"0") &amp;
"_LANG"</f>
        <v>173_LARVA_Dicentrarchus_labrax_pH8.03_T17.00_CO2598_LANG</v>
      </c>
      <c r="D715" t="s">
        <v>54</v>
      </c>
      <c r="E715">
        <v>2014</v>
      </c>
      <c r="F715" t="s">
        <v>257</v>
      </c>
      <c r="G715" t="s">
        <v>258</v>
      </c>
      <c r="H715" t="s">
        <v>78</v>
      </c>
      <c r="I715" t="s">
        <v>540</v>
      </c>
      <c r="J715" t="s">
        <v>543</v>
      </c>
      <c r="K715" t="s">
        <v>79</v>
      </c>
      <c r="L715" t="s">
        <v>210</v>
      </c>
      <c r="M715" t="s">
        <v>156</v>
      </c>
      <c r="N715" t="s">
        <v>156</v>
      </c>
      <c r="O715" t="s">
        <v>106</v>
      </c>
      <c r="P715" t="s">
        <v>107</v>
      </c>
      <c r="Q715" t="s">
        <v>74</v>
      </c>
      <c r="R715" t="s">
        <v>83</v>
      </c>
      <c r="S715" t="s">
        <v>64</v>
      </c>
      <c r="T715" t="s">
        <v>64</v>
      </c>
      <c r="U715" t="s">
        <v>66</v>
      </c>
      <c r="V715">
        <v>598.33000000000004</v>
      </c>
      <c r="W715" t="s">
        <v>67</v>
      </c>
      <c r="X715">
        <v>38.33</v>
      </c>
      <c r="Y715" t="s">
        <v>96</v>
      </c>
      <c r="Z715">
        <v>8.0299999999999994</v>
      </c>
      <c r="AA715" t="s">
        <v>67</v>
      </c>
      <c r="AB715">
        <v>0.03</v>
      </c>
      <c r="AC715">
        <v>1030</v>
      </c>
      <c r="AD715" t="s">
        <v>67</v>
      </c>
      <c r="AE715">
        <v>88.66</v>
      </c>
      <c r="AF715">
        <v>7.82</v>
      </c>
      <c r="AG715" t="s">
        <v>67</v>
      </c>
      <c r="AH715">
        <v>0.05</v>
      </c>
      <c r="AI715">
        <v>17</v>
      </c>
      <c r="AJ715" t="s">
        <v>67</v>
      </c>
      <c r="AK715">
        <v>0.34</v>
      </c>
      <c r="AL715">
        <v>18.7</v>
      </c>
      <c r="AM715" t="s">
        <v>67</v>
      </c>
      <c r="AN715">
        <v>0.62</v>
      </c>
      <c r="AO715">
        <v>432</v>
      </c>
      <c r="AP715">
        <v>1.7</v>
      </c>
      <c r="AQ715" t="s">
        <v>67</v>
      </c>
      <c r="AR715" t="s">
        <v>281</v>
      </c>
      <c r="AS715" t="s">
        <v>282</v>
      </c>
      <c r="AT715" t="s">
        <v>135</v>
      </c>
      <c r="AU715" t="s">
        <v>67</v>
      </c>
      <c r="AV715" t="s">
        <v>132</v>
      </c>
      <c r="AW715" t="s">
        <v>132</v>
      </c>
      <c r="AX715" t="s">
        <v>73</v>
      </c>
      <c r="AY715">
        <v>3.8458999999999999</v>
      </c>
      <c r="AZ715">
        <v>3.8458999999999999</v>
      </c>
      <c r="BA715">
        <v>0.15</v>
      </c>
      <c r="BB715">
        <f>BA715*SQRT(BC715)</f>
        <v>0.47434164902525688</v>
      </c>
      <c r="BC715">
        <v>10</v>
      </c>
      <c r="BD715">
        <v>3.7048999999999999</v>
      </c>
      <c r="BE715">
        <v>3.7049180330000002</v>
      </c>
      <c r="BF715">
        <v>2.8000000000000001E-2</v>
      </c>
      <c r="BG715">
        <f>BF715*SQRT(BH715)</f>
        <v>8.8543774484714635E-2</v>
      </c>
      <c r="BH715">
        <v>10</v>
      </c>
      <c r="BI715">
        <v>42</v>
      </c>
      <c r="BJ715">
        <v>3</v>
      </c>
      <c r="BK715">
        <v>-3.73E-2</v>
      </c>
      <c r="BL715">
        <v>1.5E-3</v>
      </c>
    </row>
    <row r="716" spans="1:65" hidden="1" x14ac:dyDescent="0.2">
      <c r="A716">
        <v>137</v>
      </c>
      <c r="D716" t="s">
        <v>54</v>
      </c>
      <c r="E716">
        <v>2013</v>
      </c>
      <c r="F716" t="s">
        <v>516</v>
      </c>
      <c r="G716" t="s">
        <v>517</v>
      </c>
      <c r="H716" t="s">
        <v>78</v>
      </c>
      <c r="K716" t="s">
        <v>194</v>
      </c>
      <c r="L716" t="s">
        <v>221</v>
      </c>
      <c r="M716" t="s">
        <v>120</v>
      </c>
      <c r="N716" t="s">
        <v>120</v>
      </c>
      <c r="O716" t="s">
        <v>62</v>
      </c>
      <c r="P716" t="s">
        <v>196</v>
      </c>
      <c r="Q716" t="s">
        <v>64</v>
      </c>
      <c r="R716" t="s">
        <v>83</v>
      </c>
      <c r="S716" t="s">
        <v>74</v>
      </c>
      <c r="T716" t="s">
        <v>64</v>
      </c>
      <c r="U716" t="s">
        <v>75</v>
      </c>
      <c r="V716">
        <v>357</v>
      </c>
      <c r="W716">
        <v>18.260000000000002</v>
      </c>
      <c r="X716" t="s">
        <v>67</v>
      </c>
      <c r="Y716" t="s">
        <v>96</v>
      </c>
      <c r="Z716">
        <v>8.25</v>
      </c>
      <c r="AA716">
        <v>0.02</v>
      </c>
      <c r="AB716" t="s">
        <v>67</v>
      </c>
      <c r="AC716">
        <v>461</v>
      </c>
      <c r="AD716">
        <v>13.69</v>
      </c>
      <c r="AE716" t="s">
        <v>67</v>
      </c>
      <c r="AF716">
        <v>7.91</v>
      </c>
      <c r="AG716">
        <v>0.02</v>
      </c>
      <c r="AH716" t="s">
        <v>67</v>
      </c>
      <c r="AI716">
        <v>1.5</v>
      </c>
      <c r="AJ716">
        <v>0.09</v>
      </c>
      <c r="AK716" t="s">
        <v>67</v>
      </c>
      <c r="AL716">
        <v>7.3</v>
      </c>
      <c r="AM716">
        <v>7.0000000000000007E-2</v>
      </c>
      <c r="AN716" t="s">
        <v>67</v>
      </c>
      <c r="AO716">
        <v>105</v>
      </c>
      <c r="AP716">
        <v>5.8</v>
      </c>
      <c r="AQ716" t="s">
        <v>67</v>
      </c>
      <c r="AR716" t="s">
        <v>518</v>
      </c>
      <c r="AS716" t="s">
        <v>412</v>
      </c>
      <c r="AT716" t="s">
        <v>135</v>
      </c>
      <c r="AU716" t="s">
        <v>519</v>
      </c>
      <c r="AV716" t="s">
        <v>132</v>
      </c>
      <c r="AX716" t="s">
        <v>73</v>
      </c>
      <c r="AY716">
        <v>83.8</v>
      </c>
      <c r="AZ716">
        <v>83.8</v>
      </c>
      <c r="BA716">
        <v>15.2</v>
      </c>
      <c r="BC716">
        <v>6</v>
      </c>
      <c r="BD716">
        <v>123.3</v>
      </c>
      <c r="BE716">
        <v>123.3</v>
      </c>
      <c r="BF716">
        <v>18.600000000000001</v>
      </c>
      <c r="BH716">
        <v>3</v>
      </c>
      <c r="BI716">
        <v>32</v>
      </c>
      <c r="BJ716">
        <v>1</v>
      </c>
      <c r="BK716">
        <v>0.38619999999999999</v>
      </c>
      <c r="BL716">
        <v>5.57E-2</v>
      </c>
    </row>
    <row r="717" spans="1:65" hidden="1" x14ac:dyDescent="0.2">
      <c r="A717">
        <v>209</v>
      </c>
      <c r="D717" t="s">
        <v>54</v>
      </c>
      <c r="E717">
        <v>2020</v>
      </c>
      <c r="F717" t="s">
        <v>223</v>
      </c>
      <c r="G717" t="s">
        <v>224</v>
      </c>
      <c r="H717" t="s">
        <v>78</v>
      </c>
      <c r="K717" t="s">
        <v>205</v>
      </c>
      <c r="L717" t="s">
        <v>225</v>
      </c>
      <c r="M717" t="s">
        <v>120</v>
      </c>
      <c r="N717" t="s">
        <v>120</v>
      </c>
      <c r="O717" t="s">
        <v>110</v>
      </c>
      <c r="P717" t="s">
        <v>63</v>
      </c>
      <c r="Q717" t="s">
        <v>64</v>
      </c>
      <c r="R717" t="s">
        <v>83</v>
      </c>
      <c r="S717" t="s">
        <v>64</v>
      </c>
      <c r="T717" t="s">
        <v>74</v>
      </c>
      <c r="U717" t="s">
        <v>84</v>
      </c>
      <c r="V717">
        <v>437.09</v>
      </c>
      <c r="W717" t="s">
        <v>67</v>
      </c>
      <c r="X717">
        <v>21.6</v>
      </c>
      <c r="Y717" t="s">
        <v>68</v>
      </c>
      <c r="Z717">
        <v>8.0299999999999994</v>
      </c>
      <c r="AA717" t="s">
        <v>67</v>
      </c>
      <c r="AB717">
        <v>0.02</v>
      </c>
      <c r="AC717">
        <v>1123.5</v>
      </c>
      <c r="AD717" t="s">
        <v>67</v>
      </c>
      <c r="AE717">
        <v>86.23</v>
      </c>
      <c r="AF717">
        <v>7.64</v>
      </c>
      <c r="AG717" t="s">
        <v>67</v>
      </c>
      <c r="AH717">
        <v>0.03</v>
      </c>
      <c r="AI717">
        <v>5.6</v>
      </c>
      <c r="AJ717" t="s">
        <v>67</v>
      </c>
      <c r="AK717">
        <v>0.19</v>
      </c>
      <c r="AL717">
        <v>5.6</v>
      </c>
      <c r="AM717" t="s">
        <v>67</v>
      </c>
      <c r="AN717">
        <v>0.21</v>
      </c>
      <c r="AO717">
        <v>686</v>
      </c>
      <c r="AP717">
        <v>-0.1</v>
      </c>
      <c r="AQ717" t="s">
        <v>67</v>
      </c>
      <c r="AR717" t="s">
        <v>502</v>
      </c>
      <c r="AS717" t="s">
        <v>412</v>
      </c>
      <c r="AT717" t="s">
        <v>135</v>
      </c>
      <c r="AU717" t="s">
        <v>503</v>
      </c>
      <c r="AV717" t="s">
        <v>132</v>
      </c>
      <c r="AX717" t="s">
        <v>73</v>
      </c>
      <c r="AY717">
        <v>1.3545</v>
      </c>
      <c r="AZ717">
        <v>1.3545150500000001</v>
      </c>
      <c r="BA717">
        <v>0.31103678899999998</v>
      </c>
      <c r="BC717">
        <v>6</v>
      </c>
      <c r="BD717">
        <v>2.5032999999999999</v>
      </c>
      <c r="BE717">
        <v>2.5033444820000001</v>
      </c>
      <c r="BF717">
        <v>0.140468227</v>
      </c>
      <c r="BH717">
        <v>5</v>
      </c>
      <c r="BI717">
        <v>120</v>
      </c>
      <c r="BJ717">
        <v>12</v>
      </c>
      <c r="BK717">
        <v>0.61418413699999996</v>
      </c>
      <c r="BL717">
        <v>5.5899999999999998E-2</v>
      </c>
    </row>
    <row r="718" spans="1:65" hidden="1" x14ac:dyDescent="0.2">
      <c r="A718">
        <v>153</v>
      </c>
      <c r="D718" t="s">
        <v>397</v>
      </c>
      <c r="E718">
        <v>2017</v>
      </c>
      <c r="F718" t="s">
        <v>335</v>
      </c>
      <c r="G718" t="s">
        <v>220</v>
      </c>
      <c r="H718" t="s">
        <v>78</v>
      </c>
      <c r="K718" t="s">
        <v>205</v>
      </c>
      <c r="L718" t="s">
        <v>206</v>
      </c>
      <c r="M718" t="s">
        <v>81</v>
      </c>
      <c r="N718" t="s">
        <v>81</v>
      </c>
      <c r="O718" t="s">
        <v>110</v>
      </c>
      <c r="P718" t="s">
        <v>63</v>
      </c>
      <c r="Q718" t="s">
        <v>64</v>
      </c>
      <c r="R718" t="s">
        <v>83</v>
      </c>
      <c r="S718" t="s">
        <v>74</v>
      </c>
      <c r="T718" t="s">
        <v>64</v>
      </c>
      <c r="U718" t="s">
        <v>75</v>
      </c>
      <c r="V718">
        <v>435</v>
      </c>
      <c r="W718" t="s">
        <v>67</v>
      </c>
      <c r="X718">
        <v>49.9</v>
      </c>
      <c r="Y718" t="s">
        <v>68</v>
      </c>
      <c r="Z718">
        <v>8.01</v>
      </c>
      <c r="AA718" t="s">
        <v>67</v>
      </c>
      <c r="AB718">
        <v>0.04</v>
      </c>
      <c r="AC718">
        <v>548</v>
      </c>
      <c r="AD718" t="s">
        <v>67</v>
      </c>
      <c r="AE718">
        <v>92.69</v>
      </c>
      <c r="AF718">
        <v>7.87</v>
      </c>
      <c r="AG718" t="s">
        <v>67</v>
      </c>
      <c r="AH718">
        <v>0.06</v>
      </c>
      <c r="AI718">
        <v>8.1999999999999993</v>
      </c>
      <c r="AJ718" t="s">
        <v>67</v>
      </c>
      <c r="AK718">
        <v>0.11</v>
      </c>
      <c r="AL718">
        <v>15.8</v>
      </c>
      <c r="AM718" t="s">
        <v>67</v>
      </c>
      <c r="AN718">
        <v>0.25</v>
      </c>
      <c r="AO718">
        <v>113</v>
      </c>
      <c r="AP718">
        <v>7.6</v>
      </c>
      <c r="AQ718" t="s">
        <v>67</v>
      </c>
      <c r="AR718" t="s">
        <v>440</v>
      </c>
      <c r="AS718" t="s">
        <v>337</v>
      </c>
      <c r="AT718" t="s">
        <v>70</v>
      </c>
      <c r="AU718" t="s">
        <v>441</v>
      </c>
      <c r="AV718" t="s">
        <v>132</v>
      </c>
      <c r="AX718" t="s">
        <v>73</v>
      </c>
      <c r="AY718">
        <v>36.047400000000003</v>
      </c>
      <c r="AZ718">
        <v>36.047430830000003</v>
      </c>
      <c r="BA718">
        <v>5.3754999999999997</v>
      </c>
      <c r="BC718">
        <v>5</v>
      </c>
      <c r="BD718">
        <v>50.909100000000002</v>
      </c>
      <c r="BE718">
        <v>50.909090910000003</v>
      </c>
      <c r="BF718">
        <v>9.4862000000000002</v>
      </c>
      <c r="BH718">
        <v>4</v>
      </c>
      <c r="BI718">
        <v>120</v>
      </c>
      <c r="BJ718">
        <v>8</v>
      </c>
      <c r="BK718">
        <v>0.34520000000000001</v>
      </c>
      <c r="BL718">
        <v>5.7000000000000002E-2</v>
      </c>
    </row>
    <row r="719" spans="1:65" hidden="1" x14ac:dyDescent="0.2">
      <c r="A719">
        <v>151</v>
      </c>
      <c r="D719" t="s">
        <v>54</v>
      </c>
      <c r="E719">
        <v>2015</v>
      </c>
      <c r="F719" t="s">
        <v>262</v>
      </c>
      <c r="G719" t="s">
        <v>263</v>
      </c>
      <c r="H719" t="s">
        <v>57</v>
      </c>
      <c r="K719" t="s">
        <v>264</v>
      </c>
      <c r="L719" t="s">
        <v>265</v>
      </c>
      <c r="M719" t="s">
        <v>81</v>
      </c>
      <c r="N719" t="s">
        <v>81</v>
      </c>
      <c r="O719" t="s">
        <v>62</v>
      </c>
      <c r="P719" t="s">
        <v>63</v>
      </c>
      <c r="Q719" t="s">
        <v>64</v>
      </c>
      <c r="R719" t="s">
        <v>65</v>
      </c>
      <c r="S719" t="s">
        <v>64</v>
      </c>
      <c r="T719" t="s">
        <v>64</v>
      </c>
      <c r="U719" t="s">
        <v>66</v>
      </c>
      <c r="V719">
        <v>589</v>
      </c>
      <c r="W719">
        <v>50.9</v>
      </c>
      <c r="X719" t="s">
        <v>67</v>
      </c>
      <c r="Y719" t="s">
        <v>96</v>
      </c>
      <c r="Z719">
        <v>7.96</v>
      </c>
      <c r="AA719">
        <v>0.01</v>
      </c>
      <c r="AB719" t="s">
        <v>67</v>
      </c>
      <c r="AC719">
        <v>1014</v>
      </c>
      <c r="AD719">
        <v>115</v>
      </c>
      <c r="AE719" t="s">
        <v>67</v>
      </c>
      <c r="AF719">
        <v>7.68</v>
      </c>
      <c r="AG719">
        <v>0.01</v>
      </c>
      <c r="AH719" t="s">
        <v>67</v>
      </c>
      <c r="AI719">
        <v>16.399999999999999</v>
      </c>
      <c r="AJ719">
        <v>0.1</v>
      </c>
      <c r="AK719" t="s">
        <v>67</v>
      </c>
      <c r="AL719">
        <v>18.7</v>
      </c>
      <c r="AM719">
        <v>0.1</v>
      </c>
      <c r="AN719" t="s">
        <v>67</v>
      </c>
      <c r="AO719">
        <v>425</v>
      </c>
      <c r="AP719">
        <v>2.2999999999999998</v>
      </c>
      <c r="AQ719" t="s">
        <v>325</v>
      </c>
      <c r="AR719" t="s">
        <v>513</v>
      </c>
      <c r="AS719" t="s">
        <v>386</v>
      </c>
      <c r="AT719" t="s">
        <v>135</v>
      </c>
      <c r="AU719" t="s">
        <v>514</v>
      </c>
      <c r="AV719" t="s">
        <v>251</v>
      </c>
      <c r="AX719" t="s">
        <v>73</v>
      </c>
      <c r="AY719">
        <v>0.71240000000000003</v>
      </c>
      <c r="AZ719">
        <v>0.71236999999999995</v>
      </c>
      <c r="BA719">
        <v>0.15</v>
      </c>
      <c r="BC719">
        <v>4</v>
      </c>
      <c r="BD719">
        <v>2.0430000000000001</v>
      </c>
      <c r="BE719">
        <v>2.0430107529999999</v>
      </c>
      <c r="BF719">
        <v>0.224</v>
      </c>
      <c r="BH719">
        <v>4</v>
      </c>
      <c r="BI719">
        <v>57</v>
      </c>
      <c r="BJ719">
        <v>4</v>
      </c>
      <c r="BK719">
        <v>1.0536000000000001</v>
      </c>
      <c r="BL719">
        <v>5.7700000000000001E-2</v>
      </c>
    </row>
    <row r="720" spans="1:65" x14ac:dyDescent="0.2">
      <c r="A720">
        <v>173</v>
      </c>
      <c r="B720" t="str">
        <f>ROW()-1&amp;"_AltersFish"</f>
        <v>719_AltersFish</v>
      </c>
      <c r="C720" t="str">
        <f>A720 &amp; "_" &amp; P720 &amp; "_" &amp;
SUBSTITUTE(TRIM(L720)," ","_") &amp;
"_pH" &amp; TEXT(Z720,"0.00") &amp;
"_T" &amp; TEXT(AI720,"0.00") &amp;
"_CO2" &amp; TEXT(V720,"0") &amp;
"_LANG"</f>
        <v>173_LARVA_Dicentrarchus_labrax_pH8.03_T17.00_CO2598_LANG</v>
      </c>
      <c r="D720" t="s">
        <v>54</v>
      </c>
      <c r="E720">
        <v>2014</v>
      </c>
      <c r="F720" t="s">
        <v>257</v>
      </c>
      <c r="G720" t="s">
        <v>258</v>
      </c>
      <c r="H720" t="s">
        <v>78</v>
      </c>
      <c r="I720" t="s">
        <v>540</v>
      </c>
      <c r="J720" t="s">
        <v>543</v>
      </c>
      <c r="K720" t="s">
        <v>79</v>
      </c>
      <c r="L720" t="s">
        <v>210</v>
      </c>
      <c r="M720" t="s">
        <v>156</v>
      </c>
      <c r="N720" t="s">
        <v>156</v>
      </c>
      <c r="O720" t="s">
        <v>106</v>
      </c>
      <c r="P720" t="s">
        <v>107</v>
      </c>
      <c r="Q720" t="s">
        <v>74</v>
      </c>
      <c r="R720" t="s">
        <v>83</v>
      </c>
      <c r="S720" t="s">
        <v>74</v>
      </c>
      <c r="T720" t="s">
        <v>64</v>
      </c>
      <c r="U720" t="s">
        <v>75</v>
      </c>
      <c r="V720">
        <v>598.33000000000004</v>
      </c>
      <c r="W720" t="s">
        <v>67</v>
      </c>
      <c r="X720">
        <v>38.33</v>
      </c>
      <c r="Y720" t="s">
        <v>96</v>
      </c>
      <c r="Z720">
        <v>8.0299999999999994</v>
      </c>
      <c r="AA720" t="s">
        <v>67</v>
      </c>
      <c r="AB720">
        <v>0.03</v>
      </c>
      <c r="AC720">
        <v>586</v>
      </c>
      <c r="AD720" t="s">
        <v>67</v>
      </c>
      <c r="AE720">
        <v>46</v>
      </c>
      <c r="AF720">
        <v>8.0299999999999994</v>
      </c>
      <c r="AG720" t="s">
        <v>67</v>
      </c>
      <c r="AH720">
        <v>0.03</v>
      </c>
      <c r="AI720">
        <v>17</v>
      </c>
      <c r="AJ720" t="s">
        <v>67</v>
      </c>
      <c r="AK720">
        <v>0.34</v>
      </c>
      <c r="AL720">
        <v>18.899999999999999</v>
      </c>
      <c r="AM720" t="s">
        <v>67</v>
      </c>
      <c r="AN720">
        <v>0.64</v>
      </c>
      <c r="AO720">
        <v>-12</v>
      </c>
      <c r="AP720">
        <v>1.8</v>
      </c>
      <c r="AQ720" t="s">
        <v>67</v>
      </c>
      <c r="AR720" t="s">
        <v>281</v>
      </c>
      <c r="AS720" t="s">
        <v>282</v>
      </c>
      <c r="AT720" t="s">
        <v>135</v>
      </c>
      <c r="AU720" t="s">
        <v>67</v>
      </c>
      <c r="AV720" t="s">
        <v>132</v>
      </c>
      <c r="AW720" t="s">
        <v>132</v>
      </c>
      <c r="AX720" t="s">
        <v>73</v>
      </c>
      <c r="AY720">
        <v>3.8458999999999999</v>
      </c>
      <c r="AZ720">
        <v>3.8458999999999999</v>
      </c>
      <c r="BA720">
        <v>0.15</v>
      </c>
      <c r="BB720">
        <f>BA720*SQRT(BC720)</f>
        <v>0.47434164902525688</v>
      </c>
      <c r="BC720">
        <v>10</v>
      </c>
      <c r="BD720">
        <v>3.6556999999999999</v>
      </c>
      <c r="BE720">
        <v>3.6557377049999999</v>
      </c>
      <c r="BF720">
        <v>9.2999999999999992E-3</v>
      </c>
      <c r="BG720">
        <f>BF720*SQRT(BH720)</f>
        <v>2.9409182239565929E-2</v>
      </c>
      <c r="BH720">
        <v>10</v>
      </c>
      <c r="BI720">
        <v>42</v>
      </c>
      <c r="BJ720">
        <v>3</v>
      </c>
      <c r="BK720">
        <v>-5.0700000000000002E-2</v>
      </c>
      <c r="BL720">
        <v>1.5E-3</v>
      </c>
    </row>
    <row r="721" spans="1:65" hidden="1" x14ac:dyDescent="0.2">
      <c r="A721">
        <v>171</v>
      </c>
      <c r="C721" t="s">
        <v>549</v>
      </c>
      <c r="D721" t="s">
        <v>54</v>
      </c>
      <c r="E721">
        <v>2015</v>
      </c>
      <c r="F721" t="s">
        <v>198</v>
      </c>
      <c r="G721" t="s">
        <v>199</v>
      </c>
      <c r="H721" t="s">
        <v>57</v>
      </c>
      <c r="K721" t="s">
        <v>79</v>
      </c>
      <c r="L721" t="s">
        <v>200</v>
      </c>
      <c r="M721" t="s">
        <v>81</v>
      </c>
      <c r="N721" t="s">
        <v>81</v>
      </c>
      <c r="O721" t="s">
        <v>62</v>
      </c>
      <c r="P721" t="s">
        <v>82</v>
      </c>
      <c r="Q721" t="s">
        <v>64</v>
      </c>
      <c r="R721" t="s">
        <v>65</v>
      </c>
      <c r="S721" t="s">
        <v>74</v>
      </c>
      <c r="T721" t="s">
        <v>64</v>
      </c>
      <c r="U721" t="s">
        <v>75</v>
      </c>
      <c r="V721">
        <v>422.07</v>
      </c>
      <c r="W721" t="s">
        <v>67</v>
      </c>
      <c r="X721">
        <v>16.57</v>
      </c>
      <c r="Y721" t="s">
        <v>96</v>
      </c>
      <c r="Z721">
        <v>8.1</v>
      </c>
      <c r="AA721" t="s">
        <v>67</v>
      </c>
      <c r="AB721">
        <v>0.05</v>
      </c>
      <c r="AC721">
        <v>414.68</v>
      </c>
      <c r="AD721" t="s">
        <v>67</v>
      </c>
      <c r="AE721">
        <v>5.22</v>
      </c>
      <c r="AF721">
        <v>8.1</v>
      </c>
      <c r="AG721" t="s">
        <v>67</v>
      </c>
      <c r="AH721">
        <v>0.05</v>
      </c>
      <c r="AI721">
        <v>15</v>
      </c>
      <c r="AJ721" t="s">
        <v>67</v>
      </c>
      <c r="AK721">
        <v>0.5</v>
      </c>
      <c r="AL721">
        <v>18</v>
      </c>
      <c r="AM721" t="s">
        <v>67</v>
      </c>
      <c r="AN721">
        <v>0.5</v>
      </c>
      <c r="AO721">
        <v>-7</v>
      </c>
      <c r="AP721">
        <v>3</v>
      </c>
      <c r="AQ721" t="s">
        <v>218</v>
      </c>
      <c r="AR721" t="s">
        <v>104</v>
      </c>
      <c r="AS721" t="s">
        <v>105</v>
      </c>
      <c r="AT721" t="s">
        <v>70</v>
      </c>
      <c r="AU721" t="s">
        <v>89</v>
      </c>
      <c r="AV721" t="s">
        <v>88</v>
      </c>
      <c r="AW721" t="s">
        <v>151</v>
      </c>
      <c r="AX721" t="s">
        <v>90</v>
      </c>
      <c r="AY721">
        <v>62.628300000000003</v>
      </c>
      <c r="AZ721">
        <v>62.628340000000001</v>
      </c>
      <c r="BA721">
        <v>12.3203</v>
      </c>
      <c r="BC721">
        <v>37</v>
      </c>
      <c r="BD721">
        <v>87.474299999999999</v>
      </c>
      <c r="BE721">
        <v>87.474332649999994</v>
      </c>
      <c r="BF721">
        <v>12.3203</v>
      </c>
      <c r="BH721">
        <v>37</v>
      </c>
      <c r="BI721">
        <v>113</v>
      </c>
      <c r="BJ721">
        <v>5</v>
      </c>
      <c r="BK721">
        <v>0.33410000000000001</v>
      </c>
      <c r="BL721">
        <v>5.8500000000000003E-2</v>
      </c>
    </row>
    <row r="722" spans="1:65" x14ac:dyDescent="0.2">
      <c r="A722">
        <v>173</v>
      </c>
      <c r="B722" t="str">
        <f>ROW()-1&amp;"_AltersFish"</f>
        <v>721_AltersFish</v>
      </c>
      <c r="C722" t="str">
        <f>A722 &amp; "_" &amp; P722 &amp; "_" &amp;
SUBSTITUTE(TRIM(L722)," ","_") &amp;
"_pH" &amp; TEXT(Z722,"0.00") &amp;
"_T" &amp; TEXT(AI722,"0.00") &amp;
"_CO2" &amp; TEXT(V722,"0") &amp;
"_LANG"</f>
        <v>173_LARVA_Dicentrarchus_labrax_pH8.03_T17.00_CO2598_LANG</v>
      </c>
      <c r="D722" t="s">
        <v>54</v>
      </c>
      <c r="E722">
        <v>2014</v>
      </c>
      <c r="F722" t="s">
        <v>257</v>
      </c>
      <c r="G722" t="s">
        <v>258</v>
      </c>
      <c r="H722" t="s">
        <v>78</v>
      </c>
      <c r="I722" t="s">
        <v>540</v>
      </c>
      <c r="J722" t="s">
        <v>543</v>
      </c>
      <c r="K722" t="s">
        <v>79</v>
      </c>
      <c r="L722" t="s">
        <v>210</v>
      </c>
      <c r="M722" t="s">
        <v>156</v>
      </c>
      <c r="N722" t="s">
        <v>156</v>
      </c>
      <c r="O722" t="s">
        <v>106</v>
      </c>
      <c r="P722" t="s">
        <v>107</v>
      </c>
      <c r="Q722" t="s">
        <v>74</v>
      </c>
      <c r="R722" t="s">
        <v>83</v>
      </c>
      <c r="S722" t="s">
        <v>64</v>
      </c>
      <c r="T722" t="s">
        <v>64</v>
      </c>
      <c r="U722" t="s">
        <v>66</v>
      </c>
      <c r="V722">
        <v>598.33000000000004</v>
      </c>
      <c r="W722" t="s">
        <v>67</v>
      </c>
      <c r="X722">
        <v>38.33</v>
      </c>
      <c r="Y722" t="s">
        <v>96</v>
      </c>
      <c r="Z722">
        <v>8.0299999999999994</v>
      </c>
      <c r="AA722" t="s">
        <v>67</v>
      </c>
      <c r="AB722">
        <v>0.03</v>
      </c>
      <c r="AC722">
        <v>1030</v>
      </c>
      <c r="AD722" t="s">
        <v>67</v>
      </c>
      <c r="AE722">
        <v>88.66</v>
      </c>
      <c r="AF722">
        <v>7.82</v>
      </c>
      <c r="AG722" t="s">
        <v>67</v>
      </c>
      <c r="AH722">
        <v>0.05</v>
      </c>
      <c r="AI722">
        <v>17</v>
      </c>
      <c r="AJ722" t="s">
        <v>67</v>
      </c>
      <c r="AK722">
        <v>0.34</v>
      </c>
      <c r="AL722">
        <v>18.7</v>
      </c>
      <c r="AM722" t="s">
        <v>67</v>
      </c>
      <c r="AN722">
        <v>0.62</v>
      </c>
      <c r="AO722">
        <v>432</v>
      </c>
      <c r="AP722">
        <v>1.7</v>
      </c>
      <c r="AQ722" t="s">
        <v>67</v>
      </c>
      <c r="AR722" t="s">
        <v>259</v>
      </c>
      <c r="AS722" t="s">
        <v>260</v>
      </c>
      <c r="AT722" t="s">
        <v>135</v>
      </c>
      <c r="AU722" t="s">
        <v>261</v>
      </c>
      <c r="AV722" t="s">
        <v>11</v>
      </c>
      <c r="AW722" t="s">
        <v>72</v>
      </c>
      <c r="AX722" t="s">
        <v>73</v>
      </c>
      <c r="AY722">
        <v>768</v>
      </c>
      <c r="AZ722">
        <v>768</v>
      </c>
      <c r="BA722">
        <v>14</v>
      </c>
      <c r="BB722">
        <f>BA722*SQRT(BC722)</f>
        <v>44.271887242357316</v>
      </c>
      <c r="BC722">
        <v>10</v>
      </c>
      <c r="BD722">
        <v>945</v>
      </c>
      <c r="BE722">
        <v>945</v>
      </c>
      <c r="BF722">
        <v>27</v>
      </c>
      <c r="BG722">
        <f>BF722*SQRT(BH722)</f>
        <v>85.381496824546247</v>
      </c>
      <c r="BH722">
        <v>10</v>
      </c>
      <c r="BI722">
        <v>42</v>
      </c>
      <c r="BJ722">
        <v>3</v>
      </c>
      <c r="BK722">
        <v>0.2074</v>
      </c>
      <c r="BL722">
        <v>1.1000000000000001E-3</v>
      </c>
    </row>
    <row r="723" spans="1:65" hidden="1" x14ac:dyDescent="0.2">
      <c r="A723">
        <v>164</v>
      </c>
      <c r="D723" t="s">
        <v>54</v>
      </c>
      <c r="E723">
        <v>2017</v>
      </c>
      <c r="F723" t="s">
        <v>371</v>
      </c>
      <c r="G723" t="s">
        <v>224</v>
      </c>
      <c r="H723" t="s">
        <v>78</v>
      </c>
      <c r="K723" t="s">
        <v>79</v>
      </c>
      <c r="L723" t="s">
        <v>206</v>
      </c>
      <c r="M723" t="s">
        <v>120</v>
      </c>
      <c r="N723" t="s">
        <v>120</v>
      </c>
      <c r="O723" t="s">
        <v>110</v>
      </c>
      <c r="P723" t="s">
        <v>196</v>
      </c>
      <c r="Q723" t="s">
        <v>480</v>
      </c>
      <c r="R723" t="s">
        <v>83</v>
      </c>
      <c r="S723" t="s">
        <v>64</v>
      </c>
      <c r="T723" t="s">
        <v>64</v>
      </c>
      <c r="U723" t="s">
        <v>66</v>
      </c>
      <c r="V723">
        <v>437</v>
      </c>
      <c r="W723" t="s">
        <v>67</v>
      </c>
      <c r="X723">
        <v>10</v>
      </c>
      <c r="Y723" t="s">
        <v>157</v>
      </c>
      <c r="Z723">
        <v>8.02</v>
      </c>
      <c r="AA723" t="s">
        <v>67</v>
      </c>
      <c r="AB723">
        <v>0.01</v>
      </c>
      <c r="AC723">
        <v>1416</v>
      </c>
      <c r="AD723" t="s">
        <v>67</v>
      </c>
      <c r="AE723">
        <v>357</v>
      </c>
      <c r="AF723">
        <v>7.5</v>
      </c>
      <c r="AG723" t="s">
        <v>67</v>
      </c>
      <c r="AH723">
        <v>0.12</v>
      </c>
      <c r="AI723">
        <v>8.1999999999999993</v>
      </c>
      <c r="AJ723" t="s">
        <v>67</v>
      </c>
      <c r="AK723">
        <v>0.09</v>
      </c>
      <c r="AL723">
        <v>15.7</v>
      </c>
      <c r="AM723" t="s">
        <v>67</v>
      </c>
      <c r="AN723">
        <v>0.4</v>
      </c>
      <c r="AO723">
        <v>979</v>
      </c>
      <c r="AP723">
        <v>7.5</v>
      </c>
      <c r="AQ723" t="s">
        <v>67</v>
      </c>
      <c r="AR723" t="s">
        <v>293</v>
      </c>
      <c r="AS723" t="s">
        <v>293</v>
      </c>
      <c r="AT723" t="s">
        <v>70</v>
      </c>
      <c r="AU723" t="s">
        <v>310</v>
      </c>
      <c r="AV723" t="s">
        <v>72</v>
      </c>
      <c r="AX723" t="s">
        <v>73</v>
      </c>
      <c r="AY723">
        <v>57.7</v>
      </c>
      <c r="AZ723">
        <v>57.7</v>
      </c>
      <c r="BA723">
        <v>10.5944</v>
      </c>
      <c r="BC723">
        <v>12</v>
      </c>
      <c r="BD723">
        <v>75.2</v>
      </c>
      <c r="BE723">
        <v>75.2</v>
      </c>
      <c r="BF723">
        <v>11.9512</v>
      </c>
      <c r="BH723">
        <v>12</v>
      </c>
      <c r="BI723">
        <v>50</v>
      </c>
      <c r="BJ723">
        <v>8</v>
      </c>
      <c r="BK723">
        <v>0.26490000000000002</v>
      </c>
      <c r="BL723">
        <v>5.8999999999999997E-2</v>
      </c>
    </row>
    <row r="724" spans="1:65" hidden="1" x14ac:dyDescent="0.2">
      <c r="A724">
        <v>171</v>
      </c>
      <c r="D724" t="s">
        <v>54</v>
      </c>
      <c r="E724">
        <v>2015</v>
      </c>
      <c r="F724" t="s">
        <v>198</v>
      </c>
      <c r="G724" t="s">
        <v>199</v>
      </c>
      <c r="H724" t="s">
        <v>57</v>
      </c>
      <c r="K724" t="s">
        <v>79</v>
      </c>
      <c r="L724" t="s">
        <v>200</v>
      </c>
      <c r="M724" t="s">
        <v>81</v>
      </c>
      <c r="N724" t="s">
        <v>81</v>
      </c>
      <c r="O724" t="s">
        <v>62</v>
      </c>
      <c r="P724" t="s">
        <v>63</v>
      </c>
      <c r="Q724" t="s">
        <v>64</v>
      </c>
      <c r="R724" t="s">
        <v>65</v>
      </c>
      <c r="S724" t="s">
        <v>74</v>
      </c>
      <c r="T724" t="s">
        <v>64</v>
      </c>
      <c r="U724" t="s">
        <v>75</v>
      </c>
      <c r="V724">
        <v>422.07</v>
      </c>
      <c r="W724" t="s">
        <v>67</v>
      </c>
      <c r="X724">
        <v>16.57</v>
      </c>
      <c r="Y724" t="s">
        <v>96</v>
      </c>
      <c r="Z724">
        <v>8.1</v>
      </c>
      <c r="AA724" t="s">
        <v>67</v>
      </c>
      <c r="AB724">
        <v>0.05</v>
      </c>
      <c r="AC724">
        <v>414.68</v>
      </c>
      <c r="AD724" t="s">
        <v>67</v>
      </c>
      <c r="AE724">
        <v>5.22</v>
      </c>
      <c r="AF724">
        <v>8.1</v>
      </c>
      <c r="AG724" t="s">
        <v>67</v>
      </c>
      <c r="AH724">
        <v>0.05</v>
      </c>
      <c r="AI724">
        <v>15</v>
      </c>
      <c r="AJ724" t="s">
        <v>67</v>
      </c>
      <c r="AK724">
        <v>0.5</v>
      </c>
      <c r="AL724">
        <v>18</v>
      </c>
      <c r="AM724" t="s">
        <v>67</v>
      </c>
      <c r="AN724">
        <v>0.5</v>
      </c>
      <c r="AO724">
        <v>-7</v>
      </c>
      <c r="AP724">
        <v>3</v>
      </c>
      <c r="AQ724" t="s">
        <v>201</v>
      </c>
      <c r="AR724" t="s">
        <v>511</v>
      </c>
      <c r="AS724" t="s">
        <v>361</v>
      </c>
      <c r="AT724" t="s">
        <v>70</v>
      </c>
      <c r="AU724" t="s">
        <v>383</v>
      </c>
      <c r="AV724" t="s">
        <v>363</v>
      </c>
      <c r="AX724" t="s">
        <v>73</v>
      </c>
      <c r="AY724">
        <v>2.6599999999999999E-2</v>
      </c>
      <c r="AZ724">
        <v>2.6610000000000002E-2</v>
      </c>
      <c r="BA724">
        <v>0.01</v>
      </c>
      <c r="BC724">
        <v>30</v>
      </c>
      <c r="BD724">
        <v>0.12529999999999999</v>
      </c>
      <c r="BE724">
        <v>0.12532188799999999</v>
      </c>
      <c r="BF724">
        <v>4.7000000000000002E-3</v>
      </c>
      <c r="BH724">
        <v>30</v>
      </c>
      <c r="BI724">
        <v>157</v>
      </c>
      <c r="BJ724">
        <v>5</v>
      </c>
      <c r="BK724">
        <v>1.5496000000000001</v>
      </c>
      <c r="BL724">
        <v>0.06</v>
      </c>
    </row>
    <row r="725" spans="1:65" hidden="1" x14ac:dyDescent="0.2">
      <c r="A725">
        <v>139</v>
      </c>
      <c r="D725" t="s">
        <v>54</v>
      </c>
      <c r="E725">
        <v>2018</v>
      </c>
      <c r="F725" t="s">
        <v>214</v>
      </c>
      <c r="G725" t="s">
        <v>154</v>
      </c>
      <c r="H725" t="s">
        <v>78</v>
      </c>
      <c r="K725" t="s">
        <v>194</v>
      </c>
      <c r="L725" t="s">
        <v>215</v>
      </c>
      <c r="M725" t="s">
        <v>120</v>
      </c>
      <c r="N725" t="s">
        <v>120</v>
      </c>
      <c r="O725" t="s">
        <v>62</v>
      </c>
      <c r="P725" t="s">
        <v>63</v>
      </c>
      <c r="Q725" t="s">
        <v>64</v>
      </c>
      <c r="R725" t="s">
        <v>83</v>
      </c>
      <c r="S725" t="s">
        <v>64</v>
      </c>
      <c r="T725" t="s">
        <v>74</v>
      </c>
      <c r="U725" t="s">
        <v>84</v>
      </c>
      <c r="V725">
        <v>458</v>
      </c>
      <c r="W725" t="s">
        <v>67</v>
      </c>
      <c r="X725">
        <v>30</v>
      </c>
      <c r="Y725" t="s">
        <v>68</v>
      </c>
      <c r="Z725">
        <v>7.98</v>
      </c>
      <c r="AA725" t="s">
        <v>67</v>
      </c>
      <c r="AB725">
        <v>0.03</v>
      </c>
      <c r="AC725">
        <v>1323</v>
      </c>
      <c r="AD725" t="s">
        <v>67</v>
      </c>
      <c r="AE725">
        <v>64</v>
      </c>
      <c r="AF725">
        <v>7.56</v>
      </c>
      <c r="AG725" t="s">
        <v>67</v>
      </c>
      <c r="AH725">
        <v>0.02</v>
      </c>
      <c r="AI725">
        <v>-1</v>
      </c>
      <c r="AJ725" t="s">
        <v>67</v>
      </c>
      <c r="AK725">
        <v>0.1</v>
      </c>
      <c r="AL725">
        <v>-1</v>
      </c>
      <c r="AM725" t="s">
        <v>67</v>
      </c>
      <c r="AN725">
        <v>0.1</v>
      </c>
      <c r="AO725">
        <v>865</v>
      </c>
      <c r="AP725">
        <v>0</v>
      </c>
      <c r="AQ725" t="s">
        <v>67</v>
      </c>
      <c r="AR725" t="s">
        <v>356</v>
      </c>
      <c r="AS725" t="s">
        <v>134</v>
      </c>
      <c r="AT725" t="s">
        <v>135</v>
      </c>
      <c r="AU725" t="s">
        <v>272</v>
      </c>
      <c r="AV725" t="s">
        <v>137</v>
      </c>
      <c r="AX725" t="s">
        <v>73</v>
      </c>
      <c r="AY725">
        <v>2.31</v>
      </c>
      <c r="AZ725">
        <v>2.31</v>
      </c>
      <c r="BA725">
        <v>0.36</v>
      </c>
      <c r="BC725">
        <v>9</v>
      </c>
      <c r="BD725">
        <v>1</v>
      </c>
      <c r="BE725">
        <v>1</v>
      </c>
      <c r="BF725">
        <v>0.19</v>
      </c>
      <c r="BH725">
        <v>12</v>
      </c>
      <c r="BI725">
        <v>28</v>
      </c>
      <c r="BJ725">
        <v>3</v>
      </c>
      <c r="BK725">
        <v>-0.83720000000000006</v>
      </c>
      <c r="BL725">
        <v>6.0400000000000002E-2</v>
      </c>
    </row>
    <row r="726" spans="1:65" hidden="1" x14ac:dyDescent="0.2">
      <c r="A726">
        <v>171</v>
      </c>
      <c r="C726" t="s">
        <v>549</v>
      </c>
      <c r="D726" t="s">
        <v>54</v>
      </c>
      <c r="E726">
        <v>2015</v>
      </c>
      <c r="F726" t="s">
        <v>198</v>
      </c>
      <c r="G726" t="s">
        <v>199</v>
      </c>
      <c r="H726" t="s">
        <v>57</v>
      </c>
      <c r="K726" t="s">
        <v>79</v>
      </c>
      <c r="L726" t="s">
        <v>200</v>
      </c>
      <c r="M726" t="s">
        <v>81</v>
      </c>
      <c r="N726" t="s">
        <v>81</v>
      </c>
      <c r="O726" t="s">
        <v>62</v>
      </c>
      <c r="P726" t="s">
        <v>82</v>
      </c>
      <c r="Q726" t="s">
        <v>64</v>
      </c>
      <c r="R726" t="s">
        <v>65</v>
      </c>
      <c r="S726" t="s">
        <v>64</v>
      </c>
      <c r="T726" t="s">
        <v>74</v>
      </c>
      <c r="U726" t="s">
        <v>84</v>
      </c>
      <c r="V726">
        <v>422.07</v>
      </c>
      <c r="W726" t="s">
        <v>67</v>
      </c>
      <c r="X726">
        <v>16.57</v>
      </c>
      <c r="Y726" t="s">
        <v>96</v>
      </c>
      <c r="Z726">
        <v>8.1</v>
      </c>
      <c r="AA726" t="s">
        <v>67</v>
      </c>
      <c r="AB726">
        <v>0.05</v>
      </c>
      <c r="AC726">
        <v>1115.6199999999999</v>
      </c>
      <c r="AD726" t="s">
        <v>67</v>
      </c>
      <c r="AE726">
        <v>59.33</v>
      </c>
      <c r="AF726">
        <v>7.7</v>
      </c>
      <c r="AG726" t="s">
        <v>67</v>
      </c>
      <c r="AH726">
        <v>0.05</v>
      </c>
      <c r="AI726">
        <v>15</v>
      </c>
      <c r="AJ726" t="s">
        <v>67</v>
      </c>
      <c r="AK726">
        <v>0.5</v>
      </c>
      <c r="AL726">
        <v>15</v>
      </c>
      <c r="AM726" t="s">
        <v>67</v>
      </c>
      <c r="AN726">
        <v>0.5</v>
      </c>
      <c r="AO726">
        <v>694</v>
      </c>
      <c r="AP726">
        <v>0</v>
      </c>
      <c r="AQ726" t="s">
        <v>218</v>
      </c>
      <c r="AR726" t="s">
        <v>104</v>
      </c>
      <c r="AS726" t="s">
        <v>105</v>
      </c>
      <c r="AT726" t="s">
        <v>70</v>
      </c>
      <c r="AU726" t="s">
        <v>89</v>
      </c>
      <c r="AV726" t="s">
        <v>88</v>
      </c>
      <c r="AW726" t="s">
        <v>151</v>
      </c>
      <c r="AX726" t="s">
        <v>90</v>
      </c>
      <c r="AY726">
        <v>62.628300000000003</v>
      </c>
      <c r="AZ726">
        <v>62.628340000000001</v>
      </c>
      <c r="BA726">
        <v>12.3203</v>
      </c>
      <c r="BC726">
        <v>37</v>
      </c>
      <c r="BD726">
        <v>80.082099999999997</v>
      </c>
      <c r="BE726">
        <v>80.082135519999994</v>
      </c>
      <c r="BF726">
        <v>12.115</v>
      </c>
      <c r="BH726">
        <v>37</v>
      </c>
      <c r="BI726">
        <v>194</v>
      </c>
      <c r="BJ726">
        <v>5</v>
      </c>
      <c r="BK726">
        <v>0.24579999999999999</v>
      </c>
      <c r="BL726">
        <v>6.1600000000000002E-2</v>
      </c>
    </row>
    <row r="727" spans="1:65" hidden="1" x14ac:dyDescent="0.2">
      <c r="A727">
        <v>171</v>
      </c>
      <c r="D727" t="s">
        <v>54</v>
      </c>
      <c r="E727">
        <v>2015</v>
      </c>
      <c r="F727" t="s">
        <v>198</v>
      </c>
      <c r="G727" t="s">
        <v>199</v>
      </c>
      <c r="H727" t="s">
        <v>57</v>
      </c>
      <c r="K727" t="s">
        <v>79</v>
      </c>
      <c r="L727" t="s">
        <v>200</v>
      </c>
      <c r="M727" t="s">
        <v>81</v>
      </c>
      <c r="N727" t="s">
        <v>81</v>
      </c>
      <c r="O727" t="s">
        <v>62</v>
      </c>
      <c r="P727" t="s">
        <v>63</v>
      </c>
      <c r="Q727" t="s">
        <v>64</v>
      </c>
      <c r="R727" t="s">
        <v>65</v>
      </c>
      <c r="S727" t="s">
        <v>74</v>
      </c>
      <c r="T727" t="s">
        <v>64</v>
      </c>
      <c r="U727" t="s">
        <v>75</v>
      </c>
      <c r="V727">
        <v>422.07</v>
      </c>
      <c r="W727" t="s">
        <v>67</v>
      </c>
      <c r="X727">
        <v>16.57</v>
      </c>
      <c r="Y727" t="s">
        <v>96</v>
      </c>
      <c r="Z727">
        <v>8.1</v>
      </c>
      <c r="AA727" t="s">
        <v>67</v>
      </c>
      <c r="AB727">
        <v>0.05</v>
      </c>
      <c r="AC727">
        <v>423.94</v>
      </c>
      <c r="AD727" t="s">
        <v>67</v>
      </c>
      <c r="AE727">
        <v>16.579999999999998</v>
      </c>
      <c r="AF727">
        <v>8.1</v>
      </c>
      <c r="AG727" t="s">
        <v>67</v>
      </c>
      <c r="AH727">
        <v>0.05</v>
      </c>
      <c r="AI727">
        <v>15</v>
      </c>
      <c r="AJ727" t="s">
        <v>67</v>
      </c>
      <c r="AK727">
        <v>0.5</v>
      </c>
      <c r="AL727">
        <v>20</v>
      </c>
      <c r="AM727" t="s">
        <v>67</v>
      </c>
      <c r="AN727">
        <v>0.5</v>
      </c>
      <c r="AO727">
        <v>2</v>
      </c>
      <c r="AP727">
        <v>5</v>
      </c>
      <c r="AQ727" t="s">
        <v>201</v>
      </c>
      <c r="AR727" t="s">
        <v>511</v>
      </c>
      <c r="AS727" t="s">
        <v>361</v>
      </c>
      <c r="AT727" t="s">
        <v>70</v>
      </c>
      <c r="AU727" t="s">
        <v>383</v>
      </c>
      <c r="AV727" t="s">
        <v>363</v>
      </c>
      <c r="AX727" t="s">
        <v>73</v>
      </c>
      <c r="AY727">
        <v>2.6599999999999999E-2</v>
      </c>
      <c r="AZ727">
        <v>2.6610000000000002E-2</v>
      </c>
      <c r="BA727">
        <v>0.01</v>
      </c>
      <c r="BC727">
        <v>30</v>
      </c>
      <c r="BD727">
        <v>9.3100000000000002E-2</v>
      </c>
      <c r="BE727">
        <v>9.3133046999999997E-2</v>
      </c>
      <c r="BF727">
        <v>6.4000000000000003E-3</v>
      </c>
      <c r="BH727">
        <v>30</v>
      </c>
      <c r="BI727">
        <v>181</v>
      </c>
      <c r="BJ727">
        <v>5</v>
      </c>
      <c r="BK727">
        <v>1.2527999999999999</v>
      </c>
      <c r="BL727">
        <v>6.3299999999999995E-2</v>
      </c>
    </row>
    <row r="728" spans="1:65" hidden="1" x14ac:dyDescent="0.2">
      <c r="A728">
        <v>171</v>
      </c>
      <c r="D728" t="s">
        <v>54</v>
      </c>
      <c r="E728">
        <v>2015</v>
      </c>
      <c r="F728" t="s">
        <v>198</v>
      </c>
      <c r="G728" t="s">
        <v>199</v>
      </c>
      <c r="H728" t="s">
        <v>57</v>
      </c>
      <c r="K728" t="s">
        <v>79</v>
      </c>
      <c r="L728" t="s">
        <v>200</v>
      </c>
      <c r="M728" t="s">
        <v>81</v>
      </c>
      <c r="N728" t="s">
        <v>81</v>
      </c>
      <c r="O728" t="s">
        <v>62</v>
      </c>
      <c r="P728" t="s">
        <v>63</v>
      </c>
      <c r="Q728" t="s">
        <v>64</v>
      </c>
      <c r="R728" t="s">
        <v>65</v>
      </c>
      <c r="S728" t="s">
        <v>64</v>
      </c>
      <c r="T728" t="s">
        <v>64</v>
      </c>
      <c r="U728" t="s">
        <v>66</v>
      </c>
      <c r="V728">
        <v>422.07</v>
      </c>
      <c r="W728" t="s">
        <v>67</v>
      </c>
      <c r="X728">
        <v>16.57</v>
      </c>
      <c r="Y728" t="s">
        <v>96</v>
      </c>
      <c r="Z728">
        <v>8.1</v>
      </c>
      <c r="AA728" t="s">
        <v>67</v>
      </c>
      <c r="AB728">
        <v>0.05</v>
      </c>
      <c r="AC728">
        <v>1075</v>
      </c>
      <c r="AD728" t="s">
        <v>67</v>
      </c>
      <c r="AE728">
        <v>67.099999999999994</v>
      </c>
      <c r="AF728">
        <v>7.7</v>
      </c>
      <c r="AG728" t="s">
        <v>67</v>
      </c>
      <c r="AH728">
        <v>0.05</v>
      </c>
      <c r="AI728">
        <v>15</v>
      </c>
      <c r="AJ728" t="s">
        <v>67</v>
      </c>
      <c r="AK728">
        <v>0.5</v>
      </c>
      <c r="AL728">
        <v>18</v>
      </c>
      <c r="AM728" t="s">
        <v>67</v>
      </c>
      <c r="AN728">
        <v>0.5</v>
      </c>
      <c r="AO728">
        <v>653</v>
      </c>
      <c r="AP728">
        <v>3</v>
      </c>
      <c r="AQ728" t="s">
        <v>201</v>
      </c>
      <c r="AR728" t="s">
        <v>511</v>
      </c>
      <c r="AS728" t="s">
        <v>361</v>
      </c>
      <c r="AT728" t="s">
        <v>70</v>
      </c>
      <c r="AU728" t="s">
        <v>383</v>
      </c>
      <c r="AV728" t="s">
        <v>363</v>
      </c>
      <c r="AX728" t="s">
        <v>73</v>
      </c>
      <c r="AY728">
        <v>2.6599999999999999E-2</v>
      </c>
      <c r="AZ728">
        <v>2.6610000000000002E-2</v>
      </c>
      <c r="BA728">
        <v>0.01</v>
      </c>
      <c r="BC728">
        <v>30</v>
      </c>
      <c r="BD728">
        <v>0.1275</v>
      </c>
      <c r="BE728">
        <v>0.12746781099999999</v>
      </c>
      <c r="BF728">
        <v>9.4000000000000004E-3</v>
      </c>
      <c r="BH728">
        <v>30</v>
      </c>
      <c r="BI728">
        <v>153</v>
      </c>
      <c r="BJ728">
        <v>5</v>
      </c>
      <c r="BK728">
        <v>1.5666</v>
      </c>
      <c r="BL728">
        <v>6.4000000000000001E-2</v>
      </c>
    </row>
    <row r="729" spans="1:65" x14ac:dyDescent="0.2">
      <c r="A729">
        <v>173</v>
      </c>
      <c r="B729" t="str">
        <f>ROW()-1&amp;"_AltersFish"</f>
        <v>728_AltersFish</v>
      </c>
      <c r="C729" t="str">
        <f>A729 &amp; "_" &amp; P729 &amp; "_" &amp;
SUBSTITUTE(TRIM(L729)," ","_") &amp;
"_pH" &amp; TEXT(Z729,"0.00") &amp;
"_T" &amp; TEXT(AI729,"0.00") &amp;
"_CO2" &amp; TEXT(V729,"0") &amp;
"_LANG"</f>
        <v>173_LARVA_Dicentrarchus_labrax_pH8.03_T17.00_CO2598_LANG</v>
      </c>
      <c r="D729" t="s">
        <v>54</v>
      </c>
      <c r="E729">
        <v>2014</v>
      </c>
      <c r="F729" t="s">
        <v>257</v>
      </c>
      <c r="G729" t="s">
        <v>258</v>
      </c>
      <c r="H729" t="s">
        <v>78</v>
      </c>
      <c r="I729" t="s">
        <v>540</v>
      </c>
      <c r="J729" t="s">
        <v>543</v>
      </c>
      <c r="K729" t="s">
        <v>79</v>
      </c>
      <c r="L729" t="s">
        <v>210</v>
      </c>
      <c r="M729" t="s">
        <v>156</v>
      </c>
      <c r="N729" t="s">
        <v>156</v>
      </c>
      <c r="O729" t="s">
        <v>106</v>
      </c>
      <c r="P729" t="s">
        <v>107</v>
      </c>
      <c r="Q729" t="s">
        <v>74</v>
      </c>
      <c r="R729" t="s">
        <v>83</v>
      </c>
      <c r="S729" t="s">
        <v>74</v>
      </c>
      <c r="T729" t="s">
        <v>64</v>
      </c>
      <c r="U729" t="s">
        <v>75</v>
      </c>
      <c r="V729">
        <v>598.33000000000004</v>
      </c>
      <c r="W729" t="s">
        <v>67</v>
      </c>
      <c r="X729">
        <v>38.33</v>
      </c>
      <c r="Y729" t="s">
        <v>96</v>
      </c>
      <c r="Z729">
        <v>8.0299999999999994</v>
      </c>
      <c r="AA729" t="s">
        <v>67</v>
      </c>
      <c r="AB729">
        <v>0.03</v>
      </c>
      <c r="AC729">
        <v>586</v>
      </c>
      <c r="AD729" t="s">
        <v>67</v>
      </c>
      <c r="AE729">
        <v>46</v>
      </c>
      <c r="AF729">
        <v>8.0299999999999994</v>
      </c>
      <c r="AG729" t="s">
        <v>67</v>
      </c>
      <c r="AH729">
        <v>0.03</v>
      </c>
      <c r="AI729">
        <v>17</v>
      </c>
      <c r="AJ729" t="s">
        <v>67</v>
      </c>
      <c r="AK729">
        <v>0.34</v>
      </c>
      <c r="AL729">
        <v>18.899999999999999</v>
      </c>
      <c r="AM729" t="s">
        <v>67</v>
      </c>
      <c r="AN729">
        <v>0.64</v>
      </c>
      <c r="AO729">
        <v>-12</v>
      </c>
      <c r="AP729">
        <v>1.8</v>
      </c>
      <c r="AQ729" t="s">
        <v>67</v>
      </c>
      <c r="AR729" t="s">
        <v>259</v>
      </c>
      <c r="AS729" t="s">
        <v>260</v>
      </c>
      <c r="AT729" t="s">
        <v>135</v>
      </c>
      <c r="AU729" t="s">
        <v>261</v>
      </c>
      <c r="AV729" t="s">
        <v>11</v>
      </c>
      <c r="AW729" t="s">
        <v>72</v>
      </c>
      <c r="AX729" t="s">
        <v>73</v>
      </c>
      <c r="AY729">
        <v>768</v>
      </c>
      <c r="AZ729">
        <v>768</v>
      </c>
      <c r="BA729">
        <v>14</v>
      </c>
      <c r="BB729">
        <f>BA729*SQRT(BC729)</f>
        <v>44.271887242357316</v>
      </c>
      <c r="BC729">
        <v>10</v>
      </c>
      <c r="BD729">
        <v>922</v>
      </c>
      <c r="BE729">
        <v>922</v>
      </c>
      <c r="BF729">
        <v>36</v>
      </c>
      <c r="BG729">
        <f>BF729*SQRT(BH729)</f>
        <v>113.84199576606166</v>
      </c>
      <c r="BH729">
        <v>10</v>
      </c>
      <c r="BI729">
        <v>42</v>
      </c>
      <c r="BJ729">
        <v>3</v>
      </c>
      <c r="BK729">
        <v>0.18279999999999999</v>
      </c>
      <c r="BL729">
        <v>1.9E-3</v>
      </c>
    </row>
    <row r="730" spans="1:65" hidden="1" x14ac:dyDescent="0.2">
      <c r="A730">
        <v>142</v>
      </c>
      <c r="D730" t="s">
        <v>54</v>
      </c>
      <c r="E730">
        <v>2017</v>
      </c>
      <c r="F730" t="s">
        <v>193</v>
      </c>
      <c r="G730" t="s">
        <v>181</v>
      </c>
      <c r="H730" t="s">
        <v>78</v>
      </c>
      <c r="K730" t="s">
        <v>194</v>
      </c>
      <c r="L730" t="s">
        <v>215</v>
      </c>
      <c r="M730" t="s">
        <v>120</v>
      </c>
      <c r="N730" t="s">
        <v>120</v>
      </c>
      <c r="O730" t="s">
        <v>62</v>
      </c>
      <c r="P730" t="s">
        <v>196</v>
      </c>
      <c r="Q730" t="s">
        <v>64</v>
      </c>
      <c r="R730" t="s">
        <v>83</v>
      </c>
      <c r="S730" t="s">
        <v>64</v>
      </c>
      <c r="T730" t="s">
        <v>64</v>
      </c>
      <c r="U730" t="s">
        <v>66</v>
      </c>
      <c r="V730">
        <v>439</v>
      </c>
      <c r="W730">
        <v>16.079999999999998</v>
      </c>
      <c r="X730" t="s">
        <v>67</v>
      </c>
      <c r="Y730" t="s">
        <v>67</v>
      </c>
      <c r="Z730" t="s">
        <v>67</v>
      </c>
      <c r="AA730" t="s">
        <v>67</v>
      </c>
      <c r="AB730" t="s">
        <v>67</v>
      </c>
      <c r="AC730">
        <v>1027</v>
      </c>
      <c r="AD730">
        <v>9.0299999999999994</v>
      </c>
      <c r="AE730" t="s">
        <v>67</v>
      </c>
      <c r="AF730" t="s">
        <v>67</v>
      </c>
      <c r="AG730" t="s">
        <v>67</v>
      </c>
      <c r="AH730" t="s">
        <v>67</v>
      </c>
      <c r="AI730">
        <v>-0.6</v>
      </c>
      <c r="AJ730">
        <v>0.17</v>
      </c>
      <c r="AK730" t="s">
        <v>67</v>
      </c>
      <c r="AL730">
        <v>4.2</v>
      </c>
      <c r="AM730">
        <v>0.56000000000000005</v>
      </c>
      <c r="AN730" t="s">
        <v>67</v>
      </c>
      <c r="AO730">
        <v>588</v>
      </c>
      <c r="AP730">
        <v>4.8</v>
      </c>
      <c r="AQ730" t="s">
        <v>67</v>
      </c>
      <c r="AR730" t="s">
        <v>113</v>
      </c>
      <c r="AS730" t="s">
        <v>113</v>
      </c>
      <c r="AT730" t="s">
        <v>70</v>
      </c>
      <c r="AU730" t="s">
        <v>398</v>
      </c>
      <c r="AV730" t="s">
        <v>72</v>
      </c>
      <c r="AX730" t="s">
        <v>73</v>
      </c>
      <c r="AY730">
        <v>-8.1000000000000003E-2</v>
      </c>
      <c r="AZ730">
        <v>-8.1000000000000003E-2</v>
      </c>
      <c r="BA730">
        <v>0.02</v>
      </c>
      <c r="BC730">
        <v>5</v>
      </c>
      <c r="BD730">
        <v>-0.154</v>
      </c>
      <c r="BE730">
        <v>-0.15</v>
      </c>
      <c r="BF730">
        <v>0.01</v>
      </c>
      <c r="BH730">
        <v>5</v>
      </c>
      <c r="BI730">
        <v>56</v>
      </c>
      <c r="BJ730">
        <v>1</v>
      </c>
      <c r="BK730">
        <v>-0.64249999999999996</v>
      </c>
      <c r="BL730">
        <v>6.5199999999999994E-2</v>
      </c>
      <c r="BM730" t="s">
        <v>460</v>
      </c>
    </row>
    <row r="731" spans="1:65" hidden="1" x14ac:dyDescent="0.2">
      <c r="A731">
        <v>171</v>
      </c>
      <c r="D731" t="s">
        <v>54</v>
      </c>
      <c r="E731">
        <v>2015</v>
      </c>
      <c r="F731" t="s">
        <v>198</v>
      </c>
      <c r="G731" t="s">
        <v>199</v>
      </c>
      <c r="H731" t="s">
        <v>57</v>
      </c>
      <c r="K731" t="s">
        <v>79</v>
      </c>
      <c r="L731" t="s">
        <v>200</v>
      </c>
      <c r="M731" t="s">
        <v>81</v>
      </c>
      <c r="N731" t="s">
        <v>81</v>
      </c>
      <c r="O731" t="s">
        <v>62</v>
      </c>
      <c r="P731" t="s">
        <v>63</v>
      </c>
      <c r="Q731" t="s">
        <v>64</v>
      </c>
      <c r="R731" t="s">
        <v>65</v>
      </c>
      <c r="S731" t="s">
        <v>64</v>
      </c>
      <c r="T731" t="s">
        <v>74</v>
      </c>
      <c r="U731" t="s">
        <v>84</v>
      </c>
      <c r="V731">
        <v>422.07</v>
      </c>
      <c r="W731" t="s">
        <v>67</v>
      </c>
      <c r="X731">
        <v>16.57</v>
      </c>
      <c r="Y731" t="s">
        <v>96</v>
      </c>
      <c r="Z731">
        <v>8.1</v>
      </c>
      <c r="AA731" t="s">
        <v>67</v>
      </c>
      <c r="AB731">
        <v>0.05</v>
      </c>
      <c r="AC731">
        <v>1115.6199999999999</v>
      </c>
      <c r="AD731" t="s">
        <v>67</v>
      </c>
      <c r="AE731">
        <v>59.33</v>
      </c>
      <c r="AF731">
        <v>7.7</v>
      </c>
      <c r="AG731" t="s">
        <v>67</v>
      </c>
      <c r="AH731">
        <v>0.05</v>
      </c>
      <c r="AI731">
        <v>15</v>
      </c>
      <c r="AJ731" t="s">
        <v>67</v>
      </c>
      <c r="AK731">
        <v>0.5</v>
      </c>
      <c r="AL731">
        <v>15</v>
      </c>
      <c r="AM731" t="s">
        <v>67</v>
      </c>
      <c r="AN731">
        <v>0.5</v>
      </c>
      <c r="AO731">
        <v>694</v>
      </c>
      <c r="AP731">
        <v>0</v>
      </c>
      <c r="AQ731" t="s">
        <v>218</v>
      </c>
      <c r="AR731" t="s">
        <v>511</v>
      </c>
      <c r="AS731" t="s">
        <v>361</v>
      </c>
      <c r="AT731" t="s">
        <v>70</v>
      </c>
      <c r="AU731" t="s">
        <v>383</v>
      </c>
      <c r="AV731" t="s">
        <v>363</v>
      </c>
      <c r="AX731" t="s">
        <v>73</v>
      </c>
      <c r="AY731">
        <v>3.1800000000000002E-2</v>
      </c>
      <c r="AZ731">
        <v>3.1759999999999997E-2</v>
      </c>
      <c r="BA731">
        <v>0.01</v>
      </c>
      <c r="BC731">
        <v>29</v>
      </c>
      <c r="BD731">
        <v>3.8600000000000002E-2</v>
      </c>
      <c r="BE731">
        <v>3.8626608999999999E-2</v>
      </c>
      <c r="BF731">
        <v>5.5999999999999999E-3</v>
      </c>
      <c r="BH731">
        <v>29</v>
      </c>
      <c r="BI731">
        <v>224</v>
      </c>
      <c r="BJ731">
        <v>5</v>
      </c>
      <c r="BK731">
        <v>0.19570000000000001</v>
      </c>
      <c r="BL731">
        <v>6.7599999999999993E-2</v>
      </c>
    </row>
    <row r="732" spans="1:65" hidden="1" x14ac:dyDescent="0.2">
      <c r="A732">
        <v>139</v>
      </c>
      <c r="D732" t="s">
        <v>54</v>
      </c>
      <c r="E732">
        <v>2018</v>
      </c>
      <c r="F732" t="s">
        <v>214</v>
      </c>
      <c r="G732" t="s">
        <v>154</v>
      </c>
      <c r="H732" t="s">
        <v>78</v>
      </c>
      <c r="K732" t="s">
        <v>194</v>
      </c>
      <c r="L732" t="s">
        <v>215</v>
      </c>
      <c r="M732" t="s">
        <v>120</v>
      </c>
      <c r="N732" t="s">
        <v>120</v>
      </c>
      <c r="O732" t="s">
        <v>62</v>
      </c>
      <c r="P732" t="s">
        <v>63</v>
      </c>
      <c r="Q732" t="s">
        <v>64</v>
      </c>
      <c r="R732" t="s">
        <v>83</v>
      </c>
      <c r="S732" t="s">
        <v>64</v>
      </c>
      <c r="T732" t="s">
        <v>74</v>
      </c>
      <c r="U732" t="s">
        <v>84</v>
      </c>
      <c r="V732">
        <v>458</v>
      </c>
      <c r="W732" t="s">
        <v>67</v>
      </c>
      <c r="X732">
        <v>30</v>
      </c>
      <c r="Y732" t="s">
        <v>68</v>
      </c>
      <c r="Z732">
        <v>7.98</v>
      </c>
      <c r="AA732" t="s">
        <v>67</v>
      </c>
      <c r="AB732">
        <v>0.03</v>
      </c>
      <c r="AC732">
        <v>958</v>
      </c>
      <c r="AD732" t="s">
        <v>67</v>
      </c>
      <c r="AE732">
        <v>33</v>
      </c>
      <c r="AF732">
        <v>7.7</v>
      </c>
      <c r="AG732" t="s">
        <v>67</v>
      </c>
      <c r="AH732">
        <v>0.01</v>
      </c>
      <c r="AI732">
        <v>-1</v>
      </c>
      <c r="AJ732" t="s">
        <v>67</v>
      </c>
      <c r="AK732">
        <v>0.1</v>
      </c>
      <c r="AL732">
        <v>-1</v>
      </c>
      <c r="AM732" t="s">
        <v>67</v>
      </c>
      <c r="AN732">
        <v>0.1</v>
      </c>
      <c r="AO732">
        <v>500</v>
      </c>
      <c r="AP732">
        <v>0</v>
      </c>
      <c r="AQ732" t="s">
        <v>67</v>
      </c>
      <c r="AR732" t="s">
        <v>356</v>
      </c>
      <c r="AS732" t="s">
        <v>134</v>
      </c>
      <c r="AT732" t="s">
        <v>135</v>
      </c>
      <c r="AU732" t="s">
        <v>272</v>
      </c>
      <c r="AV732" t="s">
        <v>137</v>
      </c>
      <c r="AX732" t="s">
        <v>73</v>
      </c>
      <c r="AY732">
        <v>2.31</v>
      </c>
      <c r="AZ732">
        <v>2.31</v>
      </c>
      <c r="BA732">
        <v>0.36</v>
      </c>
      <c r="BC732">
        <v>9</v>
      </c>
      <c r="BD732">
        <v>1.38</v>
      </c>
      <c r="BE732">
        <v>1.38</v>
      </c>
      <c r="BF732">
        <v>0.28999999999999998</v>
      </c>
      <c r="BH732">
        <v>11</v>
      </c>
      <c r="BI732">
        <v>28</v>
      </c>
      <c r="BJ732">
        <v>3</v>
      </c>
      <c r="BK732">
        <v>-0.51519999999999999</v>
      </c>
      <c r="BL732">
        <v>6.8400000000000002E-2</v>
      </c>
    </row>
    <row r="733" spans="1:65" hidden="1" x14ac:dyDescent="0.2">
      <c r="A733">
        <v>147</v>
      </c>
      <c r="D733" t="s">
        <v>54</v>
      </c>
      <c r="E733">
        <v>2014</v>
      </c>
      <c r="F733" t="s">
        <v>317</v>
      </c>
      <c r="G733" t="s">
        <v>318</v>
      </c>
      <c r="H733" t="s">
        <v>78</v>
      </c>
      <c r="K733" t="s">
        <v>319</v>
      </c>
      <c r="L733" t="s">
        <v>320</v>
      </c>
      <c r="M733" t="s">
        <v>81</v>
      </c>
      <c r="N733" t="s">
        <v>81</v>
      </c>
      <c r="O733" t="s">
        <v>62</v>
      </c>
      <c r="P733" t="s">
        <v>63</v>
      </c>
      <c r="Q733" t="s">
        <v>74</v>
      </c>
      <c r="R733" t="s">
        <v>83</v>
      </c>
      <c r="S733" t="s">
        <v>74</v>
      </c>
      <c r="T733" t="s">
        <v>64</v>
      </c>
      <c r="U733" t="s">
        <v>75</v>
      </c>
      <c r="V733">
        <v>330</v>
      </c>
      <c r="W733">
        <v>9.5</v>
      </c>
      <c r="X733" t="s">
        <v>67</v>
      </c>
      <c r="Y733" t="s">
        <v>68</v>
      </c>
      <c r="Z733">
        <v>8.11</v>
      </c>
      <c r="AA733">
        <v>0.01</v>
      </c>
      <c r="AB733" t="s">
        <v>67</v>
      </c>
      <c r="AC733">
        <v>643</v>
      </c>
      <c r="AD733">
        <v>14.5</v>
      </c>
      <c r="AE733" t="s">
        <v>67</v>
      </c>
      <c r="AF733">
        <v>7.87</v>
      </c>
      <c r="AG733">
        <v>0.01</v>
      </c>
      <c r="AH733" t="s">
        <v>67</v>
      </c>
      <c r="AI733">
        <v>5.2</v>
      </c>
      <c r="AJ733">
        <v>0.11</v>
      </c>
      <c r="AK733" t="s">
        <v>67</v>
      </c>
      <c r="AL733">
        <v>17.899999999999999</v>
      </c>
      <c r="AM733">
        <v>0.03</v>
      </c>
      <c r="AN733" t="s">
        <v>67</v>
      </c>
      <c r="AO733">
        <v>313</v>
      </c>
      <c r="AP733">
        <v>12.7</v>
      </c>
      <c r="AQ733" t="s">
        <v>67</v>
      </c>
      <c r="AR733" t="s">
        <v>520</v>
      </c>
      <c r="AS733" t="s">
        <v>520</v>
      </c>
      <c r="AT733" t="s">
        <v>135</v>
      </c>
      <c r="AU733" t="s">
        <v>521</v>
      </c>
      <c r="AV733" t="s">
        <v>132</v>
      </c>
      <c r="AX733" t="s">
        <v>73</v>
      </c>
      <c r="AY733">
        <v>37.741</v>
      </c>
      <c r="AZ733">
        <v>37.741050000000001</v>
      </c>
      <c r="BA733">
        <v>7.16</v>
      </c>
      <c r="BC733">
        <v>6</v>
      </c>
      <c r="BD733">
        <v>51.5152</v>
      </c>
      <c r="BE733">
        <v>51.515151520000003</v>
      </c>
      <c r="BF733">
        <v>9.3664000000000005</v>
      </c>
      <c r="BH733">
        <v>6</v>
      </c>
      <c r="BI733">
        <v>105</v>
      </c>
      <c r="BJ733">
        <v>2</v>
      </c>
      <c r="BK733">
        <v>0.31109999999999999</v>
      </c>
      <c r="BL733">
        <v>6.9099999999999995E-2</v>
      </c>
    </row>
    <row r="734" spans="1:65" hidden="1" x14ac:dyDescent="0.2">
      <c r="A734">
        <v>159</v>
      </c>
      <c r="D734" t="s">
        <v>54</v>
      </c>
      <c r="E734">
        <v>2018</v>
      </c>
      <c r="F734" t="s">
        <v>326</v>
      </c>
      <c r="G734" t="s">
        <v>327</v>
      </c>
      <c r="H734" t="s">
        <v>78</v>
      </c>
      <c r="K734" t="s">
        <v>205</v>
      </c>
      <c r="L734" t="s">
        <v>225</v>
      </c>
      <c r="M734" t="s">
        <v>120</v>
      </c>
      <c r="N734" t="s">
        <v>120</v>
      </c>
      <c r="O734" t="s">
        <v>110</v>
      </c>
      <c r="P734" t="s">
        <v>196</v>
      </c>
      <c r="Q734" t="s">
        <v>64</v>
      </c>
      <c r="R734" t="s">
        <v>83</v>
      </c>
      <c r="S734" t="s">
        <v>74</v>
      </c>
      <c r="T734" t="s">
        <v>64</v>
      </c>
      <c r="U734" t="s">
        <v>75</v>
      </c>
      <c r="V734">
        <v>390</v>
      </c>
      <c r="W734" t="s">
        <v>67</v>
      </c>
      <c r="X734" t="s">
        <v>67</v>
      </c>
      <c r="Y734" t="s">
        <v>67</v>
      </c>
      <c r="Z734" t="s">
        <v>67</v>
      </c>
      <c r="AA734" t="s">
        <v>67</v>
      </c>
      <c r="AB734" t="s">
        <v>67</v>
      </c>
      <c r="AC734">
        <v>390</v>
      </c>
      <c r="AD734" t="s">
        <v>67</v>
      </c>
      <c r="AE734" t="s">
        <v>67</v>
      </c>
      <c r="AF734" t="s">
        <v>67</v>
      </c>
      <c r="AG734" t="s">
        <v>67</v>
      </c>
      <c r="AH734" t="s">
        <v>67</v>
      </c>
      <c r="AI734">
        <v>0</v>
      </c>
      <c r="AJ734" t="s">
        <v>67</v>
      </c>
      <c r="AK734" t="s">
        <v>67</v>
      </c>
      <c r="AL734">
        <v>8</v>
      </c>
      <c r="AM734" t="s">
        <v>67</v>
      </c>
      <c r="AN734" t="s">
        <v>67</v>
      </c>
      <c r="AO734">
        <v>0</v>
      </c>
      <c r="AP734">
        <v>8</v>
      </c>
      <c r="AQ734" t="s">
        <v>67</v>
      </c>
      <c r="AR734" t="s">
        <v>361</v>
      </c>
      <c r="AS734" t="s">
        <v>361</v>
      </c>
      <c r="AT734" t="s">
        <v>70</v>
      </c>
      <c r="AU734" t="s">
        <v>510</v>
      </c>
      <c r="AV734" t="s">
        <v>363</v>
      </c>
      <c r="AX734" t="s">
        <v>73</v>
      </c>
      <c r="AY734">
        <v>4.3200000000000002E-2</v>
      </c>
      <c r="AZ734">
        <v>4.3200000000000002E-2</v>
      </c>
      <c r="BA734">
        <v>0.01</v>
      </c>
      <c r="BC734">
        <v>5</v>
      </c>
      <c r="BD734">
        <v>4.9500000000000002E-2</v>
      </c>
      <c r="BE734">
        <v>4.9500000000000002E-2</v>
      </c>
      <c r="BF734">
        <v>8.3000000000000001E-3</v>
      </c>
      <c r="BH734">
        <v>5</v>
      </c>
      <c r="BI734">
        <v>120</v>
      </c>
      <c r="BJ734" t="s">
        <v>67</v>
      </c>
      <c r="BK734">
        <v>0.1361</v>
      </c>
      <c r="BL734">
        <v>6.9599999999999995E-2</v>
      </c>
    </row>
    <row r="735" spans="1:65" hidden="1" x14ac:dyDescent="0.2">
      <c r="A735">
        <v>153</v>
      </c>
      <c r="D735" t="s">
        <v>397</v>
      </c>
      <c r="E735">
        <v>2017</v>
      </c>
      <c r="F735" t="s">
        <v>335</v>
      </c>
      <c r="G735" t="s">
        <v>220</v>
      </c>
      <c r="H735" t="s">
        <v>78</v>
      </c>
      <c r="K735" t="s">
        <v>205</v>
      </c>
      <c r="L735" t="s">
        <v>206</v>
      </c>
      <c r="M735" t="s">
        <v>81</v>
      </c>
      <c r="N735" t="s">
        <v>81</v>
      </c>
      <c r="O735" t="s">
        <v>110</v>
      </c>
      <c r="P735" t="s">
        <v>63</v>
      </c>
      <c r="Q735" t="s">
        <v>64</v>
      </c>
      <c r="R735" t="s">
        <v>83</v>
      </c>
      <c r="S735" t="s">
        <v>74</v>
      </c>
      <c r="T735" t="s">
        <v>64</v>
      </c>
      <c r="U735" t="s">
        <v>75</v>
      </c>
      <c r="V735">
        <v>435</v>
      </c>
      <c r="W735" t="s">
        <v>67</v>
      </c>
      <c r="X735">
        <v>49.9</v>
      </c>
      <c r="Y735" t="s">
        <v>68</v>
      </c>
      <c r="Z735">
        <v>8.01</v>
      </c>
      <c r="AA735" t="s">
        <v>67</v>
      </c>
      <c r="AB735">
        <v>0.04</v>
      </c>
      <c r="AC735">
        <v>490</v>
      </c>
      <c r="AD735" t="s">
        <v>67</v>
      </c>
      <c r="AE735">
        <v>112.75</v>
      </c>
      <c r="AF735">
        <v>8</v>
      </c>
      <c r="AG735" t="s">
        <v>67</v>
      </c>
      <c r="AH735">
        <v>0.08</v>
      </c>
      <c r="AI735">
        <v>8.1999999999999993</v>
      </c>
      <c r="AJ735" t="s">
        <v>67</v>
      </c>
      <c r="AK735">
        <v>0.11</v>
      </c>
      <c r="AL735">
        <v>12</v>
      </c>
      <c r="AM735" t="s">
        <v>67</v>
      </c>
      <c r="AN735">
        <v>0.35</v>
      </c>
      <c r="AO735">
        <v>55</v>
      </c>
      <c r="AP735">
        <v>3.8</v>
      </c>
      <c r="AQ735" t="s">
        <v>67</v>
      </c>
      <c r="AR735" t="s">
        <v>440</v>
      </c>
      <c r="AS735" t="s">
        <v>337</v>
      </c>
      <c r="AT735" t="s">
        <v>70</v>
      </c>
      <c r="AU735" t="s">
        <v>441</v>
      </c>
      <c r="AV735" t="s">
        <v>132</v>
      </c>
      <c r="AX735" t="s">
        <v>73</v>
      </c>
      <c r="AY735">
        <v>36.047400000000003</v>
      </c>
      <c r="AZ735">
        <v>36.047430830000003</v>
      </c>
      <c r="BA735">
        <v>5.3754999999999997</v>
      </c>
      <c r="BC735">
        <v>5</v>
      </c>
      <c r="BD735">
        <v>39.209499999999998</v>
      </c>
      <c r="BE735">
        <v>39.209486169999998</v>
      </c>
      <c r="BF735">
        <v>8.5374999999999996</v>
      </c>
      <c r="BH735">
        <v>6</v>
      </c>
      <c r="BI735">
        <v>120</v>
      </c>
      <c r="BJ735">
        <v>8</v>
      </c>
      <c r="BK735">
        <v>8.4099999999999994E-2</v>
      </c>
      <c r="BL735">
        <v>6.9599999999999995E-2</v>
      </c>
    </row>
    <row r="736" spans="1:65" hidden="1" x14ac:dyDescent="0.2">
      <c r="A736">
        <v>142</v>
      </c>
      <c r="D736" t="s">
        <v>54</v>
      </c>
      <c r="E736">
        <v>2017</v>
      </c>
      <c r="F736" t="s">
        <v>193</v>
      </c>
      <c r="G736" t="s">
        <v>181</v>
      </c>
      <c r="H736" t="s">
        <v>78</v>
      </c>
      <c r="K736" t="s">
        <v>194</v>
      </c>
      <c r="L736" t="s">
        <v>299</v>
      </c>
      <c r="M736" t="s">
        <v>120</v>
      </c>
      <c r="N736" t="s">
        <v>120</v>
      </c>
      <c r="O736" t="s">
        <v>62</v>
      </c>
      <c r="P736" t="s">
        <v>196</v>
      </c>
      <c r="Q736" t="s">
        <v>64</v>
      </c>
      <c r="R736" t="s">
        <v>83</v>
      </c>
      <c r="S736" t="s">
        <v>74</v>
      </c>
      <c r="T736" t="s">
        <v>64</v>
      </c>
      <c r="U736" t="s">
        <v>75</v>
      </c>
      <c r="V736">
        <v>439</v>
      </c>
      <c r="W736">
        <v>16.079999999999998</v>
      </c>
      <c r="X736" t="s">
        <v>67</v>
      </c>
      <c r="Y736" t="s">
        <v>67</v>
      </c>
      <c r="Z736" t="s">
        <v>67</v>
      </c>
      <c r="AA736" t="s">
        <v>67</v>
      </c>
      <c r="AB736" t="s">
        <v>67</v>
      </c>
      <c r="AC736">
        <v>525</v>
      </c>
      <c r="AD736">
        <v>21.07</v>
      </c>
      <c r="AE736" t="s">
        <v>67</v>
      </c>
      <c r="AF736" t="s">
        <v>67</v>
      </c>
      <c r="AG736" t="s">
        <v>67</v>
      </c>
      <c r="AH736" t="s">
        <v>67</v>
      </c>
      <c r="AI736">
        <v>-0.6</v>
      </c>
      <c r="AJ736">
        <v>0.17</v>
      </c>
      <c r="AK736" t="s">
        <v>67</v>
      </c>
      <c r="AL736">
        <v>4</v>
      </c>
      <c r="AM736">
        <v>0.44</v>
      </c>
      <c r="AN736" t="s">
        <v>67</v>
      </c>
      <c r="AO736">
        <v>86</v>
      </c>
      <c r="AP736">
        <v>4.5999999999999996</v>
      </c>
      <c r="AQ736" t="s">
        <v>67</v>
      </c>
      <c r="AR736" t="s">
        <v>489</v>
      </c>
      <c r="AS736" t="s">
        <v>401</v>
      </c>
      <c r="AT736" t="s">
        <v>135</v>
      </c>
      <c r="AU736" t="s">
        <v>402</v>
      </c>
      <c r="AV736" t="s">
        <v>132</v>
      </c>
      <c r="AX736" t="s">
        <v>73</v>
      </c>
      <c r="AY736">
        <v>5.6360000000000001</v>
      </c>
      <c r="AZ736">
        <v>5.6360000000000001</v>
      </c>
      <c r="BA736">
        <v>0.56999999999999995</v>
      </c>
      <c r="BC736">
        <v>10</v>
      </c>
      <c r="BD736">
        <v>5.6029999999999998</v>
      </c>
      <c r="BE736">
        <v>5.6029999999999998</v>
      </c>
      <c r="BF736">
        <v>1.37</v>
      </c>
      <c r="BH736">
        <v>10</v>
      </c>
      <c r="BI736">
        <v>49</v>
      </c>
      <c r="BJ736">
        <v>1</v>
      </c>
      <c r="BK736">
        <v>-5.8999999999999999E-3</v>
      </c>
      <c r="BL736">
        <v>7.0000000000000007E-2</v>
      </c>
    </row>
    <row r="737" spans="1:65" x14ac:dyDescent="0.2">
      <c r="A737">
        <v>173</v>
      </c>
      <c r="B737" t="str">
        <f>ROW()-1&amp;"_AltersFish"</f>
        <v>736_AltersFish</v>
      </c>
      <c r="C737" t="str">
        <f>A737 &amp; "_" &amp; P737 &amp; "_" &amp;
SUBSTITUTE(TRIM(L737)," ","_") &amp;
"_pH" &amp; TEXT(Z737,"0.00") &amp;
"_T" &amp; TEXT(AI737,"0.00") &amp;
"_CO2" &amp; TEXT(V737,"0") &amp;
"_LANG"</f>
        <v>173_LARVA_Dicentrarchus_labrax_pH8.03_T17.00_CO2598_LANG</v>
      </c>
      <c r="D737" t="s">
        <v>54</v>
      </c>
      <c r="E737">
        <v>2014</v>
      </c>
      <c r="F737" t="s">
        <v>257</v>
      </c>
      <c r="G737" t="s">
        <v>258</v>
      </c>
      <c r="H737" t="s">
        <v>78</v>
      </c>
      <c r="I737" t="s">
        <v>540</v>
      </c>
      <c r="J737" t="s">
        <v>543</v>
      </c>
      <c r="K737" t="s">
        <v>79</v>
      </c>
      <c r="L737" t="s">
        <v>210</v>
      </c>
      <c r="M737" t="s">
        <v>156</v>
      </c>
      <c r="N737" t="s">
        <v>156</v>
      </c>
      <c r="O737" t="s">
        <v>106</v>
      </c>
      <c r="P737" t="s">
        <v>107</v>
      </c>
      <c r="Q737" t="s">
        <v>74</v>
      </c>
      <c r="R737" t="s">
        <v>83</v>
      </c>
      <c r="S737" t="s">
        <v>64</v>
      </c>
      <c r="T737" t="s">
        <v>74</v>
      </c>
      <c r="U737" t="s">
        <v>84</v>
      </c>
      <c r="V737">
        <v>598.33000000000004</v>
      </c>
      <c r="W737" t="s">
        <v>67</v>
      </c>
      <c r="X737">
        <v>38.33</v>
      </c>
      <c r="Y737" t="s">
        <v>96</v>
      </c>
      <c r="Z737">
        <v>8.0299999999999994</v>
      </c>
      <c r="AA737" t="s">
        <v>67</v>
      </c>
      <c r="AB737">
        <v>0.03</v>
      </c>
      <c r="AC737">
        <v>1004</v>
      </c>
      <c r="AD737" t="s">
        <v>67</v>
      </c>
      <c r="AE737">
        <v>92.33</v>
      </c>
      <c r="AF737">
        <v>7.82</v>
      </c>
      <c r="AG737" t="s">
        <v>67</v>
      </c>
      <c r="AH737">
        <v>0.05</v>
      </c>
      <c r="AI737">
        <v>17</v>
      </c>
      <c r="AJ737" t="s">
        <v>67</v>
      </c>
      <c r="AK737">
        <v>0.34</v>
      </c>
      <c r="AL737">
        <v>17</v>
      </c>
      <c r="AM737" t="s">
        <v>67</v>
      </c>
      <c r="AN737">
        <v>0.34</v>
      </c>
      <c r="AO737">
        <v>406</v>
      </c>
      <c r="AP737">
        <v>0</v>
      </c>
      <c r="AQ737" t="s">
        <v>67</v>
      </c>
      <c r="AR737" t="s">
        <v>259</v>
      </c>
      <c r="AS737" t="s">
        <v>260</v>
      </c>
      <c r="AT737" t="s">
        <v>135</v>
      </c>
      <c r="AU737" t="s">
        <v>261</v>
      </c>
      <c r="AV737" t="s">
        <v>11</v>
      </c>
      <c r="AW737" t="s">
        <v>72</v>
      </c>
      <c r="AX737" t="s">
        <v>73</v>
      </c>
      <c r="AY737">
        <v>768</v>
      </c>
      <c r="AZ737">
        <v>768</v>
      </c>
      <c r="BA737">
        <v>14</v>
      </c>
      <c r="BB737">
        <f>BA737*SQRT(BC737)</f>
        <v>44.271887242357316</v>
      </c>
      <c r="BC737">
        <v>10</v>
      </c>
      <c r="BD737">
        <v>750</v>
      </c>
      <c r="BE737">
        <v>750</v>
      </c>
      <c r="BF737">
        <v>28</v>
      </c>
      <c r="BG737">
        <f>BF737*SQRT(BH737)</f>
        <v>88.543774484714632</v>
      </c>
      <c r="BH737">
        <v>10</v>
      </c>
      <c r="BI737">
        <v>42</v>
      </c>
      <c r="BJ737">
        <v>3</v>
      </c>
      <c r="BK737">
        <v>-2.3699999999999999E-2</v>
      </c>
      <c r="BL737">
        <v>1.6999999999999999E-3</v>
      </c>
    </row>
    <row r="738" spans="1:65" hidden="1" x14ac:dyDescent="0.2">
      <c r="A738">
        <v>134</v>
      </c>
      <c r="D738" t="s">
        <v>54</v>
      </c>
      <c r="E738">
        <v>2017</v>
      </c>
      <c r="F738" t="s">
        <v>435</v>
      </c>
      <c r="G738" t="s">
        <v>56</v>
      </c>
      <c r="H738" t="s">
        <v>78</v>
      </c>
      <c r="K738" t="s">
        <v>522</v>
      </c>
      <c r="L738" t="s">
        <v>523</v>
      </c>
      <c r="M738" t="s">
        <v>95</v>
      </c>
      <c r="N738" t="s">
        <v>61</v>
      </c>
      <c r="O738" t="s">
        <v>62</v>
      </c>
      <c r="P738" t="s">
        <v>196</v>
      </c>
      <c r="Q738" t="s">
        <v>64</v>
      </c>
      <c r="R738" t="s">
        <v>83</v>
      </c>
      <c r="S738" t="s">
        <v>64</v>
      </c>
      <c r="T738" t="s">
        <v>64</v>
      </c>
      <c r="U738" t="s">
        <v>66</v>
      </c>
      <c r="V738">
        <v>396</v>
      </c>
      <c r="W738">
        <v>0.8</v>
      </c>
      <c r="X738" t="s">
        <v>67</v>
      </c>
      <c r="Y738" t="s">
        <v>96</v>
      </c>
      <c r="Z738">
        <v>8.18</v>
      </c>
      <c r="AA738">
        <v>0.01</v>
      </c>
      <c r="AB738" t="s">
        <v>67</v>
      </c>
      <c r="AC738">
        <v>935</v>
      </c>
      <c r="AD738">
        <v>19</v>
      </c>
      <c r="AE738" t="s">
        <v>67</v>
      </c>
      <c r="AF738">
        <v>7.87</v>
      </c>
      <c r="AG738">
        <v>0.01</v>
      </c>
      <c r="AH738" t="s">
        <v>67</v>
      </c>
      <c r="AI738">
        <v>26.7</v>
      </c>
      <c r="AJ738">
        <v>0.1</v>
      </c>
      <c r="AK738" t="s">
        <v>67</v>
      </c>
      <c r="AL738">
        <v>29.8</v>
      </c>
      <c r="AM738">
        <v>0.1</v>
      </c>
      <c r="AN738" t="s">
        <v>67</v>
      </c>
      <c r="AO738">
        <v>539</v>
      </c>
      <c r="AP738">
        <v>3.1</v>
      </c>
      <c r="AQ738" t="s">
        <v>67</v>
      </c>
      <c r="AR738" t="s">
        <v>524</v>
      </c>
      <c r="AS738" t="s">
        <v>524</v>
      </c>
      <c r="AT738" t="s">
        <v>135</v>
      </c>
      <c r="AU738" t="s">
        <v>67</v>
      </c>
      <c r="AV738" t="s">
        <v>251</v>
      </c>
      <c r="AX738" t="s">
        <v>73</v>
      </c>
      <c r="AY738">
        <v>1.49</v>
      </c>
      <c r="AZ738">
        <v>1.49</v>
      </c>
      <c r="BA738">
        <v>0.26</v>
      </c>
      <c r="BC738">
        <v>17</v>
      </c>
      <c r="BD738">
        <v>2.37</v>
      </c>
      <c r="BE738">
        <v>2.37</v>
      </c>
      <c r="BF738">
        <v>0.48</v>
      </c>
      <c r="BH738">
        <v>18</v>
      </c>
      <c r="BI738">
        <v>7</v>
      </c>
      <c r="BJ738">
        <v>3</v>
      </c>
      <c r="BK738">
        <v>0.46410000000000001</v>
      </c>
      <c r="BL738">
        <v>7.1499999999999994E-2</v>
      </c>
    </row>
    <row r="739" spans="1:65" x14ac:dyDescent="0.2">
      <c r="A739">
        <v>168</v>
      </c>
      <c r="B739" t="str">
        <f>ROW()-1&amp;"_AltersFish"</f>
        <v>738_AltersFish</v>
      </c>
      <c r="C739" t="str">
        <f>A739 &amp; "_" &amp; P739 &amp; "_" &amp;
SUBSTITUTE(TRIM(L739)," ","_") &amp;
"_pH" &amp; TEXT(Z739,"0.00") &amp;
"_T" &amp; TEXT(AI739,"0.00") &amp;
"_CO2" &amp; TEXT(V739,"0") &amp;
"_LANG"</f>
        <v>168_LARVA_Clupea_harengus_pH8.11_T10.40_CO2475_LANG</v>
      </c>
      <c r="D739" t="s">
        <v>54</v>
      </c>
      <c r="E739">
        <v>2018</v>
      </c>
      <c r="F739" t="s">
        <v>244</v>
      </c>
      <c r="G739" t="s">
        <v>245</v>
      </c>
      <c r="H739" t="s">
        <v>78</v>
      </c>
      <c r="I739" t="s">
        <v>540</v>
      </c>
      <c r="J739" t="s">
        <v>543</v>
      </c>
      <c r="K739" t="s">
        <v>79</v>
      </c>
      <c r="L739" t="s">
        <v>182</v>
      </c>
      <c r="M739" t="s">
        <v>81</v>
      </c>
      <c r="N739" t="s">
        <v>81</v>
      </c>
      <c r="O739" t="s">
        <v>106</v>
      </c>
      <c r="P739" t="s">
        <v>107</v>
      </c>
      <c r="Q739" t="s">
        <v>74</v>
      </c>
      <c r="R739" t="s">
        <v>83</v>
      </c>
      <c r="S739" t="s">
        <v>74</v>
      </c>
      <c r="T739" t="s">
        <v>64</v>
      </c>
      <c r="U739" t="s">
        <v>75</v>
      </c>
      <c r="V739">
        <v>475</v>
      </c>
      <c r="W739" t="s">
        <v>67</v>
      </c>
      <c r="X739">
        <v>20</v>
      </c>
      <c r="Y739" t="s">
        <v>96</v>
      </c>
      <c r="Z739">
        <v>8.11</v>
      </c>
      <c r="AA739" t="s">
        <v>67</v>
      </c>
      <c r="AB739">
        <v>0.05</v>
      </c>
      <c r="AC739">
        <v>479</v>
      </c>
      <c r="AD739" t="s">
        <v>67</v>
      </c>
      <c r="AE739">
        <v>15</v>
      </c>
      <c r="AF739">
        <v>8.1</v>
      </c>
      <c r="AG739" t="s">
        <v>67</v>
      </c>
      <c r="AH739">
        <v>0.06</v>
      </c>
      <c r="AI739">
        <v>10.4</v>
      </c>
      <c r="AJ739" t="s">
        <v>67</v>
      </c>
      <c r="AK739">
        <v>0.2</v>
      </c>
      <c r="AL739">
        <v>12.4</v>
      </c>
      <c r="AM739" t="s">
        <v>67</v>
      </c>
      <c r="AN739">
        <v>0.7</v>
      </c>
      <c r="AO739">
        <v>4</v>
      </c>
      <c r="AP739">
        <v>2</v>
      </c>
      <c r="AQ739" t="s">
        <v>67</v>
      </c>
      <c r="AR739" t="s">
        <v>246</v>
      </c>
      <c r="AS739" t="s">
        <v>113</v>
      </c>
      <c r="AT739" t="s">
        <v>70</v>
      </c>
      <c r="AU739" t="s">
        <v>247</v>
      </c>
      <c r="AV739" t="s">
        <v>72</v>
      </c>
      <c r="AW739" t="s">
        <v>72</v>
      </c>
      <c r="AX739" t="s">
        <v>73</v>
      </c>
      <c r="AY739">
        <v>1.23E-2</v>
      </c>
      <c r="AZ739">
        <v>1.2330000000000001E-2</v>
      </c>
      <c r="BA739">
        <v>4.0000000000000002E-4</v>
      </c>
      <c r="BB739">
        <f>BA739*SQRT(BC739)</f>
        <v>2.1908902300206644E-3</v>
      </c>
      <c r="BC739">
        <v>30</v>
      </c>
      <c r="BD739">
        <v>2.8400000000000002E-2</v>
      </c>
      <c r="BE739">
        <v>2.8351000000000001E-2</v>
      </c>
      <c r="BF739">
        <v>8.9999999999999998E-4</v>
      </c>
      <c r="BG739">
        <f>BF739*SQRT(BH739)</f>
        <v>4.9295030175464946E-3</v>
      </c>
      <c r="BH739">
        <v>30</v>
      </c>
      <c r="BI739">
        <v>32</v>
      </c>
      <c r="BJ739">
        <v>3</v>
      </c>
      <c r="BK739">
        <v>0.83289999999999997</v>
      </c>
      <c r="BL739">
        <v>2E-3</v>
      </c>
    </row>
    <row r="740" spans="1:65" hidden="1" x14ac:dyDescent="0.2">
      <c r="A740">
        <v>160</v>
      </c>
      <c r="D740" t="s">
        <v>54</v>
      </c>
      <c r="E740">
        <v>2018</v>
      </c>
      <c r="F740" t="s">
        <v>254</v>
      </c>
      <c r="G740" t="s">
        <v>255</v>
      </c>
      <c r="H740" t="s">
        <v>78</v>
      </c>
      <c r="K740" t="s">
        <v>189</v>
      </c>
      <c r="L740" t="s">
        <v>190</v>
      </c>
      <c r="M740" t="s">
        <v>156</v>
      </c>
      <c r="N740" t="s">
        <v>156</v>
      </c>
      <c r="O740" t="s">
        <v>110</v>
      </c>
      <c r="P740" t="s">
        <v>63</v>
      </c>
      <c r="Q740" t="s">
        <v>74</v>
      </c>
      <c r="R740" t="s">
        <v>83</v>
      </c>
      <c r="S740" t="s">
        <v>64</v>
      </c>
      <c r="T740" t="s">
        <v>74</v>
      </c>
      <c r="U740" t="s">
        <v>84</v>
      </c>
      <c r="V740">
        <v>500</v>
      </c>
      <c r="W740" t="s">
        <v>67</v>
      </c>
      <c r="X740" t="s">
        <v>67</v>
      </c>
      <c r="Y740" t="s">
        <v>67</v>
      </c>
      <c r="Z740" t="s">
        <v>67</v>
      </c>
      <c r="AA740" t="s">
        <v>67</v>
      </c>
      <c r="AB740" t="s">
        <v>67</v>
      </c>
      <c r="AC740">
        <v>1497</v>
      </c>
      <c r="AD740" t="s">
        <v>67</v>
      </c>
      <c r="AE740">
        <v>33</v>
      </c>
      <c r="AF740">
        <v>7.61</v>
      </c>
      <c r="AG740" t="s">
        <v>67</v>
      </c>
      <c r="AH740">
        <v>0.03</v>
      </c>
      <c r="AI740">
        <v>19</v>
      </c>
      <c r="AJ740" t="s">
        <v>67</v>
      </c>
      <c r="AK740">
        <v>0.2</v>
      </c>
      <c r="AL740">
        <v>19</v>
      </c>
      <c r="AM740" t="s">
        <v>67</v>
      </c>
      <c r="AN740">
        <v>0.1</v>
      </c>
      <c r="AO740">
        <v>997</v>
      </c>
      <c r="AP740">
        <v>0</v>
      </c>
      <c r="AQ740" t="s">
        <v>67</v>
      </c>
      <c r="AR740" t="s">
        <v>484</v>
      </c>
      <c r="AS740" t="s">
        <v>473</v>
      </c>
      <c r="AT740" t="s">
        <v>135</v>
      </c>
      <c r="AU740" t="s">
        <v>485</v>
      </c>
      <c r="AV740" t="s">
        <v>251</v>
      </c>
      <c r="AX740" t="s">
        <v>73</v>
      </c>
      <c r="AY740">
        <v>63.5</v>
      </c>
      <c r="AZ740">
        <v>63.5</v>
      </c>
      <c r="BA740">
        <v>6.32</v>
      </c>
      <c r="BC740">
        <v>10</v>
      </c>
      <c r="BD740">
        <v>33</v>
      </c>
      <c r="BE740">
        <v>33</v>
      </c>
      <c r="BF740">
        <v>8.5381</v>
      </c>
      <c r="BH740">
        <v>10</v>
      </c>
      <c r="BI740">
        <v>28</v>
      </c>
      <c r="BJ740">
        <v>3</v>
      </c>
      <c r="BK740">
        <v>-0.65449999999999997</v>
      </c>
      <c r="BL740">
        <v>7.6899999999999996E-2</v>
      </c>
    </row>
    <row r="741" spans="1:65" hidden="1" x14ac:dyDescent="0.2">
      <c r="A741">
        <v>142</v>
      </c>
      <c r="D741" t="s">
        <v>54</v>
      </c>
      <c r="E741">
        <v>2017</v>
      </c>
      <c r="F741" t="s">
        <v>193</v>
      </c>
      <c r="G741" t="s">
        <v>181</v>
      </c>
      <c r="H741" t="s">
        <v>78</v>
      </c>
      <c r="K741" t="s">
        <v>194</v>
      </c>
      <c r="L741" t="s">
        <v>215</v>
      </c>
      <c r="M741" t="s">
        <v>120</v>
      </c>
      <c r="N741" t="s">
        <v>120</v>
      </c>
      <c r="O741" t="s">
        <v>62</v>
      </c>
      <c r="P741" t="s">
        <v>196</v>
      </c>
      <c r="Q741" t="s">
        <v>64</v>
      </c>
      <c r="R741" t="s">
        <v>83</v>
      </c>
      <c r="S741" t="s">
        <v>74</v>
      </c>
      <c r="T741" t="s">
        <v>64</v>
      </c>
      <c r="U741" t="s">
        <v>75</v>
      </c>
      <c r="V741">
        <v>439</v>
      </c>
      <c r="W741">
        <v>16.079999999999998</v>
      </c>
      <c r="X741" t="s">
        <v>67</v>
      </c>
      <c r="Y741" t="s">
        <v>67</v>
      </c>
      <c r="Z741" t="s">
        <v>67</v>
      </c>
      <c r="AA741" t="s">
        <v>67</v>
      </c>
      <c r="AB741" t="s">
        <v>67</v>
      </c>
      <c r="AC741">
        <v>525</v>
      </c>
      <c r="AD741">
        <v>21.07</v>
      </c>
      <c r="AE741" t="s">
        <v>67</v>
      </c>
      <c r="AF741" t="s">
        <v>67</v>
      </c>
      <c r="AG741" t="s">
        <v>67</v>
      </c>
      <c r="AH741" t="s">
        <v>67</v>
      </c>
      <c r="AI741">
        <v>-0.6</v>
      </c>
      <c r="AJ741">
        <v>0.17</v>
      </c>
      <c r="AK741" t="s">
        <v>67</v>
      </c>
      <c r="AL741">
        <v>4</v>
      </c>
      <c r="AM741">
        <v>0.44</v>
      </c>
      <c r="AN741" t="s">
        <v>67</v>
      </c>
      <c r="AO741">
        <v>86</v>
      </c>
      <c r="AP741">
        <v>4.5999999999999996</v>
      </c>
      <c r="AQ741" t="s">
        <v>67</v>
      </c>
      <c r="AR741" t="s">
        <v>113</v>
      </c>
      <c r="AS741" t="s">
        <v>113</v>
      </c>
      <c r="AT741" t="s">
        <v>70</v>
      </c>
      <c r="AU741" t="s">
        <v>398</v>
      </c>
      <c r="AV741" t="s">
        <v>72</v>
      </c>
      <c r="AX741" t="s">
        <v>73</v>
      </c>
      <c r="AY741">
        <v>-8.1000000000000003E-2</v>
      </c>
      <c r="AZ741">
        <v>-8.1000000000000003E-2</v>
      </c>
      <c r="BA741">
        <v>0.02</v>
      </c>
      <c r="BC741">
        <v>5</v>
      </c>
      <c r="BD741">
        <v>-0.155</v>
      </c>
      <c r="BE741">
        <v>-0.16</v>
      </c>
      <c r="BF741">
        <v>0.02</v>
      </c>
      <c r="BH741">
        <v>5</v>
      </c>
      <c r="BI741">
        <v>56</v>
      </c>
      <c r="BJ741">
        <v>1</v>
      </c>
      <c r="BK741">
        <v>-0.64900000000000002</v>
      </c>
      <c r="BL741">
        <v>7.7600000000000002E-2</v>
      </c>
      <c r="BM741" t="s">
        <v>460</v>
      </c>
    </row>
    <row r="742" spans="1:65" hidden="1" x14ac:dyDescent="0.2">
      <c r="A742">
        <v>147</v>
      </c>
      <c r="D742" t="s">
        <v>54</v>
      </c>
      <c r="E742">
        <v>2014</v>
      </c>
      <c r="F742" t="s">
        <v>317</v>
      </c>
      <c r="G742" t="s">
        <v>318</v>
      </c>
      <c r="H742" t="s">
        <v>78</v>
      </c>
      <c r="K742" t="s">
        <v>319</v>
      </c>
      <c r="L742" t="s">
        <v>320</v>
      </c>
      <c r="M742" t="s">
        <v>81</v>
      </c>
      <c r="N742" t="s">
        <v>81</v>
      </c>
      <c r="O742" t="s">
        <v>62</v>
      </c>
      <c r="P742" t="s">
        <v>63</v>
      </c>
      <c r="Q742" t="s">
        <v>74</v>
      </c>
      <c r="R742" t="s">
        <v>83</v>
      </c>
      <c r="S742" t="s">
        <v>64</v>
      </c>
      <c r="T742" t="s">
        <v>64</v>
      </c>
      <c r="U742" t="s">
        <v>66</v>
      </c>
      <c r="V742">
        <v>330</v>
      </c>
      <c r="W742">
        <v>9.5</v>
      </c>
      <c r="X742" t="s">
        <v>67</v>
      </c>
      <c r="Y742" t="s">
        <v>68</v>
      </c>
      <c r="Z742">
        <v>8.11</v>
      </c>
      <c r="AA742">
        <v>0.01</v>
      </c>
      <c r="AB742" t="s">
        <v>67</v>
      </c>
      <c r="AC742">
        <v>1826</v>
      </c>
      <c r="AD742">
        <v>95</v>
      </c>
      <c r="AE742" t="s">
        <v>67</v>
      </c>
      <c r="AF742">
        <v>7.47</v>
      </c>
      <c r="AG742">
        <v>0.02</v>
      </c>
      <c r="AH742" t="s">
        <v>67</v>
      </c>
      <c r="AI742">
        <v>5.2</v>
      </c>
      <c r="AJ742">
        <v>0.11</v>
      </c>
      <c r="AK742" t="s">
        <v>67</v>
      </c>
      <c r="AL742">
        <v>17.899999999999999</v>
      </c>
      <c r="AM742">
        <v>7.0000000000000007E-2</v>
      </c>
      <c r="AN742" t="s">
        <v>67</v>
      </c>
      <c r="AO742">
        <v>1496</v>
      </c>
      <c r="AP742">
        <v>12.7</v>
      </c>
      <c r="AQ742" t="s">
        <v>67</v>
      </c>
      <c r="AR742" t="s">
        <v>520</v>
      </c>
      <c r="AS742" t="s">
        <v>520</v>
      </c>
      <c r="AT742" t="s">
        <v>135</v>
      </c>
      <c r="AU742" t="s">
        <v>521</v>
      </c>
      <c r="AV742" t="s">
        <v>132</v>
      </c>
      <c r="AX742" t="s">
        <v>73</v>
      </c>
      <c r="AY742">
        <v>37.741</v>
      </c>
      <c r="AZ742">
        <v>37.741050000000001</v>
      </c>
      <c r="BA742">
        <v>7.16</v>
      </c>
      <c r="BC742">
        <v>6</v>
      </c>
      <c r="BD742">
        <v>83.471100000000007</v>
      </c>
      <c r="BE742">
        <v>83.471074380000005</v>
      </c>
      <c r="BF742">
        <v>17.079899999999999</v>
      </c>
      <c r="BH742">
        <v>6</v>
      </c>
      <c r="BI742">
        <v>105</v>
      </c>
      <c r="BJ742">
        <v>2</v>
      </c>
      <c r="BK742">
        <v>0.79379999999999995</v>
      </c>
      <c r="BL742">
        <v>7.7899999999999997E-2</v>
      </c>
    </row>
    <row r="743" spans="1:65" hidden="1" x14ac:dyDescent="0.2">
      <c r="A743">
        <v>139</v>
      </c>
      <c r="D743" t="s">
        <v>54</v>
      </c>
      <c r="E743">
        <v>2018</v>
      </c>
      <c r="F743" t="s">
        <v>214</v>
      </c>
      <c r="G743" t="s">
        <v>154</v>
      </c>
      <c r="H743" t="s">
        <v>78</v>
      </c>
      <c r="K743" t="s">
        <v>194</v>
      </c>
      <c r="L743" t="s">
        <v>215</v>
      </c>
      <c r="M743" t="s">
        <v>120</v>
      </c>
      <c r="N743" t="s">
        <v>120</v>
      </c>
      <c r="O743" t="s">
        <v>62</v>
      </c>
      <c r="P743" t="s">
        <v>63</v>
      </c>
      <c r="Q743" t="s">
        <v>64</v>
      </c>
      <c r="R743" t="s">
        <v>83</v>
      </c>
      <c r="S743" t="s">
        <v>64</v>
      </c>
      <c r="T743" t="s">
        <v>64</v>
      </c>
      <c r="U743" t="s">
        <v>66</v>
      </c>
      <c r="V743">
        <v>458</v>
      </c>
      <c r="W743" t="s">
        <v>67</v>
      </c>
      <c r="X743">
        <v>30</v>
      </c>
      <c r="Y743" t="s">
        <v>68</v>
      </c>
      <c r="Z743">
        <v>7.98</v>
      </c>
      <c r="AA743" t="s">
        <v>67</v>
      </c>
      <c r="AB743">
        <v>0.03</v>
      </c>
      <c r="AC743">
        <v>1323</v>
      </c>
      <c r="AD743" t="s">
        <v>67</v>
      </c>
      <c r="AE743">
        <v>64</v>
      </c>
      <c r="AF743">
        <v>7.56</v>
      </c>
      <c r="AG743" t="s">
        <v>67</v>
      </c>
      <c r="AH743">
        <v>0.02</v>
      </c>
      <c r="AI743">
        <v>-1</v>
      </c>
      <c r="AJ743" t="s">
        <v>67</v>
      </c>
      <c r="AK743">
        <v>0.1</v>
      </c>
      <c r="AL743">
        <v>2.2000000000000002</v>
      </c>
      <c r="AM743" t="s">
        <v>67</v>
      </c>
      <c r="AN743">
        <v>0.1</v>
      </c>
      <c r="AO743">
        <v>865</v>
      </c>
      <c r="AP743">
        <v>3.2</v>
      </c>
      <c r="AQ743" t="s">
        <v>67</v>
      </c>
      <c r="AR743" t="s">
        <v>356</v>
      </c>
      <c r="AS743" t="s">
        <v>134</v>
      </c>
      <c r="AT743" t="s">
        <v>135</v>
      </c>
      <c r="AU743" t="s">
        <v>272</v>
      </c>
      <c r="AV743" t="s">
        <v>137</v>
      </c>
      <c r="AX743" t="s">
        <v>73</v>
      </c>
      <c r="AY743">
        <v>2.31</v>
      </c>
      <c r="AZ743">
        <v>2.31</v>
      </c>
      <c r="BA743">
        <v>0.36</v>
      </c>
      <c r="BC743">
        <v>9</v>
      </c>
      <c r="BD743">
        <v>2.84</v>
      </c>
      <c r="BE743">
        <v>2.84</v>
      </c>
      <c r="BF743">
        <v>0.66</v>
      </c>
      <c r="BH743">
        <v>11</v>
      </c>
      <c r="BI743">
        <v>28</v>
      </c>
      <c r="BJ743">
        <v>3</v>
      </c>
      <c r="BK743">
        <v>0.20660000000000001</v>
      </c>
      <c r="BL743">
        <v>7.8299999999999995E-2</v>
      </c>
    </row>
    <row r="744" spans="1:65" hidden="1" x14ac:dyDescent="0.2">
      <c r="A744">
        <v>209</v>
      </c>
      <c r="D744" t="s">
        <v>54</v>
      </c>
      <c r="E744">
        <v>2020</v>
      </c>
      <c r="F744" t="s">
        <v>223</v>
      </c>
      <c r="G744" t="s">
        <v>224</v>
      </c>
      <c r="H744" t="s">
        <v>78</v>
      </c>
      <c r="K744" t="s">
        <v>205</v>
      </c>
      <c r="L744" t="s">
        <v>225</v>
      </c>
      <c r="M744" t="s">
        <v>120</v>
      </c>
      <c r="N744" t="s">
        <v>120</v>
      </c>
      <c r="O744" t="s">
        <v>110</v>
      </c>
      <c r="P744" t="s">
        <v>63</v>
      </c>
      <c r="Q744" t="s">
        <v>64</v>
      </c>
      <c r="R744" t="s">
        <v>83</v>
      </c>
      <c r="S744" t="s">
        <v>64</v>
      </c>
      <c r="T744" t="s">
        <v>64</v>
      </c>
      <c r="U744" t="s">
        <v>66</v>
      </c>
      <c r="V744">
        <v>437.09</v>
      </c>
      <c r="W744" t="s">
        <v>67</v>
      </c>
      <c r="X744">
        <v>21.6</v>
      </c>
      <c r="Y744" t="s">
        <v>68</v>
      </c>
      <c r="Z744">
        <v>8.0299999999999994</v>
      </c>
      <c r="AA744" t="s">
        <v>67</v>
      </c>
      <c r="AB744">
        <v>0.02</v>
      </c>
      <c r="AC744">
        <v>1052.8800000000001</v>
      </c>
      <c r="AD744" t="s">
        <v>67</v>
      </c>
      <c r="AE744">
        <v>103.87</v>
      </c>
      <c r="AF744">
        <v>7.71</v>
      </c>
      <c r="AG744" t="s">
        <v>67</v>
      </c>
      <c r="AH744">
        <v>0.05</v>
      </c>
      <c r="AI744">
        <v>5.6</v>
      </c>
      <c r="AJ744" t="s">
        <v>67</v>
      </c>
      <c r="AK744">
        <v>0.19</v>
      </c>
      <c r="AL744">
        <v>8.1</v>
      </c>
      <c r="AM744" t="s">
        <v>67</v>
      </c>
      <c r="AN744">
        <v>0.13</v>
      </c>
      <c r="AO744">
        <v>616</v>
      </c>
      <c r="AP744">
        <v>2.5</v>
      </c>
      <c r="AQ744" t="s">
        <v>67</v>
      </c>
      <c r="AR744" t="s">
        <v>502</v>
      </c>
      <c r="AS744" t="s">
        <v>412</v>
      </c>
      <c r="AT744" t="s">
        <v>135</v>
      </c>
      <c r="AU744" t="s">
        <v>503</v>
      </c>
      <c r="AV744" t="s">
        <v>132</v>
      </c>
      <c r="AX744" t="s">
        <v>73</v>
      </c>
      <c r="AY744">
        <v>1.3545</v>
      </c>
      <c r="AZ744">
        <v>1.3545150500000001</v>
      </c>
      <c r="BA744">
        <v>0.31103678899999998</v>
      </c>
      <c r="BC744">
        <v>6</v>
      </c>
      <c r="BD744">
        <v>1.3746</v>
      </c>
      <c r="BE744">
        <v>1.3745819399999999</v>
      </c>
      <c r="BF744">
        <v>0.22073578599999999</v>
      </c>
      <c r="BH744">
        <v>4</v>
      </c>
      <c r="BI744">
        <v>120</v>
      </c>
      <c r="BJ744">
        <v>12</v>
      </c>
      <c r="BK744">
        <v>1.4706146999999999E-2</v>
      </c>
      <c r="BL744">
        <v>7.85E-2</v>
      </c>
    </row>
    <row r="745" spans="1:65" x14ac:dyDescent="0.2">
      <c r="A745">
        <v>168</v>
      </c>
      <c r="B745" t="str">
        <f>ROW()-1&amp;"_AltersFish"</f>
        <v>744_AltersFish</v>
      </c>
      <c r="C745" t="str">
        <f>A745 &amp; "_" &amp; P745 &amp; "_" &amp;
SUBSTITUTE(TRIM(L745)," ","_") &amp;
"_pH" &amp; TEXT(Z745,"0.00") &amp;
"_T" &amp; TEXT(AI745,"0.00") &amp;
"_CO2" &amp; TEXT(V745,"0") &amp;
"_LANG"</f>
        <v>168_LARVA_Clupea_harengus_pH8.11_T10.40_CO2475_LANG</v>
      </c>
      <c r="D745" t="s">
        <v>54</v>
      </c>
      <c r="E745">
        <v>2018</v>
      </c>
      <c r="F745" t="s">
        <v>244</v>
      </c>
      <c r="G745" t="s">
        <v>245</v>
      </c>
      <c r="H745" t="s">
        <v>78</v>
      </c>
      <c r="I745" t="s">
        <v>540</v>
      </c>
      <c r="J745" t="s">
        <v>543</v>
      </c>
      <c r="K745" t="s">
        <v>79</v>
      </c>
      <c r="L745" t="s">
        <v>182</v>
      </c>
      <c r="M745" t="s">
        <v>81</v>
      </c>
      <c r="N745" t="s">
        <v>81</v>
      </c>
      <c r="O745" t="s">
        <v>106</v>
      </c>
      <c r="P745" t="s">
        <v>107</v>
      </c>
      <c r="Q745" t="s">
        <v>74</v>
      </c>
      <c r="R745" t="s">
        <v>83</v>
      </c>
      <c r="S745" t="s">
        <v>64</v>
      </c>
      <c r="T745" t="s">
        <v>64</v>
      </c>
      <c r="U745" t="s">
        <v>66</v>
      </c>
      <c r="V745">
        <v>475</v>
      </c>
      <c r="W745" t="s">
        <v>67</v>
      </c>
      <c r="X745">
        <v>20</v>
      </c>
      <c r="Y745" t="s">
        <v>96</v>
      </c>
      <c r="Z745">
        <v>8.11</v>
      </c>
      <c r="AA745" t="s">
        <v>67</v>
      </c>
      <c r="AB745">
        <v>0.05</v>
      </c>
      <c r="AC745">
        <v>938</v>
      </c>
      <c r="AD745" t="s">
        <v>67</v>
      </c>
      <c r="AE745">
        <v>44</v>
      </c>
      <c r="AF745">
        <v>7.79</v>
      </c>
      <c r="AG745" t="s">
        <v>67</v>
      </c>
      <c r="AH745">
        <v>0.08</v>
      </c>
      <c r="AI745">
        <v>10.4</v>
      </c>
      <c r="AJ745" t="s">
        <v>67</v>
      </c>
      <c r="AK745">
        <v>0.2</v>
      </c>
      <c r="AL745">
        <v>12.7</v>
      </c>
      <c r="AM745" t="s">
        <v>67</v>
      </c>
      <c r="AN745">
        <v>0.6</v>
      </c>
      <c r="AO745">
        <v>463</v>
      </c>
      <c r="AP745">
        <v>2.2999999999999998</v>
      </c>
      <c r="AQ745" t="s">
        <v>67</v>
      </c>
      <c r="AR745" t="s">
        <v>246</v>
      </c>
      <c r="AS745" t="s">
        <v>113</v>
      </c>
      <c r="AT745" t="s">
        <v>70</v>
      </c>
      <c r="AU745" t="s">
        <v>247</v>
      </c>
      <c r="AV745" t="s">
        <v>72</v>
      </c>
      <c r="AW745" t="s">
        <v>72</v>
      </c>
      <c r="AX745" t="s">
        <v>73</v>
      </c>
      <c r="AY745">
        <v>1.23E-2</v>
      </c>
      <c r="AZ745">
        <v>1.2330000000000001E-2</v>
      </c>
      <c r="BA745">
        <v>4.0000000000000002E-4</v>
      </c>
      <c r="BB745">
        <f>BA745*SQRT(BC745)</f>
        <v>2.1908902300206644E-3</v>
      </c>
      <c r="BC745">
        <v>30</v>
      </c>
      <c r="BD745">
        <v>2.5999999999999999E-2</v>
      </c>
      <c r="BE745">
        <v>2.6040000000000001E-2</v>
      </c>
      <c r="BF745">
        <v>2.9999999999999997E-4</v>
      </c>
      <c r="BG745">
        <f>BF745*SQRT(BH745)</f>
        <v>1.6431676725154982E-3</v>
      </c>
      <c r="BH745">
        <v>30</v>
      </c>
      <c r="BI745">
        <v>32</v>
      </c>
      <c r="BJ745">
        <v>3</v>
      </c>
      <c r="BK745">
        <v>0.74780000000000002</v>
      </c>
      <c r="BL745">
        <v>1.1000000000000001E-3</v>
      </c>
    </row>
    <row r="746" spans="1:65" x14ac:dyDescent="0.2">
      <c r="A746">
        <v>168</v>
      </c>
      <c r="B746" t="str">
        <f>ROW()-1&amp;"_AltersFish"</f>
        <v>745_AltersFish</v>
      </c>
      <c r="C746" t="str">
        <f>A746 &amp; "_" &amp; P746 &amp; "_" &amp;
SUBSTITUTE(TRIM(L746)," ","_") &amp;
"_pH" &amp; TEXT(Z746,"0.00") &amp;
"_T" &amp; TEXT(AI746,"0.00") &amp;
"_CO2" &amp; TEXT(V746,"0") &amp;
"_LANG"</f>
        <v>168_LARVA_Clupea_harengus_pH8.11_T10.40_CO2475_LANG</v>
      </c>
      <c r="D746" t="s">
        <v>54</v>
      </c>
      <c r="E746">
        <v>2018</v>
      </c>
      <c r="F746" t="s">
        <v>244</v>
      </c>
      <c r="G746" t="s">
        <v>245</v>
      </c>
      <c r="H746" t="s">
        <v>78</v>
      </c>
      <c r="I746" t="s">
        <v>540</v>
      </c>
      <c r="J746" t="s">
        <v>543</v>
      </c>
      <c r="K746" t="s">
        <v>79</v>
      </c>
      <c r="L746" t="s">
        <v>182</v>
      </c>
      <c r="M746" t="s">
        <v>81</v>
      </c>
      <c r="N746" t="s">
        <v>81</v>
      </c>
      <c r="O746" t="s">
        <v>106</v>
      </c>
      <c r="P746" t="s">
        <v>107</v>
      </c>
      <c r="Q746" t="s">
        <v>74</v>
      </c>
      <c r="R746" t="s">
        <v>83</v>
      </c>
      <c r="S746" t="s">
        <v>64</v>
      </c>
      <c r="T746" t="s">
        <v>74</v>
      </c>
      <c r="U746" t="s">
        <v>84</v>
      </c>
      <c r="V746">
        <v>475</v>
      </c>
      <c r="W746" t="s">
        <v>67</v>
      </c>
      <c r="X746">
        <v>20</v>
      </c>
      <c r="Y746" t="s">
        <v>96</v>
      </c>
      <c r="Z746">
        <v>8.11</v>
      </c>
      <c r="AA746" t="s">
        <v>67</v>
      </c>
      <c r="AB746">
        <v>0.05</v>
      </c>
      <c r="AC746">
        <v>877</v>
      </c>
      <c r="AD746" t="s">
        <v>67</v>
      </c>
      <c r="AE746">
        <v>68</v>
      </c>
      <c r="AF746">
        <v>7.81</v>
      </c>
      <c r="AG746" t="s">
        <v>67</v>
      </c>
      <c r="AH746">
        <v>0.1</v>
      </c>
      <c r="AI746">
        <v>10.4</v>
      </c>
      <c r="AJ746" t="s">
        <v>67</v>
      </c>
      <c r="AK746">
        <v>0.2</v>
      </c>
      <c r="AL746">
        <v>10.5</v>
      </c>
      <c r="AM746" t="s">
        <v>67</v>
      </c>
      <c r="AN746">
        <v>0.3</v>
      </c>
      <c r="AO746">
        <v>402</v>
      </c>
      <c r="AP746">
        <v>0.1</v>
      </c>
      <c r="AQ746" t="s">
        <v>67</v>
      </c>
      <c r="AR746" t="s">
        <v>246</v>
      </c>
      <c r="AS746" t="s">
        <v>113</v>
      </c>
      <c r="AT746" t="s">
        <v>70</v>
      </c>
      <c r="AU746" t="s">
        <v>247</v>
      </c>
      <c r="AV746" t="s">
        <v>72</v>
      </c>
      <c r="AW746" t="s">
        <v>72</v>
      </c>
      <c r="AX746" t="s">
        <v>73</v>
      </c>
      <c r="AY746">
        <v>1.23E-2</v>
      </c>
      <c r="AZ746">
        <v>1.2330000000000001E-2</v>
      </c>
      <c r="BA746">
        <v>4.0000000000000002E-4</v>
      </c>
      <c r="BB746">
        <f>BA746*SQRT(BC746)</f>
        <v>2.1908902300206644E-3</v>
      </c>
      <c r="BC746">
        <v>30</v>
      </c>
      <c r="BD746">
        <v>0.01</v>
      </c>
      <c r="BE746">
        <v>1.0015E-2</v>
      </c>
      <c r="BF746">
        <v>1E-4</v>
      </c>
      <c r="BG746">
        <f>BF746*SQRT(BH746)</f>
        <v>5.4772255750516611E-4</v>
      </c>
      <c r="BH746">
        <v>30</v>
      </c>
      <c r="BI746">
        <v>32</v>
      </c>
      <c r="BJ746">
        <v>3</v>
      </c>
      <c r="BK746">
        <v>-0.2077</v>
      </c>
      <c r="BL746">
        <v>1E-3</v>
      </c>
    </row>
    <row r="747" spans="1:65" hidden="1" x14ac:dyDescent="0.2">
      <c r="A747">
        <v>151</v>
      </c>
      <c r="D747" t="s">
        <v>54</v>
      </c>
      <c r="E747">
        <v>2015</v>
      </c>
      <c r="F747" t="s">
        <v>262</v>
      </c>
      <c r="G747" t="s">
        <v>263</v>
      </c>
      <c r="H747" t="s">
        <v>57</v>
      </c>
      <c r="K747" t="s">
        <v>264</v>
      </c>
      <c r="L747" t="s">
        <v>265</v>
      </c>
      <c r="M747" t="s">
        <v>81</v>
      </c>
      <c r="N747" t="s">
        <v>81</v>
      </c>
      <c r="O747" t="s">
        <v>62</v>
      </c>
      <c r="P747" t="s">
        <v>63</v>
      </c>
      <c r="Q747" t="s">
        <v>64</v>
      </c>
      <c r="R747" t="s">
        <v>65</v>
      </c>
      <c r="S747" t="s">
        <v>64</v>
      </c>
      <c r="T747" t="s">
        <v>64</v>
      </c>
      <c r="U747" t="s">
        <v>66</v>
      </c>
      <c r="V747">
        <v>470</v>
      </c>
      <c r="W747">
        <v>39.799999999999997</v>
      </c>
      <c r="X747" t="s">
        <v>67</v>
      </c>
      <c r="Y747" t="s">
        <v>96</v>
      </c>
      <c r="Z747">
        <v>8.11</v>
      </c>
      <c r="AA747">
        <v>0.01</v>
      </c>
      <c r="AB747" t="s">
        <v>67</v>
      </c>
      <c r="AC747">
        <v>734</v>
      </c>
      <c r="AD747">
        <v>64.400000000000006</v>
      </c>
      <c r="AE747" t="s">
        <v>67</v>
      </c>
      <c r="AF747">
        <v>7.98</v>
      </c>
      <c r="AG747">
        <v>0.01</v>
      </c>
      <c r="AH747" t="s">
        <v>67</v>
      </c>
      <c r="AI747">
        <v>17.7</v>
      </c>
      <c r="AJ747">
        <v>0.2</v>
      </c>
      <c r="AK747" t="s">
        <v>67</v>
      </c>
      <c r="AL747">
        <v>19.5</v>
      </c>
      <c r="AM747">
        <v>0.1</v>
      </c>
      <c r="AN747" t="s">
        <v>67</v>
      </c>
      <c r="AO747">
        <v>264</v>
      </c>
      <c r="AP747">
        <v>1.8</v>
      </c>
      <c r="AQ747" t="s">
        <v>515</v>
      </c>
      <c r="AR747" t="s">
        <v>113</v>
      </c>
      <c r="AS747" t="s">
        <v>113</v>
      </c>
      <c r="AT747" t="s">
        <v>70</v>
      </c>
      <c r="AU747" t="s">
        <v>67</v>
      </c>
      <c r="AV747" t="s">
        <v>72</v>
      </c>
      <c r="AX747" t="s">
        <v>73</v>
      </c>
      <c r="AY747">
        <v>0.66169999999999995</v>
      </c>
      <c r="AZ747">
        <v>0.66164999999999996</v>
      </c>
      <c r="BA747">
        <v>0.09</v>
      </c>
      <c r="BC747">
        <v>9</v>
      </c>
      <c r="BD747">
        <v>0.16839999999999999</v>
      </c>
      <c r="BE747">
        <v>0.16842105299999999</v>
      </c>
      <c r="BF747">
        <v>4.2099999999999999E-2</v>
      </c>
      <c r="BH747">
        <v>9</v>
      </c>
      <c r="BI747">
        <v>68</v>
      </c>
      <c r="BJ747">
        <v>3</v>
      </c>
      <c r="BK747">
        <v>-1.3683000000000001</v>
      </c>
      <c r="BL747">
        <v>8.1699999999999995E-2</v>
      </c>
    </row>
    <row r="748" spans="1:65" hidden="1" x14ac:dyDescent="0.2">
      <c r="A748">
        <v>147</v>
      </c>
      <c r="D748" t="s">
        <v>54</v>
      </c>
      <c r="E748">
        <v>2014</v>
      </c>
      <c r="F748" t="s">
        <v>317</v>
      </c>
      <c r="G748" t="s">
        <v>318</v>
      </c>
      <c r="H748" t="s">
        <v>78</v>
      </c>
      <c r="K748" t="s">
        <v>319</v>
      </c>
      <c r="L748" t="s">
        <v>320</v>
      </c>
      <c r="M748" t="s">
        <v>81</v>
      </c>
      <c r="N748" t="s">
        <v>81</v>
      </c>
      <c r="O748" t="s">
        <v>62</v>
      </c>
      <c r="P748" t="s">
        <v>63</v>
      </c>
      <c r="Q748" t="s">
        <v>74</v>
      </c>
      <c r="R748" t="s">
        <v>83</v>
      </c>
      <c r="S748" t="s">
        <v>64</v>
      </c>
      <c r="T748" t="s">
        <v>74</v>
      </c>
      <c r="U748" t="s">
        <v>84</v>
      </c>
      <c r="V748">
        <v>330</v>
      </c>
      <c r="W748">
        <v>9.5</v>
      </c>
      <c r="X748" t="s">
        <v>67</v>
      </c>
      <c r="Y748" t="s">
        <v>68</v>
      </c>
      <c r="Z748">
        <v>8.11</v>
      </c>
      <c r="AA748">
        <v>0.01</v>
      </c>
      <c r="AB748" t="s">
        <v>67</v>
      </c>
      <c r="AC748">
        <v>889</v>
      </c>
      <c r="AD748">
        <v>43.5</v>
      </c>
      <c r="AE748" t="s">
        <v>67</v>
      </c>
      <c r="AF748">
        <v>7.71</v>
      </c>
      <c r="AG748">
        <v>0.03</v>
      </c>
      <c r="AH748" t="s">
        <v>67</v>
      </c>
      <c r="AI748">
        <v>5.2</v>
      </c>
      <c r="AJ748">
        <v>0.11</v>
      </c>
      <c r="AK748" t="s">
        <v>67</v>
      </c>
      <c r="AL748">
        <v>5.0999999999999996</v>
      </c>
      <c r="AM748">
        <v>0.11</v>
      </c>
      <c r="AN748" t="s">
        <v>67</v>
      </c>
      <c r="AO748">
        <v>559</v>
      </c>
      <c r="AP748">
        <v>0</v>
      </c>
      <c r="AQ748" t="s">
        <v>67</v>
      </c>
      <c r="AR748" t="s">
        <v>520</v>
      </c>
      <c r="AS748" t="s">
        <v>520</v>
      </c>
      <c r="AT748" t="s">
        <v>135</v>
      </c>
      <c r="AU748" t="s">
        <v>521</v>
      </c>
      <c r="AV748" t="s">
        <v>132</v>
      </c>
      <c r="AX748" t="s">
        <v>73</v>
      </c>
      <c r="AY748">
        <v>37.741</v>
      </c>
      <c r="AZ748">
        <v>37.741050000000001</v>
      </c>
      <c r="BA748">
        <v>7.16</v>
      </c>
      <c r="BC748">
        <v>6</v>
      </c>
      <c r="BD748">
        <v>33.333300000000001</v>
      </c>
      <c r="BE748">
        <v>33.333333330000002</v>
      </c>
      <c r="BF748">
        <v>7.1624999999999996</v>
      </c>
      <c r="BH748">
        <v>6</v>
      </c>
      <c r="BI748">
        <v>105</v>
      </c>
      <c r="BJ748">
        <v>2</v>
      </c>
      <c r="BK748">
        <v>-0.1242</v>
      </c>
      <c r="BL748">
        <v>8.2199999999999995E-2</v>
      </c>
    </row>
    <row r="749" spans="1:65" hidden="1" x14ac:dyDescent="0.2">
      <c r="A749">
        <v>132</v>
      </c>
      <c r="D749" t="s">
        <v>54</v>
      </c>
      <c r="E749">
        <v>2015</v>
      </c>
      <c r="F749" t="s">
        <v>283</v>
      </c>
      <c r="G749" t="s">
        <v>181</v>
      </c>
      <c r="H749" t="s">
        <v>284</v>
      </c>
      <c r="K749" t="s">
        <v>285</v>
      </c>
      <c r="L749" t="s">
        <v>286</v>
      </c>
      <c r="M749" t="s">
        <v>81</v>
      </c>
      <c r="N749" t="s">
        <v>81</v>
      </c>
      <c r="O749" t="s">
        <v>62</v>
      </c>
      <c r="P749" t="s">
        <v>196</v>
      </c>
      <c r="Q749" t="s">
        <v>64</v>
      </c>
      <c r="R749" t="s">
        <v>83</v>
      </c>
      <c r="S749" t="s">
        <v>74</v>
      </c>
      <c r="T749" t="s">
        <v>64</v>
      </c>
      <c r="U749" t="s">
        <v>75</v>
      </c>
      <c r="V749">
        <v>372</v>
      </c>
      <c r="W749" t="s">
        <v>67</v>
      </c>
      <c r="X749">
        <v>51.9</v>
      </c>
      <c r="Y749" t="s">
        <v>68</v>
      </c>
      <c r="Z749">
        <v>8.02</v>
      </c>
      <c r="AA749" t="s">
        <v>67</v>
      </c>
      <c r="AB749">
        <v>0.05</v>
      </c>
      <c r="AC749">
        <v>382</v>
      </c>
      <c r="AD749" t="s">
        <v>67</v>
      </c>
      <c r="AE749">
        <v>87.5</v>
      </c>
      <c r="AF749">
        <v>8</v>
      </c>
      <c r="AG749" t="s">
        <v>67</v>
      </c>
      <c r="AH749">
        <v>7.0000000000000007E-2</v>
      </c>
      <c r="AI749">
        <v>25.9</v>
      </c>
      <c r="AJ749" t="s">
        <v>67</v>
      </c>
      <c r="AK749">
        <v>0.7</v>
      </c>
      <c r="AL749">
        <v>29.9</v>
      </c>
      <c r="AM749" t="s">
        <v>67</v>
      </c>
      <c r="AN749">
        <v>0.2</v>
      </c>
      <c r="AO749">
        <v>10</v>
      </c>
      <c r="AP749">
        <v>4</v>
      </c>
      <c r="AQ749" t="s">
        <v>67</v>
      </c>
      <c r="AR749" t="s">
        <v>505</v>
      </c>
      <c r="AS749" t="s">
        <v>386</v>
      </c>
      <c r="AT749" t="s">
        <v>135</v>
      </c>
      <c r="AU749" t="s">
        <v>506</v>
      </c>
      <c r="AV749" t="s">
        <v>251</v>
      </c>
      <c r="AX749" t="s">
        <v>73</v>
      </c>
      <c r="AY749">
        <v>27.47</v>
      </c>
      <c r="AZ749">
        <v>27.47</v>
      </c>
      <c r="BA749">
        <v>5.2705000000000002</v>
      </c>
      <c r="BC749">
        <v>6</v>
      </c>
      <c r="BD749">
        <v>27.7</v>
      </c>
      <c r="BE749">
        <v>27.7</v>
      </c>
      <c r="BF749">
        <v>5.9603999999999999</v>
      </c>
      <c r="BH749">
        <v>6</v>
      </c>
      <c r="BI749">
        <v>31</v>
      </c>
      <c r="BJ749">
        <v>3</v>
      </c>
      <c r="BK749">
        <v>8.3000000000000001E-3</v>
      </c>
      <c r="BL749">
        <v>8.3099999999999993E-2</v>
      </c>
    </row>
    <row r="750" spans="1:65" hidden="1" x14ac:dyDescent="0.2">
      <c r="A750">
        <v>209</v>
      </c>
      <c r="D750" t="s">
        <v>54</v>
      </c>
      <c r="E750">
        <v>2020</v>
      </c>
      <c r="F750" t="s">
        <v>223</v>
      </c>
      <c r="G750" t="s">
        <v>224</v>
      </c>
      <c r="H750" t="s">
        <v>78</v>
      </c>
      <c r="K750" t="s">
        <v>205</v>
      </c>
      <c r="L750" t="s">
        <v>225</v>
      </c>
      <c r="M750" t="s">
        <v>120</v>
      </c>
      <c r="N750" t="s">
        <v>120</v>
      </c>
      <c r="O750" t="s">
        <v>110</v>
      </c>
      <c r="P750" t="s">
        <v>63</v>
      </c>
      <c r="Q750" t="s">
        <v>64</v>
      </c>
      <c r="R750" t="s">
        <v>83</v>
      </c>
      <c r="S750" t="s">
        <v>74</v>
      </c>
      <c r="T750" t="s">
        <v>64</v>
      </c>
      <c r="U750" t="s">
        <v>75</v>
      </c>
      <c r="V750">
        <v>437.09</v>
      </c>
      <c r="W750" t="s">
        <v>67</v>
      </c>
      <c r="X750">
        <v>21.6</v>
      </c>
      <c r="Y750" t="s">
        <v>68</v>
      </c>
      <c r="Z750">
        <v>8.0299999999999994</v>
      </c>
      <c r="AA750" t="s">
        <v>67</v>
      </c>
      <c r="AB750">
        <v>0.02</v>
      </c>
      <c r="AC750">
        <v>440.9</v>
      </c>
      <c r="AD750" t="s">
        <v>67</v>
      </c>
      <c r="AE750">
        <v>29.1</v>
      </c>
      <c r="AF750">
        <v>8.0500000000000007</v>
      </c>
      <c r="AG750" t="s">
        <v>67</v>
      </c>
      <c r="AH750">
        <v>0.02</v>
      </c>
      <c r="AI750">
        <v>5.6</v>
      </c>
      <c r="AJ750" t="s">
        <v>67</v>
      </c>
      <c r="AK750">
        <v>0.19</v>
      </c>
      <c r="AL750">
        <v>8.1999999999999993</v>
      </c>
      <c r="AM750" t="s">
        <v>67</v>
      </c>
      <c r="AN750">
        <v>0.13</v>
      </c>
      <c r="AO750">
        <v>4</v>
      </c>
      <c r="AP750">
        <v>2.5</v>
      </c>
      <c r="AQ750" t="s">
        <v>67</v>
      </c>
      <c r="AR750" t="s">
        <v>502</v>
      </c>
      <c r="AS750" t="s">
        <v>412</v>
      </c>
      <c r="AT750" t="s">
        <v>135</v>
      </c>
      <c r="AU750" t="s">
        <v>503</v>
      </c>
      <c r="AV750" t="s">
        <v>132</v>
      </c>
      <c r="AX750" t="s">
        <v>73</v>
      </c>
      <c r="AY750">
        <v>1.3545</v>
      </c>
      <c r="AZ750">
        <v>1.3545150500000001</v>
      </c>
      <c r="BA750">
        <v>0.31103678899999998</v>
      </c>
      <c r="BC750">
        <v>6</v>
      </c>
      <c r="BD750">
        <v>1.6355</v>
      </c>
      <c r="BE750">
        <v>1.635451505</v>
      </c>
      <c r="BF750">
        <v>0.2909699</v>
      </c>
      <c r="BH750">
        <v>5</v>
      </c>
      <c r="BI750">
        <v>120</v>
      </c>
      <c r="BJ750">
        <v>12</v>
      </c>
      <c r="BK750">
        <v>0.188475422</v>
      </c>
      <c r="BL750">
        <v>8.4400000000000003E-2</v>
      </c>
    </row>
    <row r="751" spans="1:65" hidden="1" x14ac:dyDescent="0.2">
      <c r="A751">
        <v>146</v>
      </c>
      <c r="D751" t="s">
        <v>54</v>
      </c>
      <c r="E751">
        <v>2016</v>
      </c>
      <c r="F751" t="s">
        <v>347</v>
      </c>
      <c r="G751" t="s">
        <v>348</v>
      </c>
      <c r="H751" t="s">
        <v>78</v>
      </c>
      <c r="K751" t="s">
        <v>349</v>
      </c>
      <c r="L751" t="s">
        <v>125</v>
      </c>
      <c r="M751" t="s">
        <v>126</v>
      </c>
      <c r="N751" t="s">
        <v>81</v>
      </c>
      <c r="O751" t="s">
        <v>62</v>
      </c>
      <c r="P751" t="s">
        <v>63</v>
      </c>
      <c r="Q751" t="s">
        <v>74</v>
      </c>
      <c r="R751" t="s">
        <v>83</v>
      </c>
      <c r="S751" t="s">
        <v>64</v>
      </c>
      <c r="T751" t="s">
        <v>74</v>
      </c>
      <c r="U751" t="s">
        <v>84</v>
      </c>
      <c r="V751">
        <v>360</v>
      </c>
      <c r="W751" t="s">
        <v>67</v>
      </c>
      <c r="X751">
        <v>35.299999999999997</v>
      </c>
      <c r="Y751" t="s">
        <v>68</v>
      </c>
      <c r="Z751">
        <v>8.01</v>
      </c>
      <c r="AA751" t="s">
        <v>67</v>
      </c>
      <c r="AB751">
        <v>0.04</v>
      </c>
      <c r="AC751">
        <v>960</v>
      </c>
      <c r="AD751" t="s">
        <v>67</v>
      </c>
      <c r="AE751">
        <v>50.8</v>
      </c>
      <c r="AF751">
        <v>7.61</v>
      </c>
      <c r="AG751" t="s">
        <v>67</v>
      </c>
      <c r="AH751">
        <v>0.02</v>
      </c>
      <c r="AI751">
        <v>19.2</v>
      </c>
      <c r="AJ751" t="s">
        <v>67</v>
      </c>
      <c r="AK751">
        <v>0.3</v>
      </c>
      <c r="AL751">
        <v>19.100000000000001</v>
      </c>
      <c r="AM751" t="s">
        <v>67</v>
      </c>
      <c r="AN751">
        <v>0.31</v>
      </c>
      <c r="AO751">
        <v>600</v>
      </c>
      <c r="AP751">
        <v>-0.1</v>
      </c>
      <c r="AQ751" t="s">
        <v>350</v>
      </c>
      <c r="AR751" t="s">
        <v>473</v>
      </c>
      <c r="AS751" t="s">
        <v>473</v>
      </c>
      <c r="AT751" t="s">
        <v>135</v>
      </c>
      <c r="AU751" t="s">
        <v>67</v>
      </c>
      <c r="AV751" t="s">
        <v>251</v>
      </c>
      <c r="AX751" t="s">
        <v>73</v>
      </c>
      <c r="AY751">
        <v>21.857700000000001</v>
      </c>
      <c r="AZ751">
        <v>21.857659999999999</v>
      </c>
      <c r="BA751">
        <v>4.63</v>
      </c>
      <c r="BC751">
        <v>10</v>
      </c>
      <c r="BD751">
        <v>25.910699999999999</v>
      </c>
      <c r="BE751">
        <v>25.91073583</v>
      </c>
      <c r="BF751">
        <v>5.2111000000000001</v>
      </c>
      <c r="BH751">
        <v>10</v>
      </c>
      <c r="BI751">
        <v>28</v>
      </c>
      <c r="BJ751">
        <v>6</v>
      </c>
      <c r="BK751">
        <v>0.1701</v>
      </c>
      <c r="BL751">
        <v>8.5400000000000004E-2</v>
      </c>
    </row>
    <row r="752" spans="1:65" x14ac:dyDescent="0.2">
      <c r="A752">
        <v>180</v>
      </c>
      <c r="B752" t="str">
        <f>ROW()-1&amp;"_AltersFish"</f>
        <v>751_AltersFish</v>
      </c>
      <c r="C752" t="str">
        <f>A752 &amp; "_" &amp; P752 &amp; "_" &amp;
SUBSTITUTE(TRIM(L752)," ","_") &amp;
"_pH" &amp; TEXT(Z752,"0.00") &amp;
"_T" &amp; TEXT(AI752,"0.00") &amp;
"_CO2" &amp; TEXT(V752,"0") &amp;
"_LANG"</f>
        <v>180_EMBRYO_Seriola_lalandi_pH8.00_T21.10_CO2462_LANG</v>
      </c>
      <c r="D752" t="s">
        <v>54</v>
      </c>
      <c r="E752">
        <v>2018</v>
      </c>
      <c r="F752" t="s">
        <v>153</v>
      </c>
      <c r="G752" t="s">
        <v>154</v>
      </c>
      <c r="H752" t="s">
        <v>78</v>
      </c>
      <c r="I752" t="s">
        <v>540</v>
      </c>
      <c r="J752" t="s">
        <v>543</v>
      </c>
      <c r="K752" t="s">
        <v>79</v>
      </c>
      <c r="L752" t="s">
        <v>155</v>
      </c>
      <c r="M752" t="s">
        <v>156</v>
      </c>
      <c r="N752" t="s">
        <v>156</v>
      </c>
      <c r="O752" t="s">
        <v>106</v>
      </c>
      <c r="P752" t="s">
        <v>82</v>
      </c>
      <c r="Q752" t="s">
        <v>74</v>
      </c>
      <c r="R752" t="s">
        <v>83</v>
      </c>
      <c r="S752" t="s">
        <v>64</v>
      </c>
      <c r="T752" t="s">
        <v>74</v>
      </c>
      <c r="U752" t="s">
        <v>84</v>
      </c>
      <c r="V752">
        <v>462</v>
      </c>
      <c r="W752" t="s">
        <v>67</v>
      </c>
      <c r="X752">
        <v>43</v>
      </c>
      <c r="Y752" t="s">
        <v>157</v>
      </c>
      <c r="Z752">
        <v>8</v>
      </c>
      <c r="AA752" t="s">
        <v>67</v>
      </c>
      <c r="AB752">
        <v>0.03</v>
      </c>
      <c r="AC752">
        <v>960</v>
      </c>
      <c r="AD752" t="s">
        <v>67</v>
      </c>
      <c r="AE752">
        <v>57</v>
      </c>
      <c r="AF752">
        <v>7.72</v>
      </c>
      <c r="AG752" t="s">
        <v>67</v>
      </c>
      <c r="AH752">
        <v>0.03</v>
      </c>
      <c r="AI752">
        <v>21.1</v>
      </c>
      <c r="AJ752" t="s">
        <v>67</v>
      </c>
      <c r="AK752">
        <v>0.1</v>
      </c>
      <c r="AL752">
        <v>21.1</v>
      </c>
      <c r="AM752" t="s">
        <v>67</v>
      </c>
      <c r="AN752">
        <v>0.1</v>
      </c>
      <c r="AO752">
        <v>498</v>
      </c>
      <c r="AP752">
        <v>0</v>
      </c>
      <c r="AQ752" t="s">
        <v>67</v>
      </c>
      <c r="AR752" t="s">
        <v>158</v>
      </c>
      <c r="AS752" t="s">
        <v>159</v>
      </c>
      <c r="AT752" t="s">
        <v>135</v>
      </c>
      <c r="AU752" t="s">
        <v>160</v>
      </c>
      <c r="AV752" t="s">
        <v>11</v>
      </c>
      <c r="AW752" t="s">
        <v>72</v>
      </c>
      <c r="AX752" t="s">
        <v>73</v>
      </c>
      <c r="AY752">
        <v>0.13600000000000001</v>
      </c>
      <c r="AZ752">
        <v>0.13600000000000001</v>
      </c>
      <c r="BA752">
        <v>1E-3</v>
      </c>
      <c r="BB752">
        <f>BA752*SQRT(BC752)</f>
        <v>1.3416407864998739E-2</v>
      </c>
      <c r="BC752">
        <v>180</v>
      </c>
      <c r="BD752">
        <v>0.13600000000000001</v>
      </c>
      <c r="BE752">
        <v>0.13600000000000001</v>
      </c>
      <c r="BF752">
        <v>1E-3</v>
      </c>
      <c r="BG752">
        <f>BF752*SQRT(BH752)</f>
        <v>1.3416407864998739E-2</v>
      </c>
      <c r="BH752">
        <v>180</v>
      </c>
      <c r="BI752">
        <v>4</v>
      </c>
      <c r="BJ752">
        <v>6</v>
      </c>
      <c r="BK752">
        <v>0</v>
      </c>
      <c r="BL752">
        <v>1E-4</v>
      </c>
    </row>
    <row r="753" spans="1:65" hidden="1" x14ac:dyDescent="0.2">
      <c r="A753">
        <v>147</v>
      </c>
      <c r="D753" t="s">
        <v>54</v>
      </c>
      <c r="E753">
        <v>2014</v>
      </c>
      <c r="F753" t="s">
        <v>317</v>
      </c>
      <c r="G753" t="s">
        <v>318</v>
      </c>
      <c r="H753" t="s">
        <v>78</v>
      </c>
      <c r="K753" t="s">
        <v>319</v>
      </c>
      <c r="L753" t="s">
        <v>320</v>
      </c>
      <c r="M753" t="s">
        <v>81</v>
      </c>
      <c r="N753" t="s">
        <v>81</v>
      </c>
      <c r="O753" t="s">
        <v>62</v>
      </c>
      <c r="P753" t="s">
        <v>63</v>
      </c>
      <c r="Q753" t="s">
        <v>74</v>
      </c>
      <c r="R753" t="s">
        <v>83</v>
      </c>
      <c r="S753" t="s">
        <v>64</v>
      </c>
      <c r="T753" t="s">
        <v>64</v>
      </c>
      <c r="U753" t="s">
        <v>66</v>
      </c>
      <c r="V753">
        <v>330</v>
      </c>
      <c r="W753">
        <v>9.5</v>
      </c>
      <c r="X753" t="s">
        <v>67</v>
      </c>
      <c r="Y753" t="s">
        <v>68</v>
      </c>
      <c r="Z753">
        <v>8.11</v>
      </c>
      <c r="AA753">
        <v>0.01</v>
      </c>
      <c r="AB753" t="s">
        <v>67</v>
      </c>
      <c r="AC753">
        <v>1303</v>
      </c>
      <c r="AD753">
        <v>61.5</v>
      </c>
      <c r="AE753" t="s">
        <v>67</v>
      </c>
      <c r="AF753">
        <v>7.59</v>
      </c>
      <c r="AG753">
        <v>0.02</v>
      </c>
      <c r="AH753" t="s">
        <v>67</v>
      </c>
      <c r="AI753">
        <v>5.2</v>
      </c>
      <c r="AJ753">
        <v>0.11</v>
      </c>
      <c r="AK753" t="s">
        <v>67</v>
      </c>
      <c r="AL753">
        <v>11.7</v>
      </c>
      <c r="AM753">
        <v>0.03</v>
      </c>
      <c r="AN753" t="s">
        <v>67</v>
      </c>
      <c r="AO753">
        <v>973</v>
      </c>
      <c r="AP753">
        <v>6.6</v>
      </c>
      <c r="AQ753" t="s">
        <v>67</v>
      </c>
      <c r="AR753" t="s">
        <v>520</v>
      </c>
      <c r="AS753" t="s">
        <v>520</v>
      </c>
      <c r="AT753" t="s">
        <v>135</v>
      </c>
      <c r="AU753" t="s">
        <v>521</v>
      </c>
      <c r="AV753" t="s">
        <v>132</v>
      </c>
      <c r="AX753" t="s">
        <v>73</v>
      </c>
      <c r="AY753">
        <v>37.741</v>
      </c>
      <c r="AZ753">
        <v>37.741050000000001</v>
      </c>
      <c r="BA753">
        <v>7.16</v>
      </c>
      <c r="BC753">
        <v>6</v>
      </c>
      <c r="BD753">
        <v>59.228700000000003</v>
      </c>
      <c r="BE753">
        <v>59.228650139999999</v>
      </c>
      <c r="BF753">
        <v>13.223100000000001</v>
      </c>
      <c r="BH753">
        <v>6</v>
      </c>
      <c r="BI753">
        <v>105</v>
      </c>
      <c r="BJ753">
        <v>2</v>
      </c>
      <c r="BK753">
        <v>0.45069999999999999</v>
      </c>
      <c r="BL753">
        <v>8.5900000000000004E-2</v>
      </c>
    </row>
    <row r="754" spans="1:65" hidden="1" x14ac:dyDescent="0.2">
      <c r="A754">
        <v>151</v>
      </c>
      <c r="D754" t="s">
        <v>54</v>
      </c>
      <c r="E754">
        <v>2015</v>
      </c>
      <c r="F754" t="s">
        <v>262</v>
      </c>
      <c r="G754" t="s">
        <v>263</v>
      </c>
      <c r="H754" t="s">
        <v>57</v>
      </c>
      <c r="K754" t="s">
        <v>264</v>
      </c>
      <c r="L754" t="s">
        <v>265</v>
      </c>
      <c r="M754" t="s">
        <v>81</v>
      </c>
      <c r="N754" t="s">
        <v>81</v>
      </c>
      <c r="O754" t="s">
        <v>62</v>
      </c>
      <c r="P754" t="s">
        <v>63</v>
      </c>
      <c r="Q754" t="s">
        <v>64</v>
      </c>
      <c r="R754" t="s">
        <v>65</v>
      </c>
      <c r="S754" t="s">
        <v>64</v>
      </c>
      <c r="T754" t="s">
        <v>74</v>
      </c>
      <c r="U754" t="s">
        <v>84</v>
      </c>
      <c r="V754">
        <v>589</v>
      </c>
      <c r="W754">
        <v>50.9</v>
      </c>
      <c r="X754" t="s">
        <v>67</v>
      </c>
      <c r="Y754" t="s">
        <v>96</v>
      </c>
      <c r="Z754">
        <v>7.96</v>
      </c>
      <c r="AA754">
        <v>0.01</v>
      </c>
      <c r="AB754" t="s">
        <v>67</v>
      </c>
      <c r="AC754">
        <v>1004</v>
      </c>
      <c r="AD754">
        <v>69.900000000000006</v>
      </c>
      <c r="AE754" t="s">
        <v>67</v>
      </c>
      <c r="AF754">
        <v>7.69</v>
      </c>
      <c r="AG754">
        <v>0.01</v>
      </c>
      <c r="AH754" t="s">
        <v>67</v>
      </c>
      <c r="AI754">
        <v>16.399999999999999</v>
      </c>
      <c r="AJ754">
        <v>0.1</v>
      </c>
      <c r="AK754" t="s">
        <v>67</v>
      </c>
      <c r="AL754">
        <v>15.9</v>
      </c>
      <c r="AM754">
        <v>0.1</v>
      </c>
      <c r="AN754" t="s">
        <v>67</v>
      </c>
      <c r="AO754">
        <v>414</v>
      </c>
      <c r="AP754">
        <v>-0.5</v>
      </c>
      <c r="AQ754" t="s">
        <v>325</v>
      </c>
      <c r="AR754" t="s">
        <v>113</v>
      </c>
      <c r="AS754" t="s">
        <v>113</v>
      </c>
      <c r="AT754" t="s">
        <v>70</v>
      </c>
      <c r="AU754" t="s">
        <v>67</v>
      </c>
      <c r="AV754" t="s">
        <v>72</v>
      </c>
      <c r="AX754" t="s">
        <v>73</v>
      </c>
      <c r="AY754">
        <v>0.28520000000000001</v>
      </c>
      <c r="AZ754">
        <v>0.28520000000000001</v>
      </c>
      <c r="BA754">
        <v>0.02</v>
      </c>
      <c r="BC754">
        <v>4</v>
      </c>
      <c r="BD754">
        <v>0.26669999999999999</v>
      </c>
      <c r="BE754">
        <v>0.26666666700000002</v>
      </c>
      <c r="BF754">
        <v>7.6999999999999999E-2</v>
      </c>
      <c r="BH754">
        <v>4</v>
      </c>
      <c r="BI754">
        <v>56</v>
      </c>
      <c r="BJ754">
        <v>4</v>
      </c>
      <c r="BK754">
        <v>-6.7199999999999996E-2</v>
      </c>
      <c r="BL754">
        <v>8.6400000000000005E-2</v>
      </c>
    </row>
    <row r="755" spans="1:65" hidden="1" x14ac:dyDescent="0.2">
      <c r="A755">
        <v>159</v>
      </c>
      <c r="D755" t="s">
        <v>54</v>
      </c>
      <c r="E755">
        <v>2018</v>
      </c>
      <c r="F755" t="s">
        <v>326</v>
      </c>
      <c r="G755" t="s">
        <v>327</v>
      </c>
      <c r="H755" t="s">
        <v>78</v>
      </c>
      <c r="K755" t="s">
        <v>205</v>
      </c>
      <c r="L755" t="s">
        <v>225</v>
      </c>
      <c r="M755" t="s">
        <v>120</v>
      </c>
      <c r="N755" t="s">
        <v>120</v>
      </c>
      <c r="O755" t="s">
        <v>110</v>
      </c>
      <c r="P755" t="s">
        <v>196</v>
      </c>
      <c r="Q755" t="s">
        <v>64</v>
      </c>
      <c r="R755" t="s">
        <v>83</v>
      </c>
      <c r="S755" t="s">
        <v>64</v>
      </c>
      <c r="T755" t="s">
        <v>64</v>
      </c>
      <c r="U755" t="s">
        <v>66</v>
      </c>
      <c r="V755">
        <v>390</v>
      </c>
      <c r="W755" t="s">
        <v>67</v>
      </c>
      <c r="X755" t="s">
        <v>67</v>
      </c>
      <c r="Y755" t="s">
        <v>67</v>
      </c>
      <c r="Z755" t="s">
        <v>67</v>
      </c>
      <c r="AA755" t="s">
        <v>67</v>
      </c>
      <c r="AB755" t="s">
        <v>67</v>
      </c>
      <c r="AC755">
        <v>1170</v>
      </c>
      <c r="AD755" t="s">
        <v>67</v>
      </c>
      <c r="AE755" t="s">
        <v>67</v>
      </c>
      <c r="AF755" t="s">
        <v>67</v>
      </c>
      <c r="AG755" t="s">
        <v>67</v>
      </c>
      <c r="AH755" t="s">
        <v>67</v>
      </c>
      <c r="AI755">
        <v>0</v>
      </c>
      <c r="AJ755" t="s">
        <v>67</v>
      </c>
      <c r="AK755" t="s">
        <v>67</v>
      </c>
      <c r="AL755">
        <v>8</v>
      </c>
      <c r="AM755" t="s">
        <v>67</v>
      </c>
      <c r="AN755" t="s">
        <v>67</v>
      </c>
      <c r="AO755">
        <v>780</v>
      </c>
      <c r="AP755">
        <v>8</v>
      </c>
      <c r="AQ755" t="s">
        <v>67</v>
      </c>
      <c r="AR755" t="s">
        <v>361</v>
      </c>
      <c r="AS755" t="s">
        <v>361</v>
      </c>
      <c r="AT755" t="s">
        <v>70</v>
      </c>
      <c r="AU755" t="s">
        <v>510</v>
      </c>
      <c r="AV755" t="s">
        <v>363</v>
      </c>
      <c r="AX755" t="s">
        <v>73</v>
      </c>
      <c r="AY755">
        <v>4.3200000000000002E-2</v>
      </c>
      <c r="AZ755">
        <v>4.3200000000000002E-2</v>
      </c>
      <c r="BA755">
        <v>0.01</v>
      </c>
      <c r="BC755">
        <v>5</v>
      </c>
      <c r="BD755">
        <v>9.11E-2</v>
      </c>
      <c r="BE755">
        <v>9.11E-2</v>
      </c>
      <c r="BF755">
        <v>1.9599999999999999E-2</v>
      </c>
      <c r="BH755">
        <v>4</v>
      </c>
      <c r="BI755">
        <v>120</v>
      </c>
      <c r="BJ755" t="s">
        <v>67</v>
      </c>
      <c r="BK755">
        <v>0.74609999999999999</v>
      </c>
      <c r="BL755">
        <v>8.7800000000000003E-2</v>
      </c>
    </row>
    <row r="756" spans="1:65" x14ac:dyDescent="0.2">
      <c r="A756">
        <v>180</v>
      </c>
      <c r="B756" t="str">
        <f>ROW()-1&amp;"_AltersFish"</f>
        <v>755_AltersFish</v>
      </c>
      <c r="C756" t="str">
        <f>A756 &amp; "_" &amp; P756 &amp; "_" &amp;
SUBSTITUTE(TRIM(L756)," ","_") &amp;
"_pH" &amp; TEXT(Z756,"0.00") &amp;
"_T" &amp; TEXT(AI756,"0.00") &amp;
"_CO2" &amp; TEXT(V756,"0") &amp;
"_LANG"</f>
        <v>180_EMBRYO_Seriola_lalandi_pH8.00_T21.10_CO2462_LANG</v>
      </c>
      <c r="D756" t="s">
        <v>54</v>
      </c>
      <c r="E756">
        <v>2018</v>
      </c>
      <c r="F756" t="s">
        <v>153</v>
      </c>
      <c r="G756" t="s">
        <v>154</v>
      </c>
      <c r="H756" t="s">
        <v>78</v>
      </c>
      <c r="I756" t="s">
        <v>540</v>
      </c>
      <c r="J756" t="s">
        <v>543</v>
      </c>
      <c r="K756" t="s">
        <v>79</v>
      </c>
      <c r="L756" t="s">
        <v>155</v>
      </c>
      <c r="M756" t="s">
        <v>156</v>
      </c>
      <c r="N756" t="s">
        <v>156</v>
      </c>
      <c r="O756" t="s">
        <v>106</v>
      </c>
      <c r="P756" t="s">
        <v>82</v>
      </c>
      <c r="Q756" t="s">
        <v>74</v>
      </c>
      <c r="R756" t="s">
        <v>83</v>
      </c>
      <c r="S756" t="s">
        <v>64</v>
      </c>
      <c r="T756" t="s">
        <v>64</v>
      </c>
      <c r="U756" t="s">
        <v>66</v>
      </c>
      <c r="V756">
        <v>462</v>
      </c>
      <c r="W756" t="s">
        <v>67</v>
      </c>
      <c r="X756">
        <v>43</v>
      </c>
      <c r="Y756" t="s">
        <v>157</v>
      </c>
      <c r="Z756">
        <v>8</v>
      </c>
      <c r="AA756" t="s">
        <v>67</v>
      </c>
      <c r="AB756">
        <v>0.03</v>
      </c>
      <c r="AC756">
        <v>1011</v>
      </c>
      <c r="AD756" t="s">
        <v>67</v>
      </c>
      <c r="AE756">
        <v>30</v>
      </c>
      <c r="AF756">
        <v>7.7</v>
      </c>
      <c r="AG756" t="s">
        <v>67</v>
      </c>
      <c r="AH756">
        <v>0.01</v>
      </c>
      <c r="AI756">
        <v>21.1</v>
      </c>
      <c r="AJ756" t="s">
        <v>67</v>
      </c>
      <c r="AK756">
        <v>0.1</v>
      </c>
      <c r="AL756">
        <v>24.9</v>
      </c>
      <c r="AM756" t="s">
        <v>67</v>
      </c>
      <c r="AN756">
        <v>0.4</v>
      </c>
      <c r="AO756">
        <v>549</v>
      </c>
      <c r="AP756">
        <v>3.8</v>
      </c>
      <c r="AQ756" t="s">
        <v>67</v>
      </c>
      <c r="AR756" t="s">
        <v>158</v>
      </c>
      <c r="AS756" t="s">
        <v>159</v>
      </c>
      <c r="AT756" t="s">
        <v>135</v>
      </c>
      <c r="AU756" t="s">
        <v>160</v>
      </c>
      <c r="AV756" t="s">
        <v>11</v>
      </c>
      <c r="AW756" t="s">
        <v>72</v>
      </c>
      <c r="AX756" t="s">
        <v>73</v>
      </c>
      <c r="AY756">
        <v>0.13600000000000001</v>
      </c>
      <c r="AZ756">
        <v>0.13600000000000001</v>
      </c>
      <c r="BA756">
        <v>1E-3</v>
      </c>
      <c r="BB756">
        <f>BA756*SQRT(BC756)</f>
        <v>1.3416407864998739E-2</v>
      </c>
      <c r="BC756">
        <v>180</v>
      </c>
      <c r="BD756">
        <v>0.113</v>
      </c>
      <c r="BE756">
        <v>0.113</v>
      </c>
      <c r="BF756">
        <v>1E-3</v>
      </c>
      <c r="BG756">
        <f>BF756*SQRT(BH756)</f>
        <v>1.3416407864998739E-2</v>
      </c>
      <c r="BH756">
        <v>180</v>
      </c>
      <c r="BI756">
        <v>3</v>
      </c>
      <c r="BJ756">
        <v>6</v>
      </c>
      <c r="BK756">
        <v>-0.18529999999999999</v>
      </c>
      <c r="BL756">
        <v>1E-4</v>
      </c>
    </row>
    <row r="757" spans="1:65" hidden="1" x14ac:dyDescent="0.2">
      <c r="A757">
        <v>128</v>
      </c>
      <c r="D757" t="s">
        <v>54</v>
      </c>
      <c r="E757">
        <v>2013</v>
      </c>
      <c r="F757" t="s">
        <v>449</v>
      </c>
      <c r="G757" t="s">
        <v>344</v>
      </c>
      <c r="H757" t="s">
        <v>78</v>
      </c>
      <c r="K757" t="s">
        <v>194</v>
      </c>
      <c r="L757" t="s">
        <v>221</v>
      </c>
      <c r="M757" t="s">
        <v>120</v>
      </c>
      <c r="N757" t="s">
        <v>120</v>
      </c>
      <c r="O757" t="s">
        <v>62</v>
      </c>
      <c r="P757" t="s">
        <v>196</v>
      </c>
      <c r="Q757" t="s">
        <v>64</v>
      </c>
      <c r="R757" t="s">
        <v>83</v>
      </c>
      <c r="S757" t="s">
        <v>64</v>
      </c>
      <c r="T757" t="s">
        <v>64</v>
      </c>
      <c r="U757" t="s">
        <v>66</v>
      </c>
      <c r="V757">
        <v>357</v>
      </c>
      <c r="W757">
        <v>18.260000000000002</v>
      </c>
      <c r="X757" t="s">
        <v>67</v>
      </c>
      <c r="Y757" t="s">
        <v>96</v>
      </c>
      <c r="Z757">
        <v>8.25</v>
      </c>
      <c r="AA757">
        <v>0.02</v>
      </c>
      <c r="AB757" t="s">
        <v>67</v>
      </c>
      <c r="AC757">
        <v>2019</v>
      </c>
      <c r="AD757">
        <v>26.93</v>
      </c>
      <c r="AE757" t="s">
        <v>67</v>
      </c>
      <c r="AF757">
        <v>7.49</v>
      </c>
      <c r="AG757">
        <v>0.01</v>
      </c>
      <c r="AH757" t="s">
        <v>67</v>
      </c>
      <c r="AI757">
        <v>1.5</v>
      </c>
      <c r="AJ757">
        <v>0.09</v>
      </c>
      <c r="AK757" t="s">
        <v>67</v>
      </c>
      <c r="AL757">
        <v>6.9</v>
      </c>
      <c r="AM757">
        <v>0.06</v>
      </c>
      <c r="AN757" t="s">
        <v>67</v>
      </c>
      <c r="AO757">
        <v>1662</v>
      </c>
      <c r="AP757">
        <v>5.4</v>
      </c>
      <c r="AQ757" t="s">
        <v>67</v>
      </c>
      <c r="AR757" t="s">
        <v>526</v>
      </c>
      <c r="AS757" t="s">
        <v>526</v>
      </c>
      <c r="AT757" t="s">
        <v>70</v>
      </c>
      <c r="AU757" t="s">
        <v>67</v>
      </c>
      <c r="AV757" t="s">
        <v>132</v>
      </c>
      <c r="AX757" t="s">
        <v>73</v>
      </c>
      <c r="AY757">
        <v>221.5</v>
      </c>
      <c r="AZ757">
        <v>221.5</v>
      </c>
      <c r="BA757">
        <v>65.3</v>
      </c>
      <c r="BC757">
        <v>4</v>
      </c>
      <c r="BD757">
        <v>239.8</v>
      </c>
      <c r="BE757">
        <v>239.8</v>
      </c>
      <c r="BF757">
        <v>9.6</v>
      </c>
      <c r="BH757">
        <v>8</v>
      </c>
      <c r="BI757">
        <v>32</v>
      </c>
      <c r="BJ757">
        <v>1</v>
      </c>
      <c r="BK757">
        <v>7.9399999999999998E-2</v>
      </c>
      <c r="BL757">
        <v>8.8499999999999995E-2</v>
      </c>
    </row>
    <row r="758" spans="1:65" hidden="1" x14ac:dyDescent="0.2">
      <c r="A758">
        <v>134</v>
      </c>
      <c r="D758" t="s">
        <v>54</v>
      </c>
      <c r="E758">
        <v>2017</v>
      </c>
      <c r="F758" t="s">
        <v>435</v>
      </c>
      <c r="G758" t="s">
        <v>56</v>
      </c>
      <c r="H758" t="s">
        <v>78</v>
      </c>
      <c r="K758" t="s">
        <v>522</v>
      </c>
      <c r="L758" t="s">
        <v>523</v>
      </c>
      <c r="M758" t="s">
        <v>95</v>
      </c>
      <c r="N758" t="s">
        <v>61</v>
      </c>
      <c r="O758" t="s">
        <v>62</v>
      </c>
      <c r="P758" t="s">
        <v>196</v>
      </c>
      <c r="Q758" t="s">
        <v>64</v>
      </c>
      <c r="R758" t="s">
        <v>83</v>
      </c>
      <c r="S758" t="s">
        <v>74</v>
      </c>
      <c r="T758" t="s">
        <v>64</v>
      </c>
      <c r="U758" t="s">
        <v>75</v>
      </c>
      <c r="V758">
        <v>396</v>
      </c>
      <c r="W758">
        <v>0.8</v>
      </c>
      <c r="X758" t="s">
        <v>67</v>
      </c>
      <c r="Y758" t="s">
        <v>96</v>
      </c>
      <c r="Z758">
        <v>8.18</v>
      </c>
      <c r="AA758">
        <v>0.01</v>
      </c>
      <c r="AB758" t="s">
        <v>67</v>
      </c>
      <c r="AC758">
        <v>415</v>
      </c>
      <c r="AD758">
        <v>9</v>
      </c>
      <c r="AE758" t="s">
        <v>67</v>
      </c>
      <c r="AF758">
        <v>8.17</v>
      </c>
      <c r="AG758">
        <v>0.01</v>
      </c>
      <c r="AH758" t="s">
        <v>67</v>
      </c>
      <c r="AI758">
        <v>26.7</v>
      </c>
      <c r="AJ758">
        <v>0.1</v>
      </c>
      <c r="AK758" t="s">
        <v>67</v>
      </c>
      <c r="AL758">
        <v>29.6</v>
      </c>
      <c r="AM758">
        <v>0.1</v>
      </c>
      <c r="AN758" t="s">
        <v>67</v>
      </c>
      <c r="AO758">
        <v>19</v>
      </c>
      <c r="AP758">
        <v>2.9</v>
      </c>
      <c r="AQ758" t="s">
        <v>67</v>
      </c>
      <c r="AR758" t="s">
        <v>524</v>
      </c>
      <c r="AS758" t="s">
        <v>524</v>
      </c>
      <c r="AT758" t="s">
        <v>135</v>
      </c>
      <c r="AU758" t="s">
        <v>67</v>
      </c>
      <c r="AV758" t="s">
        <v>251</v>
      </c>
      <c r="AX758" t="s">
        <v>73</v>
      </c>
      <c r="AY758">
        <v>1.49</v>
      </c>
      <c r="AZ758">
        <v>1.49</v>
      </c>
      <c r="BA758">
        <v>0.26</v>
      </c>
      <c r="BC758">
        <v>17</v>
      </c>
      <c r="BD758">
        <v>3.6</v>
      </c>
      <c r="BE758">
        <v>3.6</v>
      </c>
      <c r="BF758">
        <v>0.87</v>
      </c>
      <c r="BH758">
        <v>19</v>
      </c>
      <c r="BI758">
        <v>7</v>
      </c>
      <c r="BJ758">
        <v>3</v>
      </c>
      <c r="BK758">
        <v>0.88219999999999998</v>
      </c>
      <c r="BL758">
        <v>8.8900000000000007E-2</v>
      </c>
    </row>
    <row r="759" spans="1:65" hidden="1" x14ac:dyDescent="0.2">
      <c r="A759">
        <v>159</v>
      </c>
      <c r="D759" t="s">
        <v>54</v>
      </c>
      <c r="E759">
        <v>2018</v>
      </c>
      <c r="F759" t="s">
        <v>326</v>
      </c>
      <c r="G759" t="s">
        <v>327</v>
      </c>
      <c r="H759" t="s">
        <v>78</v>
      </c>
      <c r="K759" t="s">
        <v>205</v>
      </c>
      <c r="L759" t="s">
        <v>225</v>
      </c>
      <c r="M759" t="s">
        <v>120</v>
      </c>
      <c r="N759" t="s">
        <v>120</v>
      </c>
      <c r="O759" t="s">
        <v>110</v>
      </c>
      <c r="P759" t="s">
        <v>196</v>
      </c>
      <c r="Q759" t="s">
        <v>64</v>
      </c>
      <c r="R759" t="s">
        <v>83</v>
      </c>
      <c r="S759" t="s">
        <v>64</v>
      </c>
      <c r="T759" t="s">
        <v>64</v>
      </c>
      <c r="U759" t="s">
        <v>66</v>
      </c>
      <c r="V759">
        <v>390</v>
      </c>
      <c r="W759" t="s">
        <v>67</v>
      </c>
      <c r="X759" t="s">
        <v>67</v>
      </c>
      <c r="Y759" t="s">
        <v>67</v>
      </c>
      <c r="Z759" t="s">
        <v>67</v>
      </c>
      <c r="AA759" t="s">
        <v>67</v>
      </c>
      <c r="AB759" t="s">
        <v>67</v>
      </c>
      <c r="AC759">
        <v>1170</v>
      </c>
      <c r="AD759" t="s">
        <v>67</v>
      </c>
      <c r="AE759" t="s">
        <v>67</v>
      </c>
      <c r="AF759" t="s">
        <v>67</v>
      </c>
      <c r="AG759" t="s">
        <v>67</v>
      </c>
      <c r="AH759" t="s">
        <v>67</v>
      </c>
      <c r="AI759">
        <v>0</v>
      </c>
      <c r="AJ759" t="s">
        <v>67</v>
      </c>
      <c r="AK759" t="s">
        <v>67</v>
      </c>
      <c r="AL759">
        <v>3</v>
      </c>
      <c r="AM759" t="s">
        <v>67</v>
      </c>
      <c r="AN759" t="s">
        <v>67</v>
      </c>
      <c r="AO759">
        <v>780</v>
      </c>
      <c r="AP759">
        <v>3</v>
      </c>
      <c r="AQ759" t="s">
        <v>67</v>
      </c>
      <c r="AR759" t="s">
        <v>361</v>
      </c>
      <c r="AS759" t="s">
        <v>361</v>
      </c>
      <c r="AT759" t="s">
        <v>70</v>
      </c>
      <c r="AU759" t="s">
        <v>510</v>
      </c>
      <c r="AV759" t="s">
        <v>363</v>
      </c>
      <c r="AX759" t="s">
        <v>73</v>
      </c>
      <c r="AY759">
        <v>4.3200000000000002E-2</v>
      </c>
      <c r="AZ759">
        <v>4.3200000000000002E-2</v>
      </c>
      <c r="BA759">
        <v>0.01</v>
      </c>
      <c r="BC759">
        <v>5</v>
      </c>
      <c r="BD759">
        <v>7.7799999999999994E-2</v>
      </c>
      <c r="BE759">
        <v>7.7799999999999994E-2</v>
      </c>
      <c r="BF759">
        <v>1.72E-2</v>
      </c>
      <c r="BH759">
        <v>5</v>
      </c>
      <c r="BI759">
        <v>120</v>
      </c>
      <c r="BJ759" t="s">
        <v>67</v>
      </c>
      <c r="BK759">
        <v>0.58830000000000005</v>
      </c>
      <c r="BL759">
        <v>9.0399999999999994E-2</v>
      </c>
    </row>
    <row r="760" spans="1:65" hidden="1" x14ac:dyDescent="0.2">
      <c r="A760">
        <v>164</v>
      </c>
      <c r="D760" t="s">
        <v>54</v>
      </c>
      <c r="E760">
        <v>2017</v>
      </c>
      <c r="F760" t="s">
        <v>371</v>
      </c>
      <c r="G760" t="s">
        <v>224</v>
      </c>
      <c r="H760" t="s">
        <v>78</v>
      </c>
      <c r="K760" t="s">
        <v>79</v>
      </c>
      <c r="L760" t="s">
        <v>206</v>
      </c>
      <c r="M760" t="s">
        <v>120</v>
      </c>
      <c r="N760" t="s">
        <v>120</v>
      </c>
      <c r="O760" t="s">
        <v>110</v>
      </c>
      <c r="P760" t="s">
        <v>196</v>
      </c>
      <c r="Q760" t="s">
        <v>480</v>
      </c>
      <c r="R760" t="s">
        <v>83</v>
      </c>
      <c r="S760" t="s">
        <v>74</v>
      </c>
      <c r="T760" t="s">
        <v>64</v>
      </c>
      <c r="U760" t="s">
        <v>75</v>
      </c>
      <c r="V760">
        <v>437</v>
      </c>
      <c r="W760" t="s">
        <v>67</v>
      </c>
      <c r="X760">
        <v>10</v>
      </c>
      <c r="Y760" t="s">
        <v>157</v>
      </c>
      <c r="Z760">
        <v>8.02</v>
      </c>
      <c r="AA760" t="s">
        <v>67</v>
      </c>
      <c r="AB760">
        <v>0.01</v>
      </c>
      <c r="AC760">
        <v>515</v>
      </c>
      <c r="AD760" t="s">
        <v>67</v>
      </c>
      <c r="AE760">
        <v>26</v>
      </c>
      <c r="AF760">
        <v>7.9</v>
      </c>
      <c r="AG760" t="s">
        <v>67</v>
      </c>
      <c r="AH760">
        <v>0.03</v>
      </c>
      <c r="AI760">
        <v>8.1999999999999993</v>
      </c>
      <c r="AJ760" t="s">
        <v>67</v>
      </c>
      <c r="AK760">
        <v>0.09</v>
      </c>
      <c r="AL760">
        <v>15.7</v>
      </c>
      <c r="AM760" t="s">
        <v>67</v>
      </c>
      <c r="AN760">
        <v>0.4</v>
      </c>
      <c r="AO760">
        <v>78</v>
      </c>
      <c r="AP760">
        <v>7.5</v>
      </c>
      <c r="AQ760" t="s">
        <v>67</v>
      </c>
      <c r="AR760" t="s">
        <v>484</v>
      </c>
      <c r="AS760" t="s">
        <v>473</v>
      </c>
      <c r="AT760" t="s">
        <v>135</v>
      </c>
      <c r="AU760" t="s">
        <v>474</v>
      </c>
      <c r="AV760" t="s">
        <v>251</v>
      </c>
      <c r="AX760" t="s">
        <v>73</v>
      </c>
      <c r="AY760">
        <v>40.9</v>
      </c>
      <c r="AZ760">
        <v>40.9</v>
      </c>
      <c r="BA760">
        <v>9.6</v>
      </c>
      <c r="BC760">
        <v>12</v>
      </c>
      <c r="BD760">
        <v>42</v>
      </c>
      <c r="BE760">
        <v>42</v>
      </c>
      <c r="BF760">
        <v>7.9</v>
      </c>
      <c r="BH760">
        <v>10</v>
      </c>
      <c r="BI760">
        <v>42</v>
      </c>
      <c r="BJ760">
        <v>8</v>
      </c>
      <c r="BK760">
        <v>2.6499999999999999E-2</v>
      </c>
      <c r="BL760">
        <v>9.0499999999999997E-2</v>
      </c>
    </row>
    <row r="761" spans="1:65" hidden="1" x14ac:dyDescent="0.2">
      <c r="A761">
        <v>164</v>
      </c>
      <c r="D761" t="s">
        <v>54</v>
      </c>
      <c r="E761">
        <v>2017</v>
      </c>
      <c r="F761" t="s">
        <v>371</v>
      </c>
      <c r="G761" t="s">
        <v>224</v>
      </c>
      <c r="H761" t="s">
        <v>78</v>
      </c>
      <c r="K761" t="s">
        <v>79</v>
      </c>
      <c r="L761" t="s">
        <v>206</v>
      </c>
      <c r="M761" t="s">
        <v>120</v>
      </c>
      <c r="N761" t="s">
        <v>120</v>
      </c>
      <c r="O761" t="s">
        <v>110</v>
      </c>
      <c r="P761" t="s">
        <v>196</v>
      </c>
      <c r="Q761" t="s">
        <v>480</v>
      </c>
      <c r="R761" t="s">
        <v>83</v>
      </c>
      <c r="S761" t="s">
        <v>64</v>
      </c>
      <c r="T761" t="s">
        <v>64</v>
      </c>
      <c r="U761" t="s">
        <v>66</v>
      </c>
      <c r="V761">
        <v>437</v>
      </c>
      <c r="W761" t="s">
        <v>67</v>
      </c>
      <c r="X761">
        <v>10</v>
      </c>
      <c r="Y761" t="s">
        <v>157</v>
      </c>
      <c r="Z761">
        <v>8.02</v>
      </c>
      <c r="AA761" t="s">
        <v>67</v>
      </c>
      <c r="AB761">
        <v>0.01</v>
      </c>
      <c r="AC761">
        <v>1416</v>
      </c>
      <c r="AD761" t="s">
        <v>67</v>
      </c>
      <c r="AE761">
        <v>357</v>
      </c>
      <c r="AF761">
        <v>7.5</v>
      </c>
      <c r="AG761" t="s">
        <v>67</v>
      </c>
      <c r="AH761">
        <v>0.12</v>
      </c>
      <c r="AI761">
        <v>8.1999999999999993</v>
      </c>
      <c r="AJ761" t="s">
        <v>67</v>
      </c>
      <c r="AK761">
        <v>0.09</v>
      </c>
      <c r="AL761">
        <v>15.7</v>
      </c>
      <c r="AM761" t="s">
        <v>67</v>
      </c>
      <c r="AN761">
        <v>0.4</v>
      </c>
      <c r="AO761">
        <v>979</v>
      </c>
      <c r="AP761">
        <v>7.5</v>
      </c>
      <c r="AQ761" t="s">
        <v>67</v>
      </c>
      <c r="AR761" t="s">
        <v>484</v>
      </c>
      <c r="AS761" t="s">
        <v>473</v>
      </c>
      <c r="AT761" t="s">
        <v>135</v>
      </c>
      <c r="AU761" t="s">
        <v>474</v>
      </c>
      <c r="AV761" t="s">
        <v>251</v>
      </c>
      <c r="AX761" t="s">
        <v>73</v>
      </c>
      <c r="AY761">
        <v>40.9</v>
      </c>
      <c r="AZ761">
        <v>40.9</v>
      </c>
      <c r="BA761">
        <v>9.6</v>
      </c>
      <c r="BC761">
        <v>12</v>
      </c>
      <c r="BD761">
        <v>46.4</v>
      </c>
      <c r="BE761">
        <v>46.4</v>
      </c>
      <c r="BF761">
        <v>8.9</v>
      </c>
      <c r="BH761">
        <v>12</v>
      </c>
      <c r="BI761">
        <v>42</v>
      </c>
      <c r="BJ761">
        <v>8</v>
      </c>
      <c r="BK761">
        <v>0.12620000000000001</v>
      </c>
      <c r="BL761">
        <v>9.1899999999999996E-2</v>
      </c>
    </row>
    <row r="762" spans="1:65" hidden="1" x14ac:dyDescent="0.2">
      <c r="A762">
        <v>146</v>
      </c>
      <c r="D762" t="s">
        <v>54</v>
      </c>
      <c r="E762">
        <v>2016</v>
      </c>
      <c r="F762" t="s">
        <v>347</v>
      </c>
      <c r="G762" t="s">
        <v>348</v>
      </c>
      <c r="H762" t="s">
        <v>78</v>
      </c>
      <c r="K762" t="s">
        <v>349</v>
      </c>
      <c r="L762" t="s">
        <v>125</v>
      </c>
      <c r="M762" t="s">
        <v>126</v>
      </c>
      <c r="N762" t="s">
        <v>81</v>
      </c>
      <c r="O762" t="s">
        <v>62</v>
      </c>
      <c r="P762" t="s">
        <v>63</v>
      </c>
      <c r="Q762" t="s">
        <v>74</v>
      </c>
      <c r="R762" t="s">
        <v>83</v>
      </c>
      <c r="S762" t="s">
        <v>64</v>
      </c>
      <c r="T762" t="s">
        <v>64</v>
      </c>
      <c r="U762" t="s">
        <v>66</v>
      </c>
      <c r="V762">
        <v>360</v>
      </c>
      <c r="W762" t="s">
        <v>67</v>
      </c>
      <c r="X762">
        <v>35.299999999999997</v>
      </c>
      <c r="Y762" t="s">
        <v>68</v>
      </c>
      <c r="Z762">
        <v>8.01</v>
      </c>
      <c r="AA762" t="s">
        <v>67</v>
      </c>
      <c r="AB762">
        <v>0.04</v>
      </c>
      <c r="AC762">
        <v>952</v>
      </c>
      <c r="AD762" t="s">
        <v>67</v>
      </c>
      <c r="AE762">
        <v>52.1</v>
      </c>
      <c r="AF762">
        <v>7.61</v>
      </c>
      <c r="AG762" t="s">
        <v>67</v>
      </c>
      <c r="AH762">
        <v>0.03</v>
      </c>
      <c r="AI762">
        <v>19.2</v>
      </c>
      <c r="AJ762" t="s">
        <v>67</v>
      </c>
      <c r="AK762">
        <v>0.3</v>
      </c>
      <c r="AL762">
        <v>23</v>
      </c>
      <c r="AM762" t="s">
        <v>67</v>
      </c>
      <c r="AN762">
        <v>0.32</v>
      </c>
      <c r="AO762">
        <v>592</v>
      </c>
      <c r="AP762">
        <v>3.8</v>
      </c>
      <c r="AQ762" t="s">
        <v>350</v>
      </c>
      <c r="AR762" t="s">
        <v>473</v>
      </c>
      <c r="AS762" t="s">
        <v>473</v>
      </c>
      <c r="AT762" t="s">
        <v>135</v>
      </c>
      <c r="AU762" t="s">
        <v>67</v>
      </c>
      <c r="AV762" t="s">
        <v>251</v>
      </c>
      <c r="AX762" t="s">
        <v>73</v>
      </c>
      <c r="AY762">
        <v>21.857700000000001</v>
      </c>
      <c r="AZ762">
        <v>21.857659999999999</v>
      </c>
      <c r="BA762">
        <v>4.63</v>
      </c>
      <c r="BC762">
        <v>10</v>
      </c>
      <c r="BD762">
        <v>33.727400000000003</v>
      </c>
      <c r="BE762">
        <v>33.727382390000002</v>
      </c>
      <c r="BF762">
        <v>7.3823999999999996</v>
      </c>
      <c r="BH762">
        <v>10</v>
      </c>
      <c r="BI762">
        <v>28</v>
      </c>
      <c r="BJ762">
        <v>6</v>
      </c>
      <c r="BK762">
        <v>0.43380000000000002</v>
      </c>
      <c r="BL762">
        <v>9.2799999999999994E-2</v>
      </c>
    </row>
    <row r="763" spans="1:65" hidden="1" x14ac:dyDescent="0.2">
      <c r="A763">
        <v>132</v>
      </c>
      <c r="D763" t="s">
        <v>54</v>
      </c>
      <c r="E763">
        <v>2015</v>
      </c>
      <c r="F763" t="s">
        <v>283</v>
      </c>
      <c r="G763" t="s">
        <v>181</v>
      </c>
      <c r="H763" t="s">
        <v>284</v>
      </c>
      <c r="K763" t="s">
        <v>285</v>
      </c>
      <c r="L763" t="s">
        <v>286</v>
      </c>
      <c r="M763" t="s">
        <v>81</v>
      </c>
      <c r="N763" t="s">
        <v>81</v>
      </c>
      <c r="O763" t="s">
        <v>62</v>
      </c>
      <c r="P763" t="s">
        <v>196</v>
      </c>
      <c r="Q763" t="s">
        <v>64</v>
      </c>
      <c r="R763" t="s">
        <v>83</v>
      </c>
      <c r="S763" t="s">
        <v>74</v>
      </c>
      <c r="T763" t="s">
        <v>64</v>
      </c>
      <c r="U763" t="s">
        <v>75</v>
      </c>
      <c r="V763">
        <v>372</v>
      </c>
      <c r="W763" t="s">
        <v>67</v>
      </c>
      <c r="X763">
        <v>51.9</v>
      </c>
      <c r="Y763" t="s">
        <v>68</v>
      </c>
      <c r="Z763">
        <v>8.02</v>
      </c>
      <c r="AA763" t="s">
        <v>67</v>
      </c>
      <c r="AB763">
        <v>0.05</v>
      </c>
      <c r="AC763">
        <v>382</v>
      </c>
      <c r="AD763" t="s">
        <v>67</v>
      </c>
      <c r="AE763">
        <v>87.5</v>
      </c>
      <c r="AF763">
        <v>8</v>
      </c>
      <c r="AG763" t="s">
        <v>67</v>
      </c>
      <c r="AH763">
        <v>7.0000000000000007E-2</v>
      </c>
      <c r="AI763">
        <v>25.9</v>
      </c>
      <c r="AJ763" t="s">
        <v>67</v>
      </c>
      <c r="AK763">
        <v>0.7</v>
      </c>
      <c r="AL763">
        <v>29.9</v>
      </c>
      <c r="AM763" t="s">
        <v>67</v>
      </c>
      <c r="AN763">
        <v>0.2</v>
      </c>
      <c r="AO763">
        <v>10</v>
      </c>
      <c r="AP763">
        <v>4</v>
      </c>
      <c r="AQ763" t="s">
        <v>67</v>
      </c>
      <c r="AR763" t="s">
        <v>367</v>
      </c>
      <c r="AS763" t="s">
        <v>367</v>
      </c>
      <c r="AT763" t="s">
        <v>135</v>
      </c>
      <c r="AU763" t="s">
        <v>89</v>
      </c>
      <c r="AV763" t="s">
        <v>251</v>
      </c>
      <c r="AX763" t="s">
        <v>90</v>
      </c>
      <c r="AY763">
        <v>41.1</v>
      </c>
      <c r="AZ763">
        <v>41.1</v>
      </c>
      <c r="BA763">
        <v>11.349299999999999</v>
      </c>
      <c r="BC763">
        <v>6</v>
      </c>
      <c r="BD763">
        <v>27.9</v>
      </c>
      <c r="BE763">
        <v>27.9</v>
      </c>
      <c r="BF763">
        <v>3.6334</v>
      </c>
      <c r="BH763">
        <v>6</v>
      </c>
      <c r="BI763">
        <v>31</v>
      </c>
      <c r="BJ763">
        <v>3</v>
      </c>
      <c r="BK763">
        <v>-0.38740000000000002</v>
      </c>
      <c r="BL763">
        <v>9.3200000000000005E-2</v>
      </c>
    </row>
    <row r="764" spans="1:65" hidden="1" x14ac:dyDescent="0.2">
      <c r="A764">
        <v>164</v>
      </c>
      <c r="D764" t="s">
        <v>54</v>
      </c>
      <c r="E764">
        <v>2017</v>
      </c>
      <c r="F764" t="s">
        <v>371</v>
      </c>
      <c r="G764" t="s">
        <v>224</v>
      </c>
      <c r="H764" t="s">
        <v>78</v>
      </c>
      <c r="K764" t="s">
        <v>79</v>
      </c>
      <c r="L764" t="s">
        <v>206</v>
      </c>
      <c r="M764" t="s">
        <v>120</v>
      </c>
      <c r="N764" t="s">
        <v>120</v>
      </c>
      <c r="O764" t="s">
        <v>110</v>
      </c>
      <c r="P764" t="s">
        <v>196</v>
      </c>
      <c r="Q764" t="s">
        <v>480</v>
      </c>
      <c r="R764" t="s">
        <v>83</v>
      </c>
      <c r="S764" t="s">
        <v>64</v>
      </c>
      <c r="T764" t="s">
        <v>74</v>
      </c>
      <c r="U764" t="s">
        <v>84</v>
      </c>
      <c r="V764">
        <v>437</v>
      </c>
      <c r="W764" t="s">
        <v>67</v>
      </c>
      <c r="X764">
        <v>10</v>
      </c>
      <c r="Y764" t="s">
        <v>157</v>
      </c>
      <c r="Z764">
        <v>8.02</v>
      </c>
      <c r="AA764" t="s">
        <v>67</v>
      </c>
      <c r="AB764">
        <v>0.01</v>
      </c>
      <c r="AC764">
        <v>852</v>
      </c>
      <c r="AD764" t="s">
        <v>67</v>
      </c>
      <c r="AE764">
        <v>110</v>
      </c>
      <c r="AF764">
        <v>7.77</v>
      </c>
      <c r="AG764" t="s">
        <v>67</v>
      </c>
      <c r="AH764">
        <v>0.09</v>
      </c>
      <c r="AI764">
        <v>8.1999999999999993</v>
      </c>
      <c r="AJ764" t="s">
        <v>67</v>
      </c>
      <c r="AK764">
        <v>0.09</v>
      </c>
      <c r="AL764">
        <v>8.1</v>
      </c>
      <c r="AM764" t="s">
        <v>67</v>
      </c>
      <c r="AN764">
        <v>0.13</v>
      </c>
      <c r="AO764">
        <v>415</v>
      </c>
      <c r="AP764">
        <v>-0.1</v>
      </c>
      <c r="AQ764" t="s">
        <v>67</v>
      </c>
      <c r="AR764" t="s">
        <v>484</v>
      </c>
      <c r="AS764" t="s">
        <v>473</v>
      </c>
      <c r="AT764" t="s">
        <v>135</v>
      </c>
      <c r="AU764" t="s">
        <v>474</v>
      </c>
      <c r="AV764" t="s">
        <v>251</v>
      </c>
      <c r="AX764" t="s">
        <v>73</v>
      </c>
      <c r="AY764">
        <v>40.9</v>
      </c>
      <c r="AZ764">
        <v>40.9</v>
      </c>
      <c r="BA764">
        <v>9.6</v>
      </c>
      <c r="BC764">
        <v>12</v>
      </c>
      <c r="BD764">
        <v>47.2</v>
      </c>
      <c r="BE764">
        <v>47.2</v>
      </c>
      <c r="BF764">
        <v>9.3000000000000007</v>
      </c>
      <c r="BH764">
        <v>10</v>
      </c>
      <c r="BI764">
        <v>42</v>
      </c>
      <c r="BJ764">
        <v>8</v>
      </c>
      <c r="BK764">
        <v>0.14330000000000001</v>
      </c>
      <c r="BL764">
        <v>9.3899999999999997E-2</v>
      </c>
    </row>
    <row r="765" spans="1:65" hidden="1" x14ac:dyDescent="0.2">
      <c r="A765">
        <v>164</v>
      </c>
      <c r="D765" t="s">
        <v>54</v>
      </c>
      <c r="E765">
        <v>2017</v>
      </c>
      <c r="F765" t="s">
        <v>371</v>
      </c>
      <c r="G765" t="s">
        <v>224</v>
      </c>
      <c r="H765" t="s">
        <v>78</v>
      </c>
      <c r="K765" t="s">
        <v>79</v>
      </c>
      <c r="L765" t="s">
        <v>206</v>
      </c>
      <c r="M765" t="s">
        <v>120</v>
      </c>
      <c r="N765" t="s">
        <v>120</v>
      </c>
      <c r="O765" t="s">
        <v>110</v>
      </c>
      <c r="P765" t="s">
        <v>196</v>
      </c>
      <c r="Q765" t="s">
        <v>480</v>
      </c>
      <c r="R765" t="s">
        <v>83</v>
      </c>
      <c r="S765" t="s">
        <v>74</v>
      </c>
      <c r="T765" t="s">
        <v>64</v>
      </c>
      <c r="U765" t="s">
        <v>75</v>
      </c>
      <c r="V765">
        <v>437</v>
      </c>
      <c r="W765" t="s">
        <v>67</v>
      </c>
      <c r="X765">
        <v>10</v>
      </c>
      <c r="Y765" t="s">
        <v>157</v>
      </c>
      <c r="Z765">
        <v>8.02</v>
      </c>
      <c r="AA765" t="s">
        <v>67</v>
      </c>
      <c r="AB765">
        <v>0.01</v>
      </c>
      <c r="AC765">
        <v>458</v>
      </c>
      <c r="AD765" t="s">
        <v>67</v>
      </c>
      <c r="AE765">
        <v>45</v>
      </c>
      <c r="AF765">
        <v>8.0299999999999994</v>
      </c>
      <c r="AG765" t="s">
        <v>67</v>
      </c>
      <c r="AH765">
        <v>0.04</v>
      </c>
      <c r="AI765">
        <v>8.1999999999999993</v>
      </c>
      <c r="AJ765" t="s">
        <v>67</v>
      </c>
      <c r="AK765">
        <v>0.09</v>
      </c>
      <c r="AL765">
        <v>12.3</v>
      </c>
      <c r="AM765" t="s">
        <v>67</v>
      </c>
      <c r="AN765">
        <v>0.4</v>
      </c>
      <c r="AO765">
        <v>21</v>
      </c>
      <c r="AP765">
        <v>4.0999999999999996</v>
      </c>
      <c r="AQ765" t="s">
        <v>67</v>
      </c>
      <c r="AR765" t="s">
        <v>484</v>
      </c>
      <c r="AS765" t="s">
        <v>473</v>
      </c>
      <c r="AT765" t="s">
        <v>135</v>
      </c>
      <c r="AU765" t="s">
        <v>474</v>
      </c>
      <c r="AV765" t="s">
        <v>251</v>
      </c>
      <c r="AX765" t="s">
        <v>73</v>
      </c>
      <c r="AY765">
        <v>40.9</v>
      </c>
      <c r="AZ765">
        <v>40.9</v>
      </c>
      <c r="BA765">
        <v>9.6</v>
      </c>
      <c r="BC765">
        <v>12</v>
      </c>
      <c r="BD765">
        <v>51.9</v>
      </c>
      <c r="BE765">
        <v>51.9</v>
      </c>
      <c r="BF765">
        <v>10.5</v>
      </c>
      <c r="BH765">
        <v>10</v>
      </c>
      <c r="BI765">
        <v>42</v>
      </c>
      <c r="BJ765">
        <v>8</v>
      </c>
      <c r="BK765">
        <v>0.2382</v>
      </c>
      <c r="BL765">
        <v>9.6000000000000002E-2</v>
      </c>
    </row>
    <row r="766" spans="1:65" hidden="1" x14ac:dyDescent="0.2">
      <c r="A766">
        <v>171</v>
      </c>
      <c r="D766" t="s">
        <v>54</v>
      </c>
      <c r="E766">
        <v>2015</v>
      </c>
      <c r="F766" t="s">
        <v>198</v>
      </c>
      <c r="G766" t="s">
        <v>199</v>
      </c>
      <c r="H766" t="s">
        <v>57</v>
      </c>
      <c r="K766" t="s">
        <v>79</v>
      </c>
      <c r="L766" t="s">
        <v>200</v>
      </c>
      <c r="M766" t="s">
        <v>81</v>
      </c>
      <c r="N766" t="s">
        <v>81</v>
      </c>
      <c r="O766" t="s">
        <v>62</v>
      </c>
      <c r="P766" t="s">
        <v>63</v>
      </c>
      <c r="Q766" t="s">
        <v>64</v>
      </c>
      <c r="R766" t="s">
        <v>65</v>
      </c>
      <c r="S766" t="s">
        <v>64</v>
      </c>
      <c r="T766" t="s">
        <v>64</v>
      </c>
      <c r="U766" t="s">
        <v>66</v>
      </c>
      <c r="V766">
        <v>422.07</v>
      </c>
      <c r="W766" t="s">
        <v>67</v>
      </c>
      <c r="X766">
        <v>16.57</v>
      </c>
      <c r="Y766" t="s">
        <v>96</v>
      </c>
      <c r="Z766">
        <v>8.1</v>
      </c>
      <c r="AA766" t="s">
        <v>67</v>
      </c>
      <c r="AB766">
        <v>0.05</v>
      </c>
      <c r="AC766">
        <v>1078.21</v>
      </c>
      <c r="AD766" t="s">
        <v>67</v>
      </c>
      <c r="AE766">
        <v>53.06</v>
      </c>
      <c r="AF766">
        <v>7.7</v>
      </c>
      <c r="AG766" t="s">
        <v>67</v>
      </c>
      <c r="AH766">
        <v>0.05</v>
      </c>
      <c r="AI766">
        <v>15</v>
      </c>
      <c r="AJ766" t="s">
        <v>67</v>
      </c>
      <c r="AK766">
        <v>0.5</v>
      </c>
      <c r="AL766">
        <v>20</v>
      </c>
      <c r="AM766" t="s">
        <v>67</v>
      </c>
      <c r="AN766">
        <v>0.5</v>
      </c>
      <c r="AO766">
        <v>656</v>
      </c>
      <c r="AP766">
        <v>5</v>
      </c>
      <c r="AQ766" t="s">
        <v>201</v>
      </c>
      <c r="AR766" t="s">
        <v>511</v>
      </c>
      <c r="AS766" t="s">
        <v>361</v>
      </c>
      <c r="AT766" t="s">
        <v>70</v>
      </c>
      <c r="AU766" t="s">
        <v>383</v>
      </c>
      <c r="AV766" t="s">
        <v>363</v>
      </c>
      <c r="AX766" t="s">
        <v>73</v>
      </c>
      <c r="AY766">
        <v>2.6599999999999999E-2</v>
      </c>
      <c r="AZ766">
        <v>2.6610000000000002E-2</v>
      </c>
      <c r="BA766">
        <v>0.01</v>
      </c>
      <c r="BC766">
        <v>30</v>
      </c>
      <c r="BD766">
        <v>0.1103</v>
      </c>
      <c r="BE766">
        <v>0.11030042900000001</v>
      </c>
      <c r="BF766">
        <v>2.1499999999999998E-2</v>
      </c>
      <c r="BH766">
        <v>30</v>
      </c>
      <c r="BI766">
        <v>176</v>
      </c>
      <c r="BJ766">
        <v>5</v>
      </c>
      <c r="BK766">
        <v>1.4218999999999999</v>
      </c>
      <c r="BL766">
        <v>9.64E-2</v>
      </c>
    </row>
    <row r="767" spans="1:65" hidden="1" x14ac:dyDescent="0.2">
      <c r="A767">
        <v>154</v>
      </c>
      <c r="D767" t="s">
        <v>54</v>
      </c>
      <c r="E767">
        <v>2017</v>
      </c>
      <c r="F767" t="s">
        <v>507</v>
      </c>
      <c r="G767" t="s">
        <v>508</v>
      </c>
      <c r="H767" t="s">
        <v>57</v>
      </c>
      <c r="K767" t="s">
        <v>264</v>
      </c>
      <c r="L767" t="s">
        <v>265</v>
      </c>
      <c r="M767" t="s">
        <v>81</v>
      </c>
      <c r="N767" t="s">
        <v>81</v>
      </c>
      <c r="O767" t="s">
        <v>62</v>
      </c>
      <c r="P767" t="s">
        <v>63</v>
      </c>
      <c r="Q767" t="s">
        <v>64</v>
      </c>
      <c r="R767" t="s">
        <v>65</v>
      </c>
      <c r="S767" t="s">
        <v>64</v>
      </c>
      <c r="T767" t="s">
        <v>64</v>
      </c>
      <c r="U767" t="s">
        <v>66</v>
      </c>
      <c r="V767">
        <v>518</v>
      </c>
      <c r="W767">
        <v>19.899999999999999</v>
      </c>
      <c r="X767" t="s">
        <v>67</v>
      </c>
      <c r="Y767" t="s">
        <v>96</v>
      </c>
      <c r="Z767">
        <v>8.02</v>
      </c>
      <c r="AA767">
        <v>0.01</v>
      </c>
      <c r="AB767" t="s">
        <v>67</v>
      </c>
      <c r="AC767">
        <v>1049</v>
      </c>
      <c r="AD767">
        <v>45.9</v>
      </c>
      <c r="AE767" t="s">
        <v>67</v>
      </c>
      <c r="AF767">
        <v>7.81</v>
      </c>
      <c r="AG767">
        <v>0.01</v>
      </c>
      <c r="AH767" t="s">
        <v>67</v>
      </c>
      <c r="AI767">
        <v>16.3</v>
      </c>
      <c r="AJ767">
        <v>0.1</v>
      </c>
      <c r="AK767" t="s">
        <v>67</v>
      </c>
      <c r="AL767">
        <v>19.100000000000001</v>
      </c>
      <c r="AM767">
        <v>0</v>
      </c>
      <c r="AN767" t="s">
        <v>67</v>
      </c>
      <c r="AO767">
        <v>531</v>
      </c>
      <c r="AP767">
        <v>2.8</v>
      </c>
      <c r="AQ767" t="s">
        <v>67</v>
      </c>
      <c r="AR767" t="s">
        <v>527</v>
      </c>
      <c r="AS767" t="s">
        <v>528</v>
      </c>
      <c r="AT767" t="s">
        <v>333</v>
      </c>
      <c r="AU767" t="s">
        <v>477</v>
      </c>
      <c r="AV767" t="s">
        <v>251</v>
      </c>
      <c r="AX767" t="s">
        <v>73</v>
      </c>
      <c r="AY767">
        <v>42.151000000000003</v>
      </c>
      <c r="AZ767">
        <v>42.151029999999999</v>
      </c>
      <c r="BA767">
        <v>11.12</v>
      </c>
      <c r="BC767">
        <v>14</v>
      </c>
      <c r="BD767">
        <v>17.025200000000002</v>
      </c>
      <c r="BE767">
        <v>17.025171619999998</v>
      </c>
      <c r="BF767">
        <v>2.8833000000000002</v>
      </c>
      <c r="BH767">
        <v>12</v>
      </c>
      <c r="BI767">
        <v>127</v>
      </c>
      <c r="BJ767">
        <v>4</v>
      </c>
      <c r="BK767">
        <v>0.90659999999999996</v>
      </c>
      <c r="BL767">
        <v>9.8299999999999998E-2</v>
      </c>
      <c r="BM767" t="s">
        <v>420</v>
      </c>
    </row>
    <row r="768" spans="1:65" x14ac:dyDescent="0.2">
      <c r="A768">
        <v>180</v>
      </c>
      <c r="B768" t="str">
        <f>ROW()-1&amp;"_AltersFish"</f>
        <v>767_AltersFish</v>
      </c>
      <c r="C768" t="str">
        <f>A768 &amp; "_" &amp; P768 &amp; "_" &amp;
SUBSTITUTE(TRIM(L768)," ","_") &amp;
"_pH" &amp; TEXT(Z768,"0.00") &amp;
"_T" &amp; TEXT(AI768,"0.00") &amp;
"_CO2" &amp; TEXT(V768,"0") &amp;
"_LANG"</f>
        <v>180_EMBRYO_Seriola_lalandi_pH8.00_T21.10_CO2462_LANG</v>
      </c>
      <c r="D768" t="s">
        <v>54</v>
      </c>
      <c r="E768">
        <v>2018</v>
      </c>
      <c r="F768" t="s">
        <v>153</v>
      </c>
      <c r="G768" t="s">
        <v>154</v>
      </c>
      <c r="H768" t="s">
        <v>78</v>
      </c>
      <c r="I768" t="s">
        <v>540</v>
      </c>
      <c r="J768" t="s">
        <v>543</v>
      </c>
      <c r="K768" t="s">
        <v>79</v>
      </c>
      <c r="L768" t="s">
        <v>155</v>
      </c>
      <c r="M768" t="s">
        <v>156</v>
      </c>
      <c r="N768" t="s">
        <v>156</v>
      </c>
      <c r="O768" t="s">
        <v>106</v>
      </c>
      <c r="P768" t="s">
        <v>82</v>
      </c>
      <c r="Q768" t="s">
        <v>74</v>
      </c>
      <c r="R768" t="s">
        <v>83</v>
      </c>
      <c r="S768" t="s">
        <v>74</v>
      </c>
      <c r="T768" t="s">
        <v>64</v>
      </c>
      <c r="U768" t="s">
        <v>75</v>
      </c>
      <c r="V768">
        <v>462</v>
      </c>
      <c r="W768" t="s">
        <v>67</v>
      </c>
      <c r="X768">
        <v>43</v>
      </c>
      <c r="Y768" t="s">
        <v>157</v>
      </c>
      <c r="Z768">
        <v>8</v>
      </c>
      <c r="AA768" t="s">
        <v>67</v>
      </c>
      <c r="AB768">
        <v>0.03</v>
      </c>
      <c r="AC768">
        <v>538</v>
      </c>
      <c r="AD768" t="s">
        <v>67</v>
      </c>
      <c r="AE768">
        <v>16</v>
      </c>
      <c r="AF768">
        <v>7.94</v>
      </c>
      <c r="AG768" t="s">
        <v>67</v>
      </c>
      <c r="AH768">
        <v>0.01</v>
      </c>
      <c r="AI768">
        <v>21.1</v>
      </c>
      <c r="AJ768" t="s">
        <v>67</v>
      </c>
      <c r="AK768">
        <v>0.1</v>
      </c>
      <c r="AL768">
        <v>24.8</v>
      </c>
      <c r="AM768" t="s">
        <v>67</v>
      </c>
      <c r="AN768">
        <v>0.4</v>
      </c>
      <c r="AO768">
        <v>76</v>
      </c>
      <c r="AP768">
        <v>3.7</v>
      </c>
      <c r="AQ768" t="s">
        <v>67</v>
      </c>
      <c r="AR768" t="s">
        <v>158</v>
      </c>
      <c r="AS768" t="s">
        <v>159</v>
      </c>
      <c r="AT768" t="s">
        <v>135</v>
      </c>
      <c r="AU768" t="s">
        <v>160</v>
      </c>
      <c r="AV768" t="s">
        <v>11</v>
      </c>
      <c r="AW768" t="s">
        <v>72</v>
      </c>
      <c r="AX768" t="s">
        <v>73</v>
      </c>
      <c r="AY768">
        <v>0.13600000000000001</v>
      </c>
      <c r="AZ768">
        <v>0.13600000000000001</v>
      </c>
      <c r="BA768">
        <v>1E-3</v>
      </c>
      <c r="BB768">
        <f>BA768*SQRT(BC768)</f>
        <v>1.3416407864998739E-2</v>
      </c>
      <c r="BC768">
        <v>180</v>
      </c>
      <c r="BD768">
        <v>0.11</v>
      </c>
      <c r="BE768">
        <v>0.11</v>
      </c>
      <c r="BF768">
        <v>1E-3</v>
      </c>
      <c r="BG768">
        <f>BF768*SQRT(BH768)</f>
        <v>1.3416407864998739E-2</v>
      </c>
      <c r="BH768">
        <v>180</v>
      </c>
      <c r="BI768">
        <v>3</v>
      </c>
      <c r="BJ768">
        <v>6</v>
      </c>
      <c r="BK768">
        <v>-0.2122</v>
      </c>
      <c r="BL768">
        <v>1E-4</v>
      </c>
    </row>
    <row r="769" spans="1:65" x14ac:dyDescent="0.2">
      <c r="A769">
        <v>180</v>
      </c>
      <c r="B769" t="str">
        <f>ROW()-1&amp;"_AltersFish"</f>
        <v>768_AltersFish</v>
      </c>
      <c r="C769" t="str">
        <f>A769 &amp; "_" &amp; P769 &amp; "_" &amp;
SUBSTITUTE(TRIM(L769)," ","_") &amp;
"_pH" &amp; TEXT(Z769,"0.00") &amp;
"_T" &amp; TEXT(AI769,"0.00") &amp;
"_CO2" &amp; TEXT(V769,"0") &amp;
"_LANG"</f>
        <v>180_LARVA_Seriola_lalandi_pH8.00_T21.10_CO2462_LANG</v>
      </c>
      <c r="D769" t="s">
        <v>54</v>
      </c>
      <c r="E769">
        <v>2018</v>
      </c>
      <c r="F769" t="s">
        <v>153</v>
      </c>
      <c r="G769" t="s">
        <v>154</v>
      </c>
      <c r="H769" t="s">
        <v>78</v>
      </c>
      <c r="I769" t="s">
        <v>540</v>
      </c>
      <c r="J769" t="s">
        <v>543</v>
      </c>
      <c r="K769" t="s">
        <v>79</v>
      </c>
      <c r="L769" t="s">
        <v>155</v>
      </c>
      <c r="M769" t="s">
        <v>156</v>
      </c>
      <c r="N769" t="s">
        <v>156</v>
      </c>
      <c r="O769" t="s">
        <v>106</v>
      </c>
      <c r="P769" t="s">
        <v>107</v>
      </c>
      <c r="Q769" t="s">
        <v>74</v>
      </c>
      <c r="R769" t="s">
        <v>83</v>
      </c>
      <c r="S769" t="s">
        <v>64</v>
      </c>
      <c r="T769" t="s">
        <v>74</v>
      </c>
      <c r="U769" t="s">
        <v>84</v>
      </c>
      <c r="V769">
        <v>462</v>
      </c>
      <c r="W769" t="s">
        <v>67</v>
      </c>
      <c r="X769">
        <v>43</v>
      </c>
      <c r="Y769" t="s">
        <v>157</v>
      </c>
      <c r="Z769">
        <v>8</v>
      </c>
      <c r="AA769" t="s">
        <v>67</v>
      </c>
      <c r="AB769">
        <v>0.03</v>
      </c>
      <c r="AC769">
        <v>960</v>
      </c>
      <c r="AD769" t="s">
        <v>67</v>
      </c>
      <c r="AE769">
        <v>57</v>
      </c>
      <c r="AF769">
        <v>7.72</v>
      </c>
      <c r="AG769" t="s">
        <v>67</v>
      </c>
      <c r="AH769">
        <v>0.03</v>
      </c>
      <c r="AI769">
        <v>21.1</v>
      </c>
      <c r="AJ769" t="s">
        <v>67</v>
      </c>
      <c r="AK769">
        <v>0.1</v>
      </c>
      <c r="AL769">
        <v>21.1</v>
      </c>
      <c r="AM769" t="s">
        <v>67</v>
      </c>
      <c r="AN769">
        <v>0.1</v>
      </c>
      <c r="AO769">
        <v>498</v>
      </c>
      <c r="AP769">
        <v>0</v>
      </c>
      <c r="AQ769" t="s">
        <v>67</v>
      </c>
      <c r="AR769" t="s">
        <v>525</v>
      </c>
      <c r="AS769" t="s">
        <v>88</v>
      </c>
      <c r="AT769" t="s">
        <v>70</v>
      </c>
      <c r="AU769" t="s">
        <v>89</v>
      </c>
      <c r="AV769" t="s">
        <v>88</v>
      </c>
      <c r="AW769" t="s">
        <v>88</v>
      </c>
      <c r="AX769" t="s">
        <v>90</v>
      </c>
      <c r="AY769">
        <v>2.5</v>
      </c>
      <c r="AZ769">
        <v>2.5</v>
      </c>
      <c r="BA769">
        <v>0.6</v>
      </c>
      <c r="BB769">
        <f>BA769*SQRT(BC769)</f>
        <v>1.3416407864998738</v>
      </c>
      <c r="BC769">
        <v>5</v>
      </c>
      <c r="BD769">
        <v>2.6</v>
      </c>
      <c r="BE769">
        <v>2.6</v>
      </c>
      <c r="BF769">
        <v>0.7</v>
      </c>
      <c r="BG769">
        <f>BF769*SQRT(BH769)</f>
        <v>1.5652475842498528</v>
      </c>
      <c r="BH769">
        <v>5</v>
      </c>
      <c r="BI769">
        <v>29</v>
      </c>
      <c r="BJ769">
        <v>6</v>
      </c>
      <c r="BK769">
        <v>3.9199999999999999E-2</v>
      </c>
      <c r="BL769">
        <v>0.13009999999999999</v>
      </c>
    </row>
    <row r="770" spans="1:65" hidden="1" x14ac:dyDescent="0.2">
      <c r="A770">
        <v>164</v>
      </c>
      <c r="D770" t="s">
        <v>54</v>
      </c>
      <c r="E770">
        <v>2017</v>
      </c>
      <c r="F770" t="s">
        <v>371</v>
      </c>
      <c r="G770" t="s">
        <v>224</v>
      </c>
      <c r="H770" t="s">
        <v>78</v>
      </c>
      <c r="K770" t="s">
        <v>79</v>
      </c>
      <c r="L770" t="s">
        <v>225</v>
      </c>
      <c r="M770" t="s">
        <v>120</v>
      </c>
      <c r="N770" t="s">
        <v>120</v>
      </c>
      <c r="O770" t="s">
        <v>110</v>
      </c>
      <c r="P770" t="s">
        <v>63</v>
      </c>
      <c r="Q770" t="s">
        <v>64</v>
      </c>
      <c r="R770" t="s">
        <v>83</v>
      </c>
      <c r="S770" t="s">
        <v>74</v>
      </c>
      <c r="T770" t="s">
        <v>64</v>
      </c>
      <c r="U770" t="s">
        <v>75</v>
      </c>
      <c r="V770">
        <v>435</v>
      </c>
      <c r="W770" t="s">
        <v>67</v>
      </c>
      <c r="X770">
        <v>19</v>
      </c>
      <c r="Y770" t="s">
        <v>157</v>
      </c>
      <c r="Z770">
        <v>8.01</v>
      </c>
      <c r="AA770" t="s">
        <v>67</v>
      </c>
      <c r="AB770">
        <v>0.02</v>
      </c>
      <c r="AC770">
        <v>433</v>
      </c>
      <c r="AD770" t="s">
        <v>67</v>
      </c>
      <c r="AE770">
        <v>17</v>
      </c>
      <c r="AF770">
        <v>8.0399999999999991</v>
      </c>
      <c r="AG770" t="s">
        <v>67</v>
      </c>
      <c r="AH770">
        <v>0.02</v>
      </c>
      <c r="AI770">
        <v>5.7</v>
      </c>
      <c r="AJ770" t="s">
        <v>67</v>
      </c>
      <c r="AK770">
        <v>0.23</v>
      </c>
      <c r="AL770">
        <v>8.1999999999999993</v>
      </c>
      <c r="AM770" t="s">
        <v>67</v>
      </c>
      <c r="AN770">
        <v>0.14000000000000001</v>
      </c>
      <c r="AO770">
        <v>-2</v>
      </c>
      <c r="AP770">
        <v>2.5</v>
      </c>
      <c r="AQ770" t="s">
        <v>67</v>
      </c>
      <c r="AR770" t="s">
        <v>484</v>
      </c>
      <c r="AS770" t="s">
        <v>473</v>
      </c>
      <c r="AT770" t="s">
        <v>135</v>
      </c>
      <c r="AU770" t="s">
        <v>474</v>
      </c>
      <c r="AV770" t="s">
        <v>251</v>
      </c>
      <c r="AX770" t="s">
        <v>73</v>
      </c>
      <c r="AY770">
        <v>27.7</v>
      </c>
      <c r="AZ770">
        <v>27.7</v>
      </c>
      <c r="BA770">
        <v>7.7</v>
      </c>
      <c r="BC770">
        <v>12</v>
      </c>
      <c r="BD770">
        <v>48.2</v>
      </c>
      <c r="BE770">
        <v>48.2</v>
      </c>
      <c r="BF770">
        <v>7.4</v>
      </c>
      <c r="BH770">
        <v>12</v>
      </c>
      <c r="BI770">
        <v>42</v>
      </c>
      <c r="BJ770">
        <v>8</v>
      </c>
      <c r="BK770">
        <v>0.55389999999999995</v>
      </c>
      <c r="BL770">
        <v>0.1008</v>
      </c>
    </row>
    <row r="771" spans="1:65" hidden="1" x14ac:dyDescent="0.2">
      <c r="A771">
        <v>137</v>
      </c>
      <c r="D771" t="s">
        <v>54</v>
      </c>
      <c r="E771">
        <v>2013</v>
      </c>
      <c r="F771" t="s">
        <v>516</v>
      </c>
      <c r="G771" t="s">
        <v>517</v>
      </c>
      <c r="H771" t="s">
        <v>78</v>
      </c>
      <c r="K771" t="s">
        <v>194</v>
      </c>
      <c r="L771" t="s">
        <v>221</v>
      </c>
      <c r="M771" t="s">
        <v>120</v>
      </c>
      <c r="N771" t="s">
        <v>120</v>
      </c>
      <c r="O771" t="s">
        <v>62</v>
      </c>
      <c r="P771" t="s">
        <v>196</v>
      </c>
      <c r="Q771" t="s">
        <v>64</v>
      </c>
      <c r="R771" t="s">
        <v>83</v>
      </c>
      <c r="S771" t="s">
        <v>64</v>
      </c>
      <c r="T771" t="s">
        <v>64</v>
      </c>
      <c r="U771" t="s">
        <v>66</v>
      </c>
      <c r="V771">
        <v>357</v>
      </c>
      <c r="W771">
        <v>18.260000000000002</v>
      </c>
      <c r="X771" t="s">
        <v>67</v>
      </c>
      <c r="Y771" t="s">
        <v>96</v>
      </c>
      <c r="Z771">
        <v>8.25</v>
      </c>
      <c r="AA771">
        <v>0.02</v>
      </c>
      <c r="AB771" t="s">
        <v>67</v>
      </c>
      <c r="AC771">
        <v>2019</v>
      </c>
      <c r="AD771">
        <v>26.93</v>
      </c>
      <c r="AE771" t="s">
        <v>67</v>
      </c>
      <c r="AF771">
        <v>7.49</v>
      </c>
      <c r="AG771">
        <v>0.01</v>
      </c>
      <c r="AH771" t="s">
        <v>67</v>
      </c>
      <c r="AI771">
        <v>1.5</v>
      </c>
      <c r="AJ771">
        <v>0.09</v>
      </c>
      <c r="AK771" t="s">
        <v>67</v>
      </c>
      <c r="AL771">
        <v>6.9</v>
      </c>
      <c r="AM771">
        <v>0.06</v>
      </c>
      <c r="AN771" t="s">
        <v>67</v>
      </c>
      <c r="AO771">
        <v>1662</v>
      </c>
      <c r="AP771">
        <v>5.4</v>
      </c>
      <c r="AQ771" t="s">
        <v>67</v>
      </c>
      <c r="AR771" t="s">
        <v>518</v>
      </c>
      <c r="AS771" t="s">
        <v>412</v>
      </c>
      <c r="AT771" t="s">
        <v>135</v>
      </c>
      <c r="AU771" t="s">
        <v>519</v>
      </c>
      <c r="AV771" t="s">
        <v>132</v>
      </c>
      <c r="AX771" t="s">
        <v>73</v>
      </c>
      <c r="AY771">
        <v>83.8</v>
      </c>
      <c r="AZ771">
        <v>83.8</v>
      </c>
      <c r="BA771">
        <v>15.2</v>
      </c>
      <c r="BC771">
        <v>6</v>
      </c>
      <c r="BD771">
        <v>57.3</v>
      </c>
      <c r="BE771">
        <v>57.3</v>
      </c>
      <c r="BF771">
        <v>15.2</v>
      </c>
      <c r="BH771">
        <v>7</v>
      </c>
      <c r="BI771">
        <v>32</v>
      </c>
      <c r="BJ771">
        <v>1</v>
      </c>
      <c r="BK771">
        <v>-0.38009999999999999</v>
      </c>
      <c r="BL771">
        <v>0.1033</v>
      </c>
    </row>
    <row r="772" spans="1:65" hidden="1" x14ac:dyDescent="0.2">
      <c r="A772">
        <v>142</v>
      </c>
      <c r="D772" t="s">
        <v>54</v>
      </c>
      <c r="E772">
        <v>2017</v>
      </c>
      <c r="F772" t="s">
        <v>193</v>
      </c>
      <c r="G772" t="s">
        <v>181</v>
      </c>
      <c r="H772" t="s">
        <v>78</v>
      </c>
      <c r="K772" t="s">
        <v>194</v>
      </c>
      <c r="L772" t="s">
        <v>195</v>
      </c>
      <c r="M772" t="s">
        <v>120</v>
      </c>
      <c r="N772" t="s">
        <v>120</v>
      </c>
      <c r="O772" t="s">
        <v>106</v>
      </c>
      <c r="P772" t="s">
        <v>196</v>
      </c>
      <c r="Q772" t="s">
        <v>64</v>
      </c>
      <c r="R772" t="s">
        <v>83</v>
      </c>
      <c r="S772" t="s">
        <v>64</v>
      </c>
      <c r="T772" t="s">
        <v>64</v>
      </c>
      <c r="U772" t="s">
        <v>66</v>
      </c>
      <c r="V772">
        <v>439</v>
      </c>
      <c r="W772">
        <v>16.079999999999998</v>
      </c>
      <c r="X772" t="s">
        <v>67</v>
      </c>
      <c r="Y772" t="s">
        <v>67</v>
      </c>
      <c r="Z772" t="s">
        <v>67</v>
      </c>
      <c r="AA772" t="s">
        <v>67</v>
      </c>
      <c r="AB772" t="s">
        <v>67</v>
      </c>
      <c r="AC772">
        <v>1027</v>
      </c>
      <c r="AD772">
        <v>9.0299999999999994</v>
      </c>
      <c r="AE772" t="s">
        <v>67</v>
      </c>
      <c r="AF772" t="s">
        <v>67</v>
      </c>
      <c r="AG772" t="s">
        <v>67</v>
      </c>
      <c r="AH772" t="s">
        <v>67</v>
      </c>
      <c r="AI772">
        <v>-0.6</v>
      </c>
      <c r="AJ772">
        <v>0.17</v>
      </c>
      <c r="AK772" t="s">
        <v>67</v>
      </c>
      <c r="AL772">
        <v>4.2</v>
      </c>
      <c r="AM772">
        <v>0.56000000000000005</v>
      </c>
      <c r="AN772" t="s">
        <v>67</v>
      </c>
      <c r="AO772">
        <v>588</v>
      </c>
      <c r="AP772">
        <v>4.8</v>
      </c>
      <c r="AQ772" t="s">
        <v>67</v>
      </c>
      <c r="AR772" t="s">
        <v>400</v>
      </c>
      <c r="AS772" t="s">
        <v>401</v>
      </c>
      <c r="AT772" t="s">
        <v>135</v>
      </c>
      <c r="AU772" t="s">
        <v>402</v>
      </c>
      <c r="AV772" t="s">
        <v>132</v>
      </c>
      <c r="AX772" t="s">
        <v>73</v>
      </c>
      <c r="AY772">
        <v>1.74</v>
      </c>
      <c r="AZ772">
        <v>1.74</v>
      </c>
      <c r="BA772">
        <v>0.33</v>
      </c>
      <c r="BC772">
        <v>10</v>
      </c>
      <c r="BD772">
        <v>1.718</v>
      </c>
      <c r="BE772">
        <v>1.718</v>
      </c>
      <c r="BF772">
        <v>0.45</v>
      </c>
      <c r="BH772">
        <v>10</v>
      </c>
      <c r="BI772">
        <v>49</v>
      </c>
      <c r="BJ772">
        <v>1</v>
      </c>
      <c r="BK772">
        <v>-1.2699999999999999E-2</v>
      </c>
      <c r="BL772">
        <v>0.1046</v>
      </c>
    </row>
    <row r="773" spans="1:65" hidden="1" x14ac:dyDescent="0.2">
      <c r="A773">
        <v>141</v>
      </c>
      <c r="D773" t="s">
        <v>54</v>
      </c>
      <c r="E773">
        <v>2015</v>
      </c>
      <c r="F773" t="s">
        <v>91</v>
      </c>
      <c r="G773" t="s">
        <v>92</v>
      </c>
      <c r="H773" t="s">
        <v>78</v>
      </c>
      <c r="K773" t="s">
        <v>93</v>
      </c>
      <c r="L773" t="s">
        <v>94</v>
      </c>
      <c r="M773" t="s">
        <v>95</v>
      </c>
      <c r="N773" t="s">
        <v>61</v>
      </c>
      <c r="O773" t="s">
        <v>62</v>
      </c>
      <c r="P773" t="s">
        <v>196</v>
      </c>
      <c r="Q773" t="s">
        <v>64</v>
      </c>
      <c r="R773" t="s">
        <v>83</v>
      </c>
      <c r="S773" t="s">
        <v>64</v>
      </c>
      <c r="T773" t="s">
        <v>64</v>
      </c>
      <c r="U773" t="s">
        <v>66</v>
      </c>
      <c r="V773">
        <v>400</v>
      </c>
      <c r="W773">
        <v>6</v>
      </c>
      <c r="X773" t="s">
        <v>67</v>
      </c>
      <c r="Y773" t="s">
        <v>96</v>
      </c>
      <c r="Z773">
        <v>8.15</v>
      </c>
      <c r="AA773">
        <v>0.01</v>
      </c>
      <c r="AB773" t="s">
        <v>67</v>
      </c>
      <c r="AC773">
        <v>1191</v>
      </c>
      <c r="AD773">
        <v>27</v>
      </c>
      <c r="AE773" t="s">
        <v>67</v>
      </c>
      <c r="AF773">
        <v>7.78</v>
      </c>
      <c r="AG773">
        <v>0.01</v>
      </c>
      <c r="AH773" t="s">
        <v>67</v>
      </c>
      <c r="AI773">
        <v>28.4</v>
      </c>
      <c r="AJ773">
        <v>0.01</v>
      </c>
      <c r="AK773" t="s">
        <v>67</v>
      </c>
      <c r="AL773">
        <v>31.5</v>
      </c>
      <c r="AM773">
        <v>0.01</v>
      </c>
      <c r="AN773" t="s">
        <v>67</v>
      </c>
      <c r="AO773">
        <v>791</v>
      </c>
      <c r="AP773">
        <v>3.1</v>
      </c>
      <c r="AQ773" t="s">
        <v>67</v>
      </c>
      <c r="AR773" t="s">
        <v>69</v>
      </c>
      <c r="AS773" t="s">
        <v>69</v>
      </c>
      <c r="AT773" t="s">
        <v>70</v>
      </c>
      <c r="AU773" t="s">
        <v>232</v>
      </c>
      <c r="AV773" t="s">
        <v>72</v>
      </c>
      <c r="AX773" t="s">
        <v>73</v>
      </c>
      <c r="AY773">
        <v>4.8780000000000001</v>
      </c>
      <c r="AZ773">
        <v>4.87805</v>
      </c>
      <c r="BA773">
        <v>0.13</v>
      </c>
      <c r="BC773">
        <v>4</v>
      </c>
      <c r="BD773">
        <v>3.5935000000000001</v>
      </c>
      <c r="BE773">
        <v>3.593495935</v>
      </c>
      <c r="BF773">
        <v>1.1707000000000001</v>
      </c>
      <c r="BH773">
        <v>2</v>
      </c>
      <c r="BI773" t="s">
        <v>67</v>
      </c>
      <c r="BJ773">
        <v>7</v>
      </c>
      <c r="BK773">
        <v>-0.30559999999999998</v>
      </c>
      <c r="BL773">
        <v>0.1069</v>
      </c>
    </row>
    <row r="774" spans="1:65" hidden="1" x14ac:dyDescent="0.2">
      <c r="A774">
        <v>164</v>
      </c>
      <c r="D774" t="s">
        <v>54</v>
      </c>
      <c r="E774">
        <v>2017</v>
      </c>
      <c r="F774" t="s">
        <v>371</v>
      </c>
      <c r="G774" t="s">
        <v>224</v>
      </c>
      <c r="H774" t="s">
        <v>78</v>
      </c>
      <c r="K774" t="s">
        <v>79</v>
      </c>
      <c r="L774" t="s">
        <v>206</v>
      </c>
      <c r="M774" t="s">
        <v>120</v>
      </c>
      <c r="N774" t="s">
        <v>120</v>
      </c>
      <c r="O774" t="s">
        <v>110</v>
      </c>
      <c r="P774" t="s">
        <v>196</v>
      </c>
      <c r="Q774" t="s">
        <v>480</v>
      </c>
      <c r="R774" t="s">
        <v>83</v>
      </c>
      <c r="S774" t="s">
        <v>64</v>
      </c>
      <c r="T774" t="s">
        <v>64</v>
      </c>
      <c r="U774" t="s">
        <v>66</v>
      </c>
      <c r="V774">
        <v>437</v>
      </c>
      <c r="W774" t="s">
        <v>67</v>
      </c>
      <c r="X774">
        <v>10</v>
      </c>
      <c r="Y774" t="s">
        <v>157</v>
      </c>
      <c r="Z774">
        <v>8.02</v>
      </c>
      <c r="AA774" t="s">
        <v>67</v>
      </c>
      <c r="AB774">
        <v>0.01</v>
      </c>
      <c r="AC774">
        <v>1137</v>
      </c>
      <c r="AD774" t="s">
        <v>67</v>
      </c>
      <c r="AE774">
        <v>92</v>
      </c>
      <c r="AF774">
        <v>7.67</v>
      </c>
      <c r="AG774" t="s">
        <v>67</v>
      </c>
      <c r="AH774">
        <v>0.03</v>
      </c>
      <c r="AI774">
        <v>8.1999999999999993</v>
      </c>
      <c r="AJ774" t="s">
        <v>67</v>
      </c>
      <c r="AK774">
        <v>0.09</v>
      </c>
      <c r="AL774">
        <v>12.2</v>
      </c>
      <c r="AM774" t="s">
        <v>67</v>
      </c>
      <c r="AN774">
        <v>0.35</v>
      </c>
      <c r="AO774">
        <v>700</v>
      </c>
      <c r="AP774">
        <v>4</v>
      </c>
      <c r="AQ774" t="s">
        <v>67</v>
      </c>
      <c r="AR774" t="s">
        <v>484</v>
      </c>
      <c r="AS774" t="s">
        <v>473</v>
      </c>
      <c r="AT774" t="s">
        <v>135</v>
      </c>
      <c r="AU774" t="s">
        <v>474</v>
      </c>
      <c r="AV774" t="s">
        <v>251</v>
      </c>
      <c r="AX774" t="s">
        <v>73</v>
      </c>
      <c r="AY774">
        <v>40.9</v>
      </c>
      <c r="AZ774">
        <v>40.9</v>
      </c>
      <c r="BA774">
        <v>9.6</v>
      </c>
      <c r="BC774">
        <v>12</v>
      </c>
      <c r="BD774">
        <v>45.5</v>
      </c>
      <c r="BE774">
        <v>45.5</v>
      </c>
      <c r="BF774">
        <v>10.4</v>
      </c>
      <c r="BH774">
        <v>11</v>
      </c>
      <c r="BI774">
        <v>42</v>
      </c>
      <c r="BJ774">
        <v>8</v>
      </c>
      <c r="BK774">
        <v>0.1066</v>
      </c>
      <c r="BL774">
        <v>0.10730000000000001</v>
      </c>
    </row>
    <row r="775" spans="1:65" hidden="1" x14ac:dyDescent="0.2">
      <c r="A775">
        <v>151</v>
      </c>
      <c r="D775" t="s">
        <v>54</v>
      </c>
      <c r="E775">
        <v>2015</v>
      </c>
      <c r="F775" t="s">
        <v>262</v>
      </c>
      <c r="G775" t="s">
        <v>263</v>
      </c>
      <c r="H775" t="s">
        <v>57</v>
      </c>
      <c r="K775" t="s">
        <v>264</v>
      </c>
      <c r="L775" t="s">
        <v>265</v>
      </c>
      <c r="M775" t="s">
        <v>81</v>
      </c>
      <c r="N775" t="s">
        <v>81</v>
      </c>
      <c r="O775" t="s">
        <v>62</v>
      </c>
      <c r="P775" t="s">
        <v>63</v>
      </c>
      <c r="Q775" t="s">
        <v>64</v>
      </c>
      <c r="R775" t="s">
        <v>65</v>
      </c>
      <c r="S775" t="s">
        <v>64</v>
      </c>
      <c r="T775" t="s">
        <v>74</v>
      </c>
      <c r="U775" t="s">
        <v>84</v>
      </c>
      <c r="V775">
        <v>589</v>
      </c>
      <c r="W775">
        <v>50.9</v>
      </c>
      <c r="X775" t="s">
        <v>67</v>
      </c>
      <c r="Y775" t="s">
        <v>96</v>
      </c>
      <c r="Z775">
        <v>7.96</v>
      </c>
      <c r="AA775">
        <v>0.01</v>
      </c>
      <c r="AB775" t="s">
        <v>67</v>
      </c>
      <c r="AC775">
        <v>1004</v>
      </c>
      <c r="AD775">
        <v>69.900000000000006</v>
      </c>
      <c r="AE775" t="s">
        <v>67</v>
      </c>
      <c r="AF775">
        <v>7.69</v>
      </c>
      <c r="AG775">
        <v>0.01</v>
      </c>
      <c r="AH775" t="s">
        <v>67</v>
      </c>
      <c r="AI775">
        <v>16.399999999999999</v>
      </c>
      <c r="AJ775">
        <v>0.1</v>
      </c>
      <c r="AK775" t="s">
        <v>67</v>
      </c>
      <c r="AL775">
        <v>15.9</v>
      </c>
      <c r="AM775">
        <v>0.1</v>
      </c>
      <c r="AN775" t="s">
        <v>67</v>
      </c>
      <c r="AO775">
        <v>414</v>
      </c>
      <c r="AP775">
        <v>-0.5</v>
      </c>
      <c r="AQ775" t="s">
        <v>325</v>
      </c>
      <c r="AR775" t="s">
        <v>513</v>
      </c>
      <c r="AS775" t="s">
        <v>386</v>
      </c>
      <c r="AT775" t="s">
        <v>135</v>
      </c>
      <c r="AU775" t="s">
        <v>514</v>
      </c>
      <c r="AV775" t="s">
        <v>251</v>
      </c>
      <c r="AX775" t="s">
        <v>73</v>
      </c>
      <c r="AY775">
        <v>0.71240000000000003</v>
      </c>
      <c r="AZ775">
        <v>0.71236999999999995</v>
      </c>
      <c r="BA775">
        <v>0.15</v>
      </c>
      <c r="BC775">
        <v>4</v>
      </c>
      <c r="BD775">
        <v>0.83330000000000004</v>
      </c>
      <c r="BE775">
        <v>0.83333333300000001</v>
      </c>
      <c r="BF775">
        <v>0.20830000000000001</v>
      </c>
      <c r="BH775">
        <v>4</v>
      </c>
      <c r="BI775">
        <v>57</v>
      </c>
      <c r="BJ775">
        <v>4</v>
      </c>
      <c r="BK775">
        <v>0.15679999999999999</v>
      </c>
      <c r="BL775">
        <v>0.1082</v>
      </c>
    </row>
    <row r="776" spans="1:65" hidden="1" x14ac:dyDescent="0.2">
      <c r="A776">
        <v>171</v>
      </c>
      <c r="D776" t="s">
        <v>54</v>
      </c>
      <c r="E776">
        <v>2015</v>
      </c>
      <c r="F776" t="s">
        <v>198</v>
      </c>
      <c r="G776" t="s">
        <v>199</v>
      </c>
      <c r="H776" t="s">
        <v>57</v>
      </c>
      <c r="K776" t="s">
        <v>79</v>
      </c>
      <c r="L776" t="s">
        <v>200</v>
      </c>
      <c r="M776" t="s">
        <v>81</v>
      </c>
      <c r="N776" t="s">
        <v>81</v>
      </c>
      <c r="O776" t="s">
        <v>62</v>
      </c>
      <c r="P776" t="s">
        <v>63</v>
      </c>
      <c r="Q776" t="s">
        <v>64</v>
      </c>
      <c r="R776" t="s">
        <v>65</v>
      </c>
      <c r="S776" t="s">
        <v>64</v>
      </c>
      <c r="T776" t="s">
        <v>64</v>
      </c>
      <c r="U776" t="s">
        <v>66</v>
      </c>
      <c r="V776">
        <v>422.07</v>
      </c>
      <c r="W776" t="s">
        <v>67</v>
      </c>
      <c r="X776">
        <v>16.57</v>
      </c>
      <c r="Y776" t="s">
        <v>96</v>
      </c>
      <c r="Z776">
        <v>8.1</v>
      </c>
      <c r="AA776" t="s">
        <v>67</v>
      </c>
      <c r="AB776">
        <v>0.05</v>
      </c>
      <c r="AC776">
        <v>1075</v>
      </c>
      <c r="AD776" t="s">
        <v>67</v>
      </c>
      <c r="AE776">
        <v>67.099999999999994</v>
      </c>
      <c r="AF776">
        <v>7.7</v>
      </c>
      <c r="AG776" t="s">
        <v>67</v>
      </c>
      <c r="AH776">
        <v>0.05</v>
      </c>
      <c r="AI776">
        <v>15</v>
      </c>
      <c r="AJ776" t="s">
        <v>67</v>
      </c>
      <c r="AK776">
        <v>0.5</v>
      </c>
      <c r="AL776">
        <v>18</v>
      </c>
      <c r="AM776" t="s">
        <v>67</v>
      </c>
      <c r="AN776">
        <v>0.5</v>
      </c>
      <c r="AO776">
        <v>653</v>
      </c>
      <c r="AP776">
        <v>3</v>
      </c>
      <c r="AQ776" t="s">
        <v>218</v>
      </c>
      <c r="AR776" t="s">
        <v>364</v>
      </c>
      <c r="AS776" t="s">
        <v>88</v>
      </c>
      <c r="AT776" t="s">
        <v>70</v>
      </c>
      <c r="AU776" t="s">
        <v>89</v>
      </c>
      <c r="AV776" t="s">
        <v>88</v>
      </c>
      <c r="AX776" t="s">
        <v>90</v>
      </c>
      <c r="AY776">
        <v>75.112099999999998</v>
      </c>
      <c r="AZ776">
        <v>75.112110000000001</v>
      </c>
      <c r="BA776">
        <v>25.112100000000002</v>
      </c>
      <c r="BC776">
        <v>37</v>
      </c>
      <c r="BD776">
        <v>100</v>
      </c>
      <c r="BE776">
        <v>100</v>
      </c>
      <c r="BF776">
        <v>0.22420000000000001</v>
      </c>
      <c r="BH776">
        <v>37</v>
      </c>
      <c r="BI776">
        <v>155</v>
      </c>
      <c r="BJ776">
        <v>5</v>
      </c>
      <c r="BK776">
        <v>0.28620000000000001</v>
      </c>
      <c r="BL776">
        <v>0.1118</v>
      </c>
    </row>
    <row r="777" spans="1:65" hidden="1" x14ac:dyDescent="0.2">
      <c r="A777">
        <v>154</v>
      </c>
      <c r="D777" t="s">
        <v>54</v>
      </c>
      <c r="E777">
        <v>2017</v>
      </c>
      <c r="F777" t="s">
        <v>507</v>
      </c>
      <c r="G777" t="s">
        <v>508</v>
      </c>
      <c r="H777" t="s">
        <v>57</v>
      </c>
      <c r="K777" t="s">
        <v>264</v>
      </c>
      <c r="L777" t="s">
        <v>265</v>
      </c>
      <c r="M777" t="s">
        <v>81</v>
      </c>
      <c r="N777" t="s">
        <v>81</v>
      </c>
      <c r="O777" t="s">
        <v>62</v>
      </c>
      <c r="P777" t="s">
        <v>63</v>
      </c>
      <c r="Q777" t="s">
        <v>64</v>
      </c>
      <c r="R777" t="s">
        <v>65</v>
      </c>
      <c r="S777" t="s">
        <v>74</v>
      </c>
      <c r="T777" t="s">
        <v>64</v>
      </c>
      <c r="U777" t="s">
        <v>75</v>
      </c>
      <c r="V777">
        <v>518</v>
      </c>
      <c r="W777">
        <v>19.899999999999999</v>
      </c>
      <c r="X777" t="s">
        <v>67</v>
      </c>
      <c r="Y777" t="s">
        <v>96</v>
      </c>
      <c r="Z777">
        <v>8.02</v>
      </c>
      <c r="AA777">
        <v>0.01</v>
      </c>
      <c r="AB777" t="s">
        <v>67</v>
      </c>
      <c r="AC777">
        <v>532</v>
      </c>
      <c r="AD777">
        <v>22.4</v>
      </c>
      <c r="AE777" t="s">
        <v>67</v>
      </c>
      <c r="AF777">
        <v>8.06</v>
      </c>
      <c r="AG777">
        <v>0.01</v>
      </c>
      <c r="AH777" t="s">
        <v>67</v>
      </c>
      <c r="AI777">
        <v>16.3</v>
      </c>
      <c r="AJ777">
        <v>0.1</v>
      </c>
      <c r="AK777" t="s">
        <v>67</v>
      </c>
      <c r="AL777">
        <v>19.2</v>
      </c>
      <c r="AM777">
        <v>0</v>
      </c>
      <c r="AN777" t="s">
        <v>67</v>
      </c>
      <c r="AO777">
        <v>14</v>
      </c>
      <c r="AP777">
        <v>2.9</v>
      </c>
      <c r="AQ777" t="s">
        <v>67</v>
      </c>
      <c r="AR777" t="s">
        <v>527</v>
      </c>
      <c r="AS777" t="s">
        <v>528</v>
      </c>
      <c r="AT777" t="s">
        <v>333</v>
      </c>
      <c r="AU777" t="s">
        <v>477</v>
      </c>
      <c r="AV777" t="s">
        <v>251</v>
      </c>
      <c r="AX777" t="s">
        <v>73</v>
      </c>
      <c r="AY777">
        <v>42.151000000000003</v>
      </c>
      <c r="AZ777">
        <v>42.151029999999999</v>
      </c>
      <c r="BA777">
        <v>11.12</v>
      </c>
      <c r="BC777">
        <v>14</v>
      </c>
      <c r="BD777">
        <v>13.73</v>
      </c>
      <c r="BE777">
        <v>13.729977119999999</v>
      </c>
      <c r="BF777">
        <v>2.8833000000000002</v>
      </c>
      <c r="BH777">
        <v>14</v>
      </c>
      <c r="BI777">
        <v>127</v>
      </c>
      <c r="BJ777">
        <v>4</v>
      </c>
      <c r="BK777">
        <v>1.1216999999999999</v>
      </c>
      <c r="BL777">
        <v>0.1137</v>
      </c>
      <c r="BM777" t="s">
        <v>420</v>
      </c>
    </row>
    <row r="778" spans="1:65" hidden="1" x14ac:dyDescent="0.2">
      <c r="A778">
        <v>141</v>
      </c>
      <c r="D778" t="s">
        <v>54</v>
      </c>
      <c r="E778">
        <v>2015</v>
      </c>
      <c r="F778" t="s">
        <v>91</v>
      </c>
      <c r="G778" t="s">
        <v>92</v>
      </c>
      <c r="H778" t="s">
        <v>78</v>
      </c>
      <c r="K778" t="s">
        <v>93</v>
      </c>
      <c r="L778" t="s">
        <v>94</v>
      </c>
      <c r="M778" t="s">
        <v>95</v>
      </c>
      <c r="N778" t="s">
        <v>61</v>
      </c>
      <c r="O778" t="s">
        <v>62</v>
      </c>
      <c r="P778" t="s">
        <v>196</v>
      </c>
      <c r="Q778" t="s">
        <v>64</v>
      </c>
      <c r="R778" t="s">
        <v>83</v>
      </c>
      <c r="S778" t="s">
        <v>64</v>
      </c>
      <c r="T778" t="s">
        <v>64</v>
      </c>
      <c r="U778" t="s">
        <v>66</v>
      </c>
      <c r="V778">
        <v>400</v>
      </c>
      <c r="W778">
        <v>6</v>
      </c>
      <c r="X778" t="s">
        <v>67</v>
      </c>
      <c r="Y778" t="s">
        <v>96</v>
      </c>
      <c r="Z778">
        <v>8.15</v>
      </c>
      <c r="AA778">
        <v>0.01</v>
      </c>
      <c r="AB778" t="s">
        <v>67</v>
      </c>
      <c r="AC778">
        <v>642</v>
      </c>
      <c r="AD778">
        <v>12</v>
      </c>
      <c r="AE778" t="s">
        <v>67</v>
      </c>
      <c r="AF778">
        <v>8</v>
      </c>
      <c r="AG778">
        <v>0.01</v>
      </c>
      <c r="AH778" t="s">
        <v>67</v>
      </c>
      <c r="AI778">
        <v>28.4</v>
      </c>
      <c r="AJ778">
        <v>0.01</v>
      </c>
      <c r="AK778" t="s">
        <v>67</v>
      </c>
      <c r="AL778">
        <v>30.1</v>
      </c>
      <c r="AM778">
        <v>0.01</v>
      </c>
      <c r="AN778" t="s">
        <v>67</v>
      </c>
      <c r="AO778">
        <v>242</v>
      </c>
      <c r="AP778">
        <v>1.7</v>
      </c>
      <c r="AQ778" t="s">
        <v>67</v>
      </c>
      <c r="AR778" t="s">
        <v>300</v>
      </c>
      <c r="AS778" t="s">
        <v>301</v>
      </c>
      <c r="AT778" t="s">
        <v>70</v>
      </c>
      <c r="AU778" t="s">
        <v>99</v>
      </c>
      <c r="AV778" t="s">
        <v>151</v>
      </c>
      <c r="AX778" t="s">
        <v>90</v>
      </c>
      <c r="AY778">
        <v>2454.5455000000002</v>
      </c>
      <c r="AZ778">
        <v>2454.5454500000001</v>
      </c>
      <c r="BA778">
        <v>71.77</v>
      </c>
      <c r="BC778">
        <v>4</v>
      </c>
      <c r="BD778">
        <v>1220.0957000000001</v>
      </c>
      <c r="BE778">
        <v>1220.0956940000001</v>
      </c>
      <c r="BF778">
        <v>416.2679</v>
      </c>
      <c r="BH778">
        <v>1</v>
      </c>
      <c r="BI778" t="s">
        <v>67</v>
      </c>
      <c r="BJ778">
        <v>7</v>
      </c>
      <c r="BK778">
        <v>-0.69899999999999995</v>
      </c>
      <c r="BL778">
        <v>0.1173</v>
      </c>
    </row>
    <row r="779" spans="1:65" x14ac:dyDescent="0.2">
      <c r="A779">
        <v>180</v>
      </c>
      <c r="B779" t="str">
        <f>ROW()-1&amp;"_AltersFish"</f>
        <v>778_AltersFish</v>
      </c>
      <c r="C779" t="str">
        <f>A779 &amp; "_" &amp; P779 &amp; "_" &amp;
SUBSTITUTE(TRIM(L779)," ","_") &amp;
"_pH" &amp; TEXT(Z779,"0.00") &amp;
"_T" &amp; TEXT(AI779,"0.00") &amp;
"_CO2" &amp; TEXT(V779,"0") &amp;
"_LANG"</f>
        <v>180_LARVA_Seriola_lalandi_pH8.00_T21.10_CO2462_LANG</v>
      </c>
      <c r="D779" t="s">
        <v>54</v>
      </c>
      <c r="E779">
        <v>2018</v>
      </c>
      <c r="F779" t="s">
        <v>153</v>
      </c>
      <c r="G779" t="s">
        <v>154</v>
      </c>
      <c r="H779" t="s">
        <v>78</v>
      </c>
      <c r="I779" t="s">
        <v>540</v>
      </c>
      <c r="J779" t="s">
        <v>543</v>
      </c>
      <c r="K779" t="s">
        <v>79</v>
      </c>
      <c r="L779" t="s">
        <v>155</v>
      </c>
      <c r="M779" t="s">
        <v>156</v>
      </c>
      <c r="N779" t="s">
        <v>156</v>
      </c>
      <c r="O779" t="s">
        <v>106</v>
      </c>
      <c r="P779" t="s">
        <v>107</v>
      </c>
      <c r="Q779" t="s">
        <v>74</v>
      </c>
      <c r="R779" t="s">
        <v>83</v>
      </c>
      <c r="S779" t="s">
        <v>64</v>
      </c>
      <c r="T779" t="s">
        <v>64</v>
      </c>
      <c r="U779" t="s">
        <v>66</v>
      </c>
      <c r="V779">
        <v>462</v>
      </c>
      <c r="W779" t="s">
        <v>67</v>
      </c>
      <c r="X779">
        <v>43</v>
      </c>
      <c r="Y779" t="s">
        <v>157</v>
      </c>
      <c r="Z779">
        <v>8</v>
      </c>
      <c r="AA779" t="s">
        <v>67</v>
      </c>
      <c r="AB779">
        <v>0.03</v>
      </c>
      <c r="AC779">
        <v>1011</v>
      </c>
      <c r="AD779" t="s">
        <v>67</v>
      </c>
      <c r="AE779">
        <v>30</v>
      </c>
      <c r="AF779">
        <v>7.7</v>
      </c>
      <c r="AG779" t="s">
        <v>67</v>
      </c>
      <c r="AH779">
        <v>0.01</v>
      </c>
      <c r="AI779">
        <v>21.1</v>
      </c>
      <c r="AJ779" t="s">
        <v>67</v>
      </c>
      <c r="AK779">
        <v>0.1</v>
      </c>
      <c r="AL779">
        <v>24.9</v>
      </c>
      <c r="AM779" t="s">
        <v>67</v>
      </c>
      <c r="AN779">
        <v>0.4</v>
      </c>
      <c r="AO779">
        <v>549</v>
      </c>
      <c r="AP779">
        <v>3.8</v>
      </c>
      <c r="AQ779" t="s">
        <v>67</v>
      </c>
      <c r="AR779" t="s">
        <v>525</v>
      </c>
      <c r="AS779" t="s">
        <v>88</v>
      </c>
      <c r="AT779" t="s">
        <v>70</v>
      </c>
      <c r="AU779" t="s">
        <v>89</v>
      </c>
      <c r="AV779" t="s">
        <v>88</v>
      </c>
      <c r="AW779" t="s">
        <v>88</v>
      </c>
      <c r="AX779" t="s">
        <v>90</v>
      </c>
      <c r="AY779">
        <v>2.5</v>
      </c>
      <c r="AZ779">
        <v>2.5</v>
      </c>
      <c r="BA779">
        <v>0.6</v>
      </c>
      <c r="BB779">
        <f>BA779*SQRT(BC779)</f>
        <v>1.3416407864998738</v>
      </c>
      <c r="BC779">
        <v>5</v>
      </c>
      <c r="BD779">
        <v>1.3</v>
      </c>
      <c r="BE779">
        <v>1.3</v>
      </c>
      <c r="BF779">
        <v>0.2</v>
      </c>
      <c r="BG779">
        <f>BF779*SQRT(BH779)</f>
        <v>0.44721359549995798</v>
      </c>
      <c r="BH779">
        <v>5</v>
      </c>
      <c r="BI779">
        <v>28</v>
      </c>
      <c r="BJ779">
        <v>6</v>
      </c>
      <c r="BK779">
        <v>-0.65390000000000004</v>
      </c>
      <c r="BL779">
        <v>8.1299999999999997E-2</v>
      </c>
    </row>
    <row r="780" spans="1:65" hidden="1" x14ac:dyDescent="0.2">
      <c r="A780">
        <v>139</v>
      </c>
      <c r="D780" t="s">
        <v>54</v>
      </c>
      <c r="E780">
        <v>2018</v>
      </c>
      <c r="F780" t="s">
        <v>214</v>
      </c>
      <c r="G780" t="s">
        <v>154</v>
      </c>
      <c r="H780" t="s">
        <v>78</v>
      </c>
      <c r="K780" t="s">
        <v>194</v>
      </c>
      <c r="L780" t="s">
        <v>215</v>
      </c>
      <c r="M780" t="s">
        <v>120</v>
      </c>
      <c r="N780" t="s">
        <v>120</v>
      </c>
      <c r="O780" t="s">
        <v>62</v>
      </c>
      <c r="P780" t="s">
        <v>63</v>
      </c>
      <c r="Q780" t="s">
        <v>64</v>
      </c>
      <c r="R780" t="s">
        <v>83</v>
      </c>
      <c r="S780" t="s">
        <v>74</v>
      </c>
      <c r="T780" t="s">
        <v>64</v>
      </c>
      <c r="U780" t="s">
        <v>75</v>
      </c>
      <c r="V780">
        <v>458</v>
      </c>
      <c r="W780" t="s">
        <v>67</v>
      </c>
      <c r="X780">
        <v>30</v>
      </c>
      <c r="Y780" t="s">
        <v>68</v>
      </c>
      <c r="Z780">
        <v>7.98</v>
      </c>
      <c r="AA780" t="s">
        <v>67</v>
      </c>
      <c r="AB780">
        <v>0.03</v>
      </c>
      <c r="AC780">
        <v>468</v>
      </c>
      <c r="AD780" t="s">
        <v>67</v>
      </c>
      <c r="AE780">
        <v>31</v>
      </c>
      <c r="AF780">
        <v>7.99</v>
      </c>
      <c r="AG780" t="s">
        <v>67</v>
      </c>
      <c r="AH780">
        <v>0.03</v>
      </c>
      <c r="AI780">
        <v>-1</v>
      </c>
      <c r="AJ780" t="s">
        <v>67</v>
      </c>
      <c r="AK780">
        <v>0.1</v>
      </c>
      <c r="AL780">
        <v>2.2000000000000002</v>
      </c>
      <c r="AM780" t="s">
        <v>67</v>
      </c>
      <c r="AN780">
        <v>0.1</v>
      </c>
      <c r="AO780">
        <v>10</v>
      </c>
      <c r="AP780">
        <v>3.2</v>
      </c>
      <c r="AQ780" t="s">
        <v>67</v>
      </c>
      <c r="AR780" t="s">
        <v>356</v>
      </c>
      <c r="AS780" t="s">
        <v>134</v>
      </c>
      <c r="AT780" t="s">
        <v>135</v>
      </c>
      <c r="AU780" t="s">
        <v>272</v>
      </c>
      <c r="AV780" t="s">
        <v>137</v>
      </c>
      <c r="AX780" t="s">
        <v>73</v>
      </c>
      <c r="AY780">
        <v>2.31</v>
      </c>
      <c r="AZ780">
        <v>2.31</v>
      </c>
      <c r="BA780">
        <v>0.36</v>
      </c>
      <c r="BC780">
        <v>9</v>
      </c>
      <c r="BD780">
        <v>1.53</v>
      </c>
      <c r="BE780">
        <v>1.53</v>
      </c>
      <c r="BF780">
        <v>0.47</v>
      </c>
      <c r="BH780">
        <v>9</v>
      </c>
      <c r="BI780">
        <v>28</v>
      </c>
      <c r="BJ780">
        <v>3</v>
      </c>
      <c r="BK780">
        <v>-0.41199999999999998</v>
      </c>
      <c r="BL780">
        <v>0.1187</v>
      </c>
    </row>
    <row r="781" spans="1:65" hidden="1" x14ac:dyDescent="0.2">
      <c r="A781">
        <v>150</v>
      </c>
      <c r="D781" t="s">
        <v>54</v>
      </c>
      <c r="E781">
        <v>2016</v>
      </c>
      <c r="F781" t="s">
        <v>373</v>
      </c>
      <c r="G781" t="s">
        <v>348</v>
      </c>
      <c r="H781" t="s">
        <v>57</v>
      </c>
      <c r="K781" t="s">
        <v>58</v>
      </c>
      <c r="L781" t="s">
        <v>59</v>
      </c>
      <c r="M781" t="s">
        <v>95</v>
      </c>
      <c r="N781" t="s">
        <v>61</v>
      </c>
      <c r="O781" t="s">
        <v>62</v>
      </c>
      <c r="P781" t="s">
        <v>63</v>
      </c>
      <c r="Q781" t="s">
        <v>64</v>
      </c>
      <c r="R781" t="s">
        <v>65</v>
      </c>
      <c r="S781" t="s">
        <v>74</v>
      </c>
      <c r="T781" t="s">
        <v>64</v>
      </c>
      <c r="U781" t="s">
        <v>75</v>
      </c>
      <c r="V781">
        <v>372</v>
      </c>
      <c r="W781" t="s">
        <v>67</v>
      </c>
      <c r="X781">
        <v>51.93</v>
      </c>
      <c r="Y781" t="s">
        <v>68</v>
      </c>
      <c r="Z781">
        <v>8.02</v>
      </c>
      <c r="AA781" t="s">
        <v>67</v>
      </c>
      <c r="AB781">
        <v>0.05</v>
      </c>
      <c r="AC781">
        <v>382</v>
      </c>
      <c r="AD781" t="s">
        <v>67</v>
      </c>
      <c r="AE781">
        <v>87.53</v>
      </c>
      <c r="AF781">
        <v>8</v>
      </c>
      <c r="AG781" t="s">
        <v>67</v>
      </c>
      <c r="AH781">
        <v>7.0000000000000007E-2</v>
      </c>
      <c r="AI781">
        <v>25.9</v>
      </c>
      <c r="AJ781" t="s">
        <v>67</v>
      </c>
      <c r="AK781">
        <v>0.7</v>
      </c>
      <c r="AL781">
        <v>29.9</v>
      </c>
      <c r="AM781" t="s">
        <v>67</v>
      </c>
      <c r="AN781">
        <v>0.2</v>
      </c>
      <c r="AO781">
        <v>10</v>
      </c>
      <c r="AP781">
        <v>4</v>
      </c>
      <c r="AQ781" t="s">
        <v>374</v>
      </c>
      <c r="AR781" t="s">
        <v>375</v>
      </c>
      <c r="AS781" t="s">
        <v>178</v>
      </c>
      <c r="AT781" t="s">
        <v>70</v>
      </c>
      <c r="AU781" t="s">
        <v>376</v>
      </c>
      <c r="AV781" t="s">
        <v>132</v>
      </c>
      <c r="AX781" t="s">
        <v>73</v>
      </c>
      <c r="AY781">
        <v>2.5139999999999998</v>
      </c>
      <c r="AZ781">
        <v>2.51397</v>
      </c>
      <c r="BA781">
        <v>0.11</v>
      </c>
      <c r="BC781">
        <v>6</v>
      </c>
      <c r="BD781">
        <v>3.1284999999999998</v>
      </c>
      <c r="BE781">
        <v>3.1284916200000001</v>
      </c>
      <c r="BF781">
        <v>1.0719000000000001</v>
      </c>
      <c r="BH781">
        <v>6</v>
      </c>
      <c r="BI781">
        <v>30</v>
      </c>
      <c r="BJ781">
        <v>3</v>
      </c>
      <c r="BK781">
        <v>0.21870000000000001</v>
      </c>
      <c r="BL781">
        <v>0.1195</v>
      </c>
    </row>
    <row r="782" spans="1:65" hidden="1" x14ac:dyDescent="0.2">
      <c r="A782">
        <v>128</v>
      </c>
      <c r="D782" t="s">
        <v>54</v>
      </c>
      <c r="E782">
        <v>2013</v>
      </c>
      <c r="F782" t="s">
        <v>449</v>
      </c>
      <c r="G782" t="s">
        <v>344</v>
      </c>
      <c r="H782" t="s">
        <v>78</v>
      </c>
      <c r="K782" t="s">
        <v>194</v>
      </c>
      <c r="L782" t="s">
        <v>221</v>
      </c>
      <c r="M782" t="s">
        <v>120</v>
      </c>
      <c r="N782" t="s">
        <v>120</v>
      </c>
      <c r="O782" t="s">
        <v>62</v>
      </c>
      <c r="P782" t="s">
        <v>196</v>
      </c>
      <c r="Q782" t="s">
        <v>64</v>
      </c>
      <c r="R782" t="s">
        <v>83</v>
      </c>
      <c r="S782" t="s">
        <v>74</v>
      </c>
      <c r="T782" t="s">
        <v>64</v>
      </c>
      <c r="U782" t="s">
        <v>75</v>
      </c>
      <c r="V782">
        <v>357</v>
      </c>
      <c r="W782">
        <v>18.260000000000002</v>
      </c>
      <c r="X782" t="s">
        <v>67</v>
      </c>
      <c r="Y782" t="s">
        <v>96</v>
      </c>
      <c r="Z782">
        <v>8.25</v>
      </c>
      <c r="AA782">
        <v>0.02</v>
      </c>
      <c r="AB782" t="s">
        <v>67</v>
      </c>
      <c r="AC782">
        <v>461</v>
      </c>
      <c r="AD782">
        <v>13.69</v>
      </c>
      <c r="AE782" t="s">
        <v>67</v>
      </c>
      <c r="AF782">
        <v>7.91</v>
      </c>
      <c r="AG782">
        <v>0.02</v>
      </c>
      <c r="AH782" t="s">
        <v>67</v>
      </c>
      <c r="AI782">
        <v>1.5</v>
      </c>
      <c r="AJ782">
        <v>0.09</v>
      </c>
      <c r="AK782" t="s">
        <v>67</v>
      </c>
      <c r="AL782">
        <v>7.3</v>
      </c>
      <c r="AM782">
        <v>7.0000000000000007E-2</v>
      </c>
      <c r="AN782" t="s">
        <v>67</v>
      </c>
      <c r="AO782">
        <v>105</v>
      </c>
      <c r="AP782">
        <v>5.8</v>
      </c>
      <c r="AQ782" t="s">
        <v>67</v>
      </c>
      <c r="AR782" t="s">
        <v>526</v>
      </c>
      <c r="AS782" t="s">
        <v>526</v>
      </c>
      <c r="AT782" t="s">
        <v>70</v>
      </c>
      <c r="AU782" t="s">
        <v>67</v>
      </c>
      <c r="AV782" t="s">
        <v>132</v>
      </c>
      <c r="AX782" t="s">
        <v>73</v>
      </c>
      <c r="AY782">
        <v>221.5</v>
      </c>
      <c r="AZ782">
        <v>221.5</v>
      </c>
      <c r="BA782">
        <v>65.3</v>
      </c>
      <c r="BC782">
        <v>4</v>
      </c>
      <c r="BD782">
        <v>224.7</v>
      </c>
      <c r="BE782">
        <v>224.7</v>
      </c>
      <c r="BF782">
        <v>41.6</v>
      </c>
      <c r="BH782">
        <v>4</v>
      </c>
      <c r="BI782">
        <v>32</v>
      </c>
      <c r="BJ782">
        <v>1</v>
      </c>
      <c r="BK782">
        <v>1.43E-2</v>
      </c>
      <c r="BL782">
        <v>0.1212</v>
      </c>
    </row>
    <row r="783" spans="1:65" hidden="1" x14ac:dyDescent="0.2">
      <c r="A783">
        <v>146</v>
      </c>
      <c r="D783" t="s">
        <v>54</v>
      </c>
      <c r="E783">
        <v>2016</v>
      </c>
      <c r="F783" t="s">
        <v>347</v>
      </c>
      <c r="G783" t="s">
        <v>348</v>
      </c>
      <c r="H783" t="s">
        <v>78</v>
      </c>
      <c r="K783" t="s">
        <v>349</v>
      </c>
      <c r="L783" t="s">
        <v>125</v>
      </c>
      <c r="M783" t="s">
        <v>126</v>
      </c>
      <c r="N783" t="s">
        <v>81</v>
      </c>
      <c r="O783" t="s">
        <v>62</v>
      </c>
      <c r="P783" t="s">
        <v>63</v>
      </c>
      <c r="Q783" t="s">
        <v>74</v>
      </c>
      <c r="R783" t="s">
        <v>83</v>
      </c>
      <c r="S783" t="s">
        <v>74</v>
      </c>
      <c r="T783" t="s">
        <v>64</v>
      </c>
      <c r="U783" t="s">
        <v>75</v>
      </c>
      <c r="V783">
        <v>360</v>
      </c>
      <c r="W783" t="s">
        <v>67</v>
      </c>
      <c r="X783">
        <v>35.299999999999997</v>
      </c>
      <c r="Y783" t="s">
        <v>68</v>
      </c>
      <c r="Z783">
        <v>8.01</v>
      </c>
      <c r="AA783" t="s">
        <v>67</v>
      </c>
      <c r="AB783">
        <v>0.04</v>
      </c>
      <c r="AC783">
        <v>348</v>
      </c>
      <c r="AD783" t="s">
        <v>67</v>
      </c>
      <c r="AE783">
        <v>37.1</v>
      </c>
      <c r="AF783">
        <v>8</v>
      </c>
      <c r="AG783" t="s">
        <v>67</v>
      </c>
      <c r="AH783">
        <v>0.03</v>
      </c>
      <c r="AI783">
        <v>19.2</v>
      </c>
      <c r="AJ783" t="s">
        <v>67</v>
      </c>
      <c r="AK783">
        <v>0.3</v>
      </c>
      <c r="AL783">
        <v>23</v>
      </c>
      <c r="AM783" t="s">
        <v>67</v>
      </c>
      <c r="AN783">
        <v>0.28999999999999998</v>
      </c>
      <c r="AO783">
        <v>-12</v>
      </c>
      <c r="AP783">
        <v>3.8</v>
      </c>
      <c r="AQ783" t="s">
        <v>350</v>
      </c>
      <c r="AR783" t="s">
        <v>473</v>
      </c>
      <c r="AS783" t="s">
        <v>473</v>
      </c>
      <c r="AT783" t="s">
        <v>135</v>
      </c>
      <c r="AU783" t="s">
        <v>67</v>
      </c>
      <c r="AV783" t="s">
        <v>251</v>
      </c>
      <c r="AX783" t="s">
        <v>73</v>
      </c>
      <c r="AY783">
        <v>21.857700000000001</v>
      </c>
      <c r="AZ783">
        <v>21.857659999999999</v>
      </c>
      <c r="BA783">
        <v>4.63</v>
      </c>
      <c r="BC783">
        <v>10</v>
      </c>
      <c r="BD783">
        <v>39.807000000000002</v>
      </c>
      <c r="BE783">
        <v>39.806996380000001</v>
      </c>
      <c r="BF783">
        <v>11.435499999999999</v>
      </c>
      <c r="BH783">
        <v>10</v>
      </c>
      <c r="BI783">
        <v>28</v>
      </c>
      <c r="BJ783">
        <v>6</v>
      </c>
      <c r="BK783">
        <v>0.59950000000000003</v>
      </c>
      <c r="BL783">
        <v>0.12740000000000001</v>
      </c>
    </row>
    <row r="784" spans="1:65" x14ac:dyDescent="0.2">
      <c r="A784">
        <v>180</v>
      </c>
      <c r="B784" t="str">
        <f>ROW()-1&amp;"_AltersFish"</f>
        <v>783_AltersFish</v>
      </c>
      <c r="C784" t="str">
        <f>A784 &amp; "_" &amp; P784 &amp; "_" &amp;
SUBSTITUTE(TRIM(L784)," ","_") &amp;
"_pH" &amp; TEXT(Z784,"0.00") &amp;
"_T" &amp; TEXT(AI784,"0.00") &amp;
"_CO2" &amp; TEXT(V784,"0") &amp;
"_LANG"</f>
        <v>180_LARVA_Seriola_lalandi_pH8.00_T21.10_CO2462_LANG</v>
      </c>
      <c r="D784" t="s">
        <v>54</v>
      </c>
      <c r="E784">
        <v>2018</v>
      </c>
      <c r="F784" t="s">
        <v>153</v>
      </c>
      <c r="G784" t="s">
        <v>154</v>
      </c>
      <c r="H784" t="s">
        <v>78</v>
      </c>
      <c r="I784" t="s">
        <v>540</v>
      </c>
      <c r="J784" t="s">
        <v>543</v>
      </c>
      <c r="K784" t="s">
        <v>79</v>
      </c>
      <c r="L784" t="s">
        <v>155</v>
      </c>
      <c r="M784" t="s">
        <v>156</v>
      </c>
      <c r="N784" t="s">
        <v>156</v>
      </c>
      <c r="O784" t="s">
        <v>106</v>
      </c>
      <c r="P784" t="s">
        <v>107</v>
      </c>
      <c r="Q784" t="s">
        <v>74</v>
      </c>
      <c r="R784" t="s">
        <v>83</v>
      </c>
      <c r="S784" t="s">
        <v>74</v>
      </c>
      <c r="T784" t="s">
        <v>64</v>
      </c>
      <c r="U784" t="s">
        <v>75</v>
      </c>
      <c r="V784">
        <v>462</v>
      </c>
      <c r="W784" t="s">
        <v>67</v>
      </c>
      <c r="X784">
        <v>43</v>
      </c>
      <c r="Y784" t="s">
        <v>157</v>
      </c>
      <c r="Z784">
        <v>8</v>
      </c>
      <c r="AA784" t="s">
        <v>67</v>
      </c>
      <c r="AB784">
        <v>0.03</v>
      </c>
      <c r="AC784">
        <v>538</v>
      </c>
      <c r="AD784" t="s">
        <v>67</v>
      </c>
      <c r="AE784">
        <v>16</v>
      </c>
      <c r="AF784">
        <v>7.94</v>
      </c>
      <c r="AG784" t="s">
        <v>67</v>
      </c>
      <c r="AH784">
        <v>0.01</v>
      </c>
      <c r="AI784">
        <v>21.1</v>
      </c>
      <c r="AJ784" t="s">
        <v>67</v>
      </c>
      <c r="AK784">
        <v>0.1</v>
      </c>
      <c r="AL784">
        <v>24.8</v>
      </c>
      <c r="AM784" t="s">
        <v>67</v>
      </c>
      <c r="AN784">
        <v>0.4</v>
      </c>
      <c r="AO784">
        <v>76</v>
      </c>
      <c r="AP784">
        <v>3.7</v>
      </c>
      <c r="AQ784" t="s">
        <v>67</v>
      </c>
      <c r="AR784" t="s">
        <v>525</v>
      </c>
      <c r="AS784" t="s">
        <v>88</v>
      </c>
      <c r="AT784" t="s">
        <v>70</v>
      </c>
      <c r="AU784" t="s">
        <v>89</v>
      </c>
      <c r="AV784" t="s">
        <v>88</v>
      </c>
      <c r="AW784" t="s">
        <v>88</v>
      </c>
      <c r="AX784" t="s">
        <v>90</v>
      </c>
      <c r="AY784">
        <v>2.5</v>
      </c>
      <c r="AZ784">
        <v>2.5</v>
      </c>
      <c r="BA784">
        <v>0.6</v>
      </c>
      <c r="BB784">
        <f>BA784*SQRT(BC784)</f>
        <v>1.3416407864998738</v>
      </c>
      <c r="BC784">
        <v>5</v>
      </c>
      <c r="BD784">
        <v>1.2</v>
      </c>
      <c r="BE784">
        <v>1.2</v>
      </c>
      <c r="BF784">
        <v>0.2</v>
      </c>
      <c r="BG784">
        <f>BF784*SQRT(BH784)</f>
        <v>0.44721359549995798</v>
      </c>
      <c r="BH784">
        <v>5</v>
      </c>
      <c r="BI784">
        <v>28</v>
      </c>
      <c r="BJ784">
        <v>6</v>
      </c>
      <c r="BK784">
        <v>-0.73399999999999999</v>
      </c>
      <c r="BL784">
        <v>8.5400000000000004E-2</v>
      </c>
    </row>
    <row r="785" spans="1:64" hidden="1" x14ac:dyDescent="0.2">
      <c r="A785">
        <v>128</v>
      </c>
      <c r="D785" t="s">
        <v>54</v>
      </c>
      <c r="E785">
        <v>2013</v>
      </c>
      <c r="F785" t="s">
        <v>449</v>
      </c>
      <c r="G785" t="s">
        <v>344</v>
      </c>
      <c r="H785" t="s">
        <v>78</v>
      </c>
      <c r="K785" t="s">
        <v>194</v>
      </c>
      <c r="L785" t="s">
        <v>221</v>
      </c>
      <c r="M785" t="s">
        <v>120</v>
      </c>
      <c r="N785" t="s">
        <v>120</v>
      </c>
      <c r="O785" t="s">
        <v>62</v>
      </c>
      <c r="P785" t="s">
        <v>196</v>
      </c>
      <c r="Q785" t="s">
        <v>64</v>
      </c>
      <c r="R785" t="s">
        <v>83</v>
      </c>
      <c r="S785" t="s">
        <v>64</v>
      </c>
      <c r="T785" t="s">
        <v>74</v>
      </c>
      <c r="U785" t="s">
        <v>84</v>
      </c>
      <c r="V785">
        <v>357</v>
      </c>
      <c r="W785">
        <v>18.260000000000002</v>
      </c>
      <c r="X785" t="s">
        <v>67</v>
      </c>
      <c r="Y785" t="s">
        <v>96</v>
      </c>
      <c r="Z785">
        <v>8.25</v>
      </c>
      <c r="AA785">
        <v>0.02</v>
      </c>
      <c r="AB785" t="s">
        <v>67</v>
      </c>
      <c r="AC785">
        <v>2179</v>
      </c>
      <c r="AD785">
        <v>54.5</v>
      </c>
      <c r="AE785" t="s">
        <v>67</v>
      </c>
      <c r="AF785">
        <v>7.46</v>
      </c>
      <c r="AG785">
        <v>0.02</v>
      </c>
      <c r="AH785" t="s">
        <v>67</v>
      </c>
      <c r="AI785">
        <v>1.5</v>
      </c>
      <c r="AJ785">
        <v>0.09</v>
      </c>
      <c r="AK785" t="s">
        <v>67</v>
      </c>
      <c r="AL785">
        <v>1.4</v>
      </c>
      <c r="AM785">
        <v>0.17</v>
      </c>
      <c r="AN785" t="s">
        <v>67</v>
      </c>
      <c r="AO785">
        <v>1822</v>
      </c>
      <c r="AP785">
        <v>-0.1</v>
      </c>
      <c r="AQ785" t="s">
        <v>67</v>
      </c>
      <c r="AR785" t="s">
        <v>526</v>
      </c>
      <c r="AS785" t="s">
        <v>526</v>
      </c>
      <c r="AT785" t="s">
        <v>70</v>
      </c>
      <c r="AU785" t="s">
        <v>67</v>
      </c>
      <c r="AV785" t="s">
        <v>132</v>
      </c>
      <c r="AX785" t="s">
        <v>73</v>
      </c>
      <c r="AY785">
        <v>221.5</v>
      </c>
      <c r="AZ785">
        <v>221.5</v>
      </c>
      <c r="BA785">
        <v>65.3</v>
      </c>
      <c r="BC785">
        <v>4</v>
      </c>
      <c r="BD785">
        <v>231.1</v>
      </c>
      <c r="BE785">
        <v>231.1</v>
      </c>
      <c r="BF785">
        <v>48.2</v>
      </c>
      <c r="BH785">
        <v>7</v>
      </c>
      <c r="BI785">
        <v>32</v>
      </c>
      <c r="BJ785">
        <v>1</v>
      </c>
      <c r="BK785">
        <v>4.24E-2</v>
      </c>
      <c r="BL785">
        <v>0.13039999999999999</v>
      </c>
    </row>
    <row r="786" spans="1:64" hidden="1" x14ac:dyDescent="0.2">
      <c r="A786">
        <v>161</v>
      </c>
      <c r="D786" t="s">
        <v>54</v>
      </c>
      <c r="E786">
        <v>2019</v>
      </c>
      <c r="F786" t="s">
        <v>174</v>
      </c>
      <c r="G786" t="s">
        <v>175</v>
      </c>
      <c r="H786" t="s">
        <v>78</v>
      </c>
      <c r="K786" t="s">
        <v>79</v>
      </c>
      <c r="L786" t="s">
        <v>176</v>
      </c>
      <c r="M786" t="s">
        <v>81</v>
      </c>
      <c r="N786" t="s">
        <v>81</v>
      </c>
      <c r="O786" t="s">
        <v>62</v>
      </c>
      <c r="P786" t="s">
        <v>63</v>
      </c>
      <c r="Q786" t="s">
        <v>74</v>
      </c>
      <c r="R786" t="s">
        <v>83</v>
      </c>
      <c r="S786" t="s">
        <v>64</v>
      </c>
      <c r="T786" t="s">
        <v>74</v>
      </c>
      <c r="U786" t="s">
        <v>84</v>
      </c>
      <c r="V786">
        <v>489</v>
      </c>
      <c r="W786" t="s">
        <v>67</v>
      </c>
      <c r="X786">
        <v>54</v>
      </c>
      <c r="Y786" t="s">
        <v>67</v>
      </c>
      <c r="Z786">
        <v>8.01</v>
      </c>
      <c r="AA786" t="s">
        <v>67</v>
      </c>
      <c r="AB786">
        <v>0.12</v>
      </c>
      <c r="AC786">
        <v>1536</v>
      </c>
      <c r="AD786" t="s">
        <v>67</v>
      </c>
      <c r="AE786">
        <v>91</v>
      </c>
      <c r="AF786">
        <v>7.63</v>
      </c>
      <c r="AG786" t="s">
        <v>67</v>
      </c>
      <c r="AH786">
        <v>0.22</v>
      </c>
      <c r="AI786">
        <v>19.600000000000001</v>
      </c>
      <c r="AJ786" t="s">
        <v>67</v>
      </c>
      <c r="AK786">
        <v>0.5</v>
      </c>
      <c r="AL786">
        <v>19.399999999999999</v>
      </c>
      <c r="AM786" t="s">
        <v>67</v>
      </c>
      <c r="AN786">
        <v>0.4</v>
      </c>
      <c r="AO786">
        <v>1047</v>
      </c>
      <c r="AP786">
        <v>-0.2</v>
      </c>
      <c r="AQ786" t="s">
        <v>67</v>
      </c>
      <c r="AR786" t="s">
        <v>530</v>
      </c>
      <c r="AS786" t="s">
        <v>359</v>
      </c>
      <c r="AT786" t="s">
        <v>135</v>
      </c>
      <c r="AU786" t="s">
        <v>67</v>
      </c>
      <c r="AV786" t="s">
        <v>72</v>
      </c>
      <c r="AX786" t="s">
        <v>73</v>
      </c>
      <c r="AY786">
        <v>0.9244</v>
      </c>
      <c r="AZ786">
        <v>0.92437000000000002</v>
      </c>
      <c r="BA786">
        <v>0.25</v>
      </c>
      <c r="BC786">
        <v>15</v>
      </c>
      <c r="BD786">
        <v>1.1345000000000001</v>
      </c>
      <c r="BE786">
        <v>1.1345000000000001</v>
      </c>
      <c r="BF786">
        <v>0.27310000000000001</v>
      </c>
      <c r="BH786">
        <v>15</v>
      </c>
      <c r="BI786">
        <v>28</v>
      </c>
      <c r="BJ786">
        <v>3</v>
      </c>
      <c r="BK786">
        <v>0.20480000000000001</v>
      </c>
      <c r="BL786">
        <v>0.1323</v>
      </c>
    </row>
    <row r="787" spans="1:64" hidden="1" x14ac:dyDescent="0.2">
      <c r="A787">
        <v>161</v>
      </c>
      <c r="D787" t="s">
        <v>54</v>
      </c>
      <c r="E787">
        <v>2019</v>
      </c>
      <c r="F787" t="s">
        <v>174</v>
      </c>
      <c r="G787" t="s">
        <v>175</v>
      </c>
      <c r="H787" t="s">
        <v>78</v>
      </c>
      <c r="K787" t="s">
        <v>79</v>
      </c>
      <c r="L787" t="s">
        <v>176</v>
      </c>
      <c r="M787" t="s">
        <v>81</v>
      </c>
      <c r="N787" t="s">
        <v>81</v>
      </c>
      <c r="O787" t="s">
        <v>62</v>
      </c>
      <c r="P787" t="s">
        <v>63</v>
      </c>
      <c r="Q787" t="s">
        <v>74</v>
      </c>
      <c r="R787" t="s">
        <v>83</v>
      </c>
      <c r="S787" t="s">
        <v>64</v>
      </c>
      <c r="T787" t="s">
        <v>74</v>
      </c>
      <c r="U787" t="s">
        <v>84</v>
      </c>
      <c r="V787">
        <v>489</v>
      </c>
      <c r="W787" t="s">
        <v>67</v>
      </c>
      <c r="X787">
        <v>54</v>
      </c>
      <c r="Y787" t="s">
        <v>67</v>
      </c>
      <c r="Z787">
        <v>8.01</v>
      </c>
      <c r="AA787" t="s">
        <v>67</v>
      </c>
      <c r="AB787">
        <v>0.12</v>
      </c>
      <c r="AC787">
        <v>1536</v>
      </c>
      <c r="AD787" t="s">
        <v>67</v>
      </c>
      <c r="AE787">
        <v>91</v>
      </c>
      <c r="AF787">
        <v>7.63</v>
      </c>
      <c r="AG787" t="s">
        <v>67</v>
      </c>
      <c r="AH787">
        <v>0.22</v>
      </c>
      <c r="AI787">
        <v>19.600000000000001</v>
      </c>
      <c r="AJ787" t="s">
        <v>67</v>
      </c>
      <c r="AK787">
        <v>0.5</v>
      </c>
      <c r="AL787">
        <v>19.399999999999999</v>
      </c>
      <c r="AM787" t="s">
        <v>67</v>
      </c>
      <c r="AN787">
        <v>0.4</v>
      </c>
      <c r="AO787">
        <v>1047</v>
      </c>
      <c r="AP787">
        <v>-0.2</v>
      </c>
      <c r="AQ787" t="s">
        <v>67</v>
      </c>
      <c r="AR787" t="s">
        <v>530</v>
      </c>
      <c r="AS787" t="s">
        <v>359</v>
      </c>
      <c r="AT787" t="s">
        <v>135</v>
      </c>
      <c r="AU787" t="s">
        <v>67</v>
      </c>
      <c r="AV787" t="s">
        <v>72</v>
      </c>
      <c r="AX787" t="s">
        <v>73</v>
      </c>
      <c r="AY787">
        <v>0.9244</v>
      </c>
      <c r="AZ787">
        <v>0.92437000000000002</v>
      </c>
      <c r="BA787">
        <v>0.25</v>
      </c>
      <c r="BC787">
        <v>15</v>
      </c>
      <c r="BD787">
        <v>1.1345000000000001</v>
      </c>
      <c r="BE787">
        <v>1.1345000000000001</v>
      </c>
      <c r="BF787">
        <v>0.27310000000000001</v>
      </c>
      <c r="BH787">
        <v>15</v>
      </c>
      <c r="BI787">
        <v>28</v>
      </c>
      <c r="BJ787">
        <v>3</v>
      </c>
      <c r="BK787">
        <v>0.20480000000000001</v>
      </c>
      <c r="BL787">
        <v>0.1323</v>
      </c>
    </row>
    <row r="788" spans="1:64" hidden="1" x14ac:dyDescent="0.2">
      <c r="A788">
        <v>171</v>
      </c>
      <c r="D788" t="s">
        <v>54</v>
      </c>
      <c r="E788">
        <v>2015</v>
      </c>
      <c r="F788" t="s">
        <v>198</v>
      </c>
      <c r="G788" t="s">
        <v>199</v>
      </c>
      <c r="H788" t="s">
        <v>57</v>
      </c>
      <c r="K788" t="s">
        <v>79</v>
      </c>
      <c r="L788" t="s">
        <v>200</v>
      </c>
      <c r="M788" t="s">
        <v>81</v>
      </c>
      <c r="N788" t="s">
        <v>81</v>
      </c>
      <c r="O788" t="s">
        <v>62</v>
      </c>
      <c r="P788" t="s">
        <v>63</v>
      </c>
      <c r="Q788" t="s">
        <v>64</v>
      </c>
      <c r="R788" t="s">
        <v>65</v>
      </c>
      <c r="S788" t="s">
        <v>74</v>
      </c>
      <c r="T788" t="s">
        <v>64</v>
      </c>
      <c r="U788" t="s">
        <v>75</v>
      </c>
      <c r="V788">
        <v>422.07</v>
      </c>
      <c r="W788" t="s">
        <v>67</v>
      </c>
      <c r="X788">
        <v>16.57</v>
      </c>
      <c r="Y788" t="s">
        <v>96</v>
      </c>
      <c r="Z788">
        <v>8.1</v>
      </c>
      <c r="AA788" t="s">
        <v>67</v>
      </c>
      <c r="AB788">
        <v>0.05</v>
      </c>
      <c r="AC788">
        <v>414.68</v>
      </c>
      <c r="AD788" t="s">
        <v>67</v>
      </c>
      <c r="AE788">
        <v>5.22</v>
      </c>
      <c r="AF788">
        <v>8.1</v>
      </c>
      <c r="AG788" t="s">
        <v>67</v>
      </c>
      <c r="AH788">
        <v>0.05</v>
      </c>
      <c r="AI788">
        <v>15</v>
      </c>
      <c r="AJ788" t="s">
        <v>67</v>
      </c>
      <c r="AK788">
        <v>0.5</v>
      </c>
      <c r="AL788">
        <v>18</v>
      </c>
      <c r="AM788" t="s">
        <v>67</v>
      </c>
      <c r="AN788">
        <v>0.5</v>
      </c>
      <c r="AO788">
        <v>-7</v>
      </c>
      <c r="AP788">
        <v>3</v>
      </c>
      <c r="AQ788" t="s">
        <v>218</v>
      </c>
      <c r="AR788" t="s">
        <v>364</v>
      </c>
      <c r="AS788" t="s">
        <v>88</v>
      </c>
      <c r="AT788" t="s">
        <v>70</v>
      </c>
      <c r="AU788" t="s">
        <v>89</v>
      </c>
      <c r="AV788" t="s">
        <v>88</v>
      </c>
      <c r="AX788" t="s">
        <v>90</v>
      </c>
      <c r="AY788">
        <v>75.112099999999998</v>
      </c>
      <c r="AZ788">
        <v>75.112110000000001</v>
      </c>
      <c r="BA788">
        <v>25.112100000000002</v>
      </c>
      <c r="BC788">
        <v>37</v>
      </c>
      <c r="BD788">
        <v>87.443899999999999</v>
      </c>
      <c r="BE788">
        <v>87.443946190000005</v>
      </c>
      <c r="BF788">
        <v>12.7803</v>
      </c>
      <c r="BH788">
        <v>37</v>
      </c>
      <c r="BI788">
        <v>143</v>
      </c>
      <c r="BJ788">
        <v>5</v>
      </c>
      <c r="BK788">
        <v>0.152</v>
      </c>
      <c r="BL788">
        <v>0.1331</v>
      </c>
    </row>
    <row r="789" spans="1:64" hidden="1" x14ac:dyDescent="0.2">
      <c r="A789">
        <v>134</v>
      </c>
      <c r="D789" t="s">
        <v>54</v>
      </c>
      <c r="E789">
        <v>2017</v>
      </c>
      <c r="F789" t="s">
        <v>435</v>
      </c>
      <c r="G789" t="s">
        <v>56</v>
      </c>
      <c r="H789" t="s">
        <v>78</v>
      </c>
      <c r="K789" t="s">
        <v>522</v>
      </c>
      <c r="L789" t="s">
        <v>523</v>
      </c>
      <c r="M789" t="s">
        <v>95</v>
      </c>
      <c r="N789" t="s">
        <v>61</v>
      </c>
      <c r="O789" t="s">
        <v>62</v>
      </c>
      <c r="P789" t="s">
        <v>196</v>
      </c>
      <c r="Q789" t="s">
        <v>64</v>
      </c>
      <c r="R789" t="s">
        <v>83</v>
      </c>
      <c r="S789" t="s">
        <v>64</v>
      </c>
      <c r="T789" t="s">
        <v>74</v>
      </c>
      <c r="U789" t="s">
        <v>84</v>
      </c>
      <c r="V789">
        <v>396</v>
      </c>
      <c r="W789">
        <v>0.8</v>
      </c>
      <c r="X789" t="s">
        <v>67</v>
      </c>
      <c r="Y789" t="s">
        <v>96</v>
      </c>
      <c r="Z789">
        <v>8.18</v>
      </c>
      <c r="AA789">
        <v>0.01</v>
      </c>
      <c r="AB789" t="s">
        <v>67</v>
      </c>
      <c r="AC789">
        <v>921</v>
      </c>
      <c r="AD789">
        <v>19</v>
      </c>
      <c r="AE789" t="s">
        <v>67</v>
      </c>
      <c r="AF789">
        <v>7.87</v>
      </c>
      <c r="AG789">
        <v>0.01</v>
      </c>
      <c r="AH789" t="s">
        <v>67</v>
      </c>
      <c r="AI789">
        <v>26.7</v>
      </c>
      <c r="AJ789">
        <v>0.1</v>
      </c>
      <c r="AK789" t="s">
        <v>67</v>
      </c>
      <c r="AL789">
        <v>26.8</v>
      </c>
      <c r="AM789">
        <v>0.1</v>
      </c>
      <c r="AN789" t="s">
        <v>67</v>
      </c>
      <c r="AO789">
        <v>525</v>
      </c>
      <c r="AP789">
        <v>0.1</v>
      </c>
      <c r="AQ789" t="s">
        <v>67</v>
      </c>
      <c r="AR789" t="s">
        <v>524</v>
      </c>
      <c r="AS789" t="s">
        <v>524</v>
      </c>
      <c r="AT789" t="s">
        <v>135</v>
      </c>
      <c r="AU789" t="s">
        <v>67</v>
      </c>
      <c r="AV789" t="s">
        <v>251</v>
      </c>
      <c r="AX789" t="s">
        <v>73</v>
      </c>
      <c r="AY789">
        <v>1.49</v>
      </c>
      <c r="AZ789">
        <v>1.49</v>
      </c>
      <c r="BA789">
        <v>0.26</v>
      </c>
      <c r="BC789">
        <v>17</v>
      </c>
      <c r="BD789">
        <v>2.02</v>
      </c>
      <c r="BE789">
        <v>2.02</v>
      </c>
      <c r="BF789">
        <v>0.65</v>
      </c>
      <c r="BH789">
        <v>18</v>
      </c>
      <c r="BI789">
        <v>7</v>
      </c>
      <c r="BJ789">
        <v>3</v>
      </c>
      <c r="BK789">
        <v>0.30430000000000001</v>
      </c>
      <c r="BL789">
        <v>0.13400000000000001</v>
      </c>
    </row>
    <row r="790" spans="1:64" hidden="1" x14ac:dyDescent="0.2">
      <c r="A790">
        <v>141</v>
      </c>
      <c r="D790" t="s">
        <v>54</v>
      </c>
      <c r="E790">
        <v>2015</v>
      </c>
      <c r="F790" t="s">
        <v>91</v>
      </c>
      <c r="G790" t="s">
        <v>92</v>
      </c>
      <c r="H790" t="s">
        <v>78</v>
      </c>
      <c r="K790" t="s">
        <v>93</v>
      </c>
      <c r="L790" t="s">
        <v>94</v>
      </c>
      <c r="M790" t="s">
        <v>95</v>
      </c>
      <c r="N790" t="s">
        <v>61</v>
      </c>
      <c r="O790" t="s">
        <v>62</v>
      </c>
      <c r="P790" t="s">
        <v>196</v>
      </c>
      <c r="Q790" t="s">
        <v>64</v>
      </c>
      <c r="R790" t="s">
        <v>83</v>
      </c>
      <c r="S790" t="s">
        <v>64</v>
      </c>
      <c r="T790" t="s">
        <v>64</v>
      </c>
      <c r="U790" t="s">
        <v>66</v>
      </c>
      <c r="V790">
        <v>400</v>
      </c>
      <c r="W790">
        <v>6</v>
      </c>
      <c r="X790" t="s">
        <v>67</v>
      </c>
      <c r="Y790" t="s">
        <v>96</v>
      </c>
      <c r="Z790">
        <v>8.15</v>
      </c>
      <c r="AA790">
        <v>0.01</v>
      </c>
      <c r="AB790" t="s">
        <v>67</v>
      </c>
      <c r="AC790">
        <v>658</v>
      </c>
      <c r="AD790">
        <v>13</v>
      </c>
      <c r="AE790" t="s">
        <v>67</v>
      </c>
      <c r="AF790">
        <v>8</v>
      </c>
      <c r="AG790">
        <v>0.01</v>
      </c>
      <c r="AH790" t="s">
        <v>67</v>
      </c>
      <c r="AI790">
        <v>28.4</v>
      </c>
      <c r="AJ790">
        <v>0.01</v>
      </c>
      <c r="AK790" t="s">
        <v>67</v>
      </c>
      <c r="AL790">
        <v>31.5</v>
      </c>
      <c r="AM790">
        <v>0.01</v>
      </c>
      <c r="AN790" t="s">
        <v>67</v>
      </c>
      <c r="AO790">
        <v>258</v>
      </c>
      <c r="AP790">
        <v>3.1</v>
      </c>
      <c r="AQ790" t="s">
        <v>67</v>
      </c>
      <c r="AR790" t="s">
        <v>531</v>
      </c>
      <c r="AS790" t="s">
        <v>532</v>
      </c>
      <c r="AT790" t="s">
        <v>70</v>
      </c>
      <c r="AU790" t="s">
        <v>232</v>
      </c>
      <c r="AV790" t="s">
        <v>151</v>
      </c>
      <c r="AX790" t="s">
        <v>73</v>
      </c>
      <c r="AY790">
        <v>1.0373000000000001</v>
      </c>
      <c r="AZ790">
        <v>1.03729</v>
      </c>
      <c r="BA790">
        <v>0.35</v>
      </c>
      <c r="BC790">
        <v>4</v>
      </c>
      <c r="BD790">
        <v>0.52880000000000005</v>
      </c>
      <c r="BE790">
        <v>0.52881355900000004</v>
      </c>
      <c r="BF790">
        <v>8.14E-2</v>
      </c>
      <c r="BH790">
        <v>2</v>
      </c>
      <c r="BI790" t="s">
        <v>67</v>
      </c>
      <c r="BJ790">
        <v>7</v>
      </c>
      <c r="BK790">
        <v>-0.67369999999999997</v>
      </c>
      <c r="BL790">
        <v>0.1348</v>
      </c>
    </row>
    <row r="791" spans="1:64" hidden="1" x14ac:dyDescent="0.2">
      <c r="A791">
        <v>141</v>
      </c>
      <c r="D791" t="s">
        <v>54</v>
      </c>
      <c r="E791">
        <v>2015</v>
      </c>
      <c r="F791" t="s">
        <v>91</v>
      </c>
      <c r="G791" t="s">
        <v>92</v>
      </c>
      <c r="H791" t="s">
        <v>78</v>
      </c>
      <c r="K791" t="s">
        <v>93</v>
      </c>
      <c r="L791" t="s">
        <v>94</v>
      </c>
      <c r="M791" t="s">
        <v>95</v>
      </c>
      <c r="N791" t="s">
        <v>61</v>
      </c>
      <c r="O791" t="s">
        <v>62</v>
      </c>
      <c r="P791" t="s">
        <v>196</v>
      </c>
      <c r="Q791" t="s">
        <v>64</v>
      </c>
      <c r="R791" t="s">
        <v>83</v>
      </c>
      <c r="S791" t="s">
        <v>64</v>
      </c>
      <c r="T791" t="s">
        <v>64</v>
      </c>
      <c r="U791" t="s">
        <v>66</v>
      </c>
      <c r="V791">
        <v>400</v>
      </c>
      <c r="W791">
        <v>6</v>
      </c>
      <c r="X791" t="s">
        <v>67</v>
      </c>
      <c r="Y791" t="s">
        <v>96</v>
      </c>
      <c r="Z791">
        <v>8.15</v>
      </c>
      <c r="AA791">
        <v>0.01</v>
      </c>
      <c r="AB791" t="s">
        <v>67</v>
      </c>
      <c r="AC791">
        <v>1191</v>
      </c>
      <c r="AD791">
        <v>27</v>
      </c>
      <c r="AE791" t="s">
        <v>67</v>
      </c>
      <c r="AF791">
        <v>7.78</v>
      </c>
      <c r="AG791">
        <v>0.01</v>
      </c>
      <c r="AH791" t="s">
        <v>67</v>
      </c>
      <c r="AI791">
        <v>28.4</v>
      </c>
      <c r="AJ791">
        <v>0.01</v>
      </c>
      <c r="AK791" t="s">
        <v>67</v>
      </c>
      <c r="AL791">
        <v>31.5</v>
      </c>
      <c r="AM791">
        <v>0.01</v>
      </c>
      <c r="AN791" t="s">
        <v>67</v>
      </c>
      <c r="AO791">
        <v>791</v>
      </c>
      <c r="AP791">
        <v>3.1</v>
      </c>
      <c r="AQ791" t="s">
        <v>67</v>
      </c>
      <c r="AR791" t="s">
        <v>531</v>
      </c>
      <c r="AS791" t="s">
        <v>532</v>
      </c>
      <c r="AT791" t="s">
        <v>70</v>
      </c>
      <c r="AU791" t="s">
        <v>232</v>
      </c>
      <c r="AV791" t="s">
        <v>151</v>
      </c>
      <c r="AX791" t="s">
        <v>73</v>
      </c>
      <c r="AY791">
        <v>1.0373000000000001</v>
      </c>
      <c r="AZ791">
        <v>1.03729</v>
      </c>
      <c r="BA791">
        <v>0.35</v>
      </c>
      <c r="BC791">
        <v>4</v>
      </c>
      <c r="BD791">
        <v>0.79320000000000002</v>
      </c>
      <c r="BE791">
        <v>0.793220339</v>
      </c>
      <c r="BF791">
        <v>0.122</v>
      </c>
      <c r="BH791">
        <v>2</v>
      </c>
      <c r="BI791" t="s">
        <v>67</v>
      </c>
      <c r="BJ791">
        <v>7</v>
      </c>
      <c r="BK791">
        <v>-0.26829999999999998</v>
      </c>
      <c r="BL791">
        <v>0.1348</v>
      </c>
    </row>
    <row r="792" spans="1:64" hidden="1" x14ac:dyDescent="0.2">
      <c r="A792">
        <v>164</v>
      </c>
      <c r="D792" t="s">
        <v>54</v>
      </c>
      <c r="E792">
        <v>2017</v>
      </c>
      <c r="F792" t="s">
        <v>371</v>
      </c>
      <c r="G792" t="s">
        <v>224</v>
      </c>
      <c r="H792" t="s">
        <v>78</v>
      </c>
      <c r="K792" t="s">
        <v>79</v>
      </c>
      <c r="L792" t="s">
        <v>225</v>
      </c>
      <c r="M792" t="s">
        <v>120</v>
      </c>
      <c r="N792" t="s">
        <v>120</v>
      </c>
      <c r="O792" t="s">
        <v>110</v>
      </c>
      <c r="P792" t="s">
        <v>63</v>
      </c>
      <c r="Q792" t="s">
        <v>64</v>
      </c>
      <c r="R792" t="s">
        <v>83</v>
      </c>
      <c r="S792" t="s">
        <v>64</v>
      </c>
      <c r="T792" t="s">
        <v>74</v>
      </c>
      <c r="U792" t="s">
        <v>84</v>
      </c>
      <c r="V792">
        <v>435</v>
      </c>
      <c r="W792" t="s">
        <v>67</v>
      </c>
      <c r="X792">
        <v>19</v>
      </c>
      <c r="Y792" t="s">
        <v>157</v>
      </c>
      <c r="Z792">
        <v>8.01</v>
      </c>
      <c r="AA792" t="s">
        <v>67</v>
      </c>
      <c r="AB792">
        <v>0.02</v>
      </c>
      <c r="AC792">
        <v>1076</v>
      </c>
      <c r="AD792" t="s">
        <v>67</v>
      </c>
      <c r="AE792">
        <v>73</v>
      </c>
      <c r="AF792">
        <v>7.64</v>
      </c>
      <c r="AG792" t="s">
        <v>67</v>
      </c>
      <c r="AH792">
        <v>0.03</v>
      </c>
      <c r="AI792">
        <v>5.7</v>
      </c>
      <c r="AJ792" t="s">
        <v>67</v>
      </c>
      <c r="AK792">
        <v>0.23</v>
      </c>
      <c r="AL792">
        <v>5.7</v>
      </c>
      <c r="AM792" t="s">
        <v>67</v>
      </c>
      <c r="AN792">
        <v>0.24</v>
      </c>
      <c r="AO792">
        <v>641</v>
      </c>
      <c r="AP792">
        <v>0</v>
      </c>
      <c r="AQ792" t="s">
        <v>67</v>
      </c>
      <c r="AR792" t="s">
        <v>484</v>
      </c>
      <c r="AS792" t="s">
        <v>473</v>
      </c>
      <c r="AT792" t="s">
        <v>135</v>
      </c>
      <c r="AU792" t="s">
        <v>474</v>
      </c>
      <c r="AV792" t="s">
        <v>251</v>
      </c>
      <c r="AX792" t="s">
        <v>73</v>
      </c>
      <c r="AY792">
        <v>27.7</v>
      </c>
      <c r="AZ792">
        <v>27.7</v>
      </c>
      <c r="BA792">
        <v>7.7</v>
      </c>
      <c r="BC792">
        <v>12</v>
      </c>
      <c r="BD792">
        <v>19.5</v>
      </c>
      <c r="BE792">
        <v>19.5</v>
      </c>
      <c r="BF792">
        <v>4.7</v>
      </c>
      <c r="BH792">
        <v>12</v>
      </c>
      <c r="BI792">
        <v>42</v>
      </c>
      <c r="BJ792">
        <v>8</v>
      </c>
      <c r="BK792">
        <v>-0.35099999999999998</v>
      </c>
      <c r="BL792">
        <v>0.13539999999999999</v>
      </c>
    </row>
    <row r="793" spans="1:64" hidden="1" x14ac:dyDescent="0.2">
      <c r="A793">
        <v>171</v>
      </c>
      <c r="C793" t="s">
        <v>549</v>
      </c>
      <c r="D793" t="s">
        <v>54</v>
      </c>
      <c r="E793">
        <v>2015</v>
      </c>
      <c r="F793" t="s">
        <v>198</v>
      </c>
      <c r="G793" t="s">
        <v>199</v>
      </c>
      <c r="H793" t="s">
        <v>57</v>
      </c>
      <c r="K793" t="s">
        <v>79</v>
      </c>
      <c r="L793" t="s">
        <v>200</v>
      </c>
      <c r="M793" t="s">
        <v>81</v>
      </c>
      <c r="N793" t="s">
        <v>81</v>
      </c>
      <c r="O793" t="s">
        <v>62</v>
      </c>
      <c r="P793" t="s">
        <v>82</v>
      </c>
      <c r="Q793" t="s">
        <v>64</v>
      </c>
      <c r="R793" t="s">
        <v>65</v>
      </c>
      <c r="S793" t="s">
        <v>74</v>
      </c>
      <c r="T793" t="s">
        <v>64</v>
      </c>
      <c r="U793" t="s">
        <v>75</v>
      </c>
      <c r="V793">
        <v>422.07</v>
      </c>
      <c r="W793" t="s">
        <v>67</v>
      </c>
      <c r="X793">
        <v>16.57</v>
      </c>
      <c r="Y793" t="s">
        <v>96</v>
      </c>
      <c r="Z793">
        <v>8.1</v>
      </c>
      <c r="AA793" t="s">
        <v>67</v>
      </c>
      <c r="AB793">
        <v>0.05</v>
      </c>
      <c r="AC793">
        <v>423.94</v>
      </c>
      <c r="AD793" t="s">
        <v>67</v>
      </c>
      <c r="AE793">
        <v>16.579999999999998</v>
      </c>
      <c r="AF793">
        <v>8.1</v>
      </c>
      <c r="AG793" t="s">
        <v>67</v>
      </c>
      <c r="AH793">
        <v>0.05</v>
      </c>
      <c r="AI793">
        <v>15</v>
      </c>
      <c r="AJ793" t="s">
        <v>67</v>
      </c>
      <c r="AK793">
        <v>0.5</v>
      </c>
      <c r="AL793">
        <v>20</v>
      </c>
      <c r="AM793" t="s">
        <v>67</v>
      </c>
      <c r="AN793">
        <v>0.5</v>
      </c>
      <c r="AO793">
        <v>2</v>
      </c>
      <c r="AP793">
        <v>5</v>
      </c>
      <c r="AQ793" t="s">
        <v>218</v>
      </c>
      <c r="AR793" t="s">
        <v>104</v>
      </c>
      <c r="AS793" t="s">
        <v>105</v>
      </c>
      <c r="AT793" t="s">
        <v>70</v>
      </c>
      <c r="AU793" t="s">
        <v>89</v>
      </c>
      <c r="AV793" t="s">
        <v>88</v>
      </c>
      <c r="AW793" t="s">
        <v>151</v>
      </c>
      <c r="AX793" t="s">
        <v>90</v>
      </c>
      <c r="AY793">
        <v>62.628300000000003</v>
      </c>
      <c r="AZ793">
        <v>62.628340000000001</v>
      </c>
      <c r="BA793">
        <v>12.3203</v>
      </c>
      <c r="BC793">
        <v>37</v>
      </c>
      <c r="BD793">
        <v>50.102699999999999</v>
      </c>
      <c r="BE793">
        <v>50.102669400000003</v>
      </c>
      <c r="BF793">
        <v>15.605700000000001</v>
      </c>
      <c r="BH793">
        <v>37</v>
      </c>
      <c r="BI793">
        <v>120</v>
      </c>
      <c r="BJ793">
        <v>5</v>
      </c>
      <c r="BK793">
        <v>-0.22309999999999999</v>
      </c>
      <c r="BL793">
        <v>0.13569999999999999</v>
      </c>
    </row>
    <row r="794" spans="1:64" hidden="1" x14ac:dyDescent="0.2">
      <c r="A794">
        <v>171</v>
      </c>
      <c r="C794" t="s">
        <v>549</v>
      </c>
      <c r="D794" t="s">
        <v>54</v>
      </c>
      <c r="E794">
        <v>2015</v>
      </c>
      <c r="F794" t="s">
        <v>198</v>
      </c>
      <c r="G794" t="s">
        <v>199</v>
      </c>
      <c r="H794" t="s">
        <v>57</v>
      </c>
      <c r="K794" t="s">
        <v>79</v>
      </c>
      <c r="L794" t="s">
        <v>200</v>
      </c>
      <c r="M794" t="s">
        <v>81</v>
      </c>
      <c r="N794" t="s">
        <v>81</v>
      </c>
      <c r="O794" t="s">
        <v>62</v>
      </c>
      <c r="P794" t="s">
        <v>82</v>
      </c>
      <c r="Q794" t="s">
        <v>64</v>
      </c>
      <c r="R794" t="s">
        <v>65</v>
      </c>
      <c r="S794" t="s">
        <v>64</v>
      </c>
      <c r="T794" t="s">
        <v>64</v>
      </c>
      <c r="U794" t="s">
        <v>66</v>
      </c>
      <c r="V794">
        <v>422.07</v>
      </c>
      <c r="W794" t="s">
        <v>67</v>
      </c>
      <c r="X794">
        <v>16.57</v>
      </c>
      <c r="Y794" t="s">
        <v>96</v>
      </c>
      <c r="Z794">
        <v>8.1</v>
      </c>
      <c r="AA794" t="s">
        <v>67</v>
      </c>
      <c r="AB794">
        <v>0.05</v>
      </c>
      <c r="AC794">
        <v>1078.21</v>
      </c>
      <c r="AD794" t="s">
        <v>67</v>
      </c>
      <c r="AE794">
        <v>53.06</v>
      </c>
      <c r="AF794">
        <v>7.7</v>
      </c>
      <c r="AG794" t="s">
        <v>67</v>
      </c>
      <c r="AH794">
        <v>0.05</v>
      </c>
      <c r="AI794">
        <v>15</v>
      </c>
      <c r="AJ794" t="s">
        <v>67</v>
      </c>
      <c r="AK794">
        <v>0.5</v>
      </c>
      <c r="AL794">
        <v>20</v>
      </c>
      <c r="AM794" t="s">
        <v>67</v>
      </c>
      <c r="AN794">
        <v>0.5</v>
      </c>
      <c r="AO794">
        <v>656</v>
      </c>
      <c r="AP794">
        <v>5</v>
      </c>
      <c r="AQ794" t="s">
        <v>218</v>
      </c>
      <c r="AR794" t="s">
        <v>104</v>
      </c>
      <c r="AS794" t="s">
        <v>105</v>
      </c>
      <c r="AT794" t="s">
        <v>70</v>
      </c>
      <c r="AU794" t="s">
        <v>89</v>
      </c>
      <c r="AV794" t="s">
        <v>88</v>
      </c>
      <c r="AW794" t="s">
        <v>151</v>
      </c>
      <c r="AX794" t="s">
        <v>90</v>
      </c>
      <c r="AY794">
        <v>62.628300000000003</v>
      </c>
      <c r="AZ794">
        <v>62.628340000000001</v>
      </c>
      <c r="BA794">
        <v>12.3203</v>
      </c>
      <c r="BC794">
        <v>37</v>
      </c>
      <c r="BD794">
        <v>50.102699999999999</v>
      </c>
      <c r="BE794">
        <v>50.102669400000003</v>
      </c>
      <c r="BF794">
        <v>15.605700000000001</v>
      </c>
      <c r="BH794">
        <v>37</v>
      </c>
      <c r="BI794">
        <v>157</v>
      </c>
      <c r="BJ794">
        <v>5</v>
      </c>
      <c r="BK794">
        <v>-0.22309999999999999</v>
      </c>
      <c r="BL794">
        <v>0.13569999999999999</v>
      </c>
    </row>
    <row r="795" spans="1:64" x14ac:dyDescent="0.2">
      <c r="A795">
        <v>180</v>
      </c>
      <c r="B795" t="str">
        <f>ROW()-1&amp;"_AltersFish"</f>
        <v>794_AltersFish</v>
      </c>
      <c r="C795" t="str">
        <f>A795 &amp; "_" &amp; P795 &amp; "_" &amp;
SUBSTITUTE(TRIM(L795)," ","_") &amp;
"_pH" &amp; TEXT(Z795,"0.00") &amp;
"_T" &amp; TEXT(AI795,"0.00") &amp;
"_CO2" &amp; TEXT(V795,"0") &amp;
"_LANG"</f>
        <v>180_LARVA_Seriola_lalandi_pH8.00_T21.10_CO2462_LANG</v>
      </c>
      <c r="D795" t="s">
        <v>54</v>
      </c>
      <c r="E795">
        <v>2018</v>
      </c>
      <c r="F795" t="s">
        <v>153</v>
      </c>
      <c r="G795" t="s">
        <v>154</v>
      </c>
      <c r="H795" t="s">
        <v>78</v>
      </c>
      <c r="I795" t="s">
        <v>540</v>
      </c>
      <c r="J795" t="s">
        <v>543</v>
      </c>
      <c r="K795" t="s">
        <v>79</v>
      </c>
      <c r="L795" t="s">
        <v>155</v>
      </c>
      <c r="M795" t="s">
        <v>156</v>
      </c>
      <c r="N795" t="s">
        <v>156</v>
      </c>
      <c r="O795" t="s">
        <v>106</v>
      </c>
      <c r="P795" t="s">
        <v>107</v>
      </c>
      <c r="Q795" t="s">
        <v>74</v>
      </c>
      <c r="R795" t="s">
        <v>83</v>
      </c>
      <c r="S795" t="s">
        <v>64</v>
      </c>
      <c r="T795" t="s">
        <v>64</v>
      </c>
      <c r="U795" t="s">
        <v>66</v>
      </c>
      <c r="V795">
        <v>462</v>
      </c>
      <c r="W795" t="s">
        <v>67</v>
      </c>
      <c r="X795">
        <v>43</v>
      </c>
      <c r="Y795" t="s">
        <v>157</v>
      </c>
      <c r="Z795">
        <v>8</v>
      </c>
      <c r="AA795" t="s">
        <v>67</v>
      </c>
      <c r="AB795">
        <v>0.03</v>
      </c>
      <c r="AC795">
        <v>1011</v>
      </c>
      <c r="AD795" t="s">
        <v>67</v>
      </c>
      <c r="AE795">
        <v>30</v>
      </c>
      <c r="AF795">
        <v>7.7</v>
      </c>
      <c r="AG795" t="s">
        <v>67</v>
      </c>
      <c r="AH795">
        <v>0.01</v>
      </c>
      <c r="AI795">
        <v>21.1</v>
      </c>
      <c r="AJ795" t="s">
        <v>67</v>
      </c>
      <c r="AK795">
        <v>0.1</v>
      </c>
      <c r="AL795">
        <v>24.9</v>
      </c>
      <c r="AM795" t="s">
        <v>67</v>
      </c>
      <c r="AN795">
        <v>0.4</v>
      </c>
      <c r="AO795">
        <v>549</v>
      </c>
      <c r="AP795">
        <v>3.8</v>
      </c>
      <c r="AQ795" t="s">
        <v>67</v>
      </c>
      <c r="AR795" t="s">
        <v>228</v>
      </c>
      <c r="AS795" t="s">
        <v>98</v>
      </c>
      <c r="AT795" t="s">
        <v>70</v>
      </c>
      <c r="AU795" t="s">
        <v>109</v>
      </c>
      <c r="AV795" t="s">
        <v>72</v>
      </c>
      <c r="AW795" t="s">
        <v>72</v>
      </c>
      <c r="AX795" t="s">
        <v>73</v>
      </c>
      <c r="AY795">
        <v>7.54</v>
      </c>
      <c r="AZ795">
        <v>7.54</v>
      </c>
      <c r="BA795">
        <v>0.19</v>
      </c>
      <c r="BB795">
        <f>BA795*SQRT(BC795)</f>
        <v>2.5491174943497605</v>
      </c>
      <c r="BC795">
        <v>180</v>
      </c>
      <c r="BD795">
        <v>11.19</v>
      </c>
      <c r="BE795">
        <v>11.19</v>
      </c>
      <c r="BF795">
        <v>0.24</v>
      </c>
      <c r="BG795">
        <f>BF795*SQRT(BH795)</f>
        <v>3.2199378875996971</v>
      </c>
      <c r="BH795">
        <v>180</v>
      </c>
      <c r="BI795">
        <v>24</v>
      </c>
      <c r="BJ795">
        <v>6</v>
      </c>
      <c r="BK795">
        <v>0.39479999999999998</v>
      </c>
      <c r="BL795">
        <v>1.1000000000000001E-3</v>
      </c>
    </row>
    <row r="796" spans="1:64" hidden="1" x14ac:dyDescent="0.2">
      <c r="A796">
        <v>141</v>
      </c>
      <c r="D796" t="s">
        <v>54</v>
      </c>
      <c r="E796">
        <v>2015</v>
      </c>
      <c r="F796" t="s">
        <v>91</v>
      </c>
      <c r="G796" t="s">
        <v>92</v>
      </c>
      <c r="H796" t="s">
        <v>78</v>
      </c>
      <c r="K796" t="s">
        <v>93</v>
      </c>
      <c r="L796" t="s">
        <v>94</v>
      </c>
      <c r="M796" t="s">
        <v>95</v>
      </c>
      <c r="N796" t="s">
        <v>61</v>
      </c>
      <c r="O796" t="s">
        <v>62</v>
      </c>
      <c r="P796" t="s">
        <v>196</v>
      </c>
      <c r="Q796" t="s">
        <v>64</v>
      </c>
      <c r="R796" t="s">
        <v>83</v>
      </c>
      <c r="S796" t="s">
        <v>64</v>
      </c>
      <c r="T796" t="s">
        <v>74</v>
      </c>
      <c r="U796" t="s">
        <v>84</v>
      </c>
      <c r="V796">
        <v>400</v>
      </c>
      <c r="W796">
        <v>6</v>
      </c>
      <c r="X796" t="s">
        <v>67</v>
      </c>
      <c r="Y796" t="s">
        <v>96</v>
      </c>
      <c r="Z796">
        <v>8.15</v>
      </c>
      <c r="AA796">
        <v>0.01</v>
      </c>
      <c r="AB796" t="s">
        <v>67</v>
      </c>
      <c r="AC796">
        <v>634</v>
      </c>
      <c r="AD796">
        <v>13</v>
      </c>
      <c r="AE796" t="s">
        <v>67</v>
      </c>
      <c r="AF796">
        <v>8</v>
      </c>
      <c r="AG796">
        <v>0.01</v>
      </c>
      <c r="AH796" t="s">
        <v>67</v>
      </c>
      <c r="AI796">
        <v>28.4</v>
      </c>
      <c r="AJ796">
        <v>0.01</v>
      </c>
      <c r="AK796" t="s">
        <v>67</v>
      </c>
      <c r="AL796">
        <v>28.5</v>
      </c>
      <c r="AM796">
        <v>0.01</v>
      </c>
      <c r="AN796" t="s">
        <v>67</v>
      </c>
      <c r="AO796">
        <v>234</v>
      </c>
      <c r="AP796">
        <v>0.1</v>
      </c>
      <c r="AQ796" t="s">
        <v>67</v>
      </c>
      <c r="AR796" t="s">
        <v>533</v>
      </c>
      <c r="AS796" t="s">
        <v>533</v>
      </c>
      <c r="AT796" t="s">
        <v>135</v>
      </c>
      <c r="AU796" t="s">
        <v>534</v>
      </c>
      <c r="AV796" t="s">
        <v>132</v>
      </c>
      <c r="AX796" t="s">
        <v>73</v>
      </c>
      <c r="AY796">
        <v>2317.0731999999998</v>
      </c>
      <c r="AZ796">
        <v>2317.0731700000001</v>
      </c>
      <c r="BA796">
        <v>829.27</v>
      </c>
      <c r="BC796">
        <v>4</v>
      </c>
      <c r="BD796">
        <v>3317.0731999999998</v>
      </c>
      <c r="BE796">
        <v>3317.073171</v>
      </c>
      <c r="BF796">
        <v>365.8537</v>
      </c>
      <c r="BH796">
        <v>5</v>
      </c>
      <c r="BI796" t="s">
        <v>67</v>
      </c>
      <c r="BJ796">
        <v>7</v>
      </c>
      <c r="BK796">
        <v>0.35880000000000001</v>
      </c>
      <c r="BL796">
        <v>0.14030000000000001</v>
      </c>
    </row>
    <row r="797" spans="1:64" hidden="1" x14ac:dyDescent="0.2">
      <c r="A797">
        <v>132</v>
      </c>
      <c r="D797" t="s">
        <v>54</v>
      </c>
      <c r="E797">
        <v>2015</v>
      </c>
      <c r="F797" t="s">
        <v>283</v>
      </c>
      <c r="G797" t="s">
        <v>181</v>
      </c>
      <c r="H797" t="s">
        <v>284</v>
      </c>
      <c r="K797" t="s">
        <v>285</v>
      </c>
      <c r="L797" t="s">
        <v>286</v>
      </c>
      <c r="M797" t="s">
        <v>81</v>
      </c>
      <c r="N797" t="s">
        <v>81</v>
      </c>
      <c r="O797" t="s">
        <v>62</v>
      </c>
      <c r="P797" t="s">
        <v>196</v>
      </c>
      <c r="Q797" t="s">
        <v>64</v>
      </c>
      <c r="R797" t="s">
        <v>83</v>
      </c>
      <c r="S797" t="s">
        <v>64</v>
      </c>
      <c r="T797" t="s">
        <v>64</v>
      </c>
      <c r="U797" t="s">
        <v>66</v>
      </c>
      <c r="V797">
        <v>372</v>
      </c>
      <c r="W797" t="s">
        <v>67</v>
      </c>
      <c r="X797">
        <v>51.9</v>
      </c>
      <c r="Y797" t="s">
        <v>68</v>
      </c>
      <c r="Z797">
        <v>8.02</v>
      </c>
      <c r="AA797" t="s">
        <v>67</v>
      </c>
      <c r="AB797">
        <v>0.05</v>
      </c>
      <c r="AC797">
        <v>1481</v>
      </c>
      <c r="AD797" t="s">
        <v>67</v>
      </c>
      <c r="AE797">
        <v>107.7</v>
      </c>
      <c r="AF797">
        <v>7.49</v>
      </c>
      <c r="AG797" t="s">
        <v>67</v>
      </c>
      <c r="AH797">
        <v>0.03</v>
      </c>
      <c r="AI797">
        <v>25.9</v>
      </c>
      <c r="AJ797" t="s">
        <v>67</v>
      </c>
      <c r="AK797">
        <v>0.7</v>
      </c>
      <c r="AL797">
        <v>30.1</v>
      </c>
      <c r="AM797" t="s">
        <v>67</v>
      </c>
      <c r="AN797">
        <v>0.5</v>
      </c>
      <c r="AO797">
        <v>1109</v>
      </c>
      <c r="AP797">
        <v>4.2</v>
      </c>
      <c r="AQ797" t="s">
        <v>67</v>
      </c>
      <c r="AR797" t="s">
        <v>367</v>
      </c>
      <c r="AS797" t="s">
        <v>367</v>
      </c>
      <c r="AT797" t="s">
        <v>135</v>
      </c>
      <c r="AU797" t="s">
        <v>89</v>
      </c>
      <c r="AV797" t="s">
        <v>251</v>
      </c>
      <c r="AX797" t="s">
        <v>90</v>
      </c>
      <c r="AY797">
        <v>41.1</v>
      </c>
      <c r="AZ797">
        <v>41.1</v>
      </c>
      <c r="BA797">
        <v>11.349299999999999</v>
      </c>
      <c r="BC797">
        <v>6</v>
      </c>
      <c r="BD797">
        <v>18.399999999999999</v>
      </c>
      <c r="BE797">
        <v>18.399999999999999</v>
      </c>
      <c r="BF797">
        <v>4.7356999999999996</v>
      </c>
      <c r="BH797">
        <v>6</v>
      </c>
      <c r="BI797">
        <v>31</v>
      </c>
      <c r="BJ797">
        <v>3</v>
      </c>
      <c r="BK797">
        <v>-0.80369999999999997</v>
      </c>
      <c r="BL797">
        <v>0.14249999999999999</v>
      </c>
    </row>
    <row r="798" spans="1:64" hidden="1" x14ac:dyDescent="0.2">
      <c r="A798">
        <v>161</v>
      </c>
      <c r="D798" t="s">
        <v>54</v>
      </c>
      <c r="E798">
        <v>2019</v>
      </c>
      <c r="F798" t="s">
        <v>174</v>
      </c>
      <c r="G798" t="s">
        <v>175</v>
      </c>
      <c r="H798" t="s">
        <v>78</v>
      </c>
      <c r="K798" t="s">
        <v>79</v>
      </c>
      <c r="L798" t="s">
        <v>176</v>
      </c>
      <c r="M798" t="s">
        <v>81</v>
      </c>
      <c r="N798" t="s">
        <v>81</v>
      </c>
      <c r="O798" t="s">
        <v>62</v>
      </c>
      <c r="P798" t="s">
        <v>63</v>
      </c>
      <c r="Q798" t="s">
        <v>74</v>
      </c>
      <c r="R798" t="s">
        <v>83</v>
      </c>
      <c r="S798" t="s">
        <v>64</v>
      </c>
      <c r="T798" t="s">
        <v>64</v>
      </c>
      <c r="U798" t="s">
        <v>66</v>
      </c>
      <c r="V798">
        <v>489</v>
      </c>
      <c r="W798" t="s">
        <v>67</v>
      </c>
      <c r="X798">
        <v>54</v>
      </c>
      <c r="Y798" t="s">
        <v>67</v>
      </c>
      <c r="Z798">
        <v>8.01</v>
      </c>
      <c r="AA798" t="s">
        <v>67</v>
      </c>
      <c r="AB798">
        <v>0.12</v>
      </c>
      <c r="AC798">
        <v>1523</v>
      </c>
      <c r="AD798" t="s">
        <v>67</v>
      </c>
      <c r="AE798">
        <v>16</v>
      </c>
      <c r="AF798">
        <v>7.6</v>
      </c>
      <c r="AG798" t="s">
        <v>67</v>
      </c>
      <c r="AH798">
        <v>0.31</v>
      </c>
      <c r="AI798">
        <v>19.600000000000001</v>
      </c>
      <c r="AJ798" t="s">
        <v>67</v>
      </c>
      <c r="AK798">
        <v>0.5</v>
      </c>
      <c r="AL798">
        <v>24.2</v>
      </c>
      <c r="AM798" t="s">
        <v>67</v>
      </c>
      <c r="AN798">
        <v>0.4</v>
      </c>
      <c r="AO798">
        <v>1034</v>
      </c>
      <c r="AP798">
        <v>4.5999999999999996</v>
      </c>
      <c r="AQ798" t="s">
        <v>67</v>
      </c>
      <c r="AR798" t="s">
        <v>530</v>
      </c>
      <c r="AS798" t="s">
        <v>359</v>
      </c>
      <c r="AT798" t="s">
        <v>135</v>
      </c>
      <c r="AU798" t="s">
        <v>67</v>
      </c>
      <c r="AV798" t="s">
        <v>72</v>
      </c>
      <c r="AX798" t="s">
        <v>73</v>
      </c>
      <c r="AY798">
        <v>0.9244</v>
      </c>
      <c r="AZ798">
        <v>0.92437000000000002</v>
      </c>
      <c r="BA798">
        <v>0.25</v>
      </c>
      <c r="BC798">
        <v>15</v>
      </c>
      <c r="BD798">
        <v>0.88239999999999996</v>
      </c>
      <c r="BE798">
        <v>0.88235300000000005</v>
      </c>
      <c r="BF798">
        <v>0.2311</v>
      </c>
      <c r="BH798">
        <v>15</v>
      </c>
      <c r="BI798">
        <v>28</v>
      </c>
      <c r="BJ798">
        <v>3</v>
      </c>
      <c r="BK798">
        <v>-4.65E-2</v>
      </c>
      <c r="BL798">
        <v>0.14299999999999999</v>
      </c>
    </row>
    <row r="799" spans="1:64" hidden="1" x14ac:dyDescent="0.2">
      <c r="A799">
        <v>161</v>
      </c>
      <c r="D799" t="s">
        <v>54</v>
      </c>
      <c r="E799">
        <v>2019</v>
      </c>
      <c r="F799" t="s">
        <v>174</v>
      </c>
      <c r="G799" t="s">
        <v>175</v>
      </c>
      <c r="H799" t="s">
        <v>78</v>
      </c>
      <c r="K799" t="s">
        <v>79</v>
      </c>
      <c r="L799" t="s">
        <v>176</v>
      </c>
      <c r="M799" t="s">
        <v>81</v>
      </c>
      <c r="N799" t="s">
        <v>81</v>
      </c>
      <c r="O799" t="s">
        <v>62</v>
      </c>
      <c r="P799" t="s">
        <v>63</v>
      </c>
      <c r="Q799" t="s">
        <v>74</v>
      </c>
      <c r="R799" t="s">
        <v>83</v>
      </c>
      <c r="S799" t="s">
        <v>64</v>
      </c>
      <c r="T799" t="s">
        <v>64</v>
      </c>
      <c r="U799" t="s">
        <v>66</v>
      </c>
      <c r="V799">
        <v>489</v>
      </c>
      <c r="W799" t="s">
        <v>67</v>
      </c>
      <c r="X799">
        <v>54</v>
      </c>
      <c r="Y799" t="s">
        <v>67</v>
      </c>
      <c r="Z799">
        <v>8.01</v>
      </c>
      <c r="AA799" t="s">
        <v>67</v>
      </c>
      <c r="AB799">
        <v>0.12</v>
      </c>
      <c r="AC799">
        <v>1523</v>
      </c>
      <c r="AD799" t="s">
        <v>67</v>
      </c>
      <c r="AE799">
        <v>16</v>
      </c>
      <c r="AF799">
        <v>7.6</v>
      </c>
      <c r="AG799" t="s">
        <v>67</v>
      </c>
      <c r="AH799">
        <v>0.31</v>
      </c>
      <c r="AI799">
        <v>19.600000000000001</v>
      </c>
      <c r="AJ799" t="s">
        <v>67</v>
      </c>
      <c r="AK799">
        <v>0.5</v>
      </c>
      <c r="AL799">
        <v>24.2</v>
      </c>
      <c r="AM799" t="s">
        <v>67</v>
      </c>
      <c r="AN799">
        <v>0.4</v>
      </c>
      <c r="AO799">
        <v>1034</v>
      </c>
      <c r="AP799">
        <v>4.5999999999999996</v>
      </c>
      <c r="AQ799" t="s">
        <v>67</v>
      </c>
      <c r="AR799" t="s">
        <v>530</v>
      </c>
      <c r="AS799" t="s">
        <v>359</v>
      </c>
      <c r="AT799" t="s">
        <v>135</v>
      </c>
      <c r="AU799" t="s">
        <v>67</v>
      </c>
      <c r="AV799" t="s">
        <v>72</v>
      </c>
      <c r="AX799" t="s">
        <v>73</v>
      </c>
      <c r="AY799">
        <v>0.9244</v>
      </c>
      <c r="AZ799">
        <v>0.92437000000000002</v>
      </c>
      <c r="BA799">
        <v>0.25</v>
      </c>
      <c r="BC799">
        <v>15</v>
      </c>
      <c r="BD799">
        <v>0.88239999999999996</v>
      </c>
      <c r="BE799">
        <v>0.88235300000000005</v>
      </c>
      <c r="BF799">
        <v>0.2311</v>
      </c>
      <c r="BH799">
        <v>15</v>
      </c>
      <c r="BI799">
        <v>28</v>
      </c>
      <c r="BJ799">
        <v>3</v>
      </c>
      <c r="BK799">
        <v>-4.65E-2</v>
      </c>
      <c r="BL799">
        <v>0.14299999999999999</v>
      </c>
    </row>
    <row r="800" spans="1:64" hidden="1" x14ac:dyDescent="0.2">
      <c r="A800">
        <v>151</v>
      </c>
      <c r="D800" t="s">
        <v>54</v>
      </c>
      <c r="E800">
        <v>2015</v>
      </c>
      <c r="F800" t="s">
        <v>262</v>
      </c>
      <c r="G800" t="s">
        <v>263</v>
      </c>
      <c r="H800" t="s">
        <v>57</v>
      </c>
      <c r="K800" t="s">
        <v>264</v>
      </c>
      <c r="L800" t="s">
        <v>265</v>
      </c>
      <c r="M800" t="s">
        <v>81</v>
      </c>
      <c r="N800" t="s">
        <v>81</v>
      </c>
      <c r="O800" t="s">
        <v>62</v>
      </c>
      <c r="P800" t="s">
        <v>63</v>
      </c>
      <c r="Q800" t="s">
        <v>64</v>
      </c>
      <c r="R800" t="s">
        <v>65</v>
      </c>
      <c r="S800" t="s">
        <v>64</v>
      </c>
      <c r="T800" t="s">
        <v>74</v>
      </c>
      <c r="U800" t="s">
        <v>84</v>
      </c>
      <c r="V800">
        <v>470</v>
      </c>
      <c r="W800">
        <v>39.799999999999997</v>
      </c>
      <c r="X800" t="s">
        <v>67</v>
      </c>
      <c r="Y800" t="s">
        <v>96</v>
      </c>
      <c r="Z800">
        <v>8.11</v>
      </c>
      <c r="AA800">
        <v>0.01</v>
      </c>
      <c r="AB800" t="s">
        <v>67</v>
      </c>
      <c r="AC800">
        <v>680</v>
      </c>
      <c r="AD800">
        <v>91.9</v>
      </c>
      <c r="AE800" t="s">
        <v>67</v>
      </c>
      <c r="AF800">
        <v>8.02</v>
      </c>
      <c r="AG800">
        <v>0.01</v>
      </c>
      <c r="AH800" t="s">
        <v>67</v>
      </c>
      <c r="AI800">
        <v>17.7</v>
      </c>
      <c r="AJ800">
        <v>0.2</v>
      </c>
      <c r="AK800" t="s">
        <v>67</v>
      </c>
      <c r="AL800">
        <v>17.7</v>
      </c>
      <c r="AM800">
        <v>0.2</v>
      </c>
      <c r="AN800" t="s">
        <v>67</v>
      </c>
      <c r="AO800">
        <v>210</v>
      </c>
      <c r="AP800">
        <v>0</v>
      </c>
      <c r="AQ800" t="s">
        <v>515</v>
      </c>
      <c r="AR800" t="s">
        <v>113</v>
      </c>
      <c r="AS800" t="s">
        <v>113</v>
      </c>
      <c r="AT800" t="s">
        <v>70</v>
      </c>
      <c r="AU800" t="s">
        <v>67</v>
      </c>
      <c r="AV800" t="s">
        <v>72</v>
      </c>
      <c r="AX800" t="s">
        <v>73</v>
      </c>
      <c r="AY800">
        <v>0.66169999999999995</v>
      </c>
      <c r="AZ800">
        <v>0.66164999999999996</v>
      </c>
      <c r="BA800">
        <v>0.09</v>
      </c>
      <c r="BC800">
        <v>9</v>
      </c>
      <c r="BD800">
        <v>0.19850000000000001</v>
      </c>
      <c r="BE800">
        <v>0.19849624099999999</v>
      </c>
      <c r="BF800">
        <v>7.1400000000000005E-2</v>
      </c>
      <c r="BH800">
        <v>9</v>
      </c>
      <c r="BI800">
        <v>68</v>
      </c>
      <c r="BJ800">
        <v>3</v>
      </c>
      <c r="BK800">
        <v>-1.204</v>
      </c>
      <c r="BL800">
        <v>0.1487</v>
      </c>
    </row>
    <row r="801" spans="1:65" hidden="1" x14ac:dyDescent="0.2">
      <c r="A801">
        <v>142</v>
      </c>
      <c r="D801" t="s">
        <v>397</v>
      </c>
      <c r="E801">
        <v>2017</v>
      </c>
      <c r="F801" t="s">
        <v>193</v>
      </c>
      <c r="G801" t="s">
        <v>181</v>
      </c>
      <c r="H801" t="s">
        <v>78</v>
      </c>
      <c r="K801" t="s">
        <v>194</v>
      </c>
      <c r="L801" t="s">
        <v>195</v>
      </c>
      <c r="M801" t="s">
        <v>120</v>
      </c>
      <c r="N801" t="s">
        <v>120</v>
      </c>
      <c r="O801" t="s">
        <v>106</v>
      </c>
      <c r="P801" t="s">
        <v>196</v>
      </c>
      <c r="Q801" t="s">
        <v>64</v>
      </c>
      <c r="R801" t="s">
        <v>83</v>
      </c>
      <c r="S801" t="s">
        <v>64</v>
      </c>
      <c r="T801" t="s">
        <v>64</v>
      </c>
      <c r="U801" t="s">
        <v>66</v>
      </c>
      <c r="V801">
        <v>439</v>
      </c>
      <c r="W801">
        <v>16.079999999999998</v>
      </c>
      <c r="X801" t="s">
        <v>67</v>
      </c>
      <c r="Y801" t="s">
        <v>67</v>
      </c>
      <c r="Z801" t="s">
        <v>67</v>
      </c>
      <c r="AA801" t="s">
        <v>67</v>
      </c>
      <c r="AB801" t="s">
        <v>67</v>
      </c>
      <c r="AC801">
        <v>1027</v>
      </c>
      <c r="AD801">
        <v>9.0299999999999994</v>
      </c>
      <c r="AE801" t="s">
        <v>67</v>
      </c>
      <c r="AF801" t="s">
        <v>67</v>
      </c>
      <c r="AG801" t="s">
        <v>67</v>
      </c>
      <c r="AH801" t="s">
        <v>67</v>
      </c>
      <c r="AI801">
        <v>-0.6</v>
      </c>
      <c r="AJ801">
        <v>0.17</v>
      </c>
      <c r="AK801" t="s">
        <v>67</v>
      </c>
      <c r="AL801">
        <v>4.2</v>
      </c>
      <c r="AM801">
        <v>0.56000000000000005</v>
      </c>
      <c r="AN801" t="s">
        <v>67</v>
      </c>
      <c r="AO801">
        <v>588</v>
      </c>
      <c r="AP801">
        <v>4.8</v>
      </c>
      <c r="AQ801" t="s">
        <v>67</v>
      </c>
      <c r="AR801" t="s">
        <v>113</v>
      </c>
      <c r="AS801" t="s">
        <v>113</v>
      </c>
      <c r="AT801" t="s">
        <v>70</v>
      </c>
      <c r="AU801" t="s">
        <v>398</v>
      </c>
      <c r="AV801" t="s">
        <v>72</v>
      </c>
      <c r="AX801" t="s">
        <v>73</v>
      </c>
      <c r="AY801">
        <v>0.1</v>
      </c>
      <c r="AZ801">
        <v>0.29599999999999999</v>
      </c>
      <c r="BA801">
        <v>7.0000000000000007E-2</v>
      </c>
      <c r="BC801">
        <v>5</v>
      </c>
      <c r="BD801">
        <v>-0.1</v>
      </c>
      <c r="BE801">
        <v>0.1</v>
      </c>
      <c r="BF801">
        <v>0.03</v>
      </c>
      <c r="BH801">
        <v>5</v>
      </c>
      <c r="BI801">
        <v>56</v>
      </c>
      <c r="BJ801">
        <v>1</v>
      </c>
      <c r="BK801">
        <v>-1.1053999999999999</v>
      </c>
      <c r="BL801">
        <v>0.14960000000000001</v>
      </c>
      <c r="BM801" t="s">
        <v>399</v>
      </c>
    </row>
    <row r="802" spans="1:65" hidden="1" x14ac:dyDescent="0.2">
      <c r="A802">
        <v>164</v>
      </c>
      <c r="D802" t="s">
        <v>54</v>
      </c>
      <c r="E802">
        <v>2017</v>
      </c>
      <c r="F802" t="s">
        <v>371</v>
      </c>
      <c r="G802" t="s">
        <v>224</v>
      </c>
      <c r="H802" t="s">
        <v>78</v>
      </c>
      <c r="K802" t="s">
        <v>79</v>
      </c>
      <c r="L802" t="s">
        <v>225</v>
      </c>
      <c r="M802" t="s">
        <v>120</v>
      </c>
      <c r="N802" t="s">
        <v>120</v>
      </c>
      <c r="O802" t="s">
        <v>110</v>
      </c>
      <c r="P802" t="s">
        <v>63</v>
      </c>
      <c r="Q802" t="s">
        <v>64</v>
      </c>
      <c r="R802" t="s">
        <v>83</v>
      </c>
      <c r="S802" t="s">
        <v>64</v>
      </c>
      <c r="T802" t="s">
        <v>64</v>
      </c>
      <c r="U802" t="s">
        <v>66</v>
      </c>
      <c r="V802">
        <v>435</v>
      </c>
      <c r="W802" t="s">
        <v>67</v>
      </c>
      <c r="X802">
        <v>19</v>
      </c>
      <c r="Y802" t="s">
        <v>157</v>
      </c>
      <c r="Z802">
        <v>8.01</v>
      </c>
      <c r="AA802" t="s">
        <v>67</v>
      </c>
      <c r="AB802">
        <v>0.02</v>
      </c>
      <c r="AC802">
        <v>1027</v>
      </c>
      <c r="AD802" t="s">
        <v>67</v>
      </c>
      <c r="AE802">
        <v>103</v>
      </c>
      <c r="AF802">
        <v>7.71</v>
      </c>
      <c r="AG802" t="s">
        <v>67</v>
      </c>
      <c r="AH802">
        <v>0.06</v>
      </c>
      <c r="AI802">
        <v>5.7</v>
      </c>
      <c r="AJ802" t="s">
        <v>67</v>
      </c>
      <c r="AK802">
        <v>0.23</v>
      </c>
      <c r="AL802">
        <v>8.1999999999999993</v>
      </c>
      <c r="AM802" t="s">
        <v>67</v>
      </c>
      <c r="AN802">
        <v>0.16</v>
      </c>
      <c r="AO802">
        <v>592</v>
      </c>
      <c r="AP802">
        <v>2.5</v>
      </c>
      <c r="AQ802" t="s">
        <v>67</v>
      </c>
      <c r="AR802" t="s">
        <v>484</v>
      </c>
      <c r="AS802" t="s">
        <v>473</v>
      </c>
      <c r="AT802" t="s">
        <v>135</v>
      </c>
      <c r="AU802" t="s">
        <v>474</v>
      </c>
      <c r="AV802" t="s">
        <v>251</v>
      </c>
      <c r="AX802" t="s">
        <v>73</v>
      </c>
      <c r="AY802">
        <v>27.7</v>
      </c>
      <c r="AZ802">
        <v>27.7</v>
      </c>
      <c r="BA802">
        <v>7.7</v>
      </c>
      <c r="BC802">
        <v>12</v>
      </c>
      <c r="BD802">
        <v>27.7</v>
      </c>
      <c r="BE802">
        <v>27.7</v>
      </c>
      <c r="BF802">
        <v>7.6</v>
      </c>
      <c r="BH802">
        <v>11</v>
      </c>
      <c r="BI802">
        <v>42</v>
      </c>
      <c r="BJ802">
        <v>8</v>
      </c>
      <c r="BK802">
        <v>0</v>
      </c>
      <c r="BL802">
        <v>0.1525</v>
      </c>
    </row>
    <row r="803" spans="1:65" hidden="1" x14ac:dyDescent="0.2">
      <c r="A803">
        <v>132</v>
      </c>
      <c r="D803" t="s">
        <v>54</v>
      </c>
      <c r="E803">
        <v>2015</v>
      </c>
      <c r="F803" t="s">
        <v>283</v>
      </c>
      <c r="G803" t="s">
        <v>181</v>
      </c>
      <c r="H803" t="s">
        <v>284</v>
      </c>
      <c r="K803" t="s">
        <v>285</v>
      </c>
      <c r="L803" t="s">
        <v>286</v>
      </c>
      <c r="M803" t="s">
        <v>81</v>
      </c>
      <c r="N803" t="s">
        <v>81</v>
      </c>
      <c r="O803" t="s">
        <v>62</v>
      </c>
      <c r="P803" t="s">
        <v>196</v>
      </c>
      <c r="Q803" t="s">
        <v>64</v>
      </c>
      <c r="R803" t="s">
        <v>83</v>
      </c>
      <c r="S803" t="s">
        <v>64</v>
      </c>
      <c r="T803" t="s">
        <v>74</v>
      </c>
      <c r="U803" t="s">
        <v>84</v>
      </c>
      <c r="V803">
        <v>372</v>
      </c>
      <c r="W803" t="s">
        <v>67</v>
      </c>
      <c r="X803">
        <v>51.9</v>
      </c>
      <c r="Y803" t="s">
        <v>68</v>
      </c>
      <c r="Z803">
        <v>8.02</v>
      </c>
      <c r="AA803" t="s">
        <v>67</v>
      </c>
      <c r="AB803">
        <v>0.05</v>
      </c>
      <c r="AC803">
        <v>1384</v>
      </c>
      <c r="AD803" t="s">
        <v>67</v>
      </c>
      <c r="AE803">
        <v>113.6</v>
      </c>
      <c r="AF803">
        <v>7.52</v>
      </c>
      <c r="AG803" t="s">
        <v>67</v>
      </c>
      <c r="AH803">
        <v>0.04</v>
      </c>
      <c r="AI803">
        <v>25.9</v>
      </c>
      <c r="AJ803" t="s">
        <v>67</v>
      </c>
      <c r="AK803">
        <v>0.7</v>
      </c>
      <c r="AL803">
        <v>26.2</v>
      </c>
      <c r="AM803" t="s">
        <v>67</v>
      </c>
      <c r="AN803">
        <v>0.5</v>
      </c>
      <c r="AO803">
        <v>1012</v>
      </c>
      <c r="AP803">
        <v>0.3</v>
      </c>
      <c r="AQ803" t="s">
        <v>67</v>
      </c>
      <c r="AR803" t="s">
        <v>367</v>
      </c>
      <c r="AS803" t="s">
        <v>367</v>
      </c>
      <c r="AT803" t="s">
        <v>135</v>
      </c>
      <c r="AU803" t="s">
        <v>89</v>
      </c>
      <c r="AV803" t="s">
        <v>251</v>
      </c>
      <c r="AX803" t="s">
        <v>90</v>
      </c>
      <c r="AY803">
        <v>41.1</v>
      </c>
      <c r="AZ803">
        <v>41.1</v>
      </c>
      <c r="BA803">
        <v>11.349299999999999</v>
      </c>
      <c r="BC803">
        <v>6</v>
      </c>
      <c r="BD803">
        <v>5.3</v>
      </c>
      <c r="BE803">
        <v>5.3</v>
      </c>
      <c r="BF803">
        <v>1.4697</v>
      </c>
      <c r="BH803">
        <v>6</v>
      </c>
      <c r="BI803">
        <v>31</v>
      </c>
      <c r="BJ803">
        <v>3</v>
      </c>
      <c r="BK803">
        <v>-2.0482999999999998</v>
      </c>
      <c r="BL803">
        <v>0.15310000000000001</v>
      </c>
    </row>
    <row r="804" spans="1:65" hidden="1" x14ac:dyDescent="0.2">
      <c r="A804">
        <v>142</v>
      </c>
      <c r="D804" t="s">
        <v>54</v>
      </c>
      <c r="E804">
        <v>2017</v>
      </c>
      <c r="F804" t="s">
        <v>193</v>
      </c>
      <c r="G804" t="s">
        <v>181</v>
      </c>
      <c r="H804" t="s">
        <v>78</v>
      </c>
      <c r="K804" t="s">
        <v>194</v>
      </c>
      <c r="L804" t="s">
        <v>215</v>
      </c>
      <c r="M804" t="s">
        <v>120</v>
      </c>
      <c r="N804" t="s">
        <v>120</v>
      </c>
      <c r="O804" t="s">
        <v>62</v>
      </c>
      <c r="P804" t="s">
        <v>196</v>
      </c>
      <c r="Q804" t="s">
        <v>64</v>
      </c>
      <c r="R804" t="s">
        <v>83</v>
      </c>
      <c r="S804" t="s">
        <v>64</v>
      </c>
      <c r="T804" t="s">
        <v>74</v>
      </c>
      <c r="U804" t="s">
        <v>84</v>
      </c>
      <c r="V804">
        <v>439</v>
      </c>
      <c r="W804">
        <v>16.079999999999998</v>
      </c>
      <c r="X804" t="s">
        <v>67</v>
      </c>
      <c r="Y804" t="s">
        <v>67</v>
      </c>
      <c r="Z804" t="s">
        <v>67</v>
      </c>
      <c r="AA804" t="s">
        <v>67</v>
      </c>
      <c r="AB804" t="s">
        <v>67</v>
      </c>
      <c r="AC804">
        <v>954</v>
      </c>
      <c r="AD804">
        <v>50.38</v>
      </c>
      <c r="AE804" t="s">
        <v>67</v>
      </c>
      <c r="AF804" t="s">
        <v>67</v>
      </c>
      <c r="AG804" t="s">
        <v>67</v>
      </c>
      <c r="AH804" t="s">
        <v>67</v>
      </c>
      <c r="AI804">
        <v>-0.6</v>
      </c>
      <c r="AJ804">
        <v>0.17</v>
      </c>
      <c r="AK804" t="s">
        <v>67</v>
      </c>
      <c r="AL804">
        <v>-0.5</v>
      </c>
      <c r="AM804">
        <v>0.16</v>
      </c>
      <c r="AN804" t="s">
        <v>67</v>
      </c>
      <c r="AO804">
        <v>515</v>
      </c>
      <c r="AP804">
        <v>0.2</v>
      </c>
      <c r="AQ804" t="s">
        <v>67</v>
      </c>
      <c r="AR804" t="s">
        <v>113</v>
      </c>
      <c r="AS804" t="s">
        <v>113</v>
      </c>
      <c r="AT804" t="s">
        <v>70</v>
      </c>
      <c r="AU804" t="s">
        <v>398</v>
      </c>
      <c r="AV804" t="s">
        <v>72</v>
      </c>
      <c r="AX804" t="s">
        <v>73</v>
      </c>
      <c r="AY804">
        <v>-8.1000000000000003E-2</v>
      </c>
      <c r="AZ804">
        <v>-8.1000000000000003E-2</v>
      </c>
      <c r="BA804">
        <v>0.02</v>
      </c>
      <c r="BC804">
        <v>5</v>
      </c>
      <c r="BD804">
        <v>-0.13</v>
      </c>
      <c r="BE804">
        <v>-0.13</v>
      </c>
      <c r="BF804">
        <v>0.04</v>
      </c>
      <c r="BH804">
        <v>5</v>
      </c>
      <c r="BI804">
        <v>56</v>
      </c>
      <c r="BJ804">
        <v>1</v>
      </c>
      <c r="BK804">
        <v>-0.47310000000000002</v>
      </c>
      <c r="BL804">
        <v>0.15559999999999999</v>
      </c>
      <c r="BM804" t="s">
        <v>460</v>
      </c>
    </row>
    <row r="805" spans="1:65" x14ac:dyDescent="0.2">
      <c r="A805">
        <v>180</v>
      </c>
      <c r="B805" t="str">
        <f>ROW()-1&amp;"_AltersFish"</f>
        <v>804_AltersFish</v>
      </c>
      <c r="C805" t="str">
        <f>A805 &amp; "_" &amp; P805 &amp; "_" &amp;
SUBSTITUTE(TRIM(L805)," ","_") &amp;
"_pH" &amp; TEXT(Z805,"0.00") &amp;
"_T" &amp; TEXT(AI805,"0.00") &amp;
"_CO2" &amp; TEXT(V805,"0") &amp;
"_LANG"</f>
        <v>180_LARVA_Seriola_lalandi_pH8.00_T21.10_CO2462_LANG</v>
      </c>
      <c r="D805" t="s">
        <v>54</v>
      </c>
      <c r="E805">
        <v>2018</v>
      </c>
      <c r="F805" t="s">
        <v>153</v>
      </c>
      <c r="G805" t="s">
        <v>154</v>
      </c>
      <c r="H805" t="s">
        <v>78</v>
      </c>
      <c r="I805" t="s">
        <v>540</v>
      </c>
      <c r="J805" t="s">
        <v>543</v>
      </c>
      <c r="K805" t="s">
        <v>79</v>
      </c>
      <c r="L805" t="s">
        <v>155</v>
      </c>
      <c r="M805" t="s">
        <v>156</v>
      </c>
      <c r="N805" t="s">
        <v>156</v>
      </c>
      <c r="O805" t="s">
        <v>106</v>
      </c>
      <c r="P805" t="s">
        <v>107</v>
      </c>
      <c r="Q805" t="s">
        <v>74</v>
      </c>
      <c r="R805" t="s">
        <v>83</v>
      </c>
      <c r="S805" t="s">
        <v>74</v>
      </c>
      <c r="T805" t="s">
        <v>64</v>
      </c>
      <c r="U805" t="s">
        <v>75</v>
      </c>
      <c r="V805">
        <v>462</v>
      </c>
      <c r="W805" t="s">
        <v>67</v>
      </c>
      <c r="X805">
        <v>43</v>
      </c>
      <c r="Y805" t="s">
        <v>157</v>
      </c>
      <c r="Z805">
        <v>8</v>
      </c>
      <c r="AA805" t="s">
        <v>67</v>
      </c>
      <c r="AB805">
        <v>0.03</v>
      </c>
      <c r="AC805">
        <v>538</v>
      </c>
      <c r="AD805" t="s">
        <v>67</v>
      </c>
      <c r="AE805">
        <v>16</v>
      </c>
      <c r="AF805">
        <v>7.94</v>
      </c>
      <c r="AG805" t="s">
        <v>67</v>
      </c>
      <c r="AH805">
        <v>0.01</v>
      </c>
      <c r="AI805">
        <v>21.1</v>
      </c>
      <c r="AJ805" t="s">
        <v>67</v>
      </c>
      <c r="AK805">
        <v>0.1</v>
      </c>
      <c r="AL805">
        <v>24.8</v>
      </c>
      <c r="AM805" t="s">
        <v>67</v>
      </c>
      <c r="AN805">
        <v>0.4</v>
      </c>
      <c r="AO805">
        <v>76</v>
      </c>
      <c r="AP805">
        <v>3.7</v>
      </c>
      <c r="AQ805" t="s">
        <v>67</v>
      </c>
      <c r="AR805" t="s">
        <v>228</v>
      </c>
      <c r="AS805" t="s">
        <v>98</v>
      </c>
      <c r="AT805" t="s">
        <v>70</v>
      </c>
      <c r="AU805" t="s">
        <v>109</v>
      </c>
      <c r="AV805" t="s">
        <v>72</v>
      </c>
      <c r="AW805" t="s">
        <v>72</v>
      </c>
      <c r="AX805" t="s">
        <v>73</v>
      </c>
      <c r="AY805">
        <v>7.54</v>
      </c>
      <c r="AZ805">
        <v>7.54</v>
      </c>
      <c r="BA805">
        <v>0.19</v>
      </c>
      <c r="BB805">
        <f>BA805*SQRT(BC805)</f>
        <v>2.5491174943497605</v>
      </c>
      <c r="BC805">
        <v>180</v>
      </c>
      <c r="BD805">
        <v>10.46</v>
      </c>
      <c r="BE805">
        <v>10.46</v>
      </c>
      <c r="BF805">
        <v>0.24</v>
      </c>
      <c r="BG805">
        <f>BF805*SQRT(BH805)</f>
        <v>3.2199378875996971</v>
      </c>
      <c r="BH805">
        <v>180</v>
      </c>
      <c r="BI805">
        <v>24</v>
      </c>
      <c r="BJ805">
        <v>6</v>
      </c>
      <c r="BK805">
        <v>0.32729999999999998</v>
      </c>
      <c r="BL805">
        <v>1.1999999999999999E-3</v>
      </c>
    </row>
    <row r="806" spans="1:65" hidden="1" x14ac:dyDescent="0.2">
      <c r="A806">
        <v>142</v>
      </c>
      <c r="D806" t="s">
        <v>54</v>
      </c>
      <c r="E806">
        <v>2017</v>
      </c>
      <c r="F806" t="s">
        <v>193</v>
      </c>
      <c r="G806" t="s">
        <v>181</v>
      </c>
      <c r="H806" t="s">
        <v>78</v>
      </c>
      <c r="K806" t="s">
        <v>194</v>
      </c>
      <c r="L806" t="s">
        <v>215</v>
      </c>
      <c r="M806" t="s">
        <v>120</v>
      </c>
      <c r="N806" t="s">
        <v>120</v>
      </c>
      <c r="O806" t="s">
        <v>62</v>
      </c>
      <c r="P806" t="s">
        <v>196</v>
      </c>
      <c r="Q806" t="s">
        <v>64</v>
      </c>
      <c r="R806" t="s">
        <v>83</v>
      </c>
      <c r="S806" t="s">
        <v>64</v>
      </c>
      <c r="T806" t="s">
        <v>74</v>
      </c>
      <c r="U806" t="s">
        <v>84</v>
      </c>
      <c r="V806">
        <v>439</v>
      </c>
      <c r="W806">
        <v>16.079999999999998</v>
      </c>
      <c r="X806" t="s">
        <v>67</v>
      </c>
      <c r="Y806" t="s">
        <v>67</v>
      </c>
      <c r="Z806" t="s">
        <v>67</v>
      </c>
      <c r="AA806" t="s">
        <v>67</v>
      </c>
      <c r="AB806" t="s">
        <v>67</v>
      </c>
      <c r="AC806">
        <v>954</v>
      </c>
      <c r="AD806">
        <v>50.38</v>
      </c>
      <c r="AE806" t="s">
        <v>67</v>
      </c>
      <c r="AF806" t="s">
        <v>67</v>
      </c>
      <c r="AG806" t="s">
        <v>67</v>
      </c>
      <c r="AH806" t="s">
        <v>67</v>
      </c>
      <c r="AI806">
        <v>-0.6</v>
      </c>
      <c r="AJ806">
        <v>0.17</v>
      </c>
      <c r="AK806" t="s">
        <v>67</v>
      </c>
      <c r="AL806">
        <v>-0.5</v>
      </c>
      <c r="AM806">
        <v>0.16</v>
      </c>
      <c r="AN806" t="s">
        <v>67</v>
      </c>
      <c r="AO806">
        <v>515</v>
      </c>
      <c r="AP806">
        <v>0.2</v>
      </c>
      <c r="AQ806" t="s">
        <v>67</v>
      </c>
      <c r="AR806" t="s">
        <v>400</v>
      </c>
      <c r="AS806" t="s">
        <v>401</v>
      </c>
      <c r="AT806" t="s">
        <v>135</v>
      </c>
      <c r="AU806" t="s">
        <v>402</v>
      </c>
      <c r="AV806" t="s">
        <v>132</v>
      </c>
      <c r="AX806" t="s">
        <v>73</v>
      </c>
      <c r="AY806">
        <v>0.81299999999999994</v>
      </c>
      <c r="AZ806">
        <v>0.81299999999999994</v>
      </c>
      <c r="BA806">
        <v>0.02</v>
      </c>
      <c r="BC806">
        <v>10</v>
      </c>
      <c r="BD806">
        <v>0.32800000000000001</v>
      </c>
      <c r="BE806">
        <v>0.32800000000000001</v>
      </c>
      <c r="BF806">
        <v>0.13</v>
      </c>
      <c r="BH806">
        <v>10</v>
      </c>
      <c r="BI806">
        <v>49</v>
      </c>
      <c r="BJ806">
        <v>1</v>
      </c>
      <c r="BK806">
        <v>-0.90769999999999995</v>
      </c>
      <c r="BL806">
        <v>0.15770000000000001</v>
      </c>
    </row>
    <row r="807" spans="1:65" x14ac:dyDescent="0.2">
      <c r="A807">
        <v>180</v>
      </c>
      <c r="B807" t="str">
        <f>ROW()-1&amp;"_AltersFish"</f>
        <v>806_AltersFish</v>
      </c>
      <c r="C807" t="str">
        <f>A807 &amp; "_" &amp; P807 &amp; "_" &amp;
SUBSTITUTE(TRIM(L807)," ","_") &amp;
"_pH" &amp; TEXT(Z807,"0.00") &amp;
"_T" &amp; TEXT(AI807,"0.00") &amp;
"_CO2" &amp; TEXT(V807,"0") &amp;
"_LANG"</f>
        <v>180_LARVA_Seriola_lalandi_pH8.00_T21.10_CO2462_LANG</v>
      </c>
      <c r="D807" t="s">
        <v>54</v>
      </c>
      <c r="E807">
        <v>2018</v>
      </c>
      <c r="F807" t="s">
        <v>153</v>
      </c>
      <c r="G807" t="s">
        <v>154</v>
      </c>
      <c r="H807" t="s">
        <v>78</v>
      </c>
      <c r="I807" t="s">
        <v>540</v>
      </c>
      <c r="J807" t="s">
        <v>543</v>
      </c>
      <c r="K807" t="s">
        <v>79</v>
      </c>
      <c r="L807" t="s">
        <v>155</v>
      </c>
      <c r="M807" t="s">
        <v>156</v>
      </c>
      <c r="N807" t="s">
        <v>156</v>
      </c>
      <c r="O807" t="s">
        <v>106</v>
      </c>
      <c r="P807" t="s">
        <v>107</v>
      </c>
      <c r="Q807" t="s">
        <v>74</v>
      </c>
      <c r="R807" t="s">
        <v>83</v>
      </c>
      <c r="S807" t="s">
        <v>64</v>
      </c>
      <c r="T807" t="s">
        <v>74</v>
      </c>
      <c r="U807" t="s">
        <v>84</v>
      </c>
      <c r="V807">
        <v>462</v>
      </c>
      <c r="W807" t="s">
        <v>67</v>
      </c>
      <c r="X807">
        <v>43</v>
      </c>
      <c r="Y807" t="s">
        <v>157</v>
      </c>
      <c r="Z807">
        <v>8</v>
      </c>
      <c r="AA807" t="s">
        <v>67</v>
      </c>
      <c r="AB807">
        <v>0.03</v>
      </c>
      <c r="AC807">
        <v>960</v>
      </c>
      <c r="AD807" t="s">
        <v>67</v>
      </c>
      <c r="AE807">
        <v>57</v>
      </c>
      <c r="AF807">
        <v>7.72</v>
      </c>
      <c r="AG807" t="s">
        <v>67</v>
      </c>
      <c r="AH807">
        <v>0.03</v>
      </c>
      <c r="AI807">
        <v>21.1</v>
      </c>
      <c r="AJ807" t="s">
        <v>67</v>
      </c>
      <c r="AK807">
        <v>0.1</v>
      </c>
      <c r="AL807">
        <v>21.1</v>
      </c>
      <c r="AM807" t="s">
        <v>67</v>
      </c>
      <c r="AN807">
        <v>0.1</v>
      </c>
      <c r="AO807">
        <v>498</v>
      </c>
      <c r="AP807">
        <v>0</v>
      </c>
      <c r="AQ807" t="s">
        <v>67</v>
      </c>
      <c r="AR807" t="s">
        <v>228</v>
      </c>
      <c r="AS807" t="s">
        <v>98</v>
      </c>
      <c r="AT807" t="s">
        <v>70</v>
      </c>
      <c r="AU807" t="s">
        <v>109</v>
      </c>
      <c r="AV807" t="s">
        <v>72</v>
      </c>
      <c r="AW807" t="s">
        <v>72</v>
      </c>
      <c r="AX807" t="s">
        <v>73</v>
      </c>
      <c r="AY807">
        <v>7.54</v>
      </c>
      <c r="AZ807">
        <v>7.54</v>
      </c>
      <c r="BA807">
        <v>0.19</v>
      </c>
      <c r="BB807">
        <f>BA807*SQRT(BC807)</f>
        <v>2.5491174943497605</v>
      </c>
      <c r="BC807">
        <v>180</v>
      </c>
      <c r="BD807">
        <v>7.89</v>
      </c>
      <c r="BE807">
        <v>7.89</v>
      </c>
      <c r="BF807">
        <v>0.11</v>
      </c>
      <c r="BG807">
        <f>BF807*SQRT(BH807)</f>
        <v>1.4758048651498612</v>
      </c>
      <c r="BH807">
        <v>180</v>
      </c>
      <c r="BI807">
        <v>25</v>
      </c>
      <c r="BJ807">
        <v>6</v>
      </c>
      <c r="BK807">
        <v>4.5400000000000003E-2</v>
      </c>
      <c r="BL807">
        <v>8.0000000000000004E-4</v>
      </c>
    </row>
    <row r="808" spans="1:65" hidden="1" x14ac:dyDescent="0.2">
      <c r="A808">
        <v>141</v>
      </c>
      <c r="D808" t="s">
        <v>54</v>
      </c>
      <c r="E808">
        <v>2015</v>
      </c>
      <c r="F808" t="s">
        <v>91</v>
      </c>
      <c r="G808" t="s">
        <v>92</v>
      </c>
      <c r="H808" t="s">
        <v>78</v>
      </c>
      <c r="K808" t="s">
        <v>93</v>
      </c>
      <c r="L808" t="s">
        <v>94</v>
      </c>
      <c r="M808" t="s">
        <v>95</v>
      </c>
      <c r="N808" t="s">
        <v>61</v>
      </c>
      <c r="O808" t="s">
        <v>62</v>
      </c>
      <c r="P808" t="s">
        <v>196</v>
      </c>
      <c r="Q808" t="s">
        <v>64</v>
      </c>
      <c r="R808" t="s">
        <v>83</v>
      </c>
      <c r="S808" t="s">
        <v>64</v>
      </c>
      <c r="T808" t="s">
        <v>64</v>
      </c>
      <c r="U808" t="s">
        <v>66</v>
      </c>
      <c r="V808">
        <v>400</v>
      </c>
      <c r="W808">
        <v>6</v>
      </c>
      <c r="X808" t="s">
        <v>67</v>
      </c>
      <c r="Y808" t="s">
        <v>96</v>
      </c>
      <c r="Z808">
        <v>8.15</v>
      </c>
      <c r="AA808">
        <v>0.01</v>
      </c>
      <c r="AB808" t="s">
        <v>67</v>
      </c>
      <c r="AC808">
        <v>642</v>
      </c>
      <c r="AD808">
        <v>12</v>
      </c>
      <c r="AE808" t="s">
        <v>67</v>
      </c>
      <c r="AF808">
        <v>8</v>
      </c>
      <c r="AG808">
        <v>0.01</v>
      </c>
      <c r="AH808" t="s">
        <v>67</v>
      </c>
      <c r="AI808">
        <v>28.4</v>
      </c>
      <c r="AJ808">
        <v>0.01</v>
      </c>
      <c r="AK808" t="s">
        <v>67</v>
      </c>
      <c r="AL808">
        <v>30.1</v>
      </c>
      <c r="AM808">
        <v>0.01</v>
      </c>
      <c r="AN808" t="s">
        <v>67</v>
      </c>
      <c r="AO808">
        <v>242</v>
      </c>
      <c r="AP808">
        <v>1.7</v>
      </c>
      <c r="AQ808" t="s">
        <v>67</v>
      </c>
      <c r="AR808" t="s">
        <v>531</v>
      </c>
      <c r="AS808" t="s">
        <v>532</v>
      </c>
      <c r="AT808" t="s">
        <v>70</v>
      </c>
      <c r="AU808" t="s">
        <v>232</v>
      </c>
      <c r="AV808" t="s">
        <v>151</v>
      </c>
      <c r="AX808" t="s">
        <v>73</v>
      </c>
      <c r="AY808">
        <v>1.0373000000000001</v>
      </c>
      <c r="AZ808">
        <v>1.03729</v>
      </c>
      <c r="BA808">
        <v>0.35</v>
      </c>
      <c r="BC808">
        <v>4</v>
      </c>
      <c r="BD808">
        <v>0.93559999999999999</v>
      </c>
      <c r="BE808">
        <v>0.93559322</v>
      </c>
      <c r="BF808">
        <v>0.2034</v>
      </c>
      <c r="BH808">
        <v>1</v>
      </c>
      <c r="BI808" t="s">
        <v>67</v>
      </c>
      <c r="BJ808">
        <v>7</v>
      </c>
      <c r="BK808">
        <v>-0.1032</v>
      </c>
      <c r="BL808">
        <v>0.15840000000000001</v>
      </c>
    </row>
    <row r="809" spans="1:65" hidden="1" x14ac:dyDescent="0.2">
      <c r="A809">
        <v>147</v>
      </c>
      <c r="D809" t="s">
        <v>54</v>
      </c>
      <c r="E809">
        <v>2014</v>
      </c>
      <c r="F809" t="s">
        <v>317</v>
      </c>
      <c r="G809" t="s">
        <v>318</v>
      </c>
      <c r="H809" t="s">
        <v>78</v>
      </c>
      <c r="K809" t="s">
        <v>319</v>
      </c>
      <c r="L809" t="s">
        <v>320</v>
      </c>
      <c r="M809" t="s">
        <v>81</v>
      </c>
      <c r="N809" t="s">
        <v>81</v>
      </c>
      <c r="O809" t="s">
        <v>62</v>
      </c>
      <c r="P809" t="s">
        <v>63</v>
      </c>
      <c r="Q809" t="s">
        <v>74</v>
      </c>
      <c r="R809" t="s">
        <v>83</v>
      </c>
      <c r="S809" t="s">
        <v>74</v>
      </c>
      <c r="T809" t="s">
        <v>64</v>
      </c>
      <c r="U809" t="s">
        <v>75</v>
      </c>
      <c r="V809">
        <v>330</v>
      </c>
      <c r="W809">
        <v>9.5</v>
      </c>
      <c r="X809" t="s">
        <v>67</v>
      </c>
      <c r="Y809" t="s">
        <v>68</v>
      </c>
      <c r="Z809">
        <v>8.11</v>
      </c>
      <c r="AA809">
        <v>0.01</v>
      </c>
      <c r="AB809" t="s">
        <v>67</v>
      </c>
      <c r="AC809">
        <v>473</v>
      </c>
      <c r="AD809">
        <v>12</v>
      </c>
      <c r="AE809" t="s">
        <v>67</v>
      </c>
      <c r="AF809">
        <v>7.99</v>
      </c>
      <c r="AG809">
        <v>0.01</v>
      </c>
      <c r="AH809" t="s">
        <v>67</v>
      </c>
      <c r="AI809">
        <v>5.2</v>
      </c>
      <c r="AJ809">
        <v>0.11</v>
      </c>
      <c r="AK809" t="s">
        <v>67</v>
      </c>
      <c r="AL809">
        <v>11.7</v>
      </c>
      <c r="AM809">
        <v>0.02</v>
      </c>
      <c r="AN809" t="s">
        <v>67</v>
      </c>
      <c r="AO809">
        <v>143</v>
      </c>
      <c r="AP809">
        <v>6.6</v>
      </c>
      <c r="AQ809" t="s">
        <v>67</v>
      </c>
      <c r="AR809" t="s">
        <v>520</v>
      </c>
      <c r="AS809" t="s">
        <v>520</v>
      </c>
      <c r="AT809" t="s">
        <v>135</v>
      </c>
      <c r="AU809" t="s">
        <v>521</v>
      </c>
      <c r="AV809" t="s">
        <v>132</v>
      </c>
      <c r="AX809" t="s">
        <v>73</v>
      </c>
      <c r="AY809">
        <v>37.741</v>
      </c>
      <c r="AZ809">
        <v>37.741050000000001</v>
      </c>
      <c r="BA809">
        <v>7.16</v>
      </c>
      <c r="BC809">
        <v>6</v>
      </c>
      <c r="BD809">
        <v>25.068899999999999</v>
      </c>
      <c r="BE809">
        <v>25.068870520000001</v>
      </c>
      <c r="BF809">
        <v>8.8154000000000003</v>
      </c>
      <c r="BH809">
        <v>6</v>
      </c>
      <c r="BI809">
        <v>105</v>
      </c>
      <c r="BJ809">
        <v>2</v>
      </c>
      <c r="BK809">
        <v>-0.40910000000000002</v>
      </c>
      <c r="BL809">
        <v>0.15970000000000001</v>
      </c>
    </row>
    <row r="810" spans="1:65" hidden="1" x14ac:dyDescent="0.2">
      <c r="A810">
        <v>171</v>
      </c>
      <c r="D810" t="s">
        <v>54</v>
      </c>
      <c r="E810">
        <v>2015</v>
      </c>
      <c r="F810" t="s">
        <v>198</v>
      </c>
      <c r="G810" t="s">
        <v>199</v>
      </c>
      <c r="H810" t="s">
        <v>57</v>
      </c>
      <c r="K810" t="s">
        <v>79</v>
      </c>
      <c r="L810" t="s">
        <v>200</v>
      </c>
      <c r="M810" t="s">
        <v>81</v>
      </c>
      <c r="N810" t="s">
        <v>81</v>
      </c>
      <c r="O810" t="s">
        <v>62</v>
      </c>
      <c r="P810" t="s">
        <v>63</v>
      </c>
      <c r="Q810" t="s">
        <v>64</v>
      </c>
      <c r="R810" t="s">
        <v>65</v>
      </c>
      <c r="S810" t="s">
        <v>64</v>
      </c>
      <c r="T810" t="s">
        <v>74</v>
      </c>
      <c r="U810" t="s">
        <v>84</v>
      </c>
      <c r="V810">
        <v>422.07</v>
      </c>
      <c r="W810" t="s">
        <v>67</v>
      </c>
      <c r="X810">
        <v>16.57</v>
      </c>
      <c r="Y810" t="s">
        <v>96</v>
      </c>
      <c r="Z810">
        <v>8.1</v>
      </c>
      <c r="AA810" t="s">
        <v>67</v>
      </c>
      <c r="AB810">
        <v>0.05</v>
      </c>
      <c r="AC810">
        <v>1115.6199999999999</v>
      </c>
      <c r="AD810" t="s">
        <v>67</v>
      </c>
      <c r="AE810">
        <v>59.33</v>
      </c>
      <c r="AF810">
        <v>7.7</v>
      </c>
      <c r="AG810" t="s">
        <v>67</v>
      </c>
      <c r="AH810">
        <v>0.05</v>
      </c>
      <c r="AI810">
        <v>15</v>
      </c>
      <c r="AJ810" t="s">
        <v>67</v>
      </c>
      <c r="AK810">
        <v>0.5</v>
      </c>
      <c r="AL810">
        <v>15</v>
      </c>
      <c r="AM810" t="s">
        <v>67</v>
      </c>
      <c r="AN810">
        <v>0.5</v>
      </c>
      <c r="AO810">
        <v>694</v>
      </c>
      <c r="AP810">
        <v>0</v>
      </c>
      <c r="AQ810" t="s">
        <v>201</v>
      </c>
      <c r="AR810" t="s">
        <v>511</v>
      </c>
      <c r="AS810" t="s">
        <v>361</v>
      </c>
      <c r="AT810" t="s">
        <v>70</v>
      </c>
      <c r="AU810" t="s">
        <v>383</v>
      </c>
      <c r="AV810" t="s">
        <v>363</v>
      </c>
      <c r="AX810" t="s">
        <v>73</v>
      </c>
      <c r="AY810">
        <v>2.6599999999999999E-2</v>
      </c>
      <c r="AZ810">
        <v>2.6610000000000002E-2</v>
      </c>
      <c r="BA810">
        <v>0.01</v>
      </c>
      <c r="BC810">
        <v>30</v>
      </c>
      <c r="BD810">
        <v>4.2900000000000001E-2</v>
      </c>
      <c r="BE810">
        <v>4.2918455000000001E-2</v>
      </c>
      <c r="BF810">
        <v>1.37E-2</v>
      </c>
      <c r="BH810">
        <v>30</v>
      </c>
      <c r="BI810">
        <v>204</v>
      </c>
      <c r="BJ810">
        <v>5</v>
      </c>
      <c r="BK810">
        <v>0.47799999999999998</v>
      </c>
      <c r="BL810">
        <v>0.16089999999999999</v>
      </c>
    </row>
    <row r="811" spans="1:65" hidden="1" x14ac:dyDescent="0.2">
      <c r="A811">
        <v>159</v>
      </c>
      <c r="D811" t="s">
        <v>54</v>
      </c>
      <c r="E811">
        <v>2018</v>
      </c>
      <c r="F811" t="s">
        <v>326</v>
      </c>
      <c r="G811" t="s">
        <v>327</v>
      </c>
      <c r="H811" t="s">
        <v>78</v>
      </c>
      <c r="K811" t="s">
        <v>205</v>
      </c>
      <c r="L811" t="s">
        <v>225</v>
      </c>
      <c r="M811" t="s">
        <v>120</v>
      </c>
      <c r="N811" t="s">
        <v>120</v>
      </c>
      <c r="O811" t="s">
        <v>110</v>
      </c>
      <c r="P811" t="s">
        <v>196</v>
      </c>
      <c r="Q811" t="s">
        <v>64</v>
      </c>
      <c r="R811" t="s">
        <v>83</v>
      </c>
      <c r="S811" t="s">
        <v>64</v>
      </c>
      <c r="T811" t="s">
        <v>74</v>
      </c>
      <c r="U811" t="s">
        <v>84</v>
      </c>
      <c r="V811">
        <v>390</v>
      </c>
      <c r="W811" t="s">
        <v>67</v>
      </c>
      <c r="X811" t="s">
        <v>67</v>
      </c>
      <c r="Y811" t="s">
        <v>67</v>
      </c>
      <c r="Z811" t="s">
        <v>67</v>
      </c>
      <c r="AA811" t="s">
        <v>67</v>
      </c>
      <c r="AB811" t="s">
        <v>67</v>
      </c>
      <c r="AC811">
        <v>1170</v>
      </c>
      <c r="AD811" t="s">
        <v>67</v>
      </c>
      <c r="AE811" t="s">
        <v>67</v>
      </c>
      <c r="AF811" t="s">
        <v>67</v>
      </c>
      <c r="AG811" t="s">
        <v>67</v>
      </c>
      <c r="AH811" t="s">
        <v>67</v>
      </c>
      <c r="AI811">
        <v>0</v>
      </c>
      <c r="AJ811" t="s">
        <v>67</v>
      </c>
      <c r="AK811" t="s">
        <v>67</v>
      </c>
      <c r="AL811">
        <v>0</v>
      </c>
      <c r="AM811" t="s">
        <v>67</v>
      </c>
      <c r="AN811" t="s">
        <v>67</v>
      </c>
      <c r="AO811">
        <v>780</v>
      </c>
      <c r="AP811">
        <v>0</v>
      </c>
      <c r="AQ811" t="s">
        <v>67</v>
      </c>
      <c r="AR811" t="s">
        <v>361</v>
      </c>
      <c r="AS811" t="s">
        <v>361</v>
      </c>
      <c r="AT811" t="s">
        <v>70</v>
      </c>
      <c r="AU811" t="s">
        <v>510</v>
      </c>
      <c r="AV811" t="s">
        <v>363</v>
      </c>
      <c r="AX811" t="s">
        <v>73</v>
      </c>
      <c r="AY811">
        <v>4.3200000000000002E-2</v>
      </c>
      <c r="AZ811">
        <v>4.3200000000000002E-2</v>
      </c>
      <c r="BA811">
        <v>0.01</v>
      </c>
      <c r="BC811">
        <v>5</v>
      </c>
      <c r="BD811">
        <v>3.6400000000000002E-2</v>
      </c>
      <c r="BE811">
        <v>3.6400000000000002E-2</v>
      </c>
      <c r="BF811">
        <v>1.26E-2</v>
      </c>
      <c r="BH811">
        <v>5</v>
      </c>
      <c r="BI811">
        <v>120</v>
      </c>
      <c r="BJ811" t="s">
        <v>67</v>
      </c>
      <c r="BK811">
        <v>-0.17130000000000001</v>
      </c>
      <c r="BL811">
        <v>0.1613</v>
      </c>
    </row>
    <row r="812" spans="1:65" hidden="1" x14ac:dyDescent="0.2">
      <c r="A812">
        <v>141</v>
      </c>
      <c r="D812" t="s">
        <v>54</v>
      </c>
      <c r="E812">
        <v>2015</v>
      </c>
      <c r="F812" t="s">
        <v>91</v>
      </c>
      <c r="G812" t="s">
        <v>92</v>
      </c>
      <c r="H812" t="s">
        <v>78</v>
      </c>
      <c r="K812" t="s">
        <v>93</v>
      </c>
      <c r="L812" t="s">
        <v>94</v>
      </c>
      <c r="M812" t="s">
        <v>95</v>
      </c>
      <c r="N812" t="s">
        <v>61</v>
      </c>
      <c r="O812" t="s">
        <v>62</v>
      </c>
      <c r="P812" t="s">
        <v>196</v>
      </c>
      <c r="Q812" t="s">
        <v>64</v>
      </c>
      <c r="R812" t="s">
        <v>83</v>
      </c>
      <c r="S812" t="s">
        <v>64</v>
      </c>
      <c r="T812" t="s">
        <v>74</v>
      </c>
      <c r="U812" t="s">
        <v>84</v>
      </c>
      <c r="V812">
        <v>400</v>
      </c>
      <c r="W812">
        <v>6</v>
      </c>
      <c r="X812" t="s">
        <v>67</v>
      </c>
      <c r="Y812" t="s">
        <v>96</v>
      </c>
      <c r="Z812">
        <v>8.15</v>
      </c>
      <c r="AA812">
        <v>0.01</v>
      </c>
      <c r="AB812" t="s">
        <v>67</v>
      </c>
      <c r="AC812">
        <v>1087</v>
      </c>
      <c r="AD812">
        <v>25</v>
      </c>
      <c r="AE812" t="s">
        <v>67</v>
      </c>
      <c r="AF812">
        <v>7.81</v>
      </c>
      <c r="AG812">
        <v>0.01</v>
      </c>
      <c r="AH812" t="s">
        <v>67</v>
      </c>
      <c r="AI812">
        <v>28.4</v>
      </c>
      <c r="AJ812">
        <v>0.01</v>
      </c>
      <c r="AK812" t="s">
        <v>67</v>
      </c>
      <c r="AL812">
        <v>28.5</v>
      </c>
      <c r="AM812">
        <v>0.01</v>
      </c>
      <c r="AN812" t="s">
        <v>67</v>
      </c>
      <c r="AO812">
        <v>687</v>
      </c>
      <c r="AP812">
        <v>0.1</v>
      </c>
      <c r="AQ812" t="s">
        <v>67</v>
      </c>
      <c r="AR812" t="s">
        <v>533</v>
      </c>
      <c r="AS812" t="s">
        <v>533</v>
      </c>
      <c r="AT812" t="s">
        <v>135</v>
      </c>
      <c r="AU812" t="s">
        <v>534</v>
      </c>
      <c r="AV812" t="s">
        <v>132</v>
      </c>
      <c r="AX812" t="s">
        <v>73</v>
      </c>
      <c r="AY812">
        <v>2317.0731999999998</v>
      </c>
      <c r="AZ812">
        <v>2317.0731700000001</v>
      </c>
      <c r="BA812">
        <v>829.27</v>
      </c>
      <c r="BC812">
        <v>4</v>
      </c>
      <c r="BD812">
        <v>2243.9023999999999</v>
      </c>
      <c r="BE812">
        <v>2243.902439</v>
      </c>
      <c r="BF812">
        <v>463.41460000000001</v>
      </c>
      <c r="BH812">
        <v>4</v>
      </c>
      <c r="BI812" t="s">
        <v>67</v>
      </c>
      <c r="BJ812">
        <v>7</v>
      </c>
      <c r="BK812">
        <v>-3.2099999999999997E-2</v>
      </c>
      <c r="BL812">
        <v>0.17069999999999999</v>
      </c>
    </row>
    <row r="813" spans="1:65" x14ac:dyDescent="0.2">
      <c r="A813">
        <v>180</v>
      </c>
      <c r="B813" t="str">
        <f>ROW()-1&amp;"_AltersFish"</f>
        <v>812_AltersFish</v>
      </c>
      <c r="C813" t="str">
        <f>A813 &amp; "_" &amp; P813 &amp; "_" &amp;
SUBSTITUTE(TRIM(L813)," ","_") &amp;
"_pH" &amp; TEXT(Z813,"0.00") &amp;
"_T" &amp; TEXT(AI813,"0.00") &amp;
"_CO2" &amp; TEXT(V813,"0") &amp;
"_LANG"</f>
        <v>180_EMBRYO_Seriola_lalandi_pH8.00_T21.10_CO2462_LANG</v>
      </c>
      <c r="D813" t="s">
        <v>54</v>
      </c>
      <c r="E813">
        <v>2018</v>
      </c>
      <c r="F813" t="s">
        <v>153</v>
      </c>
      <c r="G813" t="s">
        <v>154</v>
      </c>
      <c r="H813" t="s">
        <v>78</v>
      </c>
      <c r="I813" t="s">
        <v>540</v>
      </c>
      <c r="J813" t="s">
        <v>543</v>
      </c>
      <c r="K813" t="s">
        <v>79</v>
      </c>
      <c r="L813" t="s">
        <v>155</v>
      </c>
      <c r="M813" t="s">
        <v>156</v>
      </c>
      <c r="N813" t="s">
        <v>156</v>
      </c>
      <c r="O813" t="s">
        <v>106</v>
      </c>
      <c r="P813" t="s">
        <v>82</v>
      </c>
      <c r="Q813" t="s">
        <v>74</v>
      </c>
      <c r="R813" t="s">
        <v>83</v>
      </c>
      <c r="S813" t="s">
        <v>64</v>
      </c>
      <c r="T813" t="s">
        <v>64</v>
      </c>
      <c r="U813" t="s">
        <v>66</v>
      </c>
      <c r="V813">
        <v>462</v>
      </c>
      <c r="W813" t="s">
        <v>67</v>
      </c>
      <c r="X813">
        <v>43</v>
      </c>
      <c r="Y813" t="s">
        <v>157</v>
      </c>
      <c r="Z813">
        <v>8</v>
      </c>
      <c r="AA813" t="s">
        <v>67</v>
      </c>
      <c r="AB813">
        <v>0.03</v>
      </c>
      <c r="AC813">
        <v>1011</v>
      </c>
      <c r="AD813" t="s">
        <v>67</v>
      </c>
      <c r="AE813">
        <v>30</v>
      </c>
      <c r="AF813">
        <v>7.7</v>
      </c>
      <c r="AG813" t="s">
        <v>67</v>
      </c>
      <c r="AH813">
        <v>0.01</v>
      </c>
      <c r="AI813">
        <v>21.1</v>
      </c>
      <c r="AJ813" t="s">
        <v>67</v>
      </c>
      <c r="AK813">
        <v>0.1</v>
      </c>
      <c r="AL813">
        <v>24.9</v>
      </c>
      <c r="AM813" t="s">
        <v>67</v>
      </c>
      <c r="AN813">
        <v>0.4</v>
      </c>
      <c r="AO813">
        <v>549</v>
      </c>
      <c r="AP813">
        <v>3.8</v>
      </c>
      <c r="AQ813" t="s">
        <v>67</v>
      </c>
      <c r="AR813" t="s">
        <v>365</v>
      </c>
      <c r="AS813" t="s">
        <v>88</v>
      </c>
      <c r="AT813" t="s">
        <v>70</v>
      </c>
      <c r="AU813" t="s">
        <v>89</v>
      </c>
      <c r="AV813" t="s">
        <v>88</v>
      </c>
      <c r="AW813" t="s">
        <v>88</v>
      </c>
      <c r="AX813" t="s">
        <v>90</v>
      </c>
      <c r="AY813">
        <v>79.400000000000006</v>
      </c>
      <c r="AZ813">
        <v>79.400000000000006</v>
      </c>
      <c r="BA813">
        <v>5.3</v>
      </c>
      <c r="BB813">
        <f>BA813*SQRT(BC813)</f>
        <v>11.851160280748886</v>
      </c>
      <c r="BC813">
        <v>5</v>
      </c>
      <c r="BD813">
        <v>72.900000000000006</v>
      </c>
      <c r="BE813">
        <v>72.900000000000006</v>
      </c>
      <c r="BF813">
        <v>2.5</v>
      </c>
      <c r="BG813">
        <f>BF813*SQRT(BH813)</f>
        <v>5.5901699437494745</v>
      </c>
      <c r="BH813">
        <v>5</v>
      </c>
      <c r="BI813">
        <v>3</v>
      </c>
      <c r="BJ813">
        <v>6</v>
      </c>
      <c r="BK813">
        <v>-8.5400000000000004E-2</v>
      </c>
      <c r="BL813">
        <v>5.5999999999999999E-3</v>
      </c>
    </row>
    <row r="814" spans="1:65" hidden="1" x14ac:dyDescent="0.2">
      <c r="A814">
        <v>141</v>
      </c>
      <c r="D814" t="s">
        <v>54</v>
      </c>
      <c r="E814">
        <v>2015</v>
      </c>
      <c r="F814" t="s">
        <v>91</v>
      </c>
      <c r="G814" t="s">
        <v>92</v>
      </c>
      <c r="H814" t="s">
        <v>78</v>
      </c>
      <c r="K814" t="s">
        <v>93</v>
      </c>
      <c r="L814" t="s">
        <v>94</v>
      </c>
      <c r="M814" t="s">
        <v>95</v>
      </c>
      <c r="N814" t="s">
        <v>61</v>
      </c>
      <c r="O814" t="s">
        <v>62</v>
      </c>
      <c r="P814" t="s">
        <v>196</v>
      </c>
      <c r="Q814" t="s">
        <v>64</v>
      </c>
      <c r="R814" t="s">
        <v>83</v>
      </c>
      <c r="S814" t="s">
        <v>64</v>
      </c>
      <c r="T814" t="s">
        <v>64</v>
      </c>
      <c r="U814" t="s">
        <v>66</v>
      </c>
      <c r="V814">
        <v>400</v>
      </c>
      <c r="W814">
        <v>6</v>
      </c>
      <c r="X814" t="s">
        <v>67</v>
      </c>
      <c r="Y814" t="s">
        <v>96</v>
      </c>
      <c r="Z814">
        <v>8.15</v>
      </c>
      <c r="AA814">
        <v>0.01</v>
      </c>
      <c r="AB814" t="s">
        <v>67</v>
      </c>
      <c r="AC814">
        <v>1126</v>
      </c>
      <c r="AD814">
        <v>24</v>
      </c>
      <c r="AE814" t="s">
        <v>67</v>
      </c>
      <c r="AF814">
        <v>7.79</v>
      </c>
      <c r="AG814">
        <v>0.01</v>
      </c>
      <c r="AH814" t="s">
        <v>67</v>
      </c>
      <c r="AI814">
        <v>28.4</v>
      </c>
      <c r="AJ814">
        <v>0.01</v>
      </c>
      <c r="AK814" t="s">
        <v>67</v>
      </c>
      <c r="AL814">
        <v>29.8</v>
      </c>
      <c r="AM814">
        <v>0.02</v>
      </c>
      <c r="AN814" t="s">
        <v>67</v>
      </c>
      <c r="AO814">
        <v>726</v>
      </c>
      <c r="AP814">
        <v>1.4</v>
      </c>
      <c r="AQ814" t="s">
        <v>67</v>
      </c>
      <c r="AR814" t="s">
        <v>531</v>
      </c>
      <c r="AS814" t="s">
        <v>532</v>
      </c>
      <c r="AT814" t="s">
        <v>70</v>
      </c>
      <c r="AU814" t="s">
        <v>232</v>
      </c>
      <c r="AV814" t="s">
        <v>151</v>
      </c>
      <c r="AX814" t="s">
        <v>73</v>
      </c>
      <c r="AY814">
        <v>1.0373000000000001</v>
      </c>
      <c r="AZ814">
        <v>1.03729</v>
      </c>
      <c r="BA814">
        <v>0.35</v>
      </c>
      <c r="BC814">
        <v>4</v>
      </c>
      <c r="BD814">
        <v>3.3965999999999998</v>
      </c>
      <c r="BE814">
        <v>3.3966101690000001</v>
      </c>
      <c r="BF814">
        <v>0.85419999999999996</v>
      </c>
      <c r="BH814">
        <v>4</v>
      </c>
      <c r="BI814" t="s">
        <v>67</v>
      </c>
      <c r="BJ814">
        <v>7</v>
      </c>
      <c r="BK814">
        <v>1.1861999999999999</v>
      </c>
      <c r="BL814">
        <v>0.1744</v>
      </c>
    </row>
    <row r="815" spans="1:65" hidden="1" x14ac:dyDescent="0.2">
      <c r="A815">
        <v>141</v>
      </c>
      <c r="D815" t="s">
        <v>54</v>
      </c>
      <c r="E815">
        <v>2015</v>
      </c>
      <c r="F815" t="s">
        <v>91</v>
      </c>
      <c r="G815" t="s">
        <v>92</v>
      </c>
      <c r="H815" t="s">
        <v>78</v>
      </c>
      <c r="K815" t="s">
        <v>93</v>
      </c>
      <c r="L815" t="s">
        <v>94</v>
      </c>
      <c r="M815" t="s">
        <v>95</v>
      </c>
      <c r="N815" t="s">
        <v>61</v>
      </c>
      <c r="O815" t="s">
        <v>62</v>
      </c>
      <c r="P815" t="s">
        <v>196</v>
      </c>
      <c r="Q815" t="s">
        <v>64</v>
      </c>
      <c r="R815" t="s">
        <v>83</v>
      </c>
      <c r="S815" t="s">
        <v>64</v>
      </c>
      <c r="T815" t="s">
        <v>64</v>
      </c>
      <c r="U815" t="s">
        <v>66</v>
      </c>
      <c r="V815">
        <v>400</v>
      </c>
      <c r="W815">
        <v>6</v>
      </c>
      <c r="X815" t="s">
        <v>67</v>
      </c>
      <c r="Y815" t="s">
        <v>96</v>
      </c>
      <c r="Z815">
        <v>8.15</v>
      </c>
      <c r="AA815">
        <v>0.01</v>
      </c>
      <c r="AB815" t="s">
        <v>67</v>
      </c>
      <c r="AC815">
        <v>658</v>
      </c>
      <c r="AD815">
        <v>13</v>
      </c>
      <c r="AE815" t="s">
        <v>67</v>
      </c>
      <c r="AF815">
        <v>8</v>
      </c>
      <c r="AG815">
        <v>0.01</v>
      </c>
      <c r="AH815" t="s">
        <v>67</v>
      </c>
      <c r="AI815">
        <v>28.4</v>
      </c>
      <c r="AJ815">
        <v>0.01</v>
      </c>
      <c r="AK815" t="s">
        <v>67</v>
      </c>
      <c r="AL815">
        <v>31.5</v>
      </c>
      <c r="AM815">
        <v>0.01</v>
      </c>
      <c r="AN815" t="s">
        <v>67</v>
      </c>
      <c r="AO815">
        <v>258</v>
      </c>
      <c r="AP815">
        <v>3.1</v>
      </c>
      <c r="AQ815" t="s">
        <v>67</v>
      </c>
      <c r="AR815" t="s">
        <v>533</v>
      </c>
      <c r="AS815" t="s">
        <v>533</v>
      </c>
      <c r="AT815" t="s">
        <v>135</v>
      </c>
      <c r="AU815" t="s">
        <v>534</v>
      </c>
      <c r="AV815" t="s">
        <v>132</v>
      </c>
      <c r="AX815" t="s">
        <v>73</v>
      </c>
      <c r="AY815">
        <v>2317.0731999999998</v>
      </c>
      <c r="AZ815">
        <v>2317.0731700000001</v>
      </c>
      <c r="BA815">
        <v>829.27</v>
      </c>
      <c r="BC815">
        <v>4</v>
      </c>
      <c r="BD815">
        <v>780.48779999999999</v>
      </c>
      <c r="BE815">
        <v>780.48780490000001</v>
      </c>
      <c r="BF815">
        <v>170.73169999999999</v>
      </c>
      <c r="BH815">
        <v>2</v>
      </c>
      <c r="BI815" t="s">
        <v>67</v>
      </c>
      <c r="BJ815">
        <v>7</v>
      </c>
      <c r="BK815">
        <v>-1.0881000000000001</v>
      </c>
      <c r="BL815">
        <v>0.1759</v>
      </c>
    </row>
    <row r="816" spans="1:65" x14ac:dyDescent="0.2">
      <c r="A816">
        <v>180</v>
      </c>
      <c r="B816" t="str">
        <f>ROW()-1&amp;"_AltersFish"</f>
        <v>815_AltersFish</v>
      </c>
      <c r="C816" t="str">
        <f>A816 &amp; "_" &amp; P816 &amp; "_" &amp;
SUBSTITUTE(TRIM(L816)," ","_") &amp;
"_pH" &amp; TEXT(Z816,"0.00") &amp;
"_T" &amp; TEXT(AI816,"0.00") &amp;
"_CO2" &amp; TEXT(V816,"0") &amp;
"_LANG"</f>
        <v>180_EMBRYO_Seriola_lalandi_pH8.00_T21.10_CO2462_LANG</v>
      </c>
      <c r="D816" t="s">
        <v>54</v>
      </c>
      <c r="E816">
        <v>2018</v>
      </c>
      <c r="F816" t="s">
        <v>153</v>
      </c>
      <c r="G816" t="s">
        <v>154</v>
      </c>
      <c r="H816" t="s">
        <v>78</v>
      </c>
      <c r="I816" t="s">
        <v>540</v>
      </c>
      <c r="J816" t="s">
        <v>543</v>
      </c>
      <c r="K816" t="s">
        <v>79</v>
      </c>
      <c r="L816" t="s">
        <v>155</v>
      </c>
      <c r="M816" t="s">
        <v>156</v>
      </c>
      <c r="N816" t="s">
        <v>156</v>
      </c>
      <c r="O816" t="s">
        <v>106</v>
      </c>
      <c r="P816" t="s">
        <v>82</v>
      </c>
      <c r="Q816" t="s">
        <v>74</v>
      </c>
      <c r="R816" t="s">
        <v>83</v>
      </c>
      <c r="S816" t="s">
        <v>74</v>
      </c>
      <c r="T816" t="s">
        <v>64</v>
      </c>
      <c r="U816" t="s">
        <v>75</v>
      </c>
      <c r="V816">
        <v>462</v>
      </c>
      <c r="W816" t="s">
        <v>67</v>
      </c>
      <c r="X816">
        <v>43</v>
      </c>
      <c r="Y816" t="s">
        <v>157</v>
      </c>
      <c r="Z816">
        <v>8</v>
      </c>
      <c r="AA816" t="s">
        <v>67</v>
      </c>
      <c r="AB816">
        <v>0.03</v>
      </c>
      <c r="AC816">
        <v>538</v>
      </c>
      <c r="AD816" t="s">
        <v>67</v>
      </c>
      <c r="AE816">
        <v>16</v>
      </c>
      <c r="AF816">
        <v>7.94</v>
      </c>
      <c r="AG816" t="s">
        <v>67</v>
      </c>
      <c r="AH816">
        <v>0.01</v>
      </c>
      <c r="AI816">
        <v>21.1</v>
      </c>
      <c r="AJ816" t="s">
        <v>67</v>
      </c>
      <c r="AK816">
        <v>0.1</v>
      </c>
      <c r="AL816">
        <v>24.8</v>
      </c>
      <c r="AM816" t="s">
        <v>67</v>
      </c>
      <c r="AN816">
        <v>0.4</v>
      </c>
      <c r="AO816">
        <v>76</v>
      </c>
      <c r="AP816">
        <v>3.7</v>
      </c>
      <c r="AQ816" t="s">
        <v>67</v>
      </c>
      <c r="AR816" t="s">
        <v>365</v>
      </c>
      <c r="AS816" t="s">
        <v>88</v>
      </c>
      <c r="AT816" t="s">
        <v>70</v>
      </c>
      <c r="AU816" t="s">
        <v>89</v>
      </c>
      <c r="AV816" t="s">
        <v>88</v>
      </c>
      <c r="AW816" t="s">
        <v>88</v>
      </c>
      <c r="AX816" t="s">
        <v>90</v>
      </c>
      <c r="AY816">
        <v>79.400000000000006</v>
      </c>
      <c r="AZ816">
        <v>79.400000000000006</v>
      </c>
      <c r="BA816">
        <v>5.3</v>
      </c>
      <c r="BB816">
        <f>BA816*SQRT(BC816)</f>
        <v>11.851160280748886</v>
      </c>
      <c r="BC816">
        <v>5</v>
      </c>
      <c r="BD816">
        <v>72.400000000000006</v>
      </c>
      <c r="BE816">
        <v>72.400000000000006</v>
      </c>
      <c r="BF816">
        <v>2.6</v>
      </c>
      <c r="BG816">
        <f>BF816*SQRT(BH816)</f>
        <v>5.8137767414994537</v>
      </c>
      <c r="BH816">
        <v>5</v>
      </c>
      <c r="BI816">
        <v>3</v>
      </c>
      <c r="BJ816">
        <v>6</v>
      </c>
      <c r="BK816">
        <v>-9.2299999999999993E-2</v>
      </c>
      <c r="BL816">
        <v>5.7000000000000002E-3</v>
      </c>
    </row>
    <row r="817" spans="1:65" hidden="1" x14ac:dyDescent="0.2">
      <c r="A817">
        <v>141</v>
      </c>
      <c r="D817" t="s">
        <v>54</v>
      </c>
      <c r="E817">
        <v>2015</v>
      </c>
      <c r="F817" t="s">
        <v>91</v>
      </c>
      <c r="G817" t="s">
        <v>92</v>
      </c>
      <c r="H817" t="s">
        <v>78</v>
      </c>
      <c r="K817" t="s">
        <v>93</v>
      </c>
      <c r="L817" t="s">
        <v>94</v>
      </c>
      <c r="M817" t="s">
        <v>95</v>
      </c>
      <c r="N817" t="s">
        <v>61</v>
      </c>
      <c r="O817" t="s">
        <v>62</v>
      </c>
      <c r="P817" t="s">
        <v>196</v>
      </c>
      <c r="Q817" t="s">
        <v>64</v>
      </c>
      <c r="R817" t="s">
        <v>83</v>
      </c>
      <c r="S817" t="s">
        <v>64</v>
      </c>
      <c r="T817" t="s">
        <v>64</v>
      </c>
      <c r="U817" t="s">
        <v>66</v>
      </c>
      <c r="V817">
        <v>400</v>
      </c>
      <c r="W817">
        <v>6</v>
      </c>
      <c r="X817" t="s">
        <v>67</v>
      </c>
      <c r="Y817" t="s">
        <v>96</v>
      </c>
      <c r="Z817">
        <v>8.15</v>
      </c>
      <c r="AA817">
        <v>0.01</v>
      </c>
      <c r="AB817" t="s">
        <v>67</v>
      </c>
      <c r="AC817">
        <v>1191</v>
      </c>
      <c r="AD817">
        <v>27</v>
      </c>
      <c r="AE817" t="s">
        <v>67</v>
      </c>
      <c r="AF817">
        <v>7.78</v>
      </c>
      <c r="AG817">
        <v>0.01</v>
      </c>
      <c r="AH817" t="s">
        <v>67</v>
      </c>
      <c r="AI817">
        <v>28.4</v>
      </c>
      <c r="AJ817">
        <v>0.01</v>
      </c>
      <c r="AK817" t="s">
        <v>67</v>
      </c>
      <c r="AL817">
        <v>31.5</v>
      </c>
      <c r="AM817">
        <v>0.01</v>
      </c>
      <c r="AN817" t="s">
        <v>67</v>
      </c>
      <c r="AO817">
        <v>791</v>
      </c>
      <c r="AP817">
        <v>3.1</v>
      </c>
      <c r="AQ817" t="s">
        <v>67</v>
      </c>
      <c r="AR817" t="s">
        <v>533</v>
      </c>
      <c r="AS817" t="s">
        <v>533</v>
      </c>
      <c r="AT817" t="s">
        <v>135</v>
      </c>
      <c r="AU817" t="s">
        <v>534</v>
      </c>
      <c r="AV817" t="s">
        <v>132</v>
      </c>
      <c r="AX817" t="s">
        <v>73</v>
      </c>
      <c r="AY817">
        <v>2317.0731999999998</v>
      </c>
      <c r="AZ817">
        <v>2317.0731700000001</v>
      </c>
      <c r="BA817">
        <v>829.27</v>
      </c>
      <c r="BC817">
        <v>4</v>
      </c>
      <c r="BD817">
        <v>1073.1706999999999</v>
      </c>
      <c r="BE817">
        <v>1073.170732</v>
      </c>
      <c r="BF817">
        <v>243.9024</v>
      </c>
      <c r="BH817">
        <v>2</v>
      </c>
      <c r="BI817" t="s">
        <v>67</v>
      </c>
      <c r="BJ817">
        <v>7</v>
      </c>
      <c r="BK817">
        <v>-0.76970000000000005</v>
      </c>
      <c r="BL817">
        <v>0.1797</v>
      </c>
    </row>
    <row r="818" spans="1:65" hidden="1" x14ac:dyDescent="0.2">
      <c r="A818">
        <v>171</v>
      </c>
      <c r="D818" t="s">
        <v>54</v>
      </c>
      <c r="E818">
        <v>2015</v>
      </c>
      <c r="F818" t="s">
        <v>198</v>
      </c>
      <c r="G818" t="s">
        <v>199</v>
      </c>
      <c r="H818" t="s">
        <v>57</v>
      </c>
      <c r="K818" t="s">
        <v>79</v>
      </c>
      <c r="L818" t="s">
        <v>200</v>
      </c>
      <c r="M818" t="s">
        <v>81</v>
      </c>
      <c r="N818" t="s">
        <v>81</v>
      </c>
      <c r="O818" t="s">
        <v>62</v>
      </c>
      <c r="P818" t="s">
        <v>63</v>
      </c>
      <c r="Q818" t="s">
        <v>64</v>
      </c>
      <c r="R818" t="s">
        <v>65</v>
      </c>
      <c r="S818" t="s">
        <v>74</v>
      </c>
      <c r="T818" t="s">
        <v>64</v>
      </c>
      <c r="U818" t="s">
        <v>75</v>
      </c>
      <c r="V818">
        <v>422.07</v>
      </c>
      <c r="W818" t="s">
        <v>67</v>
      </c>
      <c r="X818">
        <v>16.57</v>
      </c>
      <c r="Y818" t="s">
        <v>96</v>
      </c>
      <c r="Z818">
        <v>8.1</v>
      </c>
      <c r="AA818" t="s">
        <v>67</v>
      </c>
      <c r="AB818">
        <v>0.05</v>
      </c>
      <c r="AC818">
        <v>423.94</v>
      </c>
      <c r="AD818" t="s">
        <v>67</v>
      </c>
      <c r="AE818">
        <v>16.579999999999998</v>
      </c>
      <c r="AF818">
        <v>8.1</v>
      </c>
      <c r="AG818" t="s">
        <v>67</v>
      </c>
      <c r="AH818">
        <v>0.05</v>
      </c>
      <c r="AI818">
        <v>15</v>
      </c>
      <c r="AJ818" t="s">
        <v>67</v>
      </c>
      <c r="AK818">
        <v>0.5</v>
      </c>
      <c r="AL818">
        <v>20</v>
      </c>
      <c r="AM818" t="s">
        <v>67</v>
      </c>
      <c r="AN818">
        <v>0.5</v>
      </c>
      <c r="AO818">
        <v>2</v>
      </c>
      <c r="AP818">
        <v>5</v>
      </c>
      <c r="AQ818" t="s">
        <v>201</v>
      </c>
      <c r="AR818" t="s">
        <v>364</v>
      </c>
      <c r="AS818" t="s">
        <v>88</v>
      </c>
      <c r="AT818" t="s">
        <v>70</v>
      </c>
      <c r="AU818" t="s">
        <v>89</v>
      </c>
      <c r="AV818" t="s">
        <v>88</v>
      </c>
      <c r="AX818" t="s">
        <v>90</v>
      </c>
      <c r="AY818">
        <v>93.273499999999999</v>
      </c>
      <c r="AZ818">
        <v>93.273539999999997</v>
      </c>
      <c r="BA818">
        <v>6.7264999999999997</v>
      </c>
      <c r="BC818">
        <v>77</v>
      </c>
      <c r="BD818">
        <v>23.3184</v>
      </c>
      <c r="BE818">
        <v>23.31838565</v>
      </c>
      <c r="BF818">
        <v>9.8655000000000008</v>
      </c>
      <c r="BH818">
        <v>77</v>
      </c>
      <c r="BI818">
        <v>181</v>
      </c>
      <c r="BJ818">
        <v>5</v>
      </c>
      <c r="BK818">
        <v>-1.3863000000000001</v>
      </c>
      <c r="BL818">
        <v>0.1842</v>
      </c>
    </row>
    <row r="819" spans="1:65" hidden="1" x14ac:dyDescent="0.2">
      <c r="A819">
        <v>141</v>
      </c>
      <c r="D819" t="s">
        <v>54</v>
      </c>
      <c r="E819">
        <v>2015</v>
      </c>
      <c r="F819" t="s">
        <v>91</v>
      </c>
      <c r="G819" t="s">
        <v>92</v>
      </c>
      <c r="H819" t="s">
        <v>78</v>
      </c>
      <c r="K819" t="s">
        <v>93</v>
      </c>
      <c r="L819" t="s">
        <v>94</v>
      </c>
      <c r="M819" t="s">
        <v>95</v>
      </c>
      <c r="N819" t="s">
        <v>61</v>
      </c>
      <c r="O819" t="s">
        <v>62</v>
      </c>
      <c r="P819" t="s">
        <v>196</v>
      </c>
      <c r="Q819" t="s">
        <v>64</v>
      </c>
      <c r="R819" t="s">
        <v>83</v>
      </c>
      <c r="S819" t="s">
        <v>64</v>
      </c>
      <c r="T819" t="s">
        <v>74</v>
      </c>
      <c r="U819" t="s">
        <v>84</v>
      </c>
      <c r="V819">
        <v>400</v>
      </c>
      <c r="W819">
        <v>6</v>
      </c>
      <c r="X819" t="s">
        <v>67</v>
      </c>
      <c r="Y819" t="s">
        <v>96</v>
      </c>
      <c r="Z819">
        <v>8.15</v>
      </c>
      <c r="AA819">
        <v>0.01</v>
      </c>
      <c r="AB819" t="s">
        <v>67</v>
      </c>
      <c r="AC819">
        <v>634</v>
      </c>
      <c r="AD819">
        <v>13</v>
      </c>
      <c r="AE819" t="s">
        <v>67</v>
      </c>
      <c r="AF819">
        <v>8</v>
      </c>
      <c r="AG819">
        <v>0.01</v>
      </c>
      <c r="AH819" t="s">
        <v>67</v>
      </c>
      <c r="AI819">
        <v>28.4</v>
      </c>
      <c r="AJ819">
        <v>0.01</v>
      </c>
      <c r="AK819" t="s">
        <v>67</v>
      </c>
      <c r="AL819">
        <v>28.5</v>
      </c>
      <c r="AM819">
        <v>0.01</v>
      </c>
      <c r="AN819" t="s">
        <v>67</v>
      </c>
      <c r="AO819">
        <v>234</v>
      </c>
      <c r="AP819">
        <v>0.1</v>
      </c>
      <c r="AQ819" t="s">
        <v>67</v>
      </c>
      <c r="AR819" t="s">
        <v>531</v>
      </c>
      <c r="AS819" t="s">
        <v>532</v>
      </c>
      <c r="AT819" t="s">
        <v>70</v>
      </c>
      <c r="AU819" t="s">
        <v>232</v>
      </c>
      <c r="AV819" t="s">
        <v>151</v>
      </c>
      <c r="AX819" t="s">
        <v>73</v>
      </c>
      <c r="AY819">
        <v>1.0373000000000001</v>
      </c>
      <c r="AZ819">
        <v>1.03729</v>
      </c>
      <c r="BA819">
        <v>0.35</v>
      </c>
      <c r="BC819">
        <v>4</v>
      </c>
      <c r="BD819">
        <v>4.2507999999999999</v>
      </c>
      <c r="BE819">
        <v>4.250847458</v>
      </c>
      <c r="BF819">
        <v>1.1797</v>
      </c>
      <c r="BH819">
        <v>5</v>
      </c>
      <c r="BI819" t="s">
        <v>67</v>
      </c>
      <c r="BJ819">
        <v>7</v>
      </c>
      <c r="BK819">
        <v>1.4105000000000001</v>
      </c>
      <c r="BL819">
        <v>0.18809999999999999</v>
      </c>
    </row>
    <row r="820" spans="1:65" hidden="1" x14ac:dyDescent="0.2">
      <c r="A820">
        <v>171</v>
      </c>
      <c r="D820" t="s">
        <v>54</v>
      </c>
      <c r="E820">
        <v>2015</v>
      </c>
      <c r="F820" t="s">
        <v>198</v>
      </c>
      <c r="G820" t="s">
        <v>199</v>
      </c>
      <c r="H820" t="s">
        <v>57</v>
      </c>
      <c r="K820" t="s">
        <v>79</v>
      </c>
      <c r="L820" t="s">
        <v>200</v>
      </c>
      <c r="M820" t="s">
        <v>81</v>
      </c>
      <c r="N820" t="s">
        <v>81</v>
      </c>
      <c r="O820" t="s">
        <v>62</v>
      </c>
      <c r="P820" t="s">
        <v>63</v>
      </c>
      <c r="Q820" t="s">
        <v>64</v>
      </c>
      <c r="R820" t="s">
        <v>65</v>
      </c>
      <c r="S820" t="s">
        <v>64</v>
      </c>
      <c r="T820" t="s">
        <v>74</v>
      </c>
      <c r="U820" t="s">
        <v>84</v>
      </c>
      <c r="V820">
        <v>422.07</v>
      </c>
      <c r="W820" t="s">
        <v>67</v>
      </c>
      <c r="X820">
        <v>16.57</v>
      </c>
      <c r="Y820" t="s">
        <v>96</v>
      </c>
      <c r="Z820">
        <v>8.1</v>
      </c>
      <c r="AA820" t="s">
        <v>67</v>
      </c>
      <c r="AB820">
        <v>0.05</v>
      </c>
      <c r="AC820">
        <v>1115.6199999999999</v>
      </c>
      <c r="AD820" t="s">
        <v>67</v>
      </c>
      <c r="AE820">
        <v>59.33</v>
      </c>
      <c r="AF820">
        <v>7.7</v>
      </c>
      <c r="AG820" t="s">
        <v>67</v>
      </c>
      <c r="AH820">
        <v>0.05</v>
      </c>
      <c r="AI820">
        <v>15</v>
      </c>
      <c r="AJ820" t="s">
        <v>67</v>
      </c>
      <c r="AK820">
        <v>0.5</v>
      </c>
      <c r="AL820">
        <v>15</v>
      </c>
      <c r="AM820" t="s">
        <v>67</v>
      </c>
      <c r="AN820">
        <v>0.5</v>
      </c>
      <c r="AO820">
        <v>694</v>
      </c>
      <c r="AP820">
        <v>0</v>
      </c>
      <c r="AQ820" t="s">
        <v>218</v>
      </c>
      <c r="AR820" t="s">
        <v>364</v>
      </c>
      <c r="AS820" t="s">
        <v>88</v>
      </c>
      <c r="AT820" t="s">
        <v>70</v>
      </c>
      <c r="AU820" t="s">
        <v>89</v>
      </c>
      <c r="AV820" t="s">
        <v>88</v>
      </c>
      <c r="AX820" t="s">
        <v>90</v>
      </c>
      <c r="AY820">
        <v>75.112099999999998</v>
      </c>
      <c r="AZ820">
        <v>75.112110000000001</v>
      </c>
      <c r="BA820">
        <v>25.112100000000002</v>
      </c>
      <c r="BC820">
        <v>37</v>
      </c>
      <c r="BD820">
        <v>70.179400000000001</v>
      </c>
      <c r="BE820">
        <v>70.179372200000003</v>
      </c>
      <c r="BF820">
        <v>19.730899999999998</v>
      </c>
      <c r="BH820">
        <v>37</v>
      </c>
      <c r="BI820">
        <v>224</v>
      </c>
      <c r="BJ820">
        <v>5</v>
      </c>
      <c r="BK820">
        <v>-6.7900000000000002E-2</v>
      </c>
      <c r="BL820">
        <v>0.1908</v>
      </c>
    </row>
    <row r="821" spans="1:65" hidden="1" x14ac:dyDescent="0.2">
      <c r="A821">
        <v>161</v>
      </c>
      <c r="D821" t="s">
        <v>54</v>
      </c>
      <c r="E821">
        <v>2019</v>
      </c>
      <c r="F821" t="s">
        <v>174</v>
      </c>
      <c r="G821" t="s">
        <v>175</v>
      </c>
      <c r="H821" t="s">
        <v>78</v>
      </c>
      <c r="K821" t="s">
        <v>79</v>
      </c>
      <c r="L821" t="s">
        <v>176</v>
      </c>
      <c r="M821" t="s">
        <v>81</v>
      </c>
      <c r="N821" t="s">
        <v>81</v>
      </c>
      <c r="O821" t="s">
        <v>62</v>
      </c>
      <c r="P821" t="s">
        <v>63</v>
      </c>
      <c r="Q821" t="s">
        <v>74</v>
      </c>
      <c r="R821" t="s">
        <v>83</v>
      </c>
      <c r="S821" t="s">
        <v>74</v>
      </c>
      <c r="T821" t="s">
        <v>64</v>
      </c>
      <c r="U821" t="s">
        <v>75</v>
      </c>
      <c r="V821">
        <v>489</v>
      </c>
      <c r="W821" t="s">
        <v>67</v>
      </c>
      <c r="X821">
        <v>54</v>
      </c>
      <c r="Y821" t="s">
        <v>67</v>
      </c>
      <c r="Z821">
        <v>8.01</v>
      </c>
      <c r="AA821" t="s">
        <v>67</v>
      </c>
      <c r="AB821">
        <v>0.12</v>
      </c>
      <c r="AC821">
        <v>496</v>
      </c>
      <c r="AD821" t="s">
        <v>67</v>
      </c>
      <c r="AE821">
        <v>44</v>
      </c>
      <c r="AF821">
        <v>8.0500000000000007</v>
      </c>
      <c r="AG821" t="s">
        <v>67</v>
      </c>
      <c r="AH821">
        <v>0.1</v>
      </c>
      <c r="AI821">
        <v>19.600000000000001</v>
      </c>
      <c r="AJ821" t="s">
        <v>67</v>
      </c>
      <c r="AK821">
        <v>0.5</v>
      </c>
      <c r="AL821">
        <v>24.2</v>
      </c>
      <c r="AM821" t="s">
        <v>67</v>
      </c>
      <c r="AN821">
        <v>0.2</v>
      </c>
      <c r="AO821">
        <v>7</v>
      </c>
      <c r="AP821">
        <v>4.5999999999999996</v>
      </c>
      <c r="AQ821" t="s">
        <v>67</v>
      </c>
      <c r="AR821" t="s">
        <v>530</v>
      </c>
      <c r="AS821" t="s">
        <v>359</v>
      </c>
      <c r="AT821" t="s">
        <v>135</v>
      </c>
      <c r="AU821" t="s">
        <v>67</v>
      </c>
      <c r="AV821" t="s">
        <v>72</v>
      </c>
      <c r="AX821" t="s">
        <v>73</v>
      </c>
      <c r="AY821">
        <v>0.9244</v>
      </c>
      <c r="AZ821">
        <v>0.92437000000000002</v>
      </c>
      <c r="BA821">
        <v>0.25</v>
      </c>
      <c r="BC821">
        <v>15</v>
      </c>
      <c r="BD821">
        <v>0.90339999999999998</v>
      </c>
      <c r="BE821">
        <v>0.90336099999999997</v>
      </c>
      <c r="BF821">
        <v>0.31509999999999999</v>
      </c>
      <c r="BH821">
        <v>15</v>
      </c>
      <c r="BI821">
        <v>28</v>
      </c>
      <c r="BJ821">
        <v>3</v>
      </c>
      <c r="BK821">
        <v>-2.3E-2</v>
      </c>
      <c r="BL821">
        <v>0.1961</v>
      </c>
    </row>
    <row r="822" spans="1:65" hidden="1" x14ac:dyDescent="0.2">
      <c r="A822">
        <v>161</v>
      </c>
      <c r="D822" t="s">
        <v>54</v>
      </c>
      <c r="E822">
        <v>2019</v>
      </c>
      <c r="F822" t="s">
        <v>174</v>
      </c>
      <c r="G822" t="s">
        <v>175</v>
      </c>
      <c r="H822" t="s">
        <v>78</v>
      </c>
      <c r="K822" t="s">
        <v>79</v>
      </c>
      <c r="L822" t="s">
        <v>176</v>
      </c>
      <c r="M822" t="s">
        <v>81</v>
      </c>
      <c r="N822" t="s">
        <v>81</v>
      </c>
      <c r="O822" t="s">
        <v>62</v>
      </c>
      <c r="P822" t="s">
        <v>63</v>
      </c>
      <c r="Q822" t="s">
        <v>74</v>
      </c>
      <c r="R822" t="s">
        <v>83</v>
      </c>
      <c r="S822" t="s">
        <v>74</v>
      </c>
      <c r="T822" t="s">
        <v>64</v>
      </c>
      <c r="U822" t="s">
        <v>75</v>
      </c>
      <c r="V822">
        <v>489</v>
      </c>
      <c r="W822" t="s">
        <v>67</v>
      </c>
      <c r="X822">
        <v>54</v>
      </c>
      <c r="Y822" t="s">
        <v>67</v>
      </c>
      <c r="Z822">
        <v>8.01</v>
      </c>
      <c r="AA822" t="s">
        <v>67</v>
      </c>
      <c r="AB822">
        <v>0.12</v>
      </c>
      <c r="AC822">
        <v>496</v>
      </c>
      <c r="AD822" t="s">
        <v>67</v>
      </c>
      <c r="AE822">
        <v>44</v>
      </c>
      <c r="AF822">
        <v>8.0500000000000007</v>
      </c>
      <c r="AG822" t="s">
        <v>67</v>
      </c>
      <c r="AH822">
        <v>0.1</v>
      </c>
      <c r="AI822">
        <v>19.600000000000001</v>
      </c>
      <c r="AJ822" t="s">
        <v>67</v>
      </c>
      <c r="AK822">
        <v>0.5</v>
      </c>
      <c r="AL822">
        <v>24.2</v>
      </c>
      <c r="AM822" t="s">
        <v>67</v>
      </c>
      <c r="AN822">
        <v>0.2</v>
      </c>
      <c r="AO822">
        <v>7</v>
      </c>
      <c r="AP822">
        <v>4.5999999999999996</v>
      </c>
      <c r="AQ822" t="s">
        <v>67</v>
      </c>
      <c r="AR822" t="s">
        <v>530</v>
      </c>
      <c r="AS822" t="s">
        <v>359</v>
      </c>
      <c r="AT822" t="s">
        <v>135</v>
      </c>
      <c r="AU822" t="s">
        <v>67</v>
      </c>
      <c r="AV822" t="s">
        <v>72</v>
      </c>
      <c r="AX822" t="s">
        <v>73</v>
      </c>
      <c r="AY822">
        <v>0.9244</v>
      </c>
      <c r="AZ822">
        <v>0.92437000000000002</v>
      </c>
      <c r="BA822">
        <v>0.25</v>
      </c>
      <c r="BC822">
        <v>15</v>
      </c>
      <c r="BD822">
        <v>0.90339999999999998</v>
      </c>
      <c r="BE822">
        <v>0.90336099999999997</v>
      </c>
      <c r="BF822">
        <v>0.31509999999999999</v>
      </c>
      <c r="BH822">
        <v>15</v>
      </c>
      <c r="BI822">
        <v>28</v>
      </c>
      <c r="BJ822">
        <v>3</v>
      </c>
      <c r="BK822">
        <v>-2.3E-2</v>
      </c>
      <c r="BL822">
        <v>0.1961</v>
      </c>
    </row>
    <row r="823" spans="1:65" hidden="1" x14ac:dyDescent="0.2">
      <c r="A823">
        <v>141</v>
      </c>
      <c r="D823" t="s">
        <v>54</v>
      </c>
      <c r="E823">
        <v>2015</v>
      </c>
      <c r="F823" t="s">
        <v>91</v>
      </c>
      <c r="G823" t="s">
        <v>92</v>
      </c>
      <c r="H823" t="s">
        <v>78</v>
      </c>
      <c r="K823" t="s">
        <v>93</v>
      </c>
      <c r="L823" t="s">
        <v>94</v>
      </c>
      <c r="M823" t="s">
        <v>95</v>
      </c>
      <c r="N823" t="s">
        <v>61</v>
      </c>
      <c r="O823" t="s">
        <v>62</v>
      </c>
      <c r="P823" t="s">
        <v>196</v>
      </c>
      <c r="Q823" t="s">
        <v>64</v>
      </c>
      <c r="R823" t="s">
        <v>83</v>
      </c>
      <c r="S823" t="s">
        <v>233</v>
      </c>
      <c r="T823" t="s">
        <v>64</v>
      </c>
      <c r="U823" t="s">
        <v>75</v>
      </c>
      <c r="V823">
        <v>400</v>
      </c>
      <c r="W823">
        <v>6</v>
      </c>
      <c r="X823" t="s">
        <v>67</v>
      </c>
      <c r="Y823" t="s">
        <v>96</v>
      </c>
      <c r="Z823">
        <v>8.15</v>
      </c>
      <c r="AA823">
        <v>0.01</v>
      </c>
      <c r="AB823" t="s">
        <v>67</v>
      </c>
      <c r="AC823">
        <v>441</v>
      </c>
      <c r="AD823">
        <v>7</v>
      </c>
      <c r="AE823" t="s">
        <v>67</v>
      </c>
      <c r="AF823">
        <v>8.1199999999999992</v>
      </c>
      <c r="AG823">
        <v>0.01</v>
      </c>
      <c r="AH823" t="s">
        <v>67</v>
      </c>
      <c r="AI823">
        <v>28.4</v>
      </c>
      <c r="AJ823">
        <v>0.01</v>
      </c>
      <c r="AK823" t="s">
        <v>67</v>
      </c>
      <c r="AL823">
        <v>31.4</v>
      </c>
      <c r="AM823">
        <v>0.02</v>
      </c>
      <c r="AN823" t="s">
        <v>67</v>
      </c>
      <c r="AO823">
        <v>41</v>
      </c>
      <c r="AP823">
        <v>3</v>
      </c>
      <c r="AQ823" t="s">
        <v>67</v>
      </c>
      <c r="AR823" t="s">
        <v>300</v>
      </c>
      <c r="AS823" t="s">
        <v>301</v>
      </c>
      <c r="AT823" t="s">
        <v>70</v>
      </c>
      <c r="AU823" t="s">
        <v>99</v>
      </c>
      <c r="AV823" t="s">
        <v>151</v>
      </c>
      <c r="AX823" t="s">
        <v>90</v>
      </c>
      <c r="AY823">
        <v>2454.5455000000002</v>
      </c>
      <c r="AZ823">
        <v>2454.5454500000001</v>
      </c>
      <c r="BA823">
        <v>71.77</v>
      </c>
      <c r="BC823">
        <v>4</v>
      </c>
      <c r="BD823">
        <v>430.62200000000001</v>
      </c>
      <c r="BE823">
        <v>430.62200960000001</v>
      </c>
      <c r="BF823">
        <v>200.95689999999999</v>
      </c>
      <c r="BH823">
        <v>2</v>
      </c>
      <c r="BI823" t="s">
        <v>67</v>
      </c>
      <c r="BJ823">
        <v>7</v>
      </c>
      <c r="BK823">
        <v>-1.7404999999999999</v>
      </c>
      <c r="BL823">
        <v>0.21859999999999999</v>
      </c>
    </row>
    <row r="824" spans="1:65" hidden="1" x14ac:dyDescent="0.2">
      <c r="A824">
        <v>171</v>
      </c>
      <c r="D824" t="s">
        <v>54</v>
      </c>
      <c r="E824">
        <v>2015</v>
      </c>
      <c r="F824" t="s">
        <v>198</v>
      </c>
      <c r="G824" t="s">
        <v>199</v>
      </c>
      <c r="H824" t="s">
        <v>57</v>
      </c>
      <c r="K824" t="s">
        <v>79</v>
      </c>
      <c r="L824" t="s">
        <v>200</v>
      </c>
      <c r="M824" t="s">
        <v>81</v>
      </c>
      <c r="N824" t="s">
        <v>81</v>
      </c>
      <c r="O824" t="s">
        <v>62</v>
      </c>
      <c r="P824" t="s">
        <v>63</v>
      </c>
      <c r="Q824" t="s">
        <v>64</v>
      </c>
      <c r="R824" t="s">
        <v>65</v>
      </c>
      <c r="S824" t="s">
        <v>64</v>
      </c>
      <c r="T824" t="s">
        <v>64</v>
      </c>
      <c r="U824" t="s">
        <v>66</v>
      </c>
      <c r="V824">
        <v>422.07</v>
      </c>
      <c r="W824" t="s">
        <v>67</v>
      </c>
      <c r="X824">
        <v>16.57</v>
      </c>
      <c r="Y824" t="s">
        <v>96</v>
      </c>
      <c r="Z824">
        <v>8.1</v>
      </c>
      <c r="AA824" t="s">
        <v>67</v>
      </c>
      <c r="AB824">
        <v>0.05</v>
      </c>
      <c r="AC824">
        <v>1078.21</v>
      </c>
      <c r="AD824" t="s">
        <v>67</v>
      </c>
      <c r="AE824">
        <v>53.06</v>
      </c>
      <c r="AF824">
        <v>7.7</v>
      </c>
      <c r="AG824" t="s">
        <v>67</v>
      </c>
      <c r="AH824">
        <v>0.05</v>
      </c>
      <c r="AI824">
        <v>15</v>
      </c>
      <c r="AJ824" t="s">
        <v>67</v>
      </c>
      <c r="AK824">
        <v>0.5</v>
      </c>
      <c r="AL824">
        <v>20</v>
      </c>
      <c r="AM824" t="s">
        <v>67</v>
      </c>
      <c r="AN824">
        <v>0.5</v>
      </c>
      <c r="AO824">
        <v>656</v>
      </c>
      <c r="AP824">
        <v>5</v>
      </c>
      <c r="AQ824" t="s">
        <v>201</v>
      </c>
      <c r="AR824" t="s">
        <v>364</v>
      </c>
      <c r="AS824" t="s">
        <v>88</v>
      </c>
      <c r="AT824" t="s">
        <v>70</v>
      </c>
      <c r="AU824" t="s">
        <v>89</v>
      </c>
      <c r="AV824" t="s">
        <v>88</v>
      </c>
      <c r="AX824" t="s">
        <v>90</v>
      </c>
      <c r="AY824">
        <v>93.273499999999999</v>
      </c>
      <c r="AZ824">
        <v>93.273539999999997</v>
      </c>
      <c r="BA824">
        <v>6.7264999999999997</v>
      </c>
      <c r="BC824">
        <v>77</v>
      </c>
      <c r="BD824">
        <v>39.910299999999999</v>
      </c>
      <c r="BE824">
        <v>39.910313899999998</v>
      </c>
      <c r="BF824">
        <v>18.834099999999999</v>
      </c>
      <c r="BH824">
        <v>77</v>
      </c>
      <c r="BI824">
        <v>176</v>
      </c>
      <c r="BJ824">
        <v>5</v>
      </c>
      <c r="BK824">
        <v>-0.84889999999999999</v>
      </c>
      <c r="BL824">
        <v>0.22789999999999999</v>
      </c>
    </row>
    <row r="825" spans="1:65" hidden="1" x14ac:dyDescent="0.2">
      <c r="A825">
        <v>154</v>
      </c>
      <c r="D825" t="s">
        <v>54</v>
      </c>
      <c r="E825">
        <v>2017</v>
      </c>
      <c r="F825" t="s">
        <v>507</v>
      </c>
      <c r="G825" t="s">
        <v>508</v>
      </c>
      <c r="H825" t="s">
        <v>57</v>
      </c>
      <c r="K825" t="s">
        <v>264</v>
      </c>
      <c r="L825" t="s">
        <v>265</v>
      </c>
      <c r="M825" t="s">
        <v>81</v>
      </c>
      <c r="N825" t="s">
        <v>81</v>
      </c>
      <c r="O825" t="s">
        <v>62</v>
      </c>
      <c r="P825" t="s">
        <v>63</v>
      </c>
      <c r="Q825" t="s">
        <v>64</v>
      </c>
      <c r="R825" t="s">
        <v>65</v>
      </c>
      <c r="S825" t="s">
        <v>64</v>
      </c>
      <c r="T825" t="s">
        <v>74</v>
      </c>
      <c r="U825" t="s">
        <v>84</v>
      </c>
      <c r="V825">
        <v>518</v>
      </c>
      <c r="W825">
        <v>19.899999999999999</v>
      </c>
      <c r="X825" t="s">
        <v>67</v>
      </c>
      <c r="Y825" t="s">
        <v>96</v>
      </c>
      <c r="Z825">
        <v>8.02</v>
      </c>
      <c r="AA825">
        <v>0.01</v>
      </c>
      <c r="AB825" t="s">
        <v>67</v>
      </c>
      <c r="AC825">
        <v>947</v>
      </c>
      <c r="AD825">
        <v>39.700000000000003</v>
      </c>
      <c r="AE825" t="s">
        <v>67</v>
      </c>
      <c r="AF825">
        <v>7.82</v>
      </c>
      <c r="AG825">
        <v>0.01</v>
      </c>
      <c r="AH825" t="s">
        <v>67</v>
      </c>
      <c r="AI825">
        <v>16.3</v>
      </c>
      <c r="AJ825">
        <v>0.1</v>
      </c>
      <c r="AK825" t="s">
        <v>67</v>
      </c>
      <c r="AL825">
        <v>16.2</v>
      </c>
      <c r="AM825">
        <v>0</v>
      </c>
      <c r="AN825" t="s">
        <v>67</v>
      </c>
      <c r="AO825">
        <v>429</v>
      </c>
      <c r="AP825">
        <v>-0.1</v>
      </c>
      <c r="AQ825" t="s">
        <v>67</v>
      </c>
      <c r="AR825" t="s">
        <v>527</v>
      </c>
      <c r="AS825" t="s">
        <v>528</v>
      </c>
      <c r="AT825" t="s">
        <v>333</v>
      </c>
      <c r="AU825" t="s">
        <v>477</v>
      </c>
      <c r="AV825" t="s">
        <v>251</v>
      </c>
      <c r="AX825" t="s">
        <v>73</v>
      </c>
      <c r="AY825">
        <v>42.151000000000003</v>
      </c>
      <c r="AZ825">
        <v>42.151029999999999</v>
      </c>
      <c r="BA825">
        <v>11.12</v>
      </c>
      <c r="BC825">
        <v>14</v>
      </c>
      <c r="BD825">
        <v>17.025200000000002</v>
      </c>
      <c r="BE825">
        <v>17.025171619999998</v>
      </c>
      <c r="BF825">
        <v>7.0023</v>
      </c>
      <c r="BH825">
        <v>6</v>
      </c>
      <c r="BI825">
        <v>127</v>
      </c>
      <c r="BJ825">
        <v>4</v>
      </c>
      <c r="BK825">
        <v>0.90659999999999996</v>
      </c>
      <c r="BL825">
        <v>0.23880000000000001</v>
      </c>
      <c r="BM825" t="s">
        <v>420</v>
      </c>
    </row>
    <row r="826" spans="1:65" hidden="1" x14ac:dyDescent="0.2">
      <c r="A826">
        <v>141</v>
      </c>
      <c r="D826" t="s">
        <v>54</v>
      </c>
      <c r="E826">
        <v>2015</v>
      </c>
      <c r="F826" t="s">
        <v>91</v>
      </c>
      <c r="G826" t="s">
        <v>92</v>
      </c>
      <c r="H826" t="s">
        <v>78</v>
      </c>
      <c r="K826" t="s">
        <v>93</v>
      </c>
      <c r="L826" t="s">
        <v>94</v>
      </c>
      <c r="M826" t="s">
        <v>95</v>
      </c>
      <c r="N826" t="s">
        <v>61</v>
      </c>
      <c r="O826" t="s">
        <v>62</v>
      </c>
      <c r="P826" t="s">
        <v>196</v>
      </c>
      <c r="Q826" t="s">
        <v>64</v>
      </c>
      <c r="R826" t="s">
        <v>83</v>
      </c>
      <c r="S826" t="s">
        <v>74</v>
      </c>
      <c r="T826" t="s">
        <v>64</v>
      </c>
      <c r="U826" t="s">
        <v>75</v>
      </c>
      <c r="V826">
        <v>400</v>
      </c>
      <c r="W826">
        <v>6</v>
      </c>
      <c r="X826" t="s">
        <v>67</v>
      </c>
      <c r="Y826" t="s">
        <v>96</v>
      </c>
      <c r="Z826">
        <v>8.15</v>
      </c>
      <c r="AA826">
        <v>0.01</v>
      </c>
      <c r="AB826" t="s">
        <v>67</v>
      </c>
      <c r="AC826">
        <v>411</v>
      </c>
      <c r="AD826">
        <v>6</v>
      </c>
      <c r="AE826" t="s">
        <v>67</v>
      </c>
      <c r="AF826">
        <v>8.14</v>
      </c>
      <c r="AG826">
        <v>0.01</v>
      </c>
      <c r="AH826" t="s">
        <v>67</v>
      </c>
      <c r="AI826">
        <v>28.4</v>
      </c>
      <c r="AJ826">
        <v>0.01</v>
      </c>
      <c r="AK826" t="s">
        <v>67</v>
      </c>
      <c r="AL826">
        <v>29.8</v>
      </c>
      <c r="AM826">
        <v>0.02</v>
      </c>
      <c r="AN826" t="s">
        <v>67</v>
      </c>
      <c r="AO826">
        <v>11</v>
      </c>
      <c r="AP826">
        <v>1.4</v>
      </c>
      <c r="AQ826" t="s">
        <v>67</v>
      </c>
      <c r="AR826" t="s">
        <v>533</v>
      </c>
      <c r="AS826" t="s">
        <v>533</v>
      </c>
      <c r="AT826" t="s">
        <v>135</v>
      </c>
      <c r="AU826" t="s">
        <v>534</v>
      </c>
      <c r="AV826" t="s">
        <v>132</v>
      </c>
      <c r="AX826" t="s">
        <v>73</v>
      </c>
      <c r="AY826">
        <v>2317.0731999999998</v>
      </c>
      <c r="AZ826">
        <v>2317.0731700000001</v>
      </c>
      <c r="BA826">
        <v>829.27</v>
      </c>
      <c r="BC826">
        <v>4</v>
      </c>
      <c r="BD826">
        <v>1780.4878000000001</v>
      </c>
      <c r="BE826">
        <v>1780.487805</v>
      </c>
      <c r="BF826">
        <v>804.87800000000004</v>
      </c>
      <c r="BH826">
        <v>4</v>
      </c>
      <c r="BI826" t="s">
        <v>67</v>
      </c>
      <c r="BJ826">
        <v>7</v>
      </c>
      <c r="BK826">
        <v>-0.26340000000000002</v>
      </c>
      <c r="BL826">
        <v>0.33239999999999997</v>
      </c>
    </row>
    <row r="827" spans="1:65" x14ac:dyDescent="0.2">
      <c r="A827">
        <v>180</v>
      </c>
      <c r="B827" t="str">
        <f>ROW()-1&amp;"_AltersFish"</f>
        <v>826_AltersFish</v>
      </c>
      <c r="C827" t="str">
        <f>A827 &amp; "_" &amp; P827 &amp; "_" &amp;
SUBSTITUTE(TRIM(L827)," ","_") &amp;
"_pH" &amp; TEXT(Z827,"0.00") &amp;
"_T" &amp; TEXT(AI827,"0.00") &amp;
"_CO2" &amp; TEXT(V827,"0") &amp;
"_LANG"</f>
        <v>180_EMBRYO_Seriola_lalandi_pH8.00_T21.10_CO2462_LANG</v>
      </c>
      <c r="D827" t="s">
        <v>54</v>
      </c>
      <c r="E827">
        <v>2018</v>
      </c>
      <c r="F827" t="s">
        <v>153</v>
      </c>
      <c r="G827" t="s">
        <v>154</v>
      </c>
      <c r="H827" t="s">
        <v>78</v>
      </c>
      <c r="I827" t="s">
        <v>540</v>
      </c>
      <c r="J827" t="s">
        <v>543</v>
      </c>
      <c r="K827" t="s">
        <v>79</v>
      </c>
      <c r="L827" t="s">
        <v>155</v>
      </c>
      <c r="M827" t="s">
        <v>156</v>
      </c>
      <c r="N827" t="s">
        <v>156</v>
      </c>
      <c r="O827" t="s">
        <v>106</v>
      </c>
      <c r="P827" t="s">
        <v>82</v>
      </c>
      <c r="Q827" t="s">
        <v>74</v>
      </c>
      <c r="R827" t="s">
        <v>83</v>
      </c>
      <c r="S827" t="s">
        <v>64</v>
      </c>
      <c r="T827" t="s">
        <v>74</v>
      </c>
      <c r="U827" t="s">
        <v>84</v>
      </c>
      <c r="V827">
        <v>462</v>
      </c>
      <c r="W827" t="s">
        <v>67</v>
      </c>
      <c r="X827">
        <v>43</v>
      </c>
      <c r="Y827" t="s">
        <v>157</v>
      </c>
      <c r="Z827">
        <v>8</v>
      </c>
      <c r="AA827" t="s">
        <v>67</v>
      </c>
      <c r="AB827">
        <v>0.03</v>
      </c>
      <c r="AC827">
        <v>960</v>
      </c>
      <c r="AD827" t="s">
        <v>67</v>
      </c>
      <c r="AE827">
        <v>57</v>
      </c>
      <c r="AF827">
        <v>7.72</v>
      </c>
      <c r="AG827" t="s">
        <v>67</v>
      </c>
      <c r="AH827">
        <v>0.03</v>
      </c>
      <c r="AI827">
        <v>21.1</v>
      </c>
      <c r="AJ827" t="s">
        <v>67</v>
      </c>
      <c r="AK827">
        <v>0.1</v>
      </c>
      <c r="AL827">
        <v>21.1</v>
      </c>
      <c r="AM827" t="s">
        <v>67</v>
      </c>
      <c r="AN827">
        <v>0.1</v>
      </c>
      <c r="AO827">
        <v>498</v>
      </c>
      <c r="AP827">
        <v>0</v>
      </c>
      <c r="AQ827" t="s">
        <v>67</v>
      </c>
      <c r="AR827" t="s">
        <v>365</v>
      </c>
      <c r="AS827" t="s">
        <v>88</v>
      </c>
      <c r="AT827" t="s">
        <v>70</v>
      </c>
      <c r="AU827" t="s">
        <v>89</v>
      </c>
      <c r="AV827" t="s">
        <v>88</v>
      </c>
      <c r="AW827" t="s">
        <v>88</v>
      </c>
      <c r="AX827" t="s">
        <v>90</v>
      </c>
      <c r="AY827">
        <v>79.400000000000006</v>
      </c>
      <c r="AZ827">
        <v>79.400000000000006</v>
      </c>
      <c r="BA827">
        <v>5.3</v>
      </c>
      <c r="BB827">
        <f>BA827*SQRT(BC827)</f>
        <v>11.851160280748886</v>
      </c>
      <c r="BC827">
        <v>5</v>
      </c>
      <c r="BD827">
        <v>79.900000000000006</v>
      </c>
      <c r="BE827">
        <v>79.900000000000006</v>
      </c>
      <c r="BF827">
        <v>2.9</v>
      </c>
      <c r="BG827">
        <f>BF827*SQRT(BH827)</f>
        <v>6.4845971347493903</v>
      </c>
      <c r="BH827">
        <v>5</v>
      </c>
      <c r="BI827">
        <v>4</v>
      </c>
      <c r="BJ827">
        <v>6</v>
      </c>
      <c r="BK827">
        <v>6.3E-3</v>
      </c>
      <c r="BL827">
        <v>5.7999999999999996E-3</v>
      </c>
    </row>
    <row r="828" spans="1:65" hidden="1" x14ac:dyDescent="0.2">
      <c r="A828">
        <v>141</v>
      </c>
      <c r="D828" t="s">
        <v>54</v>
      </c>
      <c r="E828">
        <v>2015</v>
      </c>
      <c r="F828" t="s">
        <v>91</v>
      </c>
      <c r="G828" t="s">
        <v>92</v>
      </c>
      <c r="H828" t="s">
        <v>78</v>
      </c>
      <c r="K828" t="s">
        <v>93</v>
      </c>
      <c r="L828" t="s">
        <v>94</v>
      </c>
      <c r="M828" t="s">
        <v>95</v>
      </c>
      <c r="N828" t="s">
        <v>61</v>
      </c>
      <c r="O828" t="s">
        <v>62</v>
      </c>
      <c r="P828" t="s">
        <v>196</v>
      </c>
      <c r="Q828" t="s">
        <v>64</v>
      </c>
      <c r="R828" t="s">
        <v>83</v>
      </c>
      <c r="S828" t="s">
        <v>233</v>
      </c>
      <c r="T828" t="s">
        <v>64</v>
      </c>
      <c r="U828" t="s">
        <v>75</v>
      </c>
      <c r="V828">
        <v>400</v>
      </c>
      <c r="W828">
        <v>6</v>
      </c>
      <c r="X828" t="s">
        <v>67</v>
      </c>
      <c r="Y828" t="s">
        <v>96</v>
      </c>
      <c r="Z828">
        <v>8.15</v>
      </c>
      <c r="AA828">
        <v>0.01</v>
      </c>
      <c r="AB828" t="s">
        <v>67</v>
      </c>
      <c r="AC828">
        <v>441</v>
      </c>
      <c r="AD828">
        <v>7</v>
      </c>
      <c r="AE828" t="s">
        <v>67</v>
      </c>
      <c r="AF828">
        <v>8.1199999999999992</v>
      </c>
      <c r="AG828">
        <v>0.01</v>
      </c>
      <c r="AH828" t="s">
        <v>67</v>
      </c>
      <c r="AI828">
        <v>28.4</v>
      </c>
      <c r="AJ828">
        <v>0.01</v>
      </c>
      <c r="AK828" t="s">
        <v>67</v>
      </c>
      <c r="AL828">
        <v>31.4</v>
      </c>
      <c r="AM828">
        <v>0.02</v>
      </c>
      <c r="AN828" t="s">
        <v>67</v>
      </c>
      <c r="AO828">
        <v>41</v>
      </c>
      <c r="AP828">
        <v>3</v>
      </c>
      <c r="AQ828" t="s">
        <v>67</v>
      </c>
      <c r="AR828" t="s">
        <v>531</v>
      </c>
      <c r="AS828" t="s">
        <v>532</v>
      </c>
      <c r="AT828" t="s">
        <v>70</v>
      </c>
      <c r="AU828" t="s">
        <v>232</v>
      </c>
      <c r="AV828" t="s">
        <v>151</v>
      </c>
      <c r="AX828" t="s">
        <v>73</v>
      </c>
      <c r="AY828">
        <v>1.0373000000000001</v>
      </c>
      <c r="AZ828">
        <v>1.03729</v>
      </c>
      <c r="BA828">
        <v>0.35</v>
      </c>
      <c r="BC828">
        <v>4</v>
      </c>
      <c r="BD828">
        <v>0.75249999999999995</v>
      </c>
      <c r="BE828">
        <v>0.75254237300000004</v>
      </c>
      <c r="BF828">
        <v>0.38640000000000002</v>
      </c>
      <c r="BH828">
        <v>2</v>
      </c>
      <c r="BI828" t="s">
        <v>67</v>
      </c>
      <c r="BJ828">
        <v>7</v>
      </c>
      <c r="BK828">
        <v>-0.32090000000000002</v>
      </c>
      <c r="BL828">
        <v>0.37480000000000002</v>
      </c>
    </row>
    <row r="829" spans="1:65" hidden="1" x14ac:dyDescent="0.2">
      <c r="A829">
        <v>151</v>
      </c>
      <c r="D829" t="s">
        <v>54</v>
      </c>
      <c r="E829">
        <v>2015</v>
      </c>
      <c r="F829" t="s">
        <v>262</v>
      </c>
      <c r="G829" t="s">
        <v>263</v>
      </c>
      <c r="H829" t="s">
        <v>57</v>
      </c>
      <c r="K829" t="s">
        <v>264</v>
      </c>
      <c r="L829" t="s">
        <v>265</v>
      </c>
      <c r="M829" t="s">
        <v>81</v>
      </c>
      <c r="N829" t="s">
        <v>81</v>
      </c>
      <c r="O829" t="s">
        <v>62</v>
      </c>
      <c r="P829" t="s">
        <v>63</v>
      </c>
      <c r="Q829" t="s">
        <v>64</v>
      </c>
      <c r="R829" t="s">
        <v>65</v>
      </c>
      <c r="S829" t="s">
        <v>64</v>
      </c>
      <c r="T829" t="s">
        <v>74</v>
      </c>
      <c r="U829" t="s">
        <v>84</v>
      </c>
      <c r="V829">
        <v>470</v>
      </c>
      <c r="W829">
        <v>39.799999999999997</v>
      </c>
      <c r="X829" t="s">
        <v>67</v>
      </c>
      <c r="Y829" t="s">
        <v>96</v>
      </c>
      <c r="Z829">
        <v>8.11</v>
      </c>
      <c r="AA829">
        <v>0.01</v>
      </c>
      <c r="AB829" t="s">
        <v>67</v>
      </c>
      <c r="AC829">
        <v>680</v>
      </c>
      <c r="AD829">
        <v>91.9</v>
      </c>
      <c r="AE829" t="s">
        <v>67</v>
      </c>
      <c r="AF829">
        <v>8.02</v>
      </c>
      <c r="AG829">
        <v>0.01</v>
      </c>
      <c r="AH829" t="s">
        <v>67</v>
      </c>
      <c r="AI829">
        <v>17.7</v>
      </c>
      <c r="AJ829">
        <v>0.2</v>
      </c>
      <c r="AK829" t="s">
        <v>67</v>
      </c>
      <c r="AL829">
        <v>17.7</v>
      </c>
      <c r="AM829">
        <v>0.2</v>
      </c>
      <c r="AN829" t="s">
        <v>67</v>
      </c>
      <c r="AO829">
        <v>210</v>
      </c>
      <c r="AP829">
        <v>0</v>
      </c>
      <c r="AQ829" t="s">
        <v>515</v>
      </c>
      <c r="AR829" t="s">
        <v>535</v>
      </c>
      <c r="AS829" t="s">
        <v>528</v>
      </c>
      <c r="AT829" t="s">
        <v>333</v>
      </c>
      <c r="AU829" t="s">
        <v>477</v>
      </c>
      <c r="AV829" t="s">
        <v>251</v>
      </c>
      <c r="AX829" t="s">
        <v>73</v>
      </c>
      <c r="AY829">
        <v>171.1712</v>
      </c>
      <c r="AZ829">
        <v>171.17116999999999</v>
      </c>
      <c r="BA829">
        <v>105.86</v>
      </c>
      <c r="BC829">
        <v>9</v>
      </c>
      <c r="BD829">
        <v>831.08109999999999</v>
      </c>
      <c r="BE829">
        <v>831.08108110000001</v>
      </c>
      <c r="BF829">
        <v>127.25230000000001</v>
      </c>
      <c r="BH829">
        <v>9</v>
      </c>
      <c r="BI829">
        <v>36</v>
      </c>
      <c r="BJ829">
        <v>3</v>
      </c>
      <c r="BK829">
        <v>-1.5801000000000001</v>
      </c>
      <c r="BL829">
        <v>0.40589999999999998</v>
      </c>
      <c r="BM829" t="s">
        <v>420</v>
      </c>
    </row>
    <row r="830" spans="1:65" hidden="1" x14ac:dyDescent="0.2">
      <c r="A830">
        <v>141</v>
      </c>
      <c r="D830" t="s">
        <v>54</v>
      </c>
      <c r="E830">
        <v>2015</v>
      </c>
      <c r="F830" t="s">
        <v>91</v>
      </c>
      <c r="G830" t="s">
        <v>92</v>
      </c>
      <c r="H830" t="s">
        <v>78</v>
      </c>
      <c r="K830" t="s">
        <v>93</v>
      </c>
      <c r="L830" t="s">
        <v>94</v>
      </c>
      <c r="M830" t="s">
        <v>95</v>
      </c>
      <c r="N830" t="s">
        <v>61</v>
      </c>
      <c r="O830" t="s">
        <v>62</v>
      </c>
      <c r="P830" t="s">
        <v>196</v>
      </c>
      <c r="Q830" t="s">
        <v>64</v>
      </c>
      <c r="R830" t="s">
        <v>83</v>
      </c>
      <c r="S830" t="s">
        <v>74</v>
      </c>
      <c r="T830" t="s">
        <v>64</v>
      </c>
      <c r="U830" t="s">
        <v>75</v>
      </c>
      <c r="V830">
        <v>400</v>
      </c>
      <c r="W830">
        <v>6</v>
      </c>
      <c r="X830" t="s">
        <v>67</v>
      </c>
      <c r="Y830" t="s">
        <v>96</v>
      </c>
      <c r="Z830">
        <v>8.15</v>
      </c>
      <c r="AA830">
        <v>0.01</v>
      </c>
      <c r="AB830" t="s">
        <v>67</v>
      </c>
      <c r="AC830">
        <v>411</v>
      </c>
      <c r="AD830">
        <v>6</v>
      </c>
      <c r="AE830" t="s">
        <v>67</v>
      </c>
      <c r="AF830">
        <v>8.14</v>
      </c>
      <c r="AG830">
        <v>0.01</v>
      </c>
      <c r="AH830" t="s">
        <v>67</v>
      </c>
      <c r="AI830">
        <v>28.4</v>
      </c>
      <c r="AJ830">
        <v>0.01</v>
      </c>
      <c r="AK830" t="s">
        <v>67</v>
      </c>
      <c r="AL830">
        <v>29.8</v>
      </c>
      <c r="AM830">
        <v>0.02</v>
      </c>
      <c r="AN830" t="s">
        <v>67</v>
      </c>
      <c r="AO830">
        <v>11</v>
      </c>
      <c r="AP830">
        <v>1.4</v>
      </c>
      <c r="AQ830" t="s">
        <v>67</v>
      </c>
      <c r="AR830" t="s">
        <v>531</v>
      </c>
      <c r="AS830" t="s">
        <v>532</v>
      </c>
      <c r="AT830" t="s">
        <v>70</v>
      </c>
      <c r="AU830" t="s">
        <v>232</v>
      </c>
      <c r="AV830" t="s">
        <v>151</v>
      </c>
      <c r="AX830" t="s">
        <v>73</v>
      </c>
      <c r="AY830">
        <v>1.0373000000000001</v>
      </c>
      <c r="AZ830">
        <v>1.03729</v>
      </c>
      <c r="BA830">
        <v>0.35</v>
      </c>
      <c r="BC830">
        <v>4</v>
      </c>
      <c r="BD830">
        <v>0.85419999999999996</v>
      </c>
      <c r="BE830">
        <v>0.85423728799999998</v>
      </c>
      <c r="BF830">
        <v>0.48809999999999998</v>
      </c>
      <c r="BH830">
        <v>4</v>
      </c>
      <c r="BI830" t="s">
        <v>67</v>
      </c>
      <c r="BJ830">
        <v>7</v>
      </c>
      <c r="BK830">
        <v>-0.19420000000000001</v>
      </c>
      <c r="BL830">
        <v>0.43759999999999999</v>
      </c>
    </row>
    <row r="831" spans="1:65" hidden="1" x14ac:dyDescent="0.2">
      <c r="A831">
        <v>141</v>
      </c>
      <c r="D831" t="s">
        <v>54</v>
      </c>
      <c r="E831">
        <v>2015</v>
      </c>
      <c r="F831" t="s">
        <v>91</v>
      </c>
      <c r="G831" t="s">
        <v>92</v>
      </c>
      <c r="H831" t="s">
        <v>78</v>
      </c>
      <c r="K831" t="s">
        <v>93</v>
      </c>
      <c r="L831" t="s">
        <v>94</v>
      </c>
      <c r="M831" t="s">
        <v>95</v>
      </c>
      <c r="N831" t="s">
        <v>61</v>
      </c>
      <c r="O831" t="s">
        <v>62</v>
      </c>
      <c r="P831" t="s">
        <v>196</v>
      </c>
      <c r="Q831" t="s">
        <v>64</v>
      </c>
      <c r="R831" t="s">
        <v>83</v>
      </c>
      <c r="S831" t="s">
        <v>64</v>
      </c>
      <c r="T831" t="s">
        <v>64</v>
      </c>
      <c r="U831" t="s">
        <v>66</v>
      </c>
      <c r="V831">
        <v>400</v>
      </c>
      <c r="W831">
        <v>6</v>
      </c>
      <c r="X831" t="s">
        <v>67</v>
      </c>
      <c r="Y831" t="s">
        <v>96</v>
      </c>
      <c r="Z831">
        <v>8.15</v>
      </c>
      <c r="AA831">
        <v>0.01</v>
      </c>
      <c r="AB831" t="s">
        <v>67</v>
      </c>
      <c r="AC831">
        <v>1126</v>
      </c>
      <c r="AD831">
        <v>24</v>
      </c>
      <c r="AE831" t="s">
        <v>67</v>
      </c>
      <c r="AF831">
        <v>7.79</v>
      </c>
      <c r="AG831">
        <v>0.01</v>
      </c>
      <c r="AH831" t="s">
        <v>67</v>
      </c>
      <c r="AI831">
        <v>28.4</v>
      </c>
      <c r="AJ831">
        <v>0.01</v>
      </c>
      <c r="AK831" t="s">
        <v>67</v>
      </c>
      <c r="AL831">
        <v>29.8</v>
      </c>
      <c r="AM831">
        <v>0.02</v>
      </c>
      <c r="AN831" t="s">
        <v>67</v>
      </c>
      <c r="AO831">
        <v>726</v>
      </c>
      <c r="AP831">
        <v>1.4</v>
      </c>
      <c r="AQ831" t="s">
        <v>67</v>
      </c>
      <c r="AR831" t="s">
        <v>533</v>
      </c>
      <c r="AS831" t="s">
        <v>533</v>
      </c>
      <c r="AT831" t="s">
        <v>135</v>
      </c>
      <c r="AU831" t="s">
        <v>534</v>
      </c>
      <c r="AV831" t="s">
        <v>132</v>
      </c>
      <c r="AX831" t="s">
        <v>73</v>
      </c>
      <c r="AY831">
        <v>2317.0731999999998</v>
      </c>
      <c r="AZ831">
        <v>2317.0731700000001</v>
      </c>
      <c r="BA831">
        <v>829.27</v>
      </c>
      <c r="BC831">
        <v>4</v>
      </c>
      <c r="BD831">
        <v>3463.4146000000001</v>
      </c>
      <c r="BE831">
        <v>3463.4146340000002</v>
      </c>
      <c r="BF831">
        <v>2000</v>
      </c>
      <c r="BH831">
        <v>4</v>
      </c>
      <c r="BI831" t="s">
        <v>67</v>
      </c>
      <c r="BJ831">
        <v>7</v>
      </c>
      <c r="BK831">
        <v>0.40200000000000002</v>
      </c>
      <c r="BL831">
        <v>0.46160000000000001</v>
      </c>
    </row>
    <row r="832" spans="1:65" hidden="1" x14ac:dyDescent="0.2">
      <c r="A832">
        <v>141</v>
      </c>
      <c r="D832" t="s">
        <v>54</v>
      </c>
      <c r="E832">
        <v>2015</v>
      </c>
      <c r="F832" t="s">
        <v>91</v>
      </c>
      <c r="G832" t="s">
        <v>92</v>
      </c>
      <c r="H832" t="s">
        <v>78</v>
      </c>
      <c r="K832" t="s">
        <v>93</v>
      </c>
      <c r="L832" t="s">
        <v>94</v>
      </c>
      <c r="M832" t="s">
        <v>95</v>
      </c>
      <c r="N832" t="s">
        <v>61</v>
      </c>
      <c r="O832" t="s">
        <v>62</v>
      </c>
      <c r="P832" t="s">
        <v>196</v>
      </c>
      <c r="Q832" t="s">
        <v>64</v>
      </c>
      <c r="R832" t="s">
        <v>83</v>
      </c>
      <c r="S832" t="s">
        <v>64</v>
      </c>
      <c r="T832" t="s">
        <v>74</v>
      </c>
      <c r="U832" t="s">
        <v>84</v>
      </c>
      <c r="V832">
        <v>400</v>
      </c>
      <c r="W832">
        <v>6</v>
      </c>
      <c r="X832" t="s">
        <v>67</v>
      </c>
      <c r="Y832" t="s">
        <v>96</v>
      </c>
      <c r="Z832">
        <v>8.15</v>
      </c>
      <c r="AA832">
        <v>0.01</v>
      </c>
      <c r="AB832" t="s">
        <v>67</v>
      </c>
      <c r="AC832">
        <v>1087</v>
      </c>
      <c r="AD832">
        <v>25</v>
      </c>
      <c r="AE832" t="s">
        <v>67</v>
      </c>
      <c r="AF832">
        <v>7.81</v>
      </c>
      <c r="AG832">
        <v>0.01</v>
      </c>
      <c r="AH832" t="s">
        <v>67</v>
      </c>
      <c r="AI832">
        <v>28.4</v>
      </c>
      <c r="AJ832">
        <v>0.01</v>
      </c>
      <c r="AK832" t="s">
        <v>67</v>
      </c>
      <c r="AL832">
        <v>28.5</v>
      </c>
      <c r="AM832">
        <v>0.01</v>
      </c>
      <c r="AN832" t="s">
        <v>67</v>
      </c>
      <c r="AO832">
        <v>687</v>
      </c>
      <c r="AP832">
        <v>0.1</v>
      </c>
      <c r="AQ832" t="s">
        <v>67</v>
      </c>
      <c r="AR832" t="s">
        <v>531</v>
      </c>
      <c r="AS832" t="s">
        <v>532</v>
      </c>
      <c r="AT832" t="s">
        <v>70</v>
      </c>
      <c r="AU832" t="s">
        <v>232</v>
      </c>
      <c r="AV832" t="s">
        <v>151</v>
      </c>
      <c r="AX832" t="s">
        <v>73</v>
      </c>
      <c r="AY832">
        <v>1.0373000000000001</v>
      </c>
      <c r="AZ832">
        <v>1.03729</v>
      </c>
      <c r="BA832">
        <v>0.35</v>
      </c>
      <c r="BC832">
        <v>4</v>
      </c>
      <c r="BD832">
        <v>1.7084999999999999</v>
      </c>
      <c r="BE832">
        <v>1.708474576</v>
      </c>
      <c r="BF832">
        <v>1.0168999999999999</v>
      </c>
      <c r="BH832">
        <v>4</v>
      </c>
      <c r="BI832" t="s">
        <v>67</v>
      </c>
      <c r="BJ832">
        <v>7</v>
      </c>
      <c r="BK832">
        <v>0.499</v>
      </c>
      <c r="BL832">
        <v>0.46539999999999998</v>
      </c>
    </row>
    <row r="833" spans="1:65" hidden="1" x14ac:dyDescent="0.2">
      <c r="A833">
        <v>171</v>
      </c>
      <c r="D833" t="s">
        <v>54</v>
      </c>
      <c r="E833">
        <v>2015</v>
      </c>
      <c r="F833" t="s">
        <v>198</v>
      </c>
      <c r="G833" t="s">
        <v>199</v>
      </c>
      <c r="H833" t="s">
        <v>57</v>
      </c>
      <c r="K833" t="s">
        <v>79</v>
      </c>
      <c r="L833" t="s">
        <v>200</v>
      </c>
      <c r="M833" t="s">
        <v>81</v>
      </c>
      <c r="N833" t="s">
        <v>81</v>
      </c>
      <c r="O833" t="s">
        <v>62</v>
      </c>
      <c r="P833" t="s">
        <v>63</v>
      </c>
      <c r="Q833" t="s">
        <v>64</v>
      </c>
      <c r="R833" t="s">
        <v>65</v>
      </c>
      <c r="S833" t="s">
        <v>74</v>
      </c>
      <c r="T833" t="s">
        <v>64</v>
      </c>
      <c r="U833" t="s">
        <v>75</v>
      </c>
      <c r="V833">
        <v>422.07</v>
      </c>
      <c r="W833" t="s">
        <v>67</v>
      </c>
      <c r="X833">
        <v>16.57</v>
      </c>
      <c r="Y833" t="s">
        <v>96</v>
      </c>
      <c r="Z833">
        <v>8.1</v>
      </c>
      <c r="AA833" t="s">
        <v>67</v>
      </c>
      <c r="AB833">
        <v>0.05</v>
      </c>
      <c r="AC833">
        <v>423.94</v>
      </c>
      <c r="AD833" t="s">
        <v>67</v>
      </c>
      <c r="AE833">
        <v>16.579999999999998</v>
      </c>
      <c r="AF833">
        <v>8.1</v>
      </c>
      <c r="AG833" t="s">
        <v>67</v>
      </c>
      <c r="AH833">
        <v>0.05</v>
      </c>
      <c r="AI833">
        <v>15</v>
      </c>
      <c r="AJ833" t="s">
        <v>67</v>
      </c>
      <c r="AK833">
        <v>0.5</v>
      </c>
      <c r="AL833">
        <v>20</v>
      </c>
      <c r="AM833" t="s">
        <v>67</v>
      </c>
      <c r="AN833">
        <v>0.5</v>
      </c>
      <c r="AO833">
        <v>2</v>
      </c>
      <c r="AP833">
        <v>5</v>
      </c>
      <c r="AQ833" t="s">
        <v>218</v>
      </c>
      <c r="AR833" t="s">
        <v>364</v>
      </c>
      <c r="AS833" t="s">
        <v>88</v>
      </c>
      <c r="AT833" t="s">
        <v>70</v>
      </c>
      <c r="AU833" t="s">
        <v>89</v>
      </c>
      <c r="AV833" t="s">
        <v>88</v>
      </c>
      <c r="AX833" t="s">
        <v>90</v>
      </c>
      <c r="AY833">
        <v>75.112099999999998</v>
      </c>
      <c r="AZ833">
        <v>75.112110000000001</v>
      </c>
      <c r="BA833">
        <v>25.112100000000002</v>
      </c>
      <c r="BC833">
        <v>37</v>
      </c>
      <c r="BD833">
        <v>37.668199999999999</v>
      </c>
      <c r="BE833">
        <v>37.668161429999998</v>
      </c>
      <c r="BF833">
        <v>23.991</v>
      </c>
      <c r="BH833">
        <v>37</v>
      </c>
      <c r="BI833">
        <v>150</v>
      </c>
      <c r="BJ833">
        <v>5</v>
      </c>
      <c r="BK833">
        <v>-0.69020000000000004</v>
      </c>
      <c r="BL833">
        <v>0.51739999999999997</v>
      </c>
    </row>
    <row r="834" spans="1:65" hidden="1" x14ac:dyDescent="0.2">
      <c r="A834">
        <v>171</v>
      </c>
      <c r="D834" t="s">
        <v>54</v>
      </c>
      <c r="E834">
        <v>2015</v>
      </c>
      <c r="F834" t="s">
        <v>198</v>
      </c>
      <c r="G834" t="s">
        <v>199</v>
      </c>
      <c r="H834" t="s">
        <v>57</v>
      </c>
      <c r="K834" t="s">
        <v>79</v>
      </c>
      <c r="L834" t="s">
        <v>200</v>
      </c>
      <c r="M834" t="s">
        <v>81</v>
      </c>
      <c r="N834" t="s">
        <v>81</v>
      </c>
      <c r="O834" t="s">
        <v>62</v>
      </c>
      <c r="P834" t="s">
        <v>63</v>
      </c>
      <c r="Q834" t="s">
        <v>64</v>
      </c>
      <c r="R834" t="s">
        <v>65</v>
      </c>
      <c r="S834" t="s">
        <v>64</v>
      </c>
      <c r="T834" t="s">
        <v>64</v>
      </c>
      <c r="U834" t="s">
        <v>66</v>
      </c>
      <c r="V834">
        <v>422.07</v>
      </c>
      <c r="W834" t="s">
        <v>67</v>
      </c>
      <c r="X834">
        <v>16.57</v>
      </c>
      <c r="Y834" t="s">
        <v>96</v>
      </c>
      <c r="Z834">
        <v>8.1</v>
      </c>
      <c r="AA834" t="s">
        <v>67</v>
      </c>
      <c r="AB834">
        <v>0.05</v>
      </c>
      <c r="AC834">
        <v>1078.21</v>
      </c>
      <c r="AD834" t="s">
        <v>67</v>
      </c>
      <c r="AE834">
        <v>53.06</v>
      </c>
      <c r="AF834">
        <v>7.7</v>
      </c>
      <c r="AG834" t="s">
        <v>67</v>
      </c>
      <c r="AH834">
        <v>0.05</v>
      </c>
      <c r="AI834">
        <v>15</v>
      </c>
      <c r="AJ834" t="s">
        <v>67</v>
      </c>
      <c r="AK834">
        <v>0.5</v>
      </c>
      <c r="AL834">
        <v>20</v>
      </c>
      <c r="AM834" t="s">
        <v>67</v>
      </c>
      <c r="AN834">
        <v>0.5</v>
      </c>
      <c r="AO834">
        <v>656</v>
      </c>
      <c r="AP834">
        <v>5</v>
      </c>
      <c r="AQ834" t="s">
        <v>218</v>
      </c>
      <c r="AR834" t="s">
        <v>364</v>
      </c>
      <c r="AS834" t="s">
        <v>88</v>
      </c>
      <c r="AT834" t="s">
        <v>70</v>
      </c>
      <c r="AU834" t="s">
        <v>89</v>
      </c>
      <c r="AV834" t="s">
        <v>88</v>
      </c>
      <c r="AX834" t="s">
        <v>90</v>
      </c>
      <c r="AY834">
        <v>75.112099999999998</v>
      </c>
      <c r="AZ834">
        <v>75.112110000000001</v>
      </c>
      <c r="BA834">
        <v>25.112100000000002</v>
      </c>
      <c r="BC834">
        <v>37</v>
      </c>
      <c r="BD834">
        <v>37.668199999999999</v>
      </c>
      <c r="BE834">
        <v>37.668161429999998</v>
      </c>
      <c r="BF834">
        <v>23.991</v>
      </c>
      <c r="BH834">
        <v>37</v>
      </c>
      <c r="BI834">
        <v>187</v>
      </c>
      <c r="BJ834">
        <v>5</v>
      </c>
      <c r="BK834">
        <v>-0.69020000000000004</v>
      </c>
      <c r="BL834">
        <v>0.51739999999999997</v>
      </c>
    </row>
    <row r="835" spans="1:65" hidden="1" x14ac:dyDescent="0.2">
      <c r="A835">
        <v>141</v>
      </c>
      <c r="D835" t="s">
        <v>54</v>
      </c>
      <c r="E835">
        <v>2015</v>
      </c>
      <c r="F835" t="s">
        <v>91</v>
      </c>
      <c r="G835" t="s">
        <v>92</v>
      </c>
      <c r="H835" t="s">
        <v>78</v>
      </c>
      <c r="K835" t="s">
        <v>93</v>
      </c>
      <c r="L835" t="s">
        <v>94</v>
      </c>
      <c r="M835" t="s">
        <v>95</v>
      </c>
      <c r="N835" t="s">
        <v>61</v>
      </c>
      <c r="O835" t="s">
        <v>62</v>
      </c>
      <c r="P835" t="s">
        <v>196</v>
      </c>
      <c r="Q835" t="s">
        <v>64</v>
      </c>
      <c r="R835" t="s">
        <v>83</v>
      </c>
      <c r="S835" t="s">
        <v>64</v>
      </c>
      <c r="T835" t="s">
        <v>64</v>
      </c>
      <c r="U835" t="s">
        <v>66</v>
      </c>
      <c r="V835">
        <v>400</v>
      </c>
      <c r="W835">
        <v>6</v>
      </c>
      <c r="X835" t="s">
        <v>67</v>
      </c>
      <c r="Y835" t="s">
        <v>96</v>
      </c>
      <c r="Z835">
        <v>8.15</v>
      </c>
      <c r="AA835">
        <v>0.01</v>
      </c>
      <c r="AB835" t="s">
        <v>67</v>
      </c>
      <c r="AC835">
        <v>658</v>
      </c>
      <c r="AD835">
        <v>13</v>
      </c>
      <c r="AE835" t="s">
        <v>67</v>
      </c>
      <c r="AF835">
        <v>8</v>
      </c>
      <c r="AG835">
        <v>0.01</v>
      </c>
      <c r="AH835" t="s">
        <v>67</v>
      </c>
      <c r="AI835">
        <v>28.4</v>
      </c>
      <c r="AJ835">
        <v>0.01</v>
      </c>
      <c r="AK835" t="s">
        <v>67</v>
      </c>
      <c r="AL835">
        <v>31.5</v>
      </c>
      <c r="AM835">
        <v>0.01</v>
      </c>
      <c r="AN835" t="s">
        <v>67</v>
      </c>
      <c r="AO835">
        <v>258</v>
      </c>
      <c r="AP835">
        <v>3.1</v>
      </c>
      <c r="AQ835" t="s">
        <v>67</v>
      </c>
      <c r="AR835" t="s">
        <v>300</v>
      </c>
      <c r="AS835" t="s">
        <v>301</v>
      </c>
      <c r="AT835" t="s">
        <v>70</v>
      </c>
      <c r="AU835" t="s">
        <v>99</v>
      </c>
      <c r="AV835" t="s">
        <v>151</v>
      </c>
      <c r="AX835" t="s">
        <v>90</v>
      </c>
      <c r="AY835">
        <v>2454.5455000000002</v>
      </c>
      <c r="AZ835">
        <v>2454.5454500000001</v>
      </c>
      <c r="BA835">
        <v>71.77</v>
      </c>
      <c r="BC835">
        <v>4</v>
      </c>
      <c r="BD835">
        <v>516.74639999999999</v>
      </c>
      <c r="BE835">
        <v>516.74641150000002</v>
      </c>
      <c r="BF835">
        <v>373.20569999999998</v>
      </c>
      <c r="BH835">
        <v>2</v>
      </c>
      <c r="BI835" t="s">
        <v>67</v>
      </c>
      <c r="BJ835">
        <v>7</v>
      </c>
      <c r="BK835">
        <v>-1.5581</v>
      </c>
      <c r="BL835">
        <v>0.52249999999999996</v>
      </c>
    </row>
    <row r="836" spans="1:65" hidden="1" x14ac:dyDescent="0.2">
      <c r="A836">
        <v>141</v>
      </c>
      <c r="D836" t="s">
        <v>54</v>
      </c>
      <c r="E836">
        <v>2015</v>
      </c>
      <c r="F836" t="s">
        <v>91</v>
      </c>
      <c r="G836" t="s">
        <v>92</v>
      </c>
      <c r="H836" t="s">
        <v>78</v>
      </c>
      <c r="K836" t="s">
        <v>93</v>
      </c>
      <c r="L836" t="s">
        <v>94</v>
      </c>
      <c r="M836" t="s">
        <v>95</v>
      </c>
      <c r="N836" t="s">
        <v>61</v>
      </c>
      <c r="O836" t="s">
        <v>62</v>
      </c>
      <c r="P836" t="s">
        <v>196</v>
      </c>
      <c r="Q836" t="s">
        <v>64</v>
      </c>
      <c r="R836" t="s">
        <v>83</v>
      </c>
      <c r="S836" t="s">
        <v>233</v>
      </c>
      <c r="T836" t="s">
        <v>64</v>
      </c>
      <c r="U836" t="s">
        <v>75</v>
      </c>
      <c r="V836">
        <v>400</v>
      </c>
      <c r="W836">
        <v>6</v>
      </c>
      <c r="X836" t="s">
        <v>67</v>
      </c>
      <c r="Y836" t="s">
        <v>96</v>
      </c>
      <c r="Z836">
        <v>8.15</v>
      </c>
      <c r="AA836">
        <v>0.01</v>
      </c>
      <c r="AB836" t="s">
        <v>67</v>
      </c>
      <c r="AC836">
        <v>441</v>
      </c>
      <c r="AD836">
        <v>7</v>
      </c>
      <c r="AE836" t="s">
        <v>67</v>
      </c>
      <c r="AF836">
        <v>8.1199999999999992</v>
      </c>
      <c r="AG836">
        <v>0.01</v>
      </c>
      <c r="AH836" t="s">
        <v>67</v>
      </c>
      <c r="AI836">
        <v>28.4</v>
      </c>
      <c r="AJ836">
        <v>0.01</v>
      </c>
      <c r="AK836" t="s">
        <v>67</v>
      </c>
      <c r="AL836">
        <v>31.4</v>
      </c>
      <c r="AM836">
        <v>0.02</v>
      </c>
      <c r="AN836" t="s">
        <v>67</v>
      </c>
      <c r="AO836">
        <v>41</v>
      </c>
      <c r="AP836">
        <v>3</v>
      </c>
      <c r="AQ836" t="s">
        <v>67</v>
      </c>
      <c r="AR836" t="s">
        <v>533</v>
      </c>
      <c r="AS836" t="s">
        <v>533</v>
      </c>
      <c r="AT836" t="s">
        <v>135</v>
      </c>
      <c r="AU836" t="s">
        <v>534</v>
      </c>
      <c r="AV836" t="s">
        <v>132</v>
      </c>
      <c r="AX836" t="s">
        <v>73</v>
      </c>
      <c r="AY836">
        <v>2317.0731999999998</v>
      </c>
      <c r="AZ836">
        <v>2317.0731700000001</v>
      </c>
      <c r="BA836">
        <v>829.27</v>
      </c>
      <c r="BC836">
        <v>4</v>
      </c>
      <c r="BD836">
        <v>829.26829999999995</v>
      </c>
      <c r="BE836">
        <v>829.26829269999996</v>
      </c>
      <c r="BF836">
        <v>536.58540000000005</v>
      </c>
      <c r="BH836">
        <v>2</v>
      </c>
      <c r="BI836" t="s">
        <v>67</v>
      </c>
      <c r="BJ836">
        <v>7</v>
      </c>
      <c r="BK836">
        <v>-1.0275000000000001</v>
      </c>
      <c r="BL836">
        <v>0.54679999999999995</v>
      </c>
    </row>
    <row r="837" spans="1:65" hidden="1" x14ac:dyDescent="0.2">
      <c r="A837">
        <v>151</v>
      </c>
      <c r="D837" t="s">
        <v>54</v>
      </c>
      <c r="E837">
        <v>2015</v>
      </c>
      <c r="F837" t="s">
        <v>262</v>
      </c>
      <c r="G837" t="s">
        <v>263</v>
      </c>
      <c r="H837" t="s">
        <v>57</v>
      </c>
      <c r="K837" t="s">
        <v>264</v>
      </c>
      <c r="L837" t="s">
        <v>265</v>
      </c>
      <c r="M837" t="s">
        <v>81</v>
      </c>
      <c r="N837" t="s">
        <v>81</v>
      </c>
      <c r="O837" t="s">
        <v>62</v>
      </c>
      <c r="P837" t="s">
        <v>63</v>
      </c>
      <c r="Q837" t="s">
        <v>64</v>
      </c>
      <c r="R837" t="s">
        <v>65</v>
      </c>
      <c r="S837" t="s">
        <v>64</v>
      </c>
      <c r="T837" t="s">
        <v>64</v>
      </c>
      <c r="U837" t="s">
        <v>66</v>
      </c>
      <c r="V837">
        <v>470</v>
      </c>
      <c r="W837">
        <v>39.799999999999997</v>
      </c>
      <c r="X837" t="s">
        <v>67</v>
      </c>
      <c r="Y837" t="s">
        <v>96</v>
      </c>
      <c r="Z837">
        <v>8.11</v>
      </c>
      <c r="AA837">
        <v>0.01</v>
      </c>
      <c r="AB837" t="s">
        <v>67</v>
      </c>
      <c r="AC837">
        <v>734</v>
      </c>
      <c r="AD837">
        <v>64.400000000000006</v>
      </c>
      <c r="AE837" t="s">
        <v>67</v>
      </c>
      <c r="AF837">
        <v>7.98</v>
      </c>
      <c r="AG837">
        <v>0.01</v>
      </c>
      <c r="AH837" t="s">
        <v>67</v>
      </c>
      <c r="AI837">
        <v>17.7</v>
      </c>
      <c r="AJ837">
        <v>0.2</v>
      </c>
      <c r="AK837" t="s">
        <v>67</v>
      </c>
      <c r="AL837">
        <v>19.5</v>
      </c>
      <c r="AM837">
        <v>0.1</v>
      </c>
      <c r="AN837" t="s">
        <v>67</v>
      </c>
      <c r="AO837">
        <v>264</v>
      </c>
      <c r="AP837">
        <v>1.8</v>
      </c>
      <c r="AQ837" t="s">
        <v>515</v>
      </c>
      <c r="AR837" t="s">
        <v>535</v>
      </c>
      <c r="AS837" t="s">
        <v>528</v>
      </c>
      <c r="AT837" t="s">
        <v>333</v>
      </c>
      <c r="AU837" t="s">
        <v>477</v>
      </c>
      <c r="AV837" t="s">
        <v>251</v>
      </c>
      <c r="AX837" t="s">
        <v>73</v>
      </c>
      <c r="AY837">
        <v>171.1712</v>
      </c>
      <c r="AZ837">
        <v>171.17116999999999</v>
      </c>
      <c r="BA837">
        <v>105.86</v>
      </c>
      <c r="BC837">
        <v>9</v>
      </c>
      <c r="BD837">
        <v>540.54049999999995</v>
      </c>
      <c r="BE837">
        <v>540.54054050000002</v>
      </c>
      <c r="BF837">
        <v>234.23419999999999</v>
      </c>
      <c r="BH837">
        <v>9</v>
      </c>
      <c r="BI837">
        <v>36</v>
      </c>
      <c r="BJ837">
        <v>3</v>
      </c>
      <c r="BK837">
        <v>-1.1498999999999999</v>
      </c>
      <c r="BL837">
        <v>0.57020000000000004</v>
      </c>
      <c r="BM837" t="s">
        <v>420</v>
      </c>
    </row>
    <row r="838" spans="1:65" hidden="1" x14ac:dyDescent="0.2">
      <c r="A838">
        <v>151</v>
      </c>
      <c r="D838" t="s">
        <v>54</v>
      </c>
      <c r="E838">
        <v>2015</v>
      </c>
      <c r="F838" t="s">
        <v>262</v>
      </c>
      <c r="G838" t="s">
        <v>263</v>
      </c>
      <c r="H838" t="s">
        <v>57</v>
      </c>
      <c r="K838" t="s">
        <v>264</v>
      </c>
      <c r="L838" t="s">
        <v>265</v>
      </c>
      <c r="M838" t="s">
        <v>81</v>
      </c>
      <c r="N838" t="s">
        <v>81</v>
      </c>
      <c r="O838" t="s">
        <v>62</v>
      </c>
      <c r="P838" t="s">
        <v>63</v>
      </c>
      <c r="Q838" t="s">
        <v>64</v>
      </c>
      <c r="R838" t="s">
        <v>65</v>
      </c>
      <c r="S838" t="s">
        <v>74</v>
      </c>
      <c r="T838" t="s">
        <v>64</v>
      </c>
      <c r="U838" t="s">
        <v>75</v>
      </c>
      <c r="V838">
        <v>470</v>
      </c>
      <c r="W838">
        <v>39.799999999999997</v>
      </c>
      <c r="X838" t="s">
        <v>67</v>
      </c>
      <c r="Y838" t="s">
        <v>96</v>
      </c>
      <c r="Z838">
        <v>8.11</v>
      </c>
      <c r="AA838">
        <v>0.01</v>
      </c>
      <c r="AB838" t="s">
        <v>67</v>
      </c>
      <c r="AC838">
        <v>518</v>
      </c>
      <c r="AD838">
        <v>43.5</v>
      </c>
      <c r="AE838" t="s">
        <v>67</v>
      </c>
      <c r="AF838">
        <v>8.1</v>
      </c>
      <c r="AG838">
        <v>0.01</v>
      </c>
      <c r="AH838" t="s">
        <v>67</v>
      </c>
      <c r="AI838">
        <v>17.7</v>
      </c>
      <c r="AJ838">
        <v>0.2</v>
      </c>
      <c r="AK838" t="s">
        <v>67</v>
      </c>
      <c r="AL838">
        <v>19.5</v>
      </c>
      <c r="AM838">
        <v>0.1</v>
      </c>
      <c r="AN838" t="s">
        <v>67</v>
      </c>
      <c r="AO838">
        <v>48</v>
      </c>
      <c r="AP838">
        <v>1.8</v>
      </c>
      <c r="AQ838" t="s">
        <v>515</v>
      </c>
      <c r="AR838" t="s">
        <v>535</v>
      </c>
      <c r="AS838" t="s">
        <v>528</v>
      </c>
      <c r="AT838" t="s">
        <v>333</v>
      </c>
      <c r="AU838" t="s">
        <v>477</v>
      </c>
      <c r="AV838" t="s">
        <v>251</v>
      </c>
      <c r="AX838" t="s">
        <v>73</v>
      </c>
      <c r="AY838">
        <v>171.1712</v>
      </c>
      <c r="AZ838">
        <v>171.17116999999999</v>
      </c>
      <c r="BA838">
        <v>105.86</v>
      </c>
      <c r="BC838">
        <v>9</v>
      </c>
      <c r="BD838">
        <v>159.90989999999999</v>
      </c>
      <c r="BE838">
        <v>159.9099099</v>
      </c>
      <c r="BF838">
        <v>112.6126</v>
      </c>
      <c r="BH838">
        <v>9</v>
      </c>
      <c r="BI838">
        <v>36</v>
      </c>
      <c r="BJ838">
        <v>3</v>
      </c>
      <c r="BK838">
        <v>6.8099999999999994E-2</v>
      </c>
      <c r="BL838">
        <v>0.87839999999999996</v>
      </c>
      <c r="BM838" t="s">
        <v>420</v>
      </c>
    </row>
    <row r="839" spans="1:65" hidden="1" x14ac:dyDescent="0.2">
      <c r="A839">
        <v>142</v>
      </c>
      <c r="D839" t="s">
        <v>397</v>
      </c>
      <c r="E839">
        <v>2017</v>
      </c>
      <c r="F839" t="s">
        <v>193</v>
      </c>
      <c r="G839" t="s">
        <v>181</v>
      </c>
      <c r="H839" t="s">
        <v>78</v>
      </c>
      <c r="K839" t="s">
        <v>194</v>
      </c>
      <c r="L839" t="s">
        <v>299</v>
      </c>
      <c r="M839" t="s">
        <v>120</v>
      </c>
      <c r="N839" t="s">
        <v>120</v>
      </c>
      <c r="O839" t="s">
        <v>62</v>
      </c>
      <c r="P839" t="s">
        <v>196</v>
      </c>
      <c r="Q839" t="s">
        <v>64</v>
      </c>
      <c r="R839" t="s">
        <v>83</v>
      </c>
      <c r="S839" t="s">
        <v>64</v>
      </c>
      <c r="T839" t="s">
        <v>74</v>
      </c>
      <c r="U839" t="s">
        <v>84</v>
      </c>
      <c r="V839">
        <v>439</v>
      </c>
      <c r="W839">
        <v>16.079999999999998</v>
      </c>
      <c r="X839" t="s">
        <v>67</v>
      </c>
      <c r="Y839" t="s">
        <v>67</v>
      </c>
      <c r="Z839" t="s">
        <v>67</v>
      </c>
      <c r="AA839" t="s">
        <v>67</v>
      </c>
      <c r="AB839" t="s">
        <v>67</v>
      </c>
      <c r="AC839">
        <v>954</v>
      </c>
      <c r="AD839">
        <v>50.38</v>
      </c>
      <c r="AE839" t="s">
        <v>67</v>
      </c>
      <c r="AF839" t="s">
        <v>67</v>
      </c>
      <c r="AG839" t="s">
        <v>67</v>
      </c>
      <c r="AH839" t="s">
        <v>67</v>
      </c>
      <c r="AI839">
        <v>-0.6</v>
      </c>
      <c r="AJ839">
        <v>0.17</v>
      </c>
      <c r="AK839" t="s">
        <v>67</v>
      </c>
      <c r="AL839">
        <v>-0.5</v>
      </c>
      <c r="AM839">
        <v>0.16</v>
      </c>
      <c r="AN839" t="s">
        <v>67</v>
      </c>
      <c r="AO839">
        <v>515</v>
      </c>
      <c r="AP839">
        <v>0.2</v>
      </c>
      <c r="AQ839" t="s">
        <v>67</v>
      </c>
      <c r="AR839" t="s">
        <v>113</v>
      </c>
      <c r="AS839" t="s">
        <v>113</v>
      </c>
      <c r="AT839" t="s">
        <v>70</v>
      </c>
      <c r="AU839" t="s">
        <v>398</v>
      </c>
      <c r="AV839" t="s">
        <v>72</v>
      </c>
      <c r="AX839" t="s">
        <v>73</v>
      </c>
      <c r="AY839">
        <v>8.0000000000000004E-4</v>
      </c>
      <c r="AZ839">
        <v>0.16883999999999999</v>
      </c>
      <c r="BA839">
        <v>0.02</v>
      </c>
      <c r="BC839">
        <v>5</v>
      </c>
      <c r="BD839">
        <v>-0.08</v>
      </c>
      <c r="BE839">
        <v>0.08</v>
      </c>
      <c r="BF839">
        <v>0.08</v>
      </c>
      <c r="BH839">
        <v>5</v>
      </c>
      <c r="BI839">
        <v>56</v>
      </c>
      <c r="BJ839">
        <v>1</v>
      </c>
      <c r="BK839">
        <v>-0.69810000000000005</v>
      </c>
      <c r="BL839">
        <v>0.92110000000000003</v>
      </c>
      <c r="BM839" t="s">
        <v>399</v>
      </c>
    </row>
    <row r="840" spans="1:65" hidden="1" x14ac:dyDescent="0.2">
      <c r="A840">
        <v>141</v>
      </c>
      <c r="D840" t="s">
        <v>54</v>
      </c>
      <c r="E840">
        <v>2015</v>
      </c>
      <c r="F840" t="s">
        <v>91</v>
      </c>
      <c r="G840" t="s">
        <v>92</v>
      </c>
      <c r="H840" t="s">
        <v>78</v>
      </c>
      <c r="K840" t="s">
        <v>93</v>
      </c>
      <c r="L840" t="s">
        <v>94</v>
      </c>
      <c r="M840" t="s">
        <v>95</v>
      </c>
      <c r="N840" t="s">
        <v>61</v>
      </c>
      <c r="O840" t="s">
        <v>62</v>
      </c>
      <c r="P840" t="s">
        <v>196</v>
      </c>
      <c r="Q840" t="s">
        <v>64</v>
      </c>
      <c r="R840" t="s">
        <v>83</v>
      </c>
      <c r="S840" t="s">
        <v>64</v>
      </c>
      <c r="T840" t="s">
        <v>64</v>
      </c>
      <c r="U840" t="s">
        <v>66</v>
      </c>
      <c r="V840">
        <v>400</v>
      </c>
      <c r="W840">
        <v>6</v>
      </c>
      <c r="X840" t="s">
        <v>67</v>
      </c>
      <c r="Y840" t="s">
        <v>96</v>
      </c>
      <c r="Z840">
        <v>8.15</v>
      </c>
      <c r="AA840">
        <v>0.01</v>
      </c>
      <c r="AB840" t="s">
        <v>67</v>
      </c>
      <c r="AC840">
        <v>642</v>
      </c>
      <c r="AD840">
        <v>12</v>
      </c>
      <c r="AE840" t="s">
        <v>67</v>
      </c>
      <c r="AF840">
        <v>8</v>
      </c>
      <c r="AG840">
        <v>0.01</v>
      </c>
      <c r="AH840" t="s">
        <v>67</v>
      </c>
      <c r="AI840">
        <v>28.4</v>
      </c>
      <c r="AJ840">
        <v>0.01</v>
      </c>
      <c r="AK840" t="s">
        <v>67</v>
      </c>
      <c r="AL840">
        <v>30.1</v>
      </c>
      <c r="AM840">
        <v>0.01</v>
      </c>
      <c r="AN840" t="s">
        <v>67</v>
      </c>
      <c r="AO840">
        <v>242</v>
      </c>
      <c r="AP840">
        <v>1.7</v>
      </c>
      <c r="AQ840" t="s">
        <v>67</v>
      </c>
      <c r="AR840" t="s">
        <v>533</v>
      </c>
      <c r="AS840" t="s">
        <v>533</v>
      </c>
      <c r="AT840" t="s">
        <v>135</v>
      </c>
      <c r="AU840" t="s">
        <v>534</v>
      </c>
      <c r="AV840" t="s">
        <v>132</v>
      </c>
      <c r="AX840" t="s">
        <v>73</v>
      </c>
      <c r="AY840">
        <v>2317.0731999999998</v>
      </c>
      <c r="AZ840">
        <v>2317.0731700000001</v>
      </c>
      <c r="BA840">
        <v>829.27</v>
      </c>
      <c r="BC840">
        <v>4</v>
      </c>
      <c r="BD840">
        <v>1682.9268</v>
      </c>
      <c r="BE840">
        <v>1682.926829</v>
      </c>
      <c r="BF840">
        <v>1536.5853999999999</v>
      </c>
      <c r="BH840">
        <v>1</v>
      </c>
      <c r="BI840" t="s">
        <v>67</v>
      </c>
      <c r="BJ840">
        <v>7</v>
      </c>
      <c r="BK840">
        <v>-0.31979999999999997</v>
      </c>
      <c r="BL840">
        <v>0.9617</v>
      </c>
    </row>
    <row r="841" spans="1:65" hidden="1" x14ac:dyDescent="0.2">
      <c r="A841">
        <v>147</v>
      </c>
      <c r="D841" t="s">
        <v>54</v>
      </c>
      <c r="E841">
        <v>2014</v>
      </c>
      <c r="F841" t="s">
        <v>317</v>
      </c>
      <c r="G841" t="s">
        <v>318</v>
      </c>
      <c r="H841" t="s">
        <v>78</v>
      </c>
      <c r="K841" t="s">
        <v>319</v>
      </c>
      <c r="L841" t="s">
        <v>320</v>
      </c>
      <c r="M841" t="s">
        <v>81</v>
      </c>
      <c r="N841" t="s">
        <v>81</v>
      </c>
      <c r="O841" t="s">
        <v>62</v>
      </c>
      <c r="P841" t="s">
        <v>63</v>
      </c>
      <c r="Q841" t="s">
        <v>74</v>
      </c>
      <c r="R841" t="s">
        <v>83</v>
      </c>
      <c r="S841" t="s">
        <v>74</v>
      </c>
      <c r="T841" t="s">
        <v>64</v>
      </c>
      <c r="U841" t="s">
        <v>75</v>
      </c>
      <c r="V841">
        <v>330</v>
      </c>
      <c r="W841">
        <v>9.5</v>
      </c>
      <c r="X841" t="s">
        <v>67</v>
      </c>
      <c r="Y841" t="s">
        <v>68</v>
      </c>
      <c r="Z841">
        <v>8.11</v>
      </c>
      <c r="AA841">
        <v>0.01</v>
      </c>
      <c r="AB841" t="s">
        <v>67</v>
      </c>
      <c r="AC841">
        <v>581</v>
      </c>
      <c r="AD841">
        <v>12.5</v>
      </c>
      <c r="AE841" t="s">
        <v>67</v>
      </c>
      <c r="AF841">
        <v>7.91</v>
      </c>
      <c r="AG841">
        <v>0.01</v>
      </c>
      <c r="AH841" t="s">
        <v>67</v>
      </c>
      <c r="AI841">
        <v>5.2</v>
      </c>
      <c r="AJ841">
        <v>0.11</v>
      </c>
      <c r="AK841" t="s">
        <v>67</v>
      </c>
      <c r="AL841">
        <v>15.8</v>
      </c>
      <c r="AM841">
        <v>0.04</v>
      </c>
      <c r="AN841" t="s">
        <v>67</v>
      </c>
      <c r="AO841">
        <v>251</v>
      </c>
      <c r="AP841">
        <v>10.7</v>
      </c>
      <c r="AQ841" t="s">
        <v>67</v>
      </c>
      <c r="AR841" t="s">
        <v>113</v>
      </c>
      <c r="AS841" t="s">
        <v>113</v>
      </c>
      <c r="AT841" t="s">
        <v>70</v>
      </c>
      <c r="AU841" t="s">
        <v>442</v>
      </c>
      <c r="AV841" t="s">
        <v>72</v>
      </c>
      <c r="AX841" t="s">
        <v>73</v>
      </c>
      <c r="AY841">
        <v>0.46760000000000002</v>
      </c>
      <c r="AZ841">
        <v>0.46761999999999998</v>
      </c>
      <c r="BA841">
        <v>0.06</v>
      </c>
      <c r="BC841">
        <v>38</v>
      </c>
      <c r="BD841">
        <v>0.83209999999999995</v>
      </c>
      <c r="BE841">
        <v>0.83209169100000002</v>
      </c>
      <c r="BF841">
        <v>0.82179999999999997</v>
      </c>
      <c r="BH841">
        <v>38</v>
      </c>
      <c r="BI841">
        <v>105</v>
      </c>
      <c r="BJ841">
        <v>2</v>
      </c>
      <c r="BK841">
        <v>0.57630000000000003</v>
      </c>
      <c r="BL841">
        <v>0.98919999999999997</v>
      </c>
    </row>
    <row r="842" spans="1:65" hidden="1" x14ac:dyDescent="0.2">
      <c r="A842">
        <v>147</v>
      </c>
      <c r="D842" t="s">
        <v>54</v>
      </c>
      <c r="E842">
        <v>2014</v>
      </c>
      <c r="F842" t="s">
        <v>317</v>
      </c>
      <c r="G842" t="s">
        <v>318</v>
      </c>
      <c r="H842" t="s">
        <v>78</v>
      </c>
      <c r="K842" t="s">
        <v>319</v>
      </c>
      <c r="L842" t="s">
        <v>320</v>
      </c>
      <c r="M842" t="s">
        <v>81</v>
      </c>
      <c r="N842" t="s">
        <v>81</v>
      </c>
      <c r="O842" t="s">
        <v>62</v>
      </c>
      <c r="P842" t="s">
        <v>63</v>
      </c>
      <c r="Q842" t="s">
        <v>74</v>
      </c>
      <c r="R842" t="s">
        <v>83</v>
      </c>
      <c r="S842" t="s">
        <v>64</v>
      </c>
      <c r="T842" t="s">
        <v>64</v>
      </c>
      <c r="U842" t="s">
        <v>66</v>
      </c>
      <c r="V842">
        <v>330</v>
      </c>
      <c r="W842">
        <v>9.5</v>
      </c>
      <c r="X842" t="s">
        <v>67</v>
      </c>
      <c r="Y842" t="s">
        <v>68</v>
      </c>
      <c r="Z842">
        <v>8.11</v>
      </c>
      <c r="AA842">
        <v>0.01</v>
      </c>
      <c r="AB842" t="s">
        <v>67</v>
      </c>
      <c r="AC842">
        <v>1549</v>
      </c>
      <c r="AD842">
        <v>85.5</v>
      </c>
      <c r="AE842" t="s">
        <v>67</v>
      </c>
      <c r="AF842">
        <v>7.54</v>
      </c>
      <c r="AG842">
        <v>0.03</v>
      </c>
      <c r="AH842" t="s">
        <v>67</v>
      </c>
      <c r="AI842">
        <v>5.2</v>
      </c>
      <c r="AJ842">
        <v>0.11</v>
      </c>
      <c r="AK842" t="s">
        <v>67</v>
      </c>
      <c r="AL842">
        <v>15.7</v>
      </c>
      <c r="AM842">
        <v>0.04</v>
      </c>
      <c r="AN842" t="s">
        <v>67</v>
      </c>
      <c r="AO842">
        <v>1219</v>
      </c>
      <c r="AP842">
        <v>10.6</v>
      </c>
      <c r="AQ842" t="s">
        <v>67</v>
      </c>
      <c r="AR842" t="s">
        <v>113</v>
      </c>
      <c r="AS842" t="s">
        <v>113</v>
      </c>
      <c r="AT842" t="s">
        <v>70</v>
      </c>
      <c r="AU842" t="s">
        <v>442</v>
      </c>
      <c r="AV842" t="s">
        <v>72</v>
      </c>
      <c r="AX842" t="s">
        <v>73</v>
      </c>
      <c r="AY842">
        <v>0.46760000000000002</v>
      </c>
      <c r="AZ842">
        <v>0.46761999999999998</v>
      </c>
      <c r="BA842">
        <v>0.06</v>
      </c>
      <c r="BC842">
        <v>38</v>
      </c>
      <c r="BD842">
        <v>0.86650000000000005</v>
      </c>
      <c r="BE842">
        <v>0.86647564499999996</v>
      </c>
      <c r="BF842">
        <v>0.86299999999999999</v>
      </c>
      <c r="BH842">
        <v>38</v>
      </c>
      <c r="BI842">
        <v>105</v>
      </c>
      <c r="BJ842">
        <v>2</v>
      </c>
      <c r="BK842">
        <v>0.61680000000000001</v>
      </c>
      <c r="BL842">
        <v>1.0059</v>
      </c>
    </row>
    <row r="843" spans="1:65" hidden="1" x14ac:dyDescent="0.2">
      <c r="A843">
        <v>142</v>
      </c>
      <c r="D843" t="s">
        <v>397</v>
      </c>
      <c r="E843">
        <v>2017</v>
      </c>
      <c r="F843" t="s">
        <v>193</v>
      </c>
      <c r="G843" t="s">
        <v>181</v>
      </c>
      <c r="H843" t="s">
        <v>78</v>
      </c>
      <c r="K843" t="s">
        <v>194</v>
      </c>
      <c r="L843" t="s">
        <v>195</v>
      </c>
      <c r="M843" t="s">
        <v>120</v>
      </c>
      <c r="N843" t="s">
        <v>120</v>
      </c>
      <c r="O843" t="s">
        <v>106</v>
      </c>
      <c r="P843" t="s">
        <v>196</v>
      </c>
      <c r="Q843" t="s">
        <v>64</v>
      </c>
      <c r="R843" t="s">
        <v>83</v>
      </c>
      <c r="S843" t="s">
        <v>74</v>
      </c>
      <c r="T843" t="s">
        <v>64</v>
      </c>
      <c r="U843" t="s">
        <v>75</v>
      </c>
      <c r="V843">
        <v>439</v>
      </c>
      <c r="W843">
        <v>16.079999999999998</v>
      </c>
      <c r="X843" t="s">
        <v>67</v>
      </c>
      <c r="Y843" t="s">
        <v>67</v>
      </c>
      <c r="Z843" t="s">
        <v>67</v>
      </c>
      <c r="AA843" t="s">
        <v>67</v>
      </c>
      <c r="AB843" t="s">
        <v>67</v>
      </c>
      <c r="AC843">
        <v>525</v>
      </c>
      <c r="AD843">
        <v>21.07</v>
      </c>
      <c r="AE843" t="s">
        <v>67</v>
      </c>
      <c r="AF843" t="s">
        <v>67</v>
      </c>
      <c r="AG843" t="s">
        <v>67</v>
      </c>
      <c r="AH843" t="s">
        <v>67</v>
      </c>
      <c r="AI843">
        <v>-0.6</v>
      </c>
      <c r="AJ843">
        <v>0.17</v>
      </c>
      <c r="AK843" t="s">
        <v>67</v>
      </c>
      <c r="AL843">
        <v>4</v>
      </c>
      <c r="AM843">
        <v>0.44</v>
      </c>
      <c r="AN843" t="s">
        <v>67</v>
      </c>
      <c r="AO843">
        <v>86</v>
      </c>
      <c r="AP843">
        <v>4.5999999999999996</v>
      </c>
      <c r="AQ843" t="s">
        <v>67</v>
      </c>
      <c r="AR843" t="s">
        <v>113</v>
      </c>
      <c r="AS843" t="s">
        <v>113</v>
      </c>
      <c r="AT843" t="s">
        <v>70</v>
      </c>
      <c r="AU843" t="s">
        <v>398</v>
      </c>
      <c r="AV843" t="s">
        <v>72</v>
      </c>
      <c r="AX843" t="s">
        <v>73</v>
      </c>
      <c r="AY843">
        <v>0.1</v>
      </c>
      <c r="AZ843">
        <v>0.17</v>
      </c>
      <c r="BA843">
        <v>7.0000000000000007E-2</v>
      </c>
      <c r="BC843">
        <v>5</v>
      </c>
      <c r="BD843">
        <v>-0.04</v>
      </c>
      <c r="BE843">
        <v>0.04</v>
      </c>
      <c r="BF843">
        <v>0.04</v>
      </c>
      <c r="BH843">
        <v>5</v>
      </c>
      <c r="BI843">
        <v>56</v>
      </c>
      <c r="BJ843">
        <v>1</v>
      </c>
      <c r="BK843">
        <v>-1.5805</v>
      </c>
      <c r="BL843">
        <v>1.4757</v>
      </c>
      <c r="BM843" t="s">
        <v>399</v>
      </c>
    </row>
    <row r="844" spans="1:65" hidden="1" x14ac:dyDescent="0.2">
      <c r="A844">
        <v>142</v>
      </c>
      <c r="D844" t="s">
        <v>54</v>
      </c>
      <c r="E844">
        <v>2017</v>
      </c>
      <c r="F844" t="s">
        <v>193</v>
      </c>
      <c r="G844" t="s">
        <v>181</v>
      </c>
      <c r="H844" t="s">
        <v>78</v>
      </c>
      <c r="K844" t="s">
        <v>194</v>
      </c>
      <c r="L844" t="s">
        <v>215</v>
      </c>
      <c r="M844" t="s">
        <v>120</v>
      </c>
      <c r="N844" t="s">
        <v>120</v>
      </c>
      <c r="O844" t="s">
        <v>62</v>
      </c>
      <c r="P844" t="s">
        <v>196</v>
      </c>
      <c r="Q844" t="s">
        <v>64</v>
      </c>
      <c r="R844" t="s">
        <v>83</v>
      </c>
      <c r="S844" t="s">
        <v>74</v>
      </c>
      <c r="T844" t="s">
        <v>64</v>
      </c>
      <c r="U844" t="s">
        <v>75</v>
      </c>
      <c r="V844">
        <v>439</v>
      </c>
      <c r="W844">
        <v>16.079999999999998</v>
      </c>
      <c r="X844" t="s">
        <v>67</v>
      </c>
      <c r="Y844" t="s">
        <v>67</v>
      </c>
      <c r="Z844" t="s">
        <v>67</v>
      </c>
      <c r="AA844" t="s">
        <v>67</v>
      </c>
      <c r="AB844" t="s">
        <v>67</v>
      </c>
      <c r="AC844">
        <v>525</v>
      </c>
      <c r="AD844">
        <v>21.07</v>
      </c>
      <c r="AE844" t="s">
        <v>67</v>
      </c>
      <c r="AF844" t="s">
        <v>67</v>
      </c>
      <c r="AG844" t="s">
        <v>67</v>
      </c>
      <c r="AH844" t="s">
        <v>67</v>
      </c>
      <c r="AI844">
        <v>-0.6</v>
      </c>
      <c r="AJ844">
        <v>0.17</v>
      </c>
      <c r="AK844" t="s">
        <v>67</v>
      </c>
      <c r="AL844">
        <v>4</v>
      </c>
      <c r="AM844">
        <v>0.44</v>
      </c>
      <c r="AN844" t="s">
        <v>67</v>
      </c>
      <c r="AO844">
        <v>86</v>
      </c>
      <c r="AP844">
        <v>4.5999999999999996</v>
      </c>
      <c r="AQ844" t="s">
        <v>67</v>
      </c>
      <c r="AR844" t="s">
        <v>400</v>
      </c>
      <c r="AS844" t="s">
        <v>401</v>
      </c>
      <c r="AT844" t="s">
        <v>135</v>
      </c>
      <c r="AU844" t="s">
        <v>402</v>
      </c>
      <c r="AV844" t="s">
        <v>132</v>
      </c>
      <c r="AX844" t="s">
        <v>73</v>
      </c>
      <c r="AY844">
        <v>0.81299999999999994</v>
      </c>
      <c r="AZ844">
        <v>0.81299999999999994</v>
      </c>
      <c r="BA844">
        <v>0.02</v>
      </c>
      <c r="BC844">
        <v>10</v>
      </c>
      <c r="BD844">
        <v>0.11600000000000001</v>
      </c>
      <c r="BE844">
        <v>0.11600000000000001</v>
      </c>
      <c r="BF844">
        <v>0.27</v>
      </c>
      <c r="BH844">
        <v>10</v>
      </c>
      <c r="BI844">
        <v>49</v>
      </c>
      <c r="BJ844">
        <v>1</v>
      </c>
      <c r="BK844">
        <v>-1.9471000000000001</v>
      </c>
      <c r="BL844">
        <v>5.4183000000000003</v>
      </c>
    </row>
    <row r="845" spans="1:65" hidden="1" x14ac:dyDescent="0.2">
      <c r="A845">
        <v>142</v>
      </c>
      <c r="D845" t="s">
        <v>54</v>
      </c>
      <c r="E845">
        <v>2017</v>
      </c>
      <c r="F845" t="s">
        <v>193</v>
      </c>
      <c r="G845" t="s">
        <v>181</v>
      </c>
      <c r="H845" t="s">
        <v>78</v>
      </c>
      <c r="K845" t="s">
        <v>194</v>
      </c>
      <c r="L845" t="s">
        <v>195</v>
      </c>
      <c r="M845" t="s">
        <v>120</v>
      </c>
      <c r="N845" t="s">
        <v>120</v>
      </c>
      <c r="O845" t="s">
        <v>106</v>
      </c>
      <c r="P845" t="s">
        <v>196</v>
      </c>
      <c r="Q845" t="s">
        <v>64</v>
      </c>
      <c r="R845" t="s">
        <v>83</v>
      </c>
      <c r="S845" t="s">
        <v>64</v>
      </c>
      <c r="T845" t="s">
        <v>74</v>
      </c>
      <c r="U845" t="s">
        <v>84</v>
      </c>
      <c r="V845">
        <v>439</v>
      </c>
      <c r="W845">
        <v>16.079999999999998</v>
      </c>
      <c r="X845" t="s">
        <v>67</v>
      </c>
      <c r="Y845" t="s">
        <v>67</v>
      </c>
      <c r="Z845" t="s">
        <v>67</v>
      </c>
      <c r="AA845" t="s">
        <v>67</v>
      </c>
      <c r="AB845" t="s">
        <v>67</v>
      </c>
      <c r="AC845">
        <v>954</v>
      </c>
      <c r="AD845">
        <v>50.38</v>
      </c>
      <c r="AE845" t="s">
        <v>67</v>
      </c>
      <c r="AF845" t="s">
        <v>67</v>
      </c>
      <c r="AG845" t="s">
        <v>67</v>
      </c>
      <c r="AH845" t="s">
        <v>67</v>
      </c>
      <c r="AI845">
        <v>-0.6</v>
      </c>
      <c r="AJ845">
        <v>0.17</v>
      </c>
      <c r="AK845" t="s">
        <v>67</v>
      </c>
      <c r="AL845">
        <v>-0.5</v>
      </c>
      <c r="AM845">
        <v>0.16</v>
      </c>
      <c r="AN845" t="s">
        <v>67</v>
      </c>
      <c r="AO845">
        <v>515</v>
      </c>
      <c r="AP845">
        <v>0.2</v>
      </c>
      <c r="AQ845" t="s">
        <v>67</v>
      </c>
      <c r="AR845" t="s">
        <v>113</v>
      </c>
      <c r="AS845" t="s">
        <v>113</v>
      </c>
      <c r="AT845" t="s">
        <v>70</v>
      </c>
      <c r="AU845" t="s">
        <v>398</v>
      </c>
      <c r="AV845" t="s">
        <v>72</v>
      </c>
      <c r="AX845" t="s">
        <v>73</v>
      </c>
      <c r="AY845">
        <v>0.1</v>
      </c>
      <c r="AZ845">
        <v>0.1</v>
      </c>
      <c r="BA845">
        <v>7.0000000000000007E-2</v>
      </c>
      <c r="BC845">
        <v>5</v>
      </c>
      <c r="BD845">
        <v>3.0000000000000001E-3</v>
      </c>
      <c r="BE845">
        <v>3.0000000000000001E-3</v>
      </c>
      <c r="BF845">
        <v>0.04</v>
      </c>
      <c r="BH845">
        <v>5</v>
      </c>
      <c r="BI845">
        <v>56</v>
      </c>
      <c r="BJ845">
        <v>1</v>
      </c>
      <c r="BK845">
        <v>-3.5066000000000002</v>
      </c>
      <c r="BL845">
        <v>178.26779999999999</v>
      </c>
    </row>
  </sheetData>
  <autoFilter ref="A1:BM845" xr:uid="{C0E5BAB8-EA3F-483E-B58E-3F3F7911B61A}">
    <filterColumn colId="7">
      <filters>
        <filter val="Fish"/>
      </filters>
    </filterColumn>
    <filterColumn colId="15">
      <filters>
        <filter val="EMBRYO"/>
        <filter val="LARVA"/>
      </filters>
    </filterColumn>
    <sortState xmlns:xlrd2="http://schemas.microsoft.com/office/spreadsheetml/2017/richdata2" ref="A4:BM827">
      <sortCondition ref="F1:F845"/>
    </sortState>
  </autoFilter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DataFish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 Jypson Esturas</cp:lastModifiedBy>
  <dcterms:created xsi:type="dcterms:W3CDTF">2025-09-22T06:31:47Z</dcterms:created>
  <dcterms:modified xsi:type="dcterms:W3CDTF">2026-09-10T07:24:45Z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2026-09-10T06:00:34Z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152e804b-6562-437d-91d5-08d9406bd7f6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</Properties>
</file>
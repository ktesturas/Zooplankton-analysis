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E:\Legion\00 Plankton Work\2025\Plankton\00 Final\Plankton\All marine life\"/>
    </mc:Choice>
  </mc:AlternateContent>
  <xr:revisionPtr revIDLastSave="0" documentId="13_ncr:1_{F46AB0BB-A6E8-43DE-A195-DABF3804399C}" xr6:coauthVersionLast="47" xr6:coauthVersionMax="47" xr10:uidLastSave="{00000000-0000-0000-0000-000000000000}"/>
  <bookViews>
    <workbookView xWindow="0" yWindow="360" windowWidth="25820" windowHeight="15500" activeTab="1" xr2:uid="{00000000-000D-0000-FFFF-FFFF00000000}"/>
  </bookViews>
  <sheets>
    <sheet name="Distribution" sheetId="1" r:id="rId1"/>
    <sheet name="Phenology" sheetId="2" r:id="rId2"/>
  </sheets>
  <definedNames>
    <definedName name="_xlnm._FilterDatabase" localSheetId="0" hidden="1">Distribution!$A$1:$R$2886</definedName>
    <definedName name="_xlnm._FilterDatabase" localSheetId="1" hidden="1">Phenology!$B$1:$AG$1269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227" i="2" l="1"/>
  <c r="Z1227" i="2" s="1"/>
  <c r="L1226" i="2"/>
  <c r="Z1226" i="2" s="1"/>
  <c r="L1225" i="2"/>
  <c r="Z1225" i="2" s="1"/>
  <c r="L1224" i="2"/>
  <c r="Z1224" i="2" s="1"/>
  <c r="L1223" i="2"/>
  <c r="Z1223" i="2" s="1"/>
  <c r="L1222" i="2"/>
  <c r="Z1222" i="2" s="1"/>
  <c r="L1221" i="2"/>
  <c r="Z1221" i="2" s="1"/>
  <c r="L1220" i="2"/>
  <c r="Z1220" i="2" s="1"/>
  <c r="L1219" i="2"/>
  <c r="Z1219" i="2" s="1"/>
  <c r="L1218" i="2"/>
  <c r="Z1218" i="2" s="1"/>
  <c r="L1217" i="2"/>
  <c r="Z1217" i="2" s="1"/>
  <c r="L1216" i="2"/>
  <c r="Z1216" i="2" s="1"/>
  <c r="L1215" i="2"/>
  <c r="Z1215" i="2" s="1"/>
  <c r="L1214" i="2"/>
  <c r="Z1214" i="2" s="1"/>
  <c r="L1213" i="2"/>
  <c r="Z1213" i="2" s="1"/>
  <c r="L1212" i="2"/>
  <c r="Z1212" i="2" s="1"/>
  <c r="L1211" i="2"/>
  <c r="Z1211" i="2" s="1"/>
  <c r="L1210" i="2"/>
  <c r="Z1210" i="2" s="1"/>
  <c r="L1209" i="2"/>
  <c r="Z1209" i="2" s="1"/>
  <c r="L1208" i="2"/>
  <c r="Z1208" i="2" s="1"/>
  <c r="L1207" i="2"/>
  <c r="Z1207" i="2" s="1"/>
  <c r="L1206" i="2"/>
  <c r="Z1206" i="2" s="1"/>
  <c r="L1205" i="2"/>
  <c r="Z1205" i="2" s="1"/>
  <c r="L1204" i="2"/>
  <c r="Z1204" i="2" s="1"/>
  <c r="L1203" i="2"/>
  <c r="Z1203" i="2" s="1"/>
  <c r="L1202" i="2"/>
  <c r="Z1202" i="2" s="1"/>
  <c r="L1201" i="2"/>
  <c r="Z1201" i="2" s="1"/>
  <c r="L1200" i="2"/>
  <c r="Z1200" i="2" s="1"/>
  <c r="L1199" i="2"/>
  <c r="Z1199" i="2" s="1"/>
  <c r="L1198" i="2"/>
  <c r="Z1198" i="2" s="1"/>
  <c r="L1197" i="2"/>
  <c r="Z1197" i="2" s="1"/>
  <c r="L1196" i="2"/>
  <c r="Z1196" i="2" s="1"/>
  <c r="L1195" i="2"/>
  <c r="Z1195" i="2" s="1"/>
  <c r="L1194" i="2"/>
  <c r="Z1194" i="2" s="1"/>
  <c r="L1193" i="2"/>
  <c r="Z1193" i="2" s="1"/>
  <c r="L1192" i="2"/>
  <c r="Z1192" i="2" s="1"/>
  <c r="L1191" i="2"/>
  <c r="Z1191" i="2" s="1"/>
  <c r="L1190" i="2"/>
  <c r="Z1190" i="2" s="1"/>
  <c r="L1189" i="2"/>
  <c r="Z1189" i="2" s="1"/>
  <c r="L1188" i="2"/>
  <c r="Z1188" i="2" s="1"/>
  <c r="L1187" i="2"/>
  <c r="Z1187" i="2" s="1"/>
  <c r="L1186" i="2"/>
  <c r="Z1186" i="2" s="1"/>
  <c r="L1185" i="2"/>
  <c r="Z1185" i="2" s="1"/>
  <c r="L1184" i="2"/>
  <c r="Z1184" i="2" s="1"/>
  <c r="L1183" i="2"/>
  <c r="Z1183" i="2" s="1"/>
  <c r="L1182" i="2"/>
  <c r="Z1182" i="2" s="1"/>
  <c r="L1181" i="2"/>
  <c r="Z1181" i="2" s="1"/>
  <c r="L1180" i="2"/>
  <c r="Z1180" i="2" s="1"/>
  <c r="L1179" i="2"/>
  <c r="Z1179" i="2" s="1"/>
  <c r="L1178" i="2"/>
  <c r="Z1178" i="2" s="1"/>
  <c r="L1177" i="2"/>
  <c r="Z1177" i="2" s="1"/>
  <c r="L1176" i="2"/>
  <c r="Z1176" i="2" s="1"/>
  <c r="L1175" i="2"/>
  <c r="Z1175" i="2" s="1"/>
  <c r="L1174" i="2"/>
  <c r="Z1174" i="2" s="1"/>
  <c r="L1173" i="2"/>
  <c r="Z1173" i="2" s="1"/>
  <c r="L1172" i="2"/>
  <c r="Z1172" i="2" s="1"/>
  <c r="L1171" i="2"/>
  <c r="Z1171" i="2" s="1"/>
  <c r="L1170" i="2"/>
  <c r="Z1170" i="2" s="1"/>
  <c r="L1169" i="2"/>
  <c r="Z1169" i="2" s="1"/>
  <c r="L1168" i="2"/>
  <c r="Z1168" i="2" s="1"/>
  <c r="L1167" i="2"/>
  <c r="Z1167" i="2" s="1"/>
  <c r="L1166" i="2"/>
  <c r="Z1166" i="2" s="1"/>
  <c r="L1165" i="2"/>
  <c r="Z1165" i="2" s="1"/>
  <c r="L1164" i="2"/>
  <c r="Z1164" i="2" s="1"/>
  <c r="L1163" i="2"/>
  <c r="Z1163" i="2" s="1"/>
  <c r="L1162" i="2"/>
  <c r="Z1162" i="2" s="1"/>
  <c r="L1161" i="2"/>
  <c r="Z1161" i="2" s="1"/>
  <c r="L1160" i="2"/>
  <c r="Z1160" i="2" s="1"/>
  <c r="L1159" i="2"/>
  <c r="Z1159" i="2" s="1"/>
  <c r="L1158" i="2"/>
  <c r="Z1158" i="2" s="1"/>
  <c r="L1157" i="2"/>
  <c r="Z1157" i="2" s="1"/>
  <c r="L1156" i="2"/>
  <c r="Z1156" i="2" s="1"/>
  <c r="L1155" i="2"/>
  <c r="Z1155" i="2" s="1"/>
  <c r="L1154" i="2"/>
  <c r="Z1154" i="2" s="1"/>
  <c r="L1153" i="2"/>
  <c r="Z1153" i="2" s="1"/>
  <c r="L1152" i="2"/>
  <c r="Z1152" i="2" s="1"/>
  <c r="L1151" i="2"/>
  <c r="Z1151" i="2" s="1"/>
  <c r="L1150" i="2"/>
  <c r="Z1150" i="2" s="1"/>
  <c r="L1149" i="2"/>
  <c r="Z1149" i="2" s="1"/>
  <c r="L1148" i="2"/>
  <c r="Z1148" i="2" s="1"/>
  <c r="L1147" i="2"/>
  <c r="Z1147" i="2" s="1"/>
  <c r="L1146" i="2"/>
  <c r="Z1146" i="2" s="1"/>
  <c r="L1145" i="2"/>
  <c r="Z1145" i="2" s="1"/>
  <c r="L1144" i="2"/>
  <c r="Z1144" i="2" s="1"/>
  <c r="L1143" i="2"/>
  <c r="Z1143" i="2" s="1"/>
  <c r="L1142" i="2"/>
  <c r="Z1142" i="2" s="1"/>
  <c r="L1141" i="2"/>
  <c r="Z1141" i="2" s="1"/>
  <c r="L1140" i="2"/>
  <c r="Z1140" i="2" s="1"/>
  <c r="L1139" i="2"/>
  <c r="Z1139" i="2" s="1"/>
  <c r="L1138" i="2"/>
  <c r="Z1138" i="2" s="1"/>
  <c r="L1137" i="2"/>
  <c r="Z1137" i="2" s="1"/>
  <c r="L1136" i="2"/>
  <c r="Z1136" i="2" s="1"/>
  <c r="L1135" i="2"/>
  <c r="Z1135" i="2" s="1"/>
  <c r="L1134" i="2"/>
  <c r="Z1134" i="2" s="1"/>
  <c r="L1133" i="2"/>
  <c r="Z1133" i="2" s="1"/>
  <c r="L1132" i="2"/>
  <c r="Z1132" i="2" s="1"/>
  <c r="L1131" i="2"/>
  <c r="Z1131" i="2" s="1"/>
  <c r="L1130" i="2"/>
  <c r="Z1130" i="2" s="1"/>
  <c r="L1129" i="2"/>
  <c r="Z1129" i="2" s="1"/>
  <c r="L1128" i="2"/>
  <c r="Z1128" i="2" s="1"/>
  <c r="L1127" i="2"/>
  <c r="Z1127" i="2" s="1"/>
  <c r="L1126" i="2"/>
  <c r="Z1126" i="2" s="1"/>
  <c r="L1125" i="2"/>
  <c r="Z1125" i="2" s="1"/>
  <c r="L1124" i="2"/>
  <c r="Z1124" i="2" s="1"/>
  <c r="L1123" i="2"/>
  <c r="Z1123" i="2" s="1"/>
  <c r="L1122" i="2"/>
  <c r="Z1122" i="2" s="1"/>
  <c r="L1121" i="2"/>
  <c r="Z1121" i="2" s="1"/>
  <c r="L1120" i="2"/>
  <c r="Z1120" i="2" s="1"/>
  <c r="L1119" i="2"/>
  <c r="Z1119" i="2" s="1"/>
  <c r="L1118" i="2"/>
  <c r="Z1118" i="2" s="1"/>
  <c r="L1117" i="2"/>
  <c r="Z1117" i="2" s="1"/>
  <c r="L1116" i="2"/>
  <c r="Z1116" i="2" s="1"/>
  <c r="L1115" i="2"/>
  <c r="Z1115" i="2" s="1"/>
  <c r="L1114" i="2"/>
  <c r="Z1114" i="2" s="1"/>
  <c r="L1113" i="2"/>
  <c r="Z1113" i="2" s="1"/>
  <c r="L1112" i="2"/>
  <c r="Z1112" i="2" s="1"/>
  <c r="L1111" i="2"/>
  <c r="Z1111" i="2" s="1"/>
  <c r="L1110" i="2"/>
  <c r="Z1110" i="2" s="1"/>
  <c r="L1109" i="2"/>
  <c r="Z1109" i="2" s="1"/>
  <c r="L1108" i="2"/>
  <c r="Z1108" i="2" s="1"/>
  <c r="L1107" i="2"/>
  <c r="Z1107" i="2" s="1"/>
  <c r="L1106" i="2"/>
  <c r="Z1106" i="2" s="1"/>
  <c r="L1105" i="2"/>
  <c r="Z1105" i="2" s="1"/>
  <c r="L1104" i="2"/>
  <c r="Z1104" i="2" s="1"/>
  <c r="L1103" i="2"/>
  <c r="Z1103" i="2" s="1"/>
  <c r="L1102" i="2"/>
  <c r="Z1102" i="2" s="1"/>
  <c r="L1101" i="2"/>
  <c r="Z1101" i="2" s="1"/>
  <c r="L1100" i="2"/>
  <c r="Z1100" i="2" s="1"/>
  <c r="L1099" i="2"/>
  <c r="Z1099" i="2" s="1"/>
  <c r="L1098" i="2"/>
  <c r="Z1098" i="2" s="1"/>
  <c r="L1097" i="2"/>
  <c r="Z1097" i="2" s="1"/>
  <c r="L1096" i="2"/>
  <c r="Z1096" i="2" s="1"/>
  <c r="L1095" i="2"/>
  <c r="Z1095" i="2" s="1"/>
  <c r="L1094" i="2"/>
  <c r="Z1094" i="2" s="1"/>
  <c r="L1093" i="2"/>
  <c r="Z1093" i="2" s="1"/>
  <c r="L1092" i="2"/>
  <c r="Z1092" i="2" s="1"/>
  <c r="Z1091" i="2"/>
  <c r="L1090" i="2"/>
  <c r="Z1090" i="2" s="1"/>
  <c r="L1089" i="2"/>
  <c r="Z1089" i="2" s="1"/>
  <c r="L1088" i="2"/>
  <c r="Z1088" i="2" s="1"/>
  <c r="L1087" i="2"/>
  <c r="Z1087" i="2" s="1"/>
  <c r="L1086" i="2"/>
  <c r="Z1086" i="2" s="1"/>
  <c r="L1085" i="2"/>
  <c r="Z1085" i="2" s="1"/>
  <c r="L1084" i="2"/>
  <c r="Z1084" i="2" s="1"/>
  <c r="L1083" i="2"/>
  <c r="Z1083" i="2" s="1"/>
  <c r="L1082" i="2"/>
  <c r="Z1082" i="2" s="1"/>
  <c r="L1081" i="2"/>
  <c r="Z1081" i="2" s="1"/>
  <c r="L1080" i="2"/>
  <c r="Z1080" i="2" s="1"/>
  <c r="L1079" i="2"/>
  <c r="Z1079" i="2" s="1"/>
  <c r="L1078" i="2"/>
  <c r="Z1078" i="2" s="1"/>
  <c r="L1077" i="2"/>
  <c r="Z1077" i="2" s="1"/>
  <c r="L1076" i="2"/>
  <c r="Z1076" i="2" s="1"/>
  <c r="L1075" i="2"/>
  <c r="Z1075" i="2" s="1"/>
  <c r="L1074" i="2"/>
  <c r="Z1074" i="2" s="1"/>
  <c r="L1073" i="2"/>
  <c r="Z1073" i="2" s="1"/>
  <c r="L1072" i="2"/>
  <c r="Z1072" i="2" s="1"/>
  <c r="L1071" i="2"/>
  <c r="Z1071" i="2" s="1"/>
  <c r="L1070" i="2"/>
  <c r="Z1070" i="2" s="1"/>
  <c r="V1069" i="2"/>
  <c r="L1069" i="2"/>
  <c r="Z1069" i="2" s="1"/>
  <c r="V1068" i="2"/>
  <c r="L1068" i="2"/>
  <c r="Z1068" i="2" s="1"/>
  <c r="L1067" i="2"/>
  <c r="Z1067" i="2" s="1"/>
  <c r="L1066" i="2"/>
  <c r="Z1066" i="2" s="1"/>
  <c r="L1065" i="2"/>
  <c r="Z1065" i="2" s="1"/>
  <c r="L1064" i="2"/>
  <c r="V1064" i="2" s="1"/>
  <c r="L1063" i="2"/>
  <c r="L1062" i="2"/>
  <c r="V1062" i="2" s="1"/>
  <c r="T1061" i="2"/>
  <c r="L1061" i="2"/>
  <c r="V1061" i="2" s="1"/>
  <c r="T1060" i="2"/>
  <c r="L1060" i="2"/>
  <c r="Z1060" i="2" s="1"/>
  <c r="L1059" i="2"/>
  <c r="Z1059" i="2" s="1"/>
  <c r="W1058" i="2"/>
  <c r="L1058" i="2"/>
  <c r="X1058" i="2" s="1"/>
  <c r="W1057" i="2"/>
  <c r="L1057" i="2"/>
  <c r="W1056" i="2"/>
  <c r="L1056" i="2"/>
  <c r="Z1056" i="2" s="1"/>
  <c r="W1055" i="2"/>
  <c r="L1055" i="2"/>
  <c r="Z1055" i="2" s="1"/>
  <c r="W1054" i="2"/>
  <c r="L1054" i="2"/>
  <c r="Z1054" i="2" s="1"/>
  <c r="W1053" i="2"/>
  <c r="L1053" i="2"/>
  <c r="Z1053" i="2" s="1"/>
  <c r="W1052" i="2"/>
  <c r="L1052" i="2"/>
  <c r="Z1052" i="2" s="1"/>
  <c r="W1051" i="2"/>
  <c r="L1051" i="2"/>
  <c r="Z1051" i="2" s="1"/>
  <c r="W1050" i="2"/>
  <c r="L1050" i="2"/>
  <c r="Z1050" i="2" s="1"/>
  <c r="W1049" i="2"/>
  <c r="L1049" i="2"/>
  <c r="Z1049" i="2" s="1"/>
  <c r="W1048" i="2"/>
  <c r="L1048" i="2"/>
  <c r="Z1048" i="2" s="1"/>
  <c r="W1047" i="2"/>
  <c r="L1047" i="2"/>
  <c r="W1046" i="2"/>
  <c r="L1046" i="2"/>
  <c r="Z1046" i="2" s="1"/>
  <c r="W1045" i="2"/>
  <c r="L1045" i="2"/>
  <c r="Z1045" i="2" s="1"/>
  <c r="W1044" i="2"/>
  <c r="L1044" i="2"/>
  <c r="Z1044" i="2" s="1"/>
  <c r="W1043" i="2"/>
  <c r="L1043" i="2"/>
  <c r="Z1043" i="2" s="1"/>
  <c r="W1042" i="2"/>
  <c r="L1042" i="2"/>
  <c r="W1041" i="2"/>
  <c r="L1041" i="2"/>
  <c r="X1041" i="2" s="1"/>
  <c r="W1040" i="2"/>
  <c r="L1040" i="2"/>
  <c r="W1039" i="2"/>
  <c r="L1039" i="2"/>
  <c r="Z1039" i="2" s="1"/>
  <c r="W1038" i="2"/>
  <c r="L1038" i="2"/>
  <c r="Z1038" i="2" s="1"/>
  <c r="W1037" i="2"/>
  <c r="L1037" i="2"/>
  <c r="X1037" i="2" s="1"/>
  <c r="W1036" i="2"/>
  <c r="L1036" i="2"/>
  <c r="W1035" i="2"/>
  <c r="L1035" i="2"/>
  <c r="Z1035" i="2" s="1"/>
  <c r="W1034" i="2"/>
  <c r="L1034" i="2"/>
  <c r="W1033" i="2"/>
  <c r="L1033" i="2"/>
  <c r="X1033" i="2" s="1"/>
  <c r="W1032" i="2"/>
  <c r="L1032" i="2"/>
  <c r="Z1032" i="2" s="1"/>
  <c r="W1031" i="2"/>
  <c r="L1031" i="2"/>
  <c r="X1031" i="2" s="1"/>
  <c r="W1030" i="2"/>
  <c r="L1030" i="2"/>
  <c r="Z1030" i="2" s="1"/>
  <c r="W1029" i="2"/>
  <c r="L1029" i="2"/>
  <c r="W1028" i="2"/>
  <c r="L1028" i="2"/>
  <c r="W1027" i="2"/>
  <c r="L1027" i="2"/>
  <c r="X1027" i="2" s="1"/>
  <c r="W1026" i="2"/>
  <c r="L1026" i="2"/>
  <c r="X1026" i="2" s="1"/>
  <c r="W1025" i="2"/>
  <c r="L1025" i="2"/>
  <c r="Z1025" i="2" s="1"/>
  <c r="W1024" i="2"/>
  <c r="L1024" i="2"/>
  <c r="W1023" i="2"/>
  <c r="L1023" i="2"/>
  <c r="Z1023" i="2" s="1"/>
  <c r="W1022" i="2"/>
  <c r="L1022" i="2"/>
  <c r="W1021" i="2"/>
  <c r="L1021" i="2"/>
  <c r="Z1021" i="2" s="1"/>
  <c r="W1020" i="2"/>
  <c r="L1020" i="2"/>
  <c r="Z1020" i="2" s="1"/>
  <c r="W1019" i="2"/>
  <c r="L1019" i="2"/>
  <c r="Z1019" i="2" s="1"/>
  <c r="W1018" i="2"/>
  <c r="L1018" i="2"/>
  <c r="Z1018" i="2" s="1"/>
  <c r="W1017" i="2"/>
  <c r="L1017" i="2"/>
  <c r="Z1017" i="2" s="1"/>
  <c r="W1016" i="2"/>
  <c r="L1016" i="2"/>
  <c r="Z1016" i="2" s="1"/>
  <c r="W1015" i="2"/>
  <c r="L1015" i="2"/>
  <c r="Z1015" i="2" s="1"/>
  <c r="W1014" i="2"/>
  <c r="L1014" i="2"/>
  <c r="Z1014" i="2" s="1"/>
  <c r="W1013" i="2"/>
  <c r="L1013" i="2"/>
  <c r="Z1013" i="2" s="1"/>
  <c r="W1012" i="2"/>
  <c r="L1012" i="2"/>
  <c r="Z1012" i="2" s="1"/>
  <c r="W1011" i="2"/>
  <c r="L1011" i="2"/>
  <c r="Z1011" i="2" s="1"/>
  <c r="W1010" i="2"/>
  <c r="L1010" i="2"/>
  <c r="W1009" i="2"/>
  <c r="L1009" i="2"/>
  <c r="Z1009" i="2" s="1"/>
  <c r="W1008" i="2"/>
  <c r="L1008" i="2"/>
  <c r="W1007" i="2"/>
  <c r="L1007" i="2"/>
  <c r="X1007" i="2" s="1"/>
  <c r="W1006" i="2"/>
  <c r="L1006" i="2"/>
  <c r="W1005" i="2"/>
  <c r="L1005" i="2"/>
  <c r="W1004" i="2"/>
  <c r="L1004" i="2"/>
  <c r="X1004" i="2" s="1"/>
  <c r="W1003" i="2"/>
  <c r="L1003" i="2"/>
  <c r="Z1003" i="2" s="1"/>
  <c r="W1002" i="2"/>
  <c r="L1002" i="2"/>
  <c r="W1001" i="2"/>
  <c r="L1001" i="2"/>
  <c r="Z1001" i="2" s="1"/>
  <c r="W1000" i="2"/>
  <c r="L1000" i="2"/>
  <c r="Z1000" i="2" s="1"/>
  <c r="W999" i="2"/>
  <c r="L999" i="2"/>
  <c r="Z999" i="2" s="1"/>
  <c r="W998" i="2"/>
  <c r="L998" i="2"/>
  <c r="Z998" i="2" s="1"/>
  <c r="W997" i="2"/>
  <c r="L997" i="2"/>
  <c r="W996" i="2"/>
  <c r="L996" i="2"/>
  <c r="Z996" i="2" s="1"/>
  <c r="W995" i="2"/>
  <c r="L995" i="2"/>
  <c r="Z995" i="2" s="1"/>
  <c r="W994" i="2"/>
  <c r="L994" i="2"/>
  <c r="Z994" i="2" s="1"/>
  <c r="W993" i="2"/>
  <c r="L993" i="2"/>
  <c r="X993" i="2" s="1"/>
  <c r="W992" i="2"/>
  <c r="L992" i="2"/>
  <c r="X992" i="2" s="1"/>
  <c r="W991" i="2"/>
  <c r="L991" i="2"/>
  <c r="Z991" i="2" s="1"/>
  <c r="W990" i="2"/>
  <c r="L990" i="2"/>
  <c r="Z990" i="2" s="1"/>
  <c r="W989" i="2"/>
  <c r="L989" i="2"/>
  <c r="W988" i="2"/>
  <c r="L988" i="2"/>
  <c r="Z988" i="2" s="1"/>
  <c r="W987" i="2"/>
  <c r="L987" i="2"/>
  <c r="Z987" i="2" s="1"/>
  <c r="W986" i="2"/>
  <c r="L986" i="2"/>
  <c r="X986" i="2" s="1"/>
  <c r="W985" i="2"/>
  <c r="L985" i="2"/>
  <c r="Z985" i="2" s="1"/>
  <c r="W984" i="2"/>
  <c r="L984" i="2"/>
  <c r="W983" i="2"/>
  <c r="L983" i="2"/>
  <c r="Z983" i="2" s="1"/>
  <c r="W982" i="2"/>
  <c r="L982" i="2"/>
  <c r="Z982" i="2" s="1"/>
  <c r="W981" i="2"/>
  <c r="L981" i="2"/>
  <c r="Z981" i="2" s="1"/>
  <c r="W980" i="2"/>
  <c r="L980" i="2"/>
  <c r="Z980" i="2" s="1"/>
  <c r="W979" i="2"/>
  <c r="L979" i="2"/>
  <c r="X979" i="2" s="1"/>
  <c r="W978" i="2"/>
  <c r="L978" i="2"/>
  <c r="Z978" i="2" s="1"/>
  <c r="W977" i="2"/>
  <c r="L977" i="2"/>
  <c r="Z977" i="2" s="1"/>
  <c r="W976" i="2"/>
  <c r="L976" i="2"/>
  <c r="Z976" i="2" s="1"/>
  <c r="W975" i="2"/>
  <c r="L975" i="2"/>
  <c r="Z975" i="2" s="1"/>
  <c r="W974" i="2"/>
  <c r="L974" i="2"/>
  <c r="X974" i="2" s="1"/>
  <c r="W973" i="2"/>
  <c r="L973" i="2"/>
  <c r="Z973" i="2" s="1"/>
  <c r="W972" i="2"/>
  <c r="L972" i="2"/>
  <c r="Z972" i="2" s="1"/>
  <c r="W971" i="2"/>
  <c r="L971" i="2"/>
  <c r="X971" i="2" s="1"/>
  <c r="W970" i="2"/>
  <c r="L970" i="2"/>
  <c r="Z970" i="2" s="1"/>
  <c r="W969" i="2"/>
  <c r="L969" i="2"/>
  <c r="Z969" i="2" s="1"/>
  <c r="W968" i="2"/>
  <c r="L968" i="2"/>
  <c r="W967" i="2"/>
  <c r="L967" i="2"/>
  <c r="X967" i="2" s="1"/>
  <c r="W966" i="2"/>
  <c r="L966" i="2"/>
  <c r="X966" i="2" s="1"/>
  <c r="W965" i="2"/>
  <c r="L965" i="2"/>
  <c r="Z965" i="2" s="1"/>
  <c r="W964" i="2"/>
  <c r="L964" i="2"/>
  <c r="Z964" i="2" s="1"/>
  <c r="W963" i="2"/>
  <c r="L963" i="2"/>
  <c r="W962" i="2"/>
  <c r="L962" i="2"/>
  <c r="W961" i="2"/>
  <c r="L961" i="2"/>
  <c r="Z961" i="2" s="1"/>
  <c r="W960" i="2"/>
  <c r="L960" i="2"/>
  <c r="Z960" i="2" s="1"/>
  <c r="W959" i="2"/>
  <c r="L959" i="2"/>
  <c r="X959" i="2" s="1"/>
  <c r="W958" i="2"/>
  <c r="L958" i="2"/>
  <c r="X958" i="2" s="1"/>
  <c r="W957" i="2"/>
  <c r="L957" i="2"/>
  <c r="W956" i="2"/>
  <c r="L956" i="2"/>
  <c r="W955" i="2"/>
  <c r="L955" i="2"/>
  <c r="Z955" i="2" s="1"/>
  <c r="W954" i="2"/>
  <c r="L954" i="2"/>
  <c r="Z954" i="2" s="1"/>
  <c r="W953" i="2"/>
  <c r="L953" i="2"/>
  <c r="Z953" i="2" s="1"/>
  <c r="W952" i="2"/>
  <c r="L952" i="2"/>
  <c r="Z952" i="2" s="1"/>
  <c r="W951" i="2"/>
  <c r="L951" i="2"/>
  <c r="X951" i="2" s="1"/>
  <c r="W950" i="2"/>
  <c r="L950" i="2"/>
  <c r="Z950" i="2" s="1"/>
  <c r="W949" i="2"/>
  <c r="L949" i="2"/>
  <c r="Z949" i="2" s="1"/>
  <c r="W948" i="2"/>
  <c r="L948" i="2"/>
  <c r="Z948" i="2" s="1"/>
  <c r="W947" i="2"/>
  <c r="L947" i="2"/>
  <c r="W946" i="2"/>
  <c r="L946" i="2"/>
  <c r="X946" i="2" s="1"/>
  <c r="W945" i="2"/>
  <c r="L945" i="2"/>
  <c r="Z945" i="2" s="1"/>
  <c r="W944" i="2"/>
  <c r="L944" i="2"/>
  <c r="X944" i="2" s="1"/>
  <c r="W943" i="2"/>
  <c r="L943" i="2"/>
  <c r="Z943" i="2" s="1"/>
  <c r="W942" i="2"/>
  <c r="L942" i="2"/>
  <c r="W941" i="2"/>
  <c r="L941" i="2"/>
  <c r="Z941" i="2" s="1"/>
  <c r="W940" i="2"/>
  <c r="L940" i="2"/>
  <c r="Z940" i="2" s="1"/>
  <c r="W939" i="2"/>
  <c r="L939" i="2"/>
  <c r="Z939" i="2" s="1"/>
  <c r="W938" i="2"/>
  <c r="L938" i="2"/>
  <c r="X938" i="2" s="1"/>
  <c r="W937" i="2"/>
  <c r="L937" i="2"/>
  <c r="X937" i="2" s="1"/>
  <c r="W936" i="2"/>
  <c r="L936" i="2"/>
  <c r="Z936" i="2" s="1"/>
  <c r="W935" i="2"/>
  <c r="L935" i="2"/>
  <c r="Z935" i="2" s="1"/>
  <c r="W934" i="2"/>
  <c r="L934" i="2"/>
  <c r="W933" i="2"/>
  <c r="L933" i="2"/>
  <c r="L932" i="2"/>
  <c r="Z932" i="2" s="1"/>
  <c r="L931" i="2"/>
  <c r="Z931" i="2" s="1"/>
  <c r="L930" i="2"/>
  <c r="Z930" i="2" s="1"/>
  <c r="L929" i="2"/>
  <c r="Z929" i="2" s="1"/>
  <c r="L928" i="2"/>
  <c r="Z928" i="2" s="1"/>
  <c r="W927" i="2"/>
  <c r="L927" i="2"/>
  <c r="Z927" i="2" s="1"/>
  <c r="W926" i="2"/>
  <c r="L926" i="2"/>
  <c r="Z926" i="2" s="1"/>
  <c r="W925" i="2"/>
  <c r="L925" i="2"/>
  <c r="Z925" i="2" s="1"/>
  <c r="W924" i="2"/>
  <c r="L924" i="2"/>
  <c r="Z924" i="2" s="1"/>
  <c r="W923" i="2"/>
  <c r="L923" i="2"/>
  <c r="Z923" i="2" s="1"/>
  <c r="W922" i="2"/>
  <c r="L922" i="2"/>
  <c r="Z922" i="2" s="1"/>
  <c r="W921" i="2"/>
  <c r="L921" i="2"/>
  <c r="Z921" i="2" s="1"/>
  <c r="W920" i="2"/>
  <c r="L920" i="2"/>
  <c r="Z920" i="2" s="1"/>
  <c r="W919" i="2"/>
  <c r="L919" i="2"/>
  <c r="Z919" i="2" s="1"/>
  <c r="W918" i="2"/>
  <c r="L918" i="2"/>
  <c r="Z918" i="2" s="1"/>
  <c r="W917" i="2"/>
  <c r="L917" i="2"/>
  <c r="Z917" i="2" s="1"/>
  <c r="W916" i="2"/>
  <c r="L916" i="2"/>
  <c r="Z916" i="2" s="1"/>
  <c r="W915" i="2"/>
  <c r="L915" i="2"/>
  <c r="Z915" i="2" s="1"/>
  <c r="W914" i="2"/>
  <c r="L914" i="2"/>
  <c r="Z914" i="2" s="1"/>
  <c r="W913" i="2"/>
  <c r="L913" i="2"/>
  <c r="Z913" i="2" s="1"/>
  <c r="W912" i="2"/>
  <c r="L912" i="2"/>
  <c r="Z912" i="2" s="1"/>
  <c r="W911" i="2"/>
  <c r="L911" i="2"/>
  <c r="Z911" i="2" s="1"/>
  <c r="W910" i="2"/>
  <c r="L910" i="2"/>
  <c r="Z910" i="2" s="1"/>
  <c r="W909" i="2"/>
  <c r="L909" i="2"/>
  <c r="Z909" i="2" s="1"/>
  <c r="W908" i="2"/>
  <c r="L908" i="2"/>
  <c r="Z908" i="2" s="1"/>
  <c r="W907" i="2"/>
  <c r="L907" i="2"/>
  <c r="Z907" i="2" s="1"/>
  <c r="W906" i="2"/>
  <c r="L906" i="2"/>
  <c r="Z906" i="2" s="1"/>
  <c r="W905" i="2"/>
  <c r="L905" i="2"/>
  <c r="Z905" i="2" s="1"/>
  <c r="W904" i="2"/>
  <c r="L904" i="2"/>
  <c r="Z904" i="2" s="1"/>
  <c r="W903" i="2"/>
  <c r="L903" i="2"/>
  <c r="Z903" i="2" s="1"/>
  <c r="W902" i="2"/>
  <c r="L902" i="2"/>
  <c r="Z902" i="2" s="1"/>
  <c r="W901" i="2"/>
  <c r="L901" i="2"/>
  <c r="Z901" i="2" s="1"/>
  <c r="W900" i="2"/>
  <c r="L900" i="2"/>
  <c r="Z900" i="2" s="1"/>
  <c r="W899" i="2"/>
  <c r="L899" i="2"/>
  <c r="Z899" i="2" s="1"/>
  <c r="W898" i="2"/>
  <c r="L898" i="2"/>
  <c r="Z898" i="2" s="1"/>
  <c r="W897" i="2"/>
  <c r="L897" i="2"/>
  <c r="Z897" i="2" s="1"/>
  <c r="W896" i="2"/>
  <c r="L896" i="2"/>
  <c r="Z896" i="2" s="1"/>
  <c r="W895" i="2"/>
  <c r="L895" i="2"/>
  <c r="Z895" i="2" s="1"/>
  <c r="W894" i="2"/>
  <c r="L894" i="2"/>
  <c r="Z894" i="2" s="1"/>
  <c r="W893" i="2"/>
  <c r="L893" i="2"/>
  <c r="Z893" i="2" s="1"/>
  <c r="W892" i="2"/>
  <c r="L892" i="2"/>
  <c r="Z892" i="2" s="1"/>
  <c r="W891" i="2"/>
  <c r="L891" i="2"/>
  <c r="Z891" i="2" s="1"/>
  <c r="W890" i="2"/>
  <c r="L890" i="2"/>
  <c r="Z890" i="2" s="1"/>
  <c r="W889" i="2"/>
  <c r="L889" i="2"/>
  <c r="Z889" i="2" s="1"/>
  <c r="W888" i="2"/>
  <c r="L888" i="2"/>
  <c r="Z888" i="2" s="1"/>
  <c r="W887" i="2"/>
  <c r="L887" i="2"/>
  <c r="Z887" i="2" s="1"/>
  <c r="W886" i="2"/>
  <c r="L886" i="2"/>
  <c r="Z886" i="2" s="1"/>
  <c r="W885" i="2"/>
  <c r="L885" i="2"/>
  <c r="Z885" i="2" s="1"/>
  <c r="W884" i="2"/>
  <c r="L884" i="2"/>
  <c r="Z884" i="2" s="1"/>
  <c r="W883" i="2"/>
  <c r="L883" i="2"/>
  <c r="Z883" i="2" s="1"/>
  <c r="W882" i="2"/>
  <c r="L882" i="2"/>
  <c r="Z882" i="2" s="1"/>
  <c r="W881" i="2"/>
  <c r="L881" i="2"/>
  <c r="Z881" i="2" s="1"/>
  <c r="W880" i="2"/>
  <c r="L880" i="2"/>
  <c r="Z880" i="2" s="1"/>
  <c r="W879" i="2"/>
  <c r="L879" i="2"/>
  <c r="Z879" i="2" s="1"/>
  <c r="W878" i="2"/>
  <c r="L878" i="2"/>
  <c r="Z878" i="2" s="1"/>
  <c r="W877" i="2"/>
  <c r="L877" i="2"/>
  <c r="Z877" i="2" s="1"/>
  <c r="W876" i="2"/>
  <c r="L876" i="2"/>
  <c r="Z876" i="2" s="1"/>
  <c r="W875" i="2"/>
  <c r="L875" i="2"/>
  <c r="Z875" i="2" s="1"/>
  <c r="W874" i="2"/>
  <c r="L874" i="2"/>
  <c r="Z874" i="2" s="1"/>
  <c r="W873" i="2"/>
  <c r="L873" i="2"/>
  <c r="Z873" i="2" s="1"/>
  <c r="W872" i="2"/>
  <c r="L872" i="2"/>
  <c r="Z872" i="2" s="1"/>
  <c r="W871" i="2"/>
  <c r="L871" i="2"/>
  <c r="Z871" i="2" s="1"/>
  <c r="W870" i="2"/>
  <c r="L870" i="2"/>
  <c r="Z870" i="2" s="1"/>
  <c r="W869" i="2"/>
  <c r="L869" i="2"/>
  <c r="Z869" i="2" s="1"/>
  <c r="W868" i="2"/>
  <c r="L868" i="2"/>
  <c r="Z868" i="2" s="1"/>
  <c r="W867" i="2"/>
  <c r="L867" i="2"/>
  <c r="Z867" i="2" s="1"/>
  <c r="W866" i="2"/>
  <c r="L866" i="2"/>
  <c r="Z866" i="2" s="1"/>
  <c r="W865" i="2"/>
  <c r="L865" i="2"/>
  <c r="Z865" i="2" s="1"/>
  <c r="W864" i="2"/>
  <c r="L864" i="2"/>
  <c r="Z864" i="2" s="1"/>
  <c r="W863" i="2"/>
  <c r="L863" i="2"/>
  <c r="Z863" i="2" s="1"/>
  <c r="W862" i="2"/>
  <c r="L862" i="2"/>
  <c r="Z862" i="2" s="1"/>
  <c r="W861" i="2"/>
  <c r="L861" i="2"/>
  <c r="Z861" i="2" s="1"/>
  <c r="W860" i="2"/>
  <c r="L860" i="2"/>
  <c r="Z860" i="2" s="1"/>
  <c r="W859" i="2"/>
  <c r="L859" i="2"/>
  <c r="Z859" i="2" s="1"/>
  <c r="W858" i="2"/>
  <c r="L858" i="2"/>
  <c r="Z858" i="2" s="1"/>
  <c r="W857" i="2"/>
  <c r="L857" i="2"/>
  <c r="Z857" i="2" s="1"/>
  <c r="W856" i="2"/>
  <c r="L856" i="2"/>
  <c r="Z856" i="2" s="1"/>
  <c r="W855" i="2"/>
  <c r="L855" i="2"/>
  <c r="Z855" i="2" s="1"/>
  <c r="W854" i="2"/>
  <c r="L854" i="2"/>
  <c r="Z854" i="2" s="1"/>
  <c r="W853" i="2"/>
  <c r="L853" i="2"/>
  <c r="Z853" i="2" s="1"/>
  <c r="W852" i="2"/>
  <c r="L852" i="2"/>
  <c r="Z852" i="2" s="1"/>
  <c r="W851" i="2"/>
  <c r="L851" i="2"/>
  <c r="Z851" i="2" s="1"/>
  <c r="W850" i="2"/>
  <c r="L850" i="2"/>
  <c r="Z850" i="2" s="1"/>
  <c r="W849" i="2"/>
  <c r="L849" i="2"/>
  <c r="Z849" i="2" s="1"/>
  <c r="W848" i="2"/>
  <c r="L848" i="2"/>
  <c r="Z848" i="2" s="1"/>
  <c r="W847" i="2"/>
  <c r="L847" i="2"/>
  <c r="Z847" i="2" s="1"/>
  <c r="W846" i="2"/>
  <c r="L846" i="2"/>
  <c r="Z846" i="2" s="1"/>
  <c r="W845" i="2"/>
  <c r="L845" i="2"/>
  <c r="Z845" i="2" s="1"/>
  <c r="W844" i="2"/>
  <c r="L844" i="2"/>
  <c r="Z844" i="2" s="1"/>
  <c r="W843" i="2"/>
  <c r="L843" i="2"/>
  <c r="Z843" i="2" s="1"/>
  <c r="W842" i="2"/>
  <c r="L842" i="2"/>
  <c r="Z842" i="2" s="1"/>
  <c r="W841" i="2"/>
  <c r="L841" i="2"/>
  <c r="Z841" i="2" s="1"/>
  <c r="W840" i="2"/>
  <c r="L840" i="2"/>
  <c r="Z840" i="2" s="1"/>
  <c r="W839" i="2"/>
  <c r="L839" i="2"/>
  <c r="Z839" i="2" s="1"/>
  <c r="W838" i="2"/>
  <c r="L838" i="2"/>
  <c r="Z838" i="2" s="1"/>
  <c r="W837" i="2"/>
  <c r="L837" i="2"/>
  <c r="Z837" i="2" s="1"/>
  <c r="W836" i="2"/>
  <c r="L836" i="2"/>
  <c r="Z836" i="2" s="1"/>
  <c r="W835" i="2"/>
  <c r="L835" i="2"/>
  <c r="Z835" i="2" s="1"/>
  <c r="W834" i="2"/>
  <c r="L834" i="2"/>
  <c r="Z834" i="2" s="1"/>
  <c r="W833" i="2"/>
  <c r="L833" i="2"/>
  <c r="Z833" i="2" s="1"/>
  <c r="W832" i="2"/>
  <c r="L832" i="2"/>
  <c r="Z832" i="2" s="1"/>
  <c r="W831" i="2"/>
  <c r="L831" i="2"/>
  <c r="Z831" i="2" s="1"/>
  <c r="W830" i="2"/>
  <c r="L830" i="2"/>
  <c r="Z830" i="2" s="1"/>
  <c r="W829" i="2"/>
  <c r="L829" i="2"/>
  <c r="Z829" i="2" s="1"/>
  <c r="W828" i="2"/>
  <c r="L828" i="2"/>
  <c r="Z828" i="2" s="1"/>
  <c r="W827" i="2"/>
  <c r="L827" i="2"/>
  <c r="Z827" i="2" s="1"/>
  <c r="W826" i="2"/>
  <c r="L826" i="2"/>
  <c r="Z826" i="2" s="1"/>
  <c r="W825" i="2"/>
  <c r="L825" i="2"/>
  <c r="Z825" i="2" s="1"/>
  <c r="W824" i="2"/>
  <c r="L824" i="2"/>
  <c r="Z824" i="2" s="1"/>
  <c r="W823" i="2"/>
  <c r="L823" i="2"/>
  <c r="Z823" i="2" s="1"/>
  <c r="W822" i="2"/>
  <c r="L822" i="2"/>
  <c r="Z822" i="2" s="1"/>
  <c r="W821" i="2"/>
  <c r="L821" i="2"/>
  <c r="Z821" i="2" s="1"/>
  <c r="W820" i="2"/>
  <c r="L820" i="2"/>
  <c r="Z820" i="2" s="1"/>
  <c r="W819" i="2"/>
  <c r="L819" i="2"/>
  <c r="Z819" i="2" s="1"/>
  <c r="W818" i="2"/>
  <c r="L818" i="2"/>
  <c r="Z818" i="2" s="1"/>
  <c r="W817" i="2"/>
  <c r="L817" i="2"/>
  <c r="Z817" i="2" s="1"/>
  <c r="W816" i="2"/>
  <c r="L816" i="2"/>
  <c r="Z816" i="2" s="1"/>
  <c r="W815" i="2"/>
  <c r="L815" i="2"/>
  <c r="Z815" i="2" s="1"/>
  <c r="W814" i="2"/>
  <c r="L814" i="2"/>
  <c r="Z814" i="2" s="1"/>
  <c r="W813" i="2"/>
  <c r="L813" i="2"/>
  <c r="Z813" i="2" s="1"/>
  <c r="W812" i="2"/>
  <c r="L812" i="2"/>
  <c r="Z812" i="2" s="1"/>
  <c r="W811" i="2"/>
  <c r="L811" i="2"/>
  <c r="Z811" i="2" s="1"/>
  <c r="W810" i="2"/>
  <c r="L810" i="2"/>
  <c r="Z810" i="2" s="1"/>
  <c r="W809" i="2"/>
  <c r="L809" i="2"/>
  <c r="Z809" i="2" s="1"/>
  <c r="W808" i="2"/>
  <c r="L808" i="2"/>
  <c r="Z808" i="2" s="1"/>
  <c r="W807" i="2"/>
  <c r="L807" i="2"/>
  <c r="Z807" i="2" s="1"/>
  <c r="W806" i="2"/>
  <c r="L806" i="2"/>
  <c r="Z806" i="2" s="1"/>
  <c r="W805" i="2"/>
  <c r="L805" i="2"/>
  <c r="Z805" i="2" s="1"/>
  <c r="W804" i="2"/>
  <c r="L804" i="2"/>
  <c r="Z804" i="2" s="1"/>
  <c r="W803" i="2"/>
  <c r="L803" i="2"/>
  <c r="Z803" i="2" s="1"/>
  <c r="W802" i="2"/>
  <c r="L802" i="2"/>
  <c r="Z802" i="2" s="1"/>
  <c r="W801" i="2"/>
  <c r="L801" i="2"/>
  <c r="Z801" i="2" s="1"/>
  <c r="W800" i="2"/>
  <c r="L800" i="2"/>
  <c r="Z800" i="2" s="1"/>
  <c r="W799" i="2"/>
  <c r="L799" i="2"/>
  <c r="Z799" i="2" s="1"/>
  <c r="W798" i="2"/>
  <c r="L798" i="2"/>
  <c r="Z798" i="2" s="1"/>
  <c r="W797" i="2"/>
  <c r="L797" i="2"/>
  <c r="Z797" i="2" s="1"/>
  <c r="W796" i="2"/>
  <c r="L796" i="2"/>
  <c r="Z796" i="2" s="1"/>
  <c r="W795" i="2"/>
  <c r="L795" i="2"/>
  <c r="Z795" i="2" s="1"/>
  <c r="W794" i="2"/>
  <c r="L794" i="2"/>
  <c r="Z794" i="2" s="1"/>
  <c r="W793" i="2"/>
  <c r="L793" i="2"/>
  <c r="Z793" i="2" s="1"/>
  <c r="W792" i="2"/>
  <c r="L792" i="2"/>
  <c r="Z792" i="2" s="1"/>
  <c r="W791" i="2"/>
  <c r="L791" i="2"/>
  <c r="Z791" i="2" s="1"/>
  <c r="W790" i="2"/>
  <c r="L790" i="2"/>
  <c r="Z790" i="2" s="1"/>
  <c r="W789" i="2"/>
  <c r="L789" i="2"/>
  <c r="Z789" i="2" s="1"/>
  <c r="W788" i="2"/>
  <c r="L788" i="2"/>
  <c r="Z788" i="2" s="1"/>
  <c r="W787" i="2"/>
  <c r="L787" i="2"/>
  <c r="Z787" i="2" s="1"/>
  <c r="W786" i="2"/>
  <c r="L786" i="2"/>
  <c r="Z786" i="2" s="1"/>
  <c r="W785" i="2"/>
  <c r="L785" i="2"/>
  <c r="Z785" i="2" s="1"/>
  <c r="W784" i="2"/>
  <c r="L784" i="2"/>
  <c r="Z784" i="2" s="1"/>
  <c r="W783" i="2"/>
  <c r="L783" i="2"/>
  <c r="Z783" i="2" s="1"/>
  <c r="W782" i="2"/>
  <c r="L782" i="2"/>
  <c r="Z782" i="2" s="1"/>
  <c r="W781" i="2"/>
  <c r="L781" i="2"/>
  <c r="Z781" i="2" s="1"/>
  <c r="W780" i="2"/>
  <c r="L780" i="2"/>
  <c r="Z780" i="2" s="1"/>
  <c r="W779" i="2"/>
  <c r="L779" i="2"/>
  <c r="Z779" i="2" s="1"/>
  <c r="W778" i="2"/>
  <c r="L778" i="2"/>
  <c r="Z778" i="2" s="1"/>
  <c r="W777" i="2"/>
  <c r="L777" i="2"/>
  <c r="Z777" i="2" s="1"/>
  <c r="W776" i="2"/>
  <c r="L776" i="2"/>
  <c r="Z776" i="2" s="1"/>
  <c r="W775" i="2"/>
  <c r="L775" i="2"/>
  <c r="Z775" i="2" s="1"/>
  <c r="W774" i="2"/>
  <c r="L774" i="2"/>
  <c r="Z774" i="2" s="1"/>
  <c r="W773" i="2"/>
  <c r="L773" i="2"/>
  <c r="Z773" i="2" s="1"/>
  <c r="W772" i="2"/>
  <c r="L772" i="2"/>
  <c r="Z772" i="2" s="1"/>
  <c r="W771" i="2"/>
  <c r="L771" i="2"/>
  <c r="Z771" i="2" s="1"/>
  <c r="W770" i="2"/>
  <c r="L770" i="2"/>
  <c r="Z770" i="2" s="1"/>
  <c r="W769" i="2"/>
  <c r="L769" i="2"/>
  <c r="Z769" i="2" s="1"/>
  <c r="W768" i="2"/>
  <c r="L768" i="2"/>
  <c r="Z768" i="2" s="1"/>
  <c r="W767" i="2"/>
  <c r="L767" i="2"/>
  <c r="Z767" i="2" s="1"/>
  <c r="W766" i="2"/>
  <c r="L766" i="2"/>
  <c r="Z766" i="2" s="1"/>
  <c r="W765" i="2"/>
  <c r="L765" i="2"/>
  <c r="Z765" i="2" s="1"/>
  <c r="W764" i="2"/>
  <c r="L764" i="2"/>
  <c r="Z764" i="2" s="1"/>
  <c r="W763" i="2"/>
  <c r="L763" i="2"/>
  <c r="Z763" i="2" s="1"/>
  <c r="W762" i="2"/>
  <c r="L762" i="2"/>
  <c r="Z762" i="2" s="1"/>
  <c r="W761" i="2"/>
  <c r="L761" i="2"/>
  <c r="Z761" i="2" s="1"/>
  <c r="W760" i="2"/>
  <c r="L760" i="2"/>
  <c r="Z760" i="2" s="1"/>
  <c r="W759" i="2"/>
  <c r="L759" i="2"/>
  <c r="Z759" i="2" s="1"/>
  <c r="W758" i="2"/>
  <c r="L758" i="2"/>
  <c r="Z758" i="2" s="1"/>
  <c r="W757" i="2"/>
  <c r="L757" i="2"/>
  <c r="Z757" i="2" s="1"/>
  <c r="W756" i="2"/>
  <c r="L756" i="2"/>
  <c r="Z756" i="2" s="1"/>
  <c r="W755" i="2"/>
  <c r="L755" i="2"/>
  <c r="Z755" i="2" s="1"/>
  <c r="W754" i="2"/>
  <c r="L754" i="2"/>
  <c r="Z754" i="2" s="1"/>
  <c r="W753" i="2"/>
  <c r="L753" i="2"/>
  <c r="Z753" i="2" s="1"/>
  <c r="W752" i="2"/>
  <c r="L752" i="2"/>
  <c r="Z752" i="2" s="1"/>
  <c r="W751" i="2"/>
  <c r="L751" i="2"/>
  <c r="Z751" i="2" s="1"/>
  <c r="W750" i="2"/>
  <c r="L750" i="2"/>
  <c r="Z750" i="2" s="1"/>
  <c r="W749" i="2"/>
  <c r="L749" i="2"/>
  <c r="Z749" i="2" s="1"/>
  <c r="W748" i="2"/>
  <c r="L748" i="2"/>
  <c r="Z748" i="2" s="1"/>
  <c r="W747" i="2"/>
  <c r="L747" i="2"/>
  <c r="Z747" i="2" s="1"/>
  <c r="W746" i="2"/>
  <c r="L746" i="2"/>
  <c r="Z746" i="2" s="1"/>
  <c r="W745" i="2"/>
  <c r="L745" i="2"/>
  <c r="Z745" i="2" s="1"/>
  <c r="W744" i="2"/>
  <c r="L744" i="2"/>
  <c r="Z744" i="2" s="1"/>
  <c r="W743" i="2"/>
  <c r="L743" i="2"/>
  <c r="Z743" i="2" s="1"/>
  <c r="W742" i="2"/>
  <c r="L742" i="2"/>
  <c r="Z742" i="2" s="1"/>
  <c r="W741" i="2"/>
  <c r="L741" i="2"/>
  <c r="Z741" i="2" s="1"/>
  <c r="W740" i="2"/>
  <c r="L740" i="2"/>
  <c r="Z740" i="2" s="1"/>
  <c r="W739" i="2"/>
  <c r="L739" i="2"/>
  <c r="Z739" i="2" s="1"/>
  <c r="W738" i="2"/>
  <c r="L738" i="2"/>
  <c r="Z738" i="2" s="1"/>
  <c r="W737" i="2"/>
  <c r="L737" i="2"/>
  <c r="Z737" i="2" s="1"/>
  <c r="W736" i="2"/>
  <c r="L736" i="2"/>
  <c r="Z736" i="2" s="1"/>
  <c r="W735" i="2"/>
  <c r="L735" i="2"/>
  <c r="Z735" i="2" s="1"/>
  <c r="W734" i="2"/>
  <c r="L734" i="2"/>
  <c r="Z734" i="2" s="1"/>
  <c r="W733" i="2"/>
  <c r="L733" i="2"/>
  <c r="Z733" i="2" s="1"/>
  <c r="W732" i="2"/>
  <c r="L732" i="2"/>
  <c r="Z732" i="2" s="1"/>
  <c r="W731" i="2"/>
  <c r="L731" i="2"/>
  <c r="Z731" i="2" s="1"/>
  <c r="W730" i="2"/>
  <c r="L730" i="2"/>
  <c r="Z730" i="2" s="1"/>
  <c r="W729" i="2"/>
  <c r="L729" i="2"/>
  <c r="Z729" i="2" s="1"/>
  <c r="W728" i="2"/>
  <c r="L728" i="2"/>
  <c r="Z728" i="2" s="1"/>
  <c r="W727" i="2"/>
  <c r="L727" i="2"/>
  <c r="Z727" i="2" s="1"/>
  <c r="W726" i="2"/>
  <c r="L726" i="2"/>
  <c r="Z726" i="2" s="1"/>
  <c r="W725" i="2"/>
  <c r="L725" i="2"/>
  <c r="Z725" i="2" s="1"/>
  <c r="W724" i="2"/>
  <c r="L724" i="2"/>
  <c r="Z724" i="2" s="1"/>
  <c r="L723" i="2"/>
  <c r="Z723" i="2" s="1"/>
  <c r="L722" i="2"/>
  <c r="Z722" i="2" s="1"/>
  <c r="W721" i="2"/>
  <c r="L721" i="2"/>
  <c r="Z721" i="2" s="1"/>
  <c r="W720" i="2"/>
  <c r="L720" i="2"/>
  <c r="Z720" i="2" s="1"/>
  <c r="W719" i="2"/>
  <c r="L719" i="2"/>
  <c r="Z719" i="2" s="1"/>
  <c r="W718" i="2"/>
  <c r="L718" i="2"/>
  <c r="Z718" i="2" s="1"/>
  <c r="W717" i="2"/>
  <c r="L717" i="2"/>
  <c r="Z717" i="2" s="1"/>
  <c r="W716" i="2"/>
  <c r="L716" i="2"/>
  <c r="Z716" i="2" s="1"/>
  <c r="L715" i="2"/>
  <c r="Z715" i="2" s="1"/>
  <c r="L714" i="2"/>
  <c r="Z714" i="2" s="1"/>
  <c r="L713" i="2"/>
  <c r="Z713" i="2" s="1"/>
  <c r="L712" i="2"/>
  <c r="Z712" i="2" s="1"/>
  <c r="L711" i="2"/>
  <c r="Z711" i="2" s="1"/>
  <c r="L710" i="2"/>
  <c r="Z710" i="2" s="1"/>
  <c r="L709" i="2"/>
  <c r="Z709" i="2" s="1"/>
  <c r="V708" i="2"/>
  <c r="L708" i="2"/>
  <c r="Z708" i="2" s="1"/>
  <c r="Z707" i="2"/>
  <c r="Z706" i="2"/>
  <c r="Z705" i="2"/>
  <c r="Z704" i="2"/>
  <c r="Z703" i="2"/>
  <c r="Z702" i="2"/>
  <c r="Z701" i="2"/>
  <c r="Z700" i="2"/>
  <c r="Z699" i="2"/>
  <c r="Z698" i="2"/>
  <c r="Z697" i="2"/>
  <c r="Z696" i="2"/>
  <c r="Z695" i="2"/>
  <c r="Z694" i="2"/>
  <c r="Z693" i="2"/>
  <c r="Z692" i="2"/>
  <c r="Z691" i="2"/>
  <c r="Z690" i="2"/>
  <c r="Z689" i="2"/>
  <c r="Z688" i="2"/>
  <c r="Z687" i="2"/>
  <c r="Z686" i="2"/>
  <c r="Z685" i="2"/>
  <c r="Z684" i="2"/>
  <c r="Z683" i="2"/>
  <c r="L682" i="2"/>
  <c r="Z682" i="2" s="1"/>
  <c r="L681" i="2"/>
  <c r="Z681" i="2" s="1"/>
  <c r="L680" i="2"/>
  <c r="Z680" i="2" s="1"/>
  <c r="L679" i="2"/>
  <c r="Z679" i="2" s="1"/>
  <c r="L678" i="2"/>
  <c r="Z678" i="2" s="1"/>
  <c r="L677" i="2"/>
  <c r="Z677" i="2" s="1"/>
  <c r="L676" i="2"/>
  <c r="Z676" i="2" s="1"/>
  <c r="L675" i="2"/>
  <c r="Z675" i="2" s="1"/>
  <c r="L674" i="2"/>
  <c r="Z674" i="2" s="1"/>
  <c r="L673" i="2"/>
  <c r="Z673" i="2" s="1"/>
  <c r="L672" i="2"/>
  <c r="Z672" i="2" s="1"/>
  <c r="L671" i="2"/>
  <c r="Z671" i="2" s="1"/>
  <c r="L670" i="2"/>
  <c r="Z670" i="2" s="1"/>
  <c r="L669" i="2"/>
  <c r="Z669" i="2" s="1"/>
  <c r="L668" i="2"/>
  <c r="Z668" i="2" s="1"/>
  <c r="L667" i="2"/>
  <c r="Z667" i="2" s="1"/>
  <c r="L666" i="2"/>
  <c r="Z666" i="2" s="1"/>
  <c r="L665" i="2"/>
  <c r="Z665" i="2" s="1"/>
  <c r="L664" i="2"/>
  <c r="Z664" i="2" s="1"/>
  <c r="L663" i="2"/>
  <c r="Z663" i="2" s="1"/>
  <c r="L662" i="2"/>
  <c r="Z662" i="2" s="1"/>
  <c r="L661" i="2"/>
  <c r="Z661" i="2" s="1"/>
  <c r="L660" i="2"/>
  <c r="Z660" i="2" s="1"/>
  <c r="L659" i="2"/>
  <c r="Z659" i="2" s="1"/>
  <c r="L658" i="2"/>
  <c r="Z658" i="2" s="1"/>
  <c r="L657" i="2"/>
  <c r="Z657" i="2" s="1"/>
  <c r="L656" i="2"/>
  <c r="Z656" i="2" s="1"/>
  <c r="L655" i="2"/>
  <c r="Z655" i="2" s="1"/>
  <c r="L654" i="2"/>
  <c r="Z654" i="2" s="1"/>
  <c r="L653" i="2"/>
  <c r="Z653" i="2" s="1"/>
  <c r="L652" i="2"/>
  <c r="Z652" i="2" s="1"/>
  <c r="Z651" i="2"/>
  <c r="Z650" i="2"/>
  <c r="Z649" i="2"/>
  <c r="Z648" i="2"/>
  <c r="L647" i="2"/>
  <c r="Z647" i="2" s="1"/>
  <c r="L646" i="2"/>
  <c r="Z646" i="2" s="1"/>
  <c r="L645" i="2"/>
  <c r="Z645" i="2" s="1"/>
  <c r="L644" i="2"/>
  <c r="Z644" i="2" s="1"/>
  <c r="L643" i="2"/>
  <c r="Z643" i="2" s="1"/>
  <c r="L642" i="2"/>
  <c r="Z642" i="2" s="1"/>
  <c r="L641" i="2"/>
  <c r="Z641" i="2" s="1"/>
  <c r="L640" i="2"/>
  <c r="Z640" i="2" s="1"/>
  <c r="L639" i="2"/>
  <c r="Z639" i="2" s="1"/>
  <c r="L638" i="2"/>
  <c r="Z638" i="2" s="1"/>
  <c r="L637" i="2"/>
  <c r="Z637" i="2" s="1"/>
  <c r="L636" i="2"/>
  <c r="Z636" i="2" s="1"/>
  <c r="L635" i="2"/>
  <c r="Z635" i="2" s="1"/>
  <c r="L634" i="2"/>
  <c r="Z634" i="2" s="1"/>
  <c r="L633" i="2"/>
  <c r="Z633" i="2" s="1"/>
  <c r="L632" i="2"/>
  <c r="Z632" i="2" s="1"/>
  <c r="L631" i="2"/>
  <c r="Z631" i="2" s="1"/>
  <c r="L630" i="2"/>
  <c r="Z630" i="2" s="1"/>
  <c r="L629" i="2"/>
  <c r="Z629" i="2" s="1"/>
  <c r="L628" i="2"/>
  <c r="Z628" i="2" s="1"/>
  <c r="L627" i="2"/>
  <c r="Z627" i="2" s="1"/>
  <c r="L626" i="2"/>
  <c r="Z626" i="2" s="1"/>
  <c r="L625" i="2"/>
  <c r="Z625" i="2" s="1"/>
  <c r="L624" i="2"/>
  <c r="Z624" i="2" s="1"/>
  <c r="L623" i="2"/>
  <c r="Z623" i="2" s="1"/>
  <c r="L622" i="2"/>
  <c r="Z622" i="2" s="1"/>
  <c r="L621" i="2"/>
  <c r="Z621" i="2" s="1"/>
  <c r="L620" i="2"/>
  <c r="Z620" i="2" s="1"/>
  <c r="L619" i="2"/>
  <c r="Z619" i="2" s="1"/>
  <c r="L618" i="2"/>
  <c r="Z618" i="2" s="1"/>
  <c r="V617" i="2"/>
  <c r="L617" i="2"/>
  <c r="Z617" i="2" s="1"/>
  <c r="V616" i="2"/>
  <c r="L616" i="2"/>
  <c r="Z616" i="2" s="1"/>
  <c r="L615" i="2"/>
  <c r="Z615" i="2" s="1"/>
  <c r="L614" i="2"/>
  <c r="Z614" i="2" s="1"/>
  <c r="L613" i="2"/>
  <c r="Z613" i="2" s="1"/>
  <c r="L612" i="2"/>
  <c r="Z612" i="2" s="1"/>
  <c r="L611" i="2"/>
  <c r="Z611" i="2" s="1"/>
  <c r="L610" i="2"/>
  <c r="Z610" i="2" s="1"/>
  <c r="L609" i="2"/>
  <c r="Z609" i="2" s="1"/>
  <c r="L608" i="2"/>
  <c r="Z608" i="2" s="1"/>
  <c r="L607" i="2"/>
  <c r="Z607" i="2" s="1"/>
  <c r="L606" i="2"/>
  <c r="Z606" i="2" s="1"/>
  <c r="L605" i="2"/>
  <c r="Z605" i="2" s="1"/>
  <c r="L604" i="2"/>
  <c r="Z604" i="2" s="1"/>
  <c r="L603" i="2"/>
  <c r="Z603" i="2" s="1"/>
  <c r="L602" i="2"/>
  <c r="Z602" i="2" s="1"/>
  <c r="L601" i="2"/>
  <c r="Z601" i="2" s="1"/>
  <c r="L600" i="2"/>
  <c r="Z600" i="2" s="1"/>
  <c r="L599" i="2"/>
  <c r="Z599" i="2" s="1"/>
  <c r="L598" i="2"/>
  <c r="Z598" i="2" s="1"/>
  <c r="L597" i="2"/>
  <c r="Z597" i="2" s="1"/>
  <c r="L596" i="2"/>
  <c r="Z596" i="2" s="1"/>
  <c r="L595" i="2"/>
  <c r="Z595" i="2" s="1"/>
  <c r="L594" i="2"/>
  <c r="Z594" i="2" s="1"/>
  <c r="L593" i="2"/>
  <c r="Z593" i="2" s="1"/>
  <c r="L592" i="2"/>
  <c r="Z592" i="2" s="1"/>
  <c r="L591" i="2"/>
  <c r="Z591" i="2" s="1"/>
  <c r="L590" i="2"/>
  <c r="Z590" i="2" s="1"/>
  <c r="L589" i="2"/>
  <c r="Z589" i="2" s="1"/>
  <c r="L588" i="2"/>
  <c r="Z588" i="2" s="1"/>
  <c r="L587" i="2"/>
  <c r="Z587" i="2" s="1"/>
  <c r="L586" i="2"/>
  <c r="Z586" i="2" s="1"/>
  <c r="L585" i="2"/>
  <c r="Z585" i="2" s="1"/>
  <c r="L584" i="2"/>
  <c r="Z584" i="2" s="1"/>
  <c r="L583" i="2"/>
  <c r="Z583" i="2" s="1"/>
  <c r="L582" i="2"/>
  <c r="Z582" i="2" s="1"/>
  <c r="L581" i="2"/>
  <c r="Z581" i="2" s="1"/>
  <c r="L580" i="2"/>
  <c r="Z580" i="2" s="1"/>
  <c r="L579" i="2"/>
  <c r="Z579" i="2" s="1"/>
  <c r="L578" i="2"/>
  <c r="Z578" i="2" s="1"/>
  <c r="L577" i="2"/>
  <c r="Z577" i="2" s="1"/>
  <c r="L576" i="2"/>
  <c r="Z576" i="2" s="1"/>
  <c r="L575" i="2"/>
  <c r="Z575" i="2" s="1"/>
  <c r="L574" i="2"/>
  <c r="Z574" i="2" s="1"/>
  <c r="L573" i="2"/>
  <c r="Z573" i="2" s="1"/>
  <c r="L572" i="2"/>
  <c r="Z572" i="2" s="1"/>
  <c r="L571" i="2"/>
  <c r="Z571" i="2" s="1"/>
  <c r="L570" i="2"/>
  <c r="Z570" i="2" s="1"/>
  <c r="L569" i="2"/>
  <c r="Z569" i="2" s="1"/>
  <c r="L568" i="2"/>
  <c r="Z568" i="2" s="1"/>
  <c r="L567" i="2"/>
  <c r="Z567" i="2" s="1"/>
  <c r="L566" i="2"/>
  <c r="Z566" i="2" s="1"/>
  <c r="L565" i="2"/>
  <c r="Z565" i="2" s="1"/>
  <c r="L564" i="2"/>
  <c r="Z564" i="2" s="1"/>
  <c r="L563" i="2"/>
  <c r="Z563" i="2" s="1"/>
  <c r="L562" i="2"/>
  <c r="Z562" i="2" s="1"/>
  <c r="L561" i="2"/>
  <c r="Z561" i="2" s="1"/>
  <c r="L560" i="2"/>
  <c r="Z560" i="2" s="1"/>
  <c r="L559" i="2"/>
  <c r="Z559" i="2" s="1"/>
  <c r="L558" i="2"/>
  <c r="Z558" i="2" s="1"/>
  <c r="L557" i="2"/>
  <c r="Z557" i="2" s="1"/>
  <c r="L556" i="2"/>
  <c r="Z556" i="2" s="1"/>
  <c r="L555" i="2"/>
  <c r="Z555" i="2" s="1"/>
  <c r="L554" i="2"/>
  <c r="Z554" i="2" s="1"/>
  <c r="L553" i="2"/>
  <c r="Z553" i="2" s="1"/>
  <c r="L552" i="2"/>
  <c r="Z552" i="2" s="1"/>
  <c r="L551" i="2"/>
  <c r="Z551" i="2" s="1"/>
  <c r="L550" i="2"/>
  <c r="Z550" i="2" s="1"/>
  <c r="L549" i="2"/>
  <c r="Z549" i="2" s="1"/>
  <c r="L548" i="2"/>
  <c r="Z548" i="2" s="1"/>
  <c r="L547" i="2"/>
  <c r="Z547" i="2" s="1"/>
  <c r="L546" i="2"/>
  <c r="Z546" i="2" s="1"/>
  <c r="L545" i="2"/>
  <c r="Z545" i="2" s="1"/>
  <c r="L544" i="2"/>
  <c r="Z544" i="2" s="1"/>
  <c r="L543" i="2"/>
  <c r="Z543" i="2" s="1"/>
  <c r="V542" i="2"/>
  <c r="L542" i="2"/>
  <c r="Z542" i="2" s="1"/>
  <c r="L541" i="2"/>
  <c r="Z541" i="2" s="1"/>
  <c r="L540" i="2"/>
  <c r="Z540" i="2" s="1"/>
  <c r="L539" i="2"/>
  <c r="Z539" i="2" s="1"/>
  <c r="L538" i="2"/>
  <c r="Z538" i="2" s="1"/>
  <c r="L537" i="2"/>
  <c r="Z537" i="2" s="1"/>
  <c r="L536" i="2"/>
  <c r="Z536" i="2" s="1"/>
  <c r="L535" i="2"/>
  <c r="Z535" i="2" s="1"/>
  <c r="L534" i="2"/>
  <c r="Z534" i="2" s="1"/>
  <c r="L533" i="2"/>
  <c r="Z533" i="2" s="1"/>
  <c r="L532" i="2"/>
  <c r="Z532" i="2" s="1"/>
  <c r="L531" i="2"/>
  <c r="Z531" i="2" s="1"/>
  <c r="L530" i="2"/>
  <c r="Z530" i="2" s="1"/>
  <c r="L529" i="2"/>
  <c r="Z529" i="2" s="1"/>
  <c r="Z528" i="2"/>
  <c r="V527" i="2"/>
  <c r="L527" i="2"/>
  <c r="Z527" i="2" s="1"/>
  <c r="V526" i="2"/>
  <c r="L526" i="2"/>
  <c r="Z526" i="2" s="1"/>
  <c r="T525" i="2"/>
  <c r="L525" i="2"/>
  <c r="Z525" i="2" s="1"/>
  <c r="L524" i="2"/>
  <c r="Z524" i="2" s="1"/>
  <c r="L523" i="2"/>
  <c r="Z523" i="2" s="1"/>
  <c r="L522" i="2"/>
  <c r="L521" i="2"/>
  <c r="V521" i="2" s="1"/>
  <c r="L520" i="2"/>
  <c r="V520" i="2" s="1"/>
  <c r="L519" i="2"/>
  <c r="L518" i="2"/>
  <c r="Z518" i="2" s="1"/>
  <c r="L517" i="2"/>
  <c r="V517" i="2" s="1"/>
  <c r="L516" i="2"/>
  <c r="L515" i="2"/>
  <c r="Z515" i="2" s="1"/>
  <c r="L514" i="2"/>
  <c r="Z514" i="2" s="1"/>
  <c r="L513" i="2"/>
  <c r="Z513" i="2" s="1"/>
  <c r="L512" i="2"/>
  <c r="Z512" i="2" s="1"/>
  <c r="L511" i="2"/>
  <c r="Z511" i="2" s="1"/>
  <c r="L510" i="2"/>
  <c r="V510" i="2" s="1"/>
  <c r="L509" i="2"/>
  <c r="Z509" i="2" s="1"/>
  <c r="L508" i="2"/>
  <c r="V508" i="2" s="1"/>
  <c r="L507" i="2"/>
  <c r="Z507" i="2" s="1"/>
  <c r="V506" i="2"/>
  <c r="L506" i="2"/>
  <c r="Z506" i="2" s="1"/>
  <c r="V505" i="2"/>
  <c r="L505" i="2"/>
  <c r="Z505" i="2" s="1"/>
  <c r="V504" i="2"/>
  <c r="L504" i="2"/>
  <c r="Z504" i="2" s="1"/>
  <c r="V503" i="2"/>
  <c r="L503" i="2"/>
  <c r="Z503" i="2" s="1"/>
  <c r="V502" i="2"/>
  <c r="L502" i="2"/>
  <c r="Z502" i="2" s="1"/>
  <c r="V501" i="2"/>
  <c r="L501" i="2"/>
  <c r="Z501" i="2" s="1"/>
  <c r="V500" i="2"/>
  <c r="L500" i="2"/>
  <c r="Z500" i="2" s="1"/>
  <c r="V499" i="2"/>
  <c r="L499" i="2"/>
  <c r="Z499" i="2" s="1"/>
  <c r="V498" i="2"/>
  <c r="L498" i="2"/>
  <c r="Z498" i="2" s="1"/>
  <c r="V497" i="2"/>
  <c r="L497" i="2"/>
  <c r="Z497" i="2" s="1"/>
  <c r="V496" i="2"/>
  <c r="L496" i="2"/>
  <c r="Z496" i="2" s="1"/>
  <c r="L495" i="2"/>
  <c r="V495" i="2" s="1"/>
  <c r="L494" i="2"/>
  <c r="Z494" i="2" s="1"/>
  <c r="L493" i="2"/>
  <c r="Z493" i="2" s="1"/>
  <c r="V492" i="2"/>
  <c r="L492" i="2"/>
  <c r="Z492" i="2" s="1"/>
  <c r="V491" i="2"/>
  <c r="L491" i="2"/>
  <c r="Z491" i="2" s="1"/>
  <c r="L490" i="2"/>
  <c r="Z490" i="2" s="1"/>
  <c r="L489" i="2"/>
  <c r="Z489" i="2" s="1"/>
  <c r="I489" i="2"/>
  <c r="H489" i="2"/>
  <c r="L488" i="2"/>
  <c r="Z488" i="2" s="1"/>
  <c r="I488" i="2"/>
  <c r="H488" i="2"/>
  <c r="V487" i="2"/>
  <c r="L487" i="2"/>
  <c r="Z487" i="2" s="1"/>
  <c r="I487" i="2"/>
  <c r="H487" i="2"/>
  <c r="L486" i="2"/>
  <c r="Z486" i="2" s="1"/>
  <c r="L485" i="2"/>
  <c r="Z485" i="2" s="1"/>
  <c r="L484" i="2"/>
  <c r="Z484" i="2" s="1"/>
  <c r="L483" i="2"/>
  <c r="Z483" i="2" s="1"/>
  <c r="L482" i="2"/>
  <c r="Z482" i="2" s="1"/>
  <c r="L481" i="2"/>
  <c r="Z481" i="2" s="1"/>
  <c r="L480" i="2"/>
  <c r="Z480" i="2" s="1"/>
  <c r="L479" i="2"/>
  <c r="Z479" i="2" s="1"/>
  <c r="L478" i="2"/>
  <c r="Z478" i="2" s="1"/>
  <c r="L477" i="2"/>
  <c r="Z477" i="2" s="1"/>
  <c r="L476" i="2"/>
  <c r="Z476" i="2" s="1"/>
  <c r="L475" i="2"/>
  <c r="Z475" i="2" s="1"/>
  <c r="L474" i="2"/>
  <c r="Z474" i="2" s="1"/>
  <c r="L473" i="2"/>
  <c r="Z473" i="2" s="1"/>
  <c r="L472" i="2"/>
  <c r="Z472" i="2" s="1"/>
  <c r="L471" i="2"/>
  <c r="Z471" i="2" s="1"/>
  <c r="L470" i="2"/>
  <c r="Z470" i="2" s="1"/>
  <c r="L469" i="2"/>
  <c r="Z469" i="2" s="1"/>
  <c r="L468" i="2"/>
  <c r="Z468" i="2" s="1"/>
  <c r="L467" i="2"/>
  <c r="Z467" i="2" s="1"/>
  <c r="L466" i="2"/>
  <c r="Z466" i="2" s="1"/>
  <c r="L465" i="2"/>
  <c r="Z465" i="2" s="1"/>
  <c r="L464" i="2"/>
  <c r="Z464" i="2" s="1"/>
  <c r="L463" i="2"/>
  <c r="Z463" i="2" s="1"/>
  <c r="L462" i="2"/>
  <c r="Z462" i="2" s="1"/>
  <c r="L461" i="2"/>
  <c r="Z461" i="2" s="1"/>
  <c r="L460" i="2"/>
  <c r="Z460" i="2" s="1"/>
  <c r="L459" i="2"/>
  <c r="Z459" i="2" s="1"/>
  <c r="L458" i="2"/>
  <c r="Z458" i="2" s="1"/>
  <c r="L457" i="2"/>
  <c r="Z457" i="2" s="1"/>
  <c r="L456" i="2"/>
  <c r="Z456" i="2" s="1"/>
  <c r="L455" i="2"/>
  <c r="Z455" i="2" s="1"/>
  <c r="L454" i="2"/>
  <c r="Z454" i="2" s="1"/>
  <c r="L453" i="2"/>
  <c r="Z453" i="2" s="1"/>
  <c r="L452" i="2"/>
  <c r="Z452" i="2" s="1"/>
  <c r="L451" i="2"/>
  <c r="Z451" i="2" s="1"/>
  <c r="L450" i="2"/>
  <c r="Z450" i="2" s="1"/>
  <c r="L449" i="2"/>
  <c r="Z449" i="2" s="1"/>
  <c r="L448" i="2"/>
  <c r="Z448" i="2" s="1"/>
  <c r="L447" i="2"/>
  <c r="Z447" i="2" s="1"/>
  <c r="L446" i="2"/>
  <c r="Z446" i="2" s="1"/>
  <c r="L445" i="2"/>
  <c r="Z445" i="2" s="1"/>
  <c r="L444" i="2"/>
  <c r="Z444" i="2" s="1"/>
  <c r="I444" i="2"/>
  <c r="H444" i="2"/>
  <c r="L443" i="2"/>
  <c r="Z443" i="2" s="1"/>
  <c r="I443" i="2"/>
  <c r="H443" i="2"/>
  <c r="L442" i="2"/>
  <c r="Z442" i="2" s="1"/>
  <c r="I442" i="2"/>
  <c r="H442" i="2"/>
  <c r="L441" i="2"/>
  <c r="Z441" i="2" s="1"/>
  <c r="I441" i="2"/>
  <c r="H441" i="2"/>
  <c r="L440" i="2"/>
  <c r="Z440" i="2" s="1"/>
  <c r="I440" i="2"/>
  <c r="H440" i="2"/>
  <c r="L439" i="2"/>
  <c r="Z439" i="2" s="1"/>
  <c r="I439" i="2"/>
  <c r="H439" i="2"/>
  <c r="L438" i="2"/>
  <c r="Z438" i="2" s="1"/>
  <c r="I438" i="2"/>
  <c r="H438" i="2"/>
  <c r="L437" i="2"/>
  <c r="Z437" i="2" s="1"/>
  <c r="I437" i="2"/>
  <c r="H437" i="2"/>
  <c r="L436" i="2"/>
  <c r="Z436" i="2" s="1"/>
  <c r="I436" i="2"/>
  <c r="H436" i="2"/>
  <c r="L435" i="2"/>
  <c r="Z435" i="2" s="1"/>
  <c r="I435" i="2"/>
  <c r="H435" i="2"/>
  <c r="L434" i="2"/>
  <c r="Z434" i="2" s="1"/>
  <c r="I434" i="2"/>
  <c r="H434" i="2"/>
  <c r="L433" i="2"/>
  <c r="Z433" i="2" s="1"/>
  <c r="I433" i="2"/>
  <c r="H433" i="2"/>
  <c r="CN432" i="2"/>
  <c r="CM432" i="2"/>
  <c r="CL432" i="2"/>
  <c r="CK432" i="2"/>
  <c r="CJ432" i="2"/>
  <c r="CI432" i="2"/>
  <c r="CH432" i="2"/>
  <c r="CG432" i="2"/>
  <c r="CF432" i="2"/>
  <c r="CE432" i="2"/>
  <c r="CD432" i="2"/>
  <c r="CC432" i="2"/>
  <c r="CB432" i="2"/>
  <c r="CA432" i="2"/>
  <c r="BZ432" i="2"/>
  <c r="BY432" i="2"/>
  <c r="BX432" i="2"/>
  <c r="BW432" i="2"/>
  <c r="BV432" i="2"/>
  <c r="BU432" i="2"/>
  <c r="BT432" i="2"/>
  <c r="BS432" i="2"/>
  <c r="BR432" i="2"/>
  <c r="BQ432" i="2"/>
  <c r="BP432" i="2"/>
  <c r="BO432" i="2"/>
  <c r="BN432" i="2"/>
  <c r="BM432" i="2"/>
  <c r="BL432" i="2"/>
  <c r="BK432" i="2"/>
  <c r="BJ432" i="2"/>
  <c r="BI432" i="2"/>
  <c r="BH432" i="2"/>
  <c r="BG432" i="2"/>
  <c r="BF432" i="2"/>
  <c r="BE432" i="2"/>
  <c r="BD432" i="2"/>
  <c r="BC432" i="2"/>
  <c r="BB432" i="2"/>
  <c r="BA432" i="2"/>
  <c r="AZ432" i="2"/>
  <c r="AY432" i="2"/>
  <c r="AX432" i="2"/>
  <c r="AW432" i="2"/>
  <c r="AV432" i="2"/>
  <c r="AU432" i="2"/>
  <c r="AT432" i="2"/>
  <c r="AS432" i="2"/>
  <c r="AR432" i="2"/>
  <c r="AQ432" i="2"/>
  <c r="AP432" i="2"/>
  <c r="AO432" i="2"/>
  <c r="AN432" i="2"/>
  <c r="AM432" i="2"/>
  <c r="L432" i="2"/>
  <c r="Z432" i="2" s="1"/>
  <c r="I432" i="2"/>
  <c r="H432" i="2"/>
  <c r="L431" i="2"/>
  <c r="Z431" i="2" s="1"/>
  <c r="I431" i="2"/>
  <c r="H431" i="2"/>
  <c r="L430" i="2"/>
  <c r="Z430" i="2" s="1"/>
  <c r="I430" i="2"/>
  <c r="H430" i="2"/>
  <c r="L429" i="2"/>
  <c r="Z429" i="2" s="1"/>
  <c r="I429" i="2"/>
  <c r="H429" i="2"/>
  <c r="L428" i="2"/>
  <c r="Z428" i="2" s="1"/>
  <c r="I428" i="2"/>
  <c r="H428" i="2"/>
  <c r="L427" i="2"/>
  <c r="Z427" i="2" s="1"/>
  <c r="I427" i="2"/>
  <c r="H427" i="2"/>
  <c r="L426" i="2"/>
  <c r="Z426" i="2" s="1"/>
  <c r="I426" i="2"/>
  <c r="H426" i="2"/>
  <c r="L425" i="2"/>
  <c r="Z425" i="2" s="1"/>
  <c r="I425" i="2"/>
  <c r="H425" i="2"/>
  <c r="L424" i="2"/>
  <c r="Z424" i="2" s="1"/>
  <c r="I424" i="2"/>
  <c r="H424" i="2"/>
  <c r="L423" i="2"/>
  <c r="Z423" i="2" s="1"/>
  <c r="I423" i="2"/>
  <c r="H423" i="2"/>
  <c r="L422" i="2"/>
  <c r="Z422" i="2" s="1"/>
  <c r="I422" i="2"/>
  <c r="H422" i="2"/>
  <c r="L421" i="2"/>
  <c r="Z421" i="2" s="1"/>
  <c r="I421" i="2"/>
  <c r="H421" i="2"/>
  <c r="L420" i="2"/>
  <c r="Z420" i="2" s="1"/>
  <c r="I420" i="2"/>
  <c r="H420" i="2"/>
  <c r="L419" i="2"/>
  <c r="Z419" i="2" s="1"/>
  <c r="I419" i="2"/>
  <c r="H419" i="2"/>
  <c r="L418" i="2"/>
  <c r="Z418" i="2" s="1"/>
  <c r="I418" i="2"/>
  <c r="H418" i="2"/>
  <c r="L417" i="2"/>
  <c r="Z417" i="2" s="1"/>
  <c r="L416" i="2"/>
  <c r="Z416" i="2" s="1"/>
  <c r="L415" i="2"/>
  <c r="Z415" i="2" s="1"/>
  <c r="L414" i="2"/>
  <c r="Z414" i="2" s="1"/>
  <c r="L413" i="2"/>
  <c r="Z413" i="2" s="1"/>
  <c r="L412" i="2"/>
  <c r="Z412" i="2" s="1"/>
  <c r="L411" i="2"/>
  <c r="Z411" i="2" s="1"/>
  <c r="L410" i="2"/>
  <c r="Z410" i="2" s="1"/>
  <c r="L409" i="2"/>
  <c r="Z409" i="2" s="1"/>
  <c r="L408" i="2"/>
  <c r="Z408" i="2" s="1"/>
  <c r="L407" i="2"/>
  <c r="Z407" i="2" s="1"/>
  <c r="L406" i="2"/>
  <c r="Z406" i="2" s="1"/>
  <c r="L405" i="2"/>
  <c r="Z405" i="2" s="1"/>
  <c r="L404" i="2"/>
  <c r="Z404" i="2" s="1"/>
  <c r="L403" i="2"/>
  <c r="Z403" i="2" s="1"/>
  <c r="L402" i="2"/>
  <c r="Z402" i="2" s="1"/>
  <c r="L401" i="2"/>
  <c r="Z401" i="2" s="1"/>
  <c r="L400" i="2"/>
  <c r="Z400" i="2" s="1"/>
  <c r="L399" i="2"/>
  <c r="Z399" i="2" s="1"/>
  <c r="L398" i="2"/>
  <c r="Z398" i="2" s="1"/>
  <c r="L397" i="2"/>
  <c r="Z397" i="2" s="1"/>
  <c r="L396" i="2"/>
  <c r="Z396" i="2" s="1"/>
  <c r="L395" i="2"/>
  <c r="Z395" i="2" s="1"/>
  <c r="L394" i="2"/>
  <c r="Z394" i="2" s="1"/>
  <c r="L393" i="2"/>
  <c r="Z393" i="2" s="1"/>
  <c r="L392" i="2"/>
  <c r="Z392" i="2" s="1"/>
  <c r="L391" i="2"/>
  <c r="Z391" i="2" s="1"/>
  <c r="L390" i="2"/>
  <c r="Z390" i="2" s="1"/>
  <c r="L389" i="2"/>
  <c r="Z389" i="2" s="1"/>
  <c r="L388" i="2"/>
  <c r="Z388" i="2" s="1"/>
  <c r="L387" i="2"/>
  <c r="Z387" i="2" s="1"/>
  <c r="L386" i="2"/>
  <c r="Z386" i="2" s="1"/>
  <c r="L385" i="2"/>
  <c r="Z385" i="2" s="1"/>
  <c r="L384" i="2"/>
  <c r="Z384" i="2" s="1"/>
  <c r="L383" i="2"/>
  <c r="Z383" i="2" s="1"/>
  <c r="L382" i="2"/>
  <c r="Z382" i="2" s="1"/>
  <c r="L381" i="2"/>
  <c r="Z381" i="2" s="1"/>
  <c r="L380" i="2"/>
  <c r="Z380" i="2" s="1"/>
  <c r="L379" i="2"/>
  <c r="Z379" i="2" s="1"/>
  <c r="L378" i="2"/>
  <c r="Z378" i="2" s="1"/>
  <c r="L377" i="2"/>
  <c r="Z377" i="2" s="1"/>
  <c r="L376" i="2"/>
  <c r="Z376" i="2" s="1"/>
  <c r="L375" i="2"/>
  <c r="Z375" i="2" s="1"/>
  <c r="L374" i="2"/>
  <c r="Z374" i="2" s="1"/>
  <c r="L373" i="2"/>
  <c r="Z373" i="2" s="1"/>
  <c r="L372" i="2"/>
  <c r="Z372" i="2" s="1"/>
  <c r="L371" i="2"/>
  <c r="Z371" i="2" s="1"/>
  <c r="L370" i="2"/>
  <c r="Z370" i="2" s="1"/>
  <c r="L369" i="2"/>
  <c r="Z369" i="2" s="1"/>
  <c r="L368" i="2"/>
  <c r="Z368" i="2" s="1"/>
  <c r="L367" i="2"/>
  <c r="Z367" i="2" s="1"/>
  <c r="L366" i="2"/>
  <c r="Z366" i="2" s="1"/>
  <c r="L365" i="2"/>
  <c r="Z365" i="2" s="1"/>
  <c r="L364" i="2"/>
  <c r="Z364" i="2" s="1"/>
  <c r="L363" i="2"/>
  <c r="Z363" i="2" s="1"/>
  <c r="L362" i="2"/>
  <c r="Z362" i="2" s="1"/>
  <c r="L361" i="2"/>
  <c r="Z361" i="2" s="1"/>
  <c r="L360" i="2"/>
  <c r="Z360" i="2" s="1"/>
  <c r="L359" i="2"/>
  <c r="Z359" i="2" s="1"/>
  <c r="L358" i="2"/>
  <c r="Z358" i="2" s="1"/>
  <c r="L357" i="2"/>
  <c r="Z357" i="2" s="1"/>
  <c r="L356" i="2"/>
  <c r="Z356" i="2" s="1"/>
  <c r="L355" i="2"/>
  <c r="Z355" i="2" s="1"/>
  <c r="L354" i="2"/>
  <c r="Z354" i="2" s="1"/>
  <c r="L353" i="2"/>
  <c r="Z353" i="2" s="1"/>
  <c r="L352" i="2"/>
  <c r="Z352" i="2" s="1"/>
  <c r="L351" i="2"/>
  <c r="Z351" i="2" s="1"/>
  <c r="L350" i="2"/>
  <c r="Z350" i="2" s="1"/>
  <c r="L349" i="2"/>
  <c r="Z349" i="2" s="1"/>
  <c r="L348" i="2"/>
  <c r="Z348" i="2" s="1"/>
  <c r="L347" i="2"/>
  <c r="Z347" i="2" s="1"/>
  <c r="L346" i="2"/>
  <c r="Z346" i="2" s="1"/>
  <c r="L345" i="2"/>
  <c r="Z345" i="2" s="1"/>
  <c r="L344" i="2"/>
  <c r="Z344" i="2" s="1"/>
  <c r="V343" i="2"/>
  <c r="L343" i="2"/>
  <c r="Z343" i="2" s="1"/>
  <c r="V342" i="2"/>
  <c r="L342" i="2"/>
  <c r="Z342" i="2" s="1"/>
  <c r="V341" i="2"/>
  <c r="L341" i="2"/>
  <c r="Z341" i="2" s="1"/>
  <c r="V340" i="2"/>
  <c r="L340" i="2"/>
  <c r="Z340" i="2" s="1"/>
  <c r="I340" i="2"/>
  <c r="H340" i="2"/>
  <c r="V339" i="2"/>
  <c r="L339" i="2"/>
  <c r="Z339" i="2" s="1"/>
  <c r="I339" i="2"/>
  <c r="H339" i="2"/>
  <c r="V338" i="2"/>
  <c r="L338" i="2"/>
  <c r="Z338" i="2" s="1"/>
  <c r="I338" i="2"/>
  <c r="H338" i="2"/>
  <c r="V337" i="2"/>
  <c r="L337" i="2"/>
  <c r="Z337" i="2" s="1"/>
  <c r="I337" i="2"/>
  <c r="H337" i="2"/>
  <c r="L336" i="2"/>
  <c r="Z336" i="2" s="1"/>
  <c r="L335" i="2"/>
  <c r="Z335" i="2" s="1"/>
  <c r="L334" i="2"/>
  <c r="Z334" i="2" s="1"/>
  <c r="L333" i="2"/>
  <c r="Z333" i="2" s="1"/>
  <c r="L332" i="2"/>
  <c r="Z332" i="2" s="1"/>
  <c r="L331" i="2"/>
  <c r="Z331" i="2" s="1"/>
  <c r="L330" i="2"/>
  <c r="Z330" i="2" s="1"/>
  <c r="L329" i="2"/>
  <c r="Z329" i="2" s="1"/>
  <c r="L328" i="2"/>
  <c r="Z328" i="2" s="1"/>
  <c r="L327" i="2"/>
  <c r="Z327" i="2" s="1"/>
  <c r="L326" i="2"/>
  <c r="Z326" i="2" s="1"/>
  <c r="L325" i="2"/>
  <c r="Z325" i="2" s="1"/>
  <c r="L324" i="2"/>
  <c r="Z324" i="2" s="1"/>
  <c r="L323" i="2"/>
  <c r="Z323" i="2" s="1"/>
  <c r="L322" i="2"/>
  <c r="Z322" i="2" s="1"/>
  <c r="L321" i="2"/>
  <c r="Z321" i="2" s="1"/>
  <c r="L320" i="2"/>
  <c r="Z320" i="2" s="1"/>
  <c r="L319" i="2"/>
  <c r="Z319" i="2" s="1"/>
  <c r="L318" i="2"/>
  <c r="Z318" i="2" s="1"/>
  <c r="L317" i="2"/>
  <c r="Z317" i="2" s="1"/>
  <c r="L316" i="2"/>
  <c r="Z316" i="2" s="1"/>
  <c r="L315" i="2"/>
  <c r="Z315" i="2" s="1"/>
  <c r="L314" i="2"/>
  <c r="Z314" i="2" s="1"/>
  <c r="L313" i="2"/>
  <c r="Z313" i="2" s="1"/>
  <c r="L312" i="2"/>
  <c r="Z312" i="2" s="1"/>
  <c r="L311" i="2"/>
  <c r="Z311" i="2" s="1"/>
  <c r="L310" i="2"/>
  <c r="Z310" i="2" s="1"/>
  <c r="L309" i="2"/>
  <c r="Z309" i="2" s="1"/>
  <c r="L308" i="2"/>
  <c r="Z308" i="2" s="1"/>
  <c r="V307" i="2"/>
  <c r="L307" i="2"/>
  <c r="Z307" i="2" s="1"/>
  <c r="V306" i="2"/>
  <c r="L306" i="2"/>
  <c r="Z306" i="2" s="1"/>
  <c r="V305" i="2"/>
  <c r="L305" i="2"/>
  <c r="Z305" i="2" s="1"/>
  <c r="V304" i="2"/>
  <c r="L304" i="2"/>
  <c r="Z304" i="2" s="1"/>
  <c r="V303" i="2"/>
  <c r="L303" i="2"/>
  <c r="Z303" i="2" s="1"/>
  <c r="V302" i="2"/>
  <c r="L302" i="2"/>
  <c r="Z302" i="2" s="1"/>
  <c r="L301" i="2"/>
  <c r="Z301" i="2" s="1"/>
  <c r="L300" i="2"/>
  <c r="Z300" i="2" s="1"/>
  <c r="L299" i="2"/>
  <c r="Z299" i="2" s="1"/>
  <c r="L298" i="2"/>
  <c r="Z298" i="2" s="1"/>
  <c r="L297" i="2"/>
  <c r="Z297" i="2" s="1"/>
  <c r="L296" i="2"/>
  <c r="Z296" i="2" s="1"/>
  <c r="L295" i="2"/>
  <c r="Z295" i="2" s="1"/>
  <c r="L294" i="2"/>
  <c r="Z294" i="2" s="1"/>
  <c r="L293" i="2"/>
  <c r="Z293" i="2" s="1"/>
  <c r="L292" i="2"/>
  <c r="Z292" i="2" s="1"/>
  <c r="L291" i="2"/>
  <c r="Z291" i="2" s="1"/>
  <c r="L290" i="2"/>
  <c r="Z290" i="2" s="1"/>
  <c r="L289" i="2"/>
  <c r="Z289" i="2" s="1"/>
  <c r="L288" i="2"/>
  <c r="Z288" i="2" s="1"/>
  <c r="L287" i="2"/>
  <c r="Z287" i="2" s="1"/>
  <c r="L286" i="2"/>
  <c r="Z286" i="2" s="1"/>
  <c r="L285" i="2"/>
  <c r="Z285" i="2" s="1"/>
  <c r="L284" i="2"/>
  <c r="Z284" i="2" s="1"/>
  <c r="L283" i="2"/>
  <c r="Z283" i="2" s="1"/>
  <c r="L282" i="2"/>
  <c r="Z282" i="2" s="1"/>
  <c r="L281" i="2"/>
  <c r="Z281" i="2" s="1"/>
  <c r="L280" i="2"/>
  <c r="Z280" i="2" s="1"/>
  <c r="L279" i="2"/>
  <c r="Z279" i="2" s="1"/>
  <c r="L278" i="2"/>
  <c r="Z278" i="2" s="1"/>
  <c r="L277" i="2"/>
  <c r="Z277" i="2" s="1"/>
  <c r="L276" i="2"/>
  <c r="Z276" i="2" s="1"/>
  <c r="L275" i="2"/>
  <c r="Z275" i="2" s="1"/>
  <c r="L274" i="2"/>
  <c r="Z274" i="2" s="1"/>
  <c r="L273" i="2"/>
  <c r="Z273" i="2" s="1"/>
  <c r="L272" i="2"/>
  <c r="Z272" i="2" s="1"/>
  <c r="L271" i="2"/>
  <c r="Z271" i="2" s="1"/>
  <c r="L270" i="2"/>
  <c r="Z270" i="2" s="1"/>
  <c r="L269" i="2"/>
  <c r="Z269" i="2" s="1"/>
  <c r="L268" i="2"/>
  <c r="Z268" i="2" s="1"/>
  <c r="L267" i="2"/>
  <c r="Z267" i="2" s="1"/>
  <c r="L266" i="2"/>
  <c r="Z266" i="2" s="1"/>
  <c r="L265" i="2"/>
  <c r="Z265" i="2" s="1"/>
  <c r="L264" i="2"/>
  <c r="Z264" i="2" s="1"/>
  <c r="L263" i="2"/>
  <c r="Z263" i="2" s="1"/>
  <c r="L262" i="2"/>
  <c r="Z262" i="2" s="1"/>
  <c r="L261" i="2"/>
  <c r="Z261" i="2" s="1"/>
  <c r="L260" i="2"/>
  <c r="Z260" i="2" s="1"/>
  <c r="L259" i="2"/>
  <c r="Z259" i="2" s="1"/>
  <c r="L258" i="2"/>
  <c r="Z258" i="2" s="1"/>
  <c r="L257" i="2"/>
  <c r="Z257" i="2" s="1"/>
  <c r="L256" i="2"/>
  <c r="Z256" i="2" s="1"/>
  <c r="L255" i="2"/>
  <c r="Z255" i="2" s="1"/>
  <c r="L254" i="2"/>
  <c r="Z254" i="2" s="1"/>
  <c r="V253" i="2"/>
  <c r="L253" i="2"/>
  <c r="Z253" i="2" s="1"/>
  <c r="V252" i="2"/>
  <c r="L252" i="2"/>
  <c r="Z252" i="2" s="1"/>
  <c r="V251" i="2"/>
  <c r="L251" i="2"/>
  <c r="Z251" i="2" s="1"/>
  <c r="V250" i="2"/>
  <c r="L250" i="2"/>
  <c r="Z250" i="2" s="1"/>
  <c r="V249" i="2"/>
  <c r="L249" i="2"/>
  <c r="Z249" i="2" s="1"/>
  <c r="L248" i="2"/>
  <c r="Z248" i="2" s="1"/>
  <c r="L247" i="2"/>
  <c r="Z247" i="2" s="1"/>
  <c r="L246" i="2"/>
  <c r="Z246" i="2" s="1"/>
  <c r="L245" i="2"/>
  <c r="Z245" i="2" s="1"/>
  <c r="L244" i="2"/>
  <c r="Z244" i="2" s="1"/>
  <c r="L243" i="2"/>
  <c r="Z243" i="2" s="1"/>
  <c r="L242" i="2"/>
  <c r="Z242" i="2" s="1"/>
  <c r="V241" i="2"/>
  <c r="L241" i="2"/>
  <c r="Z241" i="2" s="1"/>
  <c r="V240" i="2"/>
  <c r="L240" i="2"/>
  <c r="Z240" i="2" s="1"/>
  <c r="V239" i="2"/>
  <c r="L239" i="2"/>
  <c r="Z239" i="2" s="1"/>
  <c r="V238" i="2"/>
  <c r="L238" i="2"/>
  <c r="Z238" i="2" s="1"/>
  <c r="L237" i="2"/>
  <c r="Z237" i="2" s="1"/>
  <c r="L236" i="2"/>
  <c r="Z236" i="2" s="1"/>
  <c r="L235" i="2"/>
  <c r="Z235" i="2" s="1"/>
  <c r="L234" i="2"/>
  <c r="Z234" i="2" s="1"/>
  <c r="L233" i="2"/>
  <c r="Z233" i="2" s="1"/>
  <c r="L232" i="2"/>
  <c r="Z232" i="2" s="1"/>
  <c r="L231" i="2"/>
  <c r="Z231" i="2" s="1"/>
  <c r="L230" i="2"/>
  <c r="Z230" i="2" s="1"/>
  <c r="L229" i="2"/>
  <c r="Z229" i="2" s="1"/>
  <c r="L228" i="2"/>
  <c r="Z228" i="2" s="1"/>
  <c r="L227" i="2"/>
  <c r="Z227" i="2" s="1"/>
  <c r="L226" i="2"/>
  <c r="Z226" i="2" s="1"/>
  <c r="L225" i="2"/>
  <c r="Z225" i="2" s="1"/>
  <c r="L224" i="2"/>
  <c r="L223" i="2"/>
  <c r="Z223" i="2" s="1"/>
  <c r="L222" i="2"/>
  <c r="Z222" i="2" s="1"/>
  <c r="L221" i="2"/>
  <c r="Z221" i="2" s="1"/>
  <c r="L220" i="2"/>
  <c r="Z220" i="2" s="1"/>
  <c r="L219" i="2"/>
  <c r="Z219" i="2" s="1"/>
  <c r="L218" i="2"/>
  <c r="Z218" i="2" s="1"/>
  <c r="L217" i="2"/>
  <c r="V217" i="2" s="1"/>
  <c r="L216" i="2"/>
  <c r="Z216" i="2" s="1"/>
  <c r="L215" i="2"/>
  <c r="Z215" i="2" s="1"/>
  <c r="L214" i="2"/>
  <c r="L213" i="2"/>
  <c r="Z213" i="2" s="1"/>
  <c r="L212" i="2"/>
  <c r="Z212" i="2" s="1"/>
  <c r="L211" i="2"/>
  <c r="Z211" i="2" s="1"/>
  <c r="L210" i="2"/>
  <c r="Z210" i="2" s="1"/>
  <c r="L209" i="2"/>
  <c r="Z209" i="2" s="1"/>
  <c r="L208" i="2"/>
  <c r="Z208" i="2" s="1"/>
  <c r="L207" i="2"/>
  <c r="Z207" i="2" s="1"/>
  <c r="L206" i="2"/>
  <c r="Z206" i="2" s="1"/>
  <c r="V205" i="2"/>
  <c r="L205" i="2"/>
  <c r="Z205" i="2" s="1"/>
  <c r="L204" i="2"/>
  <c r="Z204" i="2" s="1"/>
  <c r="V203" i="2"/>
  <c r="L203" i="2"/>
  <c r="Z203" i="2" s="1"/>
  <c r="L202" i="2"/>
  <c r="Z202" i="2" s="1"/>
  <c r="V201" i="2"/>
  <c r="L201" i="2"/>
  <c r="Z201" i="2" s="1"/>
  <c r="L200" i="2"/>
  <c r="Z200" i="2" s="1"/>
  <c r="L199" i="2"/>
  <c r="Z199" i="2" s="1"/>
  <c r="L198" i="2"/>
  <c r="Z198" i="2" s="1"/>
  <c r="L197" i="2"/>
  <c r="Z197" i="2" s="1"/>
  <c r="L196" i="2"/>
  <c r="Z196" i="2" s="1"/>
  <c r="L195" i="2"/>
  <c r="Z195" i="2" s="1"/>
  <c r="L194" i="2"/>
  <c r="Z194" i="2" s="1"/>
  <c r="L193" i="2"/>
  <c r="Z193" i="2" s="1"/>
  <c r="V192" i="2"/>
  <c r="L192" i="2"/>
  <c r="Z192" i="2" s="1"/>
  <c r="V191" i="2"/>
  <c r="L191" i="2"/>
  <c r="Z191" i="2" s="1"/>
  <c r="V190" i="2"/>
  <c r="L190" i="2"/>
  <c r="Z190" i="2" s="1"/>
  <c r="V189" i="2"/>
  <c r="L189" i="2"/>
  <c r="Z189" i="2" s="1"/>
  <c r="V188" i="2"/>
  <c r="L188" i="2"/>
  <c r="Z188" i="2" s="1"/>
  <c r="V187" i="2"/>
  <c r="L187" i="2"/>
  <c r="Z187" i="2" s="1"/>
  <c r="V186" i="2"/>
  <c r="L186" i="2"/>
  <c r="Z186" i="2" s="1"/>
  <c r="V185" i="2"/>
  <c r="L185" i="2"/>
  <c r="Z185" i="2" s="1"/>
  <c r="L184" i="2"/>
  <c r="L183" i="2"/>
  <c r="Z183" i="2" s="1"/>
  <c r="L182" i="2"/>
  <c r="Z182" i="2" s="1"/>
  <c r="L181" i="2"/>
  <c r="V181" i="2" s="1"/>
  <c r="L180" i="2"/>
  <c r="Z180" i="2" s="1"/>
  <c r="L179" i="2"/>
  <c r="Z179" i="2" s="1"/>
  <c r="L178" i="2"/>
  <c r="Z178" i="2" s="1"/>
  <c r="L177" i="2"/>
  <c r="L176" i="2"/>
  <c r="Z176" i="2" s="1"/>
  <c r="L175" i="2"/>
  <c r="Z175" i="2" s="1"/>
  <c r="L174" i="2"/>
  <c r="L173" i="2"/>
  <c r="V173" i="2" s="1"/>
  <c r="V172" i="2"/>
  <c r="L172" i="2"/>
  <c r="Z172" i="2" s="1"/>
  <c r="L171" i="2"/>
  <c r="Z171" i="2" s="1"/>
  <c r="L170" i="2"/>
  <c r="Z170" i="2" s="1"/>
  <c r="L169" i="2"/>
  <c r="Z169" i="2" s="1"/>
  <c r="L168" i="2"/>
  <c r="Z168" i="2" s="1"/>
  <c r="L167" i="2"/>
  <c r="Z167" i="2" s="1"/>
  <c r="L166" i="2"/>
  <c r="Z166" i="2" s="1"/>
  <c r="V165" i="2"/>
  <c r="L165" i="2"/>
  <c r="Z165" i="2" s="1"/>
  <c r="L164" i="2"/>
  <c r="Z164" i="2" s="1"/>
  <c r="L163" i="2"/>
  <c r="Z163" i="2" s="1"/>
  <c r="L162" i="2"/>
  <c r="Z162" i="2" s="1"/>
  <c r="L161" i="2"/>
  <c r="Z161" i="2" s="1"/>
  <c r="L160" i="2"/>
  <c r="Z160" i="2" s="1"/>
  <c r="L159" i="2"/>
  <c r="Z159" i="2" s="1"/>
  <c r="L158" i="2"/>
  <c r="Z158" i="2" s="1"/>
  <c r="L157" i="2"/>
  <c r="Z157" i="2" s="1"/>
  <c r="L156" i="2"/>
  <c r="Z156" i="2" s="1"/>
  <c r="L155" i="2"/>
  <c r="Z155" i="2" s="1"/>
  <c r="L154" i="2"/>
  <c r="Z154" i="2" s="1"/>
  <c r="L153" i="2"/>
  <c r="Z153" i="2" s="1"/>
  <c r="L152" i="2"/>
  <c r="Z152" i="2" s="1"/>
  <c r="L151" i="2"/>
  <c r="Z151" i="2" s="1"/>
  <c r="L150" i="2"/>
  <c r="Z150" i="2" s="1"/>
  <c r="L149" i="2"/>
  <c r="Z149" i="2" s="1"/>
  <c r="L148" i="2"/>
  <c r="Z148" i="2" s="1"/>
  <c r="L147" i="2"/>
  <c r="Z147" i="2" s="1"/>
  <c r="L146" i="2"/>
  <c r="Z146" i="2" s="1"/>
  <c r="L145" i="2"/>
  <c r="Z145" i="2" s="1"/>
  <c r="L144" i="2"/>
  <c r="Z144" i="2" s="1"/>
  <c r="L143" i="2"/>
  <c r="Z143" i="2" s="1"/>
  <c r="L142" i="2"/>
  <c r="Z142" i="2" s="1"/>
  <c r="L141" i="2"/>
  <c r="Z141" i="2" s="1"/>
  <c r="L140" i="2"/>
  <c r="Z140" i="2" s="1"/>
  <c r="L139" i="2"/>
  <c r="Z139" i="2" s="1"/>
  <c r="L138" i="2"/>
  <c r="Z138" i="2" s="1"/>
  <c r="L137" i="2"/>
  <c r="Z137" i="2" s="1"/>
  <c r="L136" i="2"/>
  <c r="Z136" i="2" s="1"/>
  <c r="L135" i="2"/>
  <c r="Z135" i="2" s="1"/>
  <c r="L134" i="2"/>
  <c r="Z134" i="2" s="1"/>
  <c r="L133" i="2"/>
  <c r="Z133" i="2" s="1"/>
  <c r="L132" i="2"/>
  <c r="Z132" i="2" s="1"/>
  <c r="L131" i="2"/>
  <c r="Z131" i="2" s="1"/>
  <c r="L130" i="2"/>
  <c r="Z130" i="2" s="1"/>
  <c r="L129" i="2"/>
  <c r="Z129" i="2" s="1"/>
  <c r="L128" i="2"/>
  <c r="Z128" i="2" s="1"/>
  <c r="L127" i="2"/>
  <c r="Z127" i="2" s="1"/>
  <c r="L126" i="2"/>
  <c r="Z126" i="2" s="1"/>
  <c r="L125" i="2"/>
  <c r="Z125" i="2" s="1"/>
  <c r="L124" i="2"/>
  <c r="Z124" i="2" s="1"/>
  <c r="L123" i="2"/>
  <c r="Z123" i="2" s="1"/>
  <c r="L122" i="2"/>
  <c r="Z122" i="2" s="1"/>
  <c r="L121" i="2"/>
  <c r="Z121" i="2" s="1"/>
  <c r="L120" i="2"/>
  <c r="Z120" i="2" s="1"/>
  <c r="L119" i="2"/>
  <c r="Z119" i="2" s="1"/>
  <c r="L118" i="2"/>
  <c r="Z118" i="2" s="1"/>
  <c r="L117" i="2"/>
  <c r="Z117" i="2" s="1"/>
  <c r="L116" i="2"/>
  <c r="Z116" i="2" s="1"/>
  <c r="L115" i="2"/>
  <c r="Z115" i="2" s="1"/>
  <c r="L114" i="2"/>
  <c r="Z114" i="2" s="1"/>
  <c r="L113" i="2"/>
  <c r="Z113" i="2" s="1"/>
  <c r="L112" i="2"/>
  <c r="Z112" i="2" s="1"/>
  <c r="L111" i="2"/>
  <c r="Z111" i="2" s="1"/>
  <c r="L110" i="2"/>
  <c r="Z110" i="2" s="1"/>
  <c r="L109" i="2"/>
  <c r="Z109" i="2" s="1"/>
  <c r="L108" i="2"/>
  <c r="Z108" i="2" s="1"/>
  <c r="L107" i="2"/>
  <c r="Z107" i="2" s="1"/>
  <c r="L106" i="2"/>
  <c r="Z106" i="2" s="1"/>
  <c r="L105" i="2"/>
  <c r="Z105" i="2" s="1"/>
  <c r="L104" i="2"/>
  <c r="Z104" i="2" s="1"/>
  <c r="L103" i="2"/>
  <c r="Z103" i="2" s="1"/>
  <c r="L102" i="2"/>
  <c r="Z102" i="2" s="1"/>
  <c r="L101" i="2"/>
  <c r="Z101" i="2" s="1"/>
  <c r="L100" i="2"/>
  <c r="Z100" i="2" s="1"/>
  <c r="L99" i="2"/>
  <c r="Z99" i="2" s="1"/>
  <c r="L98" i="2"/>
  <c r="Z98" i="2" s="1"/>
  <c r="L97" i="2"/>
  <c r="Z97" i="2" s="1"/>
  <c r="L96" i="2"/>
  <c r="Z96" i="2" s="1"/>
  <c r="L95" i="2"/>
  <c r="Z95" i="2" s="1"/>
  <c r="L94" i="2"/>
  <c r="Z94" i="2" s="1"/>
  <c r="L93" i="2"/>
  <c r="Z93" i="2" s="1"/>
  <c r="L92" i="2"/>
  <c r="Z92" i="2" s="1"/>
  <c r="L91" i="2"/>
  <c r="Z91" i="2" s="1"/>
  <c r="L90" i="2"/>
  <c r="Z90" i="2" s="1"/>
  <c r="L89" i="2"/>
  <c r="Z89" i="2" s="1"/>
  <c r="L88" i="2"/>
  <c r="Z88" i="2" s="1"/>
  <c r="L87" i="2"/>
  <c r="Z87" i="2" s="1"/>
  <c r="L86" i="2"/>
  <c r="Z86" i="2" s="1"/>
  <c r="L85" i="2"/>
  <c r="Z85" i="2" s="1"/>
  <c r="L84" i="2"/>
  <c r="Z84" i="2" s="1"/>
  <c r="L83" i="2"/>
  <c r="Z83" i="2" s="1"/>
  <c r="L82" i="2"/>
  <c r="Z82" i="2" s="1"/>
  <c r="L81" i="2"/>
  <c r="Z81" i="2" s="1"/>
  <c r="L80" i="2"/>
  <c r="Z80" i="2" s="1"/>
  <c r="L79" i="2"/>
  <c r="Z79" i="2" s="1"/>
  <c r="L78" i="2"/>
  <c r="Z78" i="2" s="1"/>
  <c r="L77" i="2"/>
  <c r="Z77" i="2" s="1"/>
  <c r="L76" i="2"/>
  <c r="Z76" i="2" s="1"/>
  <c r="L75" i="2"/>
  <c r="Z75" i="2" s="1"/>
  <c r="L74" i="2"/>
  <c r="Z74" i="2" s="1"/>
  <c r="L73" i="2"/>
  <c r="Z73" i="2" s="1"/>
  <c r="L72" i="2"/>
  <c r="Z72" i="2" s="1"/>
  <c r="L71" i="2"/>
  <c r="Z71" i="2" s="1"/>
  <c r="L70" i="2"/>
  <c r="Z70" i="2" s="1"/>
  <c r="L69" i="2"/>
  <c r="Z69" i="2" s="1"/>
  <c r="L68" i="2"/>
  <c r="Z68" i="2" s="1"/>
  <c r="L67" i="2"/>
  <c r="Z67" i="2" s="1"/>
  <c r="L66" i="2"/>
  <c r="Z66" i="2" s="1"/>
  <c r="L65" i="2"/>
  <c r="Z65" i="2" s="1"/>
  <c r="L64" i="2"/>
  <c r="Z64" i="2" s="1"/>
  <c r="L63" i="2"/>
  <c r="Z63" i="2" s="1"/>
  <c r="L62" i="2"/>
  <c r="Z62" i="2" s="1"/>
  <c r="L61" i="2"/>
  <c r="Z61" i="2" s="1"/>
  <c r="L60" i="2"/>
  <c r="Z60" i="2" s="1"/>
  <c r="L59" i="2"/>
  <c r="Z59" i="2" s="1"/>
  <c r="L58" i="2"/>
  <c r="Z58" i="2" s="1"/>
  <c r="L57" i="2"/>
  <c r="Z57" i="2" s="1"/>
  <c r="L56" i="2"/>
  <c r="Z56" i="2" s="1"/>
  <c r="L55" i="2"/>
  <c r="Z55" i="2" s="1"/>
  <c r="L54" i="2"/>
  <c r="Z54" i="2" s="1"/>
  <c r="L53" i="2"/>
  <c r="Z53" i="2" s="1"/>
  <c r="L52" i="2"/>
  <c r="Z52" i="2" s="1"/>
  <c r="L51" i="2"/>
  <c r="Z51" i="2" s="1"/>
  <c r="L50" i="2"/>
  <c r="Z50" i="2" s="1"/>
  <c r="L49" i="2"/>
  <c r="Z49" i="2" s="1"/>
  <c r="L48" i="2"/>
  <c r="Z48" i="2" s="1"/>
  <c r="L47" i="2"/>
  <c r="Z47" i="2" s="1"/>
  <c r="L46" i="2"/>
  <c r="Z46" i="2" s="1"/>
  <c r="L45" i="2"/>
  <c r="Z45" i="2" s="1"/>
  <c r="L44" i="2"/>
  <c r="Z44" i="2" s="1"/>
  <c r="L43" i="2"/>
  <c r="Z43" i="2" s="1"/>
  <c r="L42" i="2"/>
  <c r="Z42" i="2" s="1"/>
  <c r="V41" i="2"/>
  <c r="L41" i="2"/>
  <c r="Z41" i="2" s="1"/>
  <c r="L40" i="2"/>
  <c r="Z40" i="2" s="1"/>
  <c r="L39" i="2"/>
  <c r="Z39" i="2" s="1"/>
  <c r="L38" i="2"/>
  <c r="Z38" i="2" s="1"/>
  <c r="L37" i="2"/>
  <c r="Z37" i="2" s="1"/>
  <c r="V36" i="2"/>
  <c r="L36" i="2"/>
  <c r="Z36" i="2" s="1"/>
  <c r="L35" i="2"/>
  <c r="Z35" i="2" s="1"/>
  <c r="L34" i="2"/>
  <c r="Z34" i="2" s="1"/>
  <c r="L33" i="2"/>
  <c r="Z33" i="2" s="1"/>
  <c r="L32" i="2"/>
  <c r="Z32" i="2" s="1"/>
  <c r="L31" i="2"/>
  <c r="Z31" i="2" s="1"/>
  <c r="L30" i="2"/>
  <c r="Z30" i="2" s="1"/>
  <c r="L29" i="2"/>
  <c r="Z29" i="2" s="1"/>
  <c r="L28" i="2"/>
  <c r="Z28" i="2" s="1"/>
  <c r="L27" i="2"/>
  <c r="Z27" i="2" s="1"/>
  <c r="L26" i="2"/>
  <c r="Z26" i="2" s="1"/>
  <c r="L25" i="2"/>
  <c r="Z25" i="2" s="1"/>
  <c r="L24" i="2"/>
  <c r="Z24" i="2" s="1"/>
  <c r="L23" i="2"/>
  <c r="Z23" i="2" s="1"/>
  <c r="L22" i="2"/>
  <c r="Z22" i="2" s="1"/>
  <c r="V21" i="2"/>
  <c r="L21" i="2"/>
  <c r="Z21" i="2" s="1"/>
  <c r="V20" i="2"/>
  <c r="L20" i="2"/>
  <c r="Z20" i="2" s="1"/>
  <c r="V19" i="2"/>
  <c r="L19" i="2"/>
  <c r="Z19" i="2" s="1"/>
  <c r="V18" i="2"/>
  <c r="L18" i="2"/>
  <c r="Z18" i="2" s="1"/>
  <c r="L17" i="2"/>
  <c r="Z17" i="2" s="1"/>
  <c r="V16" i="2"/>
  <c r="L16" i="2"/>
  <c r="Z16" i="2" s="1"/>
  <c r="L15" i="2"/>
  <c r="Z15" i="2" s="1"/>
  <c r="L14" i="2"/>
  <c r="Z14" i="2" s="1"/>
  <c r="L13" i="2"/>
  <c r="Z13" i="2" s="1"/>
  <c r="L12" i="2"/>
  <c r="Z12" i="2" s="1"/>
  <c r="L11" i="2"/>
  <c r="Z11" i="2" s="1"/>
  <c r="L10" i="2"/>
  <c r="Z10" i="2" s="1"/>
  <c r="L9" i="2"/>
  <c r="Z9" i="2" s="1"/>
  <c r="L8" i="2"/>
  <c r="Z8" i="2" s="1"/>
  <c r="L7" i="2"/>
  <c r="V7" i="2" s="1"/>
  <c r="V6" i="2"/>
  <c r="L6" i="2"/>
  <c r="Z6" i="2" s="1"/>
  <c r="V5" i="2"/>
  <c r="L5" i="2"/>
  <c r="Z5" i="2" s="1"/>
  <c r="V4" i="2"/>
  <c r="L4" i="2"/>
  <c r="Z4" i="2" s="1"/>
  <c r="L3" i="2"/>
  <c r="Z3" i="2" s="1"/>
  <c r="L2" i="2"/>
  <c r="Z2" i="2" s="1"/>
  <c r="M2886" i="1"/>
  <c r="M2885" i="1"/>
  <c r="M2884" i="1"/>
  <c r="M2883" i="1"/>
  <c r="M2882" i="1"/>
  <c r="M2881" i="1"/>
  <c r="M2880" i="1"/>
  <c r="M2879" i="1"/>
  <c r="M2878" i="1"/>
  <c r="M2877" i="1"/>
  <c r="M2876" i="1"/>
  <c r="M2875" i="1"/>
  <c r="M2874" i="1"/>
  <c r="M2873" i="1"/>
  <c r="M2872" i="1"/>
  <c r="M2871" i="1"/>
  <c r="M2869" i="1"/>
  <c r="M2868" i="1"/>
  <c r="M2866" i="1"/>
  <c r="M2865" i="1"/>
  <c r="M2864" i="1"/>
  <c r="M2862" i="1"/>
  <c r="M2861" i="1"/>
  <c r="M2860" i="1"/>
  <c r="P2858" i="1"/>
  <c r="P2857" i="1"/>
  <c r="P2856" i="1"/>
  <c r="P2855" i="1"/>
  <c r="P2854" i="1"/>
  <c r="P2853" i="1"/>
  <c r="P2852" i="1"/>
  <c r="P2851" i="1"/>
  <c r="P2850" i="1"/>
  <c r="P2849" i="1"/>
  <c r="P2848" i="1"/>
  <c r="P2847" i="1"/>
  <c r="P2846" i="1"/>
  <c r="P2845" i="1"/>
  <c r="P2844" i="1"/>
  <c r="P2843" i="1"/>
  <c r="P2842" i="1"/>
  <c r="P2841" i="1"/>
  <c r="P2840" i="1"/>
  <c r="P2839" i="1"/>
  <c r="P2838" i="1"/>
  <c r="P2837" i="1"/>
  <c r="P2836" i="1"/>
  <c r="P2835" i="1"/>
  <c r="P2834" i="1"/>
  <c r="P2833" i="1"/>
  <c r="P2832" i="1"/>
  <c r="P2831" i="1"/>
  <c r="P2830" i="1"/>
  <c r="P2829" i="1"/>
  <c r="P2828" i="1"/>
  <c r="P2827" i="1"/>
  <c r="P2826" i="1"/>
  <c r="P2825" i="1"/>
  <c r="P2824" i="1"/>
  <c r="P2823" i="1"/>
  <c r="P2822" i="1"/>
  <c r="P2821" i="1"/>
  <c r="P2820" i="1"/>
  <c r="P2819" i="1"/>
  <c r="P2818" i="1"/>
  <c r="P2817" i="1"/>
  <c r="P2816" i="1"/>
  <c r="P2815" i="1"/>
  <c r="P2814" i="1"/>
  <c r="P2813" i="1"/>
  <c r="P2812" i="1"/>
  <c r="P2811" i="1"/>
  <c r="P2810" i="1"/>
  <c r="P2809" i="1"/>
  <c r="P2808" i="1"/>
  <c r="P2807" i="1"/>
  <c r="P2806" i="1"/>
  <c r="P2805" i="1"/>
  <c r="P2802" i="1"/>
  <c r="P2801" i="1"/>
  <c r="P2800" i="1"/>
  <c r="P2799" i="1"/>
  <c r="P2798" i="1"/>
  <c r="P2797" i="1"/>
  <c r="P2796" i="1"/>
  <c r="P2795" i="1"/>
  <c r="P2794" i="1"/>
  <c r="P2793" i="1"/>
  <c r="P2792" i="1"/>
  <c r="P2791" i="1"/>
  <c r="P2790" i="1"/>
  <c r="P2789" i="1"/>
  <c r="P2788" i="1"/>
  <c r="P2787" i="1"/>
  <c r="P2786" i="1"/>
  <c r="P2785" i="1"/>
  <c r="P2784" i="1"/>
  <c r="P2783" i="1"/>
  <c r="P2782" i="1"/>
  <c r="P2781" i="1"/>
  <c r="P2780" i="1"/>
  <c r="P2779" i="1"/>
  <c r="P2778" i="1"/>
  <c r="P2777" i="1"/>
  <c r="P2776" i="1"/>
  <c r="P2775" i="1"/>
  <c r="P2774" i="1"/>
  <c r="P2773" i="1"/>
  <c r="P2772" i="1"/>
  <c r="P2771" i="1"/>
  <c r="P2770" i="1"/>
  <c r="P2769" i="1"/>
  <c r="P2768" i="1"/>
  <c r="P2767" i="1"/>
  <c r="P2766" i="1"/>
  <c r="P2765" i="1"/>
  <c r="P2764" i="1"/>
  <c r="P2763" i="1"/>
  <c r="P2762" i="1"/>
  <c r="P2761" i="1"/>
  <c r="P2760" i="1"/>
  <c r="P2759" i="1"/>
  <c r="P2758" i="1"/>
  <c r="P2757" i="1"/>
  <c r="P2756" i="1"/>
  <c r="P2755" i="1"/>
  <c r="P2754" i="1"/>
  <c r="P2753" i="1"/>
  <c r="P2752" i="1"/>
  <c r="P2751" i="1"/>
  <c r="P2750" i="1"/>
  <c r="P2749" i="1"/>
  <c r="P2748" i="1"/>
  <c r="P2747" i="1"/>
  <c r="P2746" i="1"/>
  <c r="P2745" i="1"/>
  <c r="P2744" i="1"/>
  <c r="P2743" i="1"/>
  <c r="P2742" i="1"/>
  <c r="P2741" i="1"/>
  <c r="P2740" i="1"/>
  <c r="P2739" i="1"/>
  <c r="P2738" i="1"/>
  <c r="P2737" i="1"/>
  <c r="P2736" i="1"/>
  <c r="P2735" i="1"/>
  <c r="P2734" i="1"/>
  <c r="P2733" i="1"/>
  <c r="P2732" i="1"/>
  <c r="P2731" i="1"/>
  <c r="P2730" i="1"/>
  <c r="P2729" i="1"/>
  <c r="P2728" i="1"/>
  <c r="P2727" i="1"/>
  <c r="P2726" i="1"/>
  <c r="P2725" i="1"/>
  <c r="P2724" i="1"/>
  <c r="P2723" i="1"/>
  <c r="P2722" i="1"/>
  <c r="P2721" i="1"/>
  <c r="P2720" i="1"/>
  <c r="P2719" i="1"/>
  <c r="P2718" i="1"/>
  <c r="P2717" i="1"/>
  <c r="P2716" i="1"/>
  <c r="P2715" i="1"/>
  <c r="P2714" i="1"/>
  <c r="P2713" i="1"/>
  <c r="P2712" i="1"/>
  <c r="P2711" i="1"/>
  <c r="P2710" i="1"/>
  <c r="P2709" i="1"/>
  <c r="P2708" i="1"/>
  <c r="P2707" i="1"/>
  <c r="P2706" i="1"/>
  <c r="P2705" i="1"/>
  <c r="P2704" i="1"/>
  <c r="P2703" i="1"/>
  <c r="P2702" i="1"/>
  <c r="P2701" i="1"/>
  <c r="P2700" i="1"/>
  <c r="P2699" i="1"/>
  <c r="P2698" i="1"/>
  <c r="P2697" i="1"/>
  <c r="P2696" i="1"/>
  <c r="P2695" i="1"/>
  <c r="P2694" i="1"/>
  <c r="P2693" i="1"/>
  <c r="P2692" i="1"/>
  <c r="P2691" i="1"/>
  <c r="P2690" i="1"/>
  <c r="P2689" i="1"/>
  <c r="P2688" i="1"/>
  <c r="P2687" i="1"/>
  <c r="P2686" i="1"/>
  <c r="P2685" i="1"/>
  <c r="P2684" i="1"/>
  <c r="P2683" i="1"/>
  <c r="P2682" i="1"/>
  <c r="P2681" i="1"/>
  <c r="P2680" i="1"/>
  <c r="M2674" i="1"/>
  <c r="M2673" i="1"/>
  <c r="M2672" i="1"/>
  <c r="M2666" i="1"/>
  <c r="M2665" i="1"/>
  <c r="M2664" i="1"/>
  <c r="M2663" i="1"/>
  <c r="M2662" i="1"/>
  <c r="M2661" i="1"/>
  <c r="M2660" i="1"/>
  <c r="M2659" i="1"/>
  <c r="M2658" i="1"/>
  <c r="M2657" i="1"/>
  <c r="M2656" i="1"/>
  <c r="M2655" i="1"/>
  <c r="M2654" i="1"/>
  <c r="M2653" i="1"/>
  <c r="M2652" i="1"/>
  <c r="M2651" i="1"/>
  <c r="M2650" i="1"/>
  <c r="M2649" i="1"/>
  <c r="M2648" i="1"/>
  <c r="M2647" i="1"/>
  <c r="M2646" i="1"/>
  <c r="M2645" i="1"/>
  <c r="M2644" i="1"/>
  <c r="M2643" i="1"/>
  <c r="M2642" i="1"/>
  <c r="M2641" i="1"/>
  <c r="M2640" i="1"/>
  <c r="M2639" i="1"/>
  <c r="M2638" i="1"/>
  <c r="M2637" i="1"/>
  <c r="M2636" i="1"/>
  <c r="M2635" i="1"/>
  <c r="M2634" i="1"/>
  <c r="M2633" i="1"/>
  <c r="M2632" i="1"/>
  <c r="M2631" i="1"/>
  <c r="M2630" i="1"/>
  <c r="M2629" i="1"/>
  <c r="M2628" i="1"/>
  <c r="M2627" i="1"/>
  <c r="M2626" i="1"/>
  <c r="M2625" i="1"/>
  <c r="M2624" i="1"/>
  <c r="M2623" i="1"/>
  <c r="M2622" i="1"/>
  <c r="M2621" i="1"/>
  <c r="M2620" i="1"/>
  <c r="M2619" i="1"/>
  <c r="M2618" i="1"/>
  <c r="M2617" i="1"/>
  <c r="M2616" i="1"/>
  <c r="M2615" i="1"/>
  <c r="M2614" i="1"/>
  <c r="M2613" i="1"/>
  <c r="M2612" i="1"/>
  <c r="M2611" i="1"/>
  <c r="M2610" i="1"/>
  <c r="M2609" i="1"/>
  <c r="M2608" i="1"/>
  <c r="M2607" i="1"/>
  <c r="M2606" i="1"/>
  <c r="M2605" i="1"/>
  <c r="M2604" i="1"/>
  <c r="M2603" i="1"/>
  <c r="M2602" i="1"/>
  <c r="M2601" i="1"/>
  <c r="M2600" i="1"/>
  <c r="M2599" i="1"/>
  <c r="M2598" i="1"/>
  <c r="M2597" i="1"/>
  <c r="M2596" i="1"/>
  <c r="M2595" i="1"/>
  <c r="M2594" i="1"/>
  <c r="M2593" i="1"/>
  <c r="M2592" i="1"/>
  <c r="M2591" i="1"/>
  <c r="M2590" i="1"/>
  <c r="M2589" i="1"/>
  <c r="M2588" i="1"/>
  <c r="M2587" i="1"/>
  <c r="M2586" i="1"/>
  <c r="M2585" i="1"/>
  <c r="M2584" i="1"/>
  <c r="M2583" i="1"/>
  <c r="M2582" i="1"/>
  <c r="M2581" i="1"/>
  <c r="M2580" i="1"/>
  <c r="M2579" i="1"/>
  <c r="M2578" i="1"/>
  <c r="M2577" i="1"/>
  <c r="M2576" i="1"/>
  <c r="M2575" i="1"/>
  <c r="M2574" i="1"/>
  <c r="M2573" i="1"/>
  <c r="M2572" i="1"/>
  <c r="M2571" i="1"/>
  <c r="M2570" i="1"/>
  <c r="M2569" i="1"/>
  <c r="M2568" i="1"/>
  <c r="M2567" i="1"/>
  <c r="M2566" i="1"/>
  <c r="M2565" i="1"/>
  <c r="M2564" i="1"/>
  <c r="M2563" i="1"/>
  <c r="M2562" i="1"/>
  <c r="M2561" i="1"/>
  <c r="M2560" i="1"/>
  <c r="M2559" i="1"/>
  <c r="M2558" i="1"/>
  <c r="M2557" i="1"/>
  <c r="M2556" i="1"/>
  <c r="M2555" i="1"/>
  <c r="M2554" i="1"/>
  <c r="M2553" i="1"/>
  <c r="M2552" i="1"/>
  <c r="M2551" i="1"/>
  <c r="M2550" i="1"/>
  <c r="M2549" i="1"/>
  <c r="M2528" i="1"/>
  <c r="M2527" i="1"/>
  <c r="M2526" i="1"/>
  <c r="M2525" i="1"/>
  <c r="M2524" i="1"/>
  <c r="M2523" i="1"/>
  <c r="M2522" i="1"/>
  <c r="M2521" i="1"/>
  <c r="P2520" i="1"/>
  <c r="P2519" i="1"/>
  <c r="P2518" i="1"/>
  <c r="P2517" i="1"/>
  <c r="P2516" i="1"/>
  <c r="P2515" i="1"/>
  <c r="P2513" i="1"/>
  <c r="P2512" i="1"/>
  <c r="P2511" i="1"/>
  <c r="P2510" i="1"/>
  <c r="P2509" i="1"/>
  <c r="P2508" i="1"/>
  <c r="P2507" i="1"/>
  <c r="P2506" i="1"/>
  <c r="P2505" i="1"/>
  <c r="P2504" i="1"/>
  <c r="P2503" i="1"/>
  <c r="P2502" i="1"/>
  <c r="P2501" i="1"/>
  <c r="P2500" i="1"/>
  <c r="P2499" i="1"/>
  <c r="P2498" i="1"/>
  <c r="P2497" i="1"/>
  <c r="P2496" i="1"/>
  <c r="P2495" i="1"/>
  <c r="P2494" i="1"/>
  <c r="P2493" i="1"/>
  <c r="P2492" i="1"/>
  <c r="P2491" i="1"/>
  <c r="P2490" i="1"/>
  <c r="P2489" i="1"/>
  <c r="P2488" i="1"/>
  <c r="P2487" i="1"/>
  <c r="P2486" i="1"/>
  <c r="P2485" i="1"/>
  <c r="P2484" i="1"/>
  <c r="P2483" i="1"/>
  <c r="P2482" i="1"/>
  <c r="P2481" i="1"/>
  <c r="P2480" i="1"/>
  <c r="P2479" i="1"/>
  <c r="P2478" i="1"/>
  <c r="P2477" i="1"/>
  <c r="P2476" i="1"/>
  <c r="P2475" i="1"/>
  <c r="P2474" i="1"/>
  <c r="P2473" i="1"/>
  <c r="P2472" i="1"/>
  <c r="P2471" i="1"/>
  <c r="P2470" i="1"/>
  <c r="P2469" i="1"/>
  <c r="P2468" i="1"/>
  <c r="P2467" i="1"/>
  <c r="P2466" i="1"/>
  <c r="P2465" i="1"/>
  <c r="P2464" i="1"/>
  <c r="P2463" i="1"/>
  <c r="P2462" i="1"/>
  <c r="P2461" i="1"/>
  <c r="P2460" i="1"/>
  <c r="P2459" i="1"/>
  <c r="P2458" i="1"/>
  <c r="P2457" i="1"/>
  <c r="P2422" i="1"/>
  <c r="P2418" i="1"/>
  <c r="P2417" i="1"/>
  <c r="P2416" i="1"/>
  <c r="P2415" i="1"/>
  <c r="P2414" i="1"/>
  <c r="P2413" i="1"/>
  <c r="P2412" i="1"/>
  <c r="P2411" i="1"/>
  <c r="P2410" i="1"/>
  <c r="P2409" i="1"/>
  <c r="P2408" i="1"/>
  <c r="P2407" i="1"/>
  <c r="P2406" i="1"/>
  <c r="P2405" i="1"/>
  <c r="P2404" i="1"/>
  <c r="P2403" i="1"/>
  <c r="P2402" i="1"/>
  <c r="P2401" i="1"/>
  <c r="P2400" i="1"/>
  <c r="P2399" i="1"/>
  <c r="P2398" i="1"/>
  <c r="P2397" i="1"/>
  <c r="P2396" i="1"/>
  <c r="P2395" i="1"/>
  <c r="M2367" i="1"/>
  <c r="P2366" i="1"/>
  <c r="P2365" i="1"/>
  <c r="P2364" i="1"/>
  <c r="P2363" i="1"/>
  <c r="P2362" i="1"/>
  <c r="P2361" i="1"/>
  <c r="P2360" i="1"/>
  <c r="P2359" i="1"/>
  <c r="P2358" i="1"/>
  <c r="P2357" i="1"/>
  <c r="P2356" i="1"/>
  <c r="P2355" i="1"/>
  <c r="P2353" i="1"/>
  <c r="P2352" i="1"/>
  <c r="P2351" i="1"/>
  <c r="P2349" i="1"/>
  <c r="P2348" i="1"/>
  <c r="P2347" i="1"/>
  <c r="P2346" i="1"/>
  <c r="P2345" i="1"/>
  <c r="P2342" i="1"/>
  <c r="P2341" i="1"/>
  <c r="P2340" i="1"/>
  <c r="P2339" i="1"/>
  <c r="P2338" i="1"/>
  <c r="P2337" i="1"/>
  <c r="P2336" i="1"/>
  <c r="P2335" i="1"/>
  <c r="P2334" i="1"/>
  <c r="P2333" i="1"/>
  <c r="P2332" i="1"/>
  <c r="P2331" i="1"/>
  <c r="P2330" i="1"/>
  <c r="P2329" i="1"/>
  <c r="P2328" i="1"/>
  <c r="P2327" i="1"/>
  <c r="P2326" i="1"/>
  <c r="P2325" i="1"/>
  <c r="P2324" i="1"/>
  <c r="P2323" i="1"/>
  <c r="P2322" i="1"/>
  <c r="P2321" i="1"/>
  <c r="P2320" i="1"/>
  <c r="P2319" i="1"/>
  <c r="P2318" i="1"/>
  <c r="P2317" i="1"/>
  <c r="P2316" i="1"/>
  <c r="P2315" i="1"/>
  <c r="P2314" i="1"/>
  <c r="P2313" i="1"/>
  <c r="P2312" i="1"/>
  <c r="P2311" i="1"/>
  <c r="P2310" i="1"/>
  <c r="P2309" i="1"/>
  <c r="P2308" i="1"/>
  <c r="P2307" i="1"/>
  <c r="P2306" i="1"/>
  <c r="P2305" i="1"/>
  <c r="P2304" i="1"/>
  <c r="P2303" i="1"/>
  <c r="P2302" i="1"/>
  <c r="P2301" i="1"/>
  <c r="P2300" i="1"/>
  <c r="P2299" i="1"/>
  <c r="P2298" i="1"/>
  <c r="P2297" i="1"/>
  <c r="P2296" i="1"/>
  <c r="P2294" i="1"/>
  <c r="P2293" i="1"/>
  <c r="P2292" i="1"/>
  <c r="P2291" i="1"/>
  <c r="P2290" i="1"/>
  <c r="P2289" i="1"/>
  <c r="P2288" i="1"/>
  <c r="P2287" i="1"/>
  <c r="P2286" i="1"/>
  <c r="P2285" i="1"/>
  <c r="P2284" i="1"/>
  <c r="P2283" i="1"/>
  <c r="P2282" i="1"/>
  <c r="P2281" i="1"/>
  <c r="P2280" i="1"/>
  <c r="P2279" i="1"/>
  <c r="P2278" i="1"/>
  <c r="P2277" i="1"/>
  <c r="P2276" i="1"/>
  <c r="P2275" i="1"/>
  <c r="P2274" i="1"/>
  <c r="P2273" i="1"/>
  <c r="P2272" i="1"/>
  <c r="P2271" i="1"/>
  <c r="P2270" i="1"/>
  <c r="P2269" i="1"/>
  <c r="P2268" i="1"/>
  <c r="P2267" i="1"/>
  <c r="P2266" i="1"/>
  <c r="P2265" i="1"/>
  <c r="P2264" i="1"/>
  <c r="P2263" i="1"/>
  <c r="P2262" i="1"/>
  <c r="P2261" i="1"/>
  <c r="P2260" i="1"/>
  <c r="P2259" i="1"/>
  <c r="P2258" i="1"/>
  <c r="P2257" i="1"/>
  <c r="P2256" i="1"/>
  <c r="P2255" i="1"/>
  <c r="P2254" i="1"/>
  <c r="P2253" i="1"/>
  <c r="P2252" i="1"/>
  <c r="P2251" i="1"/>
  <c r="P2250" i="1"/>
  <c r="P2227" i="1"/>
  <c r="P2226" i="1"/>
  <c r="M2033" i="1"/>
  <c r="M2032" i="1"/>
  <c r="M2031" i="1"/>
  <c r="M2030" i="1"/>
  <c r="P1959" i="1"/>
  <c r="P1958" i="1"/>
  <c r="P1957" i="1"/>
  <c r="P1956" i="1"/>
  <c r="P1955" i="1"/>
  <c r="P1954" i="1"/>
  <c r="M1953" i="1"/>
  <c r="M1952" i="1"/>
  <c r="M1951" i="1"/>
  <c r="M1950" i="1"/>
  <c r="M1949" i="1"/>
  <c r="M1948" i="1"/>
  <c r="M1947" i="1"/>
  <c r="M1946" i="1"/>
  <c r="M1945" i="1"/>
  <c r="M1944" i="1"/>
  <c r="M1943" i="1"/>
  <c r="M1942" i="1"/>
  <c r="M1941" i="1"/>
  <c r="M1940" i="1"/>
  <c r="M1939" i="1"/>
  <c r="M1938" i="1"/>
  <c r="M1937" i="1"/>
  <c r="M1936" i="1"/>
  <c r="M1935" i="1"/>
  <c r="P1934" i="1"/>
  <c r="P1933" i="1"/>
  <c r="P1932" i="1"/>
  <c r="M1931" i="1"/>
  <c r="M1930" i="1"/>
  <c r="M1929" i="1"/>
  <c r="M1928" i="1"/>
  <c r="M1927" i="1"/>
  <c r="P1926" i="1"/>
  <c r="P1925" i="1"/>
  <c r="P1924" i="1"/>
  <c r="P1923" i="1"/>
  <c r="P1922" i="1"/>
  <c r="P1921" i="1"/>
  <c r="P1920" i="1"/>
  <c r="P1919" i="1"/>
  <c r="M1918" i="1"/>
  <c r="M1917" i="1"/>
  <c r="M1916" i="1"/>
  <c r="M1915" i="1"/>
  <c r="M1914" i="1"/>
  <c r="M1913" i="1"/>
  <c r="M1912" i="1"/>
  <c r="M1911" i="1"/>
  <c r="M1910" i="1"/>
  <c r="M1909" i="1"/>
  <c r="M1908" i="1"/>
  <c r="M1907" i="1"/>
  <c r="M1906" i="1"/>
  <c r="M1905" i="1"/>
  <c r="M1904" i="1"/>
  <c r="M1903" i="1"/>
  <c r="M1902" i="1"/>
  <c r="M1901" i="1"/>
  <c r="M1900" i="1"/>
  <c r="M1899" i="1"/>
  <c r="M1898" i="1"/>
  <c r="M1897" i="1"/>
  <c r="M1896" i="1"/>
  <c r="M1895" i="1"/>
  <c r="M1894" i="1"/>
  <c r="M1893" i="1"/>
  <c r="M1892" i="1"/>
  <c r="M1891" i="1"/>
  <c r="M1890" i="1"/>
  <c r="M1889" i="1"/>
  <c r="M1888" i="1"/>
  <c r="M1887" i="1"/>
  <c r="M1886" i="1"/>
  <c r="M1885" i="1"/>
  <c r="M1884" i="1"/>
  <c r="M1883" i="1"/>
  <c r="M1882" i="1"/>
  <c r="M1881" i="1"/>
  <c r="M1880" i="1"/>
  <c r="M1879" i="1"/>
  <c r="M1878" i="1"/>
  <c r="M1877" i="1"/>
  <c r="M1876" i="1"/>
  <c r="M1875" i="1"/>
  <c r="M1874" i="1"/>
  <c r="M1873" i="1"/>
  <c r="M1872" i="1"/>
  <c r="M1871" i="1"/>
  <c r="M1870" i="1"/>
  <c r="M1869" i="1"/>
  <c r="M1868" i="1"/>
  <c r="M1867" i="1"/>
  <c r="M1866" i="1"/>
  <c r="M1865" i="1"/>
  <c r="M1864" i="1"/>
  <c r="M1863" i="1"/>
  <c r="M1862" i="1"/>
  <c r="M1861" i="1"/>
  <c r="M1860" i="1"/>
  <c r="M1859" i="1"/>
  <c r="M1858" i="1"/>
  <c r="M1857" i="1"/>
  <c r="M1856" i="1"/>
  <c r="M1855" i="1"/>
  <c r="M1854" i="1"/>
  <c r="M1853" i="1"/>
  <c r="M1852" i="1"/>
  <c r="M1851" i="1"/>
  <c r="M1850" i="1"/>
  <c r="M1849" i="1"/>
  <c r="M1848" i="1"/>
  <c r="M1847" i="1"/>
  <c r="M1846" i="1"/>
  <c r="M1845" i="1"/>
  <c r="M1844" i="1"/>
  <c r="M1843" i="1"/>
  <c r="M1842" i="1"/>
  <c r="M1841" i="1"/>
  <c r="M1840" i="1"/>
  <c r="M1839" i="1"/>
  <c r="M1838" i="1"/>
  <c r="M1837" i="1"/>
  <c r="M1836" i="1"/>
  <c r="M1835" i="1"/>
  <c r="M1834" i="1"/>
  <c r="M1833" i="1"/>
  <c r="M1832" i="1"/>
  <c r="M1831" i="1"/>
  <c r="M1830" i="1"/>
  <c r="M1829" i="1"/>
  <c r="M1828" i="1"/>
  <c r="M1827" i="1"/>
  <c r="M1826" i="1"/>
  <c r="M1825" i="1"/>
  <c r="P1824" i="1"/>
  <c r="P1823" i="1"/>
  <c r="P1822" i="1"/>
  <c r="P1821" i="1"/>
  <c r="P1820" i="1"/>
  <c r="P1819" i="1"/>
  <c r="P1818" i="1"/>
  <c r="P1817" i="1"/>
  <c r="P1816" i="1"/>
  <c r="P1815" i="1"/>
  <c r="P1814" i="1"/>
  <c r="P1813" i="1"/>
  <c r="P1812" i="1"/>
  <c r="P1811" i="1"/>
  <c r="P1810" i="1"/>
  <c r="P1809" i="1"/>
  <c r="P1808" i="1"/>
  <c r="P1807" i="1"/>
  <c r="P1806" i="1"/>
  <c r="P1805" i="1"/>
  <c r="P1804" i="1"/>
  <c r="P1803" i="1"/>
  <c r="P1802" i="1"/>
  <c r="P1801" i="1"/>
  <c r="P1800" i="1"/>
  <c r="P1799" i="1"/>
  <c r="P1798" i="1"/>
  <c r="P1797" i="1"/>
  <c r="P1796" i="1"/>
  <c r="P1795" i="1"/>
  <c r="P1794" i="1"/>
  <c r="P1793" i="1"/>
  <c r="P1792" i="1"/>
  <c r="P1791" i="1"/>
  <c r="P1790" i="1"/>
  <c r="P1789" i="1"/>
  <c r="P1788" i="1"/>
  <c r="P1787" i="1"/>
  <c r="P1786" i="1"/>
  <c r="P1785" i="1"/>
  <c r="P1784" i="1"/>
  <c r="P1783" i="1"/>
  <c r="P1782" i="1"/>
  <c r="P1781" i="1"/>
  <c r="P1780" i="1"/>
  <c r="P1779" i="1"/>
  <c r="P1778" i="1"/>
  <c r="P1777" i="1"/>
  <c r="P1776" i="1"/>
  <c r="P1775" i="1"/>
  <c r="P1774" i="1"/>
  <c r="P1773" i="1"/>
  <c r="P1772" i="1"/>
  <c r="P1771" i="1"/>
  <c r="P1770" i="1"/>
  <c r="P1769" i="1"/>
  <c r="P1768" i="1"/>
  <c r="P1767" i="1"/>
  <c r="P1766" i="1"/>
  <c r="P1765" i="1"/>
  <c r="P1764" i="1"/>
  <c r="P1763" i="1"/>
  <c r="P1762" i="1"/>
  <c r="P1761" i="1"/>
  <c r="P1760" i="1"/>
  <c r="P1759" i="1"/>
  <c r="P1758" i="1"/>
  <c r="P1757" i="1"/>
  <c r="P1756" i="1"/>
  <c r="P1755" i="1"/>
  <c r="P1754" i="1"/>
  <c r="P1753" i="1"/>
  <c r="P1752" i="1"/>
  <c r="P1751" i="1"/>
  <c r="P1750" i="1"/>
  <c r="P1749" i="1"/>
  <c r="P1748" i="1"/>
  <c r="P1747" i="1"/>
  <c r="P1746" i="1"/>
  <c r="P1745" i="1"/>
  <c r="P1744" i="1"/>
  <c r="P1743" i="1"/>
  <c r="P1742" i="1"/>
  <c r="P1741" i="1"/>
  <c r="P1740" i="1"/>
  <c r="P1739" i="1"/>
  <c r="P1738" i="1"/>
  <c r="P1737" i="1"/>
  <c r="P1736" i="1"/>
  <c r="P1735" i="1"/>
  <c r="P1734" i="1"/>
  <c r="P1733" i="1"/>
  <c r="M1731" i="1"/>
  <c r="M1730" i="1"/>
  <c r="M1729" i="1"/>
  <c r="M1728" i="1"/>
  <c r="M1727" i="1"/>
  <c r="M1726" i="1"/>
  <c r="M1725" i="1"/>
  <c r="M1724" i="1"/>
  <c r="M1723" i="1"/>
  <c r="M1722" i="1"/>
  <c r="M1721" i="1"/>
  <c r="M1720" i="1"/>
  <c r="M1719" i="1"/>
  <c r="M1718" i="1"/>
  <c r="M1717" i="1"/>
  <c r="M1716" i="1"/>
  <c r="M1715" i="1"/>
  <c r="M1712" i="1"/>
  <c r="M1711" i="1"/>
  <c r="M1710" i="1"/>
  <c r="M1709" i="1"/>
  <c r="M1708" i="1"/>
  <c r="M1705" i="1"/>
  <c r="M1704" i="1"/>
  <c r="P1695" i="1"/>
  <c r="P1694" i="1"/>
  <c r="P1693" i="1"/>
  <c r="P1658" i="1"/>
  <c r="P1657" i="1"/>
  <c r="P1656" i="1"/>
  <c r="P1655" i="1"/>
  <c r="P1654" i="1"/>
  <c r="P1653" i="1"/>
  <c r="P1652" i="1"/>
  <c r="P1651" i="1"/>
  <c r="P1650" i="1"/>
  <c r="P1649" i="1"/>
  <c r="P1648" i="1"/>
  <c r="P1647" i="1"/>
  <c r="P1646" i="1"/>
  <c r="P1645" i="1"/>
  <c r="P1644" i="1"/>
  <c r="P1643" i="1"/>
  <c r="P1642" i="1"/>
  <c r="P1641" i="1"/>
  <c r="P1640" i="1"/>
  <c r="P1639" i="1"/>
  <c r="P1638" i="1"/>
  <c r="P1637" i="1"/>
  <c r="P1636" i="1"/>
  <c r="P1635" i="1"/>
  <c r="P1634" i="1"/>
  <c r="P1633" i="1"/>
  <c r="P1632" i="1"/>
  <c r="P1631" i="1"/>
  <c r="P1626" i="1"/>
  <c r="P1625" i="1"/>
  <c r="P1624" i="1"/>
  <c r="P1623" i="1"/>
  <c r="P1622" i="1"/>
  <c r="P1621" i="1"/>
  <c r="P1620" i="1"/>
  <c r="P1619" i="1"/>
  <c r="P1618" i="1"/>
  <c r="P1617" i="1"/>
  <c r="P1616" i="1"/>
  <c r="P1615" i="1"/>
  <c r="P1614" i="1"/>
  <c r="P1613" i="1"/>
  <c r="P1612" i="1"/>
  <c r="P1611" i="1"/>
  <c r="P1610" i="1"/>
  <c r="P1609" i="1"/>
  <c r="P1608" i="1"/>
  <c r="P1607" i="1"/>
  <c r="P1606" i="1"/>
  <c r="P1605" i="1"/>
  <c r="P1604" i="1"/>
  <c r="P1603" i="1"/>
  <c r="P1602" i="1"/>
  <c r="P1601" i="1"/>
  <c r="P1600" i="1"/>
  <c r="P1599" i="1"/>
  <c r="P1598" i="1"/>
  <c r="P1597" i="1"/>
  <c r="P1596" i="1"/>
  <c r="P1595" i="1"/>
  <c r="P1594" i="1"/>
  <c r="P1593" i="1"/>
  <c r="P1592" i="1"/>
  <c r="P1591" i="1"/>
  <c r="P1590" i="1"/>
  <c r="P1589" i="1"/>
  <c r="P1588" i="1"/>
  <c r="P1587" i="1"/>
  <c r="P1586" i="1"/>
  <c r="P1585" i="1"/>
  <c r="P1584" i="1"/>
  <c r="P1583" i="1"/>
  <c r="P1582" i="1"/>
  <c r="P1581" i="1"/>
  <c r="P1580" i="1"/>
  <c r="P1579" i="1"/>
  <c r="P1578" i="1"/>
  <c r="P1577" i="1"/>
  <c r="P1576" i="1"/>
  <c r="P1575" i="1"/>
  <c r="P1574" i="1"/>
  <c r="P1573" i="1"/>
  <c r="P1572" i="1"/>
  <c r="P1571" i="1"/>
  <c r="P1570" i="1"/>
  <c r="P1569" i="1"/>
  <c r="P1568" i="1"/>
  <c r="P1567" i="1"/>
  <c r="P1566" i="1"/>
  <c r="P1565" i="1"/>
  <c r="P1564" i="1"/>
  <c r="P1563" i="1"/>
  <c r="P1562" i="1"/>
  <c r="P1561" i="1"/>
  <c r="P1560" i="1"/>
  <c r="P1559" i="1"/>
  <c r="P1558" i="1"/>
  <c r="P1557" i="1"/>
  <c r="P1556" i="1"/>
  <c r="P1555" i="1"/>
  <c r="P1554" i="1"/>
  <c r="P1553" i="1"/>
  <c r="P1552" i="1"/>
  <c r="P1551" i="1"/>
  <c r="P1550" i="1"/>
  <c r="P1549" i="1"/>
  <c r="P1548" i="1"/>
  <c r="P1547" i="1"/>
  <c r="P1546" i="1"/>
  <c r="P1545" i="1"/>
  <c r="P1544" i="1"/>
  <c r="P1543" i="1"/>
  <c r="P1542" i="1"/>
  <c r="P1541" i="1"/>
  <c r="P1540" i="1"/>
  <c r="P1539" i="1"/>
  <c r="M1538" i="1"/>
  <c r="M1537" i="1"/>
  <c r="M1536" i="1"/>
  <c r="M1535" i="1"/>
  <c r="M1534" i="1"/>
  <c r="M1533" i="1"/>
  <c r="M1532" i="1"/>
  <c r="M1531" i="1"/>
  <c r="M1530" i="1"/>
  <c r="M1529" i="1"/>
  <c r="M1528" i="1"/>
  <c r="M1527" i="1"/>
  <c r="M1526" i="1"/>
  <c r="M1525" i="1"/>
  <c r="M1524" i="1"/>
  <c r="M1523" i="1"/>
  <c r="M1522" i="1"/>
  <c r="M1521" i="1"/>
  <c r="M1520" i="1"/>
  <c r="M1519" i="1"/>
  <c r="M1518" i="1"/>
  <c r="M1517" i="1"/>
  <c r="M1516" i="1"/>
  <c r="P1515" i="1"/>
  <c r="P1514" i="1"/>
  <c r="P1513" i="1"/>
  <c r="P1512" i="1"/>
  <c r="P1511" i="1"/>
  <c r="P1510" i="1"/>
  <c r="P1509" i="1"/>
  <c r="P1508" i="1"/>
  <c r="P1507" i="1"/>
  <c r="P1506" i="1"/>
  <c r="P1505" i="1"/>
  <c r="P1504" i="1"/>
  <c r="P1503" i="1"/>
  <c r="P1502" i="1"/>
  <c r="P1501" i="1"/>
  <c r="P1500" i="1"/>
  <c r="P1499" i="1"/>
  <c r="P1498" i="1"/>
  <c r="P1497" i="1"/>
  <c r="P1496" i="1"/>
  <c r="P1495" i="1"/>
  <c r="P1494" i="1"/>
  <c r="M1493" i="1"/>
  <c r="M1492" i="1"/>
  <c r="M1491" i="1"/>
  <c r="M1490" i="1"/>
  <c r="M1489" i="1"/>
  <c r="M1488" i="1"/>
  <c r="M1487" i="1"/>
  <c r="M1486" i="1"/>
  <c r="M1485" i="1"/>
  <c r="M1484" i="1"/>
  <c r="M1483" i="1"/>
  <c r="M1482" i="1"/>
  <c r="M1481" i="1"/>
  <c r="M1480" i="1"/>
  <c r="M1479" i="1"/>
  <c r="M1478" i="1"/>
  <c r="M1477" i="1"/>
  <c r="M1476" i="1"/>
  <c r="M1475" i="1"/>
  <c r="M1474" i="1"/>
  <c r="P1472" i="1"/>
  <c r="P1471" i="1"/>
  <c r="P1470" i="1"/>
  <c r="P1469" i="1"/>
  <c r="P1468" i="1"/>
  <c r="P1467" i="1"/>
  <c r="P1466" i="1"/>
  <c r="P1465" i="1"/>
  <c r="P1464" i="1"/>
  <c r="P1463" i="1"/>
  <c r="P1462" i="1"/>
  <c r="M1461" i="1"/>
  <c r="M1460" i="1"/>
  <c r="M1459" i="1"/>
  <c r="M1458" i="1"/>
  <c r="M1457" i="1"/>
  <c r="M1456" i="1"/>
  <c r="M1455" i="1"/>
  <c r="M1454" i="1"/>
  <c r="M1453" i="1"/>
  <c r="M1452" i="1"/>
  <c r="M1451" i="1"/>
  <c r="M1450" i="1"/>
  <c r="M1449" i="1"/>
  <c r="M1448" i="1"/>
  <c r="M1447" i="1"/>
  <c r="M1446" i="1"/>
  <c r="M1445" i="1"/>
  <c r="M1444" i="1"/>
  <c r="M1443" i="1"/>
  <c r="M1442" i="1"/>
  <c r="M1441" i="1"/>
  <c r="M1440" i="1"/>
  <c r="M1439" i="1"/>
  <c r="M1438" i="1"/>
  <c r="M1437" i="1"/>
  <c r="M1436" i="1"/>
  <c r="M1435" i="1"/>
  <c r="M1434" i="1"/>
  <c r="M1433" i="1"/>
  <c r="M1432" i="1"/>
  <c r="P1431" i="1"/>
  <c r="P1430" i="1"/>
  <c r="P1429" i="1"/>
  <c r="P1428" i="1"/>
  <c r="P1427" i="1"/>
  <c r="P1426" i="1"/>
  <c r="P1425" i="1"/>
  <c r="P1424" i="1"/>
  <c r="P1423" i="1"/>
  <c r="P1422" i="1"/>
  <c r="P1421" i="1"/>
  <c r="P1420" i="1"/>
  <c r="P1419" i="1"/>
  <c r="P1418" i="1"/>
  <c r="P1417" i="1"/>
  <c r="P1416" i="1"/>
  <c r="P1415" i="1"/>
  <c r="P1414" i="1"/>
  <c r="P1413" i="1"/>
  <c r="P1412" i="1"/>
  <c r="P1411" i="1"/>
  <c r="P1410" i="1"/>
  <c r="P1409" i="1"/>
  <c r="P1408" i="1"/>
  <c r="P1407" i="1"/>
  <c r="P1406" i="1"/>
  <c r="P1405" i="1"/>
  <c r="P1404" i="1"/>
  <c r="P1403" i="1"/>
  <c r="P1402" i="1"/>
  <c r="P1401" i="1"/>
  <c r="P1400" i="1"/>
  <c r="P1399" i="1"/>
  <c r="P1398" i="1"/>
  <c r="P1397" i="1"/>
  <c r="P1396" i="1"/>
  <c r="P1395" i="1"/>
  <c r="P1394" i="1"/>
  <c r="P1393" i="1"/>
  <c r="P1392" i="1"/>
  <c r="P1391" i="1"/>
  <c r="P1390" i="1"/>
  <c r="P1389" i="1"/>
  <c r="P1388" i="1"/>
  <c r="P1387" i="1"/>
  <c r="P1378" i="1"/>
  <c r="P1377" i="1"/>
  <c r="P1376" i="1"/>
  <c r="P1375" i="1"/>
  <c r="P1374" i="1"/>
  <c r="P1373" i="1"/>
  <c r="P1372" i="1"/>
  <c r="P1371" i="1"/>
  <c r="P1370" i="1"/>
  <c r="P1369" i="1"/>
  <c r="P1368" i="1"/>
  <c r="P1367" i="1"/>
  <c r="P1366" i="1"/>
  <c r="P1365" i="1"/>
  <c r="P1364" i="1"/>
  <c r="P1363" i="1"/>
  <c r="P1362" i="1"/>
  <c r="P1361" i="1"/>
  <c r="P1360" i="1"/>
  <c r="P1359" i="1"/>
  <c r="M1181" i="1"/>
  <c r="M1180" i="1"/>
  <c r="M1179" i="1"/>
  <c r="M1178" i="1"/>
  <c r="M1177" i="1"/>
  <c r="M1176" i="1"/>
  <c r="M1175" i="1"/>
  <c r="M1174" i="1"/>
  <c r="M1173" i="1"/>
  <c r="M1172" i="1"/>
  <c r="M1171" i="1"/>
  <c r="M1170" i="1"/>
  <c r="M1169" i="1"/>
  <c r="M1168" i="1"/>
  <c r="M1167" i="1"/>
  <c r="M1164" i="1"/>
  <c r="M1140" i="1"/>
  <c r="M1139" i="1"/>
  <c r="M1138" i="1"/>
  <c r="M1137" i="1"/>
  <c r="M1136" i="1"/>
  <c r="M1135" i="1"/>
  <c r="M1134" i="1"/>
  <c r="M1133" i="1"/>
  <c r="M1132" i="1"/>
  <c r="M1131" i="1"/>
  <c r="M1005" i="1"/>
  <c r="M1004" i="1"/>
  <c r="N1004" i="1" s="1"/>
  <c r="P676" i="1"/>
  <c r="M676" i="1"/>
  <c r="M456" i="1"/>
  <c r="M455" i="1"/>
  <c r="M454" i="1"/>
  <c r="M453" i="1"/>
  <c r="M452" i="1"/>
  <c r="M451" i="1"/>
  <c r="M450" i="1"/>
  <c r="M449" i="1"/>
  <c r="M448" i="1"/>
  <c r="M447" i="1"/>
  <c r="X936" i="2" l="1"/>
  <c r="X961" i="2"/>
  <c r="Z971" i="2"/>
  <c r="X991" i="2"/>
  <c r="Z986" i="2"/>
  <c r="X1045" i="2"/>
  <c r="V176" i="2"/>
  <c r="Z1041" i="2"/>
  <c r="Z966" i="2"/>
  <c r="Z1026" i="2"/>
  <c r="Z974" i="2"/>
  <c r="Z517" i="2"/>
  <c r="X976" i="2"/>
  <c r="X995" i="2"/>
  <c r="X988" i="2"/>
  <c r="Z1033" i="2"/>
  <c r="X981" i="2"/>
  <c r="Z959" i="2"/>
  <c r="X1054" i="2"/>
  <c r="X969" i="2"/>
  <c r="Z1007" i="2"/>
  <c r="Z979" i="2"/>
  <c r="Z938" i="2"/>
  <c r="X1016" i="2"/>
  <c r="Z1061" i="2"/>
  <c r="Z993" i="2"/>
  <c r="Z946" i="2"/>
  <c r="Z520" i="2"/>
  <c r="Z1031" i="2"/>
  <c r="V558" i="2"/>
  <c r="V213" i="2"/>
  <c r="Z1004" i="2"/>
  <c r="X1021" i="2"/>
  <c r="V1066" i="2"/>
  <c r="X982" i="2"/>
  <c r="X1048" i="2"/>
  <c r="X1056" i="2"/>
  <c r="V175" i="2"/>
  <c r="X990" i="2"/>
  <c r="Z962" i="2"/>
  <c r="X962" i="2"/>
  <c r="Z1027" i="2"/>
  <c r="X948" i="2"/>
  <c r="Z1064" i="2"/>
  <c r="Z214" i="2"/>
  <c r="V214" i="2"/>
  <c r="V513" i="2"/>
  <c r="X941" i="2"/>
  <c r="X953" i="2"/>
  <c r="X1011" i="2"/>
  <c r="Z1036" i="2"/>
  <c r="X1036" i="2"/>
  <c r="Z956" i="2"/>
  <c r="X956" i="2"/>
  <c r="X996" i="2"/>
  <c r="Z1006" i="2"/>
  <c r="X1006" i="2"/>
  <c r="Z7" i="2"/>
  <c r="X999" i="2"/>
  <c r="X1051" i="2"/>
  <c r="X950" i="2"/>
  <c r="Z1037" i="2"/>
  <c r="Z1058" i="2"/>
  <c r="V12" i="2"/>
  <c r="Z217" i="2"/>
  <c r="Z944" i="2"/>
  <c r="Z958" i="2"/>
  <c r="Z951" i="2"/>
  <c r="X994" i="2"/>
  <c r="X1001" i="2"/>
  <c r="X1032" i="2"/>
  <c r="X1046" i="2"/>
  <c r="X1053" i="2"/>
  <c r="X965" i="2"/>
  <c r="V88" i="2"/>
  <c r="Z937" i="2"/>
  <c r="X1039" i="2"/>
  <c r="V182" i="2"/>
  <c r="X945" i="2"/>
  <c r="Z1002" i="2"/>
  <c r="X1002" i="2"/>
  <c r="Z521" i="2"/>
  <c r="X939" i="2"/>
  <c r="Z1022" i="2"/>
  <c r="X1022" i="2"/>
  <c r="Z224" i="2"/>
  <c r="V224" i="2"/>
  <c r="Z957" i="2"/>
  <c r="X957" i="2"/>
  <c r="Z1008" i="2"/>
  <c r="X1008" i="2"/>
  <c r="Z1040" i="2"/>
  <c r="X1040" i="2"/>
  <c r="Z522" i="2"/>
  <c r="V522" i="2"/>
  <c r="Z1034" i="2"/>
  <c r="X1034" i="2"/>
  <c r="Z933" i="2"/>
  <c r="X933" i="2"/>
  <c r="V512" i="2"/>
  <c r="Z1028" i="2"/>
  <c r="X1028" i="2"/>
  <c r="Z177" i="2"/>
  <c r="V177" i="2"/>
  <c r="X989" i="2"/>
  <c r="Z989" i="2"/>
  <c r="V1067" i="2"/>
  <c r="V8" i="2"/>
  <c r="V178" i="2"/>
  <c r="V215" i="2"/>
  <c r="V514" i="2"/>
  <c r="Z934" i="2"/>
  <c r="X934" i="2"/>
  <c r="X1029" i="2"/>
  <c r="Z1029" i="2"/>
  <c r="V523" i="2"/>
  <c r="X977" i="2"/>
  <c r="V1060" i="2"/>
  <c r="X983" i="2"/>
  <c r="X1017" i="2"/>
  <c r="X1023" i="2"/>
  <c r="V9" i="2"/>
  <c r="V179" i="2"/>
  <c r="V515" i="2"/>
  <c r="X997" i="2"/>
  <c r="Z997" i="2"/>
  <c r="X972" i="2"/>
  <c r="Z984" i="2"/>
  <c r="X984" i="2"/>
  <c r="Z1024" i="2"/>
  <c r="X1024" i="2"/>
  <c r="Z516" i="2"/>
  <c r="V516" i="2"/>
  <c r="X978" i="2"/>
  <c r="Z1005" i="2"/>
  <c r="X1005" i="2"/>
  <c r="V10" i="2"/>
  <c r="V507" i="2"/>
  <c r="X1018" i="2"/>
  <c r="X1043" i="2"/>
  <c r="X954" i="2"/>
  <c r="X960" i="2"/>
  <c r="X1012" i="2"/>
  <c r="X1049" i="2"/>
  <c r="V11" i="2"/>
  <c r="Z181" i="2"/>
  <c r="X943" i="2"/>
  <c r="Z967" i="2"/>
  <c r="Z1062" i="2"/>
  <c r="Z173" i="2"/>
  <c r="Z508" i="2"/>
  <c r="V519" i="2"/>
  <c r="Z519" i="2"/>
  <c r="X949" i="2"/>
  <c r="X968" i="2"/>
  <c r="Z968" i="2"/>
  <c r="X1038" i="2"/>
  <c r="X1044" i="2"/>
  <c r="Z1063" i="2"/>
  <c r="V1063" i="2"/>
  <c r="V89" i="2"/>
  <c r="Z174" i="2"/>
  <c r="V174" i="2"/>
  <c r="X955" i="2"/>
  <c r="X1013" i="2"/>
  <c r="X1050" i="2"/>
  <c r="V202" i="2"/>
  <c r="V529" i="2"/>
  <c r="X973" i="2"/>
  <c r="X985" i="2"/>
  <c r="X1055" i="2"/>
  <c r="Z1057" i="2"/>
  <c r="X1057" i="2"/>
  <c r="V509" i="2"/>
  <c r="V216" i="2"/>
  <c r="Z495" i="2"/>
  <c r="X1035" i="2"/>
  <c r="Z510" i="2"/>
  <c r="X980" i="2"/>
  <c r="X952" i="2"/>
  <c r="X1014" i="2"/>
  <c r="X1047" i="2"/>
  <c r="Z1047" i="2"/>
  <c r="V525" i="2"/>
  <c r="X935" i="2"/>
  <c r="X947" i="2"/>
  <c r="Z947" i="2"/>
  <c r="Z992" i="2"/>
  <c r="X1030" i="2"/>
  <c r="V183" i="2"/>
  <c r="X964" i="2"/>
  <c r="X998" i="2"/>
  <c r="X1009" i="2"/>
  <c r="X1025" i="2"/>
  <c r="V511" i="2"/>
  <c r="V518" i="2"/>
  <c r="X970" i="2"/>
  <c r="X987" i="2"/>
  <c r="X1020" i="2"/>
  <c r="Z1042" i="2"/>
  <c r="X1042" i="2"/>
  <c r="V1059" i="2"/>
  <c r="Z963" i="2"/>
  <c r="X963" i="2"/>
  <c r="X940" i="2"/>
  <c r="X1019" i="2"/>
  <c r="X1052" i="2"/>
  <c r="X1003" i="2"/>
  <c r="X975" i="2"/>
  <c r="Z184" i="2"/>
  <c r="V184" i="2"/>
  <c r="Z942" i="2"/>
  <c r="X942" i="2"/>
  <c r="Z1010" i="2"/>
  <c r="X1010" i="2"/>
  <c r="X1015" i="2"/>
  <c r="X100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tc={ECEC0BB0-EA26-4272-8B28-92F3140520BC}</author>
    <author>tc={DE349007-2A4B-446B-86D1-ACD0A996D123}</author>
    <author>tc={0825EABD-A959-4AA4-B71F-476B3CD75C29}</author>
    <author>tc={88DAEC0D-9196-430F-BB41-30D6320324BE}</author>
  </authors>
  <commentList>
    <comment ref="J1071" authorId="0" shapeId="0" xr:uid="{ECEC0BB0-EA26-4272-8B28-92F3140520BC}">
      <text>
        <t>[Threaded comment]
Your version of Excel allows you to read this threaded comment; however, any edits to it will get removed if the file is opened in a newer version of Excel. Learn more: https://go.microsoft.com/fwlink/?linkid=870924
Comment:
    For whole study, 1977. But for date of first arrival, they only have data starting at 1994</t>
      </text>
    </comment>
    <comment ref="J1072" authorId="1" shapeId="0" xr:uid="{DE349007-2A4B-446B-86D1-ACD0A996D123}">
      <text>
        <t>[Threaded comment]
Your version of Excel allows you to read this threaded comment; however, any edits to it will get removed if the file is opened in a newer version of Excel. Learn more: https://go.microsoft.com/fwlink/?linkid=870924
Comment:
    For whole study, 1977. But for date of first arrival, they only have data starting at 1994</t>
      </text>
    </comment>
    <comment ref="J1073" authorId="2" shapeId="0" xr:uid="{0825EABD-A959-4AA4-B71F-476B3CD75C29}">
      <text>
        <t>[Threaded comment]
Your version of Excel allows you to read this threaded comment; however, any edits to it will get removed if the file is opened in a newer version of Excel. Learn more: https://go.microsoft.com/fwlink/?linkid=870924
Comment:
    For whole study, 1977. But for date of first arrival, they only have data starting at 1994</t>
      </text>
    </comment>
    <comment ref="B1185" authorId="3" shapeId="0" xr:uid="{88DAEC0D-9196-430F-BB41-30D6320324BE}">
      <text>
        <t>[Threaded comment]
Your version of Excel allows you to read this threaded comment; however, any edits to it will get removed if the file is opened in a newer version of Excel. Learn more: https://go.microsoft.com/fwlink/?linkid=870924
Comment:
    Possibly for meroplankton</t>
      </text>
    </comment>
  </commentList>
</comments>
</file>

<file path=xl/sharedStrings.xml><?xml version="1.0" encoding="utf-8"?>
<sst xmlns="http://schemas.openxmlformats.org/spreadsheetml/2006/main" count="43737" uniqueCount="3939">
  <si>
    <t>Full reference</t>
  </si>
  <si>
    <t>Include</t>
  </si>
  <si>
    <t>Database</t>
  </si>
  <si>
    <t>Ocean Region</t>
  </si>
  <si>
    <t>Taxa</t>
  </si>
  <si>
    <t>Old_Taxa</t>
  </si>
  <si>
    <t>Species</t>
  </si>
  <si>
    <t>Range edge</t>
  </si>
  <si>
    <t>Latitude</t>
  </si>
  <si>
    <t>Longitude</t>
  </si>
  <si>
    <t>Start Year</t>
  </si>
  <si>
    <t>End Year</t>
  </si>
  <si>
    <t>Timespan</t>
  </si>
  <si>
    <t>Shift</t>
  </si>
  <si>
    <t>Rate</t>
  </si>
  <si>
    <t>Consistent</t>
  </si>
  <si>
    <t>Notes</t>
  </si>
  <si>
    <t>Extra</t>
  </si>
  <si>
    <r>
      <t>Beaugrand, G. et al. (2009). Rapid biogeographical plankton shifts in the North Atlantic Ocean.</t>
    </r>
    <r>
      <rPr>
        <i/>
        <sz val="11"/>
        <color theme="1"/>
        <rFont val="Calibri"/>
        <family val="2"/>
        <scheme val="minor"/>
      </rPr>
      <t xml:space="preserve"> Global Change Biology</t>
    </r>
    <r>
      <rPr>
        <sz val="11"/>
        <color theme="1"/>
        <rFont val="Calibri"/>
        <family val="2"/>
        <scheme val="minor"/>
      </rPr>
      <t xml:space="preserve"> 15: 1790-1803</t>
    </r>
  </si>
  <si>
    <t>Ant</t>
  </si>
  <si>
    <t>North Atlantic HLSBS east</t>
  </si>
  <si>
    <t>Zooplankton - holo</t>
  </si>
  <si>
    <t>Calanoides carinatus</t>
  </si>
  <si>
    <t>Leading</t>
  </si>
  <si>
    <t>expansion</t>
  </si>
  <si>
    <t>Calanus helgolandicus</t>
  </si>
  <si>
    <t>Undeuchaeta major</t>
  </si>
  <si>
    <t>Euchaeta acuta</t>
  </si>
  <si>
    <t>Aetideus armatus</t>
  </si>
  <si>
    <t>Trailing</t>
  </si>
  <si>
    <t>contraction</t>
  </si>
  <si>
    <t>Heterohabdus norvegicus</t>
  </si>
  <si>
    <t>Calanus hyperboreus</t>
  </si>
  <si>
    <t>Isias clavipes</t>
  </si>
  <si>
    <t>Centropages hamatus</t>
  </si>
  <si>
    <r>
      <t xml:space="preserve">Beukema, J.J. and R. Dekker (2005). Decline of recruitment success in cockles and other bivalves in the Wadden Sea: possible role of climate change, predation on postlarvae and fisheries. </t>
    </r>
    <r>
      <rPr>
        <i/>
        <sz val="11"/>
        <color theme="1"/>
        <rFont val="Calibri"/>
        <family val="2"/>
        <scheme val="minor"/>
      </rPr>
      <t>Marine Ecology Progress Series</t>
    </r>
    <r>
      <rPr>
        <sz val="11"/>
        <color theme="1"/>
        <rFont val="Calibri"/>
        <family val="2"/>
        <scheme val="minor"/>
      </rPr>
      <t xml:space="preserve"> 287: 149-167</t>
    </r>
  </si>
  <si>
    <t>Benthic molluscs</t>
  </si>
  <si>
    <t>Cerastoderma edule</t>
  </si>
  <si>
    <t>Centre</t>
  </si>
  <si>
    <r>
      <t xml:space="preserve">Beukema, J.J. et al. (2009). Some like it cold: populations of the tellinid bivalve </t>
    </r>
    <r>
      <rPr>
        <i/>
        <sz val="11"/>
        <color theme="1"/>
        <rFont val="Calibri"/>
        <family val="2"/>
        <scheme val="minor"/>
      </rPr>
      <t>Macoma balthica</t>
    </r>
    <r>
      <rPr>
        <sz val="11"/>
        <color theme="1"/>
        <rFont val="Calibri"/>
        <family val="2"/>
        <scheme val="minor"/>
      </rPr>
      <t xml:space="preserve"> (L.) suffer in various ways from a warming climate. </t>
    </r>
    <r>
      <rPr>
        <i/>
        <sz val="11"/>
        <color theme="1"/>
        <rFont val="Calibri"/>
        <family val="2"/>
        <scheme val="minor"/>
      </rPr>
      <t>Marine Ecology Progress Series</t>
    </r>
    <r>
      <rPr>
        <sz val="11"/>
        <color theme="1"/>
        <rFont val="Calibri"/>
        <family val="2"/>
        <scheme val="minor"/>
      </rPr>
      <t xml:space="preserve"> 384: 135_145</t>
    </r>
  </si>
  <si>
    <t>Macoma balthica rubra</t>
  </si>
  <si>
    <r>
      <t xml:space="preserve">Bonnet et al. (2005). An overview of </t>
    </r>
    <r>
      <rPr>
        <i/>
        <sz val="11"/>
        <color theme="1"/>
        <rFont val="Calibri"/>
        <family val="2"/>
        <scheme val="minor"/>
      </rPr>
      <t>Calanus helgolandicus</t>
    </r>
    <r>
      <rPr>
        <sz val="11"/>
        <color theme="1"/>
        <rFont val="Calibri"/>
        <family val="2"/>
        <scheme val="minor"/>
      </rPr>
      <t xml:space="preserve"> ecology in European waters. </t>
    </r>
    <r>
      <rPr>
        <i/>
        <sz val="11"/>
        <color theme="1"/>
        <rFont val="Calibri"/>
        <family val="2"/>
        <scheme val="minor"/>
      </rPr>
      <t>Progress in Oceanography</t>
    </r>
    <r>
      <rPr>
        <sz val="11"/>
        <color theme="1"/>
        <rFont val="Calibri"/>
        <family val="2"/>
        <scheme val="minor"/>
      </rPr>
      <t xml:space="preserve"> 65: 1-53</t>
    </r>
  </si>
  <si>
    <t>Calanus finmarchicus</t>
  </si>
  <si>
    <r>
      <t xml:space="preserve">Cubillos, J.C. et al. (2007). Calcification morphotypes of the coccolithophorid </t>
    </r>
    <r>
      <rPr>
        <i/>
        <sz val="11"/>
        <color theme="1"/>
        <rFont val="Calibri"/>
        <family val="2"/>
        <scheme val="minor"/>
      </rPr>
      <t xml:space="preserve">Emiliania huxleyi </t>
    </r>
    <r>
      <rPr>
        <sz val="11"/>
        <color theme="1"/>
        <rFont val="Calibri"/>
        <family val="2"/>
        <scheme val="minor"/>
      </rPr>
      <t xml:space="preserve"> in the Southern Ocean: changes in 2001 to 2006 compared to historical data. Marine Ecology Progress Series 348:47-54</t>
    </r>
  </si>
  <si>
    <t>Southern Ocean east</t>
  </si>
  <si>
    <t>Emiliania huxleyi</t>
  </si>
  <si>
    <r>
      <t xml:space="preserve">Dawson, M. N. et al. (2010). Population genetic analysis of a recent range expansion: mechanisms regulating the poleward range limit in the volcano barnacle </t>
    </r>
    <r>
      <rPr>
        <i/>
        <sz val="11"/>
        <color theme="1"/>
        <rFont val="Calibri"/>
        <family val="2"/>
        <scheme val="minor"/>
      </rPr>
      <t>Tetraclita rubescens.</t>
    </r>
    <r>
      <rPr>
        <sz val="11"/>
        <color theme="1"/>
        <rFont val="Calibri"/>
        <family val="2"/>
        <scheme val="minor"/>
      </rPr>
      <t xml:space="preserve"> </t>
    </r>
    <r>
      <rPr>
        <i/>
        <sz val="11"/>
        <color theme="1"/>
        <rFont val="Calibri"/>
        <family val="2"/>
        <scheme val="minor"/>
      </rPr>
      <t>Molecular Ecology</t>
    </r>
    <r>
      <rPr>
        <sz val="11"/>
        <color theme="1"/>
        <rFont val="Calibri"/>
        <family val="2"/>
        <scheme val="minor"/>
      </rPr>
      <t xml:space="preserve"> 19:1585-1605</t>
    </r>
  </si>
  <si>
    <t>Benthic crustacea</t>
  </si>
  <si>
    <t>Tetraclita rubescens</t>
  </si>
  <si>
    <r>
      <t xml:space="preserve">Hallegraeff G. et al. (2008). Recent range expansion of the red-tide dinoflagellate </t>
    </r>
    <r>
      <rPr>
        <i/>
        <sz val="11"/>
        <color theme="1"/>
        <rFont val="Calibri"/>
        <family val="2"/>
        <scheme val="minor"/>
      </rPr>
      <t>Noctiluca scintillans</t>
    </r>
    <r>
      <rPr>
        <sz val="11"/>
        <color theme="1"/>
        <rFont val="Calibri"/>
        <family val="2"/>
        <scheme val="minor"/>
      </rPr>
      <t xml:space="preserve"> in Australian coastal waters. </t>
    </r>
    <r>
      <rPr>
        <i/>
        <sz val="11"/>
        <color theme="1"/>
        <rFont val="Calibri"/>
        <family val="2"/>
        <scheme val="minor"/>
      </rPr>
      <t>IOC-UNESCO Algae Newsletter</t>
    </r>
    <r>
      <rPr>
        <sz val="11"/>
        <color theme="1"/>
        <rFont val="Calibri"/>
        <family val="2"/>
        <scheme val="minor"/>
      </rPr>
      <t xml:space="preserve"> 38:10-11.</t>
    </r>
  </si>
  <si>
    <t>South Pacific HLSBS west</t>
  </si>
  <si>
    <t>Phytoplankton</t>
  </si>
  <si>
    <t>Noctiluca scintillans</t>
  </si>
  <si>
    <r>
      <t xml:space="preserve">Hays, G.C. et al. (2005). Climate change and marine plankton. </t>
    </r>
    <r>
      <rPr>
        <i/>
        <sz val="11"/>
        <color theme="1"/>
        <rFont val="Calibri"/>
        <family val="2"/>
        <scheme val="minor"/>
      </rPr>
      <t xml:space="preserve">Trends in Ecology and Evolution </t>
    </r>
    <r>
      <rPr>
        <sz val="11"/>
        <color theme="1"/>
        <rFont val="Calibri"/>
        <family val="2"/>
        <scheme val="minor"/>
      </rPr>
      <t>20: 337-344</t>
    </r>
  </si>
  <si>
    <t>Ceratium trichoceros</t>
  </si>
  <si>
    <r>
      <t xml:space="preserve">Herbert, R. J. H. et al. (2003). Range extension and reproduction of the barnacle </t>
    </r>
    <r>
      <rPr>
        <i/>
        <sz val="11"/>
        <color theme="1"/>
        <rFont val="Calibri"/>
        <family val="2"/>
        <scheme val="minor"/>
      </rPr>
      <t>Balanus perforatus</t>
    </r>
    <r>
      <rPr>
        <sz val="11"/>
        <color theme="1"/>
        <rFont val="Calibri"/>
        <family val="2"/>
        <scheme val="minor"/>
      </rPr>
      <t xml:space="preserve"> in the eastern English Channel. </t>
    </r>
    <r>
      <rPr>
        <i/>
        <sz val="11"/>
        <color theme="1"/>
        <rFont val="Calibri"/>
        <family val="2"/>
        <scheme val="minor"/>
      </rPr>
      <t>Journal of the Marine Biological Association of the United Kingdom</t>
    </r>
    <r>
      <rPr>
        <sz val="11"/>
        <color theme="1"/>
        <rFont val="Calibri"/>
        <family val="2"/>
        <scheme val="minor"/>
      </rPr>
      <t xml:space="preserve"> 83:73-82.</t>
    </r>
  </si>
  <si>
    <t>Balanus perforatus</t>
  </si>
  <si>
    <t>Chthamalus montagui</t>
  </si>
  <si>
    <r>
      <t xml:space="preserve">Hsieh, C. et al. (2008). Spatial analysis shows that fishing enhances the climatic sensitivity of marine fishes. </t>
    </r>
    <r>
      <rPr>
        <i/>
        <sz val="11"/>
        <color theme="1"/>
        <rFont val="Calibri"/>
        <family val="2"/>
        <scheme val="minor"/>
      </rPr>
      <t>Canadian Journal of Fisheries and Aquatic Science</t>
    </r>
    <r>
      <rPr>
        <sz val="11"/>
        <color theme="1"/>
        <rFont val="Calibri"/>
        <family val="2"/>
        <scheme val="minor"/>
      </rPr>
      <t>s 65: 947-961</t>
    </r>
  </si>
  <si>
    <t>California Current EBUE</t>
  </si>
  <si>
    <t>Zooplankton - mero</t>
  </si>
  <si>
    <t>Scomber japonicus</t>
  </si>
  <si>
    <t>Hippoglossina stomata</t>
  </si>
  <si>
    <t>Lyopsetta exilis</t>
  </si>
  <si>
    <t>Sebastes jordani</t>
  </si>
  <si>
    <t>Leuroglossus stilbius</t>
  </si>
  <si>
    <t>Ophidion scrippsae</t>
  </si>
  <si>
    <t>Pleuronichthys verticalis</t>
  </si>
  <si>
    <t>Engraulis mordax</t>
  </si>
  <si>
    <t>Microstomus pacificus</t>
  </si>
  <si>
    <t>Sebastes aurora</t>
  </si>
  <si>
    <t>Trachurus symmetricus</t>
  </si>
  <si>
    <t>Argentina sialis</t>
  </si>
  <si>
    <t>Cololabis saira</t>
  </si>
  <si>
    <t>Icichthys lockingtoni</t>
  </si>
  <si>
    <t>Trachipterus altivelis</t>
  </si>
  <si>
    <t>Paralabrax clathratus</t>
  </si>
  <si>
    <t>Paralichthys californicus</t>
  </si>
  <si>
    <t>Sardinops sagax</t>
  </si>
  <si>
    <t>Chromis punctipinnus</t>
  </si>
  <si>
    <t>Parophrys vetulus</t>
  </si>
  <si>
    <t>Sphyraena argentea</t>
  </si>
  <si>
    <t>Merluccius productus</t>
  </si>
  <si>
    <t>Hypsoblennius jenkins</t>
  </si>
  <si>
    <t>no change</t>
  </si>
  <si>
    <t>No change</t>
  </si>
  <si>
    <t>Tetragonurus cuvieri</t>
  </si>
  <si>
    <t>Symphurus atricaudus</t>
  </si>
  <si>
    <t>Equivocal</t>
  </si>
  <si>
    <t>Sebastes paucispinis</t>
  </si>
  <si>
    <t>Zaniolepis frenata</t>
  </si>
  <si>
    <t>Oxylebius pictus</t>
  </si>
  <si>
    <t>Scorpaenichthys marmoratus</t>
  </si>
  <si>
    <r>
      <t xml:space="preserve">Fenberg, P.B. and Rivadeneira, M. M. (2011). Range limits and geographic patterns of abundance of the rocky intertidal owl limpet, </t>
    </r>
    <r>
      <rPr>
        <i/>
        <sz val="11"/>
        <color theme="1"/>
        <rFont val="Calibri"/>
        <family val="2"/>
        <scheme val="minor"/>
      </rPr>
      <t>Lottia gigantea</t>
    </r>
    <r>
      <rPr>
        <sz val="11"/>
        <color theme="1"/>
        <rFont val="Calibri"/>
        <family val="2"/>
        <scheme val="minor"/>
      </rPr>
      <t xml:space="preserve">. </t>
    </r>
    <r>
      <rPr>
        <i/>
        <sz val="11"/>
        <color theme="1"/>
        <rFont val="Calibri"/>
        <family val="2"/>
        <scheme val="minor"/>
      </rPr>
      <t>Journal of Biogeography</t>
    </r>
    <r>
      <rPr>
        <sz val="11"/>
        <color theme="1"/>
        <rFont val="Calibri"/>
        <family val="2"/>
        <scheme val="minor"/>
      </rPr>
      <t xml:space="preserve">. 38: 2286-2298. </t>
    </r>
  </si>
  <si>
    <t>Lottia gigantea</t>
  </si>
  <si>
    <r>
      <t xml:space="preserve">Lima, F. P. et al. (2007). Do distributional shifts of northern and southern species of algae match the warming pattern? </t>
    </r>
    <r>
      <rPr>
        <i/>
        <sz val="11"/>
        <color theme="1"/>
        <rFont val="Calibri"/>
        <family val="2"/>
        <scheme val="minor"/>
      </rPr>
      <t>Global Change Biology</t>
    </r>
    <r>
      <rPr>
        <sz val="11"/>
        <color theme="1"/>
        <rFont val="Calibri"/>
        <family val="2"/>
        <scheme val="minor"/>
      </rPr>
      <t xml:space="preserve"> 13: 2592-2605.</t>
    </r>
  </si>
  <si>
    <t>Benthic algae</t>
  </si>
  <si>
    <t xml:space="preserve">Chondrus crispus </t>
  </si>
  <si>
    <t xml:space="preserve">Desmarestia ligulata </t>
  </si>
  <si>
    <t xml:space="preserve">Dumontia contorta </t>
  </si>
  <si>
    <t xml:space="preserve">Himanthalia elongata </t>
  </si>
  <si>
    <t xml:space="preserve">Palmaria palmata </t>
  </si>
  <si>
    <t xml:space="preserve">Pelvetia canaliculata </t>
  </si>
  <si>
    <t>Asparagopsis armat</t>
  </si>
  <si>
    <t xml:space="preserve">Codium adhaerens </t>
  </si>
  <si>
    <t xml:space="preserve">Halopithys incurva </t>
  </si>
  <si>
    <t xml:space="preserve">Hypnea musciformis </t>
  </si>
  <si>
    <t xml:space="preserve">Leathesia difformis </t>
  </si>
  <si>
    <t xml:space="preserve">Padina pavonica </t>
  </si>
  <si>
    <t>Sargassum flavifolium</t>
  </si>
  <si>
    <t xml:space="preserve">Valonia utricularis </t>
  </si>
  <si>
    <t xml:space="preserve">Ascophyllum nodosum </t>
  </si>
  <si>
    <t xml:space="preserve">Calliblepharis ciliata </t>
  </si>
  <si>
    <t xml:space="preserve">Cystoseira baccata </t>
  </si>
  <si>
    <t xml:space="preserve">Fucus spiralis </t>
  </si>
  <si>
    <t xml:space="preserve">Laminaria hyperborea </t>
  </si>
  <si>
    <t xml:space="preserve">Phyllophora crispa </t>
  </si>
  <si>
    <t xml:space="preserve">Gelidium corneum </t>
  </si>
  <si>
    <t xml:space="preserve">Cystoseira tamariscifolia </t>
  </si>
  <si>
    <t xml:space="preserve">Scytosiphon lomentaria </t>
  </si>
  <si>
    <t xml:space="preserve">Ahnfeltia plicata </t>
  </si>
  <si>
    <t xml:space="preserve">Bifurcaria bifurcata </t>
  </si>
  <si>
    <t xml:space="preserve">Desmarestia aculeata </t>
  </si>
  <si>
    <t xml:space="preserve">Fucus vesiculosus </t>
  </si>
  <si>
    <t xml:space="preserve">Halidrys siliquosa </t>
  </si>
  <si>
    <t xml:space="preserve">Mastocarpus stellatus </t>
  </si>
  <si>
    <t xml:space="preserve">Fucus serratus </t>
  </si>
  <si>
    <t xml:space="preserve">Laminaria saccharina </t>
  </si>
  <si>
    <t xml:space="preserve">Petalonia fascia </t>
  </si>
  <si>
    <t xml:space="preserve">Delesseria sanguinea </t>
  </si>
  <si>
    <t xml:space="preserve">Dilsea carnosa </t>
  </si>
  <si>
    <t xml:space="preserve">Halopteris filicina </t>
  </si>
  <si>
    <t xml:space="preserve">Amphiroa sp. </t>
  </si>
  <si>
    <t>Caulacanthus ustulatus</t>
  </si>
  <si>
    <r>
      <t xml:space="preserve">Lindley JA and Daykin S. (2005). Variations in the distributions of </t>
    </r>
    <r>
      <rPr>
        <i/>
        <sz val="11"/>
        <color theme="1"/>
        <rFont val="Calibri"/>
        <family val="2"/>
        <scheme val="minor"/>
      </rPr>
      <t>Centropages chierchiae</t>
    </r>
    <r>
      <rPr>
        <sz val="11"/>
        <color theme="1"/>
        <rFont val="Calibri"/>
        <family val="2"/>
        <scheme val="minor"/>
      </rPr>
      <t xml:space="preserve"> and </t>
    </r>
    <r>
      <rPr>
        <i/>
        <sz val="11"/>
        <color theme="1"/>
        <rFont val="Calibri"/>
        <family val="2"/>
        <scheme val="minor"/>
      </rPr>
      <t>Temora stylifera</t>
    </r>
    <r>
      <rPr>
        <sz val="11"/>
        <color theme="1"/>
        <rFont val="Calibri"/>
        <family val="2"/>
        <scheme val="minor"/>
      </rPr>
      <t xml:space="preserve"> (Copepoda: Calanoida) in the north-eastern Atlantic Ocean and western European shelf waters.</t>
    </r>
    <r>
      <rPr>
        <i/>
        <sz val="11"/>
        <color theme="1"/>
        <rFont val="Calibri"/>
        <family val="2"/>
        <scheme val="minor"/>
      </rPr>
      <t xml:space="preserve"> ICES Journal of Marine Science</t>
    </r>
    <r>
      <rPr>
        <sz val="11"/>
        <color theme="1"/>
        <rFont val="Calibri"/>
        <family val="2"/>
        <scheme val="minor"/>
      </rPr>
      <t xml:space="preserve"> 62: 869-877.</t>
    </r>
  </si>
  <si>
    <t>Temora stylifera</t>
  </si>
  <si>
    <t>Centropages chierchiae</t>
  </si>
  <si>
    <r>
      <t xml:space="preserve">Ling, S. D. et al. (2009). Climate-driven range extension of a sea urchin: inferring future trends by analysis of recent population dynamics. </t>
    </r>
    <r>
      <rPr>
        <i/>
        <sz val="11"/>
        <color theme="1"/>
        <rFont val="Calibri"/>
        <family val="2"/>
        <scheme val="minor"/>
      </rPr>
      <t>Global Change Biology</t>
    </r>
    <r>
      <rPr>
        <sz val="11"/>
        <color theme="1"/>
        <rFont val="Calibri"/>
        <family val="2"/>
        <scheme val="minor"/>
      </rPr>
      <t xml:space="preserve"> 15:719-731.</t>
    </r>
  </si>
  <si>
    <t>Other benthic invertebrates</t>
  </si>
  <si>
    <t>Benthic invert. (other)</t>
  </si>
  <si>
    <t>Centrostephanus rodgersii</t>
  </si>
  <si>
    <r>
      <t>Mieszkowska, N. et al. (2006). Changes in the range of some common rocky shore species in Britain - a response to climate change?</t>
    </r>
    <r>
      <rPr>
        <i/>
        <sz val="11"/>
        <color theme="1"/>
        <rFont val="Calibri"/>
        <family val="2"/>
        <scheme val="minor"/>
      </rPr>
      <t xml:space="preserve"> Hydrobiologia</t>
    </r>
    <r>
      <rPr>
        <sz val="11"/>
        <color theme="1"/>
        <rFont val="Calibri"/>
        <family val="2"/>
        <scheme val="minor"/>
      </rPr>
      <t xml:space="preserve"> 555:241-251.</t>
    </r>
  </si>
  <si>
    <r>
      <t xml:space="preserve">Jones, S. J. et al. (2010). Rising environmental temperatures and biogeography: poleward range contraction of the blue mussel, </t>
    </r>
    <r>
      <rPr>
        <i/>
        <sz val="11"/>
        <color theme="1"/>
        <rFont val="Calibri"/>
        <family val="2"/>
        <scheme val="minor"/>
      </rPr>
      <t>Mytilus edulis</t>
    </r>
    <r>
      <rPr>
        <sz val="11"/>
        <color theme="1"/>
        <rFont val="Calibri"/>
        <family val="2"/>
        <scheme val="minor"/>
      </rPr>
      <t xml:space="preserve"> L., in the western Atlantic.</t>
    </r>
    <r>
      <rPr>
        <i/>
        <sz val="11"/>
        <color theme="1"/>
        <rFont val="Calibri"/>
        <family val="2"/>
        <scheme val="minor"/>
      </rPr>
      <t xml:space="preserve"> Journal of Biogeography</t>
    </r>
    <r>
      <rPr>
        <sz val="11"/>
        <color theme="1"/>
        <rFont val="Calibri"/>
        <family val="2"/>
        <scheme val="minor"/>
      </rPr>
      <t xml:space="preserve"> 37(12): 2243-2259.</t>
    </r>
  </si>
  <si>
    <t>North Atlantic HLSBS west</t>
  </si>
  <si>
    <t>Mytilus edulis</t>
  </si>
  <si>
    <r>
      <t xml:space="preserve">Lima, F. P. et al. (2006). Recent changes in the distribution of a marine gastropod, </t>
    </r>
    <r>
      <rPr>
        <i/>
        <sz val="11"/>
        <color theme="1"/>
        <rFont val="Calibri"/>
        <family val="2"/>
        <scheme val="minor"/>
      </rPr>
      <t>Patella rustica</t>
    </r>
    <r>
      <rPr>
        <sz val="11"/>
        <color theme="1"/>
        <rFont val="Calibri"/>
        <family val="2"/>
        <scheme val="minor"/>
      </rPr>
      <t xml:space="preserve"> Linnaeus, 1758, and their relationship to unusual climatic events.</t>
    </r>
    <r>
      <rPr>
        <i/>
        <sz val="11"/>
        <color theme="1"/>
        <rFont val="Calibri"/>
        <family val="2"/>
        <scheme val="minor"/>
      </rPr>
      <t xml:space="preserve"> Journal of Biogeography</t>
    </r>
    <r>
      <rPr>
        <sz val="11"/>
        <color theme="1"/>
        <rFont val="Calibri"/>
        <family val="2"/>
        <scheme val="minor"/>
      </rPr>
      <t xml:space="preserve"> 33:812-822</t>
    </r>
  </si>
  <si>
    <t>Patella rustica</t>
  </si>
  <si>
    <t xml:space="preserve">Leading </t>
  </si>
  <si>
    <t xml:space="preserve">Osilinus lineatus </t>
  </si>
  <si>
    <r>
      <t xml:space="preserve">Mueter, F.J. and M.A. Litzow (2008). Sea ice retreat alters the biogeography of the bering sea continental shelf. </t>
    </r>
    <r>
      <rPr>
        <i/>
        <sz val="11"/>
        <color theme="1"/>
        <rFont val="Calibri"/>
        <family val="2"/>
        <scheme val="minor"/>
      </rPr>
      <t>Ecological Applications</t>
    </r>
    <r>
      <rPr>
        <sz val="11"/>
        <color theme="1"/>
        <rFont val="Calibri"/>
        <family val="2"/>
        <scheme val="minor"/>
      </rPr>
      <t xml:space="preserve"> 18: 309-302</t>
    </r>
  </si>
  <si>
    <t>North Pacific HLSBS east</t>
  </si>
  <si>
    <t xml:space="preserve">Chionoecetes hybrid </t>
  </si>
  <si>
    <t xml:space="preserve">Paralithodes platypus </t>
  </si>
  <si>
    <t xml:space="preserve">Paralithodes camtschaticus </t>
  </si>
  <si>
    <t>Oregonia gracilis</t>
  </si>
  <si>
    <t xml:space="preserve">Chionoecetes bairdi </t>
  </si>
  <si>
    <t>Telmessus cheiragonus</t>
  </si>
  <si>
    <t xml:space="preserve">Cancer oregonensis </t>
  </si>
  <si>
    <t xml:space="preserve">Erimacrus isenbeckii </t>
  </si>
  <si>
    <r>
      <t xml:space="preserve">Ben Rais Lasram, F. and D. Mouillot. (2009). Increasing southern invasion enhances congruence between endemic and exotic Mediterranean fish fauna. </t>
    </r>
    <r>
      <rPr>
        <i/>
        <sz val="11"/>
        <color theme="1"/>
        <rFont val="Calibri"/>
        <family val="2"/>
        <scheme val="minor"/>
      </rPr>
      <t xml:space="preserve">Biological Invasions </t>
    </r>
    <r>
      <rPr>
        <sz val="11"/>
        <color theme="1"/>
        <rFont val="Calibri"/>
        <family val="2"/>
        <scheme val="minor"/>
      </rPr>
      <t>11:697-711</t>
    </r>
  </si>
  <si>
    <t>Mediterranean Sea</t>
  </si>
  <si>
    <t>Fish</t>
  </si>
  <si>
    <t>Bony fish</t>
  </si>
  <si>
    <t>NA</t>
  </si>
  <si>
    <r>
      <t>Engelhard, G.H. et al. (2011). Nine decades of North Sea sole and plaice distribution.</t>
    </r>
    <r>
      <rPr>
        <i/>
        <sz val="11"/>
        <color theme="1"/>
        <rFont val="Calibri"/>
        <family val="2"/>
        <scheme val="minor"/>
      </rPr>
      <t xml:space="preserve"> ICES Journal of Marine Science</t>
    </r>
    <r>
      <rPr>
        <sz val="11"/>
        <color theme="1"/>
        <rFont val="Calibri"/>
        <family val="2"/>
        <scheme val="minor"/>
      </rPr>
      <t xml:space="preserve"> 68(6): 1090-1104.</t>
    </r>
  </si>
  <si>
    <t>Solea solea</t>
  </si>
  <si>
    <t>Pleuronectes platessa</t>
  </si>
  <si>
    <t xml:space="preserve">Lycodes palearis </t>
  </si>
  <si>
    <t xml:space="preserve">Podothecus acipenserinus </t>
  </si>
  <si>
    <t xml:space="preserve">Pandalus borealis </t>
  </si>
  <si>
    <t>Mallotus villosus</t>
  </si>
  <si>
    <t xml:space="preserve">Glyptocephalus zachirus </t>
  </si>
  <si>
    <t xml:space="preserve">Hemilepidotus papilio </t>
  </si>
  <si>
    <t xml:space="preserve">Hexagrammos stelleri </t>
  </si>
  <si>
    <t xml:space="preserve">Ammodytes hexapterus </t>
  </si>
  <si>
    <t xml:space="preserve">Pandalus goniurus </t>
  </si>
  <si>
    <t xml:space="preserve">Trichodon trichodon </t>
  </si>
  <si>
    <t xml:space="preserve">Osmerus mordax </t>
  </si>
  <si>
    <t xml:space="preserve">Anoplopoma fimbria </t>
  </si>
  <si>
    <t>Chionoecetes opilio</t>
  </si>
  <si>
    <t xml:space="preserve">Eleginus gracilis </t>
  </si>
  <si>
    <t xml:space="preserve">Limanda aspera </t>
  </si>
  <si>
    <t xml:space="preserve">Pleuronectes quadrituberculatus </t>
  </si>
  <si>
    <t xml:space="preserve">Leptagonus frenatus </t>
  </si>
  <si>
    <t>Gadus macrocephalus</t>
  </si>
  <si>
    <t xml:space="preserve">Hemilepidotus jordani </t>
  </si>
  <si>
    <t xml:space="preserve">Platichthys stellatus </t>
  </si>
  <si>
    <t xml:space="preserve">Lycodes raridens </t>
  </si>
  <si>
    <t xml:space="preserve">Thaleichthys pacificus </t>
  </si>
  <si>
    <t xml:space="preserve">Clupea pallasi </t>
  </si>
  <si>
    <t xml:space="preserve">Boreogadus saida </t>
  </si>
  <si>
    <t xml:space="preserve">Dasycottus setiger </t>
  </si>
  <si>
    <t xml:space="preserve">Atheresthes spp. </t>
  </si>
  <si>
    <t>Theragra chalcogramma</t>
  </si>
  <si>
    <t xml:space="preserve">Limanda proboscidea </t>
  </si>
  <si>
    <t xml:space="preserve">Hippoglossus stenolepis </t>
  </si>
  <si>
    <t xml:space="preserve">Hippoglossoides elassodon </t>
  </si>
  <si>
    <t xml:space="preserve">Hemitripterus bolini </t>
  </si>
  <si>
    <t xml:space="preserve">Occella dodecaedron </t>
  </si>
  <si>
    <t xml:space="preserve">Hippoglossoides robustus </t>
  </si>
  <si>
    <t xml:space="preserve">Lepidopsetta spp. </t>
  </si>
  <si>
    <t>Non-bony fish</t>
  </si>
  <si>
    <t>Rajidae</t>
  </si>
  <si>
    <t>Reinhardtius hippoglossoides</t>
  </si>
  <si>
    <t xml:space="preserve">Lycodes brevipes </t>
  </si>
  <si>
    <t xml:space="preserve">Bathymaster signatus </t>
  </si>
  <si>
    <r>
      <t xml:space="preserve">Nye, J.A et al. (2009). Changing spatial distribution of fish stocks in relation to climate and population size on the Northeast United States continental shelf. </t>
    </r>
    <r>
      <rPr>
        <i/>
        <sz val="11"/>
        <color theme="1"/>
        <rFont val="Calibri"/>
        <family val="2"/>
        <scheme val="minor"/>
      </rPr>
      <t>Marine Ecology Progress Series.</t>
    </r>
    <r>
      <rPr>
        <sz val="11"/>
        <color theme="1"/>
        <rFont val="Calibri"/>
        <family val="2"/>
        <scheme val="minor"/>
      </rPr>
      <t xml:space="preserve"> 393: 111-129</t>
    </r>
  </si>
  <si>
    <t>Merluccius bilinearis</t>
  </si>
  <si>
    <t>Urophycis chuss</t>
  </si>
  <si>
    <t>Zoarces americanus</t>
  </si>
  <si>
    <t>Gadus morhua</t>
  </si>
  <si>
    <t>Pseudopleuronectes americanus</t>
  </si>
  <si>
    <t>Lophius americanus</t>
  </si>
  <si>
    <t>Myoxocephalus octodecemspinosus</t>
  </si>
  <si>
    <t>Urophycis tenuis</t>
  </si>
  <si>
    <t>Hippoglossus hippoglossus</t>
  </si>
  <si>
    <t>Urophycis regia</t>
  </si>
  <si>
    <t>Scophthalmus aquosus</t>
  </si>
  <si>
    <t>Limanda ferruginea</t>
  </si>
  <si>
    <t>Alosa pseudoharengus</t>
  </si>
  <si>
    <r>
      <t>Orensanz J. et al. (2004). Contraction of the geographic range of distribution of snow crab (</t>
    </r>
    <r>
      <rPr>
        <i/>
        <sz val="11"/>
        <color theme="1"/>
        <rFont val="Calibri"/>
        <family val="2"/>
        <scheme val="minor"/>
      </rPr>
      <t>Chionoecetes opilio</t>
    </r>
    <r>
      <rPr>
        <sz val="11"/>
        <color theme="1"/>
        <rFont val="Calibri"/>
        <family val="2"/>
        <scheme val="minor"/>
      </rPr>
      <t xml:space="preserve">) in the eastern Bering Sea: An environmental ratchet? </t>
    </r>
    <r>
      <rPr>
        <i/>
        <sz val="11"/>
        <color theme="1"/>
        <rFont val="Calibri"/>
        <family val="2"/>
        <scheme val="minor"/>
      </rPr>
      <t>CalCOFI Report</t>
    </r>
    <r>
      <rPr>
        <sz val="11"/>
        <color theme="1"/>
        <rFont val="Calibri"/>
        <family val="2"/>
        <scheme val="minor"/>
      </rPr>
      <t xml:space="preserve"> 45: 65-79.</t>
    </r>
  </si>
  <si>
    <t>Alosa sapidissima</t>
  </si>
  <si>
    <t>Helicolenus dactylopterus</t>
  </si>
  <si>
    <t>Amblyraja radiata</t>
  </si>
  <si>
    <t>Clupea harengus</t>
  </si>
  <si>
    <t>Melanogrammus aeglefinus</t>
  </si>
  <si>
    <t>Pollachius virens</t>
  </si>
  <si>
    <t>Brosme brosme</t>
  </si>
  <si>
    <t>Hippoglossoides platessoides</t>
  </si>
  <si>
    <t>Paralichthys dentatus</t>
  </si>
  <si>
    <t>Paralichthys oblongus</t>
  </si>
  <si>
    <t>Scomber scombrus</t>
  </si>
  <si>
    <t>Sebastes fasciatus</t>
  </si>
  <si>
    <t>Hemitripterus americanus</t>
  </si>
  <si>
    <t>Anarhichas lupus</t>
  </si>
  <si>
    <t>Squalus acanthias</t>
  </si>
  <si>
    <t>Leucoraja ocellata</t>
  </si>
  <si>
    <t>Leucoraja erinacea</t>
  </si>
  <si>
    <r>
      <t xml:space="preserve">Perry, A. L. et al. (2005). Climate change and distribution shifts in marine fishes. </t>
    </r>
    <r>
      <rPr>
        <i/>
        <sz val="11"/>
        <color theme="1"/>
        <rFont val="Calibri"/>
        <family val="2"/>
        <scheme val="minor"/>
      </rPr>
      <t>Science</t>
    </r>
    <r>
      <rPr>
        <sz val="11"/>
        <color theme="1"/>
        <rFont val="Calibri"/>
        <family val="2"/>
        <scheme val="minor"/>
      </rPr>
      <t xml:space="preserve"> 308: 1912:1915</t>
    </r>
  </si>
  <si>
    <t>Arnoglossus laterna</t>
  </si>
  <si>
    <t>Callionymus lyra</t>
  </si>
  <si>
    <t>Echiichthys vipera</t>
  </si>
  <si>
    <t>Eutrigla gurnardus</t>
  </si>
  <si>
    <t>Lepidorhombus boscii</t>
  </si>
  <si>
    <t>Lophius piscatorius</t>
  </si>
  <si>
    <t>Lumpenus lampretaeformis</t>
  </si>
  <si>
    <t>Merlangius merlangus</t>
  </si>
  <si>
    <t>Rhinonemus cimbrius</t>
  </si>
  <si>
    <t>Trisopterus luscus</t>
  </si>
  <si>
    <t>Trisopterus minutus</t>
  </si>
  <si>
    <t xml:space="preserve">Gibbula umbilicalis </t>
  </si>
  <si>
    <r>
      <t xml:space="preserve">Pitt N, et al. (2010) Climate-driven range changes in Tasmanian intertidal fauna. </t>
    </r>
    <r>
      <rPr>
        <i/>
        <sz val="11"/>
        <color theme="1"/>
        <rFont val="Calibri"/>
        <family val="2"/>
        <scheme val="minor"/>
      </rPr>
      <t>Marine and Freshwater Research</t>
    </r>
    <r>
      <rPr>
        <sz val="11"/>
        <color theme="1"/>
        <rFont val="Calibri"/>
        <family val="2"/>
        <scheme val="minor"/>
      </rPr>
      <t xml:space="preserve"> 61: 963-970</t>
    </r>
  </si>
  <si>
    <t>Galeolaria caespitosa</t>
  </si>
  <si>
    <t>Catomerus polymerus</t>
  </si>
  <si>
    <t>Tetraclitella purpurascens</t>
  </si>
  <si>
    <t>Austromegabalanus nigrescens</t>
  </si>
  <si>
    <r>
      <t>Mieszkowska, N. et al. (2007). Long-term changes in the geographic distribution and population structures of</t>
    </r>
    <r>
      <rPr>
        <i/>
        <sz val="11"/>
        <color theme="1"/>
        <rFont val="Calibri"/>
        <family val="2"/>
        <scheme val="minor"/>
      </rPr>
      <t xml:space="preserve"> Osilinus lineatus</t>
    </r>
    <r>
      <rPr>
        <sz val="11"/>
        <color theme="1"/>
        <rFont val="Calibri"/>
        <family val="2"/>
        <scheme val="minor"/>
      </rPr>
      <t xml:space="preserve"> (Gastropoda : Trochidae) in Britain and Ireland. Journal of the Marine Biological Association of the UK 87:537-545.</t>
    </r>
  </si>
  <si>
    <t>Notoacmea mayi</t>
  </si>
  <si>
    <t>Notoacmea petterdi</t>
  </si>
  <si>
    <t>Austrocochlea constricta</t>
  </si>
  <si>
    <t>Nerita sp</t>
  </si>
  <si>
    <t>Bembicium nanum</t>
  </si>
  <si>
    <t>Patiriella calcar</t>
  </si>
  <si>
    <t>Patiriella exigua</t>
  </si>
  <si>
    <r>
      <t xml:space="preserve">Poloczanska, E.S. et al. (2011). Little change in the distribution of rocky shore faunal communities on the East Australian coast after 50 years of rapid warming. </t>
    </r>
    <r>
      <rPr>
        <i/>
        <sz val="11"/>
        <color theme="1"/>
        <rFont val="Calibri"/>
        <family val="2"/>
        <scheme val="minor"/>
      </rPr>
      <t>Journal of Experimental Marine Biology and Ecology</t>
    </r>
    <r>
      <rPr>
        <sz val="11"/>
        <color theme="1"/>
        <rFont val="Calibri"/>
        <family val="2"/>
        <scheme val="minor"/>
      </rPr>
      <t xml:space="preserve"> 400:145-154.</t>
    </r>
  </si>
  <si>
    <t>Benthic cnidarians</t>
  </si>
  <si>
    <t>Actinia tenebrosa</t>
  </si>
  <si>
    <t>Aulactinia verator</t>
  </si>
  <si>
    <t>Nodilittorina unifasciata</t>
  </si>
  <si>
    <t>Dicathais orbita</t>
  </si>
  <si>
    <t>Cominella lineolata</t>
  </si>
  <si>
    <t>Scutus anitpodes</t>
  </si>
  <si>
    <t>Monodonta labio</t>
  </si>
  <si>
    <t>Turbo cinerus</t>
  </si>
  <si>
    <t>Nerita albicella</t>
  </si>
  <si>
    <t>Nerita chaemeleon</t>
  </si>
  <si>
    <t>Nerita costata</t>
  </si>
  <si>
    <t>Nerita melanotragus</t>
  </si>
  <si>
    <t>Cellana conciliata</t>
  </si>
  <si>
    <t>contraction+L273</t>
  </si>
  <si>
    <t>Cellana tramoserica</t>
  </si>
  <si>
    <t>Patelloida cryptalirita</t>
  </si>
  <si>
    <t>Patelloida latistrigata</t>
  </si>
  <si>
    <t>Patelloida saccharina stella</t>
  </si>
  <si>
    <t>Littorina undulata</t>
  </si>
  <si>
    <t>Chamaesipho tasmanica</t>
  </si>
  <si>
    <t>Chthamalus antennatus</t>
  </si>
  <si>
    <t>Chthamalus malayensis</t>
  </si>
  <si>
    <t>Chthamalus withersii</t>
  </si>
  <si>
    <t>Tesseropora rosea</t>
  </si>
  <si>
    <t>Pyura praeputialis</t>
  </si>
  <si>
    <t>Argentina spp.</t>
  </si>
  <si>
    <t xml:space="preserve">Buglossidium luteum </t>
  </si>
  <si>
    <t>Gadiculus argenteus</t>
  </si>
  <si>
    <t>Austrolittorina unifasciata</t>
  </si>
  <si>
    <t>Siphonaria funiculata</t>
  </si>
  <si>
    <r>
      <t xml:space="preserve">Rivadeneira, M.M. and Fernandez, M. (2005) Shifts in southern endpoints of distribution in rocky intertidal species along the south-eastern Pacific coast. </t>
    </r>
    <r>
      <rPr>
        <i/>
        <sz val="11"/>
        <color theme="1"/>
        <rFont val="Calibri"/>
        <family val="2"/>
        <scheme val="minor"/>
      </rPr>
      <t>Journal of Biogeography</t>
    </r>
    <r>
      <rPr>
        <sz val="11"/>
        <color theme="1"/>
        <rFont val="Calibri"/>
        <family val="2"/>
        <scheme val="minor"/>
      </rPr>
      <t xml:space="preserve"> 32: 203-209</t>
    </r>
  </si>
  <si>
    <t xml:space="preserve">Scurria viridula  </t>
  </si>
  <si>
    <t xml:space="preserve">Lottia orbignyi </t>
  </si>
  <si>
    <t>benthic mollusc assemblage</t>
  </si>
  <si>
    <t xml:space="preserve">Acanthopleura echinata </t>
  </si>
  <si>
    <t xml:space="preserve">Chiton granosus </t>
  </si>
  <si>
    <t xml:space="preserve">Fissurella costata </t>
  </si>
  <si>
    <t xml:space="preserve">Fissurella limbata </t>
  </si>
  <si>
    <t xml:space="preserve">Thais haematoma </t>
  </si>
  <si>
    <t>Glyptocephalus cynoglossus</t>
  </si>
  <si>
    <t xml:space="preserve">Echinoittorina peruviana  </t>
  </si>
  <si>
    <t xml:space="preserve">Fissurella crassa </t>
  </si>
  <si>
    <t>Leucoraja naevus</t>
  </si>
  <si>
    <r>
      <t xml:space="preserve">Wernberg T. et al. (2011) Seaweed communities in retreat from global warming. </t>
    </r>
    <r>
      <rPr>
        <i/>
        <sz val="11"/>
        <color theme="1"/>
        <rFont val="Calibri"/>
        <family val="2"/>
        <scheme val="minor"/>
      </rPr>
      <t>Current Biology</t>
    </r>
    <r>
      <rPr>
        <sz val="11"/>
        <color theme="1"/>
        <rFont val="Calibri"/>
        <family val="2"/>
        <scheme val="minor"/>
      </rPr>
      <t xml:space="preserve"> I21:1828-1832</t>
    </r>
  </si>
  <si>
    <t>Indian HLSBS</t>
  </si>
  <si>
    <t>Laurencia elata</t>
  </si>
  <si>
    <t>Pterocladia lucida</t>
  </si>
  <si>
    <t>Craspedocarpus blepharicarpus</t>
  </si>
  <si>
    <t>Euptilota articulata</t>
  </si>
  <si>
    <t>Heterodoxia denticulata</t>
  </si>
  <si>
    <t>Carpopeltis phyllophora</t>
  </si>
  <si>
    <t>Bornetia binderiana</t>
  </si>
  <si>
    <t>Kuetzingia canaliculata</t>
  </si>
  <si>
    <t>Dictyopteris muelleri</t>
  </si>
  <si>
    <t>Cladurus elatus</t>
  </si>
  <si>
    <t>Caulerpa obscura</t>
  </si>
  <si>
    <t>Dictyomenia sonderi</t>
  </si>
  <si>
    <t>Metamastophora flabellata</t>
  </si>
  <si>
    <t>Caulocystis uvifera</t>
  </si>
  <si>
    <t>Zonaria turneriana</t>
  </si>
  <si>
    <t>Cystophora brownii</t>
  </si>
  <si>
    <t>Carpopeltis elata</t>
  </si>
  <si>
    <t>Griffithsia teges</t>
  </si>
  <si>
    <t>Plocamium preissianum</t>
  </si>
  <si>
    <t>Caulerpa sedoides</t>
  </si>
  <si>
    <t>Erythroclonium muelleri</t>
  </si>
  <si>
    <t>Caulerpa flexilis</t>
  </si>
  <si>
    <t>Scytothalia doryocarpa</t>
  </si>
  <si>
    <t>Thuretia quercifolia</t>
  </si>
  <si>
    <t>Gigartina disticha</t>
  </si>
  <si>
    <t>Dasyclonium incisum</t>
  </si>
  <si>
    <t>Metagoniolithon chara</t>
  </si>
  <si>
    <t>Callophycus oppositifolius</t>
  </si>
  <si>
    <t>Pollexfenia lobata</t>
  </si>
  <si>
    <t>Dictyomenia tridens</t>
  </si>
  <si>
    <t>Dictyota fastigiata</t>
  </si>
  <si>
    <t>Platythalia angustifolia</t>
  </si>
  <si>
    <t>Claviclonium ovatum</t>
  </si>
  <si>
    <t>Myriodesma quercifolium</t>
  </si>
  <si>
    <t>Osmundaria prolifera</t>
  </si>
  <si>
    <t>Vidalia spiralis</t>
  </si>
  <si>
    <t>Caulerpa simpliciuscula</t>
  </si>
  <si>
    <t>Pachydictyon paniculatum</t>
  </si>
  <si>
    <t>Nizymenia conferta</t>
  </si>
  <si>
    <t>Scaberia agardhii</t>
  </si>
  <si>
    <t>Metagoniolithon stelliferum</t>
  </si>
  <si>
    <t>Dicranema revolutum</t>
  </si>
  <si>
    <t>Hypnea ramentacea</t>
  </si>
  <si>
    <t>Ceramium puberulum</t>
  </si>
  <si>
    <t>Glossophora nigricans</t>
  </si>
  <si>
    <t>Gracilaria hermonii</t>
  </si>
  <si>
    <t>Dilophus marginatus</t>
  </si>
  <si>
    <t>Haliptilon roseum</t>
  </si>
  <si>
    <t>Martensia fragilis</t>
  </si>
  <si>
    <t>Amphiroa anceps</t>
  </si>
  <si>
    <t>Champia parvula</t>
  </si>
  <si>
    <t>Dictyopteris acrostichoides</t>
  </si>
  <si>
    <r>
      <t xml:space="preserve">Wethey, D. S. and S. A. Woodin. (2008). Ecological hindcasting of biogeographic responses to climate change in the European intertidal zone. </t>
    </r>
    <r>
      <rPr>
        <i/>
        <sz val="11"/>
        <color theme="1"/>
        <rFont val="Calibri"/>
        <family val="2"/>
        <scheme val="minor"/>
      </rPr>
      <t>Hydrobiologia</t>
    </r>
    <r>
      <rPr>
        <sz val="11"/>
        <color theme="1"/>
        <rFont val="Calibri"/>
        <family val="2"/>
        <scheme val="minor"/>
      </rPr>
      <t xml:space="preserve"> 606:139-151.</t>
    </r>
  </si>
  <si>
    <t xml:space="preserve">Semibalanus balanoides </t>
  </si>
  <si>
    <t>Diopatra neapolitana</t>
  </si>
  <si>
    <r>
      <t xml:space="preserve">Fischbach, A.S. et al. (2007). Landward and eastward shift of Alaskan polar bear denning associated with recent sea ice changes. </t>
    </r>
    <r>
      <rPr>
        <i/>
        <sz val="11"/>
        <color theme="1"/>
        <rFont val="Calibri"/>
        <family val="2"/>
        <scheme val="minor"/>
      </rPr>
      <t>Polar Biology</t>
    </r>
    <r>
      <rPr>
        <sz val="11"/>
        <color theme="1"/>
        <rFont val="Calibri"/>
        <family val="2"/>
        <scheme val="minor"/>
      </rPr>
      <t xml:space="preserve"> 30:1395-1405</t>
    </r>
  </si>
  <si>
    <t>Arctic west</t>
  </si>
  <si>
    <t>Mammals</t>
  </si>
  <si>
    <t>Ursus maritimus</t>
  </si>
  <si>
    <r>
      <t xml:space="preserve">Yamano, H. et al. (2011). Rapid poleward range expansion of tropical reef corals in response to rising sea surface temperatures. </t>
    </r>
    <r>
      <rPr>
        <i/>
        <sz val="11"/>
        <color theme="1"/>
        <rFont val="Calibri"/>
        <family val="2"/>
        <scheme val="minor"/>
      </rPr>
      <t>Geophysical Research Letters</t>
    </r>
    <r>
      <rPr>
        <sz val="11"/>
        <color theme="1"/>
        <rFont val="Calibri"/>
        <family val="2"/>
        <scheme val="minor"/>
      </rPr>
      <t xml:space="preserve"> 38: L04641</t>
    </r>
  </si>
  <si>
    <t>North Pacific HLSBS west</t>
  </si>
  <si>
    <t>Acropora hyacinthus</t>
  </si>
  <si>
    <t>Acropora muricata</t>
  </si>
  <si>
    <t>Acropora solitaryensis</t>
  </si>
  <si>
    <t>Pavona decussata</t>
  </si>
  <si>
    <t>Acropora pruinosa/tumida</t>
  </si>
  <si>
    <t>Caulastrea tumida</t>
  </si>
  <si>
    <t>Favia speciosa</t>
  </si>
  <si>
    <t>Hydnophora exesa</t>
  </si>
  <si>
    <t>Lithophyllon undulatum</t>
  </si>
  <si>
    <r>
      <t xml:space="preserve">Duarte, L. et al. (2013). Recent and historical range shifts of two canopy-forming seaweeds in North Spain and the link with trends in sea surface temperature. </t>
    </r>
    <r>
      <rPr>
        <i/>
        <sz val="11"/>
        <color theme="1"/>
        <rFont val="Calibri"/>
        <family val="2"/>
        <scheme val="minor"/>
      </rPr>
      <t>Acta Oecologia</t>
    </r>
    <r>
      <rPr>
        <sz val="11"/>
        <color theme="1"/>
        <rFont val="Calibri"/>
        <family val="2"/>
        <scheme val="minor"/>
      </rPr>
      <t xml:space="preserve">. 51: 1-10. </t>
    </r>
  </si>
  <si>
    <t>Himanthalia elongata</t>
  </si>
  <si>
    <t>Fucus serratus</t>
  </si>
  <si>
    <t>Limanda limanda</t>
  </si>
  <si>
    <t xml:space="preserve">Enoplochiton niger </t>
  </si>
  <si>
    <r>
      <t xml:space="preserve">Sagarin, R. D. et al. (1999). Climate-related change in an intertidal community over short and long time scales. </t>
    </r>
    <r>
      <rPr>
        <i/>
        <sz val="11"/>
        <color theme="1"/>
        <rFont val="Calibri"/>
        <family val="2"/>
        <scheme val="minor"/>
      </rPr>
      <t>Ecological Monographs</t>
    </r>
    <r>
      <rPr>
        <sz val="11"/>
        <color theme="1"/>
        <rFont val="Calibri"/>
        <family val="2"/>
        <scheme val="minor"/>
      </rPr>
      <t xml:space="preserve"> 69:465-490</t>
    </r>
  </si>
  <si>
    <t>Serpulorbis squamigerus</t>
  </si>
  <si>
    <r>
      <t xml:space="preserve">Fernandez, C. (2011) The retreat of large brown seaweeds on the north coast of Spain: the case of </t>
    </r>
    <r>
      <rPr>
        <i/>
        <sz val="11"/>
        <color theme="1"/>
        <rFont val="Calibri"/>
        <family val="2"/>
        <scheme val="minor"/>
      </rPr>
      <t>Saccorhiza polyschides</t>
    </r>
    <r>
      <rPr>
        <sz val="11"/>
        <color theme="1"/>
        <rFont val="Calibri"/>
        <family val="2"/>
        <scheme val="minor"/>
      </rPr>
      <t xml:space="preserve">. </t>
    </r>
    <r>
      <rPr>
        <i/>
        <sz val="11"/>
        <color theme="1"/>
        <rFont val="Calibri"/>
        <family val="2"/>
        <scheme val="minor"/>
      </rPr>
      <t>European Journal of Phycology</t>
    </r>
    <r>
      <rPr>
        <sz val="11"/>
        <color theme="1"/>
        <rFont val="Calibri"/>
        <family val="2"/>
        <scheme val="minor"/>
      </rPr>
      <t xml:space="preserve">. 46: 352-360. </t>
    </r>
  </si>
  <si>
    <t>Saccorhiza polyschides</t>
  </si>
  <si>
    <t>Laminaria ochroleuca</t>
  </si>
  <si>
    <r>
      <t xml:space="preserve">Jones, S.J. et al. (2012). Climate change and historical biogeography of the barnacle </t>
    </r>
    <r>
      <rPr>
        <i/>
        <sz val="11"/>
        <color theme="1"/>
        <rFont val="Calibri"/>
        <family val="2"/>
        <scheme val="minor"/>
      </rPr>
      <t>Semibalanus balanoides</t>
    </r>
    <r>
      <rPr>
        <sz val="11"/>
        <color theme="1"/>
        <rFont val="Calibri"/>
        <family val="2"/>
        <scheme val="minor"/>
      </rPr>
      <t xml:space="preserve">. </t>
    </r>
    <r>
      <rPr>
        <i/>
        <sz val="11"/>
        <color theme="1"/>
        <rFont val="Calibri"/>
        <family val="2"/>
        <scheme val="minor"/>
      </rPr>
      <t>Global Ecology and Biogeography</t>
    </r>
    <r>
      <rPr>
        <sz val="11"/>
        <color theme="1"/>
        <rFont val="Calibri"/>
        <family val="2"/>
        <scheme val="minor"/>
      </rPr>
      <t>. 21: 716-724.</t>
    </r>
  </si>
  <si>
    <t>B. Zuckerberg, A. M. Woods, W. F. Porter, Poleward shifts in breeding bird distributions in New York State. Glob. Change Biol. 15, 1866–1883 (2009).</t>
  </si>
  <si>
    <t>Kris</t>
  </si>
  <si>
    <t>Seabirds</t>
  </si>
  <si>
    <t>Gavia immer</t>
  </si>
  <si>
    <t>Trailing edge</t>
  </si>
  <si>
    <t>Not consistent</t>
  </si>
  <si>
    <t>from Bioshifts</t>
  </si>
  <si>
    <t>Centroid</t>
  </si>
  <si>
    <t>Boersma, P. D. (1998). Population trends of the Galápagos penguin: Impacts of El Niño and La Niña. The Condor, 100(2), 245–253. https://doi.org/10.2307/1370265</t>
  </si>
  <si>
    <t>South Pacific Ocean</t>
  </si>
  <si>
    <t>Spheniscus mendiculus</t>
  </si>
  <si>
    <t>from Orgeret et al. 2022 https://onlinelibrary.wiley.com/doi/abs/10.1111/ele.13920</t>
  </si>
  <si>
    <t>Merluccius merluccius</t>
  </si>
  <si>
    <r>
      <t xml:space="preserve">Nicastro, K.R. et al. (2013) Shift happens: trailing edge contraction associated with recent warming trends threatens a distinct genetic lineage in the marine macroalga </t>
    </r>
    <r>
      <rPr>
        <i/>
        <sz val="11"/>
        <color theme="1"/>
        <rFont val="Calibri"/>
        <family val="2"/>
        <scheme val="minor"/>
      </rPr>
      <t>Fucus vesiculosus</t>
    </r>
    <r>
      <rPr>
        <sz val="11"/>
        <color theme="1"/>
        <rFont val="Calibri"/>
        <family val="2"/>
        <scheme val="minor"/>
      </rPr>
      <t xml:space="preserve">. </t>
    </r>
    <r>
      <rPr>
        <i/>
        <sz val="11"/>
        <color theme="1"/>
        <rFont val="Calibri"/>
        <family val="2"/>
        <scheme val="minor"/>
      </rPr>
      <t>BMC Biology</t>
    </r>
    <r>
      <rPr>
        <sz val="11"/>
        <color theme="1"/>
        <rFont val="Calibri"/>
        <family val="2"/>
        <scheme val="minor"/>
      </rPr>
      <t>. 11:1-13.</t>
    </r>
  </si>
  <si>
    <t>trailing</t>
  </si>
  <si>
    <t>Micromesistius poutassou</t>
  </si>
  <si>
    <t>Microstomus kitt</t>
  </si>
  <si>
    <t>Molva molva</t>
  </si>
  <si>
    <t>Myxine glutinosa</t>
  </si>
  <si>
    <t>Psetta maxima</t>
  </si>
  <si>
    <t xml:space="preserve">Sebastes spp. </t>
  </si>
  <si>
    <t>Trigla lucerna</t>
  </si>
  <si>
    <t>Agonus cataphractus</t>
  </si>
  <si>
    <t>Scyliorhinus canicula</t>
  </si>
  <si>
    <t>C. Péron et al., Interdecadal changes in at-sea distribution and abundance of subantarctic seabirds along a latitudinal gradient in the Southern Indian Ocean. Glob. Change Biol. 16, 1895–1909 (2010).</t>
  </si>
  <si>
    <t>Diomedea chrysostoma</t>
  </si>
  <si>
    <t>Lepidochitona hartwegii</t>
  </si>
  <si>
    <t>Trisopterus esmarkii</t>
  </si>
  <si>
    <r>
      <t xml:space="preserve">Quero, J. (1998). Changes in the Euro-Atlantic fish species composition resulting from fishing and ocean warming. </t>
    </r>
    <r>
      <rPr>
        <i/>
        <sz val="11"/>
        <color theme="1"/>
        <rFont val="Calibri"/>
        <family val="2"/>
        <scheme val="minor"/>
      </rPr>
      <t>Italian Journal of Zoology</t>
    </r>
    <r>
      <rPr>
        <sz val="11"/>
        <color theme="1"/>
        <rFont val="Calibri"/>
        <family val="2"/>
        <scheme val="minor"/>
      </rPr>
      <t xml:space="preserve"> 65:493-499</t>
    </r>
  </si>
  <si>
    <t>Zenopsis conchifera</t>
  </si>
  <si>
    <t>Oceanites oceanicus</t>
  </si>
  <si>
    <t>Pachyptila</t>
  </si>
  <si>
    <t>Thalassarche melanophrys</t>
  </si>
  <si>
    <t>Procellaria aequinoctialis</t>
  </si>
  <si>
    <t>Phoebetria palpebrata</t>
  </si>
  <si>
    <t>Pterodroma mollis</t>
  </si>
  <si>
    <t>C. Tayleur et al., Swedish birds are tracking temperature but not rainfall: evidence from a decade of abundance changes. Glob. Ecol. Biogeogr. 24, 859–872 (2015)</t>
  </si>
  <si>
    <t>Gavia arctica</t>
  </si>
  <si>
    <t>C. Tayleur et al., Swedish birds are tracking temperature but not rainfall: evidence from a decade of abundance changes. Glob. Ecol. Biogeogr. 24, 859–872 (2015).</t>
  </si>
  <si>
    <t>Chroicocephalus ridibundus</t>
  </si>
  <si>
    <t>Larus argentatus</t>
  </si>
  <si>
    <t>Larus canus</t>
  </si>
  <si>
    <t>D. A. Potvin, K. Välimäki, A. Lehikoinen, Differences in shifts of wintering and breeding ranges lead to changing migration distances in European birds. J. Avian Biol. 47, 619–628 (2016).</t>
  </si>
  <si>
    <t>Hydroprogne caspia</t>
  </si>
  <si>
    <t>Larus marinus</t>
  </si>
  <si>
    <t>Alca torda</t>
  </si>
  <si>
    <t>Cepphus grylle</t>
  </si>
  <si>
    <t>Somateria mollissima</t>
  </si>
  <si>
    <t>D. K. Niven, G. S. Butcher, G. T. Bancroft, Christmas bird counts and climate change: northward shifts in early winter abundance. Am. Birds. 63, 10–15 (2010)</t>
  </si>
  <si>
    <t>Gavia stellata</t>
  </si>
  <si>
    <t>Melanitta nigra</t>
  </si>
  <si>
    <t>Larus hyperboreus</t>
  </si>
  <si>
    <t>Bucephala islandica</t>
  </si>
  <si>
    <t>Somateria spectabilis</t>
  </si>
  <si>
    <t>Melanitta perspicillata</t>
  </si>
  <si>
    <t>Clangula hyemalis</t>
  </si>
  <si>
    <t>Larus glaucescens</t>
  </si>
  <si>
    <t>D. K. Niven, G. S. Butcher, G. T. Bancroft, Christmas bird counts and climate change: northward shifts in early winter abundance. Am. Birds. 63, 10–15 (2010).</t>
  </si>
  <si>
    <t>Larus philadelphia</t>
  </si>
  <si>
    <t>Urile pelagicus</t>
  </si>
  <si>
    <t>Larus californicus</t>
  </si>
  <si>
    <t>Phalacrocorax carbo</t>
  </si>
  <si>
    <t>E. S. Greenlee, thesis, The Ohio State University (2012).</t>
  </si>
  <si>
    <t>Choose which edge</t>
  </si>
  <si>
    <t>Larus delawarensis</t>
  </si>
  <si>
    <t>Leading edge</t>
  </si>
  <si>
    <t>Phalaropus tricolor</t>
  </si>
  <si>
    <t>Sterna hirundo</t>
  </si>
  <si>
    <t>F. A. La Sorte, F. R. Thompson, Poleward shifts in winter ranges of North American birds. Ecology. 88, 1803–12 (2007).</t>
  </si>
  <si>
    <t>F. A. La Sorte, F. R. Thompson, Poleward shifts in winter ranges of North American birds. Ecology. 88, 1803–12 (2007</t>
  </si>
  <si>
    <t>Pelecanus erythrorhynchos</t>
  </si>
  <si>
    <r>
      <t xml:space="preserve">Gall, A. E., Morgan, T. C., Day, R. H., &amp; Kuletz, K. J. (2017). Ecological shift from piscivorous to planktivorous seabirds in the Chukchi Sea, 1975–2012. </t>
    </r>
    <r>
      <rPr>
        <i/>
        <sz val="11"/>
        <color theme="1"/>
        <rFont val="Calibri"/>
        <family val="2"/>
        <scheme val="minor"/>
      </rPr>
      <t>Polar Biology, 40</t>
    </r>
    <r>
      <rPr>
        <sz val="11"/>
        <color theme="1"/>
        <rFont val="Calibri"/>
        <family val="2"/>
        <scheme val="minor"/>
      </rPr>
      <t>(1), 61–78. https://doi.org/10.1007/s00300-016-1924-z</t>
    </r>
  </si>
  <si>
    <t>Chukchi Sea</t>
  </si>
  <si>
    <t>Rissa tridactyla</t>
  </si>
  <si>
    <t>Aethia cristatella</t>
  </si>
  <si>
    <r>
      <t xml:space="preserve">Gaston, A. J., &amp; Robertson, G. J. (2010). Trends in the harvest of Brünnich’s guillemots </t>
    </r>
    <r>
      <rPr>
        <i/>
        <sz val="11"/>
        <color theme="1"/>
        <rFont val="Calibri"/>
        <family val="2"/>
        <scheme val="minor"/>
      </rPr>
      <t>Uria lomvia</t>
    </r>
    <r>
      <rPr>
        <sz val="11"/>
        <color theme="1"/>
        <rFont val="Calibri"/>
        <family val="2"/>
        <scheme val="minor"/>
      </rPr>
      <t xml:space="preserve"> in Newfoundland: Effects of regulatory changes and winter sea ice conditions. </t>
    </r>
    <r>
      <rPr>
        <i/>
        <sz val="11"/>
        <color theme="1"/>
        <rFont val="Calibri"/>
        <family val="2"/>
        <scheme val="minor"/>
      </rPr>
      <t>Wildlife Biology, 16</t>
    </r>
    <r>
      <rPr>
        <sz val="11"/>
        <color theme="1"/>
        <rFont val="Calibri"/>
        <family val="2"/>
        <scheme val="minor"/>
      </rPr>
      <t>(1), 47–55. https://doi.org/10.2981/09-020</t>
    </r>
  </si>
  <si>
    <t>Hudson Bay</t>
  </si>
  <si>
    <t>Uria lomvia</t>
  </si>
  <si>
    <t>J. E. Brommer, A. Lehikoinen, J. Valkama, The breeding ranges of central European and Arctic bird species move poleward. PLoS One. 7, e43648 (2012)</t>
  </si>
  <si>
    <t>Phalaropus lobatus</t>
  </si>
  <si>
    <t>J. E. Brommer, A. Lehikoinen, J. Valkama, The breeding ranges of central European and Arctic bird species move poleward. PLoS One. 7, e43648 (2012).</t>
  </si>
  <si>
    <t>Larus fuscus</t>
  </si>
  <si>
    <t>Stercorarius longicaudus</t>
  </si>
  <si>
    <t>J. E. Brommer, The range margins of northern birds shift polewards. Ann. Zool. Fennici. 41, 391–397 (2004)</t>
  </si>
  <si>
    <t>Chlidonias niger</t>
  </si>
  <si>
    <t>J. E. Brommer, The range margins of northern birds shift polewards. Ann. Zool. Fennici. 41, 391–397 (2004).</t>
  </si>
  <si>
    <t>J. M. Kreuser, thesis, Michigan State University (2013)</t>
  </si>
  <si>
    <t>J. Wu, Y. Shi, Attribution index for changes in migratory bird distributions: the role of climate change over the past 50 years in China. Ecol. Inform. 31, 147–155 (2016).</t>
  </si>
  <si>
    <t>R. Stafford, A. G. Hart, A. E. Goodenough, A visual method to identify significant latitudinal changes in species’ distributions. Ecol. Inform. 15, 74–84 (2013).</t>
  </si>
  <si>
    <t>Gulosus aristotelis</t>
  </si>
  <si>
    <t>R. Virkkala, A. Lehikoinen, Birds on the move in the face of climate change: high species turnover in northern Europe. Ecol. Evol. 7, 8201–8209 (2017)</t>
  </si>
  <si>
    <t>Sterna paradisaea</t>
  </si>
  <si>
    <t>R. Virkkala, A. Lehikoinen, Birds on the move in the face of climate change: high species turnover in northern Europe. Ecol. Evol. 7, 8201–8209 (2017).</t>
  </si>
  <si>
    <t>R. Virkkala, R. K. Heikkinen, A. Lehikoinen, J. Valkama, Matching trends between recent distributional changes of northern-boreal birds and species-climate model predictions. Biol. Conserv. 172, 124–127 (2014).</t>
  </si>
  <si>
    <r>
      <t xml:space="preserve">Sojitra, M., Woehler, E. J., Lea, M.-A., &amp; Wotherspoon, S. (2022). Multi-decadal changes in the at-sea distribution and abundance of black-browed and light-mantled sooty albatrosses in the southwest Pacific Ocean. </t>
    </r>
    <r>
      <rPr>
        <i/>
        <sz val="11"/>
        <color theme="1"/>
        <rFont val="Calibri"/>
        <family val="2"/>
        <scheme val="minor"/>
      </rPr>
      <t>ICES Journal of Marine Science, 79</t>
    </r>
    <r>
      <rPr>
        <sz val="11"/>
        <color theme="1"/>
        <rFont val="Calibri"/>
        <family val="2"/>
        <scheme val="minor"/>
      </rPr>
      <t>(10), 2630–2642. https://doi.org/10.1093/icesjms/fsac197</t>
    </r>
  </si>
  <si>
    <t>southwest Pacific sector of the Southern Ocean</t>
  </si>
  <si>
    <t>Phoebetria palpebrata albatross</t>
  </si>
  <si>
    <t>Fig 2b. Sporadic points</t>
  </si>
  <si>
    <r>
      <t xml:space="preserve">Sydeman, W. J., </t>
    </r>
    <r>
      <rPr>
        <i/>
        <sz val="11"/>
        <color theme="1"/>
        <rFont val="Calibri"/>
        <family val="2"/>
        <scheme val="minor"/>
      </rPr>
      <t>et al.</t>
    </r>
    <r>
      <rPr>
        <sz val="11"/>
        <color theme="1"/>
        <rFont val="Calibri"/>
        <family val="2"/>
        <scheme val="minor"/>
      </rPr>
      <t xml:space="preserve"> (2025). Interdecadal shifts in seabird distributions relative to the velocity of climate change in the Northeast Pacific Ocean: A long-term observational study. </t>
    </r>
    <r>
      <rPr>
        <i/>
        <sz val="11"/>
        <color theme="1"/>
        <rFont val="Calibri"/>
        <family val="2"/>
        <scheme val="minor"/>
      </rPr>
      <t>Marine Ecology Progress Series, 772</t>
    </r>
    <r>
      <rPr>
        <sz val="11"/>
        <color theme="1"/>
        <rFont val="Calibri"/>
        <family val="2"/>
        <scheme val="minor"/>
      </rPr>
      <t>, 1–20. https://doi.org/10.3354/meps15024</t>
    </r>
  </si>
  <si>
    <r>
      <t>Northeast Pacific Ocean</t>
    </r>
    <r>
      <rPr>
        <sz val="11"/>
        <color theme="1"/>
        <rFont val="Calibri"/>
        <family val="2"/>
        <scheme val="minor"/>
      </rPr>
      <t>.</t>
    </r>
  </si>
  <si>
    <t>Albatrosses</t>
  </si>
  <si>
    <t>Table 2</t>
  </si>
  <si>
    <t>there are also longitudinal range shifts as well but this is latitudinal</t>
  </si>
  <si>
    <t>Core</t>
  </si>
  <si>
    <t>Auklets</t>
  </si>
  <si>
    <t>Northern fulmar</t>
  </si>
  <si>
    <t>Puffins</t>
  </si>
  <si>
    <t>Storm-petrels</t>
  </si>
  <si>
    <t>T. J. Hovick et al., Informing conservation by identifying range shift patterns across breeding habitats and migration strategies. Biodivers. Conserv. 25, 345–356 (2016).</t>
  </si>
  <si>
    <r>
      <t xml:space="preserve">Velarde, E., Ezcurra, E., Horn, M. H., &amp; Patton, R. T. (2015). Warm oceanographic anomalies and fishing pressure drive seabird nesting north. </t>
    </r>
    <r>
      <rPr>
        <i/>
        <sz val="11"/>
        <color theme="1"/>
        <rFont val="Calibri"/>
        <family val="2"/>
        <scheme val="minor"/>
      </rPr>
      <t>Science Advances, 1</t>
    </r>
    <r>
      <rPr>
        <sz val="11"/>
        <color theme="1"/>
        <rFont val="Calibri"/>
        <family val="2"/>
        <scheme val="minor"/>
      </rPr>
      <t>(9), e1400210. https://doi.org/10.1126/sciadv.1400210</t>
    </r>
  </si>
  <si>
    <t>North Pacific Ocean</t>
  </si>
  <si>
    <t>Thalasseus elegans</t>
  </si>
  <si>
    <t>R. D. Stuart-Smith, N. S. Barrett, D. G. Stevenson, G. J. Edgar, Stability in temperate reef communities over a decadal time scale despite concurrent ocean warming. Glob. Change Biol. 16, 122–134 (2010).</t>
  </si>
  <si>
    <t>South</t>
  </si>
  <si>
    <t>Atypichthys strigatus</t>
  </si>
  <si>
    <t>Urolophus paucimaculatus</t>
  </si>
  <si>
    <t>Upeneichthys vlamingii</t>
  </si>
  <si>
    <t>Urolophus cruciatus</t>
  </si>
  <si>
    <t>Mendosoma lineatum</t>
  </si>
  <si>
    <t>Diodon nicthemerus</t>
  </si>
  <si>
    <t>Latris lineata</t>
  </si>
  <si>
    <t>Meuschenia australis</t>
  </si>
  <si>
    <t>Caesioperca rasor</t>
  </si>
  <si>
    <t>Scorpis lineolata</t>
  </si>
  <si>
    <t>Neoodax balteatus</t>
  </si>
  <si>
    <t>Latridopsis forsteri</t>
  </si>
  <si>
    <t>Pictilabrus laticlavius</t>
  </si>
  <si>
    <t>Neosebastes scorpaenoides</t>
  </si>
  <si>
    <t>Pseudophycis</t>
  </si>
  <si>
    <t>Cheilodactylus spectabilis</t>
  </si>
  <si>
    <t>Pseudocaranx georgianus</t>
  </si>
  <si>
    <t>Pseudolabrus rubicundus</t>
  </si>
  <si>
    <t>Gillings, S., Balmer, D. E., &amp; Fuller, R. J. (2015). Directionality of recent bird distribution shifts and climate change in Great Britain. Global Change Biology, 21(6), 2155–2168. https://doi.org/10.1111/gcb.12823</t>
  </si>
  <si>
    <t>Great Britain</t>
  </si>
  <si>
    <t>Mergus merganser</t>
  </si>
  <si>
    <t>mean</t>
  </si>
  <si>
    <t>from Rubenstein et al. 2023 https://environmentalevidencejournal.biomedcentral.com/articles/10.1186/s13750-023-00296-0?utm_source=chatgpt.com#Sec33</t>
  </si>
  <si>
    <t>latitude</t>
  </si>
  <si>
    <t>Johnson, N. K. (1994). Pioneering and natural expansion of breeding distributions in western North American birds. Studies in Avian Biology, 15, 27–44.</t>
  </si>
  <si>
    <t>Western United Sates</t>
  </si>
  <si>
    <t>Leucophaeus pipixcan</t>
  </si>
  <si>
    <t>trailing edge</t>
  </si>
  <si>
    <t>Marion, L., &amp; Bergerot, B. (2018). Northern range shift may be due to increased competition induced by protection of species rather than to climate change alone. Ecology and Evolution, 8(16), 8364–8379. https://doi.org/10.1002/ece3.4348</t>
  </si>
  <si>
    <t>France</t>
  </si>
  <si>
    <t>maximum/optimum</t>
  </si>
  <si>
    <t>Mason, S. C., Palmer, G., Fox, R., Gillings, S., Hill, J. K., Thomas, C. D., &amp; Oliver, T. H. (2015). Geographical range margins of many taxonomic groups continue to shift polewards. Biological Journal of the Linnean Society, 115(3), 586–597. https://doi.org/10.1111/bij.12574</t>
  </si>
  <si>
    <t>Sterna dougallii</t>
  </si>
  <si>
    <t>leading edge</t>
  </si>
  <si>
    <t>Chromis hypsilepis</t>
  </si>
  <si>
    <t>Trachinops caudimaculatus</t>
  </si>
  <si>
    <t>Aracana aurita</t>
  </si>
  <si>
    <t>Meuschenia flavolineata</t>
  </si>
  <si>
    <t>Olisthops cyanomelas</t>
  </si>
  <si>
    <t>Kyphosus sydneyanus</t>
  </si>
  <si>
    <t>Heteroscarus acroptilus</t>
  </si>
  <si>
    <t>Haletta semifasciata</t>
  </si>
  <si>
    <t>Cheilodactylus nigripes</t>
  </si>
  <si>
    <t>Notolabrus tetricus</t>
  </si>
  <si>
    <t>Notolabrus fucicola</t>
  </si>
  <si>
    <t>Caesioperca lepidoptera</t>
  </si>
  <si>
    <t>Pempheris multiradiata</t>
  </si>
  <si>
    <t>M. L. Pinsky, B. Worm, M. J. Fogarty, J. L. Sarmiento, S. A. Levin, Marine taxa track local climate velocities. Science. 341, 1239–1242 (2013).</t>
  </si>
  <si>
    <t>North</t>
  </si>
  <si>
    <t>Icelus spatula</t>
  </si>
  <si>
    <t>Cottunculus microps</t>
  </si>
  <si>
    <t>Malacocottus zonurus</t>
  </si>
  <si>
    <t>Sebastes variegatus</t>
  </si>
  <si>
    <t>Sebastes proriger</t>
  </si>
  <si>
    <t>Lycodes palearis</t>
  </si>
  <si>
    <t>Eumesogrammus praecisus</t>
  </si>
  <si>
    <t>Sebastes brevispinis</t>
  </si>
  <si>
    <t>Zaprora silenus</t>
  </si>
  <si>
    <t>Bathymaster signatus</t>
  </si>
  <si>
    <t>Isopsetta isolepis</t>
  </si>
  <si>
    <t>Prionotus stearnsi</t>
  </si>
  <si>
    <t>Myoxocephalus scorpius</t>
  </si>
  <si>
    <t>Serranus atrobranchus</t>
  </si>
  <si>
    <t>Saurida brasiliensis</t>
  </si>
  <si>
    <t>Aspidophoroides monopterygius</t>
  </si>
  <si>
    <t>Sarritor frenatus</t>
  </si>
  <si>
    <t>Raja rhina</t>
  </si>
  <si>
    <t>Glyptocephalus zachirus</t>
  </si>
  <si>
    <t>Diplectrum bivittatum</t>
  </si>
  <si>
    <t>Artediellus</t>
  </si>
  <si>
    <t>Halieutichthys aculeatus</t>
  </si>
  <si>
    <t>Boreogadus saida</t>
  </si>
  <si>
    <t>Hippoglossoides elassodon</t>
  </si>
  <si>
    <t>Albatrossia pectoralis</t>
  </si>
  <si>
    <t>Lycodes reticulatus</t>
  </si>
  <si>
    <t>Lepophidium brevibarbe</t>
  </si>
  <si>
    <t>Hydrolagus colliei</t>
  </si>
  <si>
    <t>Gadus chalcogrammus</t>
  </si>
  <si>
    <t>Clupea pallasii</t>
  </si>
  <si>
    <t>Platichthys stellatus</t>
  </si>
  <si>
    <t>Dasycottus setiger</t>
  </si>
  <si>
    <r>
      <t xml:space="preserve">Kuletz, K.J. et al. (2014) Changes in the distribution and abundance of albatrosses in the eastern Bering Sea: 1975-2010. </t>
    </r>
    <r>
      <rPr>
        <i/>
        <sz val="11"/>
        <color theme="1"/>
        <rFont val="Calibri"/>
        <family val="2"/>
        <scheme val="minor"/>
      </rPr>
      <t xml:space="preserve">Deep-Sea Research II </t>
    </r>
    <r>
      <rPr>
        <sz val="11"/>
        <color theme="1"/>
        <rFont val="Calibri"/>
        <family val="2"/>
        <scheme val="minor"/>
      </rPr>
      <t xml:space="preserve">109: 282-292. </t>
    </r>
  </si>
  <si>
    <t>Phoebastria immutabilis</t>
  </si>
  <si>
    <t>Phoebastria nigripes</t>
  </si>
  <si>
    <t>Phoebastria albatrus</t>
  </si>
  <si>
    <t>Puffinus puffinus</t>
  </si>
  <si>
    <r>
      <t xml:space="preserve">Lehikoinen, A., Jaatinen, K., Vähätalo, A. V., Clausen, P., Crowe, O., Deceuninck, B., Hearn, R., Holt, C. A., Hornman, M., Keller, V., Nilsson, L., Langendoen, T., Tománková, I., Wahl, J., &amp; Fox, A. D. (2013). Rapid climate driven shifts in wintering distributions of three common waterbird species. </t>
    </r>
    <r>
      <rPr>
        <i/>
        <sz val="11"/>
        <color theme="1"/>
        <rFont val="Calibri"/>
        <family val="2"/>
        <scheme val="minor"/>
      </rPr>
      <t>Global Change Biology, 19</t>
    </r>
    <r>
      <rPr>
        <sz val="11"/>
        <color theme="1"/>
        <rFont val="Calibri"/>
        <family val="2"/>
        <scheme val="minor"/>
      </rPr>
      <t>(7), 2071–2081. https://doi.org/10.1111/gcb.12200</t>
    </r>
  </si>
  <si>
    <t>No</t>
  </si>
  <si>
    <t>Northwest Europe (Finland, Sweden, Denmark, Germany, Netherlands, Switzerland, Great Britain, Ireland, France)</t>
  </si>
  <si>
    <t>Yes</t>
  </si>
  <si>
    <t>Veit, R. R., McGowan, J. A., Ainley, D. G., Wahl, T. R., &amp; Pyle, P. (1997). Apex marine predator declines ninety percent in association with changing oceanic climate. Global Change Biology, 3(1), 23–28. https://doi.org/10.1046/j.1365-2486.1997.d01-130.x</t>
  </si>
  <si>
    <t>Westport Washington coast</t>
  </si>
  <si>
    <t>Ardenna grisea</t>
  </si>
  <si>
    <t>Mergus serrator</t>
  </si>
  <si>
    <t>Ichthyaetus melanocephalus</t>
  </si>
  <si>
    <t>Synodus poeyi</t>
  </si>
  <si>
    <t>Sebastes ruberrimus</t>
  </si>
  <si>
    <t>Porichthys notatus</t>
  </si>
  <si>
    <t>Myoxocephalus</t>
  </si>
  <si>
    <t>Lepidopsetta</t>
  </si>
  <si>
    <t>Pristipomoides aquilonaris</t>
  </si>
  <si>
    <t>Hemilepidotus jordani</t>
  </si>
  <si>
    <t>Podothecus accipenserinus</t>
  </si>
  <si>
    <t>Sebastes babcocki</t>
  </si>
  <si>
    <t>Sphoeroides parvus</t>
  </si>
  <si>
    <t>Sebastes polyspinis</t>
  </si>
  <si>
    <t>Porichthys plectrodon</t>
  </si>
  <si>
    <t>Lutjanus campechanus</t>
  </si>
  <si>
    <t>Thaleichthys pacificus</t>
  </si>
  <si>
    <t>Sebastes</t>
  </si>
  <si>
    <t>Prionotus paralatus</t>
  </si>
  <si>
    <t>Eumicrotremus spinosus</t>
  </si>
  <si>
    <t>Prionotus carolinus</t>
  </si>
  <si>
    <t>Stomias boa</t>
  </si>
  <si>
    <t>Sebastes alutus</t>
  </si>
  <si>
    <t>Synodus foetens</t>
  </si>
  <si>
    <t>Hippoglossus stenolepis</t>
  </si>
  <si>
    <t>Centropristis philadelphica</t>
  </si>
  <si>
    <t>Anoplopoma fimbria</t>
  </si>
  <si>
    <t>Cyclopsetta chittendeni</t>
  </si>
  <si>
    <t>Stenotomus caprinus</t>
  </si>
  <si>
    <t>Pleuronectes quadrituberculatus</t>
  </si>
  <si>
    <t>Hexagrammos decagrammus</t>
  </si>
  <si>
    <t>Atheresthes stomias</t>
  </si>
  <si>
    <t>Svazas, S., Meissner, W., Serebryakov, V., Kozulin, A., &amp; Grishanov, G. (2001). Changes in numbers and distribution of wintering waterfowl populations in Lithuania in the 20th century. Acta Zoologica Lituanica, 11(2), 191–202. https://doi.org/10.1080/13921657.2001.10512456</t>
  </si>
  <si>
    <t>Lithuania</t>
  </si>
  <si>
    <t>Melanitta fusca</t>
  </si>
  <si>
    <t>Etropus crossotus</t>
  </si>
  <si>
    <t>Sebastolobus alascanus</t>
  </si>
  <si>
    <t>Prionotus longispinosus</t>
  </si>
  <si>
    <t>Triglops</t>
  </si>
  <si>
    <t>Limanda aspera</t>
  </si>
  <si>
    <t>Hemitripterus bolini</t>
  </si>
  <si>
    <t>Oncorhynchus tshawytscha</t>
  </si>
  <si>
    <t>Sebastes zacentrus</t>
  </si>
  <si>
    <t>Raja binoculata</t>
  </si>
  <si>
    <t>Trachurus lathami</t>
  </si>
  <si>
    <r>
      <t xml:space="preserve">Taylor, R. H., &amp; Wilson, P. R. (1990). Recent increase and southern expansion of Adélie penguin populations in the Ross Sea, Antarctica, related to climatic warming. </t>
    </r>
    <r>
      <rPr>
        <i/>
        <sz val="11"/>
        <color theme="1"/>
        <rFont val="Calibri"/>
        <family val="2"/>
        <scheme val="minor"/>
      </rPr>
      <t>New Zealand Journal of Ecology, 14</t>
    </r>
    <r>
      <rPr>
        <sz val="11"/>
        <color theme="1"/>
        <rFont val="Calibri"/>
        <family val="2"/>
        <scheme val="minor"/>
      </rPr>
      <t>, 25–29.</t>
    </r>
  </si>
  <si>
    <t>Ross Sea, Antarctica</t>
  </si>
  <si>
    <t>Pygoscelis adeliae</t>
  </si>
  <si>
    <r>
      <t xml:space="preserve">Weimerskirch, H. et al. (2012). Changes in wind pattern alter albatross distribution and life-history traits. </t>
    </r>
    <r>
      <rPr>
        <i/>
        <sz val="11"/>
        <color theme="1"/>
        <rFont val="Calibri"/>
        <family val="2"/>
        <scheme val="minor"/>
      </rPr>
      <t>Science</t>
    </r>
    <r>
      <rPr>
        <sz val="11"/>
        <color theme="1"/>
        <rFont val="Calibri"/>
        <family val="2"/>
        <scheme val="minor"/>
      </rPr>
      <t xml:space="preserve"> 335: 211-214. </t>
    </r>
  </si>
  <si>
    <t>Diomedea exulans</t>
  </si>
  <si>
    <t>Wynn, R. B., Josey, S. A., Martin, A. P., Johns, D. G., &amp; Yésou, P. (2007). Climate-driven range expansion of a critically endangered top predator in northeast Atlantic waters. Biology Letters, 3(5), 529–532. https://doi.org/10.1098/rsbl.2007.0162</t>
  </si>
  <si>
    <t>Northwest Europe Coastline (Ireland, UK, Netherlands, Denmark, Sweden, Norway)</t>
  </si>
  <si>
    <t>Puffinus mauretanicus</t>
  </si>
  <si>
    <t>K. M. Kleisner et al., The effects of sub-regional climate velocity on the distribution and spatial extent of marine species assemblages. PLoS One. 11, e0149220 (2016).</t>
  </si>
  <si>
    <t>Stenotomus chrysops</t>
  </si>
  <si>
    <t>Alosa aestivalis</t>
  </si>
  <si>
    <t>Menticirrhus saxatilis</t>
  </si>
  <si>
    <t>Peprilus triacanthus</t>
  </si>
  <si>
    <t>Cynoscion regalis</t>
  </si>
  <si>
    <t>Cyttopsis roseus</t>
  </si>
  <si>
    <t>Upper slope fish</t>
  </si>
  <si>
    <t>Dipturus laevis</t>
  </si>
  <si>
    <t>Morone saxatilis</t>
  </si>
  <si>
    <t>Raja eglanteria</t>
  </si>
  <si>
    <t>Tautoga onitis</t>
  </si>
  <si>
    <t>Stafford, K., Farley, E., Ferguson, M., Kuletz, K., &amp; Levine, R. (2022). Northward Range Expansion of Subarctic Upper Trophic Level Animals into the Pacific Arctic Region. Oceanography, 35(1). https://doi.org/10.5670/oceanog.2022.101</t>
  </si>
  <si>
    <t xml:space="preserve">Pacific Arctic </t>
  </si>
  <si>
    <t>Killer whales</t>
  </si>
  <si>
    <t>Center</t>
  </si>
  <si>
    <t>Fig. 4 Estimate centroid for July in both time periods and get the latitudes, use the median in each time periods when getting the slope. In this case it will be 68.8 and 70.5 respectively</t>
  </si>
  <si>
    <t xml:space="preserve">https://www.sciencedirect.com/science/article/pii/S2666900521000095#bib0069 </t>
  </si>
  <si>
    <t>this has everything look at the supplementary table!!</t>
  </si>
  <si>
    <t xml:space="preserve">https://www.sciencedirect.com/science/article/pii/S2666900522000077 </t>
  </si>
  <si>
    <t>also has everything!</t>
  </si>
  <si>
    <t>Continental shelf fish</t>
  </si>
  <si>
    <r>
      <t>Sabates, A. et al. (2006). Sea warming and fish distribution: the case of the small pelagic fish,</t>
    </r>
    <r>
      <rPr>
        <i/>
        <sz val="11"/>
        <color theme="1"/>
        <rFont val="Calibri"/>
        <family val="2"/>
        <scheme val="minor"/>
      </rPr>
      <t xml:space="preserve"> Sardinella aurita</t>
    </r>
    <r>
      <rPr>
        <sz val="11"/>
        <color theme="1"/>
        <rFont val="Calibri"/>
        <family val="2"/>
        <scheme val="minor"/>
      </rPr>
      <t xml:space="preserve">, in the western Mediterranean. </t>
    </r>
    <r>
      <rPr>
        <i/>
        <sz val="11"/>
        <color theme="1"/>
        <rFont val="Calibri"/>
        <family val="2"/>
        <scheme val="minor"/>
      </rPr>
      <t>Global Change Biology</t>
    </r>
    <r>
      <rPr>
        <sz val="11"/>
        <color theme="1"/>
        <rFont val="Calibri"/>
        <family val="2"/>
        <scheme val="minor"/>
      </rPr>
      <t>. 12: 2209-2219</t>
    </r>
  </si>
  <si>
    <t>Sardinella aurita</t>
  </si>
  <si>
    <r>
      <t>Swaby, S.E. and G.W. Potts (1999) The sailfin dory, a first British record.</t>
    </r>
    <r>
      <rPr>
        <i/>
        <sz val="11"/>
        <color theme="1"/>
        <rFont val="Calibri"/>
        <family val="2"/>
        <scheme val="minor"/>
      </rPr>
      <t xml:space="preserve"> Journal of Fish Biology </t>
    </r>
    <r>
      <rPr>
        <sz val="11"/>
        <color theme="1"/>
        <rFont val="Calibri"/>
        <family val="2"/>
        <scheme val="minor"/>
      </rPr>
      <t>54: 1338-1340</t>
    </r>
  </si>
  <si>
    <r>
      <t xml:space="preserve">Engelhard, G. H. et al. (2014) Climate change and fishing: a century of shifting distribution in North Sea Cod. </t>
    </r>
    <r>
      <rPr>
        <i/>
        <sz val="11"/>
        <color theme="1"/>
        <rFont val="Calibri"/>
        <family val="2"/>
        <scheme val="minor"/>
      </rPr>
      <t>Global Change Biology</t>
    </r>
    <r>
      <rPr>
        <sz val="11"/>
        <color theme="1"/>
        <rFont val="Calibri"/>
        <family val="2"/>
        <scheme val="minor"/>
      </rPr>
      <t xml:space="preserve">. 20:2473-2483. </t>
    </r>
  </si>
  <si>
    <r>
      <t>Landa, C.S. et al. (2014). Recruitment, distribution boundary and habitat temperature of an arcto-boreal gadoid in a climatically changing environment: a case study on Northeast Arctic haddock (</t>
    </r>
    <r>
      <rPr>
        <i/>
        <sz val="11"/>
        <color theme="1"/>
        <rFont val="Calibri"/>
        <family val="2"/>
        <scheme val="minor"/>
      </rPr>
      <t>Melanogrammus aeglefinus</t>
    </r>
    <r>
      <rPr>
        <sz val="11"/>
        <color theme="1"/>
        <rFont val="Calibri"/>
        <family val="2"/>
        <scheme val="minor"/>
      </rPr>
      <t>). Fisheries Oceanography 23:506-520</t>
    </r>
  </si>
  <si>
    <t>eastern edge</t>
  </si>
  <si>
    <r>
      <t xml:space="preserve">Nicolas, D. et al. (2011). Impact of global warming on European tidal estuaries: some evidence of northward migration of estuarine fish species. </t>
    </r>
    <r>
      <rPr>
        <i/>
        <sz val="11"/>
        <color theme="1"/>
        <rFont val="Calibri"/>
        <family val="2"/>
        <scheme val="minor"/>
      </rPr>
      <t>Regional Environmental Change</t>
    </r>
    <r>
      <rPr>
        <sz val="11"/>
        <color theme="1"/>
        <rFont val="Calibri"/>
        <family val="2"/>
        <scheme val="minor"/>
      </rPr>
      <t>. 11: 639-649.</t>
    </r>
  </si>
  <si>
    <t>Anguilla anguilla</t>
  </si>
  <si>
    <t>Atherina presbyter</t>
  </si>
  <si>
    <t>Chelidonichthys lucerna</t>
  </si>
  <si>
    <t>Dicentrarchus labrax</t>
  </si>
  <si>
    <t>Liza ramada</t>
  </si>
  <si>
    <t>Platichthys flesus</t>
  </si>
  <si>
    <t>Pomatoschistus minutus</t>
  </si>
  <si>
    <t>Sprattus sprattus</t>
  </si>
  <si>
    <t>Syngnathus acus</t>
  </si>
  <si>
    <r>
      <t xml:space="preserve">Bell, R. J. et al. (2015). Disentangling the effects of climate, abundance, and size on the distribution of marine fish: an example based on four stocks from the Northeast US shelf. </t>
    </r>
    <r>
      <rPr>
        <i/>
        <sz val="11"/>
        <color theme="1"/>
        <rFont val="Calibri"/>
        <family val="2"/>
        <scheme val="minor"/>
      </rPr>
      <t>Ices Journal of Marine Science</t>
    </r>
    <r>
      <rPr>
        <sz val="11"/>
        <color theme="1"/>
        <rFont val="Calibri"/>
        <family val="2"/>
        <scheme val="minor"/>
      </rPr>
      <t xml:space="preserve"> 72(5): 1311-1322.</t>
    </r>
  </si>
  <si>
    <t>Centropristis striata</t>
  </si>
  <si>
    <t>spring temp</t>
  </si>
  <si>
    <t>Thorne, L. H., &amp; Nye, J. A. (2021). Trait-mediated shifts and climate velocity decouple an endothermic marine predator and its ectothermic prey. Scientific Reports, 11(1). https://doi.org/10.1038/s41598-021-97318-z</t>
  </si>
  <si>
    <t>Northeast United States</t>
  </si>
  <si>
    <t>Atlantic mackerel</t>
  </si>
  <si>
    <t>Fig . 4</t>
  </si>
  <si>
    <t>Atlantic herring</t>
  </si>
  <si>
    <t>Chust, G., Goikoetxea, N., Ibaibarriaga, L., Sagarminaga, Y., Arregui, I., Fontán, A., Irigoien, X., &amp; Arrizabalaga, H. (2019). Earlier migration and distribution changes of albacore in the Northeast Atlantic. Fisheries Oceanography, 28(5), 505–516. https://doi.org/10.1111/fog.12427</t>
  </si>
  <si>
    <t>Northeast.Atlantic</t>
  </si>
  <si>
    <t>Thunnus.alalunga</t>
  </si>
  <si>
    <t>centre</t>
  </si>
  <si>
    <t>from Dahms 2023 https://onlinelibrary.wiley.com/doi/10.1111/gcb.16770</t>
  </si>
  <si>
    <r>
      <t xml:space="preserve">Fredston-Hermann, A., Selden, R. L., Pinsky, M. L., Gaines, S. D., &amp; Halpern, B. S. (2020). Cold range edges of marine fishes track climate change better than warm edges. </t>
    </r>
    <r>
      <rPr>
        <i/>
        <sz val="11"/>
        <color theme="1"/>
        <rFont val="Calibri"/>
        <family val="2"/>
        <scheme val="minor"/>
      </rPr>
      <t>Global Change Biology, 26</t>
    </r>
    <r>
      <rPr>
        <sz val="11"/>
        <color theme="1"/>
        <rFont val="Calibri"/>
        <family val="2"/>
        <scheme val="minor"/>
      </rPr>
      <t>(5), 2908–2922. https://doi.org/10.1111/gcb.15035</t>
    </r>
  </si>
  <si>
    <t>Northwest.Atlantic</t>
  </si>
  <si>
    <t>Dipturus.laevis</t>
  </si>
  <si>
    <t>Merluccius.albidus</t>
  </si>
  <si>
    <t>leading</t>
  </si>
  <si>
    <t>Leucoraja.ocellata</t>
  </si>
  <si>
    <r>
      <t xml:space="preserve">Kotwicki, S., &amp; Lauth, R. R. (2013). Detecting temporal trends and environmentally driven changes in the spatial distribution of bottom fishes and crabs on the eastern Bering Sea shelf. </t>
    </r>
    <r>
      <rPr>
        <i/>
        <sz val="11"/>
        <color theme="1"/>
        <rFont val="Calibri"/>
        <family val="2"/>
        <scheme val="minor"/>
      </rPr>
      <t>Deep-Sea Research Part II: Topical Studies in Oceanography, 94</t>
    </r>
    <r>
      <rPr>
        <sz val="11"/>
        <color theme="1"/>
        <rFont val="Calibri"/>
        <family val="2"/>
        <scheme val="minor"/>
      </rPr>
      <t>, 214–230. https://doi.org/10.1016/j.dsr2.2013.03.017</t>
    </r>
  </si>
  <si>
    <t>Bering.Sea</t>
  </si>
  <si>
    <t>Glyptocephalus.zachirus</t>
  </si>
  <si>
    <t>Reinhardtius.hippoglossoides</t>
  </si>
  <si>
    <t>Limanda.aspera</t>
  </si>
  <si>
    <t>Gadus.chalcogrammus</t>
  </si>
  <si>
    <r>
      <t xml:space="preserve">Kumagai, N. H., García Molinos, J., Yamano, H., Takao, S., Fujii, M., &amp; Yamanaka, Y. (2018). Ocean currents and herbivory drive macroalgae-to-coral community shift under climate warming. </t>
    </r>
    <r>
      <rPr>
        <i/>
        <sz val="11"/>
        <color theme="1"/>
        <rFont val="Calibri"/>
        <family val="2"/>
        <scheme val="minor"/>
      </rPr>
      <t>Proceedings of the National Academy of Sciences of the United States of America, 115</t>
    </r>
    <r>
      <rPr>
        <sz val="11"/>
        <color theme="1"/>
        <rFont val="Calibri"/>
        <family val="2"/>
        <scheme val="minor"/>
      </rPr>
      <t>(36), 8991–8996. https://doi.org/10.1073/pnas.1716826115</t>
    </r>
  </si>
  <si>
    <t>Northwest.Pacific</t>
  </si>
  <si>
    <t>Kyphosus.bigibbus</t>
  </si>
  <si>
    <r>
      <t xml:space="preserve">Li, L., Hollowed, A. B., Cokelet, E. D., Barbeaux, S. J., Bond, N. A., Keller, A. A., King, J. R., McClure, M. M., Palsson, W. A., Stabeno, P. J., &amp; Yang, Q. (2019). Subregional differences in groundfish distributional responses to anomalous ocean bottom temperatures in the northeast Pacific. </t>
    </r>
    <r>
      <rPr>
        <i/>
        <sz val="11"/>
        <color theme="1"/>
        <rFont val="Calibri"/>
        <family val="2"/>
        <scheme val="minor"/>
      </rPr>
      <t>Global Change Biology, 25</t>
    </r>
    <r>
      <rPr>
        <sz val="11"/>
        <color theme="1"/>
        <rFont val="Calibri"/>
        <family val="2"/>
        <scheme val="minor"/>
      </rPr>
      <t>(8), 2560–2575. https://doi.org/10.1111/gcb.14676</t>
    </r>
  </si>
  <si>
    <t>Northeast.Pacific:.Central.Gulf.of.Alaska.(CGOA)</t>
  </si>
  <si>
    <t>Atheresthes.stomias</t>
  </si>
  <si>
    <t>Northeast.Pacific:.Eastern.Gulf.of.Alaska.(EGOA)</t>
  </si>
  <si>
    <t>Gadus.macrocephalus</t>
  </si>
  <si>
    <t>Lepidopsetta.bilineata</t>
  </si>
  <si>
    <t>Lepidopsetta.polyxystra</t>
  </si>
  <si>
    <t>Microstomus.pacificus</t>
  </si>
  <si>
    <t>Sebastes.alutus</t>
  </si>
  <si>
    <r>
      <t xml:space="preserve">Pinsky, M. L., Worm, B., Fogarty, M. J., Sarmiento, J. L., &amp; Levin, S. A. (2013). Marine taxa track local climate velocities. </t>
    </r>
    <r>
      <rPr>
        <i/>
        <sz val="11"/>
        <color theme="1"/>
        <rFont val="Calibri"/>
        <family val="2"/>
        <scheme val="minor"/>
      </rPr>
      <t>Science, 341</t>
    </r>
    <r>
      <rPr>
        <sz val="11"/>
        <color theme="1"/>
        <rFont val="Calibri"/>
        <family val="2"/>
        <scheme val="minor"/>
      </rPr>
      <t>(6151), 1239–1242. https://doi.org/10.1126/science.1239352</t>
    </r>
  </si>
  <si>
    <t>Raja.binoculata</t>
  </si>
  <si>
    <r>
      <t xml:space="preserve">van Hal, R., Smits, K., &amp; Rijnsdorp, A. D. (2010). How climate warming impacts the distribution and abundance of two small flatfish species in the North Sea. </t>
    </r>
    <r>
      <rPr>
        <i/>
        <sz val="11"/>
        <color theme="1"/>
        <rFont val="Calibri"/>
        <family val="2"/>
        <scheme val="minor"/>
      </rPr>
      <t>Journal of Sea Research, 64</t>
    </r>
    <r>
      <rPr>
        <sz val="11"/>
        <color theme="1"/>
        <rFont val="Calibri"/>
        <family val="2"/>
        <scheme val="minor"/>
      </rPr>
      <t>(1–2), 76–84. https://doi.org/10.1016/j.seares.2009.10.008</t>
    </r>
  </si>
  <si>
    <t>North.Sea</t>
  </si>
  <si>
    <t>Arnoglossus.laterna</t>
  </si>
  <si>
    <t>Buglossidium.luteum.</t>
  </si>
  <si>
    <r>
      <t xml:space="preserve">Worm, B., &amp; Tittensor, D. P. (2011). Range contraction in large pelagic predators. </t>
    </r>
    <r>
      <rPr>
        <i/>
        <sz val="11"/>
        <color theme="1"/>
        <rFont val="Calibri"/>
        <family val="2"/>
        <scheme val="minor"/>
      </rPr>
      <t>Proceedings of the National Academy of Sciences of the United States of America, 108</t>
    </r>
    <r>
      <rPr>
        <sz val="11"/>
        <color theme="1"/>
        <rFont val="Calibri"/>
        <family val="2"/>
        <scheme val="minor"/>
      </rPr>
      <t>(29), 11942–11947. https://doi.org/10.1073/pnas.1102353108</t>
    </r>
  </si>
  <si>
    <t>Pacific</t>
  </si>
  <si>
    <t>Istiompax.indica</t>
  </si>
  <si>
    <t>Indian</t>
  </si>
  <si>
    <t>Kajikia.audax</t>
  </si>
  <si>
    <t>Istiophorus.platypterus</t>
  </si>
  <si>
    <r>
      <t xml:space="preserve">Yemane, D., Kirkman, S. P., Kathena, J., N’siangango, S. E., Axelsen, B. E., &amp; Samaai, T. (2014). Assessing changes in the distribution and range size of demersal fish populations in the Benguela Current Large Marine Ecosystem. </t>
    </r>
    <r>
      <rPr>
        <i/>
        <sz val="11"/>
        <color theme="1"/>
        <rFont val="Calibri"/>
        <family val="2"/>
        <scheme val="minor"/>
      </rPr>
      <t>Reviews in Fish Biology and Fisheries, 24</t>
    </r>
    <r>
      <rPr>
        <sz val="11"/>
        <color theme="1"/>
        <rFont val="Calibri"/>
        <family val="2"/>
        <scheme val="minor"/>
      </rPr>
      <t>(2), 463–483. https://doi.org/10.1007/s11160-014-9357-7</t>
    </r>
  </si>
  <si>
    <t>South.Atlantic</t>
  </si>
  <si>
    <t>Caelorinchus.simorhynchus</t>
  </si>
  <si>
    <t>Brama.brama</t>
  </si>
  <si>
    <t>Holohalaelurus.regani</t>
  </si>
  <si>
    <t>Merluccius.paradoxus</t>
  </si>
  <si>
    <t>Raja.straeleni</t>
  </si>
  <si>
    <t>Helicolenus.dactylopterus</t>
  </si>
  <si>
    <t>Genypterus.capensis</t>
  </si>
  <si>
    <t>Selachophidium.guentheri</t>
  </si>
  <si>
    <t>Lepidopus.caudatus</t>
  </si>
  <si>
    <t>Spicara.alta</t>
  </si>
  <si>
    <t>Deania.profundorum</t>
  </si>
  <si>
    <t>Malacocephalus.laevis</t>
  </si>
  <si>
    <t>Deania.calcea</t>
  </si>
  <si>
    <t>Bluemel, J. K., Fischer, S. H., Kulka, D. W., Lynam, C. P., &amp; Ellis, J. R. (2022). Decline in Atlantic wolffish Anarhichas lupus in the North Sea: Impacts of fishing pressure and climate change. Journal of Fish Biology, 100(1), 253–267. https://doi.org/10.1111/jfb.14942</t>
  </si>
  <si>
    <t>Nort.Sea</t>
  </si>
  <si>
    <t>Anarhichas.lupus</t>
  </si>
  <si>
    <t>Champion, C., Brodie, S., &amp; Coleman, M. A. (2021). Climate-driven range shifts are rapid yet variable among recreationally important coastal-pelagic fishes. Frontiers in Marine Science, 8, 622299. https://doi.org/10.3389/fmars.2021.622299</t>
  </si>
  <si>
    <t>Southwestern.Pacific</t>
  </si>
  <si>
    <t>Scomberomorus.commerson</t>
  </si>
  <si>
    <t>Scomberomorus.munroi</t>
  </si>
  <si>
    <t>Sarda.australis</t>
  </si>
  <si>
    <t>Coryphaena.hippurus</t>
  </si>
  <si>
    <t>Dulvy, N. K., Rogers, S. I., Jennings, S., Stelzenmüller, V., Dye, S. R., &amp; Skjoldal, H. R. (2008). Climate change and deepening of the North Sea fish assemblage: A biotic indicator of warming seas. Journal of Applied Ecology, 45(4), 1029–1039. https://doi.org/10.1111/j.1365-2664.2008.01488.x</t>
  </si>
  <si>
    <t>Agonus.cataphractus</t>
  </si>
  <si>
    <t>Amblyraja.radiata</t>
  </si>
  <si>
    <t>Anarhichas.lupus.</t>
  </si>
  <si>
    <t>Eutrigla.gurnardus.</t>
  </si>
  <si>
    <t>Gadus.morhua.</t>
  </si>
  <si>
    <t>Glyptocephalus.cynoglossus.</t>
  </si>
  <si>
    <t>Hippoglossoides.platessoides</t>
  </si>
  <si>
    <t>Lepidorhombus.whiffiagonis</t>
  </si>
  <si>
    <t>Leucoraja.naevus</t>
  </si>
  <si>
    <t>Limanda.limanda.</t>
  </si>
  <si>
    <t>Lophius.piscatorius</t>
  </si>
  <si>
    <t>Melanogrammus.aeglefinus.</t>
  </si>
  <si>
    <t>Merlangius.merlangus.</t>
  </si>
  <si>
    <t>Merluccius.merluccius.</t>
  </si>
  <si>
    <t>Microstomus.kitt.</t>
  </si>
  <si>
    <t>Molva.molva.</t>
  </si>
  <si>
    <t>Pleuronectes.platessa.</t>
  </si>
  <si>
    <t>Pollachius.virens.</t>
  </si>
  <si>
    <t>Rhinonemus.cimbrius</t>
  </si>
  <si>
    <t>Scyliorhinus.canicula.</t>
  </si>
  <si>
    <t>Solea.solea.</t>
  </si>
  <si>
    <t>Squalus.acanthias.</t>
  </si>
  <si>
    <t>Trachinus.vipera.</t>
  </si>
  <si>
    <t>Trisopterus.esmarki.</t>
  </si>
  <si>
    <t>Trisopterus.luscus.</t>
  </si>
  <si>
    <t>Trisopterus.minutus.</t>
  </si>
  <si>
    <t>Leucoraja.garmani</t>
  </si>
  <si>
    <t>Tautogolabrus.adspersus</t>
  </si>
  <si>
    <t>Etropus.microstomus</t>
  </si>
  <si>
    <t>Alosa.aestivalis</t>
  </si>
  <si>
    <t>Scyliorhinus.retifer</t>
  </si>
  <si>
    <t>Centropristis.striata</t>
  </si>
  <si>
    <t>Myoxocephalus.octodecemspinosus</t>
  </si>
  <si>
    <t>Ammodytes.dubius</t>
  </si>
  <si>
    <t>Citharichthys.arctifrons</t>
  </si>
  <si>
    <t>Gadus.morhua</t>
  </si>
  <si>
    <t>Limanda.ferruginea</t>
  </si>
  <si>
    <t>Urophycis.tenuis</t>
  </si>
  <si>
    <t>Urophycis.chuss</t>
  </si>
  <si>
    <t>Alosa.pseudoharengus</t>
  </si>
  <si>
    <t>Scomber.scombrus</t>
  </si>
  <si>
    <t>Pseudopleuronectes.americanus</t>
  </si>
  <si>
    <t>Prionotus.carolinus</t>
  </si>
  <si>
    <t>Merluccius.bilinearis</t>
  </si>
  <si>
    <t>Hemitripterus.americanus</t>
  </si>
  <si>
    <t>Paralichthys.dentatus</t>
  </si>
  <si>
    <r>
      <t>Hammerschlag, N., McDonnell, L. H., Rider, M. J., Street, G. M., Hazen, E. L., Natanson, L. J., McCandless, C. T., Boudreau, M. R., Gallagher, A. J., Pinsky, M. L., &amp; Kirtman, B. (2022). Ocean warming alters the distributional range, migratory timing, and spatial protections of an apex predator, the tiger shark (</t>
    </r>
    <r>
      <rPr>
        <i/>
        <sz val="11"/>
        <color theme="1"/>
        <rFont val="Calibri"/>
        <family val="2"/>
        <scheme val="minor"/>
      </rPr>
      <t>Galeocerdo cuvier</t>
    </r>
    <r>
      <rPr>
        <sz val="11"/>
        <color theme="1"/>
        <rFont val="Calibri"/>
        <family val="2"/>
        <scheme val="minor"/>
      </rPr>
      <t xml:space="preserve">). </t>
    </r>
    <r>
      <rPr>
        <i/>
        <sz val="11"/>
        <color theme="1"/>
        <rFont val="Calibri"/>
        <family val="2"/>
        <scheme val="minor"/>
      </rPr>
      <t>Global Change Biology, 28</t>
    </r>
    <r>
      <rPr>
        <sz val="11"/>
        <color theme="1"/>
        <rFont val="Calibri"/>
        <family val="2"/>
        <scheme val="minor"/>
      </rPr>
      <t>(6), 1990–2005. https://doi.org/10.1111/gcb.16045</t>
    </r>
  </si>
  <si>
    <t>Galeocerdo.cuvier</t>
  </si>
  <si>
    <t>Hippoglossoides.elassodon</t>
  </si>
  <si>
    <t>Lycodes.palearis</t>
  </si>
  <si>
    <t>Hippoglossoides.robustus</t>
  </si>
  <si>
    <t>Hippoglossus.stenolepis</t>
  </si>
  <si>
    <t>Lepidopsetta.spp.</t>
  </si>
  <si>
    <t>Bathyraja.spp.</t>
  </si>
  <si>
    <t>Platichthys.stellatus</t>
  </si>
  <si>
    <t>Pleuronectes.quadrituberculatus</t>
  </si>
  <si>
    <t>Hemilepidotus.papilio</t>
  </si>
  <si>
    <t>Lycodes.brevipes</t>
  </si>
  <si>
    <t>Podothecus.acipenserinus</t>
  </si>
  <si>
    <t>Siganus.fuscescens</t>
  </si>
  <si>
    <t>Calotomus.japonicus</t>
  </si>
  <si>
    <r>
      <t xml:space="preserve">Last, P. R., White, W. T., Gledhill, D. C., Hobday, A. J., Brown, R., Edgar, G. J., &amp; Pecl, G. (2011). Long-term shifts in abundance and distribution of a temperate fish fauna: A response to climate change and fishing practices. </t>
    </r>
    <r>
      <rPr>
        <i/>
        <sz val="11"/>
        <color theme="1"/>
        <rFont val="Calibri"/>
        <family val="2"/>
        <scheme val="minor"/>
      </rPr>
      <t>Global Ecology and Biogeography, 20</t>
    </r>
    <r>
      <rPr>
        <sz val="11"/>
        <color theme="1"/>
        <rFont val="Calibri"/>
        <family val="2"/>
        <scheme val="minor"/>
      </rPr>
      <t>(1), 58–72. https://doi.org/10.1111/j.1466-8238.2010.00575.x</t>
    </r>
  </si>
  <si>
    <t>Achoerodus.viridis</t>
  </si>
  <si>
    <t>Aplodactylus.lophodon</t>
  </si>
  <si>
    <t>Atypichthys.strigatus</t>
  </si>
  <si>
    <t>Cheilodactylus.nigripes</t>
  </si>
  <si>
    <t>Chromis.hypsilepis</t>
  </si>
  <si>
    <t>Dactylophora.nigricans</t>
  </si>
  <si>
    <t>Dasyatis.brevicaudata</t>
  </si>
  <si>
    <t>Dotalabrus.aurantiacus</t>
  </si>
  <si>
    <t>Enoplosus.armatus</t>
  </si>
  <si>
    <t>Eubalichthys.mosaicus</t>
  </si>
  <si>
    <t>Eupetrichthys.angustipes</t>
  </si>
  <si>
    <t>Girella.elevata</t>
  </si>
  <si>
    <t>Girella.tricuspidata</t>
  </si>
  <si>
    <t>Girella.zebra</t>
  </si>
  <si>
    <t>Haletta.semifasciata</t>
  </si>
  <si>
    <t>Heterodontus.portusjacksoni</t>
  </si>
  <si>
    <t>Heteroscarus.acroptilus</t>
  </si>
  <si>
    <t>Hypoplectrodes.maccullochi</t>
  </si>
  <si>
    <t>Kyphosus.sydneyanus</t>
  </si>
  <si>
    <t>Latropiscis.purpurissatus</t>
  </si>
  <si>
    <t>Myliobatis.australis</t>
  </si>
  <si>
    <t>Nemadactylus.valenciennesi</t>
  </si>
  <si>
    <t>Notolabrus.gymnogenis</t>
  </si>
  <si>
    <t>Odax.cyanomelas</t>
  </si>
  <si>
    <t>Omegophora.armilla</t>
  </si>
  <si>
    <t>Ophthalmolepis.lineolatus</t>
  </si>
  <si>
    <t>Pagrus.auratus</t>
  </si>
  <si>
    <t>Parma.microlepis</t>
  </si>
  <si>
    <t>Platycephalus.laevigatus</t>
  </si>
  <si>
    <t>Pomatomus.saltatrix</t>
  </si>
  <si>
    <t>Scorpis.aequipinnis</t>
  </si>
  <si>
    <t>Scorpis.lineolata</t>
  </si>
  <si>
    <t>Seriola.lalandi</t>
  </si>
  <si>
    <t>Trachichthys.australis</t>
  </si>
  <si>
    <t>Trygonoptera.imitata</t>
  </si>
  <si>
    <t>Trygonorrhina.dumerilii</t>
  </si>
  <si>
    <t>Urolophus.paucimaculatus</t>
  </si>
  <si>
    <t>Northeast.Pacific:.Western.Gulf.of.Alaska.(WGOA)</t>
  </si>
  <si>
    <r>
      <t>Olafsdottir, A. H., Utne, K. R., Jacobsen, J. A., Jansen, T., Oskarsson, G. J., Nøttestad, L., Elvarsson, B. Þ., &amp; Slotte, A. (2019). Geographical expansion of Northeast Atlantic mackerel (</t>
    </r>
    <r>
      <rPr>
        <i/>
        <sz val="11"/>
        <color theme="1"/>
        <rFont val="Calibri"/>
        <family val="2"/>
        <scheme val="minor"/>
      </rPr>
      <t>Scomber scombrus</t>
    </r>
    <r>
      <rPr>
        <sz val="11"/>
        <color theme="1"/>
        <rFont val="Calibri"/>
        <family val="2"/>
        <scheme val="minor"/>
      </rPr>
      <t xml:space="preserve">) in the Nordic Seas from 2007 to 2016 was primarily driven by stock size and constrained by low temperatures. </t>
    </r>
    <r>
      <rPr>
        <i/>
        <sz val="11"/>
        <color theme="1"/>
        <rFont val="Calibri"/>
        <family val="2"/>
        <scheme val="minor"/>
      </rPr>
      <t>Deep-Sea Research Part II: Topical Studies in Oceanography, 159</t>
    </r>
    <r>
      <rPr>
        <sz val="11"/>
        <color theme="1"/>
        <rFont val="Calibri"/>
        <family val="2"/>
        <scheme val="minor"/>
      </rPr>
      <t>, 152–168. https://doi.org/10.1016/j.dsr2.2018.05.023</t>
    </r>
  </si>
  <si>
    <r>
      <t xml:space="preserve">Overholtz, W. J., Hare, J. A., &amp; Keith, C. M. (2011). Impacts of interannual environmental forcing and climate change on the distribution of Atlantic mackerel on the US Northeast continental shelf. </t>
    </r>
    <r>
      <rPr>
        <i/>
        <sz val="11"/>
        <color theme="1"/>
        <rFont val="Calibri"/>
        <family val="2"/>
        <scheme val="minor"/>
      </rPr>
      <t>Marine and Coastal Fisheries, 3</t>
    </r>
    <r>
      <rPr>
        <sz val="11"/>
        <color theme="1"/>
        <rFont val="Calibri"/>
        <family val="2"/>
        <scheme val="minor"/>
      </rPr>
      <t>(1), 219–232. https://doi.org/10.1080/19425120.2011.578485</t>
    </r>
  </si>
  <si>
    <r>
      <t>Swain, D. P., &amp; Benoît, H. P. (2006). Change in habitat associations and geographic distribution of thorny skate (</t>
    </r>
    <r>
      <rPr>
        <i/>
        <sz val="11"/>
        <color theme="1"/>
        <rFont val="Calibri"/>
        <family val="2"/>
        <scheme val="minor"/>
      </rPr>
      <t>Amblyraja radiata</t>
    </r>
    <r>
      <rPr>
        <sz val="11"/>
        <color theme="1"/>
        <rFont val="Calibri"/>
        <family val="2"/>
        <scheme val="minor"/>
      </rPr>
      <t xml:space="preserve">) in the southern Gulf of St. Lawrence: Density-dependent habitat selection or response to environmental change? </t>
    </r>
    <r>
      <rPr>
        <i/>
        <sz val="11"/>
        <color theme="1"/>
        <rFont val="Calibri"/>
        <family val="2"/>
        <scheme val="minor"/>
      </rPr>
      <t>Fisheries Oceanography, 15</t>
    </r>
    <r>
      <rPr>
        <sz val="11"/>
        <color theme="1"/>
        <rFont val="Calibri"/>
        <family val="2"/>
        <scheme val="minor"/>
      </rPr>
      <t>(2), 166–182. https://doi.org/10.1111/j.1365-2419.2006.00357.x</t>
    </r>
  </si>
  <si>
    <t>North.Atlantic</t>
  </si>
  <si>
    <r>
      <t xml:space="preserve">Vestfals, C. D., Ciannelli, L., &amp; Hoff, G. R. (2016). Changes in habitat utilization of slope-spawning flatfish across a bathymetric gradient. </t>
    </r>
    <r>
      <rPr>
        <i/>
        <sz val="11"/>
        <color theme="1"/>
        <rFont val="Calibri"/>
        <family val="2"/>
        <scheme val="minor"/>
      </rPr>
      <t>ICES Journal of Marine Science, 73</t>
    </r>
    <r>
      <rPr>
        <sz val="11"/>
        <color theme="1"/>
        <rFont val="Calibri"/>
        <family val="2"/>
        <scheme val="minor"/>
      </rPr>
      <t>(7), 1875–1889. https://doi.org/10.1093/icesjms/fsw112</t>
    </r>
  </si>
  <si>
    <t>Atlantic.</t>
  </si>
  <si>
    <t>Thunnus.thynnus</t>
  </si>
  <si>
    <t>Atlantic</t>
  </si>
  <si>
    <t>Katsuwonus.pelamis</t>
  </si>
  <si>
    <t>Thunnus.maccoyii</t>
  </si>
  <si>
    <t>Thunnus.orientalis</t>
  </si>
  <si>
    <t>Kajikia.albida</t>
  </si>
  <si>
    <t>Makaira.nigricans</t>
  </si>
  <si>
    <t>Chelidonichthys.capensis</t>
  </si>
  <si>
    <t>Dentex.macrophthalmus</t>
  </si>
  <si>
    <t>Dicologoglosa.cuneata</t>
  </si>
  <si>
    <t>Trachurus.trecae</t>
  </si>
  <si>
    <t>Squalus.megalops</t>
  </si>
  <si>
    <t>Arius.parkii</t>
  </si>
  <si>
    <t>Caelorinchus.braueri</t>
  </si>
  <si>
    <t>Gadella.imberbis</t>
  </si>
  <si>
    <t>Bassanago.albescens</t>
  </si>
  <si>
    <t>Lithognathus.mormyrus</t>
  </si>
  <si>
    <t>Chlorophthalmus.atlanticus</t>
  </si>
  <si>
    <t>Callorhinchus.capensis</t>
  </si>
  <si>
    <t>Pseudotolithus.senegalensis</t>
  </si>
  <si>
    <t>Zeus.faber</t>
  </si>
  <si>
    <t>Epinephelus.aeneus</t>
  </si>
  <si>
    <t>Hoplostethus.atlanticus.</t>
  </si>
  <si>
    <t>Sufflogobius.bibarbatus</t>
  </si>
  <si>
    <t>Raja.miraletus</t>
  </si>
  <si>
    <t>Chloroscombrus.chrysurus</t>
  </si>
  <si>
    <t>Lophius.vomerinus</t>
  </si>
  <si>
    <t>Yarrella.blackfordi</t>
  </si>
  <si>
    <t>Austroglossus.microlepis</t>
  </si>
  <si>
    <t>Pterothrissus.belloci</t>
  </si>
  <si>
    <t>Raja.wallacei</t>
  </si>
  <si>
    <t>Trachurus.capensis</t>
  </si>
  <si>
    <t>Hippoglossina oblonga</t>
  </si>
  <si>
    <t>T. K. Kerby, W. W. L. Cheung, C. van Oosterhout, G. H. Engelhard, Wondering about wandering whiting: distribution of North Sea whiting between the 1920s and 2000s. Fish. Res. 145, 54–65 (2013).</t>
  </si>
  <si>
    <t>C. Tu, Y. Tian, C.-H. Hsieh, Effects of climate on temporal variation in the abundance and distribution of the demersal fish assemblage in the Tsushima Warm Current region of the Japan Sea. Fish. Oceanogr. 24, 177–189 (2015).</t>
  </si>
  <si>
    <t>Paralichthys olivaceus</t>
  </si>
  <si>
    <t>Microstomus achne</t>
  </si>
  <si>
    <t>Pleurogrammus azonus</t>
  </si>
  <si>
    <t>Eopsetta grigorjewi</t>
  </si>
  <si>
    <t>Lepidotrigla microptera</t>
  </si>
  <si>
    <t>Pagrus major</t>
  </si>
  <si>
    <t>Dentex tumifrons</t>
  </si>
  <si>
    <t>Pseudopleuronectes herzensteini</t>
  </si>
  <si>
    <t>K. M. Ottosen, P. Steingrund, E. Magnussen, M. R. Payne, Distribution and timing of spawning Faroe Plateau cod in relation to warming spring temperatures. Fish. Res. 198, 14–23 (2018).</t>
  </si>
  <si>
    <t>D. Yemane et al., Assessing changes in the distribution and range size of demersal fish populations in the Benguela Current Large Marine Ecosystem. Rev. Fish Biol. Fish. 24, 463–483 (2014).</t>
  </si>
  <si>
    <t>Todaropsis eblanae</t>
  </si>
  <si>
    <t>Octopus magnificus</t>
  </si>
  <si>
    <t>Todarodes angolensis</t>
  </si>
  <si>
    <t>Sepia hieronis</t>
  </si>
  <si>
    <t>Austrorossia enigmatica</t>
  </si>
  <si>
    <t>Sepia officinalis</t>
  </si>
  <si>
    <t>Alloteuthis africana</t>
  </si>
  <si>
    <t>J. G. Hiddink, M. T. Burrows, J. García Molinos, Temperature tracking by North Sea benthic invertebrates in response to climate change. Glob. Change Biol. 21, 117–129 (2015).</t>
  </si>
  <si>
    <t>Nucula nitidosa</t>
  </si>
  <si>
    <t>Corbula gibba</t>
  </si>
  <si>
    <t>Abra alba</t>
  </si>
  <si>
    <t>Thracia phaseolina</t>
  </si>
  <si>
    <t>Ennucula tenuis</t>
  </si>
  <si>
    <t>Doryteuthis pealeii</t>
  </si>
  <si>
    <t>Illex coindetii</t>
  </si>
  <si>
    <t>Doryteuthis opalescens</t>
  </si>
  <si>
    <t>Illex illecebrosus</t>
  </si>
  <si>
    <t>Lolliguncula brevis</t>
  </si>
  <si>
    <t>Berryteuthis magister</t>
  </si>
  <si>
    <t>Fusitriton oregonensis</t>
  </si>
  <si>
    <t>M. Rubal, P. Veiga, E. Cacabelos, J. Moreira, I. Sousa-Pinto, Increasing sea surface temperature and range shifts of intertidal gastropods along the Iberian Peninsula. J. Sea Res. 77, 1–10 (2013).</t>
  </si>
  <si>
    <t>Patella vulgata</t>
  </si>
  <si>
    <t>Penion mandarinus</t>
  </si>
  <si>
    <t>Ranella australasia</t>
  </si>
  <si>
    <t>Argobuccinum pustulosum</t>
  </si>
  <si>
    <t>Haliotis rubra</t>
  </si>
  <si>
    <t>S. S. Hale, H. W. Buffum, J. A. Kiddon, M. M. Hughes, Subtidal benthic invertebrates shifting northward along the US Atlantic Coast. Estuaries and Coasts. 40, 1744–1756 (2017).</t>
  </si>
  <si>
    <t>Tellina agilis</t>
  </si>
  <si>
    <t>Mulinia lateralis</t>
  </si>
  <si>
    <t>Nassarius trivittatus</t>
  </si>
  <si>
    <t>Gemma gemma</t>
  </si>
  <si>
    <t>T. Kurihara et al., Area-specific temporal changes of species composition and species-specific range shifts in rocky-shore mollusks associated with warming Kuroshio Current. Mar. Biol. 158, 2095–2107 (2011).</t>
  </si>
  <si>
    <t>Irus mitis</t>
  </si>
  <si>
    <t>Thylacodes imbricatus</t>
  </si>
  <si>
    <t>Brachidontes mutabilis</t>
  </si>
  <si>
    <t>Septifer bilocularis</t>
  </si>
  <si>
    <t>Patelloida saccharina</t>
  </si>
  <si>
    <t>Littorina sitkana</t>
  </si>
  <si>
    <t>Littorina brevicula</t>
  </si>
  <si>
    <t>Siphonaria sirius</t>
  </si>
  <si>
    <t>Barbatia virescens</t>
  </si>
  <si>
    <t>Cellana nigrolineata</t>
  </si>
  <si>
    <t>Acanthochitona achates</t>
  </si>
  <si>
    <t>Turbo stenogyrus</t>
  </si>
  <si>
    <t>Conus ebraeus</t>
  </si>
  <si>
    <t>Mitra litterata</t>
  </si>
  <si>
    <t>Morula granulata</t>
  </si>
  <si>
    <t>Nerita helicinoides</t>
  </si>
  <si>
    <t>Engina mendicaria</t>
  </si>
  <si>
    <t>Siphonaria laciniosa</t>
  </si>
  <si>
    <t>Tectarius cumingii</t>
  </si>
  <si>
    <t>Monodonta perplexa</t>
  </si>
  <si>
    <t>Mitra retusa</t>
  </si>
  <si>
    <t>Mitra paupercula</t>
  </si>
  <si>
    <t>Modiolus auriculatus</t>
  </si>
  <si>
    <t>Longfinned squid</t>
  </si>
  <si>
    <t>fig. 4</t>
  </si>
  <si>
    <t xml:space="preserve">Shortfinned squid </t>
  </si>
  <si>
    <t>N. R. Pitt, E. S. Poloczanska, A. J. Hobday, Climate-driven range changes in Tasmanian intertidal fauna. Mar. Freshw. Res. 61, 963–970 (2010).</t>
  </si>
  <si>
    <t>A. Lehikoinen, R. Virkkala, North by north-west: climate change and directions of density shifts in birds. Glob. Change Biol. 22, 1121–1129 (2016).</t>
  </si>
  <si>
    <t>Avaria-Llautureo, J., Rivadeneira, M. M., Venditti, C., &amp; Luna-Jorquera, G. (2025, June 3). Seabird range contraction and dispersal under climate change. Ecoevorxiv.org; EcoEvoRxiv. https://ecoevorxiv.org/repository/view/9338/</t>
  </si>
  <si>
    <t>order Procellariiformes</t>
  </si>
  <si>
    <t>There results indicate geographic expansion and range contraction with climate change, but looked at differnet metrics</t>
  </si>
  <si>
    <r>
      <t xml:space="preserve">Bond, A. L., &amp; Lavers, J. L. (2014). Climate change alters the trophic niche of a declining apex marine predator. </t>
    </r>
    <r>
      <rPr>
        <i/>
        <sz val="11"/>
        <color theme="1"/>
        <rFont val="Calibri"/>
        <family val="2"/>
        <scheme val="minor"/>
      </rPr>
      <t>Global Change Biology, 20</t>
    </r>
    <r>
      <rPr>
        <sz val="11"/>
        <color theme="1"/>
        <rFont val="Calibri"/>
        <family val="2"/>
        <scheme val="minor"/>
      </rPr>
      <t>(7), 2100–2110. https://doi.org/10.1111/gcb.12554</t>
    </r>
  </si>
  <si>
    <t>Great Australian Bight</t>
  </si>
  <si>
    <t>Ardenna carneipes</t>
  </si>
  <si>
    <t>Halobaena caerulea</t>
  </si>
  <si>
    <t>Thalassarche chlororhynchos</t>
  </si>
  <si>
    <t>Daption capense</t>
  </si>
  <si>
    <t>Macronectes</t>
  </si>
  <si>
    <t>Uria aalge</t>
  </si>
  <si>
    <t>Larus atricilla</t>
  </si>
  <si>
    <t>Nannopterum auritus</t>
  </si>
  <si>
    <t>Thalasseus maximus</t>
  </si>
  <si>
    <t>Fulmarus glacialis</t>
  </si>
  <si>
    <t>Puffinus tenuirostris</t>
  </si>
  <si>
    <t>Hydrocoloeus minutus</t>
  </si>
  <si>
    <t>J. H. Rappole, S. Glasscosk, K. Goldberg, D. Song, S. Faridani, Range change among new world tropical and subtropical birds. Bonn. Zool. Monogr. 57, 151–167 (2011)</t>
  </si>
  <si>
    <t>Nannopterum brasilianus</t>
  </si>
  <si>
    <t>M. Renner et al., Modeled distribution and abundance of a pelagic seabird reveal trends in relation to fisheries. Mar. Ecol. Prog. Ser. 484, 259–277 (2013).</t>
  </si>
  <si>
    <t>Møller, A. P., Flensted-Jensen, E., &amp; Mardal, W. (2006). Dispersal and climate change: A case study of the Arctic tern Sterna paradisaea. Global Change Biology, 12(10), 2005–2013. https://doi.org/10.1111/j.1365-2486.2006.01216.x</t>
  </si>
  <si>
    <t>Kattegat</t>
  </si>
  <si>
    <t>R. Stafford, A. G. Hart, A. E. Goodenough, A visual method to identify significant latitudinal changes in species’ distributions. Ecol. Inform. 15, 74–84 (2013)</t>
  </si>
  <si>
    <t>Fratercula arctica</t>
  </si>
  <si>
    <t>Stercorarius parasiticus</t>
  </si>
  <si>
    <t>Sternula albifrons</t>
  </si>
  <si>
    <r>
      <t xml:space="preserve">Russell, T. M., Pereksta, D. M., Tietz, J. R., Vernet, M., Jahncke, J., &amp; Ballance, L. T. (2025). Increase of tropical seabirds (Sula) in the California Current Ecosystem with warmer ocean conditions. </t>
    </r>
    <r>
      <rPr>
        <i/>
        <sz val="11"/>
        <color theme="1"/>
        <rFont val="Calibri"/>
        <family val="2"/>
        <scheme val="minor"/>
      </rPr>
      <t>Frontiers in Marine Science, 12</t>
    </r>
    <r>
      <rPr>
        <sz val="11"/>
        <color theme="1"/>
        <rFont val="Calibri"/>
        <family val="2"/>
        <scheme val="minor"/>
      </rPr>
      <t>, 1561438. https://doi.org/10.3389/fmars.2025.1561438</t>
    </r>
  </si>
  <si>
    <t>California Current Ecosystem</t>
  </si>
  <si>
    <t>Sula brewsteri</t>
  </si>
  <si>
    <t>Digitise.Fig. 9 Use the leading edge (which is the 'high' topmost portion of the violin plot)</t>
  </si>
  <si>
    <t>Sula dactylatra</t>
  </si>
  <si>
    <t>Digitise.Fig. 9 Use the leading edge (which is the 'low' topmost portion of the violin plot)</t>
  </si>
  <si>
    <t>Sula sula</t>
  </si>
  <si>
    <t>Sula nebouxii</t>
  </si>
  <si>
    <t>Thalassarche melanophris</t>
  </si>
  <si>
    <t>Fig. 2 get the slope</t>
  </si>
  <si>
    <t>Gulls</t>
  </si>
  <si>
    <t>Kittiwakes</t>
  </si>
  <si>
    <t>Murres</t>
  </si>
  <si>
    <t>Shearwaters</t>
  </si>
  <si>
    <t>T. J. Hovick et al., Informing conservation by identifying range shift patterns across breeding habitats and migration strategies. Biodivers. Conserv. 25, 345–356 (2016)</t>
  </si>
  <si>
    <r>
      <t>Bajzak, C. E., Hammill, M. O., Stenson, G. B., &amp; Prinsenberg, S. (2011). Drifting away: Implications of changes in ice conditions for a pack-ice-breeding phocid, the harp seal (</t>
    </r>
    <r>
      <rPr>
        <i/>
        <sz val="11"/>
        <color theme="1"/>
        <rFont val="Calibri"/>
        <family val="2"/>
        <scheme val="minor"/>
      </rPr>
      <t>Pagophilus groenlandicus</t>
    </r>
    <r>
      <rPr>
        <sz val="11"/>
        <color theme="1"/>
        <rFont val="Calibri"/>
        <family val="2"/>
        <scheme val="minor"/>
      </rPr>
      <t xml:space="preserve">). </t>
    </r>
    <r>
      <rPr>
        <i/>
        <sz val="11"/>
        <color theme="1"/>
        <rFont val="Calibri"/>
        <family val="2"/>
        <scheme val="minor"/>
      </rPr>
      <t>Canadian Journal of Zoology, 89</t>
    </r>
    <r>
      <rPr>
        <sz val="11"/>
        <color theme="1"/>
        <rFont val="Calibri"/>
        <family val="2"/>
        <scheme val="minor"/>
      </rPr>
      <t>(11), 1050–1060. https://doi.org/10.1139/z11-081</t>
    </r>
  </si>
  <si>
    <t>Gulf of St. Lawrence</t>
  </si>
  <si>
    <t>Pagophilus groenlandicus</t>
  </si>
  <si>
    <t>redistribution with changing ice extent</t>
  </si>
  <si>
    <r>
      <t xml:space="preserve">Becker, E. A., Forney, K. A., Redfern, J. V., Barlow, J., Jacox, M. G., Roberts, J. J., &amp; Palacios, D. M. (2019). Predicting cetacean abundance and distribution in a changing climate. </t>
    </r>
    <r>
      <rPr>
        <i/>
        <sz val="11"/>
        <color theme="1"/>
        <rFont val="Calibri"/>
        <family val="2"/>
        <scheme val="minor"/>
      </rPr>
      <t>Diversity and Distributions, 25</t>
    </r>
    <r>
      <rPr>
        <sz val="11"/>
        <color theme="1"/>
        <rFont val="Calibri"/>
        <family val="2"/>
        <scheme val="minor"/>
      </rPr>
      <t>(4), 626–643. https://doi.org/10.1111/ddi.12867</t>
    </r>
  </si>
  <si>
    <t>Delphinus delphis</t>
  </si>
  <si>
    <t>climate-impact conclusions are scenario-based, not from long-term trend analysis</t>
  </si>
  <si>
    <t>Lissodelphis borealis</t>
  </si>
  <si>
    <t>Lagenorhynchus obliquidens</t>
  </si>
  <si>
    <t>Stenella coeruleoalba</t>
  </si>
  <si>
    <t>Phocoenoides dalli</t>
  </si>
  <si>
    <t>Balaenoptera musculus</t>
  </si>
  <si>
    <t>Balaenoptera physalus</t>
  </si>
  <si>
    <t>Megaptera novaeangliae</t>
  </si>
  <si>
    <r>
      <t xml:space="preserve">Durner, G. M., Douglas, D. C., &amp; Atwood, T. C. (2018). Are polar bear habitat resource selection functions developed from 1985–1995 data still useful? </t>
    </r>
    <r>
      <rPr>
        <i/>
        <sz val="11"/>
        <color theme="1"/>
        <rFont val="Calibri"/>
        <family val="2"/>
        <scheme val="minor"/>
      </rPr>
      <t>Ecology and Evolution, 8</t>
    </r>
    <r>
      <rPr>
        <sz val="11"/>
        <color theme="1"/>
        <rFont val="Calibri"/>
        <family val="2"/>
        <scheme val="minor"/>
      </rPr>
      <t>(18), 9129–9147. https://doi.org/10.1002/ece3.5401</t>
    </r>
  </si>
  <si>
    <t>Arctic Ocean</t>
  </si>
  <si>
    <t>Polar bears move north and east as ice conditions became suboptimal throughout the 3 decades; there are 4 metrics, just choose 1</t>
  </si>
  <si>
    <r>
      <t xml:space="preserve">Gleason, J. S., &amp; Rode, K. D. (2009). Polar bear distribution and habitat association reflect long-term changes in fall sea ice conditions in the Alaskan Beaufort Sea. </t>
    </r>
    <r>
      <rPr>
        <i/>
        <sz val="11"/>
        <color theme="1"/>
        <rFont val="Calibri"/>
        <family val="2"/>
        <scheme val="minor"/>
      </rPr>
      <t>Arctic, 62</t>
    </r>
    <r>
      <rPr>
        <sz val="11"/>
        <color theme="1"/>
        <rFont val="Calibri"/>
        <family val="2"/>
        <scheme val="minor"/>
      </rPr>
      <t>(4), 405–417. https://doi.org/10.14430/arctic155</t>
    </r>
  </si>
  <si>
    <t>Beaufort Sea</t>
  </si>
  <si>
    <t>shifts toward nearshore/coastal habitats and remaining ice as offshore multi-year ice declines</t>
  </si>
  <si>
    <r>
      <t>Heide-Jørgensen, M. P., Laidre, K. L., Borchers, D., Marques, T. A., Stern, H., &amp; Simon, M. (2010). The effect of sea-ice loss on beluga whales (</t>
    </r>
    <r>
      <rPr>
        <i/>
        <sz val="11"/>
        <color theme="1"/>
        <rFont val="Calibri"/>
        <family val="2"/>
        <scheme val="minor"/>
      </rPr>
      <t>Delphinapterus leucas</t>
    </r>
    <r>
      <rPr>
        <sz val="11"/>
        <color theme="1"/>
        <rFont val="Calibri"/>
        <family val="2"/>
        <scheme val="minor"/>
      </rPr>
      <t xml:space="preserve">) in West Greenland. </t>
    </r>
    <r>
      <rPr>
        <i/>
        <sz val="11"/>
        <color theme="1"/>
        <rFont val="Calibri"/>
        <family val="2"/>
        <scheme val="minor"/>
      </rPr>
      <t>Polar Research, 29</t>
    </r>
    <r>
      <rPr>
        <sz val="11"/>
        <color theme="1"/>
        <rFont val="Calibri"/>
        <family val="2"/>
        <scheme val="minor"/>
      </rPr>
      <t>(2), 198–208. https://doi.org/10.1111/j.1751-8369.2009.00142.x</t>
    </r>
  </si>
  <si>
    <t>Davis Strait</t>
  </si>
  <si>
    <t>Delphinapterus leucas</t>
  </si>
  <si>
    <t xml:space="preserve">Movement along longitude was correlated to sea ice extent </t>
  </si>
  <si>
    <r>
      <t xml:space="preserve">Laidre, K. L., Stern, H., Born, E. W., Heagerty, P., Atkinson, S. N., Wiig, Ø., Lunn, N. J., Regehr, E. V., McGovern, R., &amp; Dyck, M. (2018). Changes in winter and spring resource selection by polar bears </t>
    </r>
    <r>
      <rPr>
        <i/>
        <sz val="11"/>
        <color theme="1"/>
        <rFont val="Calibri"/>
        <family val="2"/>
        <scheme val="minor"/>
      </rPr>
      <t>Ursus maritimus</t>
    </r>
    <r>
      <rPr>
        <sz val="11"/>
        <color theme="1"/>
        <rFont val="Calibri"/>
        <family val="2"/>
        <scheme val="minor"/>
      </rPr>
      <t xml:space="preserve"> in Baffin Bay over two decades of sea-ice loss. </t>
    </r>
    <r>
      <rPr>
        <i/>
        <sz val="11"/>
        <color theme="1"/>
        <rFont val="Calibri"/>
        <family val="2"/>
        <scheme val="minor"/>
      </rPr>
      <t>Endangered Species Research, 36</t>
    </r>
    <r>
      <rPr>
        <sz val="11"/>
        <color theme="1"/>
        <rFont val="Calibri"/>
        <family val="2"/>
        <scheme val="minor"/>
      </rPr>
      <t>, 1–14. https://doi.org/10.3354/esr00886</t>
    </r>
  </si>
  <si>
    <t>Baffin Bay</t>
  </si>
  <si>
    <t>Fig. 5. This has latitudinal change. Average the three plots</t>
  </si>
  <si>
    <r>
      <t xml:space="preserve">Olson, J. W., Rode, K. D., Eggett, D., Smith, T. S., Wilson, R. R., Durner, G. M., Fischbach, A. S., Atwood, T. C., &amp; Douglas, D. C. (2017). Collar temperature sensor data reveal long-term patterns in southern Beaufort Sea polar bear den distribution on pack ice and land. </t>
    </r>
    <r>
      <rPr>
        <i/>
        <sz val="11"/>
        <color theme="1"/>
        <rFont val="Calibri"/>
        <family val="2"/>
        <scheme val="minor"/>
      </rPr>
      <t>Marine Ecology Progress Series, 564</t>
    </r>
    <r>
      <rPr>
        <sz val="11"/>
        <color theme="1"/>
        <rFont val="Calibri"/>
        <family val="2"/>
        <scheme val="minor"/>
      </rPr>
      <t>, 211–224. https://doi.org/10.3354/meps12000</t>
    </r>
  </si>
  <si>
    <t>Fig.1 based on denning locations (get the centroid for first time period and last time period)</t>
  </si>
  <si>
    <r>
      <t xml:space="preserve">Vacquié-Garcia, J., Lydersen, C., Ims, R. A., &amp; Kovacs, K. M. (2018). Habitats and movement patterns of white whales </t>
    </r>
    <r>
      <rPr>
        <i/>
        <sz val="11"/>
        <color theme="1"/>
        <rFont val="Calibri"/>
        <family val="2"/>
        <scheme val="minor"/>
      </rPr>
      <t>Delphinapterus leucas</t>
    </r>
    <r>
      <rPr>
        <sz val="11"/>
        <color theme="1"/>
        <rFont val="Calibri"/>
        <family val="2"/>
        <scheme val="minor"/>
      </rPr>
      <t xml:space="preserve"> in Svalbard, Norway in a changing climate. </t>
    </r>
    <r>
      <rPr>
        <i/>
        <sz val="11"/>
        <color theme="1"/>
        <rFont val="Calibri"/>
        <family val="2"/>
        <scheme val="minor"/>
      </rPr>
      <t>Movement Ecology, 6</t>
    </r>
    <r>
      <rPr>
        <sz val="11"/>
        <color theme="1"/>
        <rFont val="Calibri"/>
        <family val="2"/>
        <scheme val="minor"/>
      </rPr>
      <t>, Article 21. https://doi.org/10.1186/s40462-018-0139-z</t>
    </r>
  </si>
  <si>
    <t>Greenland Sea</t>
  </si>
  <si>
    <t>Fig. 1 in the second time period, the deployment points were at higher latitudes</t>
  </si>
  <si>
    <t>Long-finned pilot whales</t>
  </si>
  <si>
    <t>Fig. 4</t>
  </si>
  <si>
    <t>A. L. Perry, P. J. Low, J. R. Ellis, J. D. Reynolds, Climate change and distribution shifts in marine fishes. Science. 308, 1912–1915 (2005).</t>
  </si>
  <si>
    <t>Phorcus lineatus</t>
  </si>
  <si>
    <t>Gibbula umbilicalis</t>
  </si>
  <si>
    <t>Thorne, L. H., Heywood, E. I., &amp; Hirtle, N. O. (2022). Rapid restructuring of the odontocete community in an ocean warming hotspot. Global Change Biology, 28(22), 6524–6540. https://doi.org/10.1111/gcb.16382</t>
  </si>
  <si>
    <t>Atlantic white-sided dolphin</t>
  </si>
  <si>
    <t>Table 1. Conver to km/dec as original is in km/year</t>
  </si>
  <si>
    <t>Harbor porpoise</t>
  </si>
  <si>
    <t>Common dolphin</t>
  </si>
  <si>
    <t>Striped dolphin</t>
  </si>
  <si>
    <t>Risso's dolphin</t>
  </si>
  <si>
    <t>Common bottlenose dolphin</t>
  </si>
  <si>
    <t>Pygmy sperm whale</t>
  </si>
  <si>
    <t>Dwarf sperm whale</t>
  </si>
  <si>
    <t>Salvadeo, C., Lluch-Belda, D., Gómez-Gallardo, A., Urbán-Ramírez, J., &amp; MacLeod, C. (2010). Climate change and a poleward shift in the distribution of the Pacific white-sided dolphin in the northeastern Pacific. Endangered Species Research, 11, 13–19. https://doi.org/10.3354/esr00252</t>
  </si>
  <si>
    <t>southwest Fulf of California</t>
  </si>
  <si>
    <t>Pacific white-sided dolphin</t>
  </si>
  <si>
    <t>They say there is poleward shift based on sightings</t>
  </si>
  <si>
    <t>Keener, W., Webber, M. A., Markowitz, T. M., Cotter, M. P., Maldini, D., Defran, R. H., Rice, M., Debich, A. J., Lang, A. R., Kelly, D. L., Kesaris, A. G., Bearzi, M., Causey, K., Anderson, D., Shuster, L., &amp; Weller, D. W. (2023). Northern range expansion of California coastal bottlenose dolphins (Tursiops truncatus). Aquatic Mammals, 49(1), 29–43. https://doi.org/10.1578/AM.49.1.2023.29</t>
  </si>
  <si>
    <t>Southern California Bight</t>
  </si>
  <si>
    <t xml:space="preserve">Mammals </t>
  </si>
  <si>
    <t>Bottlenose dolphins</t>
  </si>
  <si>
    <t>Ferguson, S. H., Biddlecombe, B. A., Westdal, K., Petersen, S. D., Watt, C., Matthews, C. J. D., &amp; Higdon, J. W. (2025). Killer whale range expansion and extended seasonal presence in the eastern Canadian Arctic, 2002-2023. Frontiers in Marine Science, 12. https://doi.org/10.3389/fmars.2025.1595960</t>
  </si>
  <si>
    <t>Canadian Arctic</t>
  </si>
  <si>
    <t>Fig. 2 (more killer whale sightings nearer to the pole over the years)</t>
  </si>
  <si>
    <t>Acanthaluteres vittiger</t>
  </si>
  <si>
    <t>Dinolestes lewini</t>
  </si>
  <si>
    <t>Aplodactylus arctidens</t>
  </si>
  <si>
    <t>Cephaloscyllium laticeps</t>
  </si>
  <si>
    <t>Eubalichthys gunnii</t>
  </si>
  <si>
    <t>Meuschenia hippocrepis</t>
  </si>
  <si>
    <t>Vincentia conspersa</t>
  </si>
  <si>
    <t>Pentaceropsis recurvirostris</t>
  </si>
  <si>
    <t>Acanthaluteres spilomelanurus</t>
  </si>
  <si>
    <t>Dotalabrus aurantiacus</t>
  </si>
  <si>
    <t>Ophthalmolepis lineolata</t>
  </si>
  <si>
    <t>Dactylophora nigricans</t>
  </si>
  <si>
    <t>Siphamia cephalotes</t>
  </si>
  <si>
    <t>Conger verreauxi</t>
  </si>
  <si>
    <t>Girella zebra</t>
  </si>
  <si>
    <t>Meuschenia freycineti</t>
  </si>
  <si>
    <t>Scorpis aequipinnis</t>
  </si>
  <si>
    <t>Girella elevata</t>
  </si>
  <si>
    <t>Parma microlepis</t>
  </si>
  <si>
    <t>Heterodontus portusjacksoni</t>
  </si>
  <si>
    <t>Enoplosus armatus</t>
  </si>
  <si>
    <t>Girella tricuspidata</t>
  </si>
  <si>
    <t>Dasyatis brevicaudata</t>
  </si>
  <si>
    <t>Gymnocanthus galeatus</t>
  </si>
  <si>
    <t>Cynoscion</t>
  </si>
  <si>
    <t>Sebastes borealis</t>
  </si>
  <si>
    <t>Bathyraja</t>
  </si>
  <si>
    <t>Anchoa hepsetus</t>
  </si>
  <si>
    <t>Upeneus parvus</t>
  </si>
  <si>
    <t>Leptoclinus maculatus</t>
  </si>
  <si>
    <t>Stephanolepis hispidus</t>
  </si>
  <si>
    <t>Atheresthes</t>
  </si>
  <si>
    <t>Peprilus burti</t>
  </si>
  <si>
    <t>Chloroscombrus chrysurus</t>
  </si>
  <si>
    <t>Trichiurus lepturus</t>
  </si>
  <si>
    <t>Gymnelus viridis</t>
  </si>
  <si>
    <t>Triglops forficatus</t>
  </si>
  <si>
    <t>Gaidropsarus</t>
  </si>
  <si>
    <t>Pleurogrammus monopterygius</t>
  </si>
  <si>
    <t>Lycodes brevipes</t>
  </si>
  <si>
    <t>Limanda proboscidea</t>
  </si>
  <si>
    <t>Harengula jaguana</t>
  </si>
  <si>
    <t>Hippoglossoides</t>
  </si>
  <si>
    <t>Trichodon trichodon</t>
  </si>
  <si>
    <t>Phycis chesteri</t>
  </si>
  <si>
    <t>Triglops scepticus</t>
  </si>
  <si>
    <t>Micropogonias undulatus</t>
  </si>
  <si>
    <t>Lagodon rhomboides</t>
  </si>
  <si>
    <t>Leiostomus xanthurus</t>
  </si>
  <si>
    <t>Microgadus proximus</t>
  </si>
  <si>
    <t>Ophiodon elongatus</t>
  </si>
  <si>
    <t>Lagocephalus laevigatus</t>
  </si>
  <si>
    <t>Sebastes goodei</t>
  </si>
  <si>
    <t>Chauliodus sloani</t>
  </si>
  <si>
    <t>Malacoraja senta</t>
  </si>
  <si>
    <t>Leptagonus decagonus</t>
  </si>
  <si>
    <t>Eopsetta jordani</t>
  </si>
  <si>
    <t>Sebastes pinniger</t>
  </si>
  <si>
    <t>Nezumia bairdii</t>
  </si>
  <si>
    <t>Ammodytes dubius</t>
  </si>
  <si>
    <t>Synaphobranchus kaupii</t>
  </si>
  <si>
    <t>Oncorhynchus keta</t>
  </si>
  <si>
    <t>Sebastes diploproa</t>
  </si>
  <si>
    <t>Citharichthys sordidus</t>
  </si>
  <si>
    <t>Coryphaenoides rupestris</t>
  </si>
  <si>
    <t>Sebastes saxicola</t>
  </si>
  <si>
    <t>Lycodes cortezianus</t>
  </si>
  <si>
    <t>Sebastes entomelas</t>
  </si>
  <si>
    <t>Macrourus berglax</t>
  </si>
  <si>
    <t>Antimora rostrata</t>
  </si>
  <si>
    <t>Enchelyopus cimbrius</t>
  </si>
  <si>
    <t>Sebastes elongatus</t>
  </si>
  <si>
    <t>Cyclopterus lumpus</t>
  </si>
  <si>
    <t>Sebastes crameri</t>
  </si>
  <si>
    <t>Sebastes mentella</t>
  </si>
  <si>
    <t>Sebastes helvomaculatus</t>
  </si>
  <si>
    <t>Anarhichas minor</t>
  </si>
  <si>
    <t>Sebastes flavidus</t>
  </si>
  <si>
    <t>Anarhichas denticulatus</t>
  </si>
  <si>
    <t>N. J. Hill, A. J. Tobin, A. E. Reside, J. G. Pepperell, T. C. L. Bridge, Dynamic habitat suitability modelling reveals rapid poleward distribution shift in a mobile apex predator. Glob. Change Biol. 22, 1086–1096 (2016).</t>
  </si>
  <si>
    <t>Istiompax indica</t>
  </si>
  <si>
    <t>C. S. Landa, G. Ottersen, S. Sundby, G. E. Dingsør, J. E. Stiansen, Recruitment, distribution boundary and habitat temperature of an arcto-boreal gadoid in a climatically changing environment: a case study on Northeast Arctic haddock (Melanogrammus aeglefinus). Fish. Oceanogr. 23, 506–520 (2014).</t>
  </si>
  <si>
    <t>Cyttopsis rosea</t>
  </si>
  <si>
    <t>Zenopsis conchifer</t>
  </si>
  <si>
    <t>Tautogolabrus adspersus</t>
  </si>
  <si>
    <t>Citharichthys arctifrons</t>
  </si>
  <si>
    <t>A. Sabatés, P. Martín, J. Lloret, V. Raya, Sea warming and fish distribution: the case of the small pelagic fish, Sardinella aurita, in the western Mediterranean. Glob. Change Biol. 12, 2209–2219 (2006).</t>
  </si>
  <si>
    <r>
      <t xml:space="preserve">Alter, S. E., Meyer, M., Post, K., Czechowski, P., Gravlund, P., Gaines, C., Rosenbaum, H. C., Kaschner, K., Turvey, S. T., van der Plicht, J., Shapiro, B., &amp; Hofreiter, M. (2015). Climate impacts on transocean dispersal and habitat in gray whales from the Pleistocene to 2100. </t>
    </r>
    <r>
      <rPr>
        <i/>
        <sz val="11"/>
        <color theme="1"/>
        <rFont val="Calibri"/>
        <family val="2"/>
        <scheme val="minor"/>
      </rPr>
      <t>Molecular Ecology, 24</t>
    </r>
    <r>
      <rPr>
        <sz val="11"/>
        <color theme="1"/>
        <rFont val="Calibri"/>
        <family val="2"/>
        <scheme val="minor"/>
      </rPr>
      <t>(7), 1510–1522.</t>
    </r>
  </si>
  <si>
    <t>South Atlantic Ocean</t>
  </si>
  <si>
    <t>Eschrichtius robustus</t>
  </si>
  <si>
    <t>Modeling study</t>
  </si>
  <si>
    <r>
      <t xml:space="preserve">Arthur, B., Hindell, M., Bester, M., de Bruyn, P. J. N., Goebel, M. E., Trathan, P., &amp; Lea, M.-A. (2018). Managing for change: Using vertebrate at-sea habitat use to direct management efforts. </t>
    </r>
    <r>
      <rPr>
        <i/>
        <sz val="11"/>
        <color theme="1"/>
        <rFont val="Calibri"/>
        <family val="2"/>
        <scheme val="minor"/>
      </rPr>
      <t>Ecological Indicators, 95</t>
    </r>
    <r>
      <rPr>
        <sz val="11"/>
        <color theme="1"/>
        <rFont val="Calibri"/>
        <family val="2"/>
        <scheme val="minor"/>
      </rPr>
      <t>, 756–766. https://doi.org/10.1016/j.ecolind.2018.04.019</t>
    </r>
  </si>
  <si>
    <t>Southern Ocean</t>
  </si>
  <si>
    <t>Arctocephalus gazella</t>
  </si>
  <si>
    <t>No explicit poleward/equatorward shift.</t>
  </si>
  <si>
    <t>Bell,Richard.J.,Richardson,.David.E.,.Hare,.Jonathan.A.,.Lynch,.Patrick.D.,.Fratantoni,.Paula.S.</t>
  </si>
  <si>
    <t>N/A</t>
  </si>
  <si>
    <t>Stenotomus.chrysops</t>
  </si>
  <si>
    <t>C. Hsieh, C. S. Reiss, R. P. Hewitt, G. Sugihara, Spatial analysis shows that fishing enhances the climatic sensitivity of marine fishes. Can. J. Fish. Aquat. Sci. 65, 947–961 (2008).</t>
  </si>
  <si>
    <t>Bathylagus stilbius</t>
  </si>
  <si>
    <t>Chromis punctipinnis</t>
  </si>
  <si>
    <t>C.-H. Hsieh, H. J. Kim, W. Watson, E. Di Lorenzo, G. Sugihara, Climate-driven changes in abundance and distribution of larvae of oceanic fishes in the southern California region. Glob. Change Biol. 15, 2137–2152 (2009).</t>
  </si>
  <si>
    <t>Scopelogadus bispinosus</t>
  </si>
  <si>
    <t>Bathylagus pacificus</t>
  </si>
  <si>
    <t>Tactostoma macropus</t>
  </si>
  <si>
    <t>Chiasmodon niger</t>
  </si>
  <si>
    <t>Ceratoscopelus townsendi</t>
  </si>
  <si>
    <t>Poromitra crassiceps</t>
  </si>
  <si>
    <t>Bathylagoides wesethi</t>
  </si>
  <si>
    <t>Vinciguerria lucetia</t>
  </si>
  <si>
    <t>Stomias atriventer</t>
  </si>
  <si>
    <t>Symbolophorus californiensis</t>
  </si>
  <si>
    <t>Lestidiops ringens</t>
  </si>
  <si>
    <t>Nannobrachium ritteri</t>
  </si>
  <si>
    <t>Protomyctophum crockeri</t>
  </si>
  <si>
    <t>Diaphus theta</t>
  </si>
  <si>
    <t>Triphoturus mexicanus</t>
  </si>
  <si>
    <t>Cyclothone signata</t>
  </si>
  <si>
    <t>Chauliodus macouni</t>
  </si>
  <si>
    <t>Melamphaes lugubris</t>
  </si>
  <si>
    <r>
      <t xml:space="preserve">Stebbing, A. R. D., Turk, S. M. T., Wheeler, A., &amp; Clarke, K. R. (2002). Immigration of southern fish species to south-west England linked to warming of the North Atlantic (1960–2001). </t>
    </r>
    <r>
      <rPr>
        <i/>
        <sz val="11"/>
        <color theme="1"/>
        <rFont val="Calibri"/>
        <family val="2"/>
        <scheme val="minor"/>
      </rPr>
      <t>Journal of the Marine Biological Association of the United Kingdom, 82</t>
    </r>
    <r>
      <rPr>
        <sz val="11"/>
        <color theme="1"/>
        <rFont val="Calibri"/>
        <family val="2"/>
        <scheme val="minor"/>
      </rPr>
      <t>(2), 177–180. https://doi.org/10.1017/S0025315402005325</t>
    </r>
  </si>
  <si>
    <t>Coast of Cornwall</t>
  </si>
  <si>
    <t>Heptranchias perlo</t>
  </si>
  <si>
    <t>from Rubenstein et al 2023</t>
  </si>
  <si>
    <t>Dactylopterus volitans</t>
  </si>
  <si>
    <t>Makaira nigricans</t>
  </si>
  <si>
    <t>Belone svetovidovi</t>
  </si>
  <si>
    <t>Thunnus obesus</t>
  </si>
  <si>
    <t>Sphoeroides pachygaster</t>
  </si>
  <si>
    <t>Mugil cephalus</t>
  </si>
  <si>
    <t>Sarpa salpa</t>
  </si>
  <si>
    <t>Scorpaena porcus</t>
  </si>
  <si>
    <t>Hippocampus hippocampus</t>
  </si>
  <si>
    <t>Seriola rivoliana</t>
  </si>
  <si>
    <t>Oblada melanura</t>
  </si>
  <si>
    <t>Alopias superciliosus</t>
  </si>
  <si>
    <t>Sphyraena sphyraena</t>
  </si>
  <si>
    <t>Scorpaena scrofa</t>
  </si>
  <si>
    <t>Caranx crysos</t>
  </si>
  <si>
    <t>Seriola dumerili</t>
  </si>
  <si>
    <r>
      <t xml:space="preserve">Beare, D. J., Burns, F., Jones, E. G., Peach, K., Portilla, E., Greig, A., McKenzie, E., &amp; Reid, D. G. (2004). Long-term increases in prevalence of North Sea fishes having southern biogeographic affinities. </t>
    </r>
    <r>
      <rPr>
        <i/>
        <sz val="11"/>
        <color theme="1"/>
        <rFont val="Calibri"/>
        <family val="2"/>
        <scheme val="minor"/>
      </rPr>
      <t>Marine Ecology Progress Series, 284</t>
    </r>
    <r>
      <rPr>
        <sz val="11"/>
        <color theme="1"/>
        <rFont val="Calibri"/>
        <family val="2"/>
        <scheme val="minor"/>
      </rPr>
      <t>, 269–278. https://doi.org/10.3354/meps284269</t>
    </r>
  </si>
  <si>
    <t>North Sea</t>
  </si>
  <si>
    <t>Engraulis encrasicolus</t>
  </si>
  <si>
    <t>Zeus faber</t>
  </si>
  <si>
    <t>Trachurus trachurus</t>
  </si>
  <si>
    <t>Mullus surmuletus</t>
  </si>
  <si>
    <t>Sardina pilchardus</t>
  </si>
  <si>
    <t>Chelidonichthys cuculus</t>
  </si>
  <si>
    <t>Lipolagus ochotensis</t>
  </si>
  <si>
    <t>Stenobrachius leucopsarus</t>
  </si>
  <si>
    <t>Tarletonbeania crenularis</t>
  </si>
  <si>
    <t>Nansenia candida</t>
  </si>
  <si>
    <t>Hygophum reinhardtii</t>
  </si>
  <si>
    <t>Diogenichthys atlanticus</t>
  </si>
  <si>
    <t>Idiacanthus antrostomus</t>
  </si>
  <si>
    <t>Aristostomias scintillans</t>
  </si>
  <si>
    <t>Notolychnus valdiviae</t>
  </si>
  <si>
    <t>Notoscopelus resplendens</t>
  </si>
  <si>
    <t>Myctophum nitidulum</t>
  </si>
  <si>
    <r>
      <t xml:space="preserve">Cherry, S. G., Derocher, A. E., Thiemann, G. W., &amp; Lunn, N. J. (2013). Migration phenology and seasonal fidelity of an Arctic marine predator in relation to sea ice dynamics. </t>
    </r>
    <r>
      <rPr>
        <i/>
        <sz val="11"/>
        <color theme="1"/>
        <rFont val="Calibri"/>
        <family val="2"/>
        <scheme val="minor"/>
      </rPr>
      <t>Journal of Animal Ecology, 82</t>
    </r>
    <r>
      <rPr>
        <sz val="11"/>
        <color theme="1"/>
        <rFont val="Calibri"/>
        <family val="2"/>
        <scheme val="minor"/>
      </rPr>
      <t>(4), 912–921. https://doi.org/10.1111/1365-2656.12050</t>
    </r>
  </si>
  <si>
    <r>
      <t xml:space="preserve">Bears adjust </t>
    </r>
    <r>
      <rPr>
        <b/>
        <sz val="11"/>
        <color theme="1"/>
        <rFont val="Calibri"/>
        <family val="2"/>
        <scheme val="minor"/>
      </rPr>
      <t>timing</t>
    </r>
    <r>
      <rPr>
        <sz val="11"/>
        <color theme="1"/>
        <rFont val="Calibri"/>
        <family val="2"/>
        <scheme val="minor"/>
      </rPr>
      <t xml:space="preserve"> of sea-ice use and migration with changing ice; not a clear latitudinal poleward/equatorward statement.</t>
    </r>
  </si>
  <si>
    <r>
      <t>Chivers, W. J., Walne, A. W., &amp; Hays, G. C.</t>
    </r>
    <r>
      <rPr>
        <sz val="11"/>
        <color theme="1"/>
        <rFont val="Calibri"/>
        <family val="2"/>
        <scheme val="minor"/>
      </rPr>
      <t xml:space="preserve"> (2017). Mismatch between marine plankton range movements and the velocity of climate change. </t>
    </r>
    <r>
      <rPr>
        <i/>
        <sz val="11"/>
        <color theme="1"/>
        <rFont val="Calibri"/>
        <family val="2"/>
        <scheme val="minor"/>
      </rPr>
      <t>Nature Communications, 8</t>
    </r>
    <r>
      <rPr>
        <sz val="11"/>
        <color theme="1"/>
        <rFont val="Calibri"/>
        <family val="2"/>
        <scheme val="minor"/>
      </rPr>
      <t>, 14434. https://doi.org/10.1038/ncomms14434</t>
    </r>
  </si>
  <si>
    <t>NE Atlantic and North Sea</t>
  </si>
  <si>
    <t>Pleuromamma abdominalis</t>
  </si>
  <si>
    <t>supports</t>
  </si>
  <si>
    <t>from Rubenstein et al. 2023</t>
  </si>
  <si>
    <t>fails to support</t>
  </si>
  <si>
    <t>Metridia longa</t>
  </si>
  <si>
    <t>Pleuromamma gracilis</t>
  </si>
  <si>
    <t>Pleuromamma robusta</t>
  </si>
  <si>
    <t>Undeuchaeta plumosa</t>
  </si>
  <si>
    <t>Metridia lucens</t>
  </si>
  <si>
    <t>Paraeuchaeta hebes</t>
  </si>
  <si>
    <t>Pleuromamma borealis</t>
  </si>
  <si>
    <t>D. Nicolas et al., Impact of global warming on European tidal estuaries: some evidence of northward migration of estuarine fish species. Reg. Environ. Chang. 11, 639–649 (2011).</t>
  </si>
  <si>
    <t>Scorpaena notata</t>
  </si>
  <si>
    <t>Torpedo torpedo</t>
  </si>
  <si>
    <t>Symphodus cinereus</t>
  </si>
  <si>
    <t>Monochirus hispidus</t>
  </si>
  <si>
    <t>Liza ramado</t>
  </si>
  <si>
    <t>Solea senegalensis</t>
  </si>
  <si>
    <t>Diplodus bellottii</t>
  </si>
  <si>
    <t>Halobatrachus didactylus</t>
  </si>
  <si>
    <t>Symphodus roissali</t>
  </si>
  <si>
    <t>Diplodus cervinus</t>
  </si>
  <si>
    <t>Chelidonichthys lucernus</t>
  </si>
  <si>
    <t>Fleischer, D., Schaber, M., &amp; Piepenburg, D. (2007). Atlantic snake pipefish (Entelurus aequoreus) extends its northward distribution range to Svalbard (Arctic Ocean). Polar Biology, 30(10), 1277–1280. https://doi.org/10.1007/s00300-007-0322-y</t>
  </si>
  <si>
    <t>Western coast of Spitsbergen</t>
  </si>
  <si>
    <t>Entelurus aequoreus</t>
  </si>
  <si>
    <r>
      <t xml:space="preserve">Mecklenburg, C. W., Møller, P. R., &amp; Steinke, D. (2007). Russian–American long-term census on the Arctic: Benthic fishes trawled in the Chukchi Sea and Bering Strait, August 2004. </t>
    </r>
    <r>
      <rPr>
        <i/>
        <sz val="11"/>
        <color theme="1"/>
        <rFont val="Calibri"/>
        <family val="2"/>
        <scheme val="minor"/>
      </rPr>
      <t>Northwestern Naturalist, 88</t>
    </r>
    <r>
      <rPr>
        <sz val="11"/>
        <color theme="1"/>
        <rFont val="Calibri"/>
        <family val="2"/>
        <scheme val="minor"/>
      </rPr>
      <t>(3), 168–187. https://doi.org/10.1898/1051-1733(2007)88[168:RLCOTA]2.0.CO;2</t>
    </r>
  </si>
  <si>
    <t>Chukchi Sea and Bering Strait</t>
  </si>
  <si>
    <t>Hippoglossoides robustus</t>
  </si>
  <si>
    <t>Myoxocephalus polyacanthocephalus</t>
  </si>
  <si>
    <r>
      <t xml:space="preserve">Byrkjedal, I., Rees, D., &amp; Wienerroither, R. (2004). Northward range extensions of some mesopelagic fishes in the northeastern Atlantic. </t>
    </r>
    <r>
      <rPr>
        <i/>
        <sz val="11"/>
        <color theme="1"/>
        <rFont val="Calibri"/>
        <family val="2"/>
        <scheme val="minor"/>
      </rPr>
      <t>Sarsia North Atlantic Marine Science, 89</t>
    </r>
    <r>
      <rPr>
        <sz val="11"/>
        <color theme="1"/>
        <rFont val="Calibri"/>
        <family val="2"/>
        <scheme val="minor"/>
      </rPr>
      <t>(2), 159–165. https://doi.org/10.1080/00364820410009265</t>
    </r>
  </si>
  <si>
    <t>Northern Atlantic</t>
  </si>
  <si>
    <t>Bathophilus vaillanti</t>
  </si>
  <si>
    <t>Lampanyctus alatus</t>
  </si>
  <si>
    <t>Nessorhamphus ingolfianus</t>
  </si>
  <si>
    <t>Astronesthes niger</t>
  </si>
  <si>
    <t>Nansenia oblita</t>
  </si>
  <si>
    <t>Dolicholagus longirostris</t>
  </si>
  <si>
    <t>Melanonus zugmayeri</t>
  </si>
  <si>
    <t>Derichthys serpentinus</t>
  </si>
  <si>
    <t>Lampadena atlantica</t>
  </si>
  <si>
    <t>Taaningichthys bathyphilus</t>
  </si>
  <si>
    <t>Evermannella balbo</t>
  </si>
  <si>
    <t>Melamphaes suborbitalis</t>
  </si>
  <si>
    <t>Nemichthys scolopaceus</t>
  </si>
  <si>
    <t>Pseudoscopelus altipinnis</t>
  </si>
  <si>
    <t>Chirostomias pliopterus</t>
  </si>
  <si>
    <t>Melanostomias bartonbeani</t>
  </si>
  <si>
    <t>Opisthoproctus soleatus</t>
  </si>
  <si>
    <t>Hygophum benoiti</t>
  </si>
  <si>
    <t>Deania calcea</t>
  </si>
  <si>
    <t>Malacocephalus laevis</t>
  </si>
  <si>
    <t>Deania profundorum</t>
  </si>
  <si>
    <t>Spicara alta</t>
  </si>
  <si>
    <t>Epinephelus aeneus</t>
  </si>
  <si>
    <t>Lepidopus caudatus</t>
  </si>
  <si>
    <t>Selachophidium guentheri</t>
  </si>
  <si>
    <t>Genypterus capensis</t>
  </si>
  <si>
    <t>Raja straeleni</t>
  </si>
  <si>
    <t>Merluccius paradoxus</t>
  </si>
  <si>
    <t>Holohalaelurus regani</t>
  </si>
  <si>
    <t>Brama brama</t>
  </si>
  <si>
    <t>Caelorinchus simorhynchus</t>
  </si>
  <si>
    <t>Rajella leopardus</t>
  </si>
  <si>
    <t>Scyliorhinus capensis</t>
  </si>
  <si>
    <t>Lophius vomerinus</t>
  </si>
  <si>
    <t>Zeus capensis</t>
  </si>
  <si>
    <t>Squalus megalops</t>
  </si>
  <si>
    <t>Mustelus palumbes</t>
  </si>
  <si>
    <t>Thyrsites atun</t>
  </si>
  <si>
    <t>Congiopodus spinifer</t>
  </si>
  <si>
    <t>Lucigadus ori</t>
  </si>
  <si>
    <t>Triplophos hemingi</t>
  </si>
  <si>
    <t>Trachurus capensis</t>
  </si>
  <si>
    <t>Galeus polli</t>
  </si>
  <si>
    <t>Hoplostethus cadenati</t>
  </si>
  <si>
    <t>Rajella barnardi</t>
  </si>
  <si>
    <t>Trachyrincus scabrus</t>
  </si>
  <si>
    <t>Ebinania costaecanariae</t>
  </si>
  <si>
    <t>Sufflogobius bibarbatus</t>
  </si>
  <si>
    <t>Centrolophus niger</t>
  </si>
  <si>
    <t>Epigonus denticulatus</t>
  </si>
  <si>
    <t>Bathyuroconger</t>
  </si>
  <si>
    <t>Symbolophorus boops</t>
  </si>
  <si>
    <t>Chaunax pictus</t>
  </si>
  <si>
    <t>Squatina oculata</t>
  </si>
  <si>
    <t>Selene dorsalis</t>
  </si>
  <si>
    <t>Bembrops heterurus</t>
  </si>
  <si>
    <t>Boops boops</t>
  </si>
  <si>
    <t>Malacocephalus occidentalis</t>
  </si>
  <si>
    <t>Pteroscion peli</t>
  </si>
  <si>
    <t>Etmopterus polli</t>
  </si>
  <si>
    <t>Bathyuroconger vicinus</t>
  </si>
  <si>
    <t>Pagellus bellotti</t>
  </si>
  <si>
    <t>Chaetodon hoefleri</t>
  </si>
  <si>
    <t>Monolene microstoma</t>
  </si>
  <si>
    <t>Umbrina canariensis</t>
  </si>
  <si>
    <t>Galeoides decadactylus</t>
  </si>
  <si>
    <t>Fistularia petimba</t>
  </si>
  <si>
    <t>Chelidonichthys gabonensis</t>
  </si>
  <si>
    <t>Merluccius polli</t>
  </si>
  <si>
    <t>Atractoscion aequidens</t>
  </si>
  <si>
    <t>Leucoraja wallacei</t>
  </si>
  <si>
    <t>Pterothrissus belloci</t>
  </si>
  <si>
    <t>Austroglossus microlepis</t>
  </si>
  <si>
    <t>Yarrella blackfordi</t>
  </si>
  <si>
    <t>Chelidonichthys capensis</t>
  </si>
  <si>
    <t>Raja miraletus</t>
  </si>
  <si>
    <t>Hoplostethus atlanticus</t>
  </si>
  <si>
    <t>Pseudotolithus Pseudotolithus</t>
  </si>
  <si>
    <t>Chlorophthalmus atlanticus</t>
  </si>
  <si>
    <t>Callorhinchus capensis</t>
  </si>
  <si>
    <t>Lithognathus mormyrus</t>
  </si>
  <si>
    <t>Pseudoxenomystax albescens</t>
  </si>
  <si>
    <t>Caelorinchus braueri</t>
  </si>
  <si>
    <t>Gadella imberbis</t>
  </si>
  <si>
    <t>Carlarius parkii</t>
  </si>
  <si>
    <t>Trachurus trecae</t>
  </si>
  <si>
    <t>Dicologlossa cuneata</t>
  </si>
  <si>
    <t>Dentex macrophthalmus</t>
  </si>
  <si>
    <r>
      <t xml:space="preserve">Derville, S., Torres, L. G., Albertson, R., Andrews, O., Baker, C. S., Carzon, P., Constantine, R., Donoghue, M., Dutheil, C., Gannier, A., Oremus, M., Poole, M. M., Robbins, J., &amp; Garrigue, C. (2019). Whales in warming water: Assessing breeding habitat diversity and adaptability in Oceania’s changing climate. </t>
    </r>
    <r>
      <rPr>
        <i/>
        <sz val="11"/>
        <color theme="1"/>
        <rFont val="Calibri"/>
        <family val="2"/>
        <scheme val="minor"/>
      </rPr>
      <t>Global Change Biology, 25</t>
    </r>
    <r>
      <rPr>
        <sz val="11"/>
        <color theme="1"/>
        <rFont val="Calibri"/>
        <family val="2"/>
        <scheme val="minor"/>
      </rPr>
      <t>(4), 1466–1481. https://doi.org/10.1111/gcb.14563</t>
    </r>
  </si>
  <si>
    <t>climate impact conclusions lean heavily on projections</t>
  </si>
  <si>
    <t>Engelhard,.G.H.,.Pinnegar,.J.K.,.Kell,.L.T..and.Rijnsdorp,.A.D.</t>
  </si>
  <si>
    <t>Pleuronectes.platessa</t>
  </si>
  <si>
    <t>Solea.solea</t>
  </si>
  <si>
    <t>Engelhard,.Georg.H.,.Righton,.David.A..,.Pinnegar,..John.K..</t>
  </si>
  <si>
    <t>F. J. Mueter, M. A. Litzow, Sea ice retreat alters the biogeography of the Bering Sea continental shelf. Ecol. Appl. 18, 309–320 (2008).</t>
  </si>
  <si>
    <t>Hemilepidotus papilio</t>
  </si>
  <si>
    <t>Lycodes raridens</t>
  </si>
  <si>
    <t>Occella dodecaedron</t>
  </si>
  <si>
    <r>
      <t xml:space="preserve">Forcada, J., Trathan, P. N., Boveng, P. L., Boyd, I. L., Burns, J. M., Costa, D. P., Fedak, M., Rogers, T. L., &amp; Southwell, C. J. (2012). Responses of Antarctic pack-ice seals to environmental change and increasing krill fishing. </t>
    </r>
    <r>
      <rPr>
        <i/>
        <sz val="11"/>
        <color theme="1"/>
        <rFont val="Calibri"/>
        <family val="2"/>
        <scheme val="minor"/>
      </rPr>
      <t>Biological Conservation, 149</t>
    </r>
    <r>
      <rPr>
        <sz val="11"/>
        <color theme="1"/>
        <rFont val="Calibri"/>
        <family val="2"/>
        <scheme val="minor"/>
      </rPr>
      <t>(1), 40–50. https://doi.org/10.1016/j.biocon.2012.02.002</t>
    </r>
  </si>
  <si>
    <t>Lobodon carcinophagus</t>
  </si>
  <si>
    <t>Does not look into geographic redistribution</t>
  </si>
  <si>
    <t>Leptonychotes weddellii</t>
  </si>
  <si>
    <t>Hydrurga leptonyx</t>
  </si>
  <si>
    <t>Fredston-Hermann,.Alexa;.Selden,.Rebecca;.Pinsky,.Malin;.Gaines,.Steven.D.;.Halpern,.Benjamin.S.</t>
  </si>
  <si>
    <t>Anchoa.mitchilli</t>
  </si>
  <si>
    <t>Argentina.silus</t>
  </si>
  <si>
    <t>Aspidophoroides.monopterygius</t>
  </si>
  <si>
    <t>Brosme.brosme</t>
  </si>
  <si>
    <t>Chlorophthalmus.agassizi</t>
  </si>
  <si>
    <t>Clupea.harengus</t>
  </si>
  <si>
    <t>Enchelyopus.cimbrius</t>
  </si>
  <si>
    <t>Glyptocephalus.cynoglossus</t>
  </si>
  <si>
    <t>Hippoglossus.hippoglossus</t>
  </si>
  <si>
    <t>Lepophidium.profundorum</t>
  </si>
  <si>
    <t>Leucoraja.erinacea</t>
  </si>
  <si>
    <t>Malacoraja.senta</t>
  </si>
  <si>
    <t>Melanogrammus.aeglefinus</t>
  </si>
  <si>
    <t>Mustelus.canis</t>
  </si>
  <si>
    <t>Pollachius.virens</t>
  </si>
  <si>
    <t>Sebastes.fasciatus</t>
  </si>
  <si>
    <t>G. H. Engelhard, D. A. Righton, J. K. Pinnegar, Climate change and fishing: a century of shifting distribution in North Sea cod. Glob. Change Biol. 20, 2473–2483 (2014).</t>
  </si>
  <si>
    <t>G. H. Engelhard, J. K. Pinnegar, L. T. Kell, A. D. Rijnsdorp, Nine decades of North Sea sole and plaice distribution. ICES J. Mar. Sci. 68, 1090–1104 (2011).</t>
  </si>
  <si>
    <t>longitude</t>
  </si>
  <si>
    <r>
      <t xml:space="preserve">Henderson, E. E., Forney, K. A., Barlow, J. P., Hildebrand, J. A., Douglas, A. B., Calambokidis, J., &amp; Sydeman, W. J. (2014). Effects of fluctuations in sea-surface temperature on the occurrence of small cetaceans off southern California. </t>
    </r>
    <r>
      <rPr>
        <i/>
        <sz val="11"/>
        <color theme="1"/>
        <rFont val="Calibri"/>
        <family val="2"/>
        <scheme val="minor"/>
      </rPr>
      <t>Fishery Bulletin, 112</t>
    </r>
    <r>
      <rPr>
        <sz val="11"/>
        <color theme="1"/>
        <rFont val="Calibri"/>
        <family val="2"/>
        <scheme val="minor"/>
      </rPr>
      <t>(2–3), 159–177. https://doi.org/10.7755/FB.112.2-3.5</t>
    </r>
  </si>
  <si>
    <t>Occurrence patterns in relation to interannual SST fluctuations</t>
  </si>
  <si>
    <r>
      <t>Harris, M. P., et al. (2006). A major increase in snake pipefish (</t>
    </r>
    <r>
      <rPr>
        <i/>
        <sz val="11"/>
        <color theme="1"/>
        <rFont val="Calibri"/>
        <family val="2"/>
        <scheme val="minor"/>
      </rPr>
      <t>Entelurus aequoreus</t>
    </r>
    <r>
      <rPr>
        <sz val="11"/>
        <color theme="1"/>
        <rFont val="Calibri"/>
        <family val="2"/>
        <scheme val="minor"/>
      </rPr>
      <t xml:space="preserve">) in northern European seas since 2003: Potential implications for seabird breeding success. </t>
    </r>
    <r>
      <rPr>
        <i/>
        <sz val="11"/>
        <color theme="1"/>
        <rFont val="Calibri"/>
        <family val="2"/>
        <scheme val="minor"/>
      </rPr>
      <t>Marine Biology</t>
    </r>
    <r>
      <rPr>
        <sz val="11"/>
        <color theme="1"/>
        <rFont val="Calibri"/>
        <family val="2"/>
        <scheme val="minor"/>
      </rPr>
      <t>. https://doi.org/10.1007/s00227-006-0534-7</t>
    </r>
  </si>
  <si>
    <t>North Sea and West of Scotland</t>
  </si>
  <si>
    <t>Grampus griseus</t>
  </si>
  <si>
    <t>Delphinus capensis</t>
  </si>
  <si>
    <r>
      <t xml:space="preserve">Desaunay, Y., Guerault, D., Le Pape, O., &amp; Poulard, J.-C. (2006). Changes in the occurrence and abundance of northern/southern flatfishes over a 20-year period in a coastal nursery area (Bay of Vilaine) and on the eastern continental shelf of the Bay of Biscay. </t>
    </r>
    <r>
      <rPr>
        <i/>
        <sz val="11"/>
        <color theme="1"/>
        <rFont val="Calibri"/>
        <family val="2"/>
        <scheme val="minor"/>
      </rPr>
      <t>Scientia Marina, 70</t>
    </r>
    <r>
      <rPr>
        <sz val="11"/>
        <color theme="1"/>
        <rFont val="Calibri"/>
        <family val="2"/>
        <scheme val="minor"/>
      </rPr>
      <t>(S1), 193–200. https://doi.org/10.3989/scimar.2006.70s1193</t>
    </r>
  </si>
  <si>
    <t>Bay of Vilaine</t>
  </si>
  <si>
    <r>
      <t xml:space="preserve">Blanchard, F., &amp; Vandermeirsch, F. (2005). Warming and exponential abundance increase of the subtropical fish </t>
    </r>
    <r>
      <rPr>
        <i/>
        <sz val="11"/>
        <color theme="1"/>
        <rFont val="Calibri"/>
        <family val="2"/>
        <scheme val="minor"/>
      </rPr>
      <t>Capros aper</t>
    </r>
    <r>
      <rPr>
        <sz val="11"/>
        <color theme="1"/>
        <rFont val="Calibri"/>
        <family val="2"/>
        <scheme val="minor"/>
      </rPr>
      <t xml:space="preserve"> in the Bay of Biscay (1973–2002). </t>
    </r>
    <r>
      <rPr>
        <i/>
        <sz val="11"/>
        <color theme="1"/>
        <rFont val="Calibri"/>
        <family val="2"/>
        <scheme val="minor"/>
      </rPr>
      <t>Comptes Rendus Biologies, 328</t>
    </r>
    <r>
      <rPr>
        <sz val="11"/>
        <color theme="1"/>
        <rFont val="Calibri"/>
        <family val="2"/>
        <scheme val="minor"/>
      </rPr>
      <t>(10–11), 943–946. https://doi.org/10.1016/j.crvi.2004.12.006</t>
    </r>
  </si>
  <si>
    <t>Bay of Biscal</t>
  </si>
  <si>
    <t>Capros aper</t>
  </si>
  <si>
    <t>Tursiops truncatus</t>
  </si>
  <si>
    <r>
      <t xml:space="preserve">Quéro, J.-C. (1998). Changes in the Euro-Atlantic fish species composition resulting from fishing and ocean warming. </t>
    </r>
    <r>
      <rPr>
        <i/>
        <sz val="11"/>
        <color theme="1"/>
        <rFont val="Calibri"/>
        <family val="2"/>
        <scheme val="minor"/>
      </rPr>
      <t>Italian Journal of Zoology, 65</t>
    </r>
    <r>
      <rPr>
        <sz val="11"/>
        <color theme="1"/>
        <rFont val="Calibri"/>
        <family val="2"/>
        <scheme val="minor"/>
      </rPr>
      <t>(Suppl. 1), 493–499. https://doi.org/10.1080/11250009809386873</t>
    </r>
  </si>
  <si>
    <t>Bassin d'Arcachon</t>
  </si>
  <si>
    <t>Dibranchus atlanticus</t>
  </si>
  <si>
    <t>Allocyttus verrucosus</t>
  </si>
  <si>
    <t>Seriola carpenteri</t>
  </si>
  <si>
    <t>Aluterus monoceros</t>
  </si>
  <si>
    <t>Pisodonophis semicinctus</t>
  </si>
  <si>
    <t>Pomatomus saltator</t>
  </si>
  <si>
    <t>Grammicolepis brachiusculus</t>
  </si>
  <si>
    <t>Lichia amia</t>
  </si>
  <si>
    <t>Diretmichthys parini</t>
  </si>
  <si>
    <t>Lamprogrammus niger</t>
  </si>
  <si>
    <t>Megalops atlanticus</t>
  </si>
  <si>
    <t>J. A. Nye, J. S. Link, J. A. Hare, W. J. Overholtz, Changing spatial distribution of fish stocks in relation to climate and population size on the Northeast United States continental shelf. Mar. Ecol. Prog. Ser. 393, 111–129 (2009).</t>
  </si>
  <si>
    <t>Erauskin-Extramiana, M., Arrizabalaga, H., Cabré, A., Coelho, R., Rosa, D., Ibaibarriaga, L., &amp; Chust, G. (2019). Are shifts in species distribution triggered by climate change? A swordfish case study. Deep-Sea Research Part II: Topical Studies in Oceanography, 175, Article 104666. https://doi.org/10.1016/j.dsr2.2019.104666</t>
  </si>
  <si>
    <t>Indian Ocean, Mediterranean Sea, North Atlantic, South Atlantic, North Pacific, South Pacific</t>
  </si>
  <si>
    <t>Xiphias gladius</t>
  </si>
  <si>
    <r>
      <t xml:space="preserve">Currie, J. C., Thorson, J. T., Sink, K. J., Atkinson, L. J., Fairweather, T. P., &amp; Winker, H. (2019). A novel approach to assess distribution trends from fisheries survey data. </t>
    </r>
    <r>
      <rPr>
        <i/>
        <sz val="11"/>
        <color theme="1"/>
        <rFont val="Calibri"/>
        <family val="2"/>
        <scheme val="minor"/>
      </rPr>
      <t>Fisheries Research, 214</t>
    </r>
    <r>
      <rPr>
        <sz val="11"/>
        <color theme="1"/>
        <rFont val="Calibri"/>
        <family val="2"/>
        <scheme val="minor"/>
      </rPr>
      <t>, 98–109. https://doi.org/10.1016/j.fishres.2019.02.004</t>
    </r>
  </si>
  <si>
    <t>Agulhas Bank, South Africa</t>
  </si>
  <si>
    <t>Dasyatis chrysonota</t>
  </si>
  <si>
    <t>Dipturus pullopunctatus</t>
  </si>
  <si>
    <t>Halaelurus natalensis</t>
  </si>
  <si>
    <t>Cynoglossus zanzibarensis</t>
  </si>
  <si>
    <t>Chelidonichthys queketti</t>
  </si>
  <si>
    <t>Congiopodus torvus</t>
  </si>
  <si>
    <t>Paracallionymus costatus</t>
  </si>
  <si>
    <t>Pterogymnus laniarius</t>
  </si>
  <si>
    <t>Spondyliosoma emarginatum</t>
  </si>
  <si>
    <t>Galeichthys feliceps</t>
  </si>
  <si>
    <t>Galeorhinus galeus</t>
  </si>
  <si>
    <t>Haploblepharus edwardsii</t>
  </si>
  <si>
    <t>Acroteriobatus annulatus</t>
  </si>
  <si>
    <t>Rhabdosargus globiceps</t>
  </si>
  <si>
    <t>Rostroraja alba</t>
  </si>
  <si>
    <t>Gonorynchus gonorynchus</t>
  </si>
  <si>
    <t>Pagellus natalensis</t>
  </si>
  <si>
    <t>Merluccius capensis</t>
  </si>
  <si>
    <t>Austroglossus pectoralis</t>
  </si>
  <si>
    <t>Arnoglossus capensis</t>
  </si>
  <si>
    <t>Mustelus mustelus</t>
  </si>
  <si>
    <t>Myliobatis aquila</t>
  </si>
  <si>
    <t>Argyrozona argyrozona</t>
  </si>
  <si>
    <t>Argyrosomus spp.</t>
  </si>
  <si>
    <r>
      <t xml:space="preserve">Orio, A., Florin, A.-B., Emanuelsson, A., &amp; Florin, A.** (2019). Spatial contraction of demersal fish populations in a large marine ecosystem. </t>
    </r>
    <r>
      <rPr>
        <i/>
        <sz val="11"/>
        <color theme="1"/>
        <rFont val="Calibri"/>
        <family val="2"/>
        <scheme val="minor"/>
      </rPr>
      <t>Journal of Biogeography, 46</t>
    </r>
    <r>
      <rPr>
        <sz val="11"/>
        <color theme="1"/>
        <rFont val="Calibri"/>
        <family val="2"/>
        <scheme val="minor"/>
      </rPr>
      <t>(10), 2320–2331</t>
    </r>
  </si>
  <si>
    <t>Baltic Sea</t>
  </si>
  <si>
    <r>
      <t xml:space="preserve">Bruge, A., Alvarez, P., Fontán, A., Cotano, U., &amp; Chust, G. (2016). Thermal niche tracking and future distribution of Atlantic mackerel spawning in response to ocean warming. </t>
    </r>
    <r>
      <rPr>
        <i/>
        <sz val="11"/>
        <color theme="1"/>
        <rFont val="Calibri"/>
        <family val="2"/>
        <scheme val="minor"/>
      </rPr>
      <t>Frontiers in Marine Science, 3</t>
    </r>
    <r>
      <rPr>
        <sz val="11"/>
        <color theme="1"/>
        <rFont val="Calibri"/>
        <family val="2"/>
        <scheme val="minor"/>
      </rPr>
      <t>, 86. https://doi.org/10.3389/fmars.2016.00086</t>
    </r>
  </si>
  <si>
    <t>Atlantic Ocean, Gibraltar to northwest of Scotland</t>
  </si>
  <si>
    <r>
      <t xml:space="preserve">Orlov, A. M., Savinykh, V. F., Kulish, E. F., &amp; Pelenev, D. V. (2012). New data on the distribution and size composition of the North Pacific spiny dogfish </t>
    </r>
    <r>
      <rPr>
        <i/>
        <sz val="11"/>
        <color theme="1"/>
        <rFont val="Calibri"/>
        <family val="2"/>
        <scheme val="minor"/>
      </rPr>
      <t>Squalus suckleyi</t>
    </r>
    <r>
      <rPr>
        <sz val="11"/>
        <color theme="1"/>
        <rFont val="Calibri"/>
        <family val="2"/>
        <scheme val="minor"/>
      </rPr>
      <t xml:space="preserve"> (Girard, 1854). </t>
    </r>
    <r>
      <rPr>
        <i/>
        <sz val="11"/>
        <color theme="1"/>
        <rFont val="Calibri"/>
        <family val="2"/>
        <scheme val="minor"/>
      </rPr>
      <t>Scientia Marina, 76</t>
    </r>
    <r>
      <rPr>
        <sz val="11"/>
        <color theme="1"/>
        <rFont val="Calibri"/>
        <family val="2"/>
        <scheme val="minor"/>
      </rPr>
      <t>(1), 111–122. https://doi.org/10.3989/scimar.03439.22C</t>
    </r>
  </si>
  <si>
    <t>Squalus suckleyi</t>
  </si>
  <si>
    <r>
      <t xml:space="preserve">Kanamori, Y., Takasuka, A., Kubota, H., Nishijima, S., Oozeki, Y., Morimoto, T., Kamimura, Y., &amp; Okamura, H. (2019). Climate change shifts the spawning ground northward and extends the spawning period of chub mackerel in the western North Pacific. </t>
    </r>
    <r>
      <rPr>
        <i/>
        <sz val="11"/>
        <color theme="1"/>
        <rFont val="Calibri"/>
        <family val="2"/>
        <scheme val="minor"/>
      </rPr>
      <t>Marine Ecology Progress Series, 624</t>
    </r>
    <r>
      <rPr>
        <sz val="11"/>
        <color theme="1"/>
        <rFont val="Calibri"/>
        <family val="2"/>
        <scheme val="minor"/>
      </rPr>
      <t>, 155–166. https://doi.org/10.3354/meps13037</t>
    </r>
  </si>
  <si>
    <t>Izu Islands and surrounding waters of the western North Pacific</t>
  </si>
  <si>
    <r>
      <t xml:space="preserve">Delgado, M., Sousa, P., Petitgas, P., Garrido, S., &amp; Murta, A. G. (2018). Concurrent changes in spatial distribution of the demersal community in response to climate variations in the southern Iberian coastal Large Marine Ecosystem. </t>
    </r>
    <r>
      <rPr>
        <i/>
        <sz val="11"/>
        <color theme="1"/>
        <rFont val="Calibri"/>
        <family val="2"/>
        <scheme val="minor"/>
      </rPr>
      <t>Marine Ecology Progress Series, 601</t>
    </r>
    <r>
      <rPr>
        <sz val="11"/>
        <color theme="1"/>
        <rFont val="Calibri"/>
        <family val="2"/>
        <scheme val="minor"/>
      </rPr>
      <t>, 151–163. https://doi.org/10.3354/meps12791</t>
    </r>
  </si>
  <si>
    <t>Southern Iberian coastal Large Marine Ecosystem (Gulf of Cádiz)</t>
  </si>
  <si>
    <t>Spondyliosoma cantharus</t>
  </si>
  <si>
    <t>Pagellus acarne</t>
  </si>
  <si>
    <t>Lophius budegassa</t>
  </si>
  <si>
    <t>Pagellus erythrinus</t>
  </si>
  <si>
    <t>Raja clavata</t>
  </si>
  <si>
    <t>Conger conger</t>
  </si>
  <si>
    <t>Chelidonichthys obscurus</t>
  </si>
  <si>
    <t>Etmopterus spinax</t>
  </si>
  <si>
    <t>Citharus linguatula</t>
  </si>
  <si>
    <t>J. L. Orensanz, B. Ernst, D. A. Armstrong, P. J. Stabeno, P. Livingston, Contraction of the geographical range of distribution of snow crab (Chionoecetes Opilio) in the Eastern Bering Sea: an environmental ratchet?? CalCOFI Reports. 45, 65–79 (2004).</t>
  </si>
  <si>
    <t>Last,.P.R.,.White,.W.T.,.Gledhill,.D.C.,.Hobday,.A.J.,.Brown,.R.,.Edgar,.G.J..and.Pecl,.G.</t>
  </si>
  <si>
    <t>Meuschenia.flavolineata</t>
  </si>
  <si>
    <t>Meuschenia.hippocrepis</t>
  </si>
  <si>
    <t>Parma.victoriae</t>
  </si>
  <si>
    <t>Platycephalus.speculator</t>
  </si>
  <si>
    <t>Siphonognathus.beddomei</t>
  </si>
  <si>
    <t>Gymnura altavela</t>
  </si>
  <si>
    <t>Dasyatis say</t>
  </si>
  <si>
    <t>Rhinoptera bonasus</t>
  </si>
  <si>
    <t>Myliobatis freminvillei</t>
  </si>
  <si>
    <t>Dasyatis centroura</t>
  </si>
  <si>
    <t>Mustelus canis</t>
  </si>
  <si>
    <t>Rhizoprionodon porosus</t>
  </si>
  <si>
    <t>Leucoraja garmani</t>
  </si>
  <si>
    <t>Pomatomus saltatrix</t>
  </si>
  <si>
    <t>Dasyatis americana</t>
  </si>
  <si>
    <t>Sphoeroides maculatus</t>
  </si>
  <si>
    <t>Larimus fasciatus</t>
  </si>
  <si>
    <t>Orthopristis chrysoptera</t>
  </si>
  <si>
    <t>Chilomycterus schoepfii</t>
  </si>
  <si>
    <t>Caranx hippos</t>
  </si>
  <si>
    <t>Prionotus evolans</t>
  </si>
  <si>
    <t>M. E. Riley, C. A. Johnston, I. C. Feller, B. D. Griffen, Range expansion of Aratus pisonii (mangrove tree crab) into novel vegetative habitats. Southeast. Nat. 13, N43–N48 (2014).</t>
  </si>
  <si>
    <t>Aratus pisonii</t>
  </si>
  <si>
    <t>This Is arboreal and semi-terrestrial</t>
  </si>
  <si>
    <t>Aleutian Islands</t>
  </si>
  <si>
    <t>Echinodermata</t>
  </si>
  <si>
    <t>Ctenodiscus crispatus</t>
  </si>
  <si>
    <t>Gorgonocephalus eucnemis</t>
  </si>
  <si>
    <t>Asterias amurensis</t>
  </si>
  <si>
    <t>Gulf of Alaska</t>
  </si>
  <si>
    <t>Mueter,.F.J..and.Litzow,.M.A.</t>
  </si>
  <si>
    <t>Ammodytes.hexapterus.</t>
  </si>
  <si>
    <t>Anoplopoma.fimbria</t>
  </si>
  <si>
    <t>Eleginus.gracilis</t>
  </si>
  <si>
    <t>Hexagrammos.stelleri</t>
  </si>
  <si>
    <t>Osmerus.mordax</t>
  </si>
  <si>
    <t>Thergara.chalcogramma</t>
  </si>
  <si>
    <t>Trichodon.trichodon</t>
  </si>
  <si>
    <t>Bathymaster.signatus</t>
  </si>
  <si>
    <t>Hippoglossoides.robustus.</t>
  </si>
  <si>
    <t>Ocella.dodecaedron</t>
  </si>
  <si>
    <t>Hemitripterus.bolini</t>
  </si>
  <si>
    <t>Hippoglossus.stenolepis.</t>
  </si>
  <si>
    <t>Limanda.proboscidea</t>
  </si>
  <si>
    <t>Atheresthes.spp..</t>
  </si>
  <si>
    <t>Dasycottus.setiger</t>
  </si>
  <si>
    <t>Thaleichthys.pacificus.</t>
  </si>
  <si>
    <t>Lycodes.raridens.</t>
  </si>
  <si>
    <t>Leptagonus.frenatus.</t>
  </si>
  <si>
    <t>Mallotus.villosus</t>
  </si>
  <si>
    <t>Nicolas,.D.,.Chaalali,.A.,.Drouineau,.H.,.Lobry,.J.,.Uriarte,.A.,.Borja,.A.,.Boet,.P..</t>
  </si>
  <si>
    <t>Liza.ramada</t>
  </si>
  <si>
    <t>Pomatoschistus.minutus</t>
  </si>
  <si>
    <t>Chelidonichthys.lucerna</t>
  </si>
  <si>
    <t>Atherina.presbyter</t>
  </si>
  <si>
    <t>Syngnathus.acus</t>
  </si>
  <si>
    <t>Dicentrarchus.labrax</t>
  </si>
  <si>
    <t>Trisopterus.luscus</t>
  </si>
  <si>
    <t>Anguilla.anguilla</t>
  </si>
  <si>
    <t>Platichthys.flesus</t>
  </si>
  <si>
    <t>Trichiurus japonicus</t>
  </si>
  <si>
    <t>Hippoglossoides dubius</t>
  </si>
  <si>
    <t>Glyptocephalus stelleri</t>
  </si>
  <si>
    <t>Tanakius kitaharae</t>
  </si>
  <si>
    <t>Cleisthenes pinetorum</t>
  </si>
  <si>
    <t>Glossanodon semifasciatus</t>
  </si>
  <si>
    <t>Arctoscopus japonicus</t>
  </si>
  <si>
    <t>G. E. Walters, T. K. Wilderbuer, Decreasing length at age in a rapidly expanding population of northern rock sole in the eastern Bering Sea and its effect on management advice. J. Sea Res. 44, 17–26 (2000).</t>
  </si>
  <si>
    <t>Lepidopsetta polyxystra</t>
  </si>
  <si>
    <t>J. T. Thorson, J. N. Ianelli, S. Kotwicki, The relative influence of temperature and size-structure on fish distribution shifts: a case-study on walleye pollock in the Bering Sea. Fish Fish. 18, 1073–1084 (2017).</t>
  </si>
  <si>
    <t>Loligo vulgaris</t>
  </si>
  <si>
    <t>Kurtiella bidentata</t>
  </si>
  <si>
    <t>Arctica islandica</t>
  </si>
  <si>
    <t>Phaxas pellucidus</t>
  </si>
  <si>
    <t>Tellimya ferruginosa</t>
  </si>
  <si>
    <t>Abra prismatica</t>
  </si>
  <si>
    <t>Cylichna cylindracea</t>
  </si>
  <si>
    <t>Chaetoderma nitidulum</t>
  </si>
  <si>
    <t>Chamelea gallina</t>
  </si>
  <si>
    <t>Fabulina fabula</t>
  </si>
  <si>
    <t>Scoloplos armiger</t>
  </si>
  <si>
    <t>Levinsenia gracilis</t>
  </si>
  <si>
    <t>Ophelina acuminata</t>
  </si>
  <si>
    <t>Lucinoma borealis</t>
  </si>
  <si>
    <t>Placopecten magellanicus</t>
  </si>
  <si>
    <t>Neptunea borealis</t>
  </si>
  <si>
    <t>Chlamys</t>
  </si>
  <si>
    <t>Amusium papyraceum</t>
  </si>
  <si>
    <t>Neptunea heros</t>
  </si>
  <si>
    <t>Chlamys islandica</t>
  </si>
  <si>
    <t>Neptunea ventricosa</t>
  </si>
  <si>
    <t>Neptunea pribiloffensis</t>
  </si>
  <si>
    <t>Neptunea lyrata</t>
  </si>
  <si>
    <t>Clinopegma magnum</t>
  </si>
  <si>
    <t>Siphonaria pectinata</t>
  </si>
  <si>
    <t>Littorina saxatilis</t>
  </si>
  <si>
    <t>Nucella lapillus</t>
  </si>
  <si>
    <t>Lunella undulata</t>
  </si>
  <si>
    <t>Haliotis laevigata</t>
  </si>
  <si>
    <t>Cabestana spengleri</t>
  </si>
  <si>
    <t>Australaria australasia</t>
  </si>
  <si>
    <t>Charonia lampas</t>
  </si>
  <si>
    <t>Acteocina canaliculata</t>
  </si>
  <si>
    <t>Nucula proxima</t>
  </si>
  <si>
    <t>Crepidula fornicata</t>
  </si>
  <si>
    <t>Sprattus.sprattus</t>
  </si>
  <si>
    <t>Montfortula picta</t>
  </si>
  <si>
    <t>Cellana toreuma</t>
  </si>
  <si>
    <t>Echinolittorina radiata</t>
  </si>
  <si>
    <t>Reishia clavigera</t>
  </si>
  <si>
    <t>Siphonaria japonica</t>
  </si>
  <si>
    <t>Nerita albicilla</t>
  </si>
  <si>
    <t>Echinolittorina pascua</t>
  </si>
  <si>
    <t>Chlorostoma lischkei</t>
  </si>
  <si>
    <t>Liolophura japonica</t>
  </si>
  <si>
    <t>Lunella coronata</t>
  </si>
  <si>
    <t>Musculista senhousia</t>
  </si>
  <si>
    <t>Saccostrea kegaki</t>
  </si>
  <si>
    <t>Diloma suavis</t>
  </si>
  <si>
    <t>Cellana grata</t>
  </si>
  <si>
    <t>Septifer virgatus</t>
  </si>
  <si>
    <t>Cardita leana</t>
  </si>
  <si>
    <t>Batillaria cumingii</t>
  </si>
  <si>
    <t>Reishia bronni</t>
  </si>
  <si>
    <t>Mytilus galloprovincialis</t>
  </si>
  <si>
    <t>W. F. Precht, R. B. Aronson, Climate flickers and range shifts of reef corals. Front. Ecol. Evol. 2, 307–314 (2004).</t>
  </si>
  <si>
    <t>Acropora cervicornis</t>
  </si>
  <si>
    <t>Nye,.J.A.,.Link,.J.S.,.Hare,.J.A..and.Overholtz,.W.J.</t>
  </si>
  <si>
    <t>Acropora palmata</t>
  </si>
  <si>
    <t>Paralichthys.oblongus</t>
  </si>
  <si>
    <t>Squalus.acanthias</t>
  </si>
  <si>
    <t>Alosa.sapidissima</t>
  </si>
  <si>
    <t>E. Serrano et al., Rapid northward spread of a Zooxanthellate coral enhanced by artificial structures and sea warming in the western Mediterranean. PLoS One. 8, e52739 (2013).</t>
  </si>
  <si>
    <t>Oculina patagonica</t>
  </si>
  <si>
    <t>Chthamalus stellatus</t>
  </si>
  <si>
    <t>Scophthalmus.aquosus</t>
  </si>
  <si>
    <t>Urophycis.regia</t>
  </si>
  <si>
    <t>Myoxosephalus.octodecemspinosus</t>
  </si>
  <si>
    <t>Lophius.americanus</t>
  </si>
  <si>
    <t>Zoarces.americanus</t>
  </si>
  <si>
    <t>Perry,.AL;.Low,.PJ;.Ellis,.JR;.Reynolds,.JD</t>
  </si>
  <si>
    <t>Argentina.spp.</t>
  </si>
  <si>
    <t>Buglossidium.luteum</t>
  </si>
  <si>
    <t>Gadiculus.argenteus</t>
  </si>
  <si>
    <t>Diastylis bradyi</t>
  </si>
  <si>
    <t>Urothoe poseidonis</t>
  </si>
  <si>
    <t>Harpinia antennaria</t>
  </si>
  <si>
    <t>Bathyporeia elegans</t>
  </si>
  <si>
    <t>Eudorella truncatula</t>
  </si>
  <si>
    <t>Eudorellopsis deformis</t>
  </si>
  <si>
    <t>Bathyporeia guilliamsoniana</t>
  </si>
  <si>
    <t>Ampelisca macrocephala</t>
  </si>
  <si>
    <t>Callianassa subterranea</t>
  </si>
  <si>
    <t>Hippomedon denticulatus</t>
  </si>
  <si>
    <t>Corystes cassivelaunus</t>
  </si>
  <si>
    <t>Bathyporeia tenuipes</t>
  </si>
  <si>
    <t>Ampelisca tenuicornis</t>
  </si>
  <si>
    <t>Ampelisca brevicornis</t>
  </si>
  <si>
    <t>Westwoodilla caecula</t>
  </si>
  <si>
    <t>Lepidorhombus.boscii</t>
  </si>
  <si>
    <t>Nectocarcinus tuberculosus</t>
  </si>
  <si>
    <t>Jasus edwardsii</t>
  </si>
  <si>
    <t>Plagusia chabrus</t>
  </si>
  <si>
    <t>Argis dentata</t>
  </si>
  <si>
    <t>Eualus gaimardii</t>
  </si>
  <si>
    <t>Hyas</t>
  </si>
  <si>
    <t>Pandalus montagui</t>
  </si>
  <si>
    <t>Spirontocaris spinus</t>
  </si>
  <si>
    <t>Farfantepenaeus duorarum</t>
  </si>
  <si>
    <t>Achelous spinimanus</t>
  </si>
  <si>
    <t>Achelous spinicarpus</t>
  </si>
  <si>
    <t>Solenocera</t>
  </si>
  <si>
    <t>Pandalus platyceros</t>
  </si>
  <si>
    <t>Pandalus borealis</t>
  </si>
  <si>
    <t>Calappa sulcata</t>
  </si>
  <si>
    <t>Chionoecetes bairdi</t>
  </si>
  <si>
    <t>Sicyonia dorsalis</t>
  </si>
  <si>
    <t>Pandalopsis dispar</t>
  </si>
  <si>
    <t>Eualus macilentus</t>
  </si>
  <si>
    <t>Pandalus eous</t>
  </si>
  <si>
    <t>Sicyonia brevirostris</t>
  </si>
  <si>
    <t>Metacarcinus magister</t>
  </si>
  <si>
    <t>Achelous gibbesii</t>
  </si>
  <si>
    <t>Callinectes similis</t>
  </si>
  <si>
    <t>Trachypenaeus</t>
  </si>
  <si>
    <t>Hyas lyratus</t>
  </si>
  <si>
    <t>Lebbeus polaris</t>
  </si>
  <si>
    <t>Chionoecetes</t>
  </si>
  <si>
    <t>Paralithodes camtschaticus</t>
  </si>
  <si>
    <t>Callinectes sapidus</t>
  </si>
  <si>
    <t>Litopenaeus setiferus</t>
  </si>
  <si>
    <t>Lithodes aequispinus</t>
  </si>
  <si>
    <t>Farfantepenaeus aztecus</t>
  </si>
  <si>
    <t>Hyas coarctatus</t>
  </si>
  <si>
    <t>Erimacrus isenbeckii</t>
  </si>
  <si>
    <t>Pasiphaea</t>
  </si>
  <si>
    <t>Note benthic but benthopelagic</t>
  </si>
  <si>
    <t>Paralithodes platypus</t>
  </si>
  <si>
    <t>Homarus americanus</t>
  </si>
  <si>
    <t>Sabinea septemcarinata</t>
  </si>
  <si>
    <t>S. Kotwicki, R. R. Lauth, Detecting temporal trends and environmentally-driven changes in the spatial distribution of bottom fishes and crabs on the eastern Bering Sea shelf. Deep Sea Res. Part II Top. Stud. Oceanogr. 94, 231–243 (2013).</t>
  </si>
  <si>
    <t>S. J. Jones, A. J. Southward, D. S. Wethey, Climate change and historical biogeography of the barnacle Semibalanus balanoides. Glob. Ecol. Biogeogr. 21, 716–724 (2012).</t>
  </si>
  <si>
    <t>Semibalanus balanoides</t>
  </si>
  <si>
    <t>Merluccius.merluccius</t>
  </si>
  <si>
    <t>Micromesistius.poutassou</t>
  </si>
  <si>
    <t>S. Leidenberger, K. Harding, P. R. Jonsson, Ecology and distribution of the isopod genus Idotea in the Baltic Sea: key species in a changing environment. J. Crustac. Biol. 32, 359–381 (2012).</t>
  </si>
  <si>
    <t>Idotea granulosa</t>
  </si>
  <si>
    <t>Idotea chelipes</t>
  </si>
  <si>
    <t>Idotea baltica</t>
  </si>
  <si>
    <t>Ampelisca abdita</t>
  </si>
  <si>
    <t>Edotia triloba</t>
  </si>
  <si>
    <t>Oxyurostylis smithi</t>
  </si>
  <si>
    <t>Lee, S.-H., Tseng, L.-C., Yoon, Y. H., Ramirez-Romero, E., Hwang, J.-S., &amp; Molinero, J. C. (2022). The global spread of jellyfish hazards mirrors the pace of human imprint in the marine environment. Environment International, 171, 107699–107699. https://doi.org/10.1016/j.envint.2022.107699</t>
  </si>
  <si>
    <t>Global</t>
  </si>
  <si>
    <t>Jellyfish</t>
  </si>
  <si>
    <t>Fig. 3</t>
  </si>
  <si>
    <t>Microstomus.kitt</t>
  </si>
  <si>
    <t>Molva.molva</t>
  </si>
  <si>
    <t>Myxine.glutinosa</t>
  </si>
  <si>
    <t>Psetta.maxima</t>
  </si>
  <si>
    <t>Scyliorhinus.canicula</t>
  </si>
  <si>
    <t>Sebastes.spp.</t>
  </si>
  <si>
    <t>Trigla.lucerna</t>
  </si>
  <si>
    <t>Lumpenus.lampretaeformis</t>
  </si>
  <si>
    <t>Callionymus.lyra</t>
  </si>
  <si>
    <t>Echiichthys.vipera</t>
  </si>
  <si>
    <t>Limanda.limanda</t>
  </si>
  <si>
    <t>Merlangius.merlangus</t>
  </si>
  <si>
    <t>Trisopterus.minutus</t>
  </si>
  <si>
    <t>Eutrigla.gurnardus</t>
  </si>
  <si>
    <t>Trisopterus.esmarkii</t>
  </si>
  <si>
    <t>Pinsky,.M.L.,.Worm,.B.,.Fogarty,.M.J.,.Sarmiento,.J.L..and.Levin,.S.A.</t>
  </si>
  <si>
    <t>R. van Hal, K. Smits, A. D. Rijnsdorp, How climate warming impacts the distribution and abundance of two small flatfish species in the North Sea. J. Sea Res. 64, 76–84 (2010).</t>
  </si>
  <si>
    <t>Buglossidium luteum</t>
  </si>
  <si>
    <t>S. C. Mason et al., Geographical range margins of many taxonomic groups continue to shift polewards. Biol. J. Linn. Soc. 115, 586–597 (2015).</t>
  </si>
  <si>
    <t>S. E. Swaby, G. W. Potts, The sailfin dory, a first British record. J. Fish Biol. 54, 1338–1340 (1999).</t>
  </si>
  <si>
    <t>Sebates,A.P.,Martin,.P.,Lloret,.J.,Raya,.V.</t>
  </si>
  <si>
    <t>Mediterranean</t>
  </si>
  <si>
    <t>Round.sardinella</t>
  </si>
  <si>
    <r>
      <t>Stirling, I., &amp; Parkinson, C. L. (2006). Possible effects of climate warming on selected populations of polar bears (</t>
    </r>
    <r>
      <rPr>
        <i/>
        <sz val="11"/>
        <color theme="1"/>
        <rFont val="Calibri"/>
        <family val="2"/>
        <scheme val="minor"/>
      </rPr>
      <t>Ursus maritimus</t>
    </r>
    <r>
      <rPr>
        <sz val="11"/>
        <color theme="1"/>
        <rFont val="Calibri"/>
        <family val="2"/>
        <scheme val="minor"/>
      </rPr>
      <t xml:space="preserve">) in the Canadian Arctic. </t>
    </r>
    <r>
      <rPr>
        <i/>
        <sz val="11"/>
        <color theme="1"/>
        <rFont val="Calibri"/>
        <family val="2"/>
        <scheme val="minor"/>
      </rPr>
      <t>Arctic, 59</t>
    </r>
    <r>
      <rPr>
        <sz val="11"/>
        <color theme="1"/>
        <rFont val="Calibri"/>
        <family val="2"/>
        <scheme val="minor"/>
      </rPr>
      <t>(3), 261–275. https://doi.org/10.14430/arctic312</t>
    </r>
  </si>
  <si>
    <t>Predictive based on sea ice changes</t>
  </si>
  <si>
    <r>
      <t xml:space="preserve">Towns, L., Derocher, A. E., Stirling, I., Lunn, N. J., &amp; Hedman, D. (2009). Spatial and temporal patterns of problem polar bears in Churchill, Manitoba. </t>
    </r>
    <r>
      <rPr>
        <i/>
        <sz val="11"/>
        <color theme="1"/>
        <rFont val="Calibri"/>
        <family val="2"/>
        <scheme val="minor"/>
      </rPr>
      <t>Polar Biology, 32</t>
    </r>
    <r>
      <rPr>
        <sz val="11"/>
        <color theme="1"/>
        <rFont val="Calibri"/>
        <family val="2"/>
        <scheme val="minor"/>
      </rPr>
      <t>(10), 1529–1537. https://doi.org/10.1007/s00300-009-0653-y</t>
    </r>
  </si>
  <si>
    <t>No geographic data</t>
  </si>
  <si>
    <t>W. J. Overholtz, J. A. Hare, C. M. Keith, Impacts of interannual environmental forcing and climate change on the distribution of Atlantic mackerel on the U.S. northeast continental shelf. Mar. Coast. Fish. 3, 219–232 (2011).</t>
  </si>
  <si>
    <r>
      <t xml:space="preserve">Wilson, R. R., Regehr, E. V., Rode, K. D., &amp; St. Martin, M. (2016). Invariant polar bear habitat selection during a period of sea ice loss. </t>
    </r>
    <r>
      <rPr>
        <i/>
        <sz val="11"/>
        <color theme="1"/>
        <rFont val="Calibri"/>
        <family val="2"/>
        <scheme val="minor"/>
      </rPr>
      <t>Proceedings of the Royal Society B: Biological Sciences, 283</t>
    </r>
    <r>
      <rPr>
        <sz val="11"/>
        <color theme="1"/>
        <rFont val="Calibri"/>
        <family val="2"/>
        <scheme val="minor"/>
      </rPr>
      <t>(1836), 20160380. https://doi.org/10.1098/rspb.2016.0380</t>
    </r>
  </si>
  <si>
    <t>Worm,.B..and.Tittensor,.D..P.</t>
  </si>
  <si>
    <t>Thunnus.albacares</t>
  </si>
  <si>
    <t>Thunnus.obesus</t>
  </si>
  <si>
    <t>Xiphias.gladius</t>
  </si>
  <si>
    <t>Yemane,.D.,.Kirkman,.S.P.,.Kathena,.J.,.N’siangango,.S.E.,.Axelsen,.B.E..and.Samaai,.T.</t>
  </si>
  <si>
    <t>Atractoscion.aequidens</t>
  </si>
  <si>
    <t>Bathyuroconger.vicinus</t>
  </si>
  <si>
    <t>Bembrops.heterurus</t>
  </si>
  <si>
    <t>Boops.boops</t>
  </si>
  <si>
    <t>Cangiopodus.spinifer</t>
  </si>
  <si>
    <t>Centrolophus.niger</t>
  </si>
  <si>
    <t>Chaetodon.hoefleri</t>
  </si>
  <si>
    <t>Chaunax.pictus</t>
  </si>
  <si>
    <t>Chelidonichthys.gabonensis</t>
  </si>
  <si>
    <t>Cynoglossus.zanzibarensis</t>
  </si>
  <si>
    <t>Ebinania.costaecanarie</t>
  </si>
  <si>
    <t>Epigoninae</t>
  </si>
  <si>
    <t>Epigonus.denticulatus</t>
  </si>
  <si>
    <t>Cystophora moniliformis</t>
  </si>
  <si>
    <t>Codium pomoides</t>
  </si>
  <si>
    <t>Caulerpa geminata</t>
  </si>
  <si>
    <t>Phyllotricha verruculosum</t>
  </si>
  <si>
    <t>Echinothamnion hystrix</t>
  </si>
  <si>
    <t>Thamnoclonium dichotomum</t>
  </si>
  <si>
    <t>Plocamium cartilagineum</t>
  </si>
  <si>
    <t>Caulerpa brownii</t>
  </si>
  <si>
    <t>Callophyllis rangiferina</t>
  </si>
  <si>
    <t>Carpoglossum confluens</t>
  </si>
  <si>
    <t>Caulerpa longifolia</t>
  </si>
  <si>
    <t>Plocamium angustum</t>
  </si>
  <si>
    <t>Durvillaea potatorum</t>
  </si>
  <si>
    <t>Ecklonia radiata</t>
  </si>
  <si>
    <t>Callophyllis lambertii</t>
  </si>
  <si>
    <t>Acrocarpia paniculata</t>
  </si>
  <si>
    <t>Phyllotricha decipiens</t>
  </si>
  <si>
    <t>Macrocystis pyrifera</t>
  </si>
  <si>
    <t>Plocamium dilatatum</t>
  </si>
  <si>
    <t>Xiphophora chondrophylla</t>
  </si>
  <si>
    <t>Phyllospora comosa</t>
  </si>
  <si>
    <t>Ptilonia australasica</t>
  </si>
  <si>
    <t>Ballia callitricha</t>
  </si>
  <si>
    <t>Perithalia caudata</t>
  </si>
  <si>
    <t>Melanthalia obtusata</t>
  </si>
  <si>
    <t>Phacelocarpus peperocarpos</t>
  </si>
  <si>
    <t>Caulerpa trifaria</t>
  </si>
  <si>
    <t>Xiphophora gladiata</t>
  </si>
  <si>
    <t>Lessonia corrugata</t>
  </si>
  <si>
    <t>Cystophora retroflexa</t>
  </si>
  <si>
    <t>Hemineura frondosa</t>
  </si>
  <si>
    <t>Cystophora platylobium</t>
  </si>
  <si>
    <t>Erythrymenia minuta</t>
  </si>
  <si>
    <t>Seirococcus axillaris</t>
  </si>
  <si>
    <t>Carpomitra costata</t>
  </si>
  <si>
    <t>Cystophora expansa</t>
  </si>
  <si>
    <t>Lenormandia marginata</t>
  </si>
  <si>
    <t>Cystophora retorta</t>
  </si>
  <si>
    <t>Macrocystis angustifolia</t>
  </si>
  <si>
    <t>Kallymenia tasmanica</t>
  </si>
  <si>
    <t>Chaetomorpha</t>
  </si>
  <si>
    <t>Kallymenia cribrosa</t>
  </si>
  <si>
    <t>Sargassopsis heteromorphum</t>
  </si>
  <si>
    <t>Codium fragile</t>
  </si>
  <si>
    <t>Champia viridis</t>
  </si>
  <si>
    <t>Pterocladiella capillacea</t>
  </si>
  <si>
    <t>Codium dimorphum</t>
  </si>
  <si>
    <t>Phyllotricha sonderi</t>
  </si>
  <si>
    <t>Phyllotricha varians</t>
  </si>
  <si>
    <t>Caulerpa scalpelliformis</t>
  </si>
  <si>
    <t>Etmopterus.polli</t>
  </si>
  <si>
    <t>W. J. Chivers, A. W. Walne, G. C. Hays, Mismatch between marine plankton range movements and the velocity of climate change. Nat. Commun. 8, 14434 (2017).</t>
  </si>
  <si>
    <t>Neoceratium furca</t>
  </si>
  <si>
    <t>Takao, S., Yamano, H., Sugihara, K., Kumagai, N. H., Fujii, M., &amp; Yamanaka, Y. (2015). An improved estimation of the poleward expansion of coral habitats based on the inter-annual variation of sea surface temperatures. Coral Reefs, 34(4), 1125–1137. https://doi.org/10.1007/s00338-015-1347-2</t>
  </si>
  <si>
    <t>East China Sea</t>
  </si>
  <si>
    <t xml:space="preserve">Fig. 8 </t>
  </si>
  <si>
    <t>Pacific Ocean</t>
  </si>
  <si>
    <r>
      <t>Lindley, J. A., Gamble, J. C., &amp; Hunt, H. G.</t>
    </r>
    <r>
      <rPr>
        <sz val="11"/>
        <color theme="1"/>
        <rFont val="Calibri"/>
        <family val="2"/>
        <scheme val="minor"/>
      </rPr>
      <t xml:space="preserve"> (2005). Variations in the distributions of </t>
    </r>
    <r>
      <rPr>
        <i/>
        <sz val="11"/>
        <color theme="1"/>
        <rFont val="Calibri"/>
        <family val="2"/>
        <scheme val="minor"/>
      </rPr>
      <t>Centropages chierchiae</t>
    </r>
    <r>
      <rPr>
        <sz val="11"/>
        <color theme="1"/>
        <rFont val="Calibri"/>
        <family val="2"/>
        <scheme val="minor"/>
      </rPr>
      <t xml:space="preserve"> and </t>
    </r>
    <r>
      <rPr>
        <i/>
        <sz val="11"/>
        <color theme="1"/>
        <rFont val="Calibri"/>
        <family val="2"/>
        <scheme val="minor"/>
      </rPr>
      <t>Temora stylifera</t>
    </r>
    <r>
      <rPr>
        <sz val="11"/>
        <color theme="1"/>
        <rFont val="Calibri"/>
        <family val="2"/>
        <scheme val="minor"/>
      </rPr>
      <t xml:space="preserve"> (Copepoda: Calanoida) in the north-eastern Atlantic Ocean and western European shelf waters. </t>
    </r>
    <r>
      <rPr>
        <i/>
        <sz val="11"/>
        <color theme="1"/>
        <rFont val="Calibri"/>
        <family val="2"/>
        <scheme val="minor"/>
      </rPr>
      <t>ICES Journal of Marine Science, 62</t>
    </r>
    <r>
      <rPr>
        <sz val="11"/>
        <color theme="1"/>
        <rFont val="Calibri"/>
        <family val="2"/>
        <scheme val="minor"/>
      </rPr>
      <t>(6), 869–877. https://doi.org/10.1016/j.icesjms.2005.03.005</t>
    </r>
  </si>
  <si>
    <t>north-eastern Atlantic Ocean and western European shelf waters</t>
  </si>
  <si>
    <r>
      <t>Southward, A. J.</t>
    </r>
    <r>
      <rPr>
        <sz val="11"/>
        <color theme="1"/>
        <rFont val="Calibri"/>
        <family val="2"/>
        <scheme val="minor"/>
      </rPr>
      <t xml:space="preserve"> (1991). Forty years of changes in species composition and population density of barnacles on a rocky shore near Plymouth. </t>
    </r>
    <r>
      <rPr>
        <i/>
        <sz val="11"/>
        <color theme="1"/>
        <rFont val="Calibri"/>
        <family val="2"/>
        <scheme val="minor"/>
      </rPr>
      <t>Journal of the Marine Biological Association of the United Kingdom, 71</t>
    </r>
    <r>
      <rPr>
        <sz val="11"/>
        <color theme="1"/>
        <rFont val="Calibri"/>
        <family val="2"/>
        <scheme val="minor"/>
      </rPr>
      <t>(3), 495–513. https://doi.org/10.1017/S002531540005312</t>
    </r>
  </si>
  <si>
    <t>Cellar Beach, River Yealm, south Devon, UK</t>
  </si>
  <si>
    <t>Austrominius modestus</t>
  </si>
  <si>
    <t>Fistularia.petimba</t>
  </si>
  <si>
    <t>Galeoides.decadactylus</t>
  </si>
  <si>
    <t>Galeus.polli</t>
  </si>
  <si>
    <t>Gobidae</t>
  </si>
  <si>
    <t>Hoplostethus.cadenati</t>
  </si>
  <si>
    <t>Lucigadus.ori</t>
  </si>
  <si>
    <t>Malacocephalus.occidentalis</t>
  </si>
  <si>
    <t>Merluccius.polli</t>
  </si>
  <si>
    <t>Monolene.microstoma</t>
  </si>
  <si>
    <t>Mustelus.palumbes</t>
  </si>
  <si>
    <t>Nemichthys.scolopaceus</t>
  </si>
  <si>
    <t>Pagellus.bellottii</t>
  </si>
  <si>
    <t>Pteroscion.peli</t>
  </si>
  <si>
    <t>Raja.confundens</t>
  </si>
  <si>
    <t>Raja.leopardus</t>
  </si>
  <si>
    <t>Scomber.japonicus</t>
  </si>
  <si>
    <t>Scyliorhinus.capensis</t>
  </si>
  <si>
    <r>
      <t>Delgado, M., Establier, R., Sánchez-Lamadrid, A., &amp; Ramos, A. A.</t>
    </r>
    <r>
      <rPr>
        <sz val="11"/>
        <color theme="1"/>
        <rFont val="Calibri"/>
        <family val="2"/>
        <scheme val="minor"/>
      </rPr>
      <t xml:space="preserve"> (2018). Concurrent changes in spatial distribution of the demersal community in response to climate variations in the southern Iberian coastal Large Marine Ecosystem. </t>
    </r>
    <r>
      <rPr>
        <i/>
        <sz val="11"/>
        <color theme="1"/>
        <rFont val="Calibri"/>
        <family val="2"/>
        <scheme val="minor"/>
      </rPr>
      <t>Marine Ecology Progress Series, 598</t>
    </r>
    <r>
      <rPr>
        <sz val="11"/>
        <color theme="1"/>
        <rFont val="Calibri"/>
        <family val="2"/>
        <scheme val="minor"/>
      </rPr>
      <t>, 123–135. https://doi.org/10.3354/meps12791</t>
    </r>
  </si>
  <si>
    <t>Parapenaeus longirostris</t>
  </si>
  <si>
    <t>Nephrops norvegicus</t>
  </si>
  <si>
    <r>
      <t xml:space="preserve">Puce, S., Bavestrello, G., Di Camillo, C. G., &amp; Boero, F. (2009). Long-term changes in hydroid (Cnidaria, Hydrozoa) assemblages: Effect of Mediterranean warming? </t>
    </r>
    <r>
      <rPr>
        <i/>
        <sz val="11"/>
        <color theme="1"/>
        <rFont val="Calibri"/>
        <family val="2"/>
        <scheme val="minor"/>
      </rPr>
      <t>Marine Ecology</t>
    </r>
    <r>
      <rPr>
        <sz val="11"/>
        <color theme="1"/>
        <rFont val="Calibri"/>
        <family val="2"/>
        <scheme val="minor"/>
      </rPr>
      <t xml:space="preserve">, </t>
    </r>
    <r>
      <rPr>
        <i/>
        <sz val="11"/>
        <color theme="1"/>
        <rFont val="Calibri"/>
        <family val="2"/>
        <scheme val="minor"/>
      </rPr>
      <t>30</t>
    </r>
    <r>
      <rPr>
        <sz val="11"/>
        <color theme="1"/>
        <rFont val="Calibri"/>
        <family val="2"/>
        <scheme val="minor"/>
      </rPr>
      <t>(3), 313–326. https://doi.org/10.1111/j.1439-0485.2009.00283.x</t>
    </r>
  </si>
  <si>
    <t>Portofino Promontory (center of Ligurian Sea)</t>
  </si>
  <si>
    <t>Aglaophenia kirchenpaueri</t>
  </si>
  <si>
    <t>Choose one edge</t>
  </si>
  <si>
    <t>Aglaophenia octodonta</t>
  </si>
  <si>
    <t>Aglaophenia picardi</t>
  </si>
  <si>
    <t>Aglaophenia tubiformis</t>
  </si>
  <si>
    <t>Amphinema dinema</t>
  </si>
  <si>
    <t>Amphinema rugosum</t>
  </si>
  <si>
    <t>Antennella secundaria</t>
  </si>
  <si>
    <t>Anthohebella parasitica</t>
  </si>
  <si>
    <t>Bimeria vestita</t>
  </si>
  <si>
    <t>Bougainvillia muscus</t>
  </si>
  <si>
    <t>Campanularia hincksii</t>
  </si>
  <si>
    <t>Cladocoryne floccosa</t>
  </si>
  <si>
    <t>Clytia hemisphaerica</t>
  </si>
  <si>
    <t>Clytia linearis</t>
  </si>
  <si>
    <t>Clytia noliformis</t>
  </si>
  <si>
    <t>Clytia paulensis</t>
  </si>
  <si>
    <t>Coryne muscoides</t>
  </si>
  <si>
    <t>Dynamena disticha</t>
  </si>
  <si>
    <t>Ectopleura larynx</t>
  </si>
  <si>
    <t>Ectopleura wrighti</t>
  </si>
  <si>
    <t>Eudendrium album</t>
  </si>
  <si>
    <t>Eudendrium armatum</t>
  </si>
  <si>
    <t>Eudendrium capillare</t>
  </si>
  <si>
    <t>Eudendrium glomeratum</t>
  </si>
  <si>
    <t>Eudendrium racemosum</t>
  </si>
  <si>
    <t>Filellum serpens</t>
  </si>
  <si>
    <t>Garveia grisea</t>
  </si>
  <si>
    <t>Halecium beanii</t>
  </si>
  <si>
    <t>Halecium delicatulum</t>
  </si>
  <si>
    <t>Halecium labrosum</t>
  </si>
  <si>
    <t>Halecium lankesterii</t>
  </si>
  <si>
    <t>Halecium nanum</t>
  </si>
  <si>
    <t>Halecium pusillum</t>
  </si>
  <si>
    <t>Halecium tenellum</t>
  </si>
  <si>
    <t>Hydranthea margarica</t>
  </si>
  <si>
    <t>Hydrodendron mirabile</t>
  </si>
  <si>
    <t>Kirchenpaueria halecioides</t>
  </si>
  <si>
    <t>Kirchenpaueria pinnata</t>
  </si>
  <si>
    <t>Lafoeina tenuis</t>
  </si>
  <si>
    <t>Laodicea undulata</t>
  </si>
  <si>
    <t>Mitrocomium medusiferum</t>
  </si>
  <si>
    <t>Obelia dichotoma</t>
  </si>
  <si>
    <t>Orthopyxis crenata</t>
  </si>
  <si>
    <t>Orthopyxis integra</t>
  </si>
  <si>
    <t>Pachycordyle pusilla</t>
  </si>
  <si>
    <t>Perarella schneideri</t>
  </si>
  <si>
    <t>Plumularia setacea</t>
  </si>
  <si>
    <t>Salacia desmoides</t>
  </si>
  <si>
    <t>Scandia gigas</t>
  </si>
  <si>
    <t>Sertularella crassicaulis</t>
  </si>
  <si>
    <t>Sertularella ellisii</t>
  </si>
  <si>
    <t>Sertularella polyzonias</t>
  </si>
  <si>
    <t>Stylactis fucicola</t>
  </si>
  <si>
    <t>Turritopsis dohrnii</t>
  </si>
  <si>
    <t>Zanclea costata</t>
  </si>
  <si>
    <r>
      <t xml:space="preserve">Simkanin, C., Power, A.-M., Myers, A., McGrath, D., Southward, A., Mieszkowska, N., Leaper, R., Moore, P., Ross, R., &amp; Connolly, N. (2005). Using historical data to detect temporal changes in the abundances of intertidal species on Irish shores. </t>
    </r>
    <r>
      <rPr>
        <i/>
        <sz val="11"/>
        <color theme="1"/>
        <rFont val="Calibri"/>
        <family val="2"/>
        <scheme val="minor"/>
      </rPr>
      <t>Journal of the Marine Biological Association of the United Kingdom, 85</t>
    </r>
    <r>
      <rPr>
        <sz val="11"/>
        <color theme="1"/>
        <rFont val="Calibri"/>
        <family val="2"/>
        <scheme val="minor"/>
      </rPr>
      <t>(6), 1329–1340. https://doi.org/10.1017/S0025315405012506</t>
    </r>
  </si>
  <si>
    <t>Ireland</t>
  </si>
  <si>
    <t>Anemonia viridis</t>
  </si>
  <si>
    <r>
      <t xml:space="preserve">Sagarin, R. D., Barry, J. P., Gilman, S. E., &amp; Baxter, C. H. (1999). Climate-related change in an intertidal community over short and long time scales. </t>
    </r>
    <r>
      <rPr>
        <i/>
        <sz val="11"/>
        <color theme="1"/>
        <rFont val="Calibri"/>
        <family val="2"/>
        <scheme val="minor"/>
      </rPr>
      <t>Ecological Monographs, 69</t>
    </r>
    <r>
      <rPr>
        <sz val="11"/>
        <color theme="1"/>
        <rFont val="Calibri"/>
        <family val="2"/>
        <scheme val="minor"/>
      </rPr>
      <t>(4), 465–490. https://doi.org/10.1890/0012-9615(1999)069[0465:CRCIAI]2.0.CO;2</t>
    </r>
  </si>
  <si>
    <t>Hopkins Marine Station, Pacific Grove, California</t>
  </si>
  <si>
    <t>Anthopleura elegantissima</t>
  </si>
  <si>
    <t>Anthopleura xanthogrammica</t>
  </si>
  <si>
    <t>Corynactis californica</t>
  </si>
  <si>
    <t>Ma, Z., Xu, Z., &amp; Zhou, J. (2009). Effect of global warming on the distribution of Lucifer intermedius and L. hanseni (Decapoda) in the Changjiang estuary. Progress in Natural Science, 19(10), 1389–1395. https://doi.org/10.1016/j.pnsc.2008.12.008</t>
  </si>
  <si>
    <t>Changjiang estuary</t>
  </si>
  <si>
    <t>Belzebub intermedius</t>
  </si>
  <si>
    <t>Belzebub hanseni</t>
  </si>
  <si>
    <r>
      <t xml:space="preserve">Simkanin, C., Power, A. M., Myers, A., McGrath, D., Southward, A., Mieszkowska, N., Leaper, R., &amp; O’Riordan, R. (2005). Using historical data to detect temporal changes in the abundances of intertidal species on Irish shores. </t>
    </r>
    <r>
      <rPr>
        <i/>
        <sz val="11"/>
        <color theme="1"/>
        <rFont val="Calibri"/>
        <family val="2"/>
        <scheme val="minor"/>
      </rPr>
      <t>Journal of the Marine Biological Association of the United Kingdom, 85</t>
    </r>
    <r>
      <rPr>
        <sz val="11"/>
        <color theme="1"/>
        <rFont val="Calibri"/>
        <family val="2"/>
        <scheme val="minor"/>
      </rPr>
      <t>(6), 1329–1340. https://doi.org/10.1017/S0025315405012506</t>
    </r>
  </si>
  <si>
    <t>Balanus crenatus</t>
  </si>
  <si>
    <t>Petrolisthes cinctipes</t>
  </si>
  <si>
    <t>Alpheus clamator</t>
  </si>
  <si>
    <r>
      <t xml:space="preserve">Borges, L. M. S., Merckelbach, L. M., &amp; Cragg, S. M. (2014). Biogeography of wood-boring crustaceans (Isopoda: Limnoriidae) established in European coastal waters. </t>
    </r>
    <r>
      <rPr>
        <i/>
        <sz val="11"/>
        <color theme="1"/>
        <rFont val="Calibri"/>
        <family val="2"/>
        <scheme val="minor"/>
      </rPr>
      <t>PLOS ONE, 9</t>
    </r>
    <r>
      <rPr>
        <sz val="11"/>
        <color theme="1"/>
        <rFont val="Calibri"/>
        <family val="2"/>
        <scheme val="minor"/>
      </rPr>
      <t>(10), e109593. https://doi.org/10.1371/journal.pone.0109593</t>
    </r>
  </si>
  <si>
    <t>Europe</t>
  </si>
  <si>
    <t>Limnoria quadripunctata</t>
  </si>
  <si>
    <t>Limnoria lignorum</t>
  </si>
  <si>
    <t>Limnoria tripunctata</t>
  </si>
  <si>
    <r>
      <t xml:space="preserve">Hinder, S. L., Gravenor, M. B., Edwards, M., Ostle, C., Bodger, O. G., Lee, P. L. M., Walne, A. W., &amp; Hays, G. C. (2014). Multi-decadal range changes vs. thermal adaptation for north east Atlantic oceanic copepods in the face of climate change. </t>
    </r>
    <r>
      <rPr>
        <i/>
        <sz val="11"/>
        <color theme="1"/>
        <rFont val="Calibri"/>
        <family val="2"/>
        <scheme val="minor"/>
      </rPr>
      <t>Global Change Biology, 20</t>
    </r>
    <r>
      <rPr>
        <sz val="11"/>
        <color theme="1"/>
        <rFont val="Calibri"/>
        <family val="2"/>
        <scheme val="minor"/>
      </rPr>
      <t>(1), 140–146. https://doi.org/10.1111/gcb.2013.20.issue-1</t>
    </r>
  </si>
  <si>
    <t>North Sea, North Atlantic, Irish Sea</t>
  </si>
  <si>
    <r>
      <t xml:space="preserve">Yang, Q., Liu, H., Liu, G., &amp; Gu, Y. (2018). Spatio-temporal distribution pattern of </t>
    </r>
    <r>
      <rPr>
        <i/>
        <sz val="11"/>
        <color theme="1"/>
        <rFont val="Calibri"/>
        <family val="2"/>
        <scheme val="minor"/>
      </rPr>
      <t>Calanus sinicus</t>
    </r>
    <r>
      <rPr>
        <sz val="11"/>
        <color theme="1"/>
        <rFont val="Calibri"/>
        <family val="2"/>
        <scheme val="minor"/>
      </rPr>
      <t xml:space="preserve"> and its relationship with climate variability in the northern Yellow Sea. </t>
    </r>
    <r>
      <rPr>
        <i/>
        <sz val="11"/>
        <color theme="1"/>
        <rFont val="Calibri"/>
        <family val="2"/>
        <scheme val="minor"/>
      </rPr>
      <t>ICES Journal of Marine Science, 75</t>
    </r>
    <r>
      <rPr>
        <sz val="11"/>
        <color theme="1"/>
        <rFont val="Calibri"/>
        <family val="2"/>
        <scheme val="minor"/>
      </rPr>
      <t>(2), 764–772. https://doi.org/10.1093/icesjms/fsx149</t>
    </r>
  </si>
  <si>
    <t>Yellow Sea</t>
  </si>
  <si>
    <t>Calanus sinicus</t>
  </si>
  <si>
    <r>
      <t>Rogers-Bennett, L. (2007). Is climate change contributing to range reductions and localized extinctions in northern (</t>
    </r>
    <r>
      <rPr>
        <i/>
        <sz val="11"/>
        <color theme="1"/>
        <rFont val="Calibri"/>
        <family val="2"/>
        <scheme val="minor"/>
      </rPr>
      <t>Haliotis kamtschatkana</t>
    </r>
    <r>
      <rPr>
        <sz val="11"/>
        <color theme="1"/>
        <rFont val="Calibri"/>
        <family val="2"/>
        <scheme val="minor"/>
      </rPr>
      <t>) and flat (</t>
    </r>
    <r>
      <rPr>
        <i/>
        <sz val="11"/>
        <color theme="1"/>
        <rFont val="Calibri"/>
        <family val="2"/>
        <scheme val="minor"/>
      </rPr>
      <t>Haliotis walallensis</t>
    </r>
    <r>
      <rPr>
        <sz val="11"/>
        <color theme="1"/>
        <rFont val="Calibri"/>
        <family val="2"/>
        <scheme val="minor"/>
      </rPr>
      <t xml:space="preserve">) abalones? </t>
    </r>
    <r>
      <rPr>
        <i/>
        <sz val="11"/>
        <color theme="1"/>
        <rFont val="Calibri"/>
        <family val="2"/>
        <scheme val="minor"/>
      </rPr>
      <t>Bulletin of Marine Science, 81</t>
    </r>
    <r>
      <rPr>
        <sz val="11"/>
        <color theme="1"/>
        <rFont val="Calibri"/>
        <family val="2"/>
        <scheme val="minor"/>
      </rPr>
      <t>, 283–296.</t>
    </r>
  </si>
  <si>
    <t>Pacific Coast of the US</t>
  </si>
  <si>
    <t>Haliotis walallensis</t>
  </si>
  <si>
    <t>Haliotis kamtschatkana</t>
  </si>
  <si>
    <t>Steromphala umbilicaris</t>
  </si>
  <si>
    <t>Patella ulyssiponensis</t>
  </si>
  <si>
    <t>Littorina littorea</t>
  </si>
  <si>
    <t>Selene.dorsalis</t>
  </si>
  <si>
    <t>Sphyraena.sphyraena</t>
  </si>
  <si>
    <t>Squatina.oculata</t>
  </si>
  <si>
    <t>Octopus vulgaris</t>
  </si>
  <si>
    <t>Stomias.boa</t>
  </si>
  <si>
    <t>Symbolophorus.boops</t>
  </si>
  <si>
    <t>Thyrsites.atun</t>
  </si>
  <si>
    <t>Ophiura albida</t>
  </si>
  <si>
    <t>Annelida</t>
  </si>
  <si>
    <t>Nephtys cirrosa</t>
  </si>
  <si>
    <t>Spiophanes kroyeri</t>
  </si>
  <si>
    <t>Nephtys caeca</t>
  </si>
  <si>
    <t>Sthenelais limicola</t>
  </si>
  <si>
    <t>Spio filicornis</t>
  </si>
  <si>
    <t>Scalibregma inflatum</t>
  </si>
  <si>
    <t>Notomastus latericeus</t>
  </si>
  <si>
    <t>Magelona alleni</t>
  </si>
  <si>
    <t>Scolelepis bonnieri</t>
  </si>
  <si>
    <t>Echinocardium cordatum</t>
  </si>
  <si>
    <t>Poecilochaetus serpens</t>
  </si>
  <si>
    <t>Phyllodoce rosea</t>
  </si>
  <si>
    <t>Amphiura filiformis</t>
  </si>
  <si>
    <t>Nephtys longosetosa</t>
  </si>
  <si>
    <t>Lanice conchilega</t>
  </si>
  <si>
    <t>Glycera alba</t>
  </si>
  <si>
    <t>Glycinde nordmanni</t>
  </si>
  <si>
    <t>Echinocyamus pusillus</t>
  </si>
  <si>
    <t>Spiophanes bombyx</t>
  </si>
  <si>
    <t>Nephtys hombergii</t>
  </si>
  <si>
    <t>Anaitides groenlandica</t>
  </si>
  <si>
    <t>Ophiodromus flexuosus</t>
  </si>
  <si>
    <t>Owenia fusiformis</t>
  </si>
  <si>
    <t>Amphictene auricoma</t>
  </si>
  <si>
    <t>Diplocirrus glaucus</t>
  </si>
  <si>
    <t>Aonides paucibranchiata</t>
  </si>
  <si>
    <t>Chaetozone setosa</t>
  </si>
  <si>
    <t>Glycera lapidum</t>
  </si>
  <si>
    <t>Anobothrus gracilis</t>
  </si>
  <si>
    <t>Goniada maculata</t>
  </si>
  <si>
    <t>Lagis koreni</t>
  </si>
  <si>
    <t>Tosia magnifica</t>
  </si>
  <si>
    <t>Goniocidaris tubaria</t>
  </si>
  <si>
    <t>Uniophora granifera</t>
  </si>
  <si>
    <t>Austrofromia polypora</t>
  </si>
  <si>
    <t>Paranepanthia grandis</t>
  </si>
  <si>
    <t>Meridiastra gunnii</t>
  </si>
  <si>
    <t>Plectaster decanus</t>
  </si>
  <si>
    <t>Tosia australis</t>
  </si>
  <si>
    <t>Holopneustes inflatus</t>
  </si>
  <si>
    <t>Pseudonepanthia troughtoni</t>
  </si>
  <si>
    <t>Nectria macrobrachia</t>
  </si>
  <si>
    <t>Nectria ocellata</t>
  </si>
  <si>
    <t>Pentagonaster duebeni</t>
  </si>
  <si>
    <t>Australostichopus mollis</t>
  </si>
  <si>
    <t>Cenolia trichoptera</t>
  </si>
  <si>
    <t>Heliocidaris erythrogramma</t>
  </si>
  <si>
    <t>Petricia vernicina</t>
  </si>
  <si>
    <t>Coscinasterias muricata</t>
  </si>
  <si>
    <t>Meridiastra calcar</t>
  </si>
  <si>
    <t>Echinaster arcystatus</t>
  </si>
  <si>
    <t>S. K. Berke et al., Range shifts and species diversity in marine ecosystem engineers: patterns and predictions for European sedimentary habitats. Glob. Ecol. Biogeogr. 19, 223–232 (2010).</t>
  </si>
  <si>
    <t>Diopatra</t>
  </si>
  <si>
    <t>Trachyrincus.scabrus</t>
  </si>
  <si>
    <t>Triplophos.hemingi</t>
  </si>
  <si>
    <t>Tharyx acutus</t>
  </si>
  <si>
    <t>Podarkeopsis levifuscina</t>
  </si>
  <si>
    <t>Heteromastus filiformis</t>
  </si>
  <si>
    <t>Polydora cornuta</t>
  </si>
  <si>
    <t>Mediomastus ambiseta</t>
  </si>
  <si>
    <t>Streblospio benedicti</t>
  </si>
  <si>
    <t>Scoloplos robustus</t>
  </si>
  <si>
    <t>Clymenella torquata</t>
  </si>
  <si>
    <t>Sigambra tentaculata</t>
  </si>
  <si>
    <t>Nephtys incisa</t>
  </si>
  <si>
    <t>Glycinde solitaria</t>
  </si>
  <si>
    <t>Paraprionospio pinnata</t>
  </si>
  <si>
    <t>Glycera americana</t>
  </si>
  <si>
    <t>Nephtys picta</t>
  </si>
  <si>
    <t>Alitta succinea</t>
  </si>
  <si>
    <t>Pectinaria gouldii</t>
  </si>
  <si>
    <t>Sabellaria vulgaris</t>
  </si>
  <si>
    <t>Umbrina.canariensis</t>
  </si>
  <si>
    <t>Zues.capensis</t>
  </si>
  <si>
    <r>
      <t xml:space="preserve">Yurkowski, D. J., Ferguson, S. H., Semeniuk, C. A. D., Brown, T. M., Muir, D. C. G., &amp; Fisk, A. T. (2016). Spatial and temporal variation of an ice-adapted predator’s feeding ecology in a changing Arctic marine ecosystem. </t>
    </r>
    <r>
      <rPr>
        <i/>
        <sz val="11"/>
        <color theme="1"/>
        <rFont val="Calibri"/>
        <family val="2"/>
        <scheme val="minor"/>
      </rPr>
      <t>Oecologia, 180</t>
    </r>
    <r>
      <rPr>
        <sz val="11"/>
        <color theme="1"/>
        <rFont val="Calibri"/>
        <family val="2"/>
        <scheme val="minor"/>
      </rPr>
      <t>(3), 631–644. https://doi.org/10.1007/s00442-015-3384-5</t>
    </r>
  </si>
  <si>
    <t>North. Passages</t>
  </si>
  <si>
    <t>Pusa hispida</t>
  </si>
  <si>
    <t>Not primarily a distribution paper. Any spatial change is framed as differences among regions and years in diet and foraging area, not as a coherent poleward shift.</t>
  </si>
  <si>
    <r>
      <t xml:space="preserve">Johnson, C. R., Ling, S. D., Ross, J., Shepherd, S. A., &amp; Miller, K. (2005). </t>
    </r>
    <r>
      <rPr>
        <i/>
        <sz val="11"/>
        <color theme="1"/>
        <rFont val="Calibri"/>
        <family val="2"/>
        <scheme val="minor"/>
      </rPr>
      <t>Range extension of the long-spined sea urchin (Centrostephanus rodgersii) in eastern Tasmania: Assessment of potential threats to fisheries</t>
    </r>
    <r>
      <rPr>
        <sz val="11"/>
        <color theme="1"/>
        <rFont val="Calibri"/>
        <family val="2"/>
        <scheme val="minor"/>
      </rPr>
      <t xml:space="preserve"> (FRDC Final Report 2001/044). School of Zoology, University of Tasmania.</t>
    </r>
  </si>
  <si>
    <t>Kent Group Islands and Tasmania</t>
  </si>
  <si>
    <r>
      <t xml:space="preserve">Kirby, R. R., Beaugrand, G., &amp; Lindley, J. A. (2007). Climate effects and benthic–pelagic coupling in the North Sea. </t>
    </r>
    <r>
      <rPr>
        <i/>
        <sz val="11"/>
        <color theme="1"/>
        <rFont val="Calibri"/>
        <family val="2"/>
        <scheme val="minor"/>
      </rPr>
      <t>Marine Ecology Progress Series, 330</t>
    </r>
    <r>
      <rPr>
        <sz val="11"/>
        <color theme="1"/>
        <rFont val="Calibri"/>
        <family val="2"/>
        <scheme val="minor"/>
      </rPr>
      <t>, 31–38. https://doi.org/10.3354/meps330031</t>
    </r>
  </si>
  <si>
    <t>North Sea and North Atlantic</t>
  </si>
  <si>
    <t>Sabellaria alveolata</t>
  </si>
  <si>
    <t>Paracentrotus lividus</t>
  </si>
  <si>
    <r>
      <t xml:space="preserve">Edward, D. A., Travis, J. M. J., &amp; Heckmann, J. D. (2007). Change in the distribution of a member of the strand line community: The seaweed fly (Diptera: Coelopidae). </t>
    </r>
    <r>
      <rPr>
        <i/>
        <sz val="11"/>
        <color theme="1"/>
        <rFont val="Calibri"/>
        <family val="2"/>
        <scheme val="minor"/>
      </rPr>
      <t>Ecological Entomology, 32</t>
    </r>
    <r>
      <rPr>
        <sz val="11"/>
        <color theme="1"/>
        <rFont val="Calibri"/>
        <family val="2"/>
        <scheme val="minor"/>
      </rPr>
      <t>(5), 578–584. https://doi.org/10.1111/j.1365-2311.2007.00919.x</t>
    </r>
  </si>
  <si>
    <t>Arthropoda</t>
  </si>
  <si>
    <t>Coelopa pilipes</t>
  </si>
  <si>
    <t>Coelopa frigida</t>
  </si>
  <si>
    <r>
      <t xml:space="preserve">Berke, S. K., Jablonski, D., Krug, A. Z., Roy, K., &amp; Tomasovych, A. (2010). Range shifts and species diversity in marine ecosystem engineers: Patterns and predictions for European sedimentary habitats. </t>
    </r>
    <r>
      <rPr>
        <i/>
        <sz val="11"/>
        <color theme="1"/>
        <rFont val="Calibri"/>
        <family val="2"/>
        <scheme val="minor"/>
      </rPr>
      <t>Global Ecology and Biogeography, 19</t>
    </r>
    <r>
      <rPr>
        <sz val="11"/>
        <color theme="1"/>
        <rFont val="Calibri"/>
        <family val="2"/>
        <scheme val="minor"/>
      </rPr>
      <t>(3), 223–232. https://doi.org/10.1111/j.1466-8238.2009.00509.x</t>
    </r>
  </si>
  <si>
    <t>Bay of Biscay/NE Atlantic</t>
  </si>
  <si>
    <t>Diopatra sp. A</t>
  </si>
  <si>
    <t>Diopatra marocensis</t>
  </si>
  <si>
    <t>Chordata</t>
  </si>
  <si>
    <t>Polyclinum planum</t>
  </si>
  <si>
    <t>Leptasterias hexactis</t>
  </si>
  <si>
    <t>Lissothuria nutriens</t>
  </si>
  <si>
    <t>Number</t>
  </si>
  <si>
    <t>Reference</t>
  </si>
  <si>
    <t>Link</t>
  </si>
  <si>
    <t>RefYear</t>
  </si>
  <si>
    <t>Region</t>
  </si>
  <si>
    <t>Hemisphere</t>
  </si>
  <si>
    <t>FirstYear</t>
  </si>
  <si>
    <t>LastYear</t>
  </si>
  <si>
    <t>Duration</t>
  </si>
  <si>
    <t>DataType</t>
  </si>
  <si>
    <t>Group</t>
  </si>
  <si>
    <t>Subgroup</t>
  </si>
  <si>
    <t>Measure</t>
  </si>
  <si>
    <t>Type</t>
  </si>
  <si>
    <t>InitialDOY</t>
  </si>
  <si>
    <t>Season</t>
  </si>
  <si>
    <t>Author</t>
  </si>
  <si>
    <t>&gt;= 19 years?</t>
  </si>
  <si>
    <t>Predictors</t>
  </si>
  <si>
    <t>Explanation</t>
  </si>
  <si>
    <t>Details</t>
  </si>
  <si>
    <t>PhenologyVsPredictorTested</t>
  </si>
  <si>
    <t>Models</t>
  </si>
  <si>
    <t>Pseudoreplication(N=don't include; Y=include)</t>
  </si>
  <si>
    <t>Checked</t>
  </si>
  <si>
    <t xml:space="preserve">Rubenstein et al. (2019) Trophic implications of a phenological paradigm shift: Bald eagles and salmon in a changing climate. Journal of Applied Ecology </t>
  </si>
  <si>
    <t>West coast of US</t>
  </si>
  <si>
    <t>Northern</t>
  </si>
  <si>
    <t>Continuous</t>
  </si>
  <si>
    <t>Chum salmon</t>
  </si>
  <si>
    <t>Migration arrival</t>
  </si>
  <si>
    <t>Timing</t>
  </si>
  <si>
    <t>Autumn</t>
  </si>
  <si>
    <t>Y</t>
  </si>
  <si>
    <t>SST, flooding</t>
  </si>
  <si>
    <t>Climate change suggested to influence earlier timing but not tested</t>
  </si>
  <si>
    <t>See p. 773 and Fig. 3a. Initial DOY = Week 48.1 (About Day 332). NOTE: Mismatch between salmon and eagles tested</t>
  </si>
  <si>
    <t>LM</t>
  </si>
  <si>
    <t>Coho salmon</t>
  </si>
  <si>
    <t>Oncorhynchus kisutch</t>
  </si>
  <si>
    <t>See p. 773 and Fig. 3a (Unknown Season, but assumed to be same as Chum). NOTE: Mismatch between salmon and eagles tested</t>
  </si>
  <si>
    <t>McQueen et al. (2017) Shifts in spawning phenology of cod linked to rising sea temperatures. ICES J Mar Sci 74(6): 1561-1573</t>
  </si>
  <si>
    <t>Irish Sea</t>
  </si>
  <si>
    <t>Cod</t>
  </si>
  <si>
    <t>Spawning time</t>
  </si>
  <si>
    <t>Spring</t>
  </si>
  <si>
    <t>SST</t>
  </si>
  <si>
    <t>Warmer conditions lead to earlier oogenesis</t>
  </si>
  <si>
    <t>Rate of change (weeks per month) in Peak Roe Month (PRM) from Table 1. Averaged for the two weightings (1.03 + 0.81)/2*7. Minus because earlier. Also see Fig. 3.</t>
  </si>
  <si>
    <t>LM (Type II)</t>
  </si>
  <si>
    <t>N</t>
  </si>
  <si>
    <t>Central North Sea</t>
  </si>
  <si>
    <t>Rate of change (weeks per month) in Peak Roe Month (PRM) from Table 1. Averaged for the two weightings (2.44 + 1.76)/2*7. Minus because earlier. Also see Fig. 3.</t>
  </si>
  <si>
    <t>Northern North Sea</t>
  </si>
  <si>
    <t>Fincham et al. (2013) Shifts in the timing of spawning in sole linked to warming sea temperatures. Journal of Sea Research 75 (2013) 69–76</t>
  </si>
  <si>
    <t>Irish Sea (107A)</t>
  </si>
  <si>
    <t>Common sole</t>
  </si>
  <si>
    <t>Seaward migration</t>
  </si>
  <si>
    <t>Sexual maturity data. Note that 4 out of 7 regions were significant, 1 other too short, and 2 others could have negative trends? Overall data given - would need to digitise data for each region to get 7 estimates</t>
  </si>
  <si>
    <t>Y (−1.35 weeks for every 1oC)</t>
  </si>
  <si>
    <t>East-central North Sea (104BE)</t>
  </si>
  <si>
    <t>Data estimated from Fig. 3. Data for 2 x Bristol Channel sites were removed because too short</t>
  </si>
  <si>
    <t>West-central North Sea (104BW)</t>
  </si>
  <si>
    <t>Southern North Sea (104C)</t>
  </si>
  <si>
    <t>Eastern Channel (107D)</t>
  </si>
  <si>
    <t>Bristol Channel (107E)</t>
  </si>
  <si>
    <t>NCEAS</t>
  </si>
  <si>
    <t>Bertram, D.F., D.L. Mackas, and S.M. McKinnell. 2001. The seasonal cycle revisited: interannual variation and ecosystem consequences.  Progress in Oceanography 49: 283-307.</t>
  </si>
  <si>
    <t>North-east Pacific</t>
  </si>
  <si>
    <t>Irregular</t>
  </si>
  <si>
    <t>Cassin's auklet</t>
  </si>
  <si>
    <t>Ptychoramphus aleuticus</t>
  </si>
  <si>
    <t>NC</t>
  </si>
  <si>
    <t>Bill S</t>
  </si>
  <si>
    <t>Rhinoceros auklet</t>
  </si>
  <si>
    <t>Cerorhinca monocerata</t>
  </si>
  <si>
    <t>Tufted puffin</t>
  </si>
  <si>
    <t>Fratercula cirrhata</t>
  </si>
  <si>
    <t>Taylor et al. (2018) Climate warming causes phenological shift in Pink Salmon, Oncorhynchus gorbuscha, behavior at Auke Creek, Alaska. Global Change Biology 14: 229–235</t>
  </si>
  <si>
    <t>Auke Creek, Alaska</t>
  </si>
  <si>
    <t>Pink salmon</t>
  </si>
  <si>
    <t>Oncorhynchus gorbuscha</t>
  </si>
  <si>
    <t>For fry. Warmer temperature speeding up development of eggs/fry</t>
  </si>
  <si>
    <t>Gaston, A.J. and J.L. Smith. 2001. Changes in oceanographic conditions off northern British Columbia (1983-1999) and the reproduction of a marine bird, the Ancient Murrelet (Synthliboramphus antiquus). Canadian Journal of Zoology 79:1735-1742.</t>
  </si>
  <si>
    <t>Ancient murrelet</t>
  </si>
  <si>
    <t>Synthliboramphus antiquus</t>
  </si>
  <si>
    <t>Gjerdrum et al. (2003) Tufted puffin reproduction reveals ocean climate variability. Proc. Natl. Acad. Sci. USA.
100:9377–9382.</t>
  </si>
  <si>
    <t>Fratercula cirrhat</t>
  </si>
  <si>
    <t>Table 1 in Hindell et al. 2012 has all the values (mult. by 10 for per decade)</t>
  </si>
  <si>
    <t>Bal et al. (2017) Evidence for long-term change in length, mass and migration phenology of anadromous spawners in French Atlantic salmon Salmo salar. J Fish Biol 90: 2375-2393</t>
  </si>
  <si>
    <t>Normandy</t>
  </si>
  <si>
    <t>Salmon</t>
  </si>
  <si>
    <t>Salmo salar</t>
  </si>
  <si>
    <t>Summer</t>
  </si>
  <si>
    <t>None</t>
  </si>
  <si>
    <t>Speculates that declining feeding conditions at sea could cause later migration back to rivers</t>
  </si>
  <si>
    <t>Normandy region. DOY estimated from Fig. 2a. Use timing values from text = "up to 40 days later for Normandy and Brittany (will use 35 days), and 20 days for Aquitaine</t>
  </si>
  <si>
    <t>Brittany</t>
  </si>
  <si>
    <t>Brittany region. DOY estimated from Fig. 2a. Use timing from text = "up to 40 days later for Normandy and Brittany (will use 35 days), and 20 days for Aquitaine</t>
  </si>
  <si>
    <t>Aquitane</t>
  </si>
  <si>
    <t>Aquitaine region. DOY estimated from Fig. 2a. Used timing from text = "up to 40 days later for Normandy and Brittany (will use 35 days), and 20 days for Aquitaine</t>
  </si>
  <si>
    <t>Chevillot et al. (2017) Toward a phenological mismatch in estuarine pelagic food web? PLoS One 12(3): e0173752</t>
  </si>
  <si>
    <t>Gironde Estuary, France</t>
  </si>
  <si>
    <t>L. ramada</t>
  </si>
  <si>
    <t>Peak abundance</t>
  </si>
  <si>
    <t>Winter</t>
  </si>
  <si>
    <t>Warming in the region most likely responsible for earlier shifts</t>
  </si>
  <si>
    <t>No effect sizes given. Data from Table 2. Data from Central tendency used. Getting earlier (/) was consistent and later (\) was not consistent. C and backward C were NC (no change overall) (See Fig.3 for definitions). Paper says there has been warming. Dates estimated from Fig. S1 and peak month taken as middle of month (day 15) for peak month for the 1985-1988 period.</t>
  </si>
  <si>
    <t>Bayesian modelling</t>
  </si>
  <si>
    <t>A. anguilla</t>
  </si>
  <si>
    <t>A. alosa</t>
  </si>
  <si>
    <t>A. fallax</t>
  </si>
  <si>
    <t>E. encrasicolus</t>
  </si>
  <si>
    <t>O. eperlanus</t>
  </si>
  <si>
    <t>G. aculatus</t>
  </si>
  <si>
    <t>P. flesus</t>
  </si>
  <si>
    <t>Pomatoschistus sp.</t>
  </si>
  <si>
    <t>A. reguis</t>
  </si>
  <si>
    <t>Dicentrarchus sp.</t>
  </si>
  <si>
    <t>Solea sp.</t>
  </si>
  <si>
    <t>S. sprattus</t>
  </si>
  <si>
    <t>Syngnathus sp.</t>
  </si>
  <si>
    <t>Durant et al. (2019) Contrasting effects of rising temperatures on trophic interactions in marine ecosystems. Scientific Reports 9: 15213</t>
  </si>
  <si>
    <t>Bay of Biscay</t>
  </si>
  <si>
    <t>Zooplankton</t>
  </si>
  <si>
    <t>Copepod</t>
  </si>
  <si>
    <t>Copepods</t>
  </si>
  <si>
    <t>Centropages typicus</t>
  </si>
  <si>
    <t>SST, NAO</t>
  </si>
  <si>
    <t>Warming leading to earlier peak</t>
  </si>
  <si>
    <t>Estimated from phenology data (CPR) on Centropages typicus in the Bay of Biscay (p. 4 in Supplement) - Day 210 (1970) to Day 140 (2012)</t>
  </si>
  <si>
    <t>E. afinis</t>
  </si>
  <si>
    <t>A. bifilosa</t>
  </si>
  <si>
    <t>Meroplankton</t>
  </si>
  <si>
    <t>Other</t>
  </si>
  <si>
    <t>Mysid</t>
  </si>
  <si>
    <t>N. integer</t>
  </si>
  <si>
    <t>M. slabberi</t>
  </si>
  <si>
    <t>Appelqvist et al. (2016) A phenological shift in the time of recruitment of the
shipworm, Teredo navalis L., mirrors marine climate change. Ecology and Evolution 2016; 6(12): 3862–
3870</t>
  </si>
  <si>
    <t>Western Sweden</t>
  </si>
  <si>
    <t>Two periods</t>
  </si>
  <si>
    <t>Worm</t>
  </si>
  <si>
    <t>Shipworm</t>
  </si>
  <si>
    <t>Teredo navalis</t>
  </si>
  <si>
    <t>Recruitment</t>
  </si>
  <si>
    <t>Earlier because of warming</t>
  </si>
  <si>
    <t>First observed recruits (Fig. 2) and from text is 21 days earlier in 2000s compared with 1970s</t>
  </si>
  <si>
    <t>Abraham, C.L. and W.J. Sydeman. 2004. Ocean climate, euphausiids and auklet nesting: inter-annual trends and variation in phenology, diet and growth of a planktivorous seabird, Ptychoramphus aleuticus.  Marine Ecology Progress Series 274: 235-250.</t>
  </si>
  <si>
    <t>McGinty et al. (2011) Variation among northeast Atlantic regions in the responses of zooplankton to climate change: Not all areas follow the same path. Journal of Experimental Marine Biology and Ecology 400: 120–131</t>
  </si>
  <si>
    <t>SW Britain</t>
  </si>
  <si>
    <t>Rocky shore</t>
  </si>
  <si>
    <t>Southern limpet</t>
  </si>
  <si>
    <t>Patella depressa</t>
  </si>
  <si>
    <t>Earlier reproductive development</t>
  </si>
  <si>
    <t>Northern limpet</t>
  </si>
  <si>
    <t>Cold-water species delayed development (to when its colder)</t>
  </si>
  <si>
    <t>Henderson et al. (2017) Effects of spring onset and summer duration on fish species distribution and biomass along the Northeast United States continental shelf. Rev Fish Biol Fisheries (2017) 27:411–424</t>
  </si>
  <si>
    <t>Northeast US</t>
  </si>
  <si>
    <t>Acadian fish</t>
  </si>
  <si>
    <t>Biomass latitude</t>
  </si>
  <si>
    <t>Poorly analysed. But warming leads to movement further north because of earlier migration</t>
  </si>
  <si>
    <t>Hypothesised (see Abstract) to migrate earlier and thus would be seen further North. Data from Fig. 5A and derived consistency from there, but no values. The Season is Spring because survey was March/April.</t>
  </si>
  <si>
    <t>Pearson correlations</t>
  </si>
  <si>
    <t>American plaice</t>
  </si>
  <si>
    <t>Atlantic halibut</t>
  </si>
  <si>
    <t>Atlantic wolffish</t>
  </si>
  <si>
    <t>Black sea bass</t>
  </si>
  <si>
    <t>Black belly rosefish</t>
  </si>
  <si>
    <t>Cod (N)</t>
  </si>
  <si>
    <t>Cod (S)</t>
  </si>
  <si>
    <t>Cusk</t>
  </si>
  <si>
    <t>Fourspot flounder</t>
  </si>
  <si>
    <t>Goosefish</t>
  </si>
  <si>
    <t>Haddock (N)</t>
  </si>
  <si>
    <t>Haddock (S)</t>
  </si>
  <si>
    <t>Little skate</t>
  </si>
  <si>
    <t>Longhorn sculpin</t>
  </si>
  <si>
    <t>Ocean pout</t>
  </si>
  <si>
    <t>Pollock</t>
  </si>
  <si>
    <t>Red hake (N)</t>
  </si>
  <si>
    <t>Red hake (S)</t>
  </si>
  <si>
    <t>Sea raven</t>
  </si>
  <si>
    <t>Silver hake (N)</t>
  </si>
  <si>
    <t>Silver hake (S)</t>
  </si>
  <si>
    <t>Spiny dogfish</t>
  </si>
  <si>
    <t>Spotted hake</t>
  </si>
  <si>
    <t>Striped bass</t>
  </si>
  <si>
    <t>Summer flounder</t>
  </si>
  <si>
    <t>Thorny skate</t>
  </si>
  <si>
    <t>White hake</t>
  </si>
  <si>
    <t>Windowpane</t>
  </si>
  <si>
    <t>Winter flounder (N)</t>
  </si>
  <si>
    <t>Winter flounder (S)</t>
  </si>
  <si>
    <t>Winter skate</t>
  </si>
  <si>
    <t>Yellowtail flounder (N)</t>
  </si>
  <si>
    <t>Yellowtail flounder (S)</t>
  </si>
  <si>
    <t>American lobster</t>
  </si>
  <si>
    <t>Atlantic rock crab</t>
  </si>
  <si>
    <t>Jonah crab</t>
  </si>
  <si>
    <t>Longfin squid</t>
  </si>
  <si>
    <t>North shortfin squid</t>
  </si>
  <si>
    <t>Alewife</t>
  </si>
  <si>
    <t>American shad</t>
  </si>
  <si>
    <t>Dufour et al. (2010) Climate impacts on albacore and bluefin tunas migrations phenology and spatial distribution. Progress in Oceanography 86 (2010) 283–290</t>
  </si>
  <si>
    <t>Albacore tuna</t>
  </si>
  <si>
    <t>Arrival into Bay of Biscay. From Abstract</t>
  </si>
  <si>
    <t>Bluefin tuna</t>
  </si>
  <si>
    <t>Asch et al. (2015) Climate change and decadal shifts in the phenology of
larval fishes in the California Current ecosystem. PNAS E4065–E4074</t>
  </si>
  <si>
    <t>California Current</t>
  </si>
  <si>
    <t>Fish larvae</t>
  </si>
  <si>
    <t>Biomass peak</t>
  </si>
  <si>
    <t>SST, climate indices</t>
  </si>
  <si>
    <t>The species whose phenology became earlier were characterized by an offshore, pelagic distribution, whereas species with delayed phenology were more likely to reside in coastal, demersal habitats. Phenological changes were more closely associated with a trend toward earlier warming of surface waters rather than decadal climate cycles, such as the Pacific Decadal Oscillation and North Pacific Gyre Oscillation</t>
  </si>
  <si>
    <t>Data in Table S2. Only Phase I used when 2 phenophases. Resident species less consistent. 31 of 51 are consistent - earlier with warming</t>
  </si>
  <si>
    <t>Asch et al. (2015) Climate change and decadal shifts in the phenology of
larval fishes in the California Current ecosystem. PNAS E4065–E4075</t>
  </si>
  <si>
    <t>Asch et al. (2015) Climate change and decadal shifts in the phenology of
larval fishes in the California Current ecosystem. PNAS E4065–E4076</t>
  </si>
  <si>
    <t>Asch et al. (2015) Climate change and decadal shifts in the phenology of
larval fishes in the California Current ecosystem. PNAS E4065–E4077</t>
  </si>
  <si>
    <t>Asch et al. (2015) Climate change and decadal shifts in the phenology of
larval fishes in the California Current ecosystem. PNAS E4065–E4078</t>
  </si>
  <si>
    <t>Bathylagus wesethi</t>
  </si>
  <si>
    <t>Asch et al. (2015) Climate change and decadal shifts in the phenology of
larval fishes in the California Current ecosystem. PNAS E4065–E4079</t>
  </si>
  <si>
    <t>Asch et al. (2015) Climate change and decadal shifts in the phenology of
larval fishes in the California Current ecosystem. PNAS E4065–E4080</t>
  </si>
  <si>
    <t>Asch et al. (2015) Climate change and decadal shifts in the phenology of
larval fishes in the California Current ecosystem. PNAS E4065–E4081</t>
  </si>
  <si>
    <t>Cyclothone signata Phase I</t>
  </si>
  <si>
    <t>Asch et al. (2015) Climate change and decadal shifts in the phenology of
larval fishes in the California Current ecosystem. PNAS E4065–E4082</t>
  </si>
  <si>
    <t>Argyropelecus sladeni Phase I</t>
  </si>
  <si>
    <t>Asch et al. (2015) Climate change and decadal shifts in the phenology of
larval fishes in the California Current ecosystem. PNAS E4065–E4083</t>
  </si>
  <si>
    <t>Danaphos oculatus</t>
  </si>
  <si>
    <t>Asch et al. (2015) Climate change and decadal shifts in the phenology of
larval fishes in the California Current ecosystem. PNAS E4065–E4084</t>
  </si>
  <si>
    <t>Asch et al. (2015) Climate change and decadal shifts in the phenology of
larval fishes in the California Current ecosystem. PNAS E4065–E4085</t>
  </si>
  <si>
    <t>Asch et al. (2015) Climate change and decadal shifts in the phenology of
larval fishes in the California Current ecosystem. PNAS E4065–E4086</t>
  </si>
  <si>
    <t>Asch et al. (2015) Climate change and decadal shifts in the phenology of
larval fishes in the California Current ecosystem. PNAS E4065–E4087</t>
  </si>
  <si>
    <t>Asch et al. (2015) Climate change and decadal shifts in the phenology of
larval fishes in the California Current ecosystem. PNAS E4065–E4088</t>
  </si>
  <si>
    <t>Asch et al. (2015) Climate change and decadal shifts in the phenology of
larval fishes in the California Current ecosystem. PNAS E4065–E4089</t>
  </si>
  <si>
    <t>Asch et al. (2015) Climate change and decadal shifts in the phenology of
larval fishes in the California Current ecosystem. PNAS E4065–E4090</t>
  </si>
  <si>
    <t>Diogenichthys attanticus Phase I</t>
  </si>
  <si>
    <t>Asch et al. (2015) Climate change and decadal shifts in the phenology of
larval fishes in the California Current ecosystem. PNAS E4065–E4091</t>
  </si>
  <si>
    <t>Nannobrachium regale</t>
  </si>
  <si>
    <t>Asch et al. (2015) Climate change and decadal shifts in the phenology of
larval fishes in the California Current ecosystem. PNAS E4065–E4092</t>
  </si>
  <si>
    <t>Asch et al. (2015) Climate change and decadal shifts in the phenology of
larval fishes in the California Current ecosystem. PNAS E4065–E4093</t>
  </si>
  <si>
    <t>Asch et al. (2015) Climate change and decadal shifts in the phenology of
larval fishes in the California Current ecosystem. PNAS E4065–E4094</t>
  </si>
  <si>
    <t>Asch et al. (2015) Climate change and decadal shifts in the phenology of
larval fishes in the California Current ecosystem. PNAS E4065–E4095</t>
  </si>
  <si>
    <t>Symbolophorus californiensis Phase I</t>
  </si>
  <si>
    <t>Asch et al. (2015) Climate change and decadal shifts in the phenology of
larval fishes in the California Current ecosystem. PNAS E4065–E4096</t>
  </si>
  <si>
    <t>Tarletonbeania crenularis Phase I</t>
  </si>
  <si>
    <t>Asch et al. (2015) Climate change and decadal shifts in the phenology of
larval fishes in the California Current ecosystem. PNAS E4065–E4097</t>
  </si>
  <si>
    <t>Asch et al. (2015) Climate change and decadal shifts in the phenology of
larval fishes in the California Current ecosystem. PNAS E4065–E4098</t>
  </si>
  <si>
    <t>Asch et al. (2015) Climate change and decadal shifts in the phenology of
larval fishes in the California Current ecosystem. PNAS E4065–E4099</t>
  </si>
  <si>
    <t>Melamphaes lugubris Phase I</t>
  </si>
  <si>
    <t>Asch et al. (2015) Climate change and decadal shifts in the phenology of
larval fishes in the California Current ecosystem. PNAS E4065–E4100</t>
  </si>
  <si>
    <t>Asch et al. (2015) Climate change and decadal shifts in the phenology of
larval fishes in the California Current ecosystem. PNAS E4065–E4101</t>
  </si>
  <si>
    <t>Asch et al. (2015) Climate change and decadal shifts in the phenology of
larval fishes in the California Current ecosystem. PNAS E4065–E4102</t>
  </si>
  <si>
    <t>Asch et al. (2015) Climate change and decadal shifts in the phenology of
larval fishes in the California Current ecosystem. PNAS E4065–E4103</t>
  </si>
  <si>
    <t>Asch et al. (2015) Climate change and decadal shifts in the phenology of
larval fishes in the California Current ecosystem. PNAS E4065–E4104</t>
  </si>
  <si>
    <t>Asch et al. (2015) Climate change and decadal shifts in the phenology of
larval fishes in the California Current ecosystem. PNAS E4065–E4105</t>
  </si>
  <si>
    <t>Asch et al. (2015) Climate change and decadal shifts in the phenology of
larval fishes in the California Current ecosystem. PNAS E4065–E4106</t>
  </si>
  <si>
    <t>Asch et al. (2015) Climate change and decadal shifts in the phenology of
larval fishes in the California Current ecosystem. PNAS E4065–E4107</t>
  </si>
  <si>
    <t>Oxyjulis californica</t>
  </si>
  <si>
    <t>Asch et al. (2015) Climate change and decadal shifts in the phenology of
larval fishes in the California Current ecosystem. PNAS E4065–E4108</t>
  </si>
  <si>
    <t>Asch et al. (2015) Climate change and decadal shifts in the phenology of
larval fishes in the California Current ecosystem. PNAS E4065–E4109</t>
  </si>
  <si>
    <t>Asch et al. (2015) Climate change and decadal shifts in the phenology of
larval fishes in the California Current ecosystem. PNAS E4065–E4110</t>
  </si>
  <si>
    <t>Asch et al. (2015) Climate change and decadal shifts in the phenology of
larval fishes in the California Current ecosystem. PNAS E4065–E4111</t>
  </si>
  <si>
    <t>Citharichthys sordidus Phase I</t>
  </si>
  <si>
    <t>Citharichthys sordidus Phase II</t>
  </si>
  <si>
    <t>Asch et al. (2015) Climate change and decadal shifts in the phenology of
larval fishes in the California Current ecosystem. PNAS E4065–E4112</t>
  </si>
  <si>
    <t>Citharichthys stigmaeus</t>
  </si>
  <si>
    <t>Asch et al. (2015) Climate change and decadal shifts in the phenology of
larval fishes in the California Current ecosystem. PNAS E4065–E4113</t>
  </si>
  <si>
    <t>Cyclothone signata Phase II</t>
  </si>
  <si>
    <t>Argyropelecus sladeni Phase II</t>
  </si>
  <si>
    <t>Diogenichthys attanticus Phase II</t>
  </si>
  <si>
    <t>Symbolophorus californiensis Phase II</t>
  </si>
  <si>
    <t>Tarletonbeania crenularis Phase II</t>
  </si>
  <si>
    <t>Melamphaes lugubris Phase II</t>
  </si>
  <si>
    <t>Paralichthys californicus Phase I</t>
  </si>
  <si>
    <t>Paralichthys californicus Phase II</t>
  </si>
  <si>
    <t>Asch et al. (2015) Climate change and decadal shifts in the phenology of
larval fishes in the California Current ecosystem. PNAS E4065–E4114</t>
  </si>
  <si>
    <t>Asch et al. (2015) Climate change and decadal shifts in the phenology of
larval fishes in the California Current ecosystem. PNAS E4065–E4115</t>
  </si>
  <si>
    <t>Chambers, L.E.  2004. Delayed breeding in Little Penguins-- evidence of climate change?  Australian Meteorological Magazine 53: 13-19.</t>
  </si>
  <si>
    <t>Bass Strait</t>
  </si>
  <si>
    <t>Southern</t>
  </si>
  <si>
    <t>Little penguin</t>
  </si>
  <si>
    <t>Eudyptula minor</t>
  </si>
  <si>
    <t>Frederiksen, M., M.P. Harris , F. Daunt, P. Rothery, and S. Wanless. 2004. Scale-dependent climate signals drive breeding phenology of three seabird species. Global Change Biology 10: 1214-1221.</t>
  </si>
  <si>
    <t>North-east Atlantic</t>
  </si>
  <si>
    <t>Common Guillemot</t>
  </si>
  <si>
    <t>Table 1 in Hindell et al. 2012 also has all the values (mult. by 10 for per decade)</t>
  </si>
  <si>
    <t>Black-legged Kittiwake</t>
  </si>
  <si>
    <t>European Shag</t>
  </si>
  <si>
    <t>Phalacrocorax aristotelis</t>
  </si>
  <si>
    <t>Gaston et al. (2005) Climate change, ice conditions and reproduction in an Arctic nesting marine bird: Brunnich’s guillemot (Uria lomvia L.). Journal of Animal Ecology 200574, 832– 841</t>
  </si>
  <si>
    <t>Prince Leopold Island, Canadian Arctic</t>
  </si>
  <si>
    <t>Thick-billed Murres</t>
  </si>
  <si>
    <t>Earlier median laying date, no value. See Fig. 6 and text states date is earlier. Coats Island warming, and Prince Leopold probably is too. Sea ice is reducing in both places. Earlier breakup of sea ice, earlier breeding too. For Coats Island in this paper, an updated time series with a metric was published in Gaston et al. (2009)</t>
  </si>
  <si>
    <t>Barbraud, C. and H. Weimerskirch. 2006. Antarctic birds breed later in response to climate change. Proceedings of the National Academy of Sciences 103: 6248-6251.</t>
  </si>
  <si>
    <t>SOUTHERN OCEAN</t>
  </si>
  <si>
    <t>Emperor penguin</t>
  </si>
  <si>
    <t>Aptenodytes forsteri</t>
  </si>
  <si>
    <t>Delay with time, but earlier as sea ice retreated</t>
  </si>
  <si>
    <t>Adelie penguin</t>
  </si>
  <si>
    <t>Pygocelis adeliae</t>
  </si>
  <si>
    <t>Otero et al. (2014) Basin-scale phenology and effects of climate variability
on global timing of initial seaward migration of Atlantic
salmon (Salmo salar). Global Change Biology 20, 61–75</t>
  </si>
  <si>
    <t>North Atlantic</t>
  </si>
  <si>
    <t>Atlantic salmon</t>
  </si>
  <si>
    <t>Shift of 2.5 d earlier per decade in Abstract. Also 2.4 d ealier / 1oC (see Supplement). Earlier emergence from rivers related to SST. Based on many sites around the North Atlantic. Norway had most data and so I took lat and lon from longest time series there</t>
  </si>
  <si>
    <t>Southern giant petrel</t>
  </si>
  <si>
    <t>Macronectes giganteus</t>
  </si>
  <si>
    <t>Southern fulmar</t>
  </si>
  <si>
    <t>Fulmarus glacialoides</t>
  </si>
  <si>
    <t>Wilson's storm-petrel</t>
  </si>
  <si>
    <t>Antarctic petrel</t>
  </si>
  <si>
    <t>Thalassoica antarctica</t>
  </si>
  <si>
    <t>South polar skua</t>
  </si>
  <si>
    <t>Catharacta maccormicki</t>
  </si>
  <si>
    <t>Cape petrel</t>
  </si>
  <si>
    <t>Snow petrel</t>
  </si>
  <si>
    <t>Pagodroma nivea</t>
  </si>
  <si>
    <t xml:space="preserve">Jansen &amp; Gislason (2011) Temperature affectsthetimingofspawningandmigration
of NorthSeamackerel. Continental ShelfResearch 31: 64–72 </t>
  </si>
  <si>
    <t>North Sea and Baltic</t>
  </si>
  <si>
    <t>Mackerel</t>
  </si>
  <si>
    <t>Mean migration arrival -15.6 days per oC (for warming of 1.5oC at Spawning Start + Peak (5,6) in Fig. 2), which gives -23.4 days earlier. Note that larval CPR data were from 1949-1977 (too early) and weren't included. Values not given, but significantly earlier arrival in multiple areas of North Sea and Baltic but strong warming in region and strong relationship of arrival with temperature/ Plus significant warming in region</t>
  </si>
  <si>
    <t>Morgan, M. J., Wright, P. J., and Rideout, R. M. 2013. Effect of age
and temperature of spawning time in two gadoid species.
Fisheries Research, 138: 2–51</t>
  </si>
  <si>
    <t>NW Atlantic (3L)</t>
  </si>
  <si>
    <t>Based on gonad development. Cod from Table 2. Mean of all 3L males and females of all ages for 1972-1999 (149.60) and for 1993-2009 (190.11). North Sea time series (cod and haddock) 11 yrs long and too short</t>
  </si>
  <si>
    <t>A. tonsa</t>
  </si>
  <si>
    <t>Persson et al. (2012) Scale-dependent effects of climate on
two copepod species, Calanus glacialis and
Pseudocalanus minutus, in an Arctic-boreal sea. Mar Ecol Prog Ser 468: 71–83</t>
  </si>
  <si>
    <t>White Sea</t>
  </si>
  <si>
    <t>Calanus glacialis</t>
  </si>
  <si>
    <t>No value, but peak biomass earlier. Fig. 2 shows warming, and the paper talks about earlier peaks, especially for Calanus glacialis</t>
  </si>
  <si>
    <t>Byrd et al. (2008) Responses of piscivorous seabirds at the Pribilof Islands to
ocean climate. Deep Sea Res. Pt. II 55:1856–1867.</t>
  </si>
  <si>
    <t>St Paul</t>
  </si>
  <si>
    <t>Pseudocalanus minutus</t>
  </si>
  <si>
    <t>No value, but peak biomass earlier. Fig. 2 shows warming, and the paper talks about earlier peaks, only slightly for Pseudocalanus minutus because of its broader temperature range (see p. 81)</t>
  </si>
  <si>
    <t>Burthe et al. (2012) Phenological trends and trophic mismatch across multiple levels of a North Sea pelagic food web. Marine Ecology Progress Series 454: 119-133</t>
  </si>
  <si>
    <t>Calanus I-IV</t>
  </si>
  <si>
    <t>Digitised rom Fig. 3</t>
  </si>
  <si>
    <t>Temora longicornis</t>
  </si>
  <si>
    <t>Copepod nauplii</t>
  </si>
  <si>
    <t>Irish Sea (IS)</t>
  </si>
  <si>
    <t>From Fig. 5. Ignored Calanus I-IV  because same species as included. And Para/Pseudo is not a species. Lat/Lon from Fig. 2.</t>
  </si>
  <si>
    <t>Celtic mixed (CM)</t>
  </si>
  <si>
    <t>Celtic Sea (stratified) (CS)</t>
  </si>
  <si>
    <t>Shelf edge (SE)</t>
  </si>
  <si>
    <t>Warm temperate (WT)</t>
  </si>
  <si>
    <t>Abyssal south (ABS)</t>
  </si>
  <si>
    <t>Rockall Bank (RB)</t>
  </si>
  <si>
    <t>Rockall Trough (RT)</t>
  </si>
  <si>
    <t>Malin Shelf</t>
  </si>
  <si>
    <t>Guinder et al. (2010) Long-term changes in phytoplankton phenology and community structure in the Bahı´a Blanca Estuary, Argentina. Mar Biol (2010) 157:2703–2716</t>
  </si>
  <si>
    <t>Bahia Blanca Estuary, Argentina</t>
  </si>
  <si>
    <t>Chl-a</t>
  </si>
  <si>
    <t>From Fig. 8c</t>
  </si>
  <si>
    <t>Todd et al. (2012) Phenological and phenotypic changes in Atlantic salmon
populations in response to a changing climate. ICES Journal of Marine Science (2012), 69(9), 1686–1698</t>
  </si>
  <si>
    <t>North Esk, Scotland</t>
  </si>
  <si>
    <t>Return date</t>
  </si>
  <si>
    <t>Estimated from Fig. 7 and Table 2 (Year coefficient)</t>
  </si>
  <si>
    <t>Tweed, Scotland</t>
  </si>
  <si>
    <t>Spey, Scotland</t>
  </si>
  <si>
    <t>Tay, Scotland</t>
  </si>
  <si>
    <t>St George</t>
  </si>
  <si>
    <t>Rissa brevirostris</t>
  </si>
  <si>
    <t>Byrd, G.V., W.J. Sydeman, H.M. Renner, and S. Minobe. 2008. Responses of piscivorous seabirds at the Pribilof Islands to ocean climate.  Deep-Sea Research II 55: 1856-1867.</t>
  </si>
  <si>
    <t>Bering Sea</t>
  </si>
  <si>
    <t>Red-legged Kittiwake</t>
  </si>
  <si>
    <t>Common Murre</t>
  </si>
  <si>
    <t>Thick-billed Murre</t>
  </si>
  <si>
    <t>Wanless et al. (2009) Long-term changes in breeding phenology at two
seabird colonies in the western North Sea. Ibis 151: 274-285</t>
  </si>
  <si>
    <t>Isle of May</t>
  </si>
  <si>
    <t>From Table 4. Used corrected values where needed. Assumed table is in days/yr</t>
  </si>
  <si>
    <t>Gaston et al. (2009) Changes in seasonal events, peak food availability, … The Condor 111(1): 111-119</t>
  </si>
  <si>
    <t>Coats Island, Canadian Arctic</t>
  </si>
  <si>
    <t>Update to Gaston et al. (2009) for Coats Island</t>
  </si>
  <si>
    <t>European shag</t>
  </si>
  <si>
    <t>Common eider</t>
  </si>
  <si>
    <t>Black-legged kittiwake</t>
  </si>
  <si>
    <t>Greve, W., F. Reiners and J. Nast. 1996. Biocoenotic changes of the zooplankton in the German Bight: the possible effects of eutrophication and climate. ICES Journal of Marine Science. 53: 951-956.</t>
  </si>
  <si>
    <t>Dinoflagellate</t>
  </si>
  <si>
    <t>From Table 1. Column D = Correlation with month of maximum abundance</t>
  </si>
  <si>
    <t>Alaurina spp.</t>
  </si>
  <si>
    <t>Spioniden Metatrocha</t>
  </si>
  <si>
    <t>Magelona spp.</t>
  </si>
  <si>
    <t>Bryozoans</t>
  </si>
  <si>
    <t>Cyphonautes</t>
  </si>
  <si>
    <t>Actinotrocha</t>
  </si>
  <si>
    <t>Cirripedia (Nauplii)</t>
  </si>
  <si>
    <t>Gastropoda (Veliger)</t>
  </si>
  <si>
    <t>Lamellibranchia (Veliger)</t>
  </si>
  <si>
    <t>Asterias rubens Bip.</t>
  </si>
  <si>
    <t>Ophiura spp.</t>
  </si>
  <si>
    <t>Arachnactes</t>
  </si>
  <si>
    <t>Carcinus maenas (zoea)</t>
  </si>
  <si>
    <t>Crangonidae</t>
  </si>
  <si>
    <t>Fish (eggs)</t>
  </si>
  <si>
    <t>Fish (larvae)</t>
  </si>
  <si>
    <t>Galathea spp. (zoea)</t>
  </si>
  <si>
    <t>Liocarcinus spp. (zoea)</t>
  </si>
  <si>
    <t>Pagurus spp. (zoea)</t>
  </si>
  <si>
    <t>Podon spp.</t>
  </si>
  <si>
    <t>Evadne spp.</t>
  </si>
  <si>
    <t>Para-, Pseudocalanus spp</t>
  </si>
  <si>
    <t>Temora longicaudata</t>
  </si>
  <si>
    <t>Acartia spp.</t>
  </si>
  <si>
    <t>TimingDuration</t>
  </si>
  <si>
    <t>Later because longer reproductive season</t>
  </si>
  <si>
    <t>Last observed recruits (Fig. 2) and from text is 19.3 days earlier in 2000s compared with 1970s</t>
  </si>
  <si>
    <t>Longer duration because of longer reproductive season.</t>
  </si>
  <si>
    <t>Recruitment duration expanded because of warming. Estimated for total duration of recruitment from Fig. 2 (1970s from 23/7 to 18/9 = 57 days; and 2000s from 1/7 to 10/10 = 101 days).Divide this difference by 36 years / 10.</t>
  </si>
  <si>
    <t>Common guillemot</t>
  </si>
  <si>
    <t>Razorbill</t>
  </si>
  <si>
    <t>Phytoplankton Colour Index</t>
  </si>
  <si>
    <t>Digitised rom Fig. 3. Used this rather than Total Phytoplankton because better idea of phytoplankton biomass</t>
  </si>
  <si>
    <t>Oikopleura dioica</t>
  </si>
  <si>
    <t>Fritillaria borealis</t>
  </si>
  <si>
    <t>Aglantha digitale</t>
  </si>
  <si>
    <t>Obelia spp.</t>
  </si>
  <si>
    <t>Paramysis spp.</t>
  </si>
  <si>
    <t>Sandeel</t>
  </si>
  <si>
    <t>Hatch date</t>
  </si>
  <si>
    <t>Digitised rom Fig. 3. Two time periods in Fig. 3 (21.57 and -18.99) so net change is a delay</t>
  </si>
  <si>
    <t>Atlantic puffin</t>
  </si>
  <si>
    <t>Farne Island</t>
  </si>
  <si>
    <t>Cherkiss et al. (2020) Shifts in hatching date of American crocodile (Crocodylus acutus) in southern Florida. Journal of Thermal Biology 88: 102521</t>
  </si>
  <si>
    <t>Everglades National Park, Florida</t>
  </si>
  <si>
    <t>Reptiles</t>
  </si>
  <si>
    <t>Marine reptiles</t>
  </si>
  <si>
    <t>American crocodile</t>
  </si>
  <si>
    <t>Crocodylus acutus</t>
  </si>
  <si>
    <t>Earlier hatching because warmer SST</t>
  </si>
  <si>
    <t>0.7814 days per year earlier (from text and Fig. 3 slope)</t>
  </si>
  <si>
    <t>Turkey Point, Florida</t>
  </si>
  <si>
    <t>0.3781 days per year earlier (from text and Fig. 3 slope)</t>
  </si>
  <si>
    <t>Chivers et al. (2019) Phenological shuffling of major marine phytoplankton groups
over the last six decades. Biodiversity Research 26: 536-548.</t>
  </si>
  <si>
    <t>Ceratium furca</t>
  </si>
  <si>
    <t>SST, Wind</t>
  </si>
  <si>
    <t>Warming leading to earlier peaks</t>
  </si>
  <si>
    <t>Data from Table 1 and Sections 6 and 7 in Supplement</t>
  </si>
  <si>
    <t>Ceratium fusus</t>
  </si>
  <si>
    <t>Ceratium horridum</t>
  </si>
  <si>
    <t>Ceratium lineatum</t>
  </si>
  <si>
    <t>Ceratium longipes</t>
  </si>
  <si>
    <t>Ceratium macroceros</t>
  </si>
  <si>
    <t>Ceratium tripos</t>
  </si>
  <si>
    <t>Dinophysis spp.</t>
  </si>
  <si>
    <t>Prorocentrum spp.</t>
  </si>
  <si>
    <t>Protoperidinium spp.</t>
  </si>
  <si>
    <t>Diatoms</t>
  </si>
  <si>
    <t>Asterionellopsis glacialis</t>
  </si>
  <si>
    <t>Chaetoceros (Hyalochaete)</t>
  </si>
  <si>
    <t>Chaetoceros (Phaeoceros)</t>
  </si>
  <si>
    <t>Cylindrotheca closterium</t>
  </si>
  <si>
    <t>Ditylum brightwelli</t>
  </si>
  <si>
    <t>Eucampia zodiacus</t>
  </si>
  <si>
    <t>Fragilaria spp.</t>
  </si>
  <si>
    <t>Gyrosigma spp.</t>
  </si>
  <si>
    <t>Navicula spp.</t>
  </si>
  <si>
    <t>Odontella aurita</t>
  </si>
  <si>
    <t>Odontella sinensis</t>
  </si>
  <si>
    <t>Paralia sulcata</t>
  </si>
  <si>
    <t>Proboscia alata</t>
  </si>
  <si>
    <t>Proboscia inermis</t>
  </si>
  <si>
    <t>Pseudo nitzschia delicatissima</t>
  </si>
  <si>
    <t>Pseudo nitzschia seriata</t>
  </si>
  <si>
    <t>Rhizosolenia hebetata</t>
  </si>
  <si>
    <t>Rhizosolenia imbricata</t>
  </si>
  <si>
    <t>Rhizosolenia styliformis</t>
  </si>
  <si>
    <t>Skeletonema costatum</t>
  </si>
  <si>
    <t>Thalassionema nitzscioides</t>
  </si>
  <si>
    <t>Thalassiosira spp.</t>
  </si>
  <si>
    <t>Thalassiothrix longissima</t>
  </si>
  <si>
    <t>Chust et al. (2019) Earlier migration and distribution changes of albacore in the
Northeast Atlantic. Fisheries Oceanography 28: 505-516</t>
  </si>
  <si>
    <t>Northeast Altantic</t>
  </si>
  <si>
    <t>Tuna</t>
  </si>
  <si>
    <t>Albacore</t>
  </si>
  <si>
    <t>Thunnus alalunga</t>
  </si>
  <si>
    <t>Arrival</t>
  </si>
  <si>
    <t>Warming leads to earlier migration to Bay of Biscay</t>
  </si>
  <si>
    <t>From Abstract, earlier migration of 2.3 days per decade</t>
  </si>
  <si>
    <t>GAM</t>
  </si>
  <si>
    <t>Sandwich tern</t>
  </si>
  <si>
    <t>Common tern</t>
  </si>
  <si>
    <t>Arctic tern</t>
  </si>
  <si>
    <t>Wanless, S., M. Frederiksen, J. Walton and M.P. Harris.  2009.  Long-term changes in breeding phenology at two seabird colonies in the western North Sea.  Ibis 151:274-285.</t>
  </si>
  <si>
    <t>Cullen, J.M., L.E. Chambers, P.C. Coutin and P. Dann. 2009. Predicting onset and success of breeding in little penguins Eudyptula minor from ocean temperatures. Marine Ecology Progress Series 378:269-278.</t>
  </si>
  <si>
    <t>Moe, B., L. Stempniewicz, D. Jakubas, F. Angelier, O. Chastel, F. Dinessen, G.W. Gabrielsen, F. Hanssen, N.J. Karnovsky, B. Ronning, J. Welcker, K. Wojczulanis-Jakubas and C. Bech. Climate change and phenological responses of two seabird species breeding in the high-Arctic. Marine Ecology Progress Series 393:235-246.</t>
  </si>
  <si>
    <t>Little auk</t>
  </si>
  <si>
    <t>Alle alle</t>
  </si>
  <si>
    <t>Also in Table 1 in Hindell et al. (2012)</t>
  </si>
  <si>
    <t>Actually n.s. but still report it. Also in Table 1 in Hindell et al. (2012)</t>
  </si>
  <si>
    <t>Schroeder, I.D., W.J. Sydeman, N. Sarkar, S.A. Thompson, S.J. Bograd and F.B. Schwing. 2009. Winter pre-conditioning of seabird phenology in the California Current. Marine Ecology Progress Series 393:211-223.</t>
  </si>
  <si>
    <t>Common murre</t>
  </si>
  <si>
    <t>Sydeman, W.J., K.L. Mills, J.A. Santora, S.A. Thompson, D.F. Bertram, J.M. Hipfner, B.K. Wells and S.G. Wolf.  2009.  Seabirds and climate in the California Current--A synthesis of change.  CalCOFI Report 50:82-104.</t>
  </si>
  <si>
    <t>Votier, S.C., B.J. Hatchwell, M. Mears and T.R. Birkhead. 2009. Changes in the timing of egg-laying of a colonial seabird in relation to population size and environmental conditions. Marine Ecology Progress Series 393:225-233.</t>
  </si>
  <si>
    <t>Sagitta spp.</t>
  </si>
  <si>
    <t>Emond et al. (2020) Long-term trends and drivers of larval phenology and abundance of dominant brachyuran crabs in the Gulf of St. Lawrence (Canada). Fisheries Oceanography. 29:185–200.</t>
  </si>
  <si>
    <t>Canada</t>
  </si>
  <si>
    <t>Snow crab</t>
  </si>
  <si>
    <t>SST, sea ice</t>
  </si>
  <si>
    <t>Warming and sea ice retreat lead to earlier blooms and earlier occurrence of crabs</t>
  </si>
  <si>
    <t>Information from Fig. 2 and Table 1. Phenology index based of proportion of young larvae at fixed time of year, so no rate value per decade available.</t>
  </si>
  <si>
    <t>Toad crab</t>
  </si>
  <si>
    <t>Hyas spp.</t>
  </si>
  <si>
    <t>Fitchett et al. (2019) Progressive delays in the timing of sardine migration in the southwest Indian Ocean. South African Journal of Science 115: 1-6</t>
  </si>
  <si>
    <t>South Africa</t>
  </si>
  <si>
    <t>Sardines</t>
  </si>
  <si>
    <t>South African sardine</t>
  </si>
  <si>
    <t>Isotherm shift, SST, Cyclones</t>
  </si>
  <si>
    <t>Although this phenological shift reveals a poor association with sea surface temperatures (SST), it coincides with a poleward shift in the position of the 21 °C mean annual SST isotherm – the threshold temperature for sardine populations. The timing of sardine arrivals near Durban corresponds closely with the number of mid-latitude cyclones passing over the Durban coastline during the months of April and May.</t>
  </si>
  <si>
    <t xml:space="preserve">Value given in text and Abstract. </t>
  </si>
  <si>
    <t>Hjerne et al. (2019) Climate Driven Changes in Timing, Composition and Magnitude of the Baltic Sea Phytoplankton Spring Bloom. Frontiers in Marine Science 6: 15 pp.</t>
  </si>
  <si>
    <t>SST, sunshine, wind, MLD</t>
  </si>
  <si>
    <t>Earlier blooms with warmer SST, more sunshine and less wind</t>
  </si>
  <si>
    <t>Data from Fig. 3. B1 (slope = -0.468, p = 0.001)</t>
  </si>
  <si>
    <t>Dinoflagellates</t>
  </si>
  <si>
    <t>Data from Fig. 3. B1 (slope = -0.436, p = 0.002)</t>
  </si>
  <si>
    <t>Data from Fig. 3. BY31 (slope = -0.578, p = 0.006)</t>
  </si>
  <si>
    <t>Data from Fig. 3. BY31 (slope = -0.316, p = 0.124)</t>
  </si>
  <si>
    <t>Kanamori et al. (2019) Climate change shifts the spawning ground northward and extends the spawning period of chub mackerel in the western North Pacific. Marine Ecology Progress Series 624: 155-166</t>
  </si>
  <si>
    <t>Kuroshio Current, Japan</t>
  </si>
  <si>
    <t>Chub mackerel</t>
  </si>
  <si>
    <t>Warming led to movement north</t>
  </si>
  <si>
    <t>See Fig. 3 Start. Timing estimated from equation on p. 161 (slope = 0.004). Note that this is a fraction of a month per year, so *30.25 for days per year, and *10 for per decade. Initial DOY estimated from Fig. 3. Note that species moved north over the period may explain no shift</t>
  </si>
  <si>
    <t>Later spawning in a more northerly location is the same temperature it was spawning before</t>
  </si>
  <si>
    <t>See Fig. 3 End. Timing estimated from equation on p. 161 (slope = 0.024). Note that this is a fraction of a month per year, so *30.25 for days per year, and *10 for per decade. Initial DOY estimated from Fig. 3. Note that species moved north over the period may explain no shift</t>
  </si>
  <si>
    <t>Longer duration because of longer spawning.</t>
  </si>
  <si>
    <t>See Fig. 3 Period. Duration estimated from 0.02*Year - 38 (see text on 161). Duration might have extended because Autumn getting later and spawning distribution moving north</t>
  </si>
  <si>
    <t>Monsinjon et al. (2019) Effects of temperature and demography on the
phenology of loggerhead sea turtles in Brazil. Marine Ecology Progress Series 623: 209-219</t>
  </si>
  <si>
    <t>Brazil</t>
  </si>
  <si>
    <t>Turtles</t>
  </si>
  <si>
    <t>Loggerhead turtle</t>
  </si>
  <si>
    <t>Carretta carretta</t>
  </si>
  <si>
    <t>Nesting duration</t>
  </si>
  <si>
    <t>Number of turtles, SST</t>
  </si>
  <si>
    <t>Longer duration mainly because of larger population and only weakly SST</t>
  </si>
  <si>
    <t>3.11 days per year longer in text. See Fig. 3</t>
  </si>
  <si>
    <t>GLM</t>
  </si>
  <si>
    <t>Onset of nesting</t>
  </si>
  <si>
    <t>Nesting season onset occurred slightly earlier with warmer SST at foraging site</t>
  </si>
  <si>
    <t>0.22 days earlier in text. See Fig. 3</t>
  </si>
  <si>
    <t>NW Atlantic (3NO)</t>
  </si>
  <si>
    <t>Based on gonad development. Cod from Table 2. Mean of all 3NO males and females of all ages for 1975-1999 (136.33) and for 1993-2009 (158.55). North Sea time series (cod and haddock) 11 yrs long and too short</t>
  </si>
  <si>
    <t>Otero et al. (2014) Basin-scale phenology and effects of climate variability
on global timing of initial seaward migration of Atlantic
salmon (Salmo salar). Global Change Biology 20, 61–100</t>
  </si>
  <si>
    <t>England - Coquet</t>
  </si>
  <si>
    <t>Consistency from Fig. 4. All +ve except 1. Lat and Lon from Table S25</t>
  </si>
  <si>
    <t>Otero et al. (2014) Basin-scale phenology and effects of climate variability
on global timing of initial seaward migration of Atlantic
salmon (Salmo salar). Global Change Biology 20, 61–101</t>
  </si>
  <si>
    <t>England - Test</t>
  </si>
  <si>
    <t>Consistency from Fig. 4. All +ve except 1. Lat and Lon from Table S26</t>
  </si>
  <si>
    <t>Otero et al. (2014) Basin-scale phenology and effects of climate variability
on global timing of initial seaward migration of Atlantic
salmon (Salmo salar). Global Change Biology 20, 61–102</t>
  </si>
  <si>
    <t>England - Tamar</t>
  </si>
  <si>
    <t>Consistency from Fig. 4. All +ve except 1. Lat and Lon from Table S27</t>
  </si>
  <si>
    <t>Otero et al. (2014) Basin-scale phenology and effects of climate variability
on global timing of initial seaward migration of Atlantic
salmon (Salmo salar). Global Change Biology 20, 61–103</t>
  </si>
  <si>
    <t>England - Tyne</t>
  </si>
  <si>
    <t>Consistency from Fig. 4. All +ve except 1. Lat and Lon from Table S28</t>
  </si>
  <si>
    <t>Otero et al. (2014) Basin-scale phenology and effects of climate variability
on global timing of initial seaward migration of Atlantic
salmon (Salmo salar). Global Change Biology 20, 61–104</t>
  </si>
  <si>
    <t>England - Esk (Yorkshire)</t>
  </si>
  <si>
    <t>Consistency from Fig. 4. All +ve except 1. Lat and Lon from Table S29</t>
  </si>
  <si>
    <t>Otero et al. (2014) Basin-scale phenology and effects of climate variability
on global timing of initial seaward migration of Atlantic
salmon (Salmo salar). Global Change Biology 20, 61–105</t>
  </si>
  <si>
    <t>Wales - Dee</t>
  </si>
  <si>
    <t>Consistency from Fig. 4. All +ve except 1. Lat and Lon from Table S30</t>
  </si>
  <si>
    <t>Otero et al. (2014) Basin-scale phenology and effects of climate variability
on global timing of initial seaward migration of Atlantic
salmon (Salmo salar). Global Change Biology 20, 61–106</t>
  </si>
  <si>
    <t>Wales - Ceiriog</t>
  </si>
  <si>
    <t>Consistency from Fig. 4. All +ve except 1. Lat and Lon from Table S31</t>
  </si>
  <si>
    <t>Otero et al. (2014) Basin-scale phenology and effects of climate variability
on global timing of initial seaward migration of Atlantic
salmon (Salmo salar). Global Change Biology 20, 61–107</t>
  </si>
  <si>
    <t>France - Selune (Oir)</t>
  </si>
  <si>
    <t>Consistency from Fig. 4. All +ve except 1. Lat and Lon from Table S32</t>
  </si>
  <si>
    <t>Otero et al. (2014) Basin-scale phenology and effects of climate variability
on global timing of initial seaward migration of Atlantic
salmon (Salmo salar). Global Change Biology 20, 61–108</t>
  </si>
  <si>
    <t>France - Scorff</t>
  </si>
  <si>
    <t>Consistency from Fig. 4. All +ve except 1. Lat and Lon from Table S33</t>
  </si>
  <si>
    <t>Otero et al. (2014) Basin-scale phenology and effects of climate variability
on global timing of initial seaward migration of Atlantic
salmon (Salmo salar). Global Change Biology 20, 61–109</t>
  </si>
  <si>
    <t>Spain - Ulla</t>
  </si>
  <si>
    <t>Consistency from Fig. 4. All +ve except 1. Lat and Lon from Table S34</t>
  </si>
  <si>
    <t>Otero et al. (2014) Basin-scale phenology and effects of climate variability
on global timing of initial seaward migration of Atlantic
salmon (Salmo salar). Global Change Biology 20, 61–110</t>
  </si>
  <si>
    <t>Spain - Tea</t>
  </si>
  <si>
    <t>Consistency from Fig. 4. All +ve except 1. Lat and Lon from Table S35</t>
  </si>
  <si>
    <t>Otero et al. (2014) Basin-scale phenology and effects of climate variability
on global timing of initial seaward migration of Atlantic
salmon (Salmo salar). Global Change Biology 20, 61–111</t>
  </si>
  <si>
    <t>Russia - Varzuga</t>
  </si>
  <si>
    <t>Consistency from Fig. 4. All +ve except 1. Lat and Lon from Table S36</t>
  </si>
  <si>
    <t>Otero et al. (2014) Basin-scale phenology and effects of climate variability
on global timing of initial seaward migration of Atlantic
salmon (Salmo salar). Global Change Biology 20, 61–112</t>
  </si>
  <si>
    <t>Finland - Simojoki</t>
  </si>
  <si>
    <t>Consistency from Fig. 4. All +ve except 1. Lat and Lon from Table S37</t>
  </si>
  <si>
    <t>Otero et al. (2014) Basin-scale phenology and effects of climate variability
on global timing of initial seaward migration of Atlantic
salmon (Salmo salar). Global Change Biology 20, 61–113</t>
  </si>
  <si>
    <t>Finland - Tornionjoki</t>
  </si>
  <si>
    <t>Consistency from Fig. 4. All +ve except 1. Lat and Lon from Table S38</t>
  </si>
  <si>
    <t>Otero et al. (2014) Basin-scale phenology and effects of climate variability
on global timing of initial seaward migration of Atlantic
salmon (Salmo salar). Global Change Biology 20, 61–114</t>
  </si>
  <si>
    <t>Finland - Pulmankijoki</t>
  </si>
  <si>
    <t>Consistency from Fig. 4. All +ve except 1. Lat and Lon from Table S39</t>
  </si>
  <si>
    <t>Otero et al. (2014) Basin-scale phenology and effects of climate variability
on global timing of initial seaward migration of Atlantic
salmon (Salmo salar). Global Change Biology 20, 61–115</t>
  </si>
  <si>
    <t>Finland - Kalddasjoki</t>
  </si>
  <si>
    <t>Consistency from Fig. 4. All +ve except 1. Lat and Lon from Table S40</t>
  </si>
  <si>
    <t>Otero et al. (2014) Basin-scale phenology and effects of climate variability
on global timing of initial seaward migration of Atlantic
salmon (Salmo salar). Global Change Biology 20, 61–116</t>
  </si>
  <si>
    <t>Finland - Kevojoki</t>
  </si>
  <si>
    <t>Consistency from Fig. 4. All +ve except 1. Lat and Lon from Table S41</t>
  </si>
  <si>
    <t>Otero et al. (2014) Basin-scale phenology and effects of climate variability
on global timing of initial seaward migration of Atlantic
salmon (Salmo salar). Global Change Biology 20, 61–117</t>
  </si>
  <si>
    <t>Finland - Tsarsjoki</t>
  </si>
  <si>
    <t>Consistency from Fig. 4. All +ve except 1. Lat and Lon from Table S42</t>
  </si>
  <si>
    <t>Otero et al. (2014) Basin-scale phenology and effects of climate variability
on global timing of initial seaward migration of Atlantic
salmon (Salmo salar). Global Change Biology 20, 61–118</t>
  </si>
  <si>
    <t>Finland - Kuoppilasjoki</t>
  </si>
  <si>
    <t>Consistency from Fig. 4. All +ve except 1. Lat and Lon from Table S43</t>
  </si>
  <si>
    <t>Otero et al. (2014) Basin-scale phenology and effects of climate variability
on global timing of initial seaward migration of Atlantic
salmon (Salmo salar). Global Change Biology 20, 61–119</t>
  </si>
  <si>
    <t>Finland - Karigasjoki</t>
  </si>
  <si>
    <t>Consistency from Fig. 4. All +ve except 1. Lat and Lon from Table S44</t>
  </si>
  <si>
    <t>Otero et al. (2014) Basin-scale phenology and effects of climate variability
on global timing of initial seaward migration of Atlantic
salmon (Salmo salar). Global Change Biology 20, 61–120</t>
  </si>
  <si>
    <t>Finland - Utsjoki</t>
  </si>
  <si>
    <t>Consistency from Fig. 4. All +ve except 1. Lat and Lon from Table S45</t>
  </si>
  <si>
    <t>Otero et al. (2014) Basin-scale phenology and effects of climate variability
on global timing of initial seaward migration of Atlantic
salmon (Salmo salar). Global Change Biology 20, 61–121</t>
  </si>
  <si>
    <t>Norway - Halselva</t>
  </si>
  <si>
    <t>Consistency from Fig. 4. All +ve except 1. Lat and Lon from Table S46</t>
  </si>
  <si>
    <t>Otero et al. (2014) Basin-scale phenology and effects of climate variability
on global timing of initial seaward migration of Atlantic
salmon (Salmo salar). Global Change Biology 20, 61–122</t>
  </si>
  <si>
    <t>Norway - Altaelva</t>
  </si>
  <si>
    <t>Consistency from Fig. 4. All +ve except 1. Lat and Lon from Table S47</t>
  </si>
  <si>
    <t>Otero et al. (2014) Basin-scale phenology and effects of climate variability
on global timing of initial seaward migration of Atlantic
salmon (Salmo salar). Global Change Biology 20, 61–123</t>
  </si>
  <si>
    <t>Norway - Roksdalselva</t>
  </si>
  <si>
    <t>Consistency from Fig. 4. All +ve except 1. Lat and Lon from Table S48</t>
  </si>
  <si>
    <t>Otero et al. (2014) Basin-scale phenology and effects of climate variability
on global timing of initial seaward migration of Atlantic
salmon (Salmo salar). Global Change Biology 20, 61–124</t>
  </si>
  <si>
    <t>Norway - Skjoma</t>
  </si>
  <si>
    <t>Consistency from Fig. 4. All +ve except 1. Lat and Lon from Table S49</t>
  </si>
  <si>
    <t>Otero et al. (2014) Basin-scale phenology and effects of climate variability
on global timing of initial seaward migration of Atlantic
salmon (Salmo salar). Global Change Biology 20, 61–125</t>
  </si>
  <si>
    <t>Norway - Saltdalselva</t>
  </si>
  <si>
    <t>Consistency from Fig. 4. All +ve except 1. Lat and Lon from Table S50</t>
  </si>
  <si>
    <t>Otero et al. (2014) Basin-scale phenology and effects of climate variability
on global timing of initial seaward migration of Atlantic
salmon (Salmo salar). Global Change Biology 20, 61–126</t>
  </si>
  <si>
    <t>Norway - Urdvoldelva</t>
  </si>
  <si>
    <t>Consistency from Fig. 4. All +ve except 1. Lat and Lon from Table S51</t>
  </si>
  <si>
    <t>Otero et al. (2014) Basin-scale phenology and effects of climate variability
on global timing of initial seaward migration of Atlantic
salmon (Salmo salar). Global Change Biology 20, 61–127</t>
  </si>
  <si>
    <t>Norway - Stjørdalselva</t>
  </si>
  <si>
    <t>Consistency from Fig. 4. All +ve except 1. Lat and Lon from Table S52</t>
  </si>
  <si>
    <t>Otero et al. (2014) Basin-scale phenology and effects of climate variability
on global timing of initial seaward migration of Atlantic
salmon (Salmo salar). Global Change Biology 20, 61–128</t>
  </si>
  <si>
    <t>Norway - Orkla</t>
  </si>
  <si>
    <t>Consistency from Fig. 4. All +ve except 1. Lat and Lon from Table S53</t>
  </si>
  <si>
    <t>Otero et al. (2014) Basin-scale phenology and effects of climate variability
on global timing of initial seaward migration of Atlantic
salmon (Salmo salar). Global Change Biology 20, 61–129</t>
  </si>
  <si>
    <t>Norway - Driva</t>
  </si>
  <si>
    <t>Consistency from Fig. 4. All +ve except 1. Lat and Lon from Table S54</t>
  </si>
  <si>
    <t>Otero et al. (2014) Basin-scale phenology and effects of climate variability
on global timing of initial seaward migration of Atlantic
salmon (Salmo salar). Global Change Biology 20, 61–130</t>
  </si>
  <si>
    <t>Norway - Eira</t>
  </si>
  <si>
    <t>Consistency from Fig. 4. All +ve except 1. Lat and Lon from Table S55</t>
  </si>
  <si>
    <t>Otero et al. (2014) Basin-scale phenology and effects of climate variability
on global timing of initial seaward migration of Atlantic
salmon (Salmo salar). Global Change Biology 20, 61–131</t>
  </si>
  <si>
    <t>Norway - Hustadelva</t>
  </si>
  <si>
    <t>Consistency from Fig. 4. All +ve except 1. Lat and Lon from Table S56</t>
  </si>
  <si>
    <t>Otero et al. (2014) Basin-scale phenology and effects of climate variability
on global timing of initial seaward migration of Atlantic
salmon (Salmo salar). Global Change Biology 20, 61–132</t>
  </si>
  <si>
    <t>Norway - Aurlandselva</t>
  </si>
  <si>
    <t>Consistency from Fig. 4. All +ve except 1. Lat and Lon from Table S57</t>
  </si>
  <si>
    <t>Otero et al. (2014) Basin-scale phenology and effects of climate variability
on global timing of initial seaward migration of Atlantic
salmon (Salmo salar). Global Change Biology 20, 61–133</t>
  </si>
  <si>
    <t>Norway - Flamselva</t>
  </si>
  <si>
    <t>Consistency from Fig. 4. All +ve except 1. Lat and Lon from Table S58</t>
  </si>
  <si>
    <t>Otero et al. (2014) Basin-scale phenology and effects of climate variability
on global timing of initial seaward migration of Atlantic
salmon (Salmo salar). Global Change Biology 20, 61–134</t>
  </si>
  <si>
    <t>Norway - Vosso</t>
  </si>
  <si>
    <t>Consistency from Fig. 4. All +ve except 1. Lat and Lon from Table S59</t>
  </si>
  <si>
    <t>Otero et al. (2014) Basin-scale phenology and effects of climate variability
on global timing of initial seaward migration of Atlantic
salmon (Salmo salar). Global Change Biology 20, 61–135</t>
  </si>
  <si>
    <t>Norway - Guddalselva</t>
  </si>
  <si>
    <t>Consistency from Fig. 4. All +ve except 1. Lat and Lon from Table S60</t>
  </si>
  <si>
    <t>Otero et al. (2014) Basin-scale phenology and effects of climate variability
on global timing of initial seaward migration of Atlantic
salmon (Salmo salar). Global Change Biology 20, 61–136</t>
  </si>
  <si>
    <t>Norway - Suldaslagen</t>
  </si>
  <si>
    <t>Consistency from Fig. 4. All +ve except 1. Lat and Lon from Table S61</t>
  </si>
  <si>
    <t>Otero et al. (2014) Basin-scale phenology and effects of climate variability
on global timing of initial seaward migration of Atlantic
salmon (Salmo salar). Global Change Biology 20, 61–137</t>
  </si>
  <si>
    <t>Norway - Imsa</t>
  </si>
  <si>
    <t>Consistency from Fig. 4. All +ve except 1. Lat and Lon from Table S62</t>
  </si>
  <si>
    <t>Otero et al. (2014) Basin-scale phenology and effects of climate variability
on global timing of initial seaward migration of Atlantic
salmon (Salmo salar). Global Change Biology 20, 61–138</t>
  </si>
  <si>
    <t>Norway - Mandalselva</t>
  </si>
  <si>
    <t>Consistency from Fig. 4. All +ve except 1. Lat and Lon from Table S63</t>
  </si>
  <si>
    <t>Otero et al. (2014) Basin-scale phenology and effects of climate variability
on global timing of initial seaward migration of Atlantic
salmon (Salmo salar). Global Change Biology 20, 61–139</t>
  </si>
  <si>
    <t>Norway - Tovdalselva</t>
  </si>
  <si>
    <t>Consistency from Fig. 4. All +ve except 1. Lat and Lon from Table S64</t>
  </si>
  <si>
    <t>Otero et al. (2014) Basin-scale phenology and effects of climate variability
on global timing of initial seaward migration of Atlantic
salmon (Salmo salar). Global Change Biology 20, 61–140</t>
  </si>
  <si>
    <t>Norway - Storelva</t>
  </si>
  <si>
    <t>Consistency from Fig. 4. All +ve except 1. Lat and Lon from Table S65</t>
  </si>
  <si>
    <t>Otero et al. (2014) Basin-scale phenology and effects of climate variability
on global timing of initial seaward migration of Atlantic
salmon (Salmo salar). Global Change Biology 20, 61–141</t>
  </si>
  <si>
    <t>Sweden - Savaran</t>
  </si>
  <si>
    <t>Consistency from Fig. 4. All +ve except 1. Lat and Lon from Table S66</t>
  </si>
  <si>
    <t>Otero et al. (2014) Basin-scale phenology and effects of climate variability
on global timing of initial seaward migration of Atlantic
salmon (Salmo salar). Global Change Biology 20, 61–142</t>
  </si>
  <si>
    <t>Sweden - Ricklean</t>
  </si>
  <si>
    <t>Consistency from Fig. 4. All +ve except 1. Lat and Lon from Table S67</t>
  </si>
  <si>
    <t>Otero et al. (2014) Basin-scale phenology and effects of climate variability
on global timing of initial seaward migration of Atlantic
salmon (Salmo salar). Global Change Biology 20, 61–143</t>
  </si>
  <si>
    <t>Sweden - Morrumsan (Hemsjo upper)</t>
  </si>
  <si>
    <t>Consistency from Fig. 4. All +ve except 1. Lat and Lon from Table S68</t>
  </si>
  <si>
    <t>Otero et al. (2014) Basin-scale phenology and effects of climate variability
on global timing of initial seaward migration of Atlantic
salmon (Salmo salar). Global Change Biology 20, 61–144</t>
  </si>
  <si>
    <t>Sweden - Morrumsan (Hemsjo lower)</t>
  </si>
  <si>
    <t>Consistency from Fig. 4. All +ve except 1. Lat and Lon from Table S69</t>
  </si>
  <si>
    <t>Otero et al. (2014) Basin-scale phenology and effects of climate variability
on global timing of initial seaward migration of Atlantic
salmon (Salmo salar). Global Change Biology 20, 61–145</t>
  </si>
  <si>
    <t>Sweden - Morrumsan (Marieberg)</t>
  </si>
  <si>
    <t>Consistency from Fig. 4. All +ve except 1. Lat and Lon from Table S70</t>
  </si>
  <si>
    <t>Otero et al. (2014) Basin-scale phenology and effects of climate variability
on global timing of initial seaward migration of Atlantic
salmon (Salmo salar). Global Change Biology 20, 61–76</t>
  </si>
  <si>
    <t>Canada - Campbellton</t>
  </si>
  <si>
    <t>Consistency from Fig. 4. All +ve except 1. Lat and Lon from Table S1</t>
  </si>
  <si>
    <t>Otero et al. (2014) Basin-scale phenology and effects of climate variability
on global timing of initial seaward migration of Atlantic
salmon (Salmo salar). Global Change Biology 20, 61–77</t>
  </si>
  <si>
    <t>Canada - NE Brook-Trepassey</t>
  </si>
  <si>
    <t>Consistency from Fig. 4. All +ve except 1. Lat and Lon from Table S2</t>
  </si>
  <si>
    <t>Otero et al. (2014) Basin-scale phenology and effects of climate variability
on global timing of initial seaward migration of Atlantic
salmon (Salmo salar). Global Change Biology 20, 61–78</t>
  </si>
  <si>
    <t>Canada - Rocky</t>
  </si>
  <si>
    <t>Consistency from Fig. 4. All +ve except 1. Lat and Lon from Table S3</t>
  </si>
  <si>
    <t>Otero et al. (2014) Basin-scale phenology and effects of climate variability
on global timing of initial seaward migration of Atlantic
salmon (Salmo salar). Global Change Biology 20, 61–79</t>
  </si>
  <si>
    <t>Canada - Conne</t>
  </si>
  <si>
    <t>Consistency from Fig. 4. All +ve except 1. Lat and Lon from Table S4</t>
  </si>
  <si>
    <t>Otero et al. (2014) Basin-scale phenology and effects of climate variability
on global timing of initial seaward migration of Atlantic
salmon (Salmo salar). Global Change Biology 20, 61–80</t>
  </si>
  <si>
    <t>Canada - Highlands</t>
  </si>
  <si>
    <t>Consistency from Fig. 4. All +ve except 1. Lat and Lon from Table S5</t>
  </si>
  <si>
    <t>Otero et al. (2014) Basin-scale phenology and effects of climate variability
on global timing of initial seaward migration of Atlantic
salmon (Salmo salar). Global Change Biology 20, 61–81</t>
  </si>
  <si>
    <t>Canada - Western Arm Brook</t>
  </si>
  <si>
    <t>Consistency from Fig. 4. All +ve except 1. Lat and Lon from Table S6</t>
  </si>
  <si>
    <t>Otero et al. (2014) Basin-scale phenology and effects of climate variability
on global timing of initial seaward migration of Atlantic
salmon (Salmo salar). Global Change Biology 20, 61–82</t>
  </si>
  <si>
    <t>Canada - Sand Hill</t>
  </si>
  <si>
    <t>Consistency from Fig. 4. All +ve except 1. Lat and Lon from Table S7</t>
  </si>
  <si>
    <t>Otero et al. (2014) Basin-scale phenology and effects of climate variability
on global timing of initial seaward migration of Atlantic
salmon (Salmo salar). Global Change Biology 20, 61–83</t>
  </si>
  <si>
    <t>Canada - Trinite</t>
  </si>
  <si>
    <t>Consistency from Fig. 4. All +ve except 1. Lat and Lon from Table S8</t>
  </si>
  <si>
    <t>Otero et al. (2014) Basin-scale phenology and effects of climate variability
on global timing of initial seaward migration of Atlantic
salmon (Salmo salar). Global Change Biology 20, 61–84</t>
  </si>
  <si>
    <t>Canada - Saint-Jean</t>
  </si>
  <si>
    <t>Consistency from Fig. 4. All +ve except 1. Lat and Lon from Table S9</t>
  </si>
  <si>
    <t>Otero et al. (2014) Basin-scale phenology and effects of climate variability
on global timing of initial seaward migration of Atlantic
salmon (Salmo salar). Global Change Biology 20, 61–85</t>
  </si>
  <si>
    <t>USA - Sheepscot</t>
  </si>
  <si>
    <t>Consistency from Fig. 4. All +ve except 1. Lat and Lon from Table S10</t>
  </si>
  <si>
    <t>Otero et al. (2014) Basin-scale phenology and effects of climate variability
on global timing of initial seaward migration of Atlantic
salmon (Salmo salar). Global Change Biology 20, 61–86</t>
  </si>
  <si>
    <t>USA - Narraguagus</t>
  </si>
  <si>
    <t>Consistency from Fig. 4. All +ve except 1. Lat and Lon from Table S11</t>
  </si>
  <si>
    <t>Otero et al. (2014) Basin-scale phenology and effects of climate variability
on global timing of initial seaward migration of Atlantic
salmon (Salmo salar). Global Change Biology 20, 61–87</t>
  </si>
  <si>
    <t>USA - Shorey Brook</t>
  </si>
  <si>
    <t>Consistency from Fig. 4. All +ve except 1. Lat and Lon from Table S12</t>
  </si>
  <si>
    <t>Otero et al. (2014) Basin-scale phenology and effects of climate variability
on global timing of initial seaward migration of Atlantic
salmon (Salmo salar). Global Change Biology 20, 61–88</t>
  </si>
  <si>
    <t>USA - Connecticut (Cabot)</t>
  </si>
  <si>
    <t>Consistency from Fig. 4. All +ve except 1. Lat and Lon from Table S13</t>
  </si>
  <si>
    <t>Otero et al. (2014) Basin-scale phenology and effects of climate variability
on global timing of initial seaward migration of Atlantic
salmon (Salmo salar). Global Change Biology 20, 61–89</t>
  </si>
  <si>
    <t>USA - Connecticut (Holyoke)</t>
  </si>
  <si>
    <t>Consistency from Fig. 4. All +ve except 1. Lat and Lon from Table S14</t>
  </si>
  <si>
    <t>Otero et al. (2014) Basin-scale phenology and effects of climate variability
on global timing of initial seaward migration of Atlantic
salmon (Salmo salar). Global Change Biology 20, 61–90</t>
  </si>
  <si>
    <t>USA - Farmington</t>
  </si>
  <si>
    <t>Consistency from Fig. 4. All +ve except 1. Lat and Lon from Table S15</t>
  </si>
  <si>
    <t>Otero et al. (2014) Basin-scale phenology and effects of climate variability
on global timing of initial seaward migration of Atlantic
salmon (Salmo salar). Global Change Biology 20, 61–91</t>
  </si>
  <si>
    <t>USA - West Brook</t>
  </si>
  <si>
    <t>Consistency from Fig. 4. All +ve except 1. Lat and Lon from Table S16</t>
  </si>
  <si>
    <t>Otero et al. (2014) Basin-scale phenology and effects of climate variability
on global timing of initial seaward migration of Atlantic
salmon (Salmo salar). Global Change Biology 20, 61–92</t>
  </si>
  <si>
    <t>Iceland - Ellidaar</t>
  </si>
  <si>
    <t>Consistency from Fig. 4. All +ve except 1. Lat and Lon from Table S17</t>
  </si>
  <si>
    <t>Otero et al. (2014) Basin-scale phenology and effects of climate variability
on global timing of initial seaward migration of Atlantic
salmon (Salmo salar). Global Change Biology 20, 61–93</t>
  </si>
  <si>
    <t>Iceland - Vesturdalsa</t>
  </si>
  <si>
    <t>Consistency from Fig. 4. All +ve except 1. Lat and Lon from Table S18</t>
  </si>
  <si>
    <t>Otero et al. (2014) Basin-scale phenology and effects of climate variability
on global timing of initial seaward migration of Atlantic
salmon (Salmo salar). Global Change Biology 20, 61–94</t>
  </si>
  <si>
    <t>Iceland - Nupsa</t>
  </si>
  <si>
    <t>Consistency from Fig. 4 (65oN and 20oW only one less than 0). All +ve except 1. Lat and Lon from Table S19</t>
  </si>
  <si>
    <t>Otero et al. (2014) Basin-scale phenology and effects of climate variability
on global timing of initial seaward migration of Atlantic
salmon (Salmo salar). Global Change Biology 20, 61–95</t>
  </si>
  <si>
    <t>Scotland - Bran</t>
  </si>
  <si>
    <t>Consistency from Fig. 4. All +ve except 1. Lat and Lon from Table S20</t>
  </si>
  <si>
    <t>Otero et al. (2014) Basin-scale phenology and effects of climate variability
on global timing of initial seaward migration of Atlantic
salmon (Salmo salar). Global Change Biology 20, 61–96</t>
  </si>
  <si>
    <t>Scotland - North Esk</t>
  </si>
  <si>
    <t>Consistency from Fig. 4. All +ve except 1. Lat and Lon from Table S21</t>
  </si>
  <si>
    <t>Otero et al. (2014) Basin-scale phenology and effects of climate variability
on global timing of initial seaward migration of Atlantic
salmon (Salmo salar). Global Change Biology 20, 61–97</t>
  </si>
  <si>
    <t>Ireland - Burrishoole</t>
  </si>
  <si>
    <t>Consistency from Fig. 4. All +ve except 1. Lat and Lon from Table S22</t>
  </si>
  <si>
    <t>Otero et al. (2014) Basin-scale phenology and effects of climate variability
on global timing of initial seaward migration of Atlantic
salmon (Salmo salar). Global Change Biology 20, 61–98</t>
  </si>
  <si>
    <t>Ireland - Bush</t>
  </si>
  <si>
    <t>Consistency from Fig. 4. All +ve except 1. Lat and Lon from Table S23</t>
  </si>
  <si>
    <t>Otero et al. (2014) Basin-scale phenology and effects of climate variability
on global timing of initial seaward migration of Atlantic
salmon (Salmo salar). Global Change Biology 20, 61–99</t>
  </si>
  <si>
    <t>England - Wear</t>
  </si>
  <si>
    <t>Consistency from Fig. 4. All +ve except 1. Lat and Lon from Table S24</t>
  </si>
  <si>
    <t>Scharfe &amp; Wiltshire (2019) Modeling of intra-annual abundance distributions: Constancy and variation in the phenology of marine phytoplankton species over five decades at Helgoland Roads (North Sea). Ecological Modelling 404: 46-60</t>
  </si>
  <si>
    <t>SST, sunshine, nutrients</t>
  </si>
  <si>
    <t>Mainly SST</t>
  </si>
  <si>
    <t>Digitised from Fig. 5. All species and peaks used. Spring moving forward and Autum moving back. Fig. 8a. Shows PC1 getting earlier in Spring. Fig. 8b. shows earlier then later in Summer</t>
  </si>
  <si>
    <t>PCA</t>
  </si>
  <si>
    <t>Chaetoceros spp.</t>
  </si>
  <si>
    <t>Ceratulina pelagica</t>
  </si>
  <si>
    <t>Guindardia flaccida</t>
  </si>
  <si>
    <t>Rhizosolenia setigera</t>
  </si>
  <si>
    <t>Guindardia delicatula</t>
  </si>
  <si>
    <t>Pseudo-nitzschia spp.</t>
  </si>
  <si>
    <t>Leptocylindricus minimus</t>
  </si>
  <si>
    <t>Detonula pumila</t>
  </si>
  <si>
    <t>Prorocentrum micans</t>
  </si>
  <si>
    <t>van Walraven et al. (2017) Long-term patterns in fish phenology in the western Dutch Wadden Sea in relation to climate change. Journal of Sea Research 127 (2017) 173–181</t>
  </si>
  <si>
    <t>Netherlands</t>
  </si>
  <si>
    <t>Zoarces viviparus</t>
  </si>
  <si>
    <t>SST, salinity</t>
  </si>
  <si>
    <t>Some earlier, some later. For those earlier, could be because of wamring. For those that are later, authors hypothesis that warmer conditions at sea could be because of warmer conditions at sea so they migrate to estuaries later.</t>
  </si>
  <si>
    <t>Data from Fig. 4. Can't use all 3 measures (pseudoreplicated, so took 2 out of 3 red consistent with CC; 2 out of 3 blue not consistent with CC). No significance recorded. Table 2 gives the timing, so have used Peak Abundance DOY (last column) - all 20-54 DOY.</t>
  </si>
  <si>
    <t>Data from Fig. 4. Can't use all 3 measures (pseudoreplicated, so took 2 out of 3 red consistent with CC; 2 out of 3 blue not consistent with CC). No significance recorded. Table 2 gives the timing, so have used Peak Abundance DOY (last column).</t>
  </si>
  <si>
    <t>Scophthalmus maximus</t>
  </si>
  <si>
    <t>Salmo trutta trutta</t>
  </si>
  <si>
    <t>Pollachius pollachius</t>
  </si>
  <si>
    <t>Osmerus eperlanus</t>
  </si>
  <si>
    <t>Liparis liparis liparis</t>
  </si>
  <si>
    <t>Hyperoplus lanceolatus</t>
  </si>
  <si>
    <t>Ciliata mustela</t>
  </si>
  <si>
    <t>Belone belone</t>
  </si>
  <si>
    <t>Gasterosteus aculeatus aculeatus</t>
  </si>
  <si>
    <t>Ammodytes tobianus</t>
  </si>
  <si>
    <t>Pholis gunnellus</t>
  </si>
  <si>
    <t>Scophthalmus rhombus</t>
  </si>
  <si>
    <t>Liza aurata</t>
  </si>
  <si>
    <t>Chelon labrosus</t>
  </si>
  <si>
    <t>Alosa fallax</t>
  </si>
  <si>
    <t>Wasmund et al. (2019) Extension of the growing season of phytoplankton in the western Baltic Sea in response to climate change. Marine Ecology Progress Series 622: 1-16</t>
  </si>
  <si>
    <t>Sunshine, SST, salinity, nutrients</t>
  </si>
  <si>
    <t>Mainly sunshine</t>
  </si>
  <si>
    <t>Fig. 7a. Slope for Spring Chl-a is -1.43 day/yr</t>
  </si>
  <si>
    <t>Mann-Kendall</t>
  </si>
  <si>
    <t>SST, salinity, nutrients</t>
  </si>
  <si>
    <t>Fig. 7b. Slope for Autumn Chl-a is +3.1 day/yr given in text</t>
  </si>
  <si>
    <t xml:space="preserve">Fig. 8. Slope for duration is 4.48 days/yr. Increasing duration is consistent with climate change. The substantial delay in Autumn bloom was not included even though it is consistent with climate change because it would be double dipping having Spring, Autum and Duration - should only include 2 of those 3. </t>
  </si>
  <si>
    <t>Weigel et al. (2021) Exposing changing phenology of fish larvae by modeling climate effects on temporal early life-stage shifts. MEPS 666: 135-148</t>
  </si>
  <si>
    <t>Baltic herring</t>
  </si>
  <si>
    <t>Clupea harengus membras</t>
  </si>
  <si>
    <t>Biomass Peak</t>
  </si>
  <si>
    <t>Spawning stock biomass, Chl-a, Salinity, Temperature</t>
  </si>
  <si>
    <t>Gulf of Finland. Estimated from All Areas Combined in Fig. 5 using the regression equation. Did not use individual areas because all same species and same Longhurst Province</t>
  </si>
  <si>
    <t>Bayesian</t>
  </si>
  <si>
    <t>McGeady et al. (2021) Shift in the larval phenology of a marine ectotherm due to ocean
warming with consequences for larval transport. Limnology and Oceanography 66: 543-557</t>
  </si>
  <si>
    <t>Norway lobster</t>
  </si>
  <si>
    <t>Warmer temperatures and earlier spawning/faster development</t>
  </si>
  <si>
    <t>Data from observations of Stage 1 larvae that were summarised into 2 periods (19.1 days earlier). 2 periods = 1982-1995 and 2000-2010. Because the mean was used for the timing, use mean date for each period for the duration. So mean Period 1 = 1989 and Period 2 = 2005</t>
  </si>
  <si>
    <t>Mann-Whitney U-tests</t>
  </si>
  <si>
    <t>Lombardo et al. (2020) Evidence for temperature-dependent shifts in spawning times
of anadromous alewife (Alosa pseudoharengus) and blueback
herring (Alosa aestivalis). Can. J. Fish. Aquat. Sci. 77(4): 741-751</t>
  </si>
  <si>
    <t>Bony Fish</t>
  </si>
  <si>
    <t>SST, pH, DOY</t>
  </si>
  <si>
    <t>Spawning migrations earlier with warming</t>
  </si>
  <si>
    <t>Values from Table 1. From from Leggett et al. (2021), which only reports a latitudinal comparison of timing. These were (i) ingress at 5% presence probability,
(ii) peak presence probability, and (iii) egress at 5%
presence probability. Where no single, clearly defined peak existed
(i.e., a plateau or bimodal curve), the mean day along the
plateau or between the peaks was designated as the peak (i.e.,
central measure) spawning day for that decade. Much better than Ellis &amp; Volkoun (2009) study that looked at same species but focus on temperature</t>
  </si>
  <si>
    <t>GAMs</t>
  </si>
  <si>
    <t>Blueback herring</t>
  </si>
  <si>
    <t>Peer AC &amp; Miller TJ (2014) Climate Change, Migration Phenology, and Fisheries Management Interact with Unanticipated Consequences. North American Journal of Fisheries Management 34:94–110</t>
  </si>
  <si>
    <t>SST, wind, flow</t>
  </si>
  <si>
    <t>Used d50 index (centroid) for the Bay area (more marine than Potomac River)</t>
  </si>
  <si>
    <t>Linear model</t>
  </si>
  <si>
    <t>Thaxton WC, Taylor JC, Asch RG (2020) Climate-associated trends and variability in
ichthyoplankton phenology from the longest
continuous larval fish time series on
the east coast of the United States. MEPS 650: 269-287</t>
  </si>
  <si>
    <t>American eel</t>
  </si>
  <si>
    <t>Anguilla rostrata</t>
  </si>
  <si>
    <t>SST, wind, AMO, NAO, Tide</t>
  </si>
  <si>
    <t>Warmer temperature and earlier appearance</t>
  </si>
  <si>
    <t>Values from Table S3. Used beginning of ingress - use first occurrence measures before centroids, where possible</t>
  </si>
  <si>
    <t>Atlantic menhaden</t>
  </si>
  <si>
    <t>Brevoortia tyrannus</t>
  </si>
  <si>
    <t>Pinfish</t>
  </si>
  <si>
    <t>Spot</t>
  </si>
  <si>
    <t>Striped mullet</t>
  </si>
  <si>
    <t>Speckled worm eel</t>
  </si>
  <si>
    <t>Myrophis punctatus</t>
  </si>
  <si>
    <t>Atlantic croaker</t>
  </si>
  <si>
    <t>Gulf flounder</t>
  </si>
  <si>
    <t>Paralichthys albigutta</t>
  </si>
  <si>
    <t>Southern flounder</t>
  </si>
  <si>
    <t>Paralichthys lethostigma</t>
  </si>
  <si>
    <t>Bucci et al. (2020) Interannual variability in the thermal habitat of Alexandrium catenella in the Bay of Fundy and the implications of climate change. Frontiers in Marine Science 7: 587990</t>
  </si>
  <si>
    <t>Alexandrium</t>
  </si>
  <si>
    <t>Alexandrium catenella</t>
  </si>
  <si>
    <t>First occurrence</t>
  </si>
  <si>
    <t>SST, freshwater inflow</t>
  </si>
  <si>
    <t>Warmer temperature earlier blooms</t>
  </si>
  <si>
    <t>Values from Fig. 3 and main text</t>
  </si>
  <si>
    <t>Langan et al. (2021) Climate alters the migration phenology of coastal marine species. MEPS 660: 1-18</t>
  </si>
  <si>
    <t>USA</t>
  </si>
  <si>
    <t>Bottom temperature</t>
  </si>
  <si>
    <t>Warmer water, earlier occurrence</t>
  </si>
  <si>
    <t>Values from 1st data column in Table 3. 1st vs last decade</t>
  </si>
  <si>
    <t>t-tests</t>
  </si>
  <si>
    <t>Red hake</t>
  </si>
  <si>
    <t>Tautog</t>
  </si>
  <si>
    <t>Northern searobin</t>
  </si>
  <si>
    <t>Scup</t>
  </si>
  <si>
    <t>Butterfish</t>
  </si>
  <si>
    <t>Striped searobin</t>
  </si>
  <si>
    <t>Kovach et al. (2015) Temporal patterns in adult salmon migration timing
across southeast Alaska. Global Change Biology 21: 1821–1833</t>
  </si>
  <si>
    <t>Alaska</t>
  </si>
  <si>
    <t>Migration peak</t>
  </si>
  <si>
    <t>SST, PDO, Precipitation</t>
  </si>
  <si>
    <t>Warmer water, earlier arrival</t>
  </si>
  <si>
    <t>Significant. Observations taken from Table 1. Warming of 1.4-2.3oC</t>
  </si>
  <si>
    <t>Not significant. Observations taken from Table 1. Warming of 1.4-2.3oC</t>
  </si>
  <si>
    <t>Sockeye salmon</t>
  </si>
  <si>
    <t>Oncorhynchus nerka</t>
  </si>
  <si>
    <t>Chinook salmon</t>
  </si>
  <si>
    <t>Crozier et al. (2011) Using Time Series Analysis to Characterize Evolutionary and
Plastic Responses to Environmental Change: A Case Study
of a Shift toward Earlier Migration Date in Sockeye Salmon. The American Naturalist 178(6): 755-773</t>
  </si>
  <si>
    <t>Oregon</t>
  </si>
  <si>
    <t>Temperature, flow, PDO</t>
  </si>
  <si>
    <t>Earlier arrival with warmer temperatures</t>
  </si>
  <si>
    <t>10.3 days earlier from text on page 756. Also from Fig. 1</t>
  </si>
  <si>
    <t>Time series model</t>
  </si>
  <si>
    <t>Cobb (2020) The Impact of Climate Change on the Migration. Honours thesis
Phenology of New England’s Anadromous River
Herring and American Shad</t>
  </si>
  <si>
    <t>Gulf of Maine</t>
  </si>
  <si>
    <t>Temperature, flow, population</t>
  </si>
  <si>
    <t>From text on p. 13, and from Fig. S2</t>
  </si>
  <si>
    <t>River herring</t>
  </si>
  <si>
    <t>Alosa pseudoharengus and Alosa aestivalis</t>
  </si>
  <si>
    <t>From text on p. 13, and from Fig. S1</t>
  </si>
  <si>
    <t xml:space="preserve">Agha et al. (2021) Temporal patterns and ecosystem correlates of chum salmon (Oncorhynchus keta) migration phenology in the Pacific Northwest. Can. J. Fish. Aquat. Sci. </t>
  </si>
  <si>
    <t>Schluter, M.H., A. Merico, M. Reginatto, M. Boersma, K.H. Wiltshire and W. Greve. 2010. Phenological shifts in three interacting zooplankton groups in relation to climate change. Global Change Biology doi: 10.1111/j.1365-2486.2010.02246.x</t>
  </si>
  <si>
    <t>Mixed</t>
  </si>
  <si>
    <t>Fig. 1d goes from Week 20 to Week 19</t>
  </si>
  <si>
    <t>Comb jellies</t>
  </si>
  <si>
    <t>Beroe gracilis</t>
  </si>
  <si>
    <t>Chris B</t>
  </si>
  <si>
    <t>Pleurobrachia pileus</t>
  </si>
  <si>
    <t>Costello, J.H, B.K. Sullivan and D.J. Gifford. 2006. A physical-biological interaction underlying variable phenological responses to climate change by coastal zooplankton. Journal of Plankton Research 28:1099-1105</t>
  </si>
  <si>
    <t>North-west Atlantic</t>
  </si>
  <si>
    <t>Acartia tonsa</t>
  </si>
  <si>
    <t>Mnemiopsis leidyi</t>
  </si>
  <si>
    <t>Edwards, M., D.G. Johns, P. Licandro, A.W.G. John and D.P. Stevens. 2005. Ecological status report: result from the CPR survey 2004/2005. SAHFOS Technical Report 3: 1-8</t>
  </si>
  <si>
    <t>Edwards, M. and A.J. Richardson. 2004. Impact of climate change on marine pelagic phenology and trophic mismatch. Nature 430: 881-884.</t>
  </si>
  <si>
    <t>Larvacea</t>
  </si>
  <si>
    <t>Anthony R</t>
  </si>
  <si>
    <t>Candacia armata</t>
  </si>
  <si>
    <t>Tunin-Ley, A., F. Ibanez, J-P. Labat, A. Zingone and R. Lemee. 2009. Phytoplankton biodiversity and the NW Mediterranean Sea warming: changes in the dinoflagellate genus Ceratium in the 20th century. Marine Ecology Progress Series 375: 85-99</t>
  </si>
  <si>
    <t>Harpacticoida</t>
  </si>
  <si>
    <t>Ahas, R. and A. Aasa 2006. The effects of climate change on the phenology of selected Estonian plant, bird and fish populations. International Journal of Biometeorology 51:17:26</t>
  </si>
  <si>
    <t>Smelt</t>
  </si>
  <si>
    <t>Osmerus eperlanus eperlanus</t>
  </si>
  <si>
    <t>Osmerus eperlanus eperlanus morpha spirinchus</t>
  </si>
  <si>
    <t>Philippart, C. J. M., H. M. van Aken, J. J. Beukema, O. G. Bos, G. C. Cadee, and R. Dekker. 2003. Climate-related changes in recruitment of the bivalve Macoma balthica. Limnology and Oceanography 48:2171-2185.</t>
  </si>
  <si>
    <t>Other crustacea</t>
  </si>
  <si>
    <t>shrimp</t>
  </si>
  <si>
    <t>Crangon crangon</t>
  </si>
  <si>
    <t>Pippa M</t>
  </si>
  <si>
    <t>Changed from 31 days over time period to 0.44 days earlier per year (from Fig. 3C) by Ant</t>
  </si>
  <si>
    <t>Mazaris, A. D., et al. 2008. Do long-term changes in sea surface temperature at the breeding areas affect the breeding dates and reproduction performance of Mediterranean loggerhead turtles? Implications for climate change.JMBE 367: 219-226</t>
  </si>
  <si>
    <t>loggerhead turtle</t>
  </si>
  <si>
    <t>Caretta caretta</t>
  </si>
  <si>
    <t>Lauren B</t>
  </si>
  <si>
    <t>Hawkes, L., M. A. C. Broderick, M. H. Godfrey, and B. J. Godley. 2007. Investigating the potential impacts of climate change on a marine turtle population. Global Change Biology 13:923-932.</t>
  </si>
  <si>
    <t xml:space="preserve">Pike, D. A., R. L. Antworth, and J. C. Stiner. 2006. Earlier nesting contributes to shorter nesting seasons for the loggerhead seaturtle, Caretta caretta. Journal of Herpetology 40:91-94. </t>
  </si>
  <si>
    <t>Weishampel, J.F., D.A. Bagley and L.M. Ehrhart. 2004. Earlier nesting by loggerhead sea turtles following sea surface warming. Global Change Biology 10:1424-1427</t>
  </si>
  <si>
    <t>Loggehead sea turtle</t>
  </si>
  <si>
    <t>Beukema, J.J., Dekker, R., Jansen, J.M. 2009. Some like it cold: populations of the tellinid bivalve Macoma balthica (L.) suffer in various ways from a warming climate. Marine Ecology Progress Series 384: 135Ð145</t>
  </si>
  <si>
    <t>bivalve</t>
  </si>
  <si>
    <t>Ant changed from Pippa who had 10 days later, which was wrong</t>
  </si>
  <si>
    <t>Dufour, F., H. Arrizabalaga, X. Irigoien and J. Santiago. 2010. Climate impacts on albacore and bluefin tunas migrations phenology and spatial distribution. Progress in Oceanography 86: 283-290</t>
  </si>
  <si>
    <t>bluefin tuna</t>
  </si>
  <si>
    <t>Thunnus thynnus</t>
  </si>
  <si>
    <t>albacore</t>
  </si>
  <si>
    <t>Elvira P</t>
  </si>
  <si>
    <t>Moore, P.J., R.C. Thompson  and S.J. Hawkins. 2011. Phenological changes in intertidal con-specific gastrpods in response to climate warming. Global Change Biology</t>
  </si>
  <si>
    <t>Black footed limpet</t>
  </si>
  <si>
    <t>Ant changed from Pippa because she had advanced as positive and later as negative</t>
  </si>
  <si>
    <t>Common limpet</t>
  </si>
  <si>
    <t>Juanes, F., S. Gephard and K.F. Beland. 2004. Long-term changes in migration timing of adult Atlantic salmon (Salmo salar) at the southern edge of the species distribution. Canadian journal of Fisheries and Aquatic Sciences 61:2392-2400</t>
  </si>
  <si>
    <t>Kennedy, R. J. and W. W. Crozier. 2010. Evidence of changing migratory patterns of wild Atlantic salmon Salmo salar smolts in the River Bush, Northern Ireland, and possible associations with climate change. Journal of Fish Biology. 76: 1786-1805</t>
  </si>
  <si>
    <t>Wiltshire, K.H. and B.F.J. Manly. 2004. The warming trend at Helgoland Roads, North Sea: phytoplankton response. Helgoland Marine Research 58: 269-273</t>
  </si>
  <si>
    <t>Rhizosolenia alata alata</t>
  </si>
  <si>
    <t>Sterna sandvicensis</t>
  </si>
  <si>
    <t>Wanless, S., M.P. Harris, S. Lewis, M. Frederiksen and S. Murray. 2008. Later breeding in northern gannets in the eastern Atlantic. Marine Ecology Progress Series 370:263-269.</t>
  </si>
  <si>
    <t>Northern gannet</t>
  </si>
  <si>
    <t>Morus bassanus</t>
  </si>
  <si>
    <t>D'Alba, L., P. Monaghan, and R.G. Nager. 2010. Advances in laying date and increasing population size suggest poistive responses to climate change in Common Eiders Somateria mollissima in Iceland. Ibis 152:19-28.</t>
  </si>
  <si>
    <t>Chambers (2004a) Delayed breeding in little
penguins—evidence of climate change? Aust. Meteorol. Mag.
53 13–19.; Chambers (2004b) Pp. 1–62 in The impact of climate on
Little Penguin breeding success. Bureau of Meteorology,
Melbourne, Australia.</t>
  </si>
  <si>
    <t>Southern Australia</t>
  </si>
  <si>
    <t>Mean egg laying</t>
  </si>
  <si>
    <t>Hindell et al. (2012) Long-term breeding phenology shift in royal penguins. Ecology and Evolution 2012; 2(7):
1563–1571</t>
  </si>
  <si>
    <t>Macquarie Island</t>
  </si>
  <si>
    <t>Royal penguin</t>
  </si>
  <si>
    <t>Eudyptes schlegeli</t>
  </si>
  <si>
    <t>Guillemot</t>
  </si>
  <si>
    <t>Digitised rom Fig. 3. Median not mean</t>
  </si>
  <si>
    <t>Shag</t>
  </si>
  <si>
    <t>Kitiwake</t>
  </si>
  <si>
    <t>First egg laying</t>
  </si>
  <si>
    <t>Puffin</t>
  </si>
  <si>
    <t>Chambers et al. (2013) Climate as a driver of phenological change in southern seabirds. Chambers, L.E., Dann, P., Cannell, B. and Woehler, E.J. (2013) Climate as a driver of phenological change in southern seabirds. International Journal of Biometeorology, 58 (4). pp. 603-612</t>
  </si>
  <si>
    <t>Phillip Island, Australia</t>
  </si>
  <si>
    <t>Eudyptula minor </t>
  </si>
  <si>
    <t>Took most recent study</t>
  </si>
  <si>
    <t>St Kilda, Australia</t>
  </si>
  <si>
    <t>Unpublished data</t>
  </si>
  <si>
    <t>Para-pseudocalanus spp.</t>
  </si>
  <si>
    <t>Pseudocalanus elongatus</t>
  </si>
  <si>
    <t>Labidocera wollastoni</t>
  </si>
  <si>
    <t>Asterionella glacialis</t>
  </si>
  <si>
    <t>Rhizosolenia imbrica shrubsolei</t>
  </si>
  <si>
    <t>Cladoceran</t>
  </si>
  <si>
    <t>Penguin Island, Western Australia</t>
  </si>
  <si>
    <t>On average, across 3 measures. Cannell et al. (2012)</t>
  </si>
  <si>
    <t>Houtman Abrolhos, Western Australia</t>
  </si>
  <si>
    <t>Sooty tern</t>
  </si>
  <si>
    <t>Onychoprion fuscata </t>
  </si>
  <si>
    <t>Later - averaged across 3 measures. Surman et al. (2012)</t>
  </si>
  <si>
    <t>Bridled Tern </t>
  </si>
  <si>
    <t>Onychoprion anaethetus</t>
  </si>
  <si>
    <t>Dunlap &amp; Surman (2012)</t>
  </si>
  <si>
    <t>Brown noddy</t>
  </si>
  <si>
    <t>Anous stolidus </t>
  </si>
  <si>
    <t>Surman et al. (2012)</t>
  </si>
  <si>
    <t>Lesser noddy</t>
  </si>
  <si>
    <t>Anous tenuicornis</t>
  </si>
  <si>
    <t>Surman et al. (2012). Average of the two</t>
  </si>
  <si>
    <t>Wedge-tailed shearwater</t>
  </si>
  <si>
    <t>Ardenna pacifica</t>
  </si>
  <si>
    <t>Punto Tombo, Argentina</t>
  </si>
  <si>
    <t>Magellanic penguin</t>
  </si>
  <si>
    <t>Spheniscus magellanicus</t>
  </si>
  <si>
    <t>Boersma &amp; Rebstock (2009)</t>
  </si>
  <si>
    <t>Descamps et al. (2019) Diverging phenological responses of Arctic seabirds to an earlier spring. Global Change Biology 25:4081–4091</t>
  </si>
  <si>
    <t>Crested auklet</t>
  </si>
  <si>
    <t>Aethia cristatella</t>
  </si>
  <si>
    <t>Warming leads to earlier spring onset. Response differs by Ocean basin (different warming) and whether surface feeders (more affected) and deeper feeders (less affected)</t>
  </si>
  <si>
    <t>Data from Fig. 1b Phenology Trend calculated from their raw data deposited in Dryad. For each species, calculated a linear regression of HatchDate vs YR, and used the slope of that (= Fig. 1b I think). Lat and Lon of colony with most number of years of data slected for each species. InitialDOY (and Season) estimated from HatchDate linear model for each species</t>
  </si>
  <si>
    <t>GLMM</t>
  </si>
  <si>
    <t>Parakeet auklet</t>
  </si>
  <si>
    <t>Aethia psittacula</t>
  </si>
  <si>
    <t>Least auklet</t>
  </si>
  <si>
    <t>Aethia pusilla</t>
  </si>
  <si>
    <t>Whiskered auklet</t>
  </si>
  <si>
    <t>Aethia pygmaea</t>
  </si>
  <si>
    <t>Fish eggs</t>
  </si>
  <si>
    <t>Echinoderm larvae</t>
  </si>
  <si>
    <t>Oithona spp.</t>
  </si>
  <si>
    <t>Rhizosolenia hebetata semispina</t>
  </si>
  <si>
    <t>Arrow worm</t>
  </si>
  <si>
    <t>Chaetognatha</t>
  </si>
  <si>
    <t>Corycaeus spp.</t>
  </si>
  <si>
    <t>Annelids</t>
  </si>
  <si>
    <t>Tomopteris spp.</t>
  </si>
  <si>
    <t>Cumacea</t>
  </si>
  <si>
    <t>amphipod</t>
  </si>
  <si>
    <t>Gammaridea</t>
  </si>
  <si>
    <t>Mollusc</t>
  </si>
  <si>
    <t>Clione limacina</t>
  </si>
  <si>
    <t>Limacina retroversa</t>
  </si>
  <si>
    <t>Thalassiosira spp</t>
  </si>
  <si>
    <t>Decapoda larvae</t>
  </si>
  <si>
    <t>Greve, W, Reiners, F, Nusta, Hoffmann S. 2004. Helgoland Roads meso- and macrozooplankton time-series 1974 to 2004: lessons from 30 years of single spot, high frequency sampling at the only off-shore island of the North Sea. Helgoland Marine Research 58: 274Ð288</t>
  </si>
  <si>
    <t>Lamellibranchia larvae</t>
  </si>
  <si>
    <t>Cyphonautes larvae</t>
  </si>
  <si>
    <t>Protozoa</t>
  </si>
  <si>
    <t xml:space="preserve">phytoplankton  </t>
  </si>
  <si>
    <t>Ant: Phytoplankton values of 3,000 mg.m3 must be incorrect! Assume trend is OK</t>
  </si>
  <si>
    <t>Neocalanus plumchrus</t>
  </si>
  <si>
    <t>Polychaeta larvae</t>
  </si>
  <si>
    <t>barnacles</t>
  </si>
  <si>
    <t>Cirripede larvae</t>
  </si>
  <si>
    <t>Mackas, D.L., R. Goldblatt and A.G. Lewis. 1998. Interdecadal variation in developmental timing of Neocalanus plumchrus populations at Ocean Station P in the subarctic North Pacific. Canadian Journal of Fisheries and Aquatic Sciences 55: 1878-1893</t>
  </si>
  <si>
    <t>North-west Pacific</t>
  </si>
  <si>
    <t>copepods</t>
  </si>
  <si>
    <t>Alca torda</t>
  </si>
  <si>
    <t>Little auk</t>
  </si>
  <si>
    <t>Alle alle</t>
  </si>
  <si>
    <t>Pigeon Guillemot</t>
  </si>
  <si>
    <t>Cepphus columba</t>
  </si>
  <si>
    <t>Rhinoceros auklet</t>
  </si>
  <si>
    <t>Cerorhinca monocerata</t>
  </si>
  <si>
    <t>Atlantic puffin</t>
  </si>
  <si>
    <t>Fratercula Arctica</t>
  </si>
  <si>
    <t>Tufted puffin</t>
  </si>
  <si>
    <t>Fratercula cirrhata</t>
  </si>
  <si>
    <t>Horned puffin</t>
  </si>
  <si>
    <t>Fratercula corniculata</t>
  </si>
  <si>
    <t>Northern fulmar</t>
  </si>
  <si>
    <t>Fulmarus glacialis</t>
  </si>
  <si>
    <t>Glaucous-winged gull</t>
  </si>
  <si>
    <t>Larus glaucescens</t>
  </si>
  <si>
    <t>Glaucous gull</t>
  </si>
  <si>
    <t>Larus hyperboreus</t>
  </si>
  <si>
    <t>Fork-tailed Storm-Petrel</t>
  </si>
  <si>
    <t>Oceanodroma furcata</t>
  </si>
  <si>
    <t>Leach's storm petrel</t>
  </si>
  <si>
    <t>Oceanodroma leucorhoa</t>
  </si>
  <si>
    <t>European shag</t>
  </si>
  <si>
    <t>Phalacrocorax aristotelis</t>
  </si>
  <si>
    <t>Pelagic Cormorant</t>
  </si>
  <si>
    <t>Phalacrocorax pelagicus</t>
  </si>
  <si>
    <t>Red-faced cormorant</t>
  </si>
  <si>
    <t>Phalacrocorax urile</t>
  </si>
  <si>
    <t>Red-legged kittiwake</t>
  </si>
  <si>
    <t>Rissa brevirostris</t>
  </si>
  <si>
    <t>Black-legged kittiwake</t>
  </si>
  <si>
    <t>Rissa tridactyla</t>
  </si>
  <si>
    <t>Common eider</t>
  </si>
  <si>
    <t>Somateria  mollissima</t>
  </si>
  <si>
    <t>Spectacled Eider</t>
  </si>
  <si>
    <t>Somateria fischeri</t>
  </si>
  <si>
    <t>Long-tailed skua</t>
  </si>
  <si>
    <t>Stercorarius longicaudus</t>
  </si>
  <si>
    <t>Arctic tern</t>
  </si>
  <si>
    <t>Sterna paradisaea</t>
  </si>
  <si>
    <t>Ancient murrelets</t>
  </si>
  <si>
    <t>Synthliboramphus antiquus</t>
  </si>
  <si>
    <t>Common murre</t>
  </si>
  <si>
    <t>Uria aalge</t>
  </si>
  <si>
    <t>Thick-billed murre</t>
  </si>
  <si>
    <t>Uria lomvia</t>
  </si>
  <si>
    <t>Sabine's Gull</t>
  </si>
  <si>
    <t>Xema sabini</t>
  </si>
  <si>
    <t>Sauve et al. (2019) Phenotypic plasticity or evolutionary change? An examination
of the phenological response of an arctic seabird to climate
change. Functional Ecology 33: 2180-2190</t>
  </si>
  <si>
    <t>Mandt's black guillemots</t>
  </si>
  <si>
    <t>Cepphus grylle mandtii</t>
  </si>
  <si>
    <t>Clutch initiation</t>
  </si>
  <si>
    <t>Snowmelt</t>
  </si>
  <si>
    <t>"Earlier phenology was associated with earlier snowmelt and experienced mothers." from Abstract</t>
  </si>
  <si>
    <t>From Abstract, clutch initiation moved forward by 7.8 days over 42 years.DOY estimated from Fig.1.</t>
  </si>
  <si>
    <t>Volkov SV &amp; Pozdnyakov VI (2019) Effects of enviromental conditions on spring arrival, the timing of nesting, and the reproductive effort of Ross's Gull, Rhodostethia rosea, in the delta of Lena River, Yakutia</t>
  </si>
  <si>
    <t>Laptev Sea</t>
  </si>
  <si>
    <t>Ross's Gull</t>
  </si>
  <si>
    <t>Rhodostethia rosea</t>
  </si>
  <si>
    <t>Air temperature</t>
  </si>
  <si>
    <t>In Russian, so all information from English Abstract</t>
  </si>
  <si>
    <t>Correlation</t>
  </si>
  <si>
    <t>Whelan, S., Hatch, S. A., Gaston, A. J., Gilchrist, H. G., &amp; Elliott, K. H. (2022). Opposite, but insufficient, phenological responses to climate in two circumpolar seabirds: Relative roles of phenotypic plasticity and selection. Functional Ecology, 36(7), 1782–1795. https://doi.org/10.1111/1365-2435.14064</t>
  </si>
  <si>
    <t>https://besjournals.onlinelibrary.wiley.com/doi/full/10.1111/1365-2435.14064</t>
  </si>
  <si>
    <t>Middleton Island, Alaska</t>
  </si>
  <si>
    <t>Mean laying date</t>
  </si>
  <si>
    <t>−0.652</t>
  </si>
  <si>
    <t>SST and sea-ice concentration</t>
  </si>
  <si>
    <t>Will adjust laying time with climate change</t>
  </si>
  <si>
    <t>Figure 3e. Obtained the points of the ends (x,y) of the regression line. Calculate the d/decade from there.</t>
  </si>
  <si>
    <t>Coats Island, Nunavut</t>
  </si>
  <si>
    <t>Thick-billed murre</t>
  </si>
  <si>
    <t>−2.277</t>
  </si>
  <si>
    <t>Figure 3f. Obtained the points of the ends (x,y) of the regression line. Calculate the d/decade from there.</t>
  </si>
  <si>
    <t>Gutowsky, S. E., Baak, J. E., Gaston, A. J., &amp; Mallory, M. L. (2022). Sea ice extent and phenology influence breeding of high-Arctic seabirds: 4 decades of monitoring in Nunavut, Canada. Oecologia, 198(2), 393–406. https://doi.org/10.1007/s00442-022-05117-8</t>
  </si>
  <si>
    <t>https://link.springer.com/article/10.1007/s00442-022-05117-8</t>
  </si>
  <si>
    <t>Prince Leopold Island, Nunavut</t>
  </si>
  <si>
    <t>Median laying date</t>
  </si>
  <si>
    <t>Sea ice extent</t>
  </si>
  <si>
    <t xml:space="preserve">Earlier </t>
  </si>
  <si>
    <t>Fig.3 digitised</t>
  </si>
  <si>
    <t>Glaucous gull</t>
  </si>
  <si>
    <t>Keogan, K., Daunt, F., Wanless, S., Phillips, R. A., Walling, C. A., Agnew, P., Ainley, D. G., Anker-Nilssen, T., Ballard, G., Barrett, R. T., Barton, K. J., Bech, C., Becker, P., Berglund, P.-A., Bollache, L., Bond, A. L., Bouwhuis, S., Bradley, R. W., Burr, Z. M., &amp; Camphuysen, K. (2018). Global phenological insensitivity to shifting ocean temperatures among seabirds. Nature Climate Change, 8(4), 313–318. https://doi.org/10.1038/s41558-018-0115-z</t>
  </si>
  <si>
    <t>https://www.nature.com/articles/s41558-018-0115-z#Sec1</t>
  </si>
  <si>
    <t>Adélie Land, East Antarctica</t>
  </si>
  <si>
    <t>Adélie Penguin</t>
  </si>
  <si>
    <t>First HatchDate</t>
  </si>
  <si>
    <t xml:space="preserve">Generally earlier with climate change </t>
  </si>
  <si>
    <t>Values provided in their supplementary data sheet</t>
  </si>
  <si>
    <t>Antarctic Skua</t>
  </si>
  <si>
    <t>Cape Petrel</t>
  </si>
  <si>
    <t>Snow Petrel</t>
  </si>
  <si>
    <t>Southern Fulmar</t>
  </si>
  <si>
    <t>Wilson’s Storm-Petrel</t>
  </si>
  <si>
    <t>Aiktak Island, Aleutian Islands, Alaska, USA</t>
  </si>
  <si>
    <t>Ancient Murrelet</t>
  </si>
  <si>
    <t>Mean HatchDate</t>
  </si>
  <si>
    <t>Fork-tailed Storm-Petrel</t>
  </si>
  <si>
    <t>Oceanodroma furcata</t>
  </si>
  <si>
    <t>Glaucous-winged Gull</t>
  </si>
  <si>
    <t>Horned Puffin</t>
  </si>
  <si>
    <t>Fratercula corniculata</t>
  </si>
  <si>
    <t>Leach’s Storm-Petrel</t>
  </si>
  <si>
    <t>Oceanodroma leucorhoa</t>
  </si>
  <si>
    <t>Tufted Puffin</t>
  </si>
  <si>
    <t>Ailsa Craig, Firth of Clyde, Scotland, UK</t>
  </si>
  <si>
    <t>Northern Gannet</t>
  </si>
  <si>
    <t>Median HatchDate</t>
  </si>
  <si>
    <t>Anda (Vesterålen), Nordland, Norway</t>
  </si>
  <si>
    <t>Atlantic Puffin</t>
  </si>
  <si>
    <t>Aride Island, Seychelles</t>
  </si>
  <si>
    <t>Roseate Tern</t>
  </si>
  <si>
    <t>Mean LayDate</t>
  </si>
  <si>
    <t>Banter See, Wilhelmshaven, Lower Saxony, Germany</t>
  </si>
  <si>
    <t>Common Tern</t>
  </si>
  <si>
    <t>Median LayDate</t>
  </si>
  <si>
    <t>Bechervaise Island (near Mawson Station), East Antarctica</t>
  </si>
  <si>
    <t>Benidorm Island, Valencian Community, Spain</t>
  </si>
  <si>
    <t>European Storm Petrel</t>
  </si>
  <si>
    <t>Hydrobates pelagicus</t>
  </si>
  <si>
    <t>Bird Island, Buzzards Bay, Massachusetts, USA</t>
  </si>
  <si>
    <t>Bird Island, South Georgia (UK Overseas Territory), South Atlantic</t>
  </si>
  <si>
    <t>Black-browed Albatross</t>
  </si>
  <si>
    <t>Gentoo Penguin</t>
  </si>
  <si>
    <t>Pygoscelis papua</t>
  </si>
  <si>
    <t>Grey-headed Albatross</t>
  </si>
  <si>
    <t>Thalassarche chrysostoma</t>
  </si>
  <si>
    <t>Macaroni Penguin</t>
  </si>
  <si>
    <t>Eudyptes chrysolophus</t>
  </si>
  <si>
    <t>Northern Giant Petrel</t>
  </si>
  <si>
    <t>Macronectes halli</t>
  </si>
  <si>
    <t>Southern Giant Petrel</t>
  </si>
  <si>
    <t>Wandering Albatross</t>
  </si>
  <si>
    <t>Buldir Island, Aleutian Islands, Alaska, USA</t>
  </si>
  <si>
    <t>Crested Auklet</t>
  </si>
  <si>
    <t>Least Auklet</t>
  </si>
  <si>
    <t>Aethia pusilla</t>
  </si>
  <si>
    <t>Parakeet Auklet</t>
  </si>
  <si>
    <t>Aethia psittacula</t>
  </si>
  <si>
    <t>Whiskered Auklet</t>
  </si>
  <si>
    <t>Aethia pygmaea</t>
  </si>
  <si>
    <t>Cape Bird, Ross Island, Antarctica</t>
  </si>
  <si>
    <t>Cape Crozier, Ross Island, Antarctica</t>
  </si>
  <si>
    <t>Cape Royds, Ross Island, Antarctica</t>
  </si>
  <si>
    <t>Cape Shirreff, Livingston Island, South Shetland Islands, Antarctica</t>
  </si>
  <si>
    <t>Chinstrap Penguin</t>
  </si>
  <si>
    <t>Pygoscelis antarcticus</t>
  </si>
  <si>
    <t>Chowiet Island, Semidi Islands, Alaska, USA</t>
  </si>
  <si>
    <t>Coats Island, Nunavut, Canada (Hudson Bay)</t>
  </si>
  <si>
    <t>Glaucous Gull</t>
  </si>
  <si>
    <t>Cooper Island, Beaufort Sea, Alaska, USA</t>
  </si>
  <si>
    <t>Black Guillemot</t>
  </si>
  <si>
    <t>Copacabana area, King George Island, South Shetland Islands, Antarctica</t>
  </si>
  <si>
    <t>East Amatuli Island, Barren Islands, Alaska, USA</t>
  </si>
  <si>
    <t>Eastern Egg Rock, Maine, USA</t>
  </si>
  <si>
    <t>Ebro Delta, Catalonia, Spain (NW Mediterranean)</t>
  </si>
  <si>
    <t>Audouin’s Gull</t>
  </si>
  <si>
    <t>Larus audouinii</t>
  </si>
  <si>
    <t>Ellefsnyken (Røst archipelago), Nordland, Norway</t>
  </si>
  <si>
    <t>Gough Island, Tristan da Cunha (UK Overseas Territory), South Atlantic</t>
  </si>
  <si>
    <t>Atlantic Yellow-nosed Albatross</t>
  </si>
  <si>
    <t>Grumantbyen area, Spitsbergen, Svalbard, Norway</t>
  </si>
  <si>
    <t>Gull Island, Witless Bay, Newfoundland &amp; Labrador, Canada</t>
  </si>
  <si>
    <t>Hernyken (Røst), Nordland, Norway</t>
  </si>
  <si>
    <t>Hornøya, Vardø, Finnmark, Norway (Barents Sea)</t>
  </si>
  <si>
    <t>Humble Island, near Anvers Island, Palmer Archipelago, Antarctica</t>
  </si>
  <si>
    <t>Isla Isabel, Nayarit, Mexico (NE Pacific)</t>
  </si>
  <si>
    <t>Blue-footed Booby</t>
  </si>
  <si>
    <t>Isle of May, Firth of Forth, Scotland, UK</t>
  </si>
  <si>
    <t>Karøysundet, Finnmark, Norway (Barents Sea)</t>
  </si>
  <si>
    <t>Karupelv Valley, Jameson Land, Northeast Greenland</t>
  </si>
  <si>
    <t>Long-tailed Skua</t>
  </si>
  <si>
    <t>Kasatochi Island, Aleutian Islands, Alaska, USA</t>
  </si>
  <si>
    <t>Kelderhuispolder, Texel, Noord-Holland, Netherlands</t>
  </si>
  <si>
    <t>European Herring Gull</t>
  </si>
  <si>
    <t>Lesser Black-backed Gull</t>
  </si>
  <si>
    <t>Kiska Island, Aleutian Islands, Alaska, USA</t>
  </si>
  <si>
    <t>Kongsfjorden (Ny-Ålesund), Spitsbergen, Svalbard, Norway</t>
  </si>
  <si>
    <t>Limestone Island, Haida Gwaii, British Columbia, Canada</t>
  </si>
  <si>
    <t>Machias Seal Island, Gulf of Maine / Bay of Fundy (Canada–USA)</t>
  </si>
  <si>
    <t>Arctic Tern</t>
  </si>
  <si>
    <t>Matinicus Rock, Maine, USA</t>
  </si>
  <si>
    <t>Nasaruvaalik Island, Nunavut, Canada (Foxe Basin)</t>
  </si>
  <si>
    <t>Sabine’s Gull</t>
  </si>
  <si>
    <t>Xema sabini</t>
  </si>
  <si>
    <t>New Island, Falkland Islands (Islas Malvinas)</t>
  </si>
  <si>
    <t>Southern Rockhopper Penguin</t>
  </si>
  <si>
    <t>Eudyptes chrysocome</t>
  </si>
  <si>
    <t>Oamaru, Otago, South Island, New Zealand</t>
  </si>
  <si>
    <t>Little Penguin</t>
  </si>
  <si>
    <t>Pantaleu Islet (Sant Elm), Mallorca, Balearic Islands, Spain</t>
  </si>
  <si>
    <t>Scopoli’s Shearwater</t>
  </si>
  <si>
    <t>Calonectris diomedea</t>
  </si>
  <si>
    <t>Pelsaert Island, Houtman Abrolhos, Western Australia, Australia</t>
  </si>
  <si>
    <t>Brown Noddy</t>
  </si>
  <si>
    <t>Anous stolidus</t>
  </si>
  <si>
    <t>Lesser Noddy</t>
  </si>
  <si>
    <t>Anous tenuirostris</t>
  </si>
  <si>
    <t>Penikese Island, Massachusetts, USA</t>
  </si>
  <si>
    <t>Phillip Island, Victoria, Australia</t>
  </si>
  <si>
    <t>Pope’s Eye, Port Phillip Heads Marine National Park, Victoria, Australia</t>
  </si>
  <si>
    <t>Australasian Gannet</t>
  </si>
  <si>
    <t>Morus serrator</t>
  </si>
  <si>
    <t>Prince Leopold Island, Nunavut, Canada (Lancaster Sound)</t>
  </si>
  <si>
    <t>Punta León, Chubut, Patagonia, Argentina</t>
  </si>
  <si>
    <t>Imperial Shag</t>
  </si>
  <si>
    <t>Phalacrocorax atriceps</t>
  </si>
  <si>
    <t>Ram Island, Buzzards Bay, Massachusetts, USA</t>
  </si>
  <si>
    <t>Reef Island, Haida Gwaii, British Columbia, Canada</t>
  </si>
  <si>
    <t>The Scar Rocks (off Ailsa Craig), Ayrshire, Scotland, UK</t>
  </si>
  <si>
    <t>Southeast Farallon Island (SEFI), California, USA</t>
  </si>
  <si>
    <t>Brandt’s Cormorant</t>
  </si>
  <si>
    <t>Phalacrocorax penicillatus</t>
  </si>
  <si>
    <t>Cassin’s Auklet</t>
  </si>
  <si>
    <t>Pigeon Guillemot</t>
  </si>
  <si>
    <t>Cepphus columba</t>
  </si>
  <si>
    <t>Rhinoceros Auklet</t>
  </si>
  <si>
    <t>Signy Island, South Orkney Islands, Antarctica</t>
  </si>
  <si>
    <t>Sklinna, Trøndelag, Norway (Norwegian Sea)</t>
  </si>
  <si>
    <t>Skomer Island, Pembrokeshire, Wales, UK</t>
  </si>
  <si>
    <t>St. George Island, Pribilof Islands, Alaska, USA (Bering Sea)</t>
  </si>
  <si>
    <t>St. Lazaria Island, Sitka Sound, Alaska, USA</t>
  </si>
  <si>
    <t>Stora Karlsö, Gotland, Sweden (Baltic Sea)</t>
  </si>
  <si>
    <t>St. Paul Island, Pribilof Islands, Alaska, USA (Bering Sea)</t>
  </si>
  <si>
    <t>Red-faced Cormorant</t>
  </si>
  <si>
    <t>Phalacrocorax urile</t>
  </si>
  <si>
    <t>Svarthamaren, Dronning Maud Land, East Antarctica</t>
  </si>
  <si>
    <t>Antarctic Petrel</t>
  </si>
  <si>
    <t>Teuri Island, Hokkaido, Japan (Japan Sea/Okhotsk region)</t>
  </si>
  <si>
    <t>Black-tailed Gull</t>
  </si>
  <si>
    <t>Larus crassirostris</t>
  </si>
  <si>
    <t>Japanese Cormorant</t>
  </si>
  <si>
    <t>Phalacrocorax capillatus</t>
  </si>
  <si>
    <t>Troup Head, Aberdeenshire, Scotland, UK (North Sea)</t>
  </si>
  <si>
    <t>Ukaleqarteq (Appat Island area), Upernavik district, NW Greenland</t>
  </si>
  <si>
    <t>Little Auk</t>
  </si>
  <si>
    <t>Veneguera, Gran Canaria, Canary Islands, Spain (NE Atlantic)</t>
  </si>
  <si>
    <t>Cory’s Shearwater</t>
  </si>
  <si>
    <t>Zackenberg, Northeast Greenland National Park, Greenland</t>
  </si>
  <si>
    <t>Cimino, M. A., Conroy, J. A., Connors, E., Bowman, J., Corso, A., Ducklow, H., Fraser, W., Friedlaender, A., Kim, H. H., Larsen, G. D., Moffat, C., Nichols, R., Pallin, L., Patterson‐Fraser, D., Roberts, D., Roberts, M., Steinberg, D. K., Thibodeau, P., Trinh, R., &amp; Schofield, O. (2023). Long‐term patterns in ecosystem phenology near Palmer Station, Antarctica, from the perspective of the Adélie penguin. Ecosphere, 14(2). https://doi.org/10.1002/ecs2.4417</t>
  </si>
  <si>
    <t>https://esajournals.onlinelibrary.wiley.com/doi/10.1002/ecs2.4417?utm_source=chatgpt.com</t>
  </si>
  <si>
    <t>Palmer Station, Antarctica</t>
  </si>
  <si>
    <t>Adelie Penguin</t>
  </si>
  <si>
    <t>Mean clutch initiation date</t>
  </si>
  <si>
    <t>SST and sea ice retreat</t>
  </si>
  <si>
    <t>Advancement with climate change</t>
  </si>
  <si>
    <t>Table 1</t>
  </si>
  <si>
    <t xml:space="preserve">Kris </t>
  </si>
  <si>
    <t>Sauser, C., Delord, K., &amp; Christophe Barbraud. (2021). Sea ice and local weather affect reproductive phenology of a polar seabird with breeding consequences. Ornithological Applications, 123(4). https://doi.org/10.1093/ornithapp/duab032</t>
  </si>
  <si>
    <t>https://academic.oup.com/condor/article/123/4/duab032/6327879</t>
  </si>
  <si>
    <t>Pointe Geologie, Antarctica</t>
  </si>
  <si>
    <t>Snow Petrels</t>
  </si>
  <si>
    <t>HatchDate</t>
  </si>
  <si>
    <t>Sea ice</t>
  </si>
  <si>
    <t>Delay in Phenology with increase in sea ice concentration</t>
  </si>
  <si>
    <t>Fig. 1 - approximated using the fitted line</t>
  </si>
  <si>
    <t>Moiron, M., Teplitsky, C., Birgen Haest, Charmantier, A., &amp; Bouwhuis, S. (2023). Micro-evolutionary response of spring migration timing in a wild seabird. Evolution Letters, 8(1), 8–17. https://doi.org/10.1093/evlett/qrad014</t>
  </si>
  <si>
    <t>https://academic.oup.com/evlett/article/8/1/8/7150359</t>
  </si>
  <si>
    <t>German North Sea coast</t>
  </si>
  <si>
    <t>Warming</t>
  </si>
  <si>
    <t>Later arrival with warming</t>
  </si>
  <si>
    <t>Fig. 1</t>
  </si>
  <si>
    <t>Major, H. L., Durham, S. E., Fana, N., Rivers, J. E., &amp; Diamond, A. W. (2021). Contrasting phenological and demographic responses of Atlantic Puffin (Fratercula arctica) and Razorbill (Alca torda) to climate change in the Gulf of Maine. Elementa: Science of the Anthropocene, 9(1). https://doi.org/10.1525/elementa.2021.00033</t>
  </si>
  <si>
    <t>https://online.ucpress.edu/elementa/article/9/1/00033/118774/Contrasting-phenological-and-demographic-responses</t>
  </si>
  <si>
    <t>Machias Seal Island, Canada</t>
  </si>
  <si>
    <t>Delayed hatch date with CC</t>
  </si>
  <si>
    <t>Fig. 3 - approximated by getting the first and last points of the fitted line</t>
  </si>
  <si>
    <t>FledgeDate</t>
  </si>
  <si>
    <t>delayed fledge date with CC</t>
  </si>
  <si>
    <t xml:space="preserve">Ananin, A.A., &amp; Sokolov, L.V. (2009) Long–term arrival trends of 54 avian species to Barguzinsky Nature Reserve in northeastern Baikal area. Avian Ecology and Behaviour, 15, 33–48. </t>
  </si>
  <si>
    <t>BarguzinskyNatureReserve, Russia</t>
  </si>
  <si>
    <t>Larus_cachinnans</t>
  </si>
  <si>
    <t>Pre-breeding migration</t>
  </si>
  <si>
    <t>From this meta-analysis: https://esajournals.onlinelibrary.wiley.com/doi/full/10.1002/ecm.1552?utm_source=chatgpt.com</t>
  </si>
  <si>
    <t>Sterna_hirundo</t>
  </si>
  <si>
    <t>Barrett, R. T., Nilsen, E. B., &amp; Anker-Nilssen, T. (2012). Long-term decline in egg size of Atlantic puffins Fratercula arctica is related to changes in forage fish stocks and climate conditions. Marine Ecology Progress Series, 457, 1-10.</t>
  </si>
  <si>
    <t>Hernyken, Norway</t>
  </si>
  <si>
    <t>Fratercula_arctica</t>
  </si>
  <si>
    <t>Breeding</t>
  </si>
  <si>
    <t>Hornøya, Norway</t>
  </si>
  <si>
    <t xml:space="preserve">Barrett, R.T. (2011) Recent responses to climate change among migrant birds in northern Norway. Ringing &amp; Migration, 26 83–93. </t>
  </si>
  <si>
    <t>Troms, Norway</t>
  </si>
  <si>
    <t>Stercorarius_parasiticus</t>
  </si>
  <si>
    <t xml:space="preserve">Butler, C.J. (2003) The disproportionate effect of global warming on the arrival dates of short–distance migratory birds in North America. Ibis, 145 484–495. </t>
  </si>
  <si>
    <t>WorcesterCounty_Massachussets, United_States</t>
  </si>
  <si>
    <t>DeLeon, R.L., DeLeon, E.E., &amp; Rising, G.R. (2011) Influence of climate change on avian migrants’ first arrival dates. The Condor, 113, 915–923.</t>
  </si>
  <si>
    <t>Buffalo_NewYork, United_States</t>
  </si>
  <si>
    <t>Sterna_caspia</t>
  </si>
  <si>
    <t xml:space="preserve">Donnelly, A., Geyer, H., &amp; Yu, R. (2015) Changes in the timing of departure and arrival of Irish migrant waterbirds. PeerJ, 3, 2726. </t>
  </si>
  <si>
    <t>EastCoast, Ireland</t>
  </si>
  <si>
    <t>Sterna_sandvicensis</t>
  </si>
  <si>
    <t xml:space="preserve">Dunlop, J.N., Surman, C.A. (2012) The role of foraging ecology in the contrasting responses of two dark terns to a changing ocean. Marine Ornithology 40: 105-110. </t>
  </si>
  <si>
    <t>LancelinIsland, Australia</t>
  </si>
  <si>
    <t>Anous_stolidus</t>
  </si>
  <si>
    <t>PenguinIsland, Australia</t>
  </si>
  <si>
    <t>Sterna_anaethetus</t>
  </si>
  <si>
    <t xml:space="preserve">Foster, C.R., Amos, A.F., &amp; Fuiman, L.A. (2010) Phenology of six migratory coastal birds in relation to climate change. The Wilson Journal of Ornithology, 122  116–125.  </t>
  </si>
  <si>
    <t>MustangIsland_Texas, United_States</t>
  </si>
  <si>
    <t>Larus_argentatus</t>
  </si>
  <si>
    <t>Post-breeding migration</t>
  </si>
  <si>
    <t>Sterna_antillarum</t>
  </si>
  <si>
    <t>Gaston, A. J., Smith, P. A., &amp; Provencher, J. F. (2012). Discontinuous change in ice cover in Hudson Bay in the 1990s and some consequences for marine birds and their prey. ICES Journal of Marine Science, 69(7), 1218-1225.</t>
  </si>
  <si>
    <t>CoatsIsland, Canada</t>
  </si>
  <si>
    <t>Uria_lomvia</t>
  </si>
  <si>
    <t>Gienapp, P., &amp; Bregnballe, T. (2012). Fitness consequences of timing of migration and breeding in cormorants. PLoS One, 7(9), e46165.</t>
  </si>
  <si>
    <t>Vorsø, Denmark</t>
  </si>
  <si>
    <t>Phalacrocorax_carbo</t>
  </si>
  <si>
    <t xml:space="preserve">Gunnarsson T.G. &amp; Tómasson G. (2011) Flexibility in spring arrival of migratory birds at northern latitudes under rapid temperature changes. Bird Study, 58, 1–12. </t>
  </si>
  <si>
    <t>Laugaras, Iceland</t>
  </si>
  <si>
    <t>Larus_fuscus</t>
  </si>
  <si>
    <t>Sterna_paradisaea</t>
  </si>
  <si>
    <t>Hipfner, J. M. (2008). Matches and mismatches: ocean climate, prey phenology and breeding success in a zooplanktivorous seabird. Marine Ecology Progress Series, 368, 295-304.</t>
  </si>
  <si>
    <t>TriangleIsland_BritishColumbia, Canada</t>
  </si>
  <si>
    <t>Ptychoramphus_aleuticus</t>
  </si>
  <si>
    <t>Lewis, S., Nussey, D. H., Wood, A. G., Croxall, J. P., &amp; Phillips, R. A. (2012). Intrinsic determinants of a population trend in timing of breeding in the wandering albatross. Oikos, 121(12), 2061-2071.</t>
  </si>
  <si>
    <t>BirdIsland, British_Overseas_Territory</t>
  </si>
  <si>
    <t>Diomedea_exulans</t>
  </si>
  <si>
    <t xml:space="preserve">Møller, A.P., Flensted–Jensen, E., &amp; Mardal, W. (2009) Adjustment of the annual cycle to climatic change in a long–lived migratory bird species. Current Zoology, 55, 92–101. </t>
  </si>
  <si>
    <t>Denmark, Denmark</t>
  </si>
  <si>
    <t>Møller, A. P., Flensted‐Jensen, E., Klarborg, K., Mardal, W., &amp; Nielsen, J. T. (2010). Climate change affects the duration of the reproductive season in birds. Journal of Animal Ecology, 79(4), 777-784.</t>
  </si>
  <si>
    <t>Sterna_albifrons</t>
  </si>
  <si>
    <t xml:space="preserve">Murphy–Klassen, H.M., Underwood, T.J., Sealy, S.G., &amp; Czyrnyj, A.A. (2005) Long–term trends in spring arrival dates of migrant birds at Delta Marsh Manitoba in relation to climate change. The Auk, 122, 1130–1148. </t>
  </si>
  <si>
    <t>DeltaMarsh_Manitoba, Canada</t>
  </si>
  <si>
    <t>Sterna_forsteri</t>
  </si>
  <si>
    <t>Petersen, T. L., Meltofte, H., &amp; Tøttrup, A. P. T. (2012). Advanced spring arrival of avian migrants on Tipperne, western Denmark, during 1929-2008. Dansk Ornitologisk Forenings Tidsskrift, 106(2), 65-72.</t>
  </si>
  <si>
    <t>Tipperne, Denmark</t>
  </si>
  <si>
    <t>Schmidt, E., &amp; Huppop, K. (2007). First observation and start of birdsong of 97 bird species in a community in the county of Parchim (Mecklenburg-Vorpommern) in the years 1963 to 2006. Vogelwarte, 45(1), 27.</t>
  </si>
  <si>
    <t>Parchim, Germany</t>
  </si>
  <si>
    <t xml:space="preserve">Sokolov, L.V., &amp; Gordienko, N.S. (2008) Has recent climate warming affected the dates of bird arrival to the Il’men Reserve in the southern Urals? Russian Journal of Ecology, 39, 56–62. </t>
  </si>
  <si>
    <t>Il'menReserve, Russia</t>
  </si>
  <si>
    <t xml:space="preserve">Sparks T.H. Huber K. Bland R.L. Crick H.Q.P. Croxton P.J. Flood J.... &amp; Tryjanowski P. (2007) How consistent are trends in arrival (and departure) dates of migrant birds in the UK? Journal of Ornithology148 503–511. </t>
  </si>
  <si>
    <t>Essex, United_Kingdom</t>
  </si>
  <si>
    <t>Sussex, United_Kingdom</t>
  </si>
  <si>
    <t>Teplitsky, C., Mills, J. A., Yarrall, J. W., &amp; Merilä, J. (2010). Indirect genetic effects in a sex‐limited trait: the case of breeding time in red‐billed gulls. Journal of Evolutionary Biology, 23(5), 935-944.</t>
  </si>
  <si>
    <t>KaikouraPeninsula, New_Zealand</t>
  </si>
  <si>
    <t>Larus_novaehollandiae</t>
  </si>
  <si>
    <t>Grabowski, M. M., Doyle, F. I., Reid, D. G., Mossop, D., &amp; Talarico, D. (2013). Do Arctic-nesting birds respond to earlier snowmelt? A multi-species study in north Yukon, Canada. Polar Biology, 36(8), 1097-1105.</t>
  </si>
  <si>
    <t>HerschelIsland, Canada</t>
  </si>
  <si>
    <t>Stercorarius_longicaudus</t>
  </si>
  <si>
    <t>Žalakevičius, M., Bartkevičienė, G., Ivanauskas, F., &amp; Nedzinskas, V. (2009). The response of spring arrival dates of non-passerine migrants to climate change: a case study from Eastern Baltic. Acta Zoologica Lituanica, 19(3), 155-171.</t>
  </si>
  <si>
    <t>Zuvintas, Lithuania</t>
  </si>
  <si>
    <t>Croxton, P. J., Sparks, T. H., Cade, M., &amp; Loxton, R. G. (2006). Trends and temperature effects in the arrival of spring migrants in Portland (United Kingdom) 1959–2005. Acta Ornithologica, 41(2), 103-111.</t>
  </si>
  <si>
    <t>Portland_Dorset, United_Kingdom</t>
  </si>
  <si>
    <t>Vegvari, Z., Bokony, V., Barta, Z., &amp; Kovacs, G. (2010). Life history predicts advancement of avian spring migration in response to climate change. Global Change Biology, 16(1), 1-11.</t>
  </si>
  <si>
    <t>Hortobagy, Hungary</t>
  </si>
  <si>
    <t>Saino, N., Ambrosini, R., Rubolini, D., von Hardenberg, J., Provenzale, A., Hüppop, K., ... &amp; Sokolov, L. (2011). Climate warming, ecological mismatch at arrival and population decline in migratory birds. Proceedings of the Royal Society B: Biological Sciences, 278(1707), 835-842. </t>
  </si>
  <si>
    <t>Jurmo, Finland</t>
  </si>
  <si>
    <t>Alca_torda</t>
  </si>
  <si>
    <t>Hanko, Finland</t>
  </si>
  <si>
    <t>Lorentsen, S. H., Anker-Nilssen, T., Erikstad, K. E., &amp; Røv, N. (2015). Forage fish abundance is a predictor of timing of breeding and hatching brood size in a coastal seabird. Marine Ecology Progress Series, 519, 209-220.</t>
  </si>
  <si>
    <t>Sklinna, Norway</t>
  </si>
  <si>
    <t>Phalacrocorax_aristotelis</t>
  </si>
  <si>
    <t>Røst, Norway</t>
  </si>
  <si>
    <t>Barlow, M. L., &amp; Dowding, J. E. (2002). Breeding biology of Caspian terns (Sterna caspia) at a colony near Invercargill, New Zealand. Notornis, 49(2), 76-90.</t>
  </si>
  <si>
    <t>NewRiverEstuary, New_Zealand</t>
  </si>
  <si>
    <t>Bond, A. L., Jones, I. L., Sydeman, W. J., Major, H. L., Minobe, S., Williams, J. C., &amp; Byrd, G. V. (2011). Reproductive success of planktivorous seabirds in the North Pacific is related to ocean climate on decadal scales. Marine Ecology Progress Series, 424, 205-218.</t>
  </si>
  <si>
    <t>Buldir_AleutianIslands, United_States</t>
  </si>
  <si>
    <t>Aethia_cristatella</t>
  </si>
  <si>
    <t>Kasatochi_AleutianIslands, United_States</t>
  </si>
  <si>
    <t>Aethia_pusilla</t>
  </si>
  <si>
    <t>Aethia_pygmaea</t>
  </si>
  <si>
    <t>Lynch, H. J., Fagan, W. F., Naveen, R., Trivelpiece, S. G., &amp; Trivelpiece, W. Z. (2012). Differential advancement of breeding phenology in response to climate may alter staggered breeding among sympatric pygoscelid penguins. Marine Ecology Progress Series, 454, 135-145.</t>
  </si>
  <si>
    <t>HumbleIsland, Antarctic</t>
  </si>
  <si>
    <t>Pygoscelis_adeliae</t>
  </si>
  <si>
    <t>CapeShirreff_LivingstonIsland, Antarctic</t>
  </si>
  <si>
    <t>Pygoscelis_antarcticus</t>
  </si>
  <si>
    <t>Monticelli, D., Ramos, J. A., Catry, T., Pedro, P., &amp; Paiva, V. H. (2014). Reproductive parameters of tropical lesser noddies respond to local variations in oceanographic conditions and weather. Estuarine, Coastal and Shelf Science, 139, 110-118.</t>
  </si>
  <si>
    <t>ArideIsland, Seychelles</t>
  </si>
  <si>
    <t>Anous_tenuirostris</t>
  </si>
  <si>
    <t>Murphy, E. C., Roseneau, D. G., Springer, A. M., &amp; Byrd, G. V. (2016). Breeding chronology and productivity of Black-legged Kittiwakes Rissa tridacytla at Bluff, Alaska, 1975-2008: Associations with regional environmental indices and distant colonies. Marine Ornithology, 44, 183-201.</t>
  </si>
  <si>
    <t>Bluff, United_States</t>
  </si>
  <si>
    <t>Rissa_tridactyla</t>
  </si>
  <si>
    <t>CapeThompson, United_States</t>
  </si>
  <si>
    <t>CapeLisburne, United_States</t>
  </si>
  <si>
    <t>Pezzo, F., Olmastroni, S., Volpi, V., &amp; Focardi, S. (2007). Annual variation in reproductive parameters of Adélie penguins at Edmonson Point, Victoria Land, Antarctica. Polar Biology, 31(1), 39-45.</t>
  </si>
  <si>
    <t>EdmonsonPoint_VictoriaLand, Antarctic</t>
  </si>
  <si>
    <t>Ramos, J. A., Maul, A. M., Ayrton, V., Bullock, I., Hunter, J., Bowler, J., ... &amp; Pacheco, C. (2002). Influence of local and large-scale weather events and timing of breeding on tropical roseate tern reproductive parameters. Marine Ecology Progress Series, 243, 271-279.</t>
  </si>
  <si>
    <t>Sterna_dougallii</t>
  </si>
  <si>
    <t>Slater, L., &amp; Byrd, G. V. (2009). Status, trends, and patterns of covariation of breeding seabirds at St Lazaria Island, Southeast Alaska, 1994–2006. Journal of Biogeography, 36(3), 465-475.</t>
  </si>
  <si>
    <t>StLazariaIsland_Alaska, United_States</t>
  </si>
  <si>
    <t>Cerorhinca_monocerata</t>
  </si>
  <si>
    <t>Oceanodroma_furcata</t>
  </si>
  <si>
    <t>Oceanodroma_leucorhoa</t>
  </si>
  <si>
    <t>Uria_aalge</t>
  </si>
  <si>
    <t>Álvarez, D., &amp; Pajuelo, M. A. F. (2011). Southern populations of European shag Phalacrocorax a. aristotelis advance their laying date in response to local weather conditions but not to large-scale climate. Ardeola, 58(2), 239-250.</t>
  </si>
  <si>
    <t>Pantorgas_Castríos_Represas_Forcada, Spain</t>
  </si>
  <si>
    <t>Blight, L. K. (2011). Egg production in a coastal seabird, the Glaucous-winged Gull (Larus glaucescens), declines during the last century. PLoS One, 6(7), e22027.</t>
  </si>
  <si>
    <t>StraitofGeorgia, Canada</t>
  </si>
  <si>
    <t>Larus_glaucescens</t>
  </si>
  <si>
    <t>Durant, J. M., Crawford, R. J., Wolfaardt, A. C., Agenbag, K., Visagie, J., Upfold, L., &amp; Stenseth, N. C. (2010). Influence of feeding conditions on breeding of African penguins—importance of adequate local food supplies. Marine Ecology Progress Series, 420, 263-271.</t>
  </si>
  <si>
    <t>DassenIsland, South_Africa</t>
  </si>
  <si>
    <t>Spheniscus_demersus</t>
  </si>
  <si>
    <t>Emmerson, L., Pike, R., &amp; Southwell, C. (2011). Reproductive consequences of environment-driven variation in Adélie penguin breeding phenology. Marine Ecology Progress Series, 440, 203-216.</t>
  </si>
  <si>
    <t>BéchervaiseIsland, Antarctic</t>
  </si>
  <si>
    <t>Szostek, K. L., Bouwhuis, S., &amp; Becker, P. H. (2015). Are arrival date and body mass after spring migration influenced by large-scale environmental factors in a migratory seabird?. Frontiers in Ecology and Evolution, 3, 42.</t>
  </si>
  <si>
    <t>BanterSee, Germany</t>
  </si>
  <si>
    <t>Thayer, J. A., &amp; Sydeman, W. J. (2007). Spatio-temporal variability in prey harvest and reproductive ecology of a piscivorous seabird, Cerorhinca monocerata, in an upwelling system. Marine Ecology Progress Series, 329, 253-265.</t>
  </si>
  <si>
    <t>SoutheastFarallonIsland_California, United_States</t>
  </si>
  <si>
    <t>AñoNuevoIsland_California, United_States</t>
  </si>
  <si>
    <t>Watanuki, Y., &amp; Ito, M. (2012). Climatic effects on breeding seabirds of the northern Japan Sea. Marine Ecology Progress Series, 454, 183-196.</t>
  </si>
  <si>
    <t>TeuriIsland, Japan</t>
  </si>
  <si>
    <t>Larus_crassirostris</t>
  </si>
  <si>
    <t>Phalacrocorax_capillatus</t>
  </si>
  <si>
    <t>Barrett, R. T. (2001). The breeding demography and egg size of North Norwegian Atlantic Puffins Fratercula arctica and Razorbills Alca torda during 20 years of climatic variability. Atlantic Seabirds, 3(3), 97-112.</t>
  </si>
  <si>
    <t>Barrett, R. T. (2016). Upwind or downwind: the spring arrival of Arctic Terns Sterna paradisaea at Troms, North Norway. Ringing &amp; Migration, 31(1), 23-29.</t>
  </si>
  <si>
    <t>Cannell, B. L., Chambers, L. E., Wooller, R. D., &amp; Bradley, J. S. (2012). Poorer breeding by little penguins near Perth, Western Australia is correlated with above average sea surface temperatures and a stronger Leeuwin Current. Marine and Freshwater Research, 63(10), 914-925.</t>
  </si>
  <si>
    <t>Eudyptula_minor</t>
  </si>
  <si>
    <t>Ward, D. H., Helmericks, J., Hupp, J. W., McManus, L., Budde, M., Douglas, D. C., &amp; Tape, K. D. (2016). Multi‐decadal trends in spring arrival of avian migrants to the central Arctic coast of Alaska: effects of environmental and ecological factors. Journal of Avian Biology, 47(2), 197-207.</t>
  </si>
  <si>
    <t>AnachlikIsland_Alaska, United_States</t>
  </si>
  <si>
    <t>Larus_hyperboreus</t>
  </si>
  <si>
    <t>Ramírez, F., Afán, I., Tavecchia, G., Catalán, I. A., Oro, D., &amp; Sanz-Aguilar, A. (2016). Oceanographic drivers and mistiming processes shape breeding success in a seabird. Proceedings of the Royal Society B: Biological Sciences, 283(1826), 20152287.</t>
  </si>
  <si>
    <t>BenidormIsland, Spain</t>
  </si>
  <si>
    <t>Hydrobates_pelagicus</t>
  </si>
  <si>
    <t>Riou, S., Gray, C. M., Brooke, M. D. L., Quillfeldt, P., Masello, J. F., Perrins, C., &amp; Hamer, K. C. (2011). Recent impacts of anthropogenic climate change on a higher marine predator in western Britain. Marine Ecology Progress Series, 422, 105-112.</t>
  </si>
  <si>
    <t>SkokholmIsland_SkomerIsland_Wales, United_Kingdom</t>
  </si>
  <si>
    <t>Puffinus_puffinus</t>
  </si>
  <si>
    <t>Hansen, J., Hansen L. H., Schmidt, N. M., &amp; Reneerkens, J. (2012). Bird monitoring at Zackerberg, Northeast Greenland, 2010, with comparison with 1996-2009. Bird Populations, 11, 42-51.</t>
  </si>
  <si>
    <t>Zackenberg, Greenland</t>
  </si>
  <si>
    <t>Kluen, E., Nousiainen, R., &amp; Lehikoinen, A. (2017). Breeding phenological response to spring weather conditions in common Finnish birds: resident species respond stronger than migratory species. Journal of Avian Biology, 48(5), 611-619.</t>
  </si>
  <si>
    <t>Finland, Finland</t>
  </si>
  <si>
    <t>Hinke, J. T., Polito, M. J., Reiss, C. S., Trivelpiece, S. G., &amp; Trivelpiece, W. Z. (2012). Flexible reproductive timing can buffer reproductive success of Pygoscelis spp. penguins in the Antarctic Peninsula region. Marine Ecology Progress Series, 454, 91-104.</t>
  </si>
  <si>
    <t>AdmiraltyBay_KingGeorgeIsland, Antarctic</t>
  </si>
  <si>
    <t>Pygoscelis_papua</t>
  </si>
  <si>
    <t>Hipfner, J. M., &amp; Greenwood, J. L. (2008). Breeding biology of the common murre at Triangle Island, British Columbia, Canada, 2002–2007. Northwestern Naturalist, 89(2), 76-84.</t>
  </si>
  <si>
    <t>Pyk, T. M., Weston, M. A., Bunce, A., &amp; Norman, F. I. (2013). Establishment and development of a seabird colony: long-term trends in phenology, breeding success, recruitment, breeding density and demography. Journal of Ornithology, 154(1), 299-310.</t>
  </si>
  <si>
    <t>Pope’sEye, Australia</t>
  </si>
  <si>
    <t>Morus_serrator</t>
  </si>
  <si>
    <t>Surman, C. A., Nicholson, L. W., &amp; Santora, J. A. (2012). Effects of climate variability on breeding phenology and performance of tropical seabirds in the eastern Indian Ocean. Marine Ecology Progress Series, 454, 147-157.</t>
  </si>
  <si>
    <t>PelsaertIsland, Australia</t>
  </si>
  <si>
    <t>Sterna_fuscata</t>
  </si>
  <si>
    <t>Dobson, F. S., Becker, P. H., Arnaud, C. M., Bouwhuis, S., &amp; Charmantier, A. (2017). Plasticity results in delayed breeding in a long‐distant migrant seabird. Ecology and Evolution, 7(9), 3100-3109.</t>
  </si>
  <si>
    <t>Sparks, T. H. (2001). Dates of arrivals and departures of spring migrants taken from Essex Bird Reports 1950-1998. Essex Bird Rep, 1999, 154-164.</t>
  </si>
  <si>
    <t>Phillips, R. A., Caldow, R. W. G., &amp; Furness, R. W. (1996). The influence of food availability on the breeding effort and reproductive success of Arctic Skuas Stercorarius parasiticus. Ibis, 138(3), 410-419.</t>
  </si>
  <si>
    <t>Foula_Shetland, United_Kingdom</t>
  </si>
  <si>
    <t>Wanless, S., Harris, M. P., Lewis, S., Frederiksen, M., &amp; Murray, S. (2008). Later breeding in northern gannets in the eastern Atlantic. Marine Ecology Progress Series, 370, 263-269.</t>
  </si>
  <si>
    <t>TroupHead_Scotland, United_Kingdom</t>
  </si>
  <si>
    <t>Morus_bassanus</t>
  </si>
  <si>
    <t>BassRock_Scotland, United_Kingdom</t>
  </si>
  <si>
    <t>RouzicIsland, France</t>
  </si>
  <si>
    <t>Escajeda et al. (2018) Identifying shifts in maternity den phenology and habitat characteristics of polar bears (Ursus maritimus) in Baffin Bay and Kane Basin. Polar Biology 41: 87-100</t>
  </si>
  <si>
    <t>Baffin Bay, Canada</t>
  </si>
  <si>
    <t>Polar bear</t>
  </si>
  <si>
    <t>Hibernation</t>
  </si>
  <si>
    <t>Shorter duration because shorter winter</t>
  </si>
  <si>
    <t>BB from 194.1 days (1990s) to 167.1 days (2000s) - not enough data for KB so not included. Entry to den delayed and thus duration shortened. Shifts in sea ice phenology. Less sea ice and more time spent feeding over summer, so later entry to den and shorter den duration
and snow availability may explain the observed changes"</t>
  </si>
  <si>
    <t>Hauser et al. (2017) Decadal shifts in autumn migration timing by Pacific Arctic beluga whales are related to delayed annual sea ice formation. Global Change Biology 23: 2206-2217</t>
  </si>
  <si>
    <t>Whales</t>
  </si>
  <si>
    <t>Beluga whale</t>
  </si>
  <si>
    <t>Delayed migration because of later sea ice formation</t>
  </si>
  <si>
    <t>In Table 1, 3 different measures of arrival and departure. I averaged the 3 for each for Eastern Chukchi belugas. Authors suggest delayed migration in Autumn because of later occurrence of freeze up of sea ice for winter.</t>
  </si>
  <si>
    <t>Defining this one as NC because little change and pseudoreplicated with Chuckchi Sea. For this area, not related to sea ice</t>
  </si>
  <si>
    <t xml:space="preserve">In Table 1, 3 different measures of arrival and departure. I averaged the 3 for Eastern Beaufort population. Authors suggest delayed migration in Autumn because of later occurrence of sea ice. </t>
  </si>
  <si>
    <t>Ramp et al. (2015) Adapting to a Warmer Ocean—Seasonal
Shift of Baleen Whale Movements over Three
Decades. PLoS One 10(3): e0121374</t>
  </si>
  <si>
    <t>Gulf of St Lawrence, Canada</t>
  </si>
  <si>
    <t>Fin whales</t>
  </si>
  <si>
    <t>Our analysis revealed that the trend in arrival was strongly related to earlier ice</t>
  </si>
  <si>
    <t>From p. 6 Results (highlighted)</t>
  </si>
  <si>
    <t>Humpback whales</t>
  </si>
  <si>
    <t>Atwood et al. (2016) Rapid Environmental Change Drives Increased Land Use by an Arctic Marine Predator. PLoS ONE 11(6): e0155932</t>
  </si>
  <si>
    <t>Earlier sea ice break up leading to go onshore earlier. Later sea ice formation so leave later, and longer duration on land</t>
  </si>
  <si>
    <t xml:space="preserve">From p. 9, mean arrival date onshore (from Day 256 (13 Sep) in the past to Day 241 now). </t>
  </si>
  <si>
    <t>Cherry et al. (2013) Migration phenology and seasonal fidelity of an Arctic
marine predator in relation to sea ice dynamics. Journal of Animal Ecology 2013, 82, 912–921</t>
  </si>
  <si>
    <t>Generally earlier arrival (sea ice breaking up early) and later departure (sea ice forming later)</t>
  </si>
  <si>
    <t>Departure</t>
  </si>
  <si>
    <t xml:space="preserve">From p. 9, mean departure date from onshore (from Day 275 (2 Oct) in the past to Day 294 now). </t>
  </si>
  <si>
    <t>From mean arrival and deparature dates (From 275-256=19 days to 294-241=53 days)</t>
  </si>
  <si>
    <t>Baffin Bay, Canada (Kane Basin)</t>
  </si>
  <si>
    <t>Earlier arrival on land because of earlier sea ice break up. But take longer once on land to go to den.</t>
  </si>
  <si>
    <t>KB (Kane Basin) region. First date on land used (FDOL). See p. 93 highlighted. Day 261 (1990s) to Day 235 (2000s). But den entry delayed and thus duration decreased. Warming and loss of sea ice discussed in Introduction.</t>
  </si>
  <si>
    <t>Baffin Bay, Canada (Baffin Bay)</t>
  </si>
  <si>
    <t>BB (Baffin Bay) region. First date on land used (FDOL). Day 237 (1990s) to Day 219 (2000s). Taking arrival rather than duration because arrival is a more common phenology metric. Warming and loss of sea ice discussed in Introduction.</t>
  </si>
  <si>
    <t>de Kock et al. (2021) Determinants of moult haulout phenology and duration
in southern elephant seals</t>
  </si>
  <si>
    <t>Marian Island, Southern Ocean</t>
  </si>
  <si>
    <t>Seals</t>
  </si>
  <si>
    <t>Elephant seals</t>
  </si>
  <si>
    <t>Mirounga leonina</t>
  </si>
  <si>
    <t>N or NC</t>
  </si>
  <si>
    <t>SST, age structure, SAM, ENSO</t>
  </si>
  <si>
    <t>No change, so temperature didn't play a role. Other papers shows Marion Island is warming rapidly</t>
  </si>
  <si>
    <t>Although moult arrival dates got later, once they were adjusted for the changing demographics there was no change</t>
  </si>
  <si>
    <t>Linear mixed model</t>
  </si>
  <si>
    <t>Waluda, C. M., Gregory, S., &amp; Dunn, M. J. (2009). Long-term variability in the abundance of Antarctic fur seals Arctocephalus gazella at Signy Island, South Orkneys. Polar Biology, 33(3), 305–312. https://doi.org/10.1007/s00300-009-0706-2</t>
  </si>
  <si>
    <t>https://link.springer.com/article/10.1007/s00300-009-0706-2</t>
  </si>
  <si>
    <t>Signy Island, South Orkneys</t>
  </si>
  <si>
    <t>Antarctic fur seals</t>
  </si>
  <si>
    <t> Arctocephalus gazella </t>
  </si>
  <si>
    <t>Date of first arrival</t>
  </si>
  <si>
    <t>Later arrival would be correlated to late fast-ice breakout</t>
  </si>
  <si>
    <t>Calculated regression for Table 1</t>
  </si>
  <si>
    <t>Date of peak haul-out</t>
  </si>
  <si>
    <t>Fig. 5b</t>
  </si>
  <si>
    <t xml:space="preserve">https://link.springer.com/article/10.1007/s00300-009-0706-2 </t>
  </si>
  <si>
    <t>Mossman Peninsula, Laurie Island</t>
  </si>
  <si>
    <t>-60.750°</t>
  </si>
  <si>
    <t>Cherry, S. G., Derocher, A. E., Thiemann, G. W., &amp; Lunn, N. J. (2013). Migration phenology and seasonal fidelity of an Arctic marine predator in relation to sea ice dynamics. Journal of Animal Ecology, 82(4), 912–921. https://doi.org/10.1111/1365-2656.12050</t>
  </si>
  <si>
    <t>https://besjournals.onlinelibrary.wiley.com/doi/10.1111/1365-2656.12050</t>
  </si>
  <si>
    <t>Mean ashore date</t>
  </si>
  <si>
    <t>Earlier arrival</t>
  </si>
  <si>
    <t>Fig. 2</t>
  </si>
  <si>
    <t>Mean departure from ashore date</t>
  </si>
  <si>
    <t xml:space="preserve">Later depature </t>
  </si>
  <si>
    <t>Forcada, J., Trathan, P. N., Reid, K., &amp; Murphy, E. J. (2005). THE EFFECTS OF GLOBAL CLIMATE VARIABILITY IN PUP PRODUCTION OF ANTARCTIC FUR SEALS. Ecology, 86(9), 2408–2417. https://doi.org/10.1890/04-1153</t>
  </si>
  <si>
    <t>https://esajournals.onlinelibrary.wiley.com/doi/abs/10.1890/04-1153</t>
  </si>
  <si>
    <t>Antarctic fur seal</t>
  </si>
  <si>
    <t>Birth date</t>
  </si>
  <si>
    <t>There is a lag in the production or birth dates with SST/warming. SST/warming &gt; later production</t>
  </si>
  <si>
    <t>Fig. 5</t>
  </si>
  <si>
    <t>Laidre, K. L., Born, E. W., Heagerty, P., Wiig, Ø., Stern, H., Dietz, R., Aars, J., &amp; Andersen, M. (2015). Shifts in female polar bear (Ursus maritimus) habitat use in East Greenland. Polar Biology, 38(6), 879–893. https://doi.org/10.1007/s00300-015-1648-5</t>
  </si>
  <si>
    <t>https://link.springer.com/article/10.1007/s00300-015-1648-5#Sec8</t>
  </si>
  <si>
    <t>Discontinuous</t>
  </si>
  <si>
    <t xml:space="preserve">Date entry </t>
  </si>
  <si>
    <t>Table 6</t>
  </si>
  <si>
    <t>Table 7</t>
  </si>
  <si>
    <t>Table 8</t>
  </si>
  <si>
    <t>Table 9</t>
  </si>
  <si>
    <t>Table 10</t>
  </si>
  <si>
    <t xml:space="preserve">Date exit </t>
  </si>
  <si>
    <t>Later departure</t>
  </si>
  <si>
    <t>O’Corry-Crowe, G., Mahoney, A. R., Suydam, R., Quakenbush, L., Whiting, A., Lowry, L., &amp; Harwood, L. (2016). Genetic profiling links changing sea-ice to shifting beluga whale migration patterns. Biology Letters, 12(11), 20160404–20160404. https://doi.org/10.1098/rsbl.2016.0404</t>
  </si>
  <si>
    <t>https://royalsocietypublishing.org/doi/10.1098/rsbl.2016.0404</t>
  </si>
  <si>
    <t>Eastern Chukchi Sea</t>
  </si>
  <si>
    <t>Sighting date</t>
  </si>
  <si>
    <t>Earlier arrival with earlier sea-ice retreat</t>
  </si>
  <si>
    <t>Figure 2</t>
  </si>
  <si>
    <t>Rode, K. D., Olson, J., Eggett, D., Douglas, D. C., Durner, G. M., Atwood, T. C., Regehr, E. V., Wilson, R. R., Smith, T., &amp; St. Martin, M. (2018). Den phenology and reproductive success of polar bears in a changing climate. Journal of Mammalogy, 99(1), 16–26. https://doi.org/10.1093/jmammal/gyx181</t>
  </si>
  <si>
    <t>https://academic.oup.com/jmammal/article-abstract/99/1/16/4801738?redirectedFrom=fulltext</t>
  </si>
  <si>
    <t>Den entrance date</t>
  </si>
  <si>
    <t xml:space="preserve">Based on the results section: Difference between subpopulations and trends over time </t>
  </si>
  <si>
    <t>Den emergence date</t>
  </si>
  <si>
    <t>Laidre, K. L., Atkinson, S., Regehr, E. V., Stern, H. L., Born, E. W., Wiig, Ø., Lunn, N. J., &amp; Dyck, M. (2020). Interrelated ecological impacts of climate change on an apex predator. Ecological Applications, 30(4). https://doi.org/10.1002/eap.2071</t>
  </si>
  <si>
    <t>https://esajournals.onlinelibrary.wiley.com/doi/10.1002/eap.2071</t>
  </si>
  <si>
    <t>Baffin Bay, Greenland</t>
  </si>
  <si>
    <t>Earlier arrival with CC</t>
  </si>
  <si>
    <t>Fig. 3 (digitised)</t>
  </si>
  <si>
    <t>Laidre, K. L., Atkinson, S., Regehr, E. V., Stern, H. L., Born, E. W., Wiig, Ø., Lunn, N. J., &amp; Dyck, M. (2020). Interrelated ecological impacts of climate change on an apex predator. Ecological Applications, 30(4). https://doi.org/10.1002/eap.2072</t>
  </si>
  <si>
    <t>Late departure with CC</t>
  </si>
  <si>
    <t>Shuert, C. R., Marcoux, M., Hussey, N. E., Heide-Jørgensen, M. P., Dietz, R., &amp; Auger-Méthé, M. (2022). Decadal migration phenology of a long-lived Arctic icon keeps pace with climate change. Proceedings of the National Academy of Sciences, 119(45). https://doi.org/10.1073/pnas.2121092119</t>
  </si>
  <si>
    <t xml:space="preserve">https://www.pnas.org/doi/pdf/10.1073/pnas.2121092119 </t>
  </si>
  <si>
    <t>Baffin Island, Canadian Arctic</t>
  </si>
  <si>
    <t>Three periods</t>
  </si>
  <si>
    <t>Narwhals</t>
  </si>
  <si>
    <t>Monodon monoceros</t>
  </si>
  <si>
    <t>Crossing date</t>
  </si>
  <si>
    <t>Later migration</t>
  </si>
  <si>
    <t>Fig. 2A</t>
  </si>
  <si>
    <t>https://www.pnas.org/doi/pdf/10.1073/pnas.2121092119</t>
  </si>
  <si>
    <t>Female departure date</t>
  </si>
  <si>
    <t>Fig. 3A</t>
  </si>
  <si>
    <t>Shuert, C. R., Marcoux, M., Hussey, N. E., Heide-Jørgensen, M. P., Dietz, R., &amp; Auger-Méthé, M. (2022). Decadal migration phenology of a long-lived Arctic icon keeps pace with climate change. Proceedings of the National Academy of Sciences, 119(45). https://doi.org/10.1073/pnas.2121092120</t>
  </si>
  <si>
    <t>https://www.pnas.org/doi/pdf/10.1073/pnas.2121092120</t>
  </si>
  <si>
    <t>Male departure date</t>
  </si>
  <si>
    <t>Pendleton, D. E., Tingley, M. W., Ganley, L. C., Friedland, K. D., Mayo, C., Brown, M. W., McKenna, B. E., Jordaan, A., &amp; Staudinger, M. D. (2022). Decadal‐scale phenology and seasonal climate drivers of migratory baleen whales in a rapidly warming marine ecosystem. Global Change Biology, 28(16), 4989–5005. https://doi.org/10.1111/gcb.16225</t>
  </si>
  <si>
    <t xml:space="preserve">https://pmc.ncbi.nlm.nih.gov/articles/PMC9541444/ </t>
  </si>
  <si>
    <t>Cape Cod Bay, USA</t>
  </si>
  <si>
    <t>Right whale</t>
  </si>
  <si>
    <r>
      <t>Eubalaena</t>
    </r>
    <r>
      <rPr>
        <sz val="11"/>
        <color theme="1"/>
        <rFont val="Calibri"/>
        <family val="2"/>
        <scheme val="minor"/>
      </rPr>
      <t xml:space="preserve"> spp.</t>
    </r>
  </si>
  <si>
    <t>Day of maximum occupancy</t>
  </si>
  <si>
    <t>Earlier timing in habitat use</t>
  </si>
  <si>
    <t>Peter, Sophie, &amp; Erik. (2010). Earlier pupping in harbour seals, Phoca vitulina. Biology Letters, 6(6), 854–857. https://doi.org/10.1098/rsbl.2010.0468</t>
  </si>
  <si>
    <t xml:space="preserve">https://pmc.ncbi.nlm.nih.gov/articles/PMC3001384/?utm_source=chatgpt.com#s3 </t>
  </si>
  <si>
    <t xml:space="preserve">Wadden Sea </t>
  </si>
  <si>
    <t>Harbours seals</t>
  </si>
  <si>
    <t>Phoca vitulina</t>
  </si>
  <si>
    <t>Day of maximum pupping</t>
  </si>
  <si>
    <t>Climate change is not discussed as a driver</t>
  </si>
  <si>
    <t>Fig.2 but slope provided in the text</t>
  </si>
  <si>
    <t>Bull, J. C., Jones, O. R., Luca Börger, Franconi, N., Banga, R., Lock, K., &amp; Stringell, T. B. (2021). Climate causes shifts in grey seal phenology by modifying age structure. Proceedings of the Royal Society B Biological Sciences, 288(1964). https://doi.org/10.1098/rspb.2021.2284</t>
  </si>
  <si>
    <t>https://pmc.ncbi.nlm.nih.gov/articles/PMC8634623/?utm_source=chatgpt.com#s3</t>
  </si>
  <si>
    <t>Eguchi, T., Lang, A., &amp; Weller, D. (2025). NOAA Technical Memorandum NMFS ABUNDANCE OF EASTERN NORTH PACIFIC GRAY WHALES 2024/2025. https://doi.org/10.25923/jqea-s505</t>
  </si>
  <si>
    <t xml:space="preserve">https://storage.googleapis.com/nmfs_odp_swfsc/Publications/Files/CR/2025/2025Eguchi.pdf </t>
  </si>
  <si>
    <t>Central California Coast</t>
  </si>
  <si>
    <t>Gray whale</t>
  </si>
  <si>
    <t>Median date of migration</t>
  </si>
  <si>
    <t xml:space="preserve">Fig. 3 </t>
  </si>
  <si>
    <t>Kock, L. de, W. Chris Oosthuizen, Beltran, R. S., Bester, M. N., &amp; Nico, J. (2021). Determinants of moult haulout phenology and duration in southern elephant seals. Scientific Reports, 11(1). https://doi.org/10.1038/s41598-021-92635-9</t>
  </si>
  <si>
    <t>https://www.nature.com/articles/s41598-021-92635-9#Sec16</t>
  </si>
  <si>
    <t>Marion Island, Southern Indian Ocean</t>
  </si>
  <si>
    <t xml:space="preserve">Southern </t>
  </si>
  <si>
    <t>Southern elephant seal</t>
  </si>
  <si>
    <t>Date of moulting</t>
  </si>
  <si>
    <t>Sea ice, SST</t>
  </si>
  <si>
    <t>Moult later with climate change</t>
  </si>
  <si>
    <t>Fig. 1 the moulting trends across age groups are similar so I just took one</t>
  </si>
  <si>
    <t>Bull, J. C., Jones, O. R., Börger, L., Franconi, N., Banga, R., Lock, K., &amp; Stringell, T. B. (2021). Climate causes shifts in grey seal phenology by modifying age structure. Proceedings of the Royal Society B: Biological Sciences, 288(1964). https://doi.org/10.1098/rspb.2021.2284</t>
  </si>
  <si>
    <t>Skomer Marine Conservation Zone (SMCZ), Pembrokeshire, south Wales, UK</t>
  </si>
  <si>
    <t>Gray seals</t>
  </si>
  <si>
    <t>Halicheorus grypus</t>
  </si>
  <si>
    <t>Midpoint of pupping season</t>
  </si>
  <si>
    <t>Earlier pupping season</t>
  </si>
  <si>
    <t xml:space="preserve">Fig 2b. </t>
  </si>
  <si>
    <t>Ingman, K., Hines, E., Mazzini, P. L. F., Rockwood, R. C., Nur, N., &amp; Jahncke, J. (2021). Modeling changes in baleen whale seasonal abundance, timing of migration, and environmental variables to explain the sudden rise in entanglements in California. PLOS ONE, 16(4), e0248557. https://doi.org/10.1371/journal.pone.0248557</t>
  </si>
  <si>
    <t xml:space="preserve">https://pmc.ncbi.nlm.nih.gov/articles/PMC8049321/?utm_source=chatgpt.com#sec022 </t>
  </si>
  <si>
    <t>Southeast Farallon Island</t>
  </si>
  <si>
    <t>Megaptera novaeanglia</t>
  </si>
  <si>
    <t>Day of arrival</t>
  </si>
  <si>
    <t>Fig. 4 (digitised and considered the y-axis scale in a way that each month is only 30 months)</t>
  </si>
  <si>
    <t>Day of departure</t>
  </si>
  <si>
    <t xml:space="preserve">Relatively stable </t>
  </si>
  <si>
    <t>Blue whales</t>
  </si>
  <si>
    <t>Balaenoptera musculu</t>
  </si>
  <si>
    <t>Later arrival for krill specialists</t>
  </si>
  <si>
    <t>Gray-south whales</t>
  </si>
  <si>
    <t>Earlier departure under warm SST</t>
  </si>
  <si>
    <t>Gray-north whales</t>
  </si>
  <si>
    <t>Hoover-Miller, A., Atkinson, S., Conlon, S., Prewitt, J., &amp; Armato, P. (2011). Persistent decline in abundance of harbor seals Phoca vitulina richardsi over three decades in Aialik Bay, an Alaskan tidewater glacial fjord. Marine Ecology Progress Series, 424, 259–271. https://doi.org/10.3354/meps08987</t>
  </si>
  <si>
    <t xml:space="preserve">https://www.int-res.com/articles/meps_oa/m424p259.pdf </t>
  </si>
  <si>
    <t>Aialik Bay, Alaska</t>
  </si>
  <si>
    <t>Habour seal</t>
  </si>
  <si>
    <t>Phoca vitulina richardsi</t>
  </si>
  <si>
    <t>Day of peak pupping</t>
  </si>
  <si>
    <t>Jemison, L. A., &amp; Kelly, B. P. (2001). PUPPING PHENOLOGY AND DEMOGRAPHY OF HARBOR SEALS (PHOCA VITULINA RICHARDSI)ON TUGIDAK ISLAND, ALASKA. Marine Mammal Science, 17(3), 585–600. https://doi.org/10.1111/j.1748-7692.2001.tb01006.x</t>
  </si>
  <si>
    <t xml:space="preserve">https://onlinelibrary.wiley.com/doi/epdf/10.1111/j.1748-7692.2001.tb01006.x?saml_referrer </t>
  </si>
  <si>
    <t>Tugidak Island, Alaska</t>
  </si>
  <si>
    <t>Dunlop, R., Gumley, E., McGrath, E. H., &amp; Noad, M. (2025). Southern Ocean humpback whales are shifting to an earlier return migration. Scientific Reports, 15(1). https://doi.org/10.1038/s41598-025-07010-9</t>
  </si>
  <si>
    <t xml:space="preserve">https://www.nature.com/articles/s41598-025-07010-9?utm_source=chatgpt.com#Sec2 </t>
  </si>
  <si>
    <t>Peregian Beach, Queensland, Australia</t>
  </si>
  <si>
    <t>Intermittent</t>
  </si>
  <si>
    <t>Southern Ocean humpback whales</t>
  </si>
  <si>
    <t>Day of adult peak presence</t>
  </si>
  <si>
    <t>Earlier migration</t>
  </si>
  <si>
    <t>Rickwood, M. L., Tucker, E., Beton, D., Davey, S., Godley, B. J., Snape, R. T. E., Postma, E., &amp; Broderick, A. C. (2025). Individual plasticity in response to rising sea temperatures contributes to an advancement in green turtle nesting phenology. Proceedings of the Royal Society B: Biological Sciences, 292(2041). https://doi.org/10.1098/rspb.2024.1809</t>
  </si>
  <si>
    <t xml:space="preserve">https://royalsocietypublishing.org/doi/10.1098/rspb.2024.1809#d1e1616 </t>
  </si>
  <si>
    <t>Alagadi Beach, North Cyprus</t>
  </si>
  <si>
    <t>Green turtles</t>
  </si>
  <si>
    <t>Chelonia mydas</t>
  </si>
  <si>
    <t>Last Nest Date</t>
  </si>
  <si>
    <t>Earlier nest daty</t>
  </si>
  <si>
    <t>Median Nest Date</t>
  </si>
  <si>
    <t>First Nest Date</t>
  </si>
  <si>
    <t>Witt, M., Beton, D., Davey, S., Fuller, W., Godley, B., Özkan, M., Snape, R., Stokes, K., &amp; Broderick, A. (2025). Phenological shift mitigates predicted impacts of climate change on sea turtle offspring. Endangered Species Research, 56, 41–51. https://doi.org/10.3354/esr01382</t>
  </si>
  <si>
    <t xml:space="preserve">https://www.int-res.com/articles/esr2025/56/n056p041.pdf </t>
  </si>
  <si>
    <t>North Cyprus, Eastern Mediterranean</t>
  </si>
  <si>
    <t>Population annual mean day of nesting</t>
  </si>
  <si>
    <t>Fig. 6</t>
  </si>
  <si>
    <t>Remigrant annual mean day of nesting</t>
  </si>
  <si>
    <t>Ceriani, S. A., &amp; Casale, P. (2025). Long‐Term Incubation Duration Decline Indicates Climate‐Change Driven Feminization of Three Sea Turtle Species in Florida, USA. Global Change Biology, 31(10). https://doi.org/10.1111/gcb.70559</t>
  </si>
  <si>
    <t xml:space="preserve">https://onlinelibrary.wiley.com/doi/10.1111/gcb.70559?utm_source=chatgpt.com </t>
  </si>
  <si>
    <t>NW, Florida</t>
  </si>
  <si>
    <t>Incubation duration days</t>
  </si>
  <si>
    <t>Shorten incubation periods</t>
  </si>
  <si>
    <t>NE, Florida</t>
  </si>
  <si>
    <t>CW, Florida</t>
  </si>
  <si>
    <t>CE, Florida</t>
  </si>
  <si>
    <t>SW, Florida</t>
  </si>
  <si>
    <t>SE, Florida</t>
  </si>
  <si>
    <t>Florida</t>
  </si>
  <si>
    <t>Leatherback sea turtle</t>
  </si>
  <si>
    <t>Dermochelys coriacea</t>
  </si>
  <si>
    <t>Patel, S. H., Morreale, S. J., Saba, V. S., Panagopoulou, A., Margaritoulis, D., &amp; Spotila, J. R. (2016). Climate Impacts on Sea Turtle Breeding Phenology in Greece and Associated Foraging Habitats in the Wider Mediterranean Region. PLOS ONE, 11(6), e0157170. https://doi.org/10.1371/journal.pone.0157170</t>
  </si>
  <si>
    <t xml:space="preserve">https://pmc.ncbi.nlm.nih.gov/articles/PMC4917093/?utm_source=chatgpt.com#ref-list1 </t>
  </si>
  <si>
    <t>Zakynthos</t>
  </si>
  <si>
    <t>Date of first female emergence</t>
  </si>
  <si>
    <t>Earlier emergence with climate change</t>
  </si>
  <si>
    <t>Figure 3 and Figure S4. Use both slopes to get change in days/decade</t>
  </si>
  <si>
    <t>Robinson, N., Valentine, S., PS Tomillo, Saba, V., JR Spotila, &amp; Paladino, F. (2014). Multidecadal trends in the nesting phenology of Pacific and Atlantic leatherback turtles are associated with population demography. Endangered Species Research, 24(3), 197–206. https://doi.org/10.3354/esr00604</t>
  </si>
  <si>
    <t xml:space="preserve">https://www.researchgate.net/publication/285106873_Multidecadal_trends_in_the_nesting_phenology_of_Pacific_and_Atlantic_leatherback_turtles_are_associated_with_population_demography </t>
  </si>
  <si>
    <t>Playa Grande, Costa Rica</t>
  </si>
  <si>
    <t>Median nesting date</t>
  </si>
  <si>
    <t>Earlier nesting date with warming</t>
  </si>
  <si>
    <t>Sandy Point, US Virgin Islands</t>
  </si>
  <si>
    <t>Day of female-calf peak presence</t>
  </si>
  <si>
    <t>Day of singer peak start</t>
  </si>
  <si>
    <t>Day of singer peak end</t>
  </si>
  <si>
    <t>Staudinger, M., Pendleton, D., Jordaan, A., Yakola, K., &amp; Devine, M. (n.d.). Climate-induced shifts in phenology: Case studies of fish, whales, and seabirds in the Gulf of Maine. Retrieved October 29, 2025, from https://meetings.pices.int/publications/presentations/2018-Climate-Change/S08-D2-1140-Staudinger_R.pdf</t>
  </si>
  <si>
    <t xml:space="preserve">https://meetings.pices.int/publications/presentations/2018-Climate-Change/S08-D2-1140-Staudinger_R.pdf </t>
  </si>
  <si>
    <t>Right Whale</t>
  </si>
  <si>
    <t>Slide 26</t>
  </si>
  <si>
    <t>Slide 27</t>
  </si>
  <si>
    <t>Slide 28</t>
  </si>
  <si>
    <t>Slide 29</t>
  </si>
  <si>
    <t>Slide 30</t>
  </si>
  <si>
    <t>Fin Whale</t>
  </si>
  <si>
    <t>Chan, Y. T., Pilcher, N., &amp; Cheng, I. J. (2025). A long-term study of green turtles on Lanyu Island, Taiwan, suggests resilience to global climate change. Endangered Species Research, 57, 81–89. https://doi.org/10.3354/esr01388</t>
  </si>
  <si>
    <t xml:space="preserve">https://www.int-res.com/articles/esr2025/57/n057p081.pdf </t>
  </si>
  <si>
    <t>Lanyu Island</t>
  </si>
  <si>
    <t>Internesting interval</t>
  </si>
  <si>
    <t>Delay in nesting (into cooler months)</t>
  </si>
  <si>
    <t>Colman, L. P., Baptistotte, C., Godley, B. J., Thomé, J. C. A., Marcondes, A. C., Monsinjon, J. R., Santos, A., Patrício, A. R. C., Stahelin, G., &amp; Broderick, A. C. (2025). Incubation duration and predicted hatchling sex ratios of leatherback turtles (Dermochelys coriacea) in the southwestern Atlantic Ocean (1988–2021). Journal of Experimental Marine Biology and Ecology, 586, 152100. https://doi.org/10.1016/j.jembe.2025.152100</t>
  </si>
  <si>
    <t xml:space="preserve">https://www.sciencedirect.com/science/article/pii/S0022098125000206?utm_source=chatgpt.com#s0050 </t>
  </si>
  <si>
    <t>Espirito Santo, Brazil</t>
  </si>
  <si>
    <t>Incubation duration</t>
  </si>
  <si>
    <t xml:space="preserve">Warming </t>
  </si>
  <si>
    <t xml:space="preserve">Shortened nesting duration with warming </t>
  </si>
  <si>
    <t>Fig. 3b</t>
  </si>
  <si>
    <t>Weishampel, J., Bagley, D., Ehrhart, L., &amp; Weishampel, A. (2010). Nesting phenologies of two sympatric sea turtle species related to sea surface temperatures. Endangered Species Research, 12(1), 41–47. https://doi.org/10.3354/esr00290</t>
  </si>
  <si>
    <t xml:space="preserve">https://www.int-res.com/articles/esr2010/12/n012p041.pdf </t>
  </si>
  <si>
    <t>East Central Florida, USA</t>
  </si>
  <si>
    <t>Median ordinal day of nesting</t>
  </si>
  <si>
    <t>Earlier nesting with climate change</t>
  </si>
  <si>
    <t>Get Slope from fig. 3 and then slope for May SST from Fig.6 and then get change in days/dec</t>
  </si>
  <si>
    <t>Mazaris, A. D., Kallimanis, A. S., Pantis, J. D., &amp; Hays, G. C. (2012). Phenological response of sea turtles to environmental variation across a species’ northern range. Proceedings of the Royal Society B Biological Sciences, 280(1751), 20122397–20122397. https://doi.org/10.1098/rspb.2012.2397</t>
  </si>
  <si>
    <t xml:space="preserve">https://pmc.ncbi.nlm.nih.gov/articles/PMC3574410/ </t>
  </si>
  <si>
    <t>Date of nesting</t>
  </si>
  <si>
    <t xml:space="preserve">Earlier nesting </t>
  </si>
  <si>
    <t>Fig. 4 the slope show earlier phenology with warming</t>
  </si>
  <si>
    <t>Mazaris, A. D., Kallimanis, A. S., Tzanopoulos, J., Sgardelis, S. P., &amp; Pantis, J. D. (2009). Sea surface temperature variations in core foraging grounds drive nesting trends and phenology of loggerhead turtles in the Mediterranean Sea. Journal of Experimental Marine Biology and Ecology, 379(1-2), 23–27. https://doi.org/10.1016/j.jembe.2009.07.026</t>
  </si>
  <si>
    <t xml:space="preserve">https://www.sciencedirect.com/science/article/pii/S0022098109002950#aep-section-id18 </t>
  </si>
  <si>
    <t>Date of first emergence</t>
  </si>
  <si>
    <t>Earlier emergence with cliamte change</t>
  </si>
  <si>
    <t>Fig. 2 but use Fig. 1 to get the slope for change in T per year multiplies with Fig. 2</t>
  </si>
  <si>
    <t>Neeman, N., Robinson, N. J., Paladino, F. V., Spotila, J. R., &amp; O’Connor, M. P. (2014). Phenology shifts in leatherback turtles (Dermochelys coriacea) due to changes in sea surface temperature. Journal of Experimental Marine Biology and Ecology, 462, 113–120. https://doi.org/10.1016/j.jembe.2014.10.019</t>
  </si>
  <si>
    <t xml:space="preserve">https://www.sciencedirect.com/science/article/pii/S0022098114002809 </t>
  </si>
  <si>
    <t>Departure month</t>
  </si>
  <si>
    <t xml:space="preserve">Earlier nesting under warming </t>
  </si>
  <si>
    <t>Table 1. Look at the correlation values for departure month. Although there are multiple foraging areas, you can look at least one that has a significant result and based the result from there (if any)</t>
  </si>
  <si>
    <t>Tortuguero, Costa Rica</t>
  </si>
  <si>
    <t>Mayeul Dalleau, Stéphane Ciccione, Mortimer, J. A., Garnier, J., Benhamou, S., &amp; Jérôme Bourjea. (2012). Nesting Phenology of Marine Turtles: Insights from a Regional Comparative Analysis on Green Turtle (Chelonia mydas). PLoS ONE, 7(10), e46920–e46920. https://doi.org/10.1371/journal.pone.0046920</t>
  </si>
  <si>
    <t xml:space="preserve">https://journals.plos.org/plosone/article?id=10.1371/journal.pone.0046920#s3 </t>
  </si>
  <si>
    <t>South West Indian Ocean</t>
  </si>
  <si>
    <t>Nesting dates</t>
  </si>
  <si>
    <t>No clear evidence that cliamte change caused changes in median nesting date</t>
  </si>
  <si>
    <t>Abstract</t>
  </si>
  <si>
    <t xml:space="preserve">https://journals.plos.org/plosone/article?id=10.1371%2Fjournal.pone.0310388&amp;utm_source=chatgpt.com </t>
  </si>
  <si>
    <t>Eastern English Channel</t>
  </si>
  <si>
    <t>Downs herring</t>
  </si>
  <si>
    <t>Spawning season peak month</t>
  </si>
  <si>
    <t>Earlier peak with warming</t>
  </si>
  <si>
    <t>Fig. 3 (There are also other metrics measured i.e., end, duration, etc but they all have roughly the same trend for the same species, so I just digitsed the peak instead)</t>
  </si>
  <si>
    <t>‌</t>
  </si>
  <si>
    <t xml:space="preserve">https://onlinelibrary.wiley.com/doi/10.1111/gcb.17285?utm_source=chatgpt.com </t>
  </si>
  <si>
    <t>Nearshore habitat use</t>
  </si>
  <si>
    <t>Earlier shift with warming</t>
  </si>
  <si>
    <t>There are no figure shown, but the abstract states a forward shift in timing with climate change</t>
  </si>
  <si>
    <t>Ory, N. C., Gröger, J. P., Lehmann, A., Mittermayer, F., Neuheimer, A. B., &amp; Catriona Clemmesen. (2024). Early arrival of spring‐spawning Atlantic herring Clupea harengus at their spawning ground in the Kiel Fjord, western Baltic, relates to increasing winter seawater temperature. Journal of Fish Biology. https://doi.org/10.1111/jfb.15811</t>
  </si>
  <si>
    <t xml:space="preserve">https://oceanrep.geomar.de/id/eprint/60418/1/Journal%20of%20Fish%20Biology%20-%202024%20-%20Ory%20-%20Early%20arrival%20of%20spring%E2%80%90spawning%20Atlantic%20herring%20Clupea%20harengus%20at%20their%20spawning.pdf?utm_source=chatgpt.com </t>
  </si>
  <si>
    <t>Kiel Fjord</t>
  </si>
  <si>
    <t>First arrival</t>
  </si>
  <si>
    <t>Earlier timing under warming</t>
  </si>
  <si>
    <t>Figure 5. Took the x-axis coordinates for each year and then regressed it to get the trend</t>
  </si>
  <si>
    <t>Dalton, R. M., Sheppard, J. J., Finn, J. T., Jordaan, A., &amp; Staudinger, M. D. (2022). Phenological Variation in Spring Migration Timing of Adult Alewife in Coastal Massachusetts. Marine and Coastal Fisheries, 14(2).</t>
  </si>
  <si>
    <t xml:space="preserve">https://doi.org/10.1002/mcf2.10198 </t>
  </si>
  <si>
    <t>PAR -Parker River, Ipswich Bay</t>
  </si>
  <si>
    <t>Initiation date</t>
  </si>
  <si>
    <t>Fig. 4 (Initiation Date) There are other metrics but they are all roughly the same</t>
  </si>
  <si>
    <t>IPS - Ipswich River, Ipswich Bay</t>
  </si>
  <si>
    <t>LIT - Little River, Ipswich Bay</t>
  </si>
  <si>
    <t>JON - Jones River, Cape Cod Bay</t>
  </si>
  <si>
    <t>TOW - Town Brook, Cape Cod Bay</t>
  </si>
  <si>
    <t>NEM - Nemasket River, Mount Hope Bay</t>
  </si>
  <si>
    <t>ACU - Acushnet River, Buzzards Bay</t>
  </si>
  <si>
    <t>AGA - Agawam River, Buzzards Bay</t>
  </si>
  <si>
    <t>MON - Monument River, Cape Cod Bay</t>
  </si>
  <si>
    <t>STO - Stony Brook, Cape Cod Bay</t>
  </si>
  <si>
    <t>HER - Herring River, Nantucket Sound</t>
  </si>
  <si>
    <t xml:space="preserve">MAM - Marston Mills River, Nantucket Sound </t>
  </si>
  <si>
    <t>Cherbero, M., Teichert, N., De Oliveira, E., &amp; Céline Le Pichon. (2025). Coastal to Riverine Entry Timing During the Spawning Migration of the European Shads (Alosa spp.): Drivers and Phenological Trends for the French Atlantic Coast Populations. Aquatic Conservation Marine and Freshwater Ecosystems, 35(4). https://doi.org/10.1002/aqc.70124</t>
  </si>
  <si>
    <t xml:space="preserve">https://onlinelibrary.wiley.com/doi/10.1002/aqc.70124?utm_source=chatgpt.com </t>
  </si>
  <si>
    <t>Nivelle</t>
  </si>
  <si>
    <t>European shad</t>
  </si>
  <si>
    <t>Alosa spp.</t>
  </si>
  <si>
    <t>Migration initation</t>
  </si>
  <si>
    <t>Fig. 5 The trends are already provided (I only got the initiation date)</t>
  </si>
  <si>
    <t>Garonne</t>
  </si>
  <si>
    <t>Dordogne</t>
  </si>
  <si>
    <t>Aulne</t>
  </si>
  <si>
    <t>Vire</t>
  </si>
  <si>
    <t>Eyto, E. de, Kelly, S., Rogan, G., French, A., Cooney, J., Murphy, M., Nixon, P., Hughes, P., Sweeney, D., McGinnity, P., Dillane, M., &amp; Poole, R. (2022). Decadal Trends in the Migration Phenology of Diadromous Fishes Native to the Burrishoole Catchment, Ireland. Frontiers in Ecology and Evolution, 10. https://doi.org/10.3389/fevo.2022.915854</t>
  </si>
  <si>
    <t xml:space="preserve">https://www.frontiersin.org/journals/ecology-and-evolution/articles/10.3389/fevo.2022.915854/full </t>
  </si>
  <si>
    <t>Burishoole Catchment, Ireland</t>
  </si>
  <si>
    <t xml:space="preserve">Eel </t>
  </si>
  <si>
    <t>Peak departure</t>
  </si>
  <si>
    <t>Earlier migration with climate change</t>
  </si>
  <si>
    <t>Fig. 3 Just took the median 50% percentile as peak migration abundance</t>
  </si>
  <si>
    <t xml:space="preserve">Salmon  </t>
  </si>
  <si>
    <t xml:space="preserve">Salmon </t>
  </si>
  <si>
    <t>Peak arrival</t>
  </si>
  <si>
    <t xml:space="preserve">Trout </t>
  </si>
  <si>
    <t>Salmo trutta</t>
  </si>
  <si>
    <t>Trout</t>
  </si>
  <si>
    <t>Erauskin-Extramiana, M., Alvarez, P., Arrizabalaga, H., Ibaibarriaga, L., Uriarte, A., Cotano, U., Santos, M., Ferrer, L., Cabré, A., Irigoien, X., &amp; Chust, G. (2019). Historical trends and future distribution of anchovy spawning in the Bay of Biscay. Deep Sea Research Part II: Topical Studies in Oceanography, 159, 169–182. https://doi.org/10.1016/j.dsr2.2018.07.007</t>
  </si>
  <si>
    <t xml:space="preserve">https://www.sciencedirect.com/science/article/pii/S0967064517302151?via%3Dihub#s0070 </t>
  </si>
  <si>
    <t>Anchovy</t>
  </si>
  <si>
    <t>Peak spawning</t>
  </si>
  <si>
    <t>Earlier spawning with warming waters</t>
  </si>
  <si>
    <t>Legrand, M., Briand, C., Buisson, L., Besse, T., Gwenaël Artur, Azam, D., Baisez, A., Barracou, D., Bourré, N., Carry, L., Anne‐Laure Caudal, Corre, J., Croguennec, E., Mikaélian, S. D., Josset, Q., Laëtitia Le Gurun, Schaeffer, F., Toussaint, R., &amp; Pascal Laffaille. (2020). Diadromous fish modified timing of upstream migration over the last 30 years in France. Freshwater Biology, 66(2), 286–302. https://doi.org/10.1111/fwb.13638</t>
  </si>
  <si>
    <t>https://onlinelibrary-wiley-com.simsrad.net.ocs.mq.edu.au/doi/full/10.1111%2Ffwb.13638</t>
  </si>
  <si>
    <t>French Rivers</t>
  </si>
  <si>
    <t>Change in migration for the median date</t>
  </si>
  <si>
    <t>Earlier migration with warming</t>
  </si>
  <si>
    <t xml:space="preserve">Table 2. Just get median date </t>
  </si>
  <si>
    <t>Glass eel</t>
  </si>
  <si>
    <t>Yello eel</t>
  </si>
  <si>
    <t>Sea lamprey</t>
  </si>
  <si>
    <t>Petromyzon marinus</t>
  </si>
  <si>
    <t xml:space="preserve">Brown trout </t>
  </si>
  <si>
    <t>Teal, L.R. et al. (2008). Effects of climate change on growth of 0-group sole and plaice. Marine Ecology Progress Series 358:219-230</t>
  </si>
  <si>
    <t>https://www.researchgate.net/publication/236009515_Effects_of_climate_change_on_growth_of_0-group_sole_and_plaice</t>
  </si>
  <si>
    <t>Dutch coast</t>
  </si>
  <si>
    <t xml:space="preserve">Northern </t>
  </si>
  <si>
    <t>~</t>
  </si>
  <si>
    <t>From the Poloczanska paper</t>
  </si>
  <si>
    <t>Danish coast</t>
  </si>
  <si>
    <t>Fournier, R. J., Colombano, D. D., Latour, R. J., Carlson, S. M., &amp; Ruhi, A. (2024). Long‐term data reveal widespread phenological change across major US estuarine food webs. Ecology Letters, 27(12)</t>
  </si>
  <si>
    <t>https://doi.org/10.1111/ele.14441</t>
  </si>
  <si>
    <t>Delta Region, San Francisco Bay</t>
  </si>
  <si>
    <t xml:space="preserve">Continuous </t>
  </si>
  <si>
    <t>Morone saxatilis juv</t>
  </si>
  <si>
    <t>Change in peak abundance</t>
  </si>
  <si>
    <t>Advancement in peak dates with climate change</t>
  </si>
  <si>
    <t xml:space="preserve"> Fig. 6 (multiplied slope with 10) as time is based on PT (phenological trend = date of peak abundance)</t>
  </si>
  <si>
    <t>Suisun Bay, San Francisco Bay</t>
  </si>
  <si>
    <t xml:space="preserve">Morone saxatilis </t>
  </si>
  <si>
    <t>Engraulis mordax juv</t>
  </si>
  <si>
    <t>Sprinchus thaleichthys</t>
  </si>
  <si>
    <t>San Pablo Bay, San Francisco Bay</t>
  </si>
  <si>
    <t>Engraulis mordax juv.</t>
  </si>
  <si>
    <t>Genyonemus lineatus</t>
  </si>
  <si>
    <t>Ellis, D., &amp; Vokoun, J. C. (2009). Earlier spring warming of coastal streams and implications for Alewife migration timing. North American Journal of Fisheries Management, 29(6), 1584–1589.</t>
  </si>
  <si>
    <t>https://academic-oup-com.simsrad.net.ocs.mq.edu.au/najfm/article/29/6/1584/7847119?login=true&amp;token=eyJhbGciOiJub25lIn0.eyJleHAiOjE3NjQ5OTcwMTgsImp0aSI6Ijc0N2IxYTkxLTAzNTAtNDJkMi05NzA5LTc4ODI0NWZjZWM5ZiJ9.#497048268</t>
  </si>
  <si>
    <t>Southern New Englad Streams</t>
  </si>
  <si>
    <t>First day of year occurrence</t>
  </si>
  <si>
    <t>Temperature</t>
  </si>
  <si>
    <t>Earlier appearance with cliamte change</t>
  </si>
  <si>
    <t>Fig. 2 (or the written Results) but the values are also given in the review article here: https://onlinelibrary-wiley-com.simsrad.net.ocs.mq.edu.au/doi/full/10.1111/fog.12429</t>
  </si>
  <si>
    <t>Huntington, T. G., Hodgkins, G. A., &amp; Dudley, R. W. (2003). Historical trend in river ice thickness and coherence in hydroclimatological trends in Maine. Climatic Change, 61, 217–236. https://doi.org/10.1023/A:1026360615401</t>
  </si>
  <si>
    <t>https://link-springer-com.simsrad.net.ocs.mq.edu.au/article/10.1023/A:1026360615401</t>
  </si>
  <si>
    <t>Penobscot River, Midcoast Maine</t>
  </si>
  <si>
    <t>Median capture date</t>
  </si>
  <si>
    <t>Earlier capture with climate change</t>
  </si>
  <si>
    <t>Fig. 9 but the values are also given in the review article here: https://onlinelibrary-wiley-com.simsrad.net.ocs.mq.edu.au/doi/full/10.1111/fog.12429</t>
  </si>
  <si>
    <t>Androscoggin River, Midcoast Maine</t>
  </si>
  <si>
    <t>Schneider, K. N., Newman, R. M., Card, V., Weisberg, S. &amp; Pereira, D. L. Timing of Walleye Spawning as an Indicator of 696 Climate Change. T Am Fish Soc 139, 1198-1210, doi:10.1577/T09-129.1 (2010)</t>
  </si>
  <si>
    <t>https://academic.oup.com/tafs/article/139/4/1198/7877414</t>
  </si>
  <si>
    <t>Big Lake Creek</t>
  </si>
  <si>
    <t>Walleye</t>
  </si>
  <si>
    <t>Sander vitreus</t>
  </si>
  <si>
    <t xml:space="preserve">Peak egg-take </t>
  </si>
  <si>
    <t>Earlier peak abundance with climate change</t>
  </si>
  <si>
    <t>Table 3 (only getting peak abundance)</t>
  </si>
  <si>
    <t>Boy River</t>
  </si>
  <si>
    <t>Bucks Mill</t>
  </si>
  <si>
    <t>Little Cut Foot Sioux Lake</t>
  </si>
  <si>
    <t xml:space="preserve">Little Cut Foot Sious Lake </t>
  </si>
  <si>
    <t>Dead River</t>
  </si>
  <si>
    <t>Lake Koronis</t>
  </si>
  <si>
    <t>Lake Sallie</t>
  </si>
  <si>
    <t>Otter Tail River</t>
  </si>
  <si>
    <t>Pike River</t>
  </si>
  <si>
    <t>Pine River</t>
  </si>
  <si>
    <t>Rice Lake</t>
  </si>
  <si>
    <t xml:space="preserve">St. Louis River </t>
  </si>
  <si>
    <t>Kovach, R. P., Joyce, J. E., Echave, J. D., Lindberg, M. S., &amp; Tallmon, D. A. (2013). Earlier Migration Timing, Decreasing Phenotypic Variation, and Biocomplexity in Multiple Salmonid Species. PLoS ONE, 8(1), e53807. https://doi.org/10.1371/journal.pone.0053807</t>
  </si>
  <si>
    <t>https://journals.plos.org/plosone/article?id=10.1371/journal.pone.0053807</t>
  </si>
  <si>
    <t>Even year pink</t>
  </si>
  <si>
    <t>Change in migration arrival</t>
  </si>
  <si>
    <t>Earlier migration with timing</t>
  </si>
  <si>
    <t>Odd year pink</t>
  </si>
  <si>
    <t>Sockeye</t>
  </si>
  <si>
    <t>Sockeye jacks</t>
  </si>
  <si>
    <t>Coho</t>
  </si>
  <si>
    <t>Coho jacks</t>
  </si>
  <si>
    <t>Change in departure</t>
  </si>
  <si>
    <t xml:space="preserve">Valiente, A. G., Juanes, F., &amp; E. Garcia‐Vazquez. (2011). Increasing Regional Temperatures Associated with Delays in Atlantic Salmon Sea‐Run Timing at the Southern Edge of the European Distribution. Transactions of the American Fisheries Society, 140(2), 367–373. </t>
  </si>
  <si>
    <t xml:space="preserve">https://doi.org/10.1080/00028487.2011.557018 </t>
  </si>
  <si>
    <t>Eo, Bay of Biscay</t>
  </si>
  <si>
    <t>Salmon salar</t>
  </si>
  <si>
    <t>First catch dates</t>
  </si>
  <si>
    <t>Increasing temperature will delay sea-run first arrival</t>
  </si>
  <si>
    <t>https://doi.org/10.1080/00028487.2011.557018</t>
  </si>
  <si>
    <t>Esva, Bay of Biscay</t>
  </si>
  <si>
    <t>Narcea, Bay of Biscay</t>
  </si>
  <si>
    <t>Sella, Bay of Biscay</t>
  </si>
  <si>
    <t>Cares, Bay of Biscay</t>
  </si>
  <si>
    <t>Dahl, J., Dannewitz, J., Karlsson, L., Petersson, E., Löf, A., &amp; Ragnarsson, B. (2004). The timing of spawning migration: implications of environmental variation, life history, and sex. Canadian Journal of Zoology, 82(12), 1864–1870. https://doi.org/10.1139/z04-184</t>
  </si>
  <si>
    <t xml:space="preserve">https://cdnsciencepub.com/doi/10.1139/z04-184 </t>
  </si>
  <si>
    <t>Dalälven River</t>
  </si>
  <si>
    <t>Median run date</t>
  </si>
  <si>
    <t>T</t>
  </si>
  <si>
    <t>Migration occurs earlier in warming years (Fig. 2)</t>
  </si>
  <si>
    <t>Brown trout</t>
  </si>
  <si>
    <t>Salmon trutta</t>
  </si>
  <si>
    <t>Migration occurs earlier in warming years (Fig. 3)</t>
  </si>
  <si>
    <t>Russell, I. C., Aprahamian, M. W., Barry, J., Davidson, I. C., Fiske, P., Ibbotson, A. T., Kennedy, R. J., Maclean, J. C., Moore, A., Otero, J., Potter, T. (E. C. E. ), &amp; Todd, C. D. (2012). The influence of the freshwater environment and the biological characteristics of Atlantic salmon smolts on their subsequent marine survival. ICES Journal of Marine Science, 69(9), 1563–1573. https://doi.org/10.1093/icesjms/fsr208</t>
  </si>
  <si>
    <t xml:space="preserve">https://academic.oup.com/icesjms/article/69/9/1563/634513 </t>
  </si>
  <si>
    <t>Residual day of the year</t>
  </si>
  <si>
    <t>Earlier smolt migration with climate warming</t>
  </si>
  <si>
    <t>Otero, J., Jensen, A. J., L’Abée‐Lund, J. H., Stenseth, N. Chr., Storvik, G. O., &amp; Vøllestad, L. A. (2012). Contemporary ocean warming and freshwater conditions are related to later sea age at maturity in Atlantic salmon spawning in Norwegian rivers. Ecology and Evolution, 2(9), 2192–2203. https://doi.org/10.1002/ece3.337</t>
  </si>
  <si>
    <t xml:space="preserve">https://onlinelibrary.wiley.com/doi/10.1002/ece3.337 </t>
  </si>
  <si>
    <t>Norwegian Rivers</t>
  </si>
  <si>
    <t>Age-at-maturity phenology</t>
  </si>
  <si>
    <t>Fish are now more likely to stay an extra year at sea before maturing and returning to spawn → that’s a delay in age at maturity (they come back in a later calendar year).</t>
  </si>
  <si>
    <t>Quinn, T. P., &amp; Adams, D. J. (1996). Environmental Changes Affecting the Migratory Timing of American Shad and Sockeye Salmon. Ecology, 77(4), 1151–1162. https://doi.org/10.2307/2265584</t>
  </si>
  <si>
    <t xml:space="preserve">https://esajournals.onlinelibrary.wiley.com/doi/abs/10.2307/2265584 </t>
  </si>
  <si>
    <t>Bonneville Dam</t>
  </si>
  <si>
    <t>Peak median date</t>
  </si>
  <si>
    <t>Earlier migration under warming conditions</t>
  </si>
  <si>
    <t>No major phenological change expected</t>
  </si>
  <si>
    <t>Peeter Nõges, &amp; Arvo Järvet. (2005). Climate driven changes in the spawning of roach (Rutilus rutilus (L.)) and bream (Abramis brama (L.)) in... Boreal Environment Research, 10(1). https://www.researchgate.net/publication/238092143_Climate_driven_changes_in_the_spawning_of_roach_Rutilus_rutilus_L_and_bream_Abramis_brama_L_in_the_Estonian_part_of_the_Narva_River_basin</t>
  </si>
  <si>
    <t xml:space="preserve">https://www.researchgate.net/profile/Arvo-Jaervet/publication/238092143_Climate_driven_changes_in_the_spawning_of_roach_Rutilus_rutilus_L_and_bream_Abramis_brama_L_in_the_Estonian_part_of_the_Narva_River_basin/links/00b4952812fb479ac3000000/Climate-driven-changes-in-the-spawning-of-roach-Rutilus-rutilus-L-and-bream-Abramis-brama-L-in-the-Estonian-part-of-the-Narva-River-basin.pdf </t>
  </si>
  <si>
    <t>Narva River</t>
  </si>
  <si>
    <t>Bream</t>
  </si>
  <si>
    <t>Abramis brama</t>
  </si>
  <si>
    <t>Day of spawning</t>
  </si>
  <si>
    <t>Earlier spawning onset with CC</t>
  </si>
  <si>
    <t>Sims, D. W., Wearmouth, V. J., Genner, M. J., Southward, A. J., &amp; Hawkins, S. J. (2004). Low‐temperature‐driven early spawning migration of a temperate marine fish. Journal of Animal Ecology, 73(2), 333–341. https://doi.org/10.1111/j.0021-8790.2004.00810.x</t>
  </si>
  <si>
    <t>https://besjournals.onlinelibrary.wiley.com/doi/full/10.1111/j.0021-8790.2004.00810.x</t>
  </si>
  <si>
    <t>e 42.868803 -3.786340</t>
  </si>
  <si>
    <t>Lobsters, crab, shrimps</t>
  </si>
  <si>
    <t>Molting</t>
  </si>
  <si>
    <t>Earlier molting with climate change</t>
  </si>
  <si>
    <t>Fig. 6 A (given the shift, I just got the shift in DOY based on the months and then divided that by overall study period years)</t>
  </si>
  <si>
    <t>Schneider, A. K., Fabrizio, M. C., &amp; Lipcius, R. N. (2024). Reproductive phenology of the Chesapeake Bay blue crab population in a changing climate. Frontiers in Ecology and Evolution, 11. https://doi.org/10.3389/fevo.2023.1304021</t>
  </si>
  <si>
    <t>https://www.frontiersin.org/journals/ecology-and-evolution/articles/10.3389/fevo.2023.1304021/full#h4</t>
  </si>
  <si>
    <t>Chesapeake Bay </t>
  </si>
  <si>
    <t>Blue crab</t>
  </si>
  <si>
    <t>Spawning onset</t>
  </si>
  <si>
    <t>Have to confirm with Ant how to deal about multiple metrics for the same species (But the trends are rather similar across, so just took one metric); Excluded the river data and only took the bay data</t>
  </si>
  <si>
    <t>Roach</t>
  </si>
  <si>
    <t>Rutilus rutilus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</si>
</sst>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1">
    <font>
      <sz val="11"/>
      <color theme="1"/>
      <name val="Calibri"/>
      <family val="2"/>
      <scheme val="minor"/>
    </font>
    <font>
      <b/>
      <sz val="11"/>
      <color theme="1"/>
      <name val="Calibri"/>
      <family val="2"/>
      <scheme val="minor"/>
    </font>
    <font>
      <u/>
      <sz val="11"/>
      <color theme="10"/>
      <name val="Calibri"/>
      <family val="2"/>
      <scheme val="minor"/>
    </font>
    <font>
      <i/>
      <sz val="11"/>
      <color theme="1"/>
      <name val="Calibri"/>
      <family val="2"/>
      <scheme val="minor"/>
    </font>
    <font>
      <sz val="11"/>
      <color theme="1"/>
      <name val="Calibri"/>
      <family val="2"/>
      <scheme val="minor"/>
    </font>
    <font>
      <b/>
      <sz val="12"/>
      <color theme="1"/>
      <name val="Calibri"/>
      <family val="2"/>
      <scheme val="minor"/>
    </font>
    <font>
      <sz val="12"/>
      <color rgb="FF222222"/>
      <name val="Calibri"/>
      <family val="2"/>
      <scheme val="minor"/>
    </font>
    <font>
      <sz val="11"/>
      <color rgb="FF000000"/>
      <name val="Lucida Grande"/>
      <family val="2"/>
    </font>
    <font>
      <sz val="12"/>
      <color rgb="FF000000"/>
      <name val="Calibri"/>
      <family val="2"/>
      <scheme val="minor"/>
    </font>
    <font>
      <sz val="12"/>
      <color rgb="FF2E2E2E"/>
      <name val="Calibri"/>
      <family val="2"/>
      <scheme val="minor"/>
    </font>
    <font>
      <sz val="12"/>
      <color rgb="FF1B1C20"/>
      <name val="Calibri"/>
      <family val="2"/>
      <scheme val="minor"/>
    </font>
    <font>
      <sz val="8"/>
      <color theme="1"/>
      <name val="Helvetica"/>
      <family val="2"/>
    </font>
    <font>
      <sz val="10"/>
      <color rgb="FF1B1C20"/>
      <name val="Helvetica"/>
      <family val="2"/>
    </font>
    <font>
      <sz val="12"/>
      <color rgb="FF202124"/>
      <name val="Calibri"/>
      <family val="2"/>
      <scheme val="minor"/>
    </font>
    <font>
      <sz val="10"/>
      <color theme="1"/>
      <name val="Helvetica"/>
      <family val="2"/>
    </font>
    <font>
      <sz val="12"/>
      <color rgb="FF231F20"/>
      <name val="Calibri"/>
      <family val="2"/>
      <scheme val="minor"/>
    </font>
    <font>
      <sz val="11"/>
      <color theme="1"/>
      <name val="Lucida Grande"/>
      <family val="2"/>
    </font>
    <font>
      <sz val="12"/>
      <color theme="1"/>
      <name val="Helvetica"/>
      <family val="2"/>
    </font>
    <font>
      <i/>
      <sz val="12"/>
      <color theme="1"/>
      <name val="Calibri"/>
      <family val="2"/>
      <scheme val="minor"/>
    </font>
    <font>
      <sz val="12"/>
      <color theme="10"/>
      <name val="Calibri"/>
      <family val="2"/>
      <scheme val="minor"/>
    </font>
    <font>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top/>
      <bottom/>
      <diagonal/>
    </border>
  </borders>
  <cellStyleXfs count="2">
    <xf numFmtId="0" fontId="0" fillId="0" borderId="0"/>
    <xf numFmtId="0" fontId="2" fillId="0" borderId="0" applyNumberFormat="0" applyFill="0" applyBorder="0" applyAlignment="0" applyProtection="0"/>
  </cellStyleXfs>
  <cellXfs count="35">
    <xf numFmtId="0" fontId="0" fillId="0" borderId="0" xfId="0"/>
    <xf numFmtId="0" fontId="1" fillId="0" borderId="0" xfId="0" applyFont="1"/>
    <xf numFmtId="0" fontId="2" fillId="0" borderId="0" xfId="1" applyFill="1"/>
    <xf numFmtId="0" fontId="3" fillId="0" borderId="0" xfId="0" applyFont="1"/>
    <xf numFmtId="0" fontId="5" fillId="0" borderId="0" xfId="0" applyFont="1"/>
    <xf numFmtId="2" fontId="5" fillId="0" borderId="0" xfId="0" applyNumberFormat="1" applyFont="1"/>
    <xf numFmtId="2" fontId="0" fillId="0" borderId="0" xfId="0" applyNumberFormat="1"/>
    <xf numFmtId="2" fontId="6" fillId="0" borderId="0" xfId="0" applyNumberFormat="1" applyFont="1"/>
    <xf numFmtId="16" fontId="0" fillId="0" borderId="0" xfId="0" applyNumberFormat="1"/>
    <xf numFmtId="0" fontId="7" fillId="0" borderId="0" xfId="0" applyFont="1"/>
    <xf numFmtId="0" fontId="0" fillId="0" borderId="1" xfId="0" applyBorder="1"/>
    <xf numFmtId="0" fontId="4"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0" fillId="0" borderId="0" xfId="0" quotePrefix="1"/>
    <xf numFmtId="0" fontId="12" fillId="0" borderId="0" xfId="0" applyFont="1"/>
    <xf numFmtId="0" fontId="0" fillId="0" borderId="0" xfId="0" applyAlignment="1">
      <alignment wrapText="1"/>
    </xf>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1" fontId="0" fillId="0" borderId="0" xfId="0" applyNumberFormat="1"/>
    <xf numFmtId="164" fontId="0" fillId="0" borderId="0" xfId="0" applyNumberFormat="1" applyAlignment="1">
      <alignment horizontal="right"/>
    </xf>
    <xf numFmtId="0" fontId="0" fillId="0" borderId="0" xfId="0" applyAlignment="1">
      <alignment horizontal="left"/>
    </xf>
    <xf numFmtId="164" fontId="0" fillId="0" borderId="0" xfId="0" applyNumberFormat="1"/>
    <xf numFmtId="0" fontId="18" fillId="0" borderId="0" xfId="0" applyFont="1"/>
    <xf numFmtId="0" fontId="18" fillId="0" borderId="0" xfId="0" applyFont="1" applyAlignment="1">
      <alignment vertical="center" wrapText="1"/>
    </xf>
    <xf numFmtId="0" fontId="19" fillId="0" borderId="0" xfId="1" applyFont="1" applyFill="1"/>
    <xf numFmtId="0" fontId="0" fillId="0" borderId="0" xfId="1" applyFont="1" applyFill="1"/>
    <xf numFmtId="0" fontId="20" fillId="0" borderId="0" xfId="1" applyFont="1" applyFill="1"/>
    <xf numFmtId="0" fontId="0" fillId="0" borderId="0" xfId="0" applyAlignment="1">
      <alignment horizontal="left" vertical="center" indent="1"/>
    </xf>
    <xf numFmtId="0" fontId="2" fillId="0" borderId="0" xfId="1" applyFill="1" applyAlignment="1">
      <alignment horizontal="left" vertical="center"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ris Esturas" id="{905E691B-44C7-4141-8544-B80CA089D7F5}" userId="S::kris.esturas@mq.edu.au::60c470c4-ff90-4860-a2e4-78e4ef4dea1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071" dT="2025-10-09T12:23:36.12" personId="{905E691B-44C7-4141-8544-B80CA089D7F5}" id="{ECEC0BB0-EA26-4272-8B28-92F3140520BC}">
    <text>For whole study, 1977. But for date of first arrival, they only have data starting at 1994</text>
  </threadedComment>
  <threadedComment ref="J1072" dT="2025-10-09T12:23:36.12" personId="{905E691B-44C7-4141-8544-B80CA089D7F5}" id="{DE349007-2A4B-446B-86D1-ACD0A996D123}">
    <text>For whole study, 1977. But for date of first arrival, they only have data starting at 1994</text>
  </threadedComment>
  <threadedComment ref="J1073" dT="2025-10-09T12:23:36.12" personId="{905E691B-44C7-4141-8544-B80CA089D7F5}" id="{0825EABD-A959-4AA4-B71F-476B3CD75C29}">
    <text>For whole study, 1977. But for date of first arrival, they only have data starting at 1994</text>
  </threadedComment>
  <threadedComment ref="B1185" dT="2025-11-06T06:05:40.95" personId="{905E691B-44C7-4141-8544-B80CA089D7F5}" id="{88DAEC0D-9196-430F-BB41-30D6320324BE}">
    <text>Possibly for meroplankton</text>
  </threadedComment>
</ThreadedComments>
</file>

<file path=xl/worksheets/_rels/sheet1.xml.rels><?xml version="1.0" encoding="UTF-8" standalone="yes"?>
<Relationships xmlns="http://schemas.openxmlformats.org/package/2006/relationships"><Relationship Id="rId2" Type="http://schemas.openxmlformats.org/officeDocument/2006/relationships/hyperlink" Target="https://www.sciencedirect.com/science/article/pii/S2666900521000095" TargetMode="External"/><Relationship Id="rId1" Type="http://schemas.openxmlformats.org/officeDocument/2006/relationships/hyperlink" Target="https://www.sciencedirect.com/science/article/pii/S2666900522000077"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meetings.pices.int/publications/presentations/2018-Climate-Change/S08-D2-1140-Staudinger_R.pdf" TargetMode="External"/><Relationship Id="rId21" Type="http://schemas.openxmlformats.org/officeDocument/2006/relationships/hyperlink" Target="https://onlinelibrary.wiley.com/doi/epdf/10.1111/j.1748-7692.2001.tb01006.x?saml_referrer" TargetMode="External"/><Relationship Id="rId42" Type="http://schemas.openxmlformats.org/officeDocument/2006/relationships/hyperlink" Target="https://www.sciencedirect.com/science/article/pii/S0022098109002950" TargetMode="External"/><Relationship Id="rId47" Type="http://schemas.openxmlformats.org/officeDocument/2006/relationships/hyperlink" Target="https://www.frontiersin.org/journals/ecology-and-evolution/articles/10.3389/fevo.2023.1304021/full" TargetMode="External"/><Relationship Id="rId63" Type="http://schemas.openxmlformats.org/officeDocument/2006/relationships/hyperlink" Target="https://onlinelibrary.wiley.com/doi/10.1002/aqc.70124?utm_source=chatgpt.com" TargetMode="External"/><Relationship Id="rId68" Type="http://schemas.openxmlformats.org/officeDocument/2006/relationships/hyperlink" Target="https://www.frontiersin.org/journals/ecology-and-evolution/articles/10.3389/fevo.2022.915854/full" TargetMode="External"/><Relationship Id="rId84" Type="http://schemas.openxmlformats.org/officeDocument/2006/relationships/hyperlink" Target="https://doi.org/10.1080/00028487.2011.557018" TargetMode="External"/><Relationship Id="rId89" Type="http://schemas.openxmlformats.org/officeDocument/2006/relationships/hyperlink" Target="https://www.researchgate.net/profile/Arvo-Jaervet/publication/238092143_Climate_driven_changes_in_the_spawning_of_roach_Rutilus_rutilus_L_and_bream_Abramis_brama_L_in_the_Estonian_part_of_the_Narva_River_basin/links/00b4952812fb479ac3000000/Climate-driven-changes-in-the-spawning-of-roach-Rutilus-rutilus-L-and-bream-Abramis-brama-L-in-the-Estonian-part-of-the-Narva-River-basin.pdf" TargetMode="External"/><Relationship Id="rId16" Type="http://schemas.openxmlformats.org/officeDocument/2006/relationships/hyperlink" Target="https://pmc.ncbi.nlm.nih.gov/articles/PMC8049321/?utm_source=chatgpt.com" TargetMode="External"/><Relationship Id="rId11" Type="http://schemas.openxmlformats.org/officeDocument/2006/relationships/hyperlink" Target="https://www.int-res.com/articles/esr2025/56/n056p041.pdf" TargetMode="External"/><Relationship Id="rId32" Type="http://schemas.openxmlformats.org/officeDocument/2006/relationships/hyperlink" Target="https://onlinelibrary.wiley.com/doi/10.1111/gcb.70559?utm_source=chatgpt.com" TargetMode="External"/><Relationship Id="rId37" Type="http://schemas.openxmlformats.org/officeDocument/2006/relationships/hyperlink" Target="https://onlinelibrary.wiley.com/doi/10.1111/gcb.70559?utm_source=chatgpt.com" TargetMode="External"/><Relationship Id="rId53" Type="http://schemas.openxmlformats.org/officeDocument/2006/relationships/hyperlink" Target="https://doi.org/10.1002/mcf2.10198" TargetMode="External"/><Relationship Id="rId58" Type="http://schemas.openxmlformats.org/officeDocument/2006/relationships/hyperlink" Target="https://doi.org/10.1002/mcf2.10198" TargetMode="External"/><Relationship Id="rId74" Type="http://schemas.openxmlformats.org/officeDocument/2006/relationships/hyperlink" Target="https://onlinelibrary-wiley-com.simsrad.net.ocs.mq.edu.au/doi/full/10.1111%2Ffwb.13638" TargetMode="External"/><Relationship Id="rId79" Type="http://schemas.openxmlformats.org/officeDocument/2006/relationships/hyperlink" Target="https://www.researchgate.net/publication/236009515_Effects_of_climate_change_on_growth_of_0-group_sole_and_plaice" TargetMode="External"/><Relationship Id="rId102" Type="http://schemas.microsoft.com/office/2017/10/relationships/threadedComment" Target="../threadedComments/threadedComment1.xml"/><Relationship Id="rId5" Type="http://schemas.openxmlformats.org/officeDocument/2006/relationships/hyperlink" Target="https://pmc.ncbi.nlm.nih.gov/articles/PMC9541444/" TargetMode="External"/><Relationship Id="rId90" Type="http://schemas.openxmlformats.org/officeDocument/2006/relationships/hyperlink" Target="https://www.researchgate.net/profile/Arvo-Jaervet/publication/238092143_Climate_driven_changes_in_the_spawning_of_roach_Rutilus_rutilus_L_and_bream_Abramis_brama_L_in_the_Estonian_part_of_the_Narva_River_basin/links/00b4952812fb479ac3000000/Climate-driven-changes-in-the-spawning-of-roach-Rutilus-rutilus-L-and-bream-Abramis-brama-L-in-the-Estonian-part-of-the-Narva-River-basin.pdf" TargetMode="External"/><Relationship Id="rId95" Type="http://schemas.openxmlformats.org/officeDocument/2006/relationships/hyperlink" Target="https://www.sciencedirect.com/science/article/pii/S0022098114002809" TargetMode="External"/><Relationship Id="rId22" Type="http://schemas.openxmlformats.org/officeDocument/2006/relationships/hyperlink" Target="https://www.nature.com/articles/s41598-025-07010-9?utm_source=chatgpt.com" TargetMode="External"/><Relationship Id="rId27" Type="http://schemas.openxmlformats.org/officeDocument/2006/relationships/hyperlink" Target="https://meetings.pices.int/publications/presentations/2018-Climate-Change/S08-D2-1140-Staudinger_R.pdf" TargetMode="External"/><Relationship Id="rId43" Type="http://schemas.openxmlformats.org/officeDocument/2006/relationships/hyperlink" Target="https://pmc.ncbi.nlm.nih.gov/articles/PMC3574410/" TargetMode="External"/><Relationship Id="rId48" Type="http://schemas.openxmlformats.org/officeDocument/2006/relationships/hyperlink" Target="https://onlinelibrary.wiley.com/doi/10.1111/gcb.17285?utm_source=chatgpt.com" TargetMode="External"/><Relationship Id="rId64" Type="http://schemas.openxmlformats.org/officeDocument/2006/relationships/hyperlink" Target="https://onlinelibrary.wiley.com/doi/10.1002/aqc.70124?utm_source=chatgpt.com" TargetMode="External"/><Relationship Id="rId69" Type="http://schemas.openxmlformats.org/officeDocument/2006/relationships/hyperlink" Target="https://www.frontiersin.org/journals/ecology-and-evolution/articles/10.3389/fevo.2022.915854/full" TargetMode="External"/><Relationship Id="rId80" Type="http://schemas.openxmlformats.org/officeDocument/2006/relationships/hyperlink" Target="https://www.researchgate.net/publication/236009515_Effects_of_climate_change_on_growth_of_0-group_sole_and_plaice" TargetMode="External"/><Relationship Id="rId85" Type="http://schemas.openxmlformats.org/officeDocument/2006/relationships/hyperlink" Target="https://academic.oup.com/icesjms/article/69/9/1563/634513" TargetMode="External"/><Relationship Id="rId12" Type="http://schemas.openxmlformats.org/officeDocument/2006/relationships/hyperlink" Target="https://pmc.ncbi.nlm.nih.gov/articles/PMC8049321/?utm_source=chatgpt.com" TargetMode="External"/><Relationship Id="rId17" Type="http://schemas.openxmlformats.org/officeDocument/2006/relationships/hyperlink" Target="https://pmc.ncbi.nlm.nih.gov/articles/PMC8049321/?utm_source=chatgpt.com" TargetMode="External"/><Relationship Id="rId25" Type="http://schemas.openxmlformats.org/officeDocument/2006/relationships/hyperlink" Target="https://www.nature.com/articles/s41598-025-07010-9?utm_source=chatgpt.com" TargetMode="External"/><Relationship Id="rId33" Type="http://schemas.openxmlformats.org/officeDocument/2006/relationships/hyperlink" Target="https://onlinelibrary.wiley.com/doi/10.1111/gcb.70559?utm_source=chatgpt.com" TargetMode="External"/><Relationship Id="rId38" Type="http://schemas.openxmlformats.org/officeDocument/2006/relationships/hyperlink" Target="https://onlinelibrary.wiley.com/doi/10.1111/gcb.70559?utm_source=chatgpt.com" TargetMode="External"/><Relationship Id="rId46" Type="http://schemas.openxmlformats.org/officeDocument/2006/relationships/hyperlink" Target="https://journals.plos.org/plosone/article?id=10.1371%2Fjournal.pone.0310388&amp;utm_source=chatgpt.com" TargetMode="External"/><Relationship Id="rId59" Type="http://schemas.openxmlformats.org/officeDocument/2006/relationships/hyperlink" Target="https://doi.org/10.1002/mcf2.10198" TargetMode="External"/><Relationship Id="rId67" Type="http://schemas.openxmlformats.org/officeDocument/2006/relationships/hyperlink" Target="https://www.frontiersin.org/journals/ecology-and-evolution/articles/10.3389/fevo.2022.915854/full" TargetMode="External"/><Relationship Id="rId20" Type="http://schemas.openxmlformats.org/officeDocument/2006/relationships/hyperlink" Target="https://www.int-res.com/articles/meps_oa/m424p259.pdf" TargetMode="External"/><Relationship Id="rId41" Type="http://schemas.openxmlformats.org/officeDocument/2006/relationships/hyperlink" Target="https://pmc.ncbi.nlm.nih.gov/articles/PMC3574410/" TargetMode="External"/><Relationship Id="rId54" Type="http://schemas.openxmlformats.org/officeDocument/2006/relationships/hyperlink" Target="https://doi.org/10.1002/mcf2.10198" TargetMode="External"/><Relationship Id="rId62" Type="http://schemas.openxmlformats.org/officeDocument/2006/relationships/hyperlink" Target="https://onlinelibrary.wiley.com/doi/10.1002/aqc.70124?utm_source=chatgpt.com" TargetMode="External"/><Relationship Id="rId70" Type="http://schemas.openxmlformats.org/officeDocument/2006/relationships/hyperlink" Target="https://www.frontiersin.org/journals/ecology-and-evolution/articles/10.3389/fevo.2022.915854/full" TargetMode="External"/><Relationship Id="rId75" Type="http://schemas.openxmlformats.org/officeDocument/2006/relationships/hyperlink" Target="https://onlinelibrary-wiley-com.simsrad.net.ocs.mq.edu.au/doi/full/10.1111%2Ffwb.13638" TargetMode="External"/><Relationship Id="rId83" Type="http://schemas.openxmlformats.org/officeDocument/2006/relationships/hyperlink" Target="https://cdnsciencepub.com/doi/10.1139/z04-184" TargetMode="External"/><Relationship Id="rId88" Type="http://schemas.openxmlformats.org/officeDocument/2006/relationships/hyperlink" Target="https://esajournals.onlinelibrary.wiley.com/doi/abs/10.2307/2265584" TargetMode="External"/><Relationship Id="rId91" Type="http://schemas.openxmlformats.org/officeDocument/2006/relationships/hyperlink" Target="https://www.researchgate.net/publication/285106873_Multidecadal_trends_in_the_nesting_phenology_of_Pacific_and_Atlantic_leatherback_turtles_are_associated_with_population_demography" TargetMode="External"/><Relationship Id="rId96" Type="http://schemas.openxmlformats.org/officeDocument/2006/relationships/hyperlink" Target="https://www.sciencedirect.com/science/article/pii/S0022098114002809" TargetMode="External"/><Relationship Id="rId1" Type="http://schemas.openxmlformats.org/officeDocument/2006/relationships/hyperlink" Target="https://link.springer.com/article/10.1007/s00300-009-0706-2" TargetMode="External"/><Relationship Id="rId6" Type="http://schemas.openxmlformats.org/officeDocument/2006/relationships/hyperlink" Target="https://pmc.ncbi.nlm.nih.gov/articles/PMC9541444/" TargetMode="External"/><Relationship Id="rId15" Type="http://schemas.openxmlformats.org/officeDocument/2006/relationships/hyperlink" Target="https://pmc.ncbi.nlm.nih.gov/articles/PMC8049321/?utm_source=chatgpt.com" TargetMode="External"/><Relationship Id="rId23" Type="http://schemas.openxmlformats.org/officeDocument/2006/relationships/hyperlink" Target="https://www.nature.com/articles/s41598-025-07010-9?utm_source=chatgpt.com" TargetMode="External"/><Relationship Id="rId28" Type="http://schemas.openxmlformats.org/officeDocument/2006/relationships/hyperlink" Target="https://royalsocietypublishing.org/doi/10.1098/rspb.2024.1809" TargetMode="External"/><Relationship Id="rId36" Type="http://schemas.openxmlformats.org/officeDocument/2006/relationships/hyperlink" Target="https://onlinelibrary.wiley.com/doi/10.1111/gcb.70559?utm_source=chatgpt.com" TargetMode="External"/><Relationship Id="rId49" Type="http://schemas.openxmlformats.org/officeDocument/2006/relationships/hyperlink" Target="https://oceanrep.geomar.de/id/eprint/60418/1/Journal%20of%20Fish%20Biology%20-%202024%20-%20Ory%20-%20Early%20arrival%20of%20spring%E2%80%90spawning%20Atlantic%20herring%20Clupea%20harengus%20at%20their%20spawning.pdf?utm_source=chatgpt.com" TargetMode="External"/><Relationship Id="rId57" Type="http://schemas.openxmlformats.org/officeDocument/2006/relationships/hyperlink" Target="https://doi.org/10.1002/mcf2.10198" TargetMode="External"/><Relationship Id="rId10" Type="http://schemas.openxmlformats.org/officeDocument/2006/relationships/hyperlink" Target="https://royalsocietypublishing.org/doi/10.1098/rspb.2024.1809" TargetMode="External"/><Relationship Id="rId31" Type="http://schemas.openxmlformats.org/officeDocument/2006/relationships/hyperlink" Target="https://onlinelibrary.wiley.com/doi/10.1111/gcb.70559?utm_source=chatgpt.com" TargetMode="External"/><Relationship Id="rId44" Type="http://schemas.openxmlformats.org/officeDocument/2006/relationships/hyperlink" Target="https://www.sciencedirect.com/science/article/pii/S0022098114002809" TargetMode="External"/><Relationship Id="rId52" Type="http://schemas.openxmlformats.org/officeDocument/2006/relationships/hyperlink" Target="https://doi.org/10.1002/mcf2.10198" TargetMode="External"/><Relationship Id="rId60" Type="http://schemas.openxmlformats.org/officeDocument/2006/relationships/hyperlink" Target="https://doi.org/10.1002/mcf2.10198" TargetMode="External"/><Relationship Id="rId65" Type="http://schemas.openxmlformats.org/officeDocument/2006/relationships/hyperlink" Target="https://onlinelibrary.wiley.com/doi/10.1002/aqc.70124?utm_source=chatgpt.com" TargetMode="External"/><Relationship Id="rId73" Type="http://schemas.openxmlformats.org/officeDocument/2006/relationships/hyperlink" Target="https://onlinelibrary-wiley-com.simsrad.net.ocs.mq.edu.au/doi/full/10.1111%2Ffwb.13638" TargetMode="External"/><Relationship Id="rId78" Type="http://schemas.openxmlformats.org/officeDocument/2006/relationships/hyperlink" Target="https://onlinelibrary-wiley-com.simsrad.net.ocs.mq.edu.au/doi/full/10.1111%2Ffwb.13638" TargetMode="External"/><Relationship Id="rId81" Type="http://schemas.openxmlformats.org/officeDocument/2006/relationships/hyperlink" Target="https://academic-oup-com.simsrad.net.ocs.mq.edu.au/najfm/article/29/6/1584/7847119?login=true&amp;token=eyJhbGciOiJub25lIn0.eyJleHAiOjE3NjQ5OTcwMTgsImp0aSI6Ijc0N2IxYTkxLTAzNTAtNDJkMi05NzA5LTc4ODI0NWZjZWM5ZiJ9." TargetMode="External"/><Relationship Id="rId86" Type="http://schemas.openxmlformats.org/officeDocument/2006/relationships/hyperlink" Target="https://onlinelibrary.wiley.com/doi/10.1002/ece3.337" TargetMode="External"/><Relationship Id="rId94" Type="http://schemas.openxmlformats.org/officeDocument/2006/relationships/hyperlink" Target="https://www.sciencedirect.com/science/article/pii/S0022098125000206?utm_source=chatgpt.com" TargetMode="External"/><Relationship Id="rId99" Type="http://schemas.openxmlformats.org/officeDocument/2006/relationships/hyperlink" Target="https://besjournals.onlinelibrary.wiley.com/doi/full/10.1111/j.0021-8790.2004.00810.x" TargetMode="External"/><Relationship Id="rId101" Type="http://schemas.openxmlformats.org/officeDocument/2006/relationships/comments" Target="../comments1.xml"/><Relationship Id="rId4" Type="http://schemas.openxmlformats.org/officeDocument/2006/relationships/hyperlink" Target="https://www.pnas.org/doi/pdf/10.1073/pnas.2121092119" TargetMode="External"/><Relationship Id="rId9" Type="http://schemas.openxmlformats.org/officeDocument/2006/relationships/hyperlink" Target="https://storage.googleapis.com/nmfs_odp_swfsc/Publications/Files/CR/2025/2025Eguchi.pdf" TargetMode="External"/><Relationship Id="rId13" Type="http://schemas.openxmlformats.org/officeDocument/2006/relationships/hyperlink" Target="https://pmc.ncbi.nlm.nih.gov/articles/PMC8049321/?utm_source=chatgpt.com" TargetMode="External"/><Relationship Id="rId18" Type="http://schemas.openxmlformats.org/officeDocument/2006/relationships/hyperlink" Target="https://pmc.ncbi.nlm.nih.gov/articles/PMC8049321/?utm_source=chatgpt.com" TargetMode="External"/><Relationship Id="rId39" Type="http://schemas.openxmlformats.org/officeDocument/2006/relationships/hyperlink" Target="https://onlinelibrary.wiley.com/doi/10.1111/gcb.70559?utm_source=chatgpt.com" TargetMode="External"/><Relationship Id="rId34" Type="http://schemas.openxmlformats.org/officeDocument/2006/relationships/hyperlink" Target="https://onlinelibrary.wiley.com/doi/10.1111/gcb.70559?utm_source=chatgpt.com" TargetMode="External"/><Relationship Id="rId50" Type="http://schemas.openxmlformats.org/officeDocument/2006/relationships/hyperlink" Target="https://doi.org/10.1002/mcf2.10198" TargetMode="External"/><Relationship Id="rId55" Type="http://schemas.openxmlformats.org/officeDocument/2006/relationships/hyperlink" Target="https://doi.org/10.1002/mcf2.10198" TargetMode="External"/><Relationship Id="rId76" Type="http://schemas.openxmlformats.org/officeDocument/2006/relationships/hyperlink" Target="https://onlinelibrary-wiley-com.simsrad.net.ocs.mq.edu.au/doi/full/10.1111%2Ffwb.13638" TargetMode="External"/><Relationship Id="rId97" Type="http://schemas.openxmlformats.org/officeDocument/2006/relationships/hyperlink" Target="https://www.int-res.com/articles/esr2010/12/n012p041.pdf" TargetMode="External"/><Relationship Id="rId7" Type="http://schemas.openxmlformats.org/officeDocument/2006/relationships/hyperlink" Target="https://pmc.ncbi.nlm.nih.gov/articles/PMC9541444/" TargetMode="External"/><Relationship Id="rId71" Type="http://schemas.openxmlformats.org/officeDocument/2006/relationships/hyperlink" Target="https://www.frontiersin.org/journals/ecology-and-evolution/articles/10.3389/fevo.2022.915854/full" TargetMode="External"/><Relationship Id="rId92" Type="http://schemas.openxmlformats.org/officeDocument/2006/relationships/hyperlink" Target="https://www.researchgate.net/publication/285106873_Multidecadal_trends_in_the_nesting_phenology_of_Pacific_and_Atlantic_leatherback_turtles_are_associated_with_population_demography" TargetMode="External"/><Relationship Id="rId2" Type="http://schemas.openxmlformats.org/officeDocument/2006/relationships/hyperlink" Target="https://besjournals.onlinelibrary.wiley.com/doi/10.1111/1365-2656.12050" TargetMode="External"/><Relationship Id="rId29" Type="http://schemas.openxmlformats.org/officeDocument/2006/relationships/hyperlink" Target="https://royalsocietypublishing.org/doi/10.1098/rspb.2024.1809" TargetMode="External"/><Relationship Id="rId24" Type="http://schemas.openxmlformats.org/officeDocument/2006/relationships/hyperlink" Target="https://www.nature.com/articles/s41598-025-07010-9?utm_source=chatgpt.com" TargetMode="External"/><Relationship Id="rId40" Type="http://schemas.openxmlformats.org/officeDocument/2006/relationships/hyperlink" Target="https://pmc.ncbi.nlm.nih.gov/articles/PMC4917093/?utm_source=chatgpt.com" TargetMode="External"/><Relationship Id="rId45" Type="http://schemas.openxmlformats.org/officeDocument/2006/relationships/hyperlink" Target="https://journals.plos.org/plosone/article?id=10.1371/journal.pone.0046920" TargetMode="External"/><Relationship Id="rId66" Type="http://schemas.openxmlformats.org/officeDocument/2006/relationships/hyperlink" Target="https://onlinelibrary.wiley.com/doi/10.1002/aqc.70124?utm_source=chatgpt.com" TargetMode="External"/><Relationship Id="rId87" Type="http://schemas.openxmlformats.org/officeDocument/2006/relationships/hyperlink" Target="https://esajournals.onlinelibrary.wiley.com/doi/abs/10.2307/2265584" TargetMode="External"/><Relationship Id="rId61" Type="http://schemas.openxmlformats.org/officeDocument/2006/relationships/hyperlink" Target="https://doi.org/10.1002/mcf2.10198" TargetMode="External"/><Relationship Id="rId82" Type="http://schemas.openxmlformats.org/officeDocument/2006/relationships/hyperlink" Target="https://cdnsciencepub.com/doi/10.1139/z04-184" TargetMode="External"/><Relationship Id="rId19" Type="http://schemas.openxmlformats.org/officeDocument/2006/relationships/hyperlink" Target="https://pmc.ncbi.nlm.nih.gov/articles/PMC8049321/?utm_source=chatgpt.com" TargetMode="External"/><Relationship Id="rId14" Type="http://schemas.openxmlformats.org/officeDocument/2006/relationships/hyperlink" Target="https://pmc.ncbi.nlm.nih.gov/articles/PMC8049321/?utm_source=chatgpt.com" TargetMode="External"/><Relationship Id="rId30" Type="http://schemas.openxmlformats.org/officeDocument/2006/relationships/hyperlink" Target="https://www.int-res.com/articles/esr2025/56/n056p041.pdf" TargetMode="External"/><Relationship Id="rId35" Type="http://schemas.openxmlformats.org/officeDocument/2006/relationships/hyperlink" Target="https://onlinelibrary.wiley.com/doi/10.1111/gcb.70559?utm_source=chatgpt.com" TargetMode="External"/><Relationship Id="rId56" Type="http://schemas.openxmlformats.org/officeDocument/2006/relationships/hyperlink" Target="https://doi.org/10.1002/mcf2.10198" TargetMode="External"/><Relationship Id="rId77" Type="http://schemas.openxmlformats.org/officeDocument/2006/relationships/hyperlink" Target="https://onlinelibrary-wiley-com.simsrad.net.ocs.mq.edu.au/doi/full/10.1111%2Ffwb.13638" TargetMode="External"/><Relationship Id="rId100" Type="http://schemas.openxmlformats.org/officeDocument/2006/relationships/vmlDrawing" Target="../drawings/vmlDrawing1.vml"/><Relationship Id="rId8" Type="http://schemas.openxmlformats.org/officeDocument/2006/relationships/hyperlink" Target="https://pmc.ncbi.nlm.nih.gov/articles/PMC3001384/?utm_source=chatgpt.com" TargetMode="External"/><Relationship Id="rId51" Type="http://schemas.openxmlformats.org/officeDocument/2006/relationships/hyperlink" Target="https://doi.org/10.1002/mcf2.10198" TargetMode="External"/><Relationship Id="rId72" Type="http://schemas.openxmlformats.org/officeDocument/2006/relationships/hyperlink" Target="https://www.sciencedirect.com/science/article/pii/S0967064517302151?via%3Dihub" TargetMode="External"/><Relationship Id="rId93" Type="http://schemas.openxmlformats.org/officeDocument/2006/relationships/hyperlink" Target="https://www.int-res.com/articles/esr2025/57/n057p081.pdf" TargetMode="External"/><Relationship Id="rId98" Type="http://schemas.openxmlformats.org/officeDocument/2006/relationships/hyperlink" Target="https://www.int-res.com/articles/esr2010/12/n012p041.pdf" TargetMode="External"/><Relationship Id="rId3" Type="http://schemas.openxmlformats.org/officeDocument/2006/relationships/hyperlink" Target="https://link.springer.com/article/10.1007/s00300-015-1648-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886"/>
  <sheetViews>
    <sheetView workbookViewId="0">
      <selection sqref="A1:XFD1"/>
    </sheetView>
  </sheetViews>
  <sheetFormatPr defaultRowHeight="14.5"/>
  <cols>
    <col min="1" max="1" width="40.26953125" customWidth="1"/>
    <col min="3" max="3" width="9.6328125" customWidth="1"/>
    <col min="4" max="4" width="17.453125" customWidth="1"/>
    <col min="5" max="6" width="20" customWidth="1"/>
    <col min="7" max="7" width="14.54296875" customWidth="1"/>
    <col min="8" max="8" width="16.36328125" customWidth="1"/>
    <col min="9" max="10" width="16.36328125" hidden="1" customWidth="1"/>
    <col min="14" max="14" width="0" hidden="1" customWidth="1"/>
    <col min="16" max="16" width="8.36328125" customWidth="1"/>
  </cols>
  <sheetData>
    <row r="1" spans="1:18"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C2" t="s">
        <v>19</v>
      </c>
      <c r="D2" t="s">
        <v>20</v>
      </c>
      <c r="E2" t="s">
        <v>21</v>
      </c>
      <c r="F2" t="s">
        <v>21</v>
      </c>
      <c r="G2" t="s">
        <v>22</v>
      </c>
      <c r="H2" t="s">
        <v>23</v>
      </c>
      <c r="I2">
        <v>62</v>
      </c>
      <c r="J2">
        <v>-3</v>
      </c>
      <c r="K2">
        <v>1958</v>
      </c>
      <c r="M2">
        <v>48</v>
      </c>
      <c r="N2" t="s">
        <v>24</v>
      </c>
      <c r="O2">
        <v>231.6</v>
      </c>
      <c r="P2" t="s">
        <v>15</v>
      </c>
    </row>
    <row r="3" spans="1:18">
      <c r="A3" t="s">
        <v>18</v>
      </c>
      <c r="C3" t="s">
        <v>19</v>
      </c>
      <c r="D3" t="s">
        <v>20</v>
      </c>
      <c r="E3" t="s">
        <v>21</v>
      </c>
      <c r="F3" t="s">
        <v>21</v>
      </c>
      <c r="G3" t="s">
        <v>25</v>
      </c>
      <c r="H3" t="s">
        <v>23</v>
      </c>
      <c r="I3">
        <v>62</v>
      </c>
      <c r="J3">
        <v>3</v>
      </c>
      <c r="K3">
        <v>1958</v>
      </c>
      <c r="M3">
        <v>48</v>
      </c>
      <c r="N3" t="s">
        <v>24</v>
      </c>
      <c r="O3">
        <v>217.5</v>
      </c>
      <c r="P3" t="s">
        <v>15</v>
      </c>
    </row>
    <row r="4" spans="1:18">
      <c r="A4" t="s">
        <v>18</v>
      </c>
      <c r="C4" t="s">
        <v>19</v>
      </c>
      <c r="D4" t="s">
        <v>20</v>
      </c>
      <c r="E4" t="s">
        <v>21</v>
      </c>
      <c r="F4" t="s">
        <v>21</v>
      </c>
      <c r="G4" t="s">
        <v>26</v>
      </c>
      <c r="H4" t="s">
        <v>23</v>
      </c>
      <c r="I4">
        <v>48</v>
      </c>
      <c r="J4">
        <v>-5</v>
      </c>
      <c r="K4">
        <v>1958</v>
      </c>
      <c r="M4">
        <v>48</v>
      </c>
      <c r="N4" t="s">
        <v>24</v>
      </c>
      <c r="O4">
        <v>138.75</v>
      </c>
      <c r="P4" t="s">
        <v>15</v>
      </c>
    </row>
    <row r="5" spans="1:18">
      <c r="A5" t="s">
        <v>18</v>
      </c>
      <c r="C5" t="s">
        <v>19</v>
      </c>
      <c r="D5" t="s">
        <v>20</v>
      </c>
      <c r="E5" t="s">
        <v>21</v>
      </c>
      <c r="F5" t="s">
        <v>21</v>
      </c>
      <c r="G5" t="s">
        <v>27</v>
      </c>
      <c r="H5" t="s">
        <v>23</v>
      </c>
      <c r="I5">
        <v>51</v>
      </c>
      <c r="J5">
        <v>-19</v>
      </c>
      <c r="K5">
        <v>1958</v>
      </c>
      <c r="M5">
        <v>48</v>
      </c>
      <c r="N5" t="s">
        <v>24</v>
      </c>
      <c r="O5">
        <v>46.25</v>
      </c>
      <c r="P5" t="s">
        <v>15</v>
      </c>
    </row>
    <row r="6" spans="1:18">
      <c r="A6" t="s">
        <v>18</v>
      </c>
      <c r="C6" t="s">
        <v>19</v>
      </c>
      <c r="D6" t="s">
        <v>20</v>
      </c>
      <c r="E6" t="s">
        <v>21</v>
      </c>
      <c r="F6" t="s">
        <v>21</v>
      </c>
      <c r="G6" t="s">
        <v>28</v>
      </c>
      <c r="H6" t="s">
        <v>29</v>
      </c>
      <c r="I6">
        <v>63</v>
      </c>
      <c r="J6">
        <v>0</v>
      </c>
      <c r="K6">
        <v>1958</v>
      </c>
      <c r="M6">
        <v>48</v>
      </c>
      <c r="N6" t="s">
        <v>30</v>
      </c>
      <c r="O6">
        <v>-161.88</v>
      </c>
      <c r="P6" t="s">
        <v>15</v>
      </c>
    </row>
    <row r="7" spans="1:18">
      <c r="A7" t="s">
        <v>18</v>
      </c>
      <c r="C7" t="s">
        <v>19</v>
      </c>
      <c r="D7" t="s">
        <v>20</v>
      </c>
      <c r="E7" t="s">
        <v>21</v>
      </c>
      <c r="F7" t="s">
        <v>21</v>
      </c>
      <c r="G7" t="s">
        <v>31</v>
      </c>
      <c r="H7" t="s">
        <v>29</v>
      </c>
      <c r="I7">
        <v>63</v>
      </c>
      <c r="J7">
        <v>0</v>
      </c>
      <c r="K7">
        <v>1958</v>
      </c>
      <c r="M7">
        <v>48</v>
      </c>
      <c r="N7" t="s">
        <v>30</v>
      </c>
      <c r="O7">
        <v>-92.6</v>
      </c>
      <c r="P7" t="s">
        <v>15</v>
      </c>
    </row>
    <row r="8" spans="1:18">
      <c r="A8" t="s">
        <v>18</v>
      </c>
      <c r="C8" t="s">
        <v>19</v>
      </c>
      <c r="D8" t="s">
        <v>20</v>
      </c>
      <c r="E8" t="s">
        <v>21</v>
      </c>
      <c r="F8" t="s">
        <v>21</v>
      </c>
      <c r="G8" t="s">
        <v>32</v>
      </c>
      <c r="H8" t="s">
        <v>29</v>
      </c>
      <c r="I8">
        <v>63</v>
      </c>
      <c r="J8">
        <v>0</v>
      </c>
      <c r="K8">
        <v>1958</v>
      </c>
      <c r="M8">
        <v>48</v>
      </c>
      <c r="N8" t="s">
        <v>30</v>
      </c>
      <c r="O8">
        <v>-46.25</v>
      </c>
      <c r="P8" t="s">
        <v>15</v>
      </c>
    </row>
    <row r="9" spans="1:18">
      <c r="A9" t="s">
        <v>18</v>
      </c>
      <c r="C9" t="s">
        <v>19</v>
      </c>
      <c r="D9" t="s">
        <v>20</v>
      </c>
      <c r="E9" t="s">
        <v>21</v>
      </c>
      <c r="F9" t="s">
        <v>21</v>
      </c>
      <c r="G9" t="s">
        <v>33</v>
      </c>
      <c r="H9" t="s">
        <v>23</v>
      </c>
      <c r="I9">
        <v>55</v>
      </c>
      <c r="J9">
        <v>4</v>
      </c>
      <c r="K9">
        <v>1958</v>
      </c>
      <c r="M9">
        <v>48</v>
      </c>
      <c r="N9" t="s">
        <v>24</v>
      </c>
      <c r="O9">
        <v>46.25</v>
      </c>
      <c r="P9" t="s">
        <v>15</v>
      </c>
    </row>
    <row r="10" spans="1:18">
      <c r="A10" t="s">
        <v>18</v>
      </c>
      <c r="C10" t="s">
        <v>19</v>
      </c>
      <c r="D10" t="s">
        <v>20</v>
      </c>
      <c r="E10" t="s">
        <v>21</v>
      </c>
      <c r="F10" t="s">
        <v>21</v>
      </c>
      <c r="G10" t="s">
        <v>34</v>
      </c>
      <c r="H10" t="s">
        <v>29</v>
      </c>
      <c r="I10">
        <v>63</v>
      </c>
      <c r="J10">
        <v>0</v>
      </c>
      <c r="K10">
        <v>1958</v>
      </c>
      <c r="M10">
        <v>48</v>
      </c>
      <c r="N10" t="s">
        <v>30</v>
      </c>
      <c r="O10">
        <v>-57.81</v>
      </c>
      <c r="P10" t="s">
        <v>15</v>
      </c>
    </row>
    <row r="11" spans="1:18">
      <c r="A11" t="s">
        <v>35</v>
      </c>
      <c r="C11" t="s">
        <v>19</v>
      </c>
      <c r="D11" t="s">
        <v>20</v>
      </c>
      <c r="E11" t="s">
        <v>36</v>
      </c>
      <c r="F11" t="s">
        <v>36</v>
      </c>
      <c r="G11" t="s">
        <v>37</v>
      </c>
      <c r="H11" t="s">
        <v>38</v>
      </c>
      <c r="I11">
        <v>52.92</v>
      </c>
      <c r="J11">
        <v>4.8499999999999996</v>
      </c>
      <c r="K11">
        <v>1973</v>
      </c>
      <c r="M11">
        <v>30</v>
      </c>
      <c r="N11" t="s">
        <v>30</v>
      </c>
      <c r="O11">
        <v>-0.87</v>
      </c>
      <c r="P11" t="s">
        <v>15</v>
      </c>
    </row>
    <row r="12" spans="1:18">
      <c r="A12" t="s">
        <v>39</v>
      </c>
      <c r="C12" t="s">
        <v>19</v>
      </c>
      <c r="D12" t="s">
        <v>20</v>
      </c>
      <c r="E12" t="s">
        <v>36</v>
      </c>
      <c r="F12" t="s">
        <v>36</v>
      </c>
      <c r="G12" t="s">
        <v>40</v>
      </c>
      <c r="H12" t="s">
        <v>29</v>
      </c>
      <c r="I12">
        <v>44</v>
      </c>
      <c r="J12">
        <v>-4</v>
      </c>
      <c r="K12">
        <v>1960</v>
      </c>
      <c r="M12">
        <v>48</v>
      </c>
      <c r="N12" t="s">
        <v>30</v>
      </c>
      <c r="O12">
        <v>-60.2</v>
      </c>
      <c r="P12" t="s">
        <v>15</v>
      </c>
    </row>
    <row r="13" spans="1:18">
      <c r="A13" t="s">
        <v>41</v>
      </c>
      <c r="C13" t="s">
        <v>19</v>
      </c>
      <c r="D13" t="s">
        <v>20</v>
      </c>
      <c r="E13" t="s">
        <v>21</v>
      </c>
      <c r="F13" t="s">
        <v>21</v>
      </c>
      <c r="G13" t="s">
        <v>42</v>
      </c>
      <c r="H13" t="s">
        <v>38</v>
      </c>
      <c r="I13">
        <v>48</v>
      </c>
      <c r="J13">
        <v>-5</v>
      </c>
      <c r="K13">
        <v>1958</v>
      </c>
      <c r="M13">
        <v>45</v>
      </c>
      <c r="N13" t="s">
        <v>24</v>
      </c>
      <c r="O13">
        <v>9.8699999999999992</v>
      </c>
      <c r="P13" t="s">
        <v>15</v>
      </c>
    </row>
    <row r="14" spans="1:18">
      <c r="A14" t="s">
        <v>41</v>
      </c>
      <c r="C14" t="s">
        <v>19</v>
      </c>
      <c r="D14" t="s">
        <v>20</v>
      </c>
      <c r="E14" t="s">
        <v>21</v>
      </c>
      <c r="F14" t="s">
        <v>21</v>
      </c>
      <c r="G14" t="s">
        <v>25</v>
      </c>
      <c r="H14" t="s">
        <v>38</v>
      </c>
      <c r="I14">
        <v>48</v>
      </c>
      <c r="J14">
        <v>-5</v>
      </c>
      <c r="K14">
        <v>1958</v>
      </c>
      <c r="M14">
        <v>45</v>
      </c>
      <c r="N14" t="s">
        <v>24</v>
      </c>
      <c r="O14">
        <v>12.33</v>
      </c>
      <c r="P14" t="s">
        <v>15</v>
      </c>
    </row>
    <row r="15" spans="1:18">
      <c r="A15" t="s">
        <v>43</v>
      </c>
      <c r="C15" t="s">
        <v>19</v>
      </c>
      <c r="D15" t="s">
        <v>44</v>
      </c>
      <c r="E15" t="s">
        <v>21</v>
      </c>
      <c r="F15" t="s">
        <v>21</v>
      </c>
      <c r="G15" t="s">
        <v>45</v>
      </c>
      <c r="H15" t="s">
        <v>23</v>
      </c>
      <c r="I15">
        <v>-53</v>
      </c>
      <c r="J15">
        <v>148</v>
      </c>
      <c r="K15">
        <v>1983</v>
      </c>
      <c r="M15">
        <v>24</v>
      </c>
      <c r="N15" t="s">
        <v>24</v>
      </c>
      <c r="O15">
        <v>693.75</v>
      </c>
      <c r="P15" t="s">
        <v>15</v>
      </c>
    </row>
    <row r="16" spans="1:18">
      <c r="A16" t="s">
        <v>46</v>
      </c>
      <c r="C16" t="s">
        <v>19</v>
      </c>
      <c r="D16" t="s">
        <v>20</v>
      </c>
      <c r="E16" t="s">
        <v>47</v>
      </c>
      <c r="F16" t="s">
        <v>47</v>
      </c>
      <c r="G16" t="s">
        <v>48</v>
      </c>
      <c r="H16" t="s">
        <v>23</v>
      </c>
      <c r="I16">
        <v>39.270000000000003</v>
      </c>
      <c r="J16">
        <v>-123.79</v>
      </c>
      <c r="K16">
        <v>1970</v>
      </c>
      <c r="M16">
        <v>27</v>
      </c>
      <c r="N16" t="s">
        <v>24</v>
      </c>
      <c r="O16">
        <v>119</v>
      </c>
      <c r="P16" t="s">
        <v>15</v>
      </c>
    </row>
    <row r="17" spans="1:16">
      <c r="A17" t="s">
        <v>49</v>
      </c>
      <c r="C17" t="s">
        <v>19</v>
      </c>
      <c r="D17" t="s">
        <v>50</v>
      </c>
      <c r="E17" t="s">
        <v>51</v>
      </c>
      <c r="F17" t="s">
        <v>51</v>
      </c>
      <c r="G17" t="s">
        <v>52</v>
      </c>
      <c r="H17" t="s">
        <v>23</v>
      </c>
      <c r="I17">
        <v>-34</v>
      </c>
      <c r="J17">
        <v>151.5</v>
      </c>
      <c r="K17">
        <v>1950</v>
      </c>
      <c r="M17">
        <v>56</v>
      </c>
      <c r="N17" t="s">
        <v>24</v>
      </c>
      <c r="O17">
        <v>406</v>
      </c>
      <c r="P17" t="s">
        <v>15</v>
      </c>
    </row>
    <row r="18" spans="1:16">
      <c r="A18" t="s">
        <v>53</v>
      </c>
      <c r="C18" t="s">
        <v>19</v>
      </c>
      <c r="D18" t="s">
        <v>20</v>
      </c>
      <c r="E18" t="s">
        <v>51</v>
      </c>
      <c r="F18" t="s">
        <v>51</v>
      </c>
      <c r="G18" t="s">
        <v>54</v>
      </c>
      <c r="H18" t="s">
        <v>23</v>
      </c>
      <c r="I18">
        <v>54</v>
      </c>
      <c r="J18">
        <v>-12</v>
      </c>
      <c r="K18">
        <v>1958</v>
      </c>
      <c r="M18">
        <v>47</v>
      </c>
      <c r="N18" t="s">
        <v>24</v>
      </c>
      <c r="O18">
        <v>310</v>
      </c>
      <c r="P18" t="s">
        <v>15</v>
      </c>
    </row>
    <row r="19" spans="1:16">
      <c r="A19" t="s">
        <v>55</v>
      </c>
      <c r="C19" t="s">
        <v>19</v>
      </c>
      <c r="D19" t="s">
        <v>20</v>
      </c>
      <c r="E19" t="s">
        <v>47</v>
      </c>
      <c r="F19" t="s">
        <v>47</v>
      </c>
      <c r="G19" t="s">
        <v>56</v>
      </c>
      <c r="H19" t="s">
        <v>23</v>
      </c>
      <c r="I19">
        <v>50.7</v>
      </c>
      <c r="J19">
        <v>-0.8</v>
      </c>
      <c r="K19">
        <v>1964</v>
      </c>
      <c r="M19">
        <v>38</v>
      </c>
      <c r="N19" t="s">
        <v>24</v>
      </c>
      <c r="O19">
        <v>32.4</v>
      </c>
      <c r="P19" t="s">
        <v>15</v>
      </c>
    </row>
    <row r="20" spans="1:16">
      <c r="A20" t="s">
        <v>55</v>
      </c>
      <c r="C20" t="s">
        <v>19</v>
      </c>
      <c r="D20" t="s">
        <v>20</v>
      </c>
      <c r="E20" t="s">
        <v>47</v>
      </c>
      <c r="F20" t="s">
        <v>47</v>
      </c>
      <c r="G20" t="s">
        <v>56</v>
      </c>
      <c r="H20" t="s">
        <v>23</v>
      </c>
      <c r="I20">
        <v>49.9</v>
      </c>
      <c r="J20">
        <v>0.7</v>
      </c>
      <c r="K20">
        <v>1964</v>
      </c>
      <c r="M20">
        <v>38</v>
      </c>
      <c r="N20" t="s">
        <v>24</v>
      </c>
      <c r="O20">
        <v>50</v>
      </c>
      <c r="P20" t="s">
        <v>15</v>
      </c>
    </row>
    <row r="21" spans="1:16">
      <c r="A21" t="s">
        <v>55</v>
      </c>
      <c r="C21" t="s">
        <v>19</v>
      </c>
      <c r="D21" t="s">
        <v>20</v>
      </c>
      <c r="E21" t="s">
        <v>47</v>
      </c>
      <c r="F21" t="s">
        <v>47</v>
      </c>
      <c r="G21" t="s">
        <v>57</v>
      </c>
      <c r="H21" t="s">
        <v>23</v>
      </c>
      <c r="I21">
        <v>50.7</v>
      </c>
      <c r="J21">
        <v>-0.8</v>
      </c>
      <c r="K21">
        <v>1955</v>
      </c>
      <c r="M21">
        <v>50</v>
      </c>
      <c r="N21" t="s">
        <v>24</v>
      </c>
      <c r="O21">
        <v>4.4400000000000004</v>
      </c>
      <c r="P21" t="s">
        <v>15</v>
      </c>
    </row>
    <row r="22" spans="1:16">
      <c r="A22" t="s">
        <v>55</v>
      </c>
      <c r="C22" t="s">
        <v>19</v>
      </c>
      <c r="D22" t="s">
        <v>20</v>
      </c>
      <c r="E22" t="s">
        <v>47</v>
      </c>
      <c r="F22" t="s">
        <v>47</v>
      </c>
      <c r="G22" t="s">
        <v>57</v>
      </c>
      <c r="H22" t="s">
        <v>23</v>
      </c>
      <c r="I22">
        <v>49.9</v>
      </c>
      <c r="J22">
        <v>0.7</v>
      </c>
      <c r="K22">
        <v>1955</v>
      </c>
      <c r="M22">
        <v>47</v>
      </c>
      <c r="N22" t="s">
        <v>24</v>
      </c>
      <c r="O22">
        <v>21.74</v>
      </c>
      <c r="P22" t="s">
        <v>15</v>
      </c>
    </row>
    <row r="23" spans="1:16">
      <c r="A23" t="s">
        <v>58</v>
      </c>
      <c r="C23" t="s">
        <v>19</v>
      </c>
      <c r="D23" t="s">
        <v>59</v>
      </c>
      <c r="E23" t="s">
        <v>60</v>
      </c>
      <c r="F23" t="s">
        <v>60</v>
      </c>
      <c r="G23" t="s">
        <v>61</v>
      </c>
      <c r="H23" t="s">
        <v>38</v>
      </c>
      <c r="I23">
        <v>33</v>
      </c>
      <c r="J23">
        <v>-121</v>
      </c>
      <c r="K23">
        <v>1951</v>
      </c>
      <c r="M23">
        <v>52</v>
      </c>
      <c r="N23" t="s">
        <v>24</v>
      </c>
      <c r="O23">
        <v>3.24</v>
      </c>
      <c r="P23" t="s">
        <v>15</v>
      </c>
    </row>
    <row r="24" spans="1:16">
      <c r="A24" t="s">
        <v>58</v>
      </c>
      <c r="C24" t="s">
        <v>19</v>
      </c>
      <c r="D24" t="s">
        <v>59</v>
      </c>
      <c r="E24" t="s">
        <v>60</v>
      </c>
      <c r="F24" t="s">
        <v>60</v>
      </c>
      <c r="G24" t="s">
        <v>62</v>
      </c>
      <c r="H24" t="s">
        <v>38</v>
      </c>
      <c r="I24">
        <v>33</v>
      </c>
      <c r="J24">
        <v>-121</v>
      </c>
      <c r="K24">
        <v>1951</v>
      </c>
      <c r="M24">
        <v>52</v>
      </c>
      <c r="N24" t="s">
        <v>24</v>
      </c>
      <c r="O24">
        <v>2.31</v>
      </c>
      <c r="P24" t="s">
        <v>15</v>
      </c>
    </row>
    <row r="25" spans="1:16">
      <c r="A25" t="s">
        <v>58</v>
      </c>
      <c r="C25" t="s">
        <v>19</v>
      </c>
      <c r="D25" t="s">
        <v>59</v>
      </c>
      <c r="E25" t="s">
        <v>60</v>
      </c>
      <c r="F25" t="s">
        <v>60</v>
      </c>
      <c r="G25" t="s">
        <v>63</v>
      </c>
      <c r="H25" t="s">
        <v>38</v>
      </c>
      <c r="I25">
        <v>33</v>
      </c>
      <c r="J25">
        <v>-121</v>
      </c>
      <c r="K25">
        <v>1951</v>
      </c>
      <c r="M25">
        <v>52</v>
      </c>
      <c r="N25" t="s">
        <v>24</v>
      </c>
      <c r="O25">
        <v>3.23</v>
      </c>
      <c r="P25" t="s">
        <v>15</v>
      </c>
    </row>
    <row r="26" spans="1:16">
      <c r="A26" t="s">
        <v>58</v>
      </c>
      <c r="C26" t="s">
        <v>19</v>
      </c>
      <c r="D26" t="s">
        <v>59</v>
      </c>
      <c r="E26" t="s">
        <v>60</v>
      </c>
      <c r="F26" t="s">
        <v>60</v>
      </c>
      <c r="G26" t="s">
        <v>64</v>
      </c>
      <c r="H26" t="s">
        <v>38</v>
      </c>
      <c r="I26">
        <v>33</v>
      </c>
      <c r="J26">
        <v>-121</v>
      </c>
      <c r="K26">
        <v>1951</v>
      </c>
      <c r="M26">
        <v>52</v>
      </c>
      <c r="N26" t="s">
        <v>24</v>
      </c>
      <c r="O26">
        <v>3.24</v>
      </c>
      <c r="P26" t="s">
        <v>15</v>
      </c>
    </row>
    <row r="27" spans="1:16">
      <c r="A27" t="s">
        <v>58</v>
      </c>
      <c r="C27" t="s">
        <v>19</v>
      </c>
      <c r="D27" t="s">
        <v>59</v>
      </c>
      <c r="E27" t="s">
        <v>60</v>
      </c>
      <c r="F27" t="s">
        <v>60</v>
      </c>
      <c r="G27" t="s">
        <v>65</v>
      </c>
      <c r="H27" t="s">
        <v>38</v>
      </c>
      <c r="I27">
        <v>33</v>
      </c>
      <c r="J27">
        <v>-121</v>
      </c>
      <c r="K27">
        <v>1951</v>
      </c>
      <c r="M27">
        <v>52</v>
      </c>
      <c r="N27" t="s">
        <v>24</v>
      </c>
      <c r="O27">
        <v>2.31</v>
      </c>
      <c r="P27" t="s">
        <v>15</v>
      </c>
    </row>
    <row r="28" spans="1:16">
      <c r="A28" t="s">
        <v>58</v>
      </c>
      <c r="C28" t="s">
        <v>19</v>
      </c>
      <c r="D28" t="s">
        <v>59</v>
      </c>
      <c r="E28" t="s">
        <v>60</v>
      </c>
      <c r="F28" t="s">
        <v>60</v>
      </c>
      <c r="G28" t="s">
        <v>66</v>
      </c>
      <c r="H28" t="s">
        <v>38</v>
      </c>
      <c r="I28">
        <v>33</v>
      </c>
      <c r="J28">
        <v>-121</v>
      </c>
      <c r="K28">
        <v>1951</v>
      </c>
      <c r="M28">
        <v>52</v>
      </c>
      <c r="N28" t="s">
        <v>24</v>
      </c>
      <c r="O28">
        <v>3.24</v>
      </c>
      <c r="P28" t="s">
        <v>15</v>
      </c>
    </row>
    <row r="29" spans="1:16">
      <c r="A29" t="s">
        <v>58</v>
      </c>
      <c r="C29" t="s">
        <v>19</v>
      </c>
      <c r="D29" t="s">
        <v>59</v>
      </c>
      <c r="E29" t="s">
        <v>60</v>
      </c>
      <c r="F29" t="s">
        <v>60</v>
      </c>
      <c r="G29" t="s">
        <v>67</v>
      </c>
      <c r="H29" t="s">
        <v>38</v>
      </c>
      <c r="I29">
        <v>33</v>
      </c>
      <c r="J29">
        <v>-121</v>
      </c>
      <c r="K29">
        <v>1951</v>
      </c>
      <c r="M29">
        <v>52</v>
      </c>
      <c r="N29" t="s">
        <v>24</v>
      </c>
      <c r="O29">
        <v>5.09</v>
      </c>
      <c r="P29" t="s">
        <v>15</v>
      </c>
    </row>
    <row r="30" spans="1:16">
      <c r="A30" t="s">
        <v>58</v>
      </c>
      <c r="C30" t="s">
        <v>19</v>
      </c>
      <c r="D30" t="s">
        <v>59</v>
      </c>
      <c r="E30" t="s">
        <v>60</v>
      </c>
      <c r="F30" t="s">
        <v>60</v>
      </c>
      <c r="G30" t="s">
        <v>68</v>
      </c>
      <c r="H30" t="s">
        <v>38</v>
      </c>
      <c r="I30">
        <v>33</v>
      </c>
      <c r="J30">
        <v>-121</v>
      </c>
      <c r="K30">
        <v>1951</v>
      </c>
      <c r="M30">
        <v>52</v>
      </c>
      <c r="N30" t="s">
        <v>24</v>
      </c>
      <c r="O30">
        <v>3.7</v>
      </c>
      <c r="P30" t="s">
        <v>15</v>
      </c>
    </row>
    <row r="31" spans="1:16">
      <c r="A31" t="s">
        <v>58</v>
      </c>
      <c r="C31" t="s">
        <v>19</v>
      </c>
      <c r="D31" t="s">
        <v>59</v>
      </c>
      <c r="E31" t="s">
        <v>60</v>
      </c>
      <c r="F31" t="s">
        <v>60</v>
      </c>
      <c r="G31" t="s">
        <v>69</v>
      </c>
      <c r="H31" t="s">
        <v>38</v>
      </c>
      <c r="I31">
        <v>33</v>
      </c>
      <c r="J31">
        <v>-121</v>
      </c>
      <c r="K31">
        <v>1951</v>
      </c>
      <c r="M31">
        <v>52</v>
      </c>
      <c r="N31" t="s">
        <v>24</v>
      </c>
      <c r="O31">
        <v>6.01</v>
      </c>
      <c r="P31" t="s">
        <v>15</v>
      </c>
    </row>
    <row r="32" spans="1:16">
      <c r="A32" t="s">
        <v>58</v>
      </c>
      <c r="C32" t="s">
        <v>19</v>
      </c>
      <c r="D32" t="s">
        <v>59</v>
      </c>
      <c r="E32" t="s">
        <v>60</v>
      </c>
      <c r="F32" t="s">
        <v>60</v>
      </c>
      <c r="G32" t="s">
        <v>70</v>
      </c>
      <c r="H32" t="s">
        <v>38</v>
      </c>
      <c r="I32">
        <v>33</v>
      </c>
      <c r="J32">
        <v>-121</v>
      </c>
      <c r="K32">
        <v>1951</v>
      </c>
      <c r="M32">
        <v>52</v>
      </c>
      <c r="N32" t="s">
        <v>24</v>
      </c>
      <c r="O32">
        <v>7.4</v>
      </c>
      <c r="P32" t="s">
        <v>15</v>
      </c>
    </row>
    <row r="33" spans="1:16">
      <c r="A33" t="s">
        <v>58</v>
      </c>
      <c r="C33" t="s">
        <v>19</v>
      </c>
      <c r="D33" t="s">
        <v>59</v>
      </c>
      <c r="E33" t="s">
        <v>60</v>
      </c>
      <c r="F33" t="s">
        <v>60</v>
      </c>
      <c r="G33" t="s">
        <v>71</v>
      </c>
      <c r="H33" t="s">
        <v>38</v>
      </c>
      <c r="I33">
        <v>33</v>
      </c>
      <c r="J33">
        <v>-121</v>
      </c>
      <c r="K33">
        <v>1951</v>
      </c>
      <c r="M33">
        <v>52</v>
      </c>
      <c r="N33" t="s">
        <v>24</v>
      </c>
      <c r="O33">
        <v>7.4</v>
      </c>
      <c r="P33" t="s">
        <v>15</v>
      </c>
    </row>
    <row r="34" spans="1:16">
      <c r="A34" t="s">
        <v>58</v>
      </c>
      <c r="C34" t="s">
        <v>19</v>
      </c>
      <c r="D34" t="s">
        <v>59</v>
      </c>
      <c r="E34" t="s">
        <v>60</v>
      </c>
      <c r="F34" t="s">
        <v>60</v>
      </c>
      <c r="G34" t="s">
        <v>72</v>
      </c>
      <c r="H34" t="s">
        <v>38</v>
      </c>
      <c r="I34">
        <v>33</v>
      </c>
      <c r="J34">
        <v>-121</v>
      </c>
      <c r="K34">
        <v>1951</v>
      </c>
      <c r="M34">
        <v>52</v>
      </c>
      <c r="N34" t="s">
        <v>24</v>
      </c>
      <c r="O34">
        <v>7.4</v>
      </c>
      <c r="P34" t="s">
        <v>15</v>
      </c>
    </row>
    <row r="35" spans="1:16">
      <c r="A35" t="s">
        <v>58</v>
      </c>
      <c r="C35" t="s">
        <v>19</v>
      </c>
      <c r="D35" t="s">
        <v>59</v>
      </c>
      <c r="E35" t="s">
        <v>60</v>
      </c>
      <c r="F35" t="s">
        <v>60</v>
      </c>
      <c r="G35" t="s">
        <v>73</v>
      </c>
      <c r="H35" t="s">
        <v>38</v>
      </c>
      <c r="I35">
        <v>33</v>
      </c>
      <c r="J35">
        <v>-121</v>
      </c>
      <c r="K35">
        <v>1951</v>
      </c>
      <c r="M35">
        <v>52</v>
      </c>
      <c r="N35" t="s">
        <v>24</v>
      </c>
      <c r="O35">
        <v>7.4</v>
      </c>
      <c r="P35" t="s">
        <v>15</v>
      </c>
    </row>
    <row r="36" spans="1:16">
      <c r="A36" t="s">
        <v>58</v>
      </c>
      <c r="C36" t="s">
        <v>19</v>
      </c>
      <c r="D36" t="s">
        <v>59</v>
      </c>
      <c r="E36" t="s">
        <v>60</v>
      </c>
      <c r="F36" t="s">
        <v>60</v>
      </c>
      <c r="G36" t="s">
        <v>74</v>
      </c>
      <c r="H36" t="s">
        <v>38</v>
      </c>
      <c r="I36">
        <v>33</v>
      </c>
      <c r="J36">
        <v>-121</v>
      </c>
      <c r="K36">
        <v>1951</v>
      </c>
      <c r="M36">
        <v>52</v>
      </c>
      <c r="N36" t="s">
        <v>24</v>
      </c>
      <c r="O36">
        <v>7.4</v>
      </c>
      <c r="P36" t="s">
        <v>15</v>
      </c>
    </row>
    <row r="37" spans="1:16">
      <c r="A37" t="s">
        <v>58</v>
      </c>
      <c r="C37" t="s">
        <v>19</v>
      </c>
      <c r="D37" t="s">
        <v>59</v>
      </c>
      <c r="E37" t="s">
        <v>60</v>
      </c>
      <c r="F37" t="s">
        <v>60</v>
      </c>
      <c r="G37" t="s">
        <v>75</v>
      </c>
      <c r="H37" t="s">
        <v>38</v>
      </c>
      <c r="I37">
        <v>33</v>
      </c>
      <c r="J37">
        <v>-121</v>
      </c>
      <c r="K37">
        <v>1951</v>
      </c>
      <c r="M37">
        <v>52</v>
      </c>
      <c r="N37" t="s">
        <v>24</v>
      </c>
      <c r="O37">
        <v>7.86</v>
      </c>
      <c r="P37" t="s">
        <v>15</v>
      </c>
    </row>
    <row r="38" spans="1:16">
      <c r="A38" t="s">
        <v>58</v>
      </c>
      <c r="C38" t="s">
        <v>19</v>
      </c>
      <c r="D38" t="s">
        <v>59</v>
      </c>
      <c r="E38" t="s">
        <v>60</v>
      </c>
      <c r="F38" t="s">
        <v>60</v>
      </c>
      <c r="G38" t="s">
        <v>76</v>
      </c>
      <c r="H38" t="s">
        <v>38</v>
      </c>
      <c r="I38">
        <v>33</v>
      </c>
      <c r="J38">
        <v>-121</v>
      </c>
      <c r="K38">
        <v>1951</v>
      </c>
      <c r="M38">
        <v>52</v>
      </c>
      <c r="N38" t="s">
        <v>24</v>
      </c>
      <c r="O38">
        <v>8.7899999999999991</v>
      </c>
      <c r="P38" t="s">
        <v>15</v>
      </c>
    </row>
    <row r="39" spans="1:16">
      <c r="A39" t="s">
        <v>58</v>
      </c>
      <c r="C39" t="s">
        <v>19</v>
      </c>
      <c r="D39" t="s">
        <v>59</v>
      </c>
      <c r="E39" t="s">
        <v>60</v>
      </c>
      <c r="F39" t="s">
        <v>60</v>
      </c>
      <c r="G39" t="s">
        <v>77</v>
      </c>
      <c r="H39" t="s">
        <v>38</v>
      </c>
      <c r="I39">
        <v>33</v>
      </c>
      <c r="J39">
        <v>-121</v>
      </c>
      <c r="K39">
        <v>1951</v>
      </c>
      <c r="M39">
        <v>52</v>
      </c>
      <c r="N39" t="s">
        <v>24</v>
      </c>
      <c r="O39">
        <v>7.4</v>
      </c>
      <c r="P39" t="s">
        <v>15</v>
      </c>
    </row>
    <row r="40" spans="1:16">
      <c r="A40" t="s">
        <v>58</v>
      </c>
      <c r="C40" t="s">
        <v>19</v>
      </c>
      <c r="D40" t="s">
        <v>59</v>
      </c>
      <c r="E40" t="s">
        <v>60</v>
      </c>
      <c r="F40" t="s">
        <v>60</v>
      </c>
      <c r="G40" t="s">
        <v>78</v>
      </c>
      <c r="H40" t="s">
        <v>38</v>
      </c>
      <c r="I40">
        <v>33</v>
      </c>
      <c r="J40">
        <v>-121</v>
      </c>
      <c r="K40">
        <v>1951</v>
      </c>
      <c r="M40">
        <v>52</v>
      </c>
      <c r="N40" t="s">
        <v>24</v>
      </c>
      <c r="O40">
        <v>10.18</v>
      </c>
      <c r="P40" t="s">
        <v>15</v>
      </c>
    </row>
    <row r="41" spans="1:16">
      <c r="A41" t="s">
        <v>58</v>
      </c>
      <c r="C41" t="s">
        <v>19</v>
      </c>
      <c r="D41" t="s">
        <v>59</v>
      </c>
      <c r="E41" t="s">
        <v>60</v>
      </c>
      <c r="F41" t="s">
        <v>60</v>
      </c>
      <c r="G41" t="s">
        <v>79</v>
      </c>
      <c r="H41" t="s">
        <v>38</v>
      </c>
      <c r="I41">
        <v>33</v>
      </c>
      <c r="J41">
        <v>-121</v>
      </c>
      <c r="K41">
        <v>1951</v>
      </c>
      <c r="M41">
        <v>52</v>
      </c>
      <c r="N41" t="s">
        <v>24</v>
      </c>
      <c r="O41">
        <v>9.25</v>
      </c>
      <c r="P41" t="s">
        <v>15</v>
      </c>
    </row>
    <row r="42" spans="1:16">
      <c r="A42" t="s">
        <v>58</v>
      </c>
      <c r="C42" t="s">
        <v>19</v>
      </c>
      <c r="D42" t="s">
        <v>59</v>
      </c>
      <c r="E42" t="s">
        <v>60</v>
      </c>
      <c r="F42" t="s">
        <v>60</v>
      </c>
      <c r="G42" t="s">
        <v>80</v>
      </c>
      <c r="H42" t="s">
        <v>38</v>
      </c>
      <c r="I42">
        <v>33</v>
      </c>
      <c r="J42">
        <v>-121</v>
      </c>
      <c r="K42">
        <v>1951</v>
      </c>
      <c r="M42">
        <v>52</v>
      </c>
      <c r="N42" t="s">
        <v>24</v>
      </c>
      <c r="O42">
        <v>10.64</v>
      </c>
      <c r="P42" t="s">
        <v>15</v>
      </c>
    </row>
    <row r="43" spans="1:16">
      <c r="A43" t="s">
        <v>58</v>
      </c>
      <c r="C43" t="s">
        <v>19</v>
      </c>
      <c r="D43" t="s">
        <v>59</v>
      </c>
      <c r="E43" t="s">
        <v>60</v>
      </c>
      <c r="F43" t="s">
        <v>60</v>
      </c>
      <c r="G43" t="s">
        <v>81</v>
      </c>
      <c r="H43" t="s">
        <v>38</v>
      </c>
      <c r="I43">
        <v>33</v>
      </c>
      <c r="J43">
        <v>-121</v>
      </c>
      <c r="K43">
        <v>1951</v>
      </c>
      <c r="M43">
        <v>52</v>
      </c>
      <c r="N43" t="s">
        <v>24</v>
      </c>
      <c r="O43">
        <v>13.41</v>
      </c>
      <c r="P43" t="s">
        <v>15</v>
      </c>
    </row>
    <row r="44" spans="1:16">
      <c r="A44" t="s">
        <v>58</v>
      </c>
      <c r="C44" t="s">
        <v>19</v>
      </c>
      <c r="D44" t="s">
        <v>59</v>
      </c>
      <c r="E44" t="s">
        <v>60</v>
      </c>
      <c r="F44" t="s">
        <v>60</v>
      </c>
      <c r="G44" t="s">
        <v>82</v>
      </c>
      <c r="H44" t="s">
        <v>38</v>
      </c>
      <c r="I44">
        <v>33</v>
      </c>
      <c r="J44">
        <v>-121</v>
      </c>
      <c r="K44">
        <v>1951</v>
      </c>
      <c r="M44">
        <v>52</v>
      </c>
      <c r="N44" t="s">
        <v>24</v>
      </c>
      <c r="O44">
        <v>17.579999999999998</v>
      </c>
      <c r="P44" t="s">
        <v>15</v>
      </c>
    </row>
    <row r="45" spans="1:16">
      <c r="A45" t="s">
        <v>58</v>
      </c>
      <c r="C45" t="s">
        <v>19</v>
      </c>
      <c r="D45" t="s">
        <v>59</v>
      </c>
      <c r="E45" t="s">
        <v>60</v>
      </c>
      <c r="F45" t="s">
        <v>60</v>
      </c>
      <c r="G45" t="s">
        <v>83</v>
      </c>
      <c r="H45" t="s">
        <v>38</v>
      </c>
      <c r="I45">
        <v>33</v>
      </c>
      <c r="J45">
        <v>-121</v>
      </c>
      <c r="K45">
        <v>1951</v>
      </c>
      <c r="M45">
        <v>52</v>
      </c>
      <c r="N45" t="s">
        <v>84</v>
      </c>
      <c r="O45">
        <v>0</v>
      </c>
      <c r="P45" t="s">
        <v>85</v>
      </c>
    </row>
    <row r="46" spans="1:16">
      <c r="A46" t="s">
        <v>58</v>
      </c>
      <c r="C46" t="s">
        <v>19</v>
      </c>
      <c r="D46" t="s">
        <v>59</v>
      </c>
      <c r="E46" t="s">
        <v>60</v>
      </c>
      <c r="F46" t="s">
        <v>60</v>
      </c>
      <c r="G46" t="s">
        <v>86</v>
      </c>
      <c r="H46" t="s">
        <v>38</v>
      </c>
      <c r="I46">
        <v>33</v>
      </c>
      <c r="J46">
        <v>-121</v>
      </c>
      <c r="K46">
        <v>1951</v>
      </c>
      <c r="M46">
        <v>52</v>
      </c>
      <c r="N46" t="s">
        <v>84</v>
      </c>
      <c r="O46">
        <v>0</v>
      </c>
      <c r="P46" t="s">
        <v>85</v>
      </c>
    </row>
    <row r="47" spans="1:16">
      <c r="A47" t="s">
        <v>58</v>
      </c>
      <c r="C47" t="s">
        <v>19</v>
      </c>
      <c r="D47" t="s">
        <v>59</v>
      </c>
      <c r="E47" t="s">
        <v>60</v>
      </c>
      <c r="F47" t="s">
        <v>60</v>
      </c>
      <c r="G47" t="s">
        <v>87</v>
      </c>
      <c r="H47" t="s">
        <v>38</v>
      </c>
      <c r="I47">
        <v>33</v>
      </c>
      <c r="J47">
        <v>-121</v>
      </c>
      <c r="K47">
        <v>1951</v>
      </c>
      <c r="M47">
        <v>52</v>
      </c>
      <c r="N47" t="s">
        <v>30</v>
      </c>
      <c r="O47">
        <v>-17.11</v>
      </c>
      <c r="P47" t="s">
        <v>88</v>
      </c>
    </row>
    <row r="48" spans="1:16">
      <c r="A48" t="s">
        <v>58</v>
      </c>
      <c r="C48" t="s">
        <v>19</v>
      </c>
      <c r="D48" t="s">
        <v>59</v>
      </c>
      <c r="E48" t="s">
        <v>60</v>
      </c>
      <c r="F48" t="s">
        <v>60</v>
      </c>
      <c r="G48" t="s">
        <v>89</v>
      </c>
      <c r="H48" t="s">
        <v>38</v>
      </c>
      <c r="I48">
        <v>33</v>
      </c>
      <c r="J48">
        <v>-121</v>
      </c>
      <c r="K48">
        <v>1951</v>
      </c>
      <c r="M48">
        <v>52</v>
      </c>
      <c r="N48" t="s">
        <v>30</v>
      </c>
      <c r="O48">
        <v>-3.24</v>
      </c>
      <c r="P48" t="s">
        <v>88</v>
      </c>
    </row>
    <row r="49" spans="1:16">
      <c r="A49" t="s">
        <v>58</v>
      </c>
      <c r="C49" t="s">
        <v>19</v>
      </c>
      <c r="D49" t="s">
        <v>59</v>
      </c>
      <c r="E49" t="s">
        <v>60</v>
      </c>
      <c r="F49" t="s">
        <v>60</v>
      </c>
      <c r="G49" t="s">
        <v>90</v>
      </c>
      <c r="H49" t="s">
        <v>38</v>
      </c>
      <c r="I49">
        <v>33</v>
      </c>
      <c r="J49">
        <v>-121</v>
      </c>
      <c r="K49">
        <v>1951</v>
      </c>
      <c r="M49">
        <v>52</v>
      </c>
      <c r="N49" t="s">
        <v>30</v>
      </c>
      <c r="O49">
        <v>-2.31</v>
      </c>
      <c r="P49" t="s">
        <v>88</v>
      </c>
    </row>
    <row r="50" spans="1:16">
      <c r="A50" t="s">
        <v>58</v>
      </c>
      <c r="C50" t="s">
        <v>19</v>
      </c>
      <c r="D50" t="s">
        <v>59</v>
      </c>
      <c r="E50" t="s">
        <v>60</v>
      </c>
      <c r="F50" t="s">
        <v>60</v>
      </c>
      <c r="G50" t="s">
        <v>91</v>
      </c>
      <c r="H50" t="s">
        <v>38</v>
      </c>
      <c r="I50">
        <v>33</v>
      </c>
      <c r="J50">
        <v>-121</v>
      </c>
      <c r="K50">
        <v>1951</v>
      </c>
      <c r="M50">
        <v>52</v>
      </c>
      <c r="N50" t="s">
        <v>30</v>
      </c>
      <c r="O50">
        <v>-3.24</v>
      </c>
      <c r="P50" t="s">
        <v>88</v>
      </c>
    </row>
    <row r="51" spans="1:16">
      <c r="A51" t="s">
        <v>58</v>
      </c>
      <c r="C51" t="s">
        <v>19</v>
      </c>
      <c r="D51" t="s">
        <v>59</v>
      </c>
      <c r="E51" t="s">
        <v>60</v>
      </c>
      <c r="F51" t="s">
        <v>60</v>
      </c>
      <c r="G51" t="s">
        <v>92</v>
      </c>
      <c r="H51" t="s">
        <v>38</v>
      </c>
      <c r="I51">
        <v>33</v>
      </c>
      <c r="J51">
        <v>-121</v>
      </c>
      <c r="K51">
        <v>1951</v>
      </c>
      <c r="M51">
        <v>52</v>
      </c>
      <c r="N51" t="s">
        <v>30</v>
      </c>
      <c r="O51">
        <v>-1.39</v>
      </c>
      <c r="P51" t="s">
        <v>88</v>
      </c>
    </row>
    <row r="52" spans="1:16">
      <c r="A52" t="s">
        <v>93</v>
      </c>
      <c r="C52" t="s">
        <v>19</v>
      </c>
      <c r="D52" t="s">
        <v>59</v>
      </c>
      <c r="E52" t="s">
        <v>36</v>
      </c>
      <c r="F52" t="s">
        <v>36</v>
      </c>
      <c r="G52" t="s">
        <v>94</v>
      </c>
      <c r="H52" t="s">
        <v>23</v>
      </c>
      <c r="I52">
        <v>39.25</v>
      </c>
      <c r="J52">
        <v>-124.07</v>
      </c>
      <c r="K52">
        <v>1963</v>
      </c>
      <c r="M52">
        <v>45</v>
      </c>
      <c r="N52" t="s">
        <v>30</v>
      </c>
      <c r="O52">
        <v>-56.2</v>
      </c>
      <c r="P52" t="s">
        <v>15</v>
      </c>
    </row>
    <row r="53" spans="1:16">
      <c r="A53" t="s">
        <v>93</v>
      </c>
      <c r="C53" t="s">
        <v>19</v>
      </c>
      <c r="D53" t="s">
        <v>59</v>
      </c>
      <c r="E53" t="s">
        <v>36</v>
      </c>
      <c r="F53" t="s">
        <v>36</v>
      </c>
      <c r="G53" t="s">
        <v>94</v>
      </c>
      <c r="H53" t="s">
        <v>29</v>
      </c>
      <c r="I53">
        <v>26.05</v>
      </c>
      <c r="J53">
        <v>-112.38</v>
      </c>
      <c r="K53">
        <v>1963</v>
      </c>
      <c r="M53">
        <v>45</v>
      </c>
      <c r="N53" t="s">
        <v>84</v>
      </c>
      <c r="O53">
        <v>0</v>
      </c>
      <c r="P53" t="s">
        <v>85</v>
      </c>
    </row>
    <row r="54" spans="1:16">
      <c r="A54" t="s">
        <v>95</v>
      </c>
      <c r="C54" t="s">
        <v>19</v>
      </c>
      <c r="D54" t="s">
        <v>20</v>
      </c>
      <c r="E54" t="s">
        <v>96</v>
      </c>
      <c r="F54" t="s">
        <v>96</v>
      </c>
      <c r="G54" t="s">
        <v>97</v>
      </c>
      <c r="H54" t="s">
        <v>23</v>
      </c>
      <c r="I54">
        <v>37.950000000000003</v>
      </c>
      <c r="J54">
        <v>-8.8800000000000008</v>
      </c>
      <c r="K54">
        <v>1960</v>
      </c>
      <c r="M54">
        <v>47</v>
      </c>
      <c r="N54" t="s">
        <v>30</v>
      </c>
      <c r="O54">
        <v>-38.299999999999997</v>
      </c>
      <c r="P54" t="s">
        <v>15</v>
      </c>
    </row>
    <row r="55" spans="1:16">
      <c r="A55" t="s">
        <v>95</v>
      </c>
      <c r="C55" t="s">
        <v>19</v>
      </c>
      <c r="D55" t="s">
        <v>20</v>
      </c>
      <c r="E55" t="s">
        <v>96</v>
      </c>
      <c r="F55" t="s">
        <v>96</v>
      </c>
      <c r="G55" t="s">
        <v>98</v>
      </c>
      <c r="H55" t="s">
        <v>23</v>
      </c>
      <c r="I55">
        <v>38.47</v>
      </c>
      <c r="J55">
        <v>-8.9700000000000006</v>
      </c>
      <c r="K55">
        <v>1960</v>
      </c>
      <c r="M55">
        <v>47</v>
      </c>
      <c r="N55" t="s">
        <v>30</v>
      </c>
      <c r="O55">
        <v>-14.89</v>
      </c>
      <c r="P55" t="s">
        <v>15</v>
      </c>
    </row>
    <row r="56" spans="1:16">
      <c r="A56" t="s">
        <v>95</v>
      </c>
      <c r="C56" t="s">
        <v>19</v>
      </c>
      <c r="D56" t="s">
        <v>20</v>
      </c>
      <c r="E56" t="s">
        <v>96</v>
      </c>
      <c r="F56" t="s">
        <v>96</v>
      </c>
      <c r="G56" t="s">
        <v>99</v>
      </c>
      <c r="H56" t="s">
        <v>23</v>
      </c>
      <c r="I56">
        <v>41.14</v>
      </c>
      <c r="J56">
        <v>-8.68</v>
      </c>
      <c r="K56">
        <v>1960</v>
      </c>
      <c r="M56">
        <v>47</v>
      </c>
      <c r="N56" t="s">
        <v>30</v>
      </c>
      <c r="O56">
        <v>-13.19</v>
      </c>
      <c r="P56" t="s">
        <v>15</v>
      </c>
    </row>
    <row r="57" spans="1:16">
      <c r="A57" t="s">
        <v>95</v>
      </c>
      <c r="C57" t="s">
        <v>19</v>
      </c>
      <c r="D57" t="s">
        <v>20</v>
      </c>
      <c r="E57" t="s">
        <v>96</v>
      </c>
      <c r="F57" t="s">
        <v>96</v>
      </c>
      <c r="G57" t="s">
        <v>100</v>
      </c>
      <c r="H57" t="s">
        <v>23</v>
      </c>
      <c r="I57">
        <v>39.51</v>
      </c>
      <c r="J57">
        <v>-9.14</v>
      </c>
      <c r="K57">
        <v>1960</v>
      </c>
      <c r="M57">
        <v>47</v>
      </c>
      <c r="N57" t="s">
        <v>30</v>
      </c>
      <c r="O57">
        <v>-46.6</v>
      </c>
      <c r="P57" t="s">
        <v>15</v>
      </c>
    </row>
    <row r="58" spans="1:16">
      <c r="A58" t="s">
        <v>95</v>
      </c>
      <c r="C58" t="s">
        <v>19</v>
      </c>
      <c r="D58" t="s">
        <v>20</v>
      </c>
      <c r="E58" t="s">
        <v>96</v>
      </c>
      <c r="F58" t="s">
        <v>96</v>
      </c>
      <c r="G58" t="s">
        <v>101</v>
      </c>
      <c r="H58" t="s">
        <v>23</v>
      </c>
      <c r="I58">
        <v>38.659999999999997</v>
      </c>
      <c r="J58">
        <v>-9.2899999999999991</v>
      </c>
      <c r="K58">
        <v>1960</v>
      </c>
      <c r="M58">
        <v>47</v>
      </c>
      <c r="N58" t="s">
        <v>30</v>
      </c>
      <c r="O58">
        <v>-76.17</v>
      </c>
      <c r="P58" t="s">
        <v>15</v>
      </c>
    </row>
    <row r="59" spans="1:16">
      <c r="A59" t="s">
        <v>95</v>
      </c>
      <c r="C59" t="s">
        <v>19</v>
      </c>
      <c r="D59" t="s">
        <v>20</v>
      </c>
      <c r="E59" t="s">
        <v>96</v>
      </c>
      <c r="F59" t="s">
        <v>96</v>
      </c>
      <c r="G59" t="s">
        <v>102</v>
      </c>
      <c r="H59" t="s">
        <v>29</v>
      </c>
      <c r="I59">
        <v>39.409999999999997</v>
      </c>
      <c r="J59">
        <v>-9.57</v>
      </c>
      <c r="K59">
        <v>1960</v>
      </c>
      <c r="M59">
        <v>47</v>
      </c>
      <c r="N59" t="s">
        <v>30</v>
      </c>
      <c r="O59">
        <v>-52.13</v>
      </c>
      <c r="P59" t="s">
        <v>15</v>
      </c>
    </row>
    <row r="60" spans="1:16">
      <c r="A60" t="s">
        <v>95</v>
      </c>
      <c r="C60" t="s">
        <v>19</v>
      </c>
      <c r="D60" t="s">
        <v>20</v>
      </c>
      <c r="E60" t="s">
        <v>96</v>
      </c>
      <c r="F60" t="s">
        <v>96</v>
      </c>
      <c r="G60" t="s">
        <v>103</v>
      </c>
      <c r="H60" t="s">
        <v>29</v>
      </c>
      <c r="I60">
        <v>41.8</v>
      </c>
      <c r="J60">
        <v>-8.8699999999999992</v>
      </c>
      <c r="K60">
        <v>1960</v>
      </c>
      <c r="M60">
        <v>47</v>
      </c>
      <c r="N60" t="s">
        <v>24</v>
      </c>
      <c r="O60">
        <v>61.06</v>
      </c>
      <c r="P60" t="s">
        <v>15</v>
      </c>
    </row>
    <row r="61" spans="1:16">
      <c r="A61" t="s">
        <v>95</v>
      </c>
      <c r="C61" t="s">
        <v>19</v>
      </c>
      <c r="D61" t="s">
        <v>20</v>
      </c>
      <c r="E61" t="s">
        <v>96</v>
      </c>
      <c r="F61" t="s">
        <v>96</v>
      </c>
      <c r="G61" t="s">
        <v>104</v>
      </c>
      <c r="H61" t="s">
        <v>29</v>
      </c>
      <c r="I61">
        <v>39.51</v>
      </c>
      <c r="J61">
        <v>-9.14</v>
      </c>
      <c r="K61">
        <v>1960</v>
      </c>
      <c r="M61">
        <v>47</v>
      </c>
      <c r="N61" t="s">
        <v>24</v>
      </c>
      <c r="O61">
        <v>12.55</v>
      </c>
      <c r="P61" t="s">
        <v>15</v>
      </c>
    </row>
    <row r="62" spans="1:16">
      <c r="A62" t="s">
        <v>95</v>
      </c>
      <c r="C62" t="s">
        <v>19</v>
      </c>
      <c r="D62" t="s">
        <v>20</v>
      </c>
      <c r="E62" t="s">
        <v>96</v>
      </c>
      <c r="F62" t="s">
        <v>96</v>
      </c>
      <c r="G62" t="s">
        <v>105</v>
      </c>
      <c r="H62" t="s">
        <v>29</v>
      </c>
      <c r="I62">
        <v>41.37</v>
      </c>
      <c r="J62">
        <v>-8.7799999999999994</v>
      </c>
      <c r="K62">
        <v>1960</v>
      </c>
      <c r="M62">
        <v>47</v>
      </c>
      <c r="N62" t="s">
        <v>24</v>
      </c>
      <c r="O62">
        <v>101.06</v>
      </c>
      <c r="P62" t="s">
        <v>15</v>
      </c>
    </row>
    <row r="63" spans="1:16">
      <c r="A63" t="s">
        <v>95</v>
      </c>
      <c r="C63" t="s">
        <v>19</v>
      </c>
      <c r="D63" t="s">
        <v>20</v>
      </c>
      <c r="E63" t="s">
        <v>96</v>
      </c>
      <c r="F63" t="s">
        <v>96</v>
      </c>
      <c r="G63" t="s">
        <v>106</v>
      </c>
      <c r="H63" t="s">
        <v>29</v>
      </c>
      <c r="I63">
        <v>38.47</v>
      </c>
      <c r="J63">
        <v>-8.98</v>
      </c>
      <c r="K63">
        <v>1960</v>
      </c>
      <c r="M63">
        <v>47</v>
      </c>
      <c r="N63" t="s">
        <v>24</v>
      </c>
      <c r="O63">
        <v>57.23</v>
      </c>
      <c r="P63" t="s">
        <v>15</v>
      </c>
    </row>
    <row r="64" spans="1:16">
      <c r="A64" t="s">
        <v>95</v>
      </c>
      <c r="C64" t="s">
        <v>19</v>
      </c>
      <c r="D64" t="s">
        <v>20</v>
      </c>
      <c r="E64" t="s">
        <v>96</v>
      </c>
      <c r="F64" t="s">
        <v>96</v>
      </c>
      <c r="G64" t="s">
        <v>107</v>
      </c>
      <c r="H64" t="s">
        <v>29</v>
      </c>
      <c r="I64">
        <v>41.8</v>
      </c>
      <c r="J64">
        <v>-8.8699999999999992</v>
      </c>
      <c r="K64">
        <v>1960</v>
      </c>
      <c r="M64">
        <v>47</v>
      </c>
      <c r="N64" t="s">
        <v>24</v>
      </c>
      <c r="O64">
        <v>68.09</v>
      </c>
      <c r="P64" t="s">
        <v>15</v>
      </c>
    </row>
    <row r="65" spans="1:16">
      <c r="A65" t="s">
        <v>95</v>
      </c>
      <c r="C65" t="s">
        <v>19</v>
      </c>
      <c r="D65" t="s">
        <v>20</v>
      </c>
      <c r="E65" t="s">
        <v>96</v>
      </c>
      <c r="F65" t="s">
        <v>96</v>
      </c>
      <c r="G65" t="s">
        <v>108</v>
      </c>
      <c r="H65" t="s">
        <v>29</v>
      </c>
      <c r="I65">
        <v>39.369999999999997</v>
      </c>
      <c r="J65">
        <v>-9.34</v>
      </c>
      <c r="K65">
        <v>1960</v>
      </c>
      <c r="M65">
        <v>47</v>
      </c>
      <c r="N65" t="s">
        <v>24</v>
      </c>
      <c r="O65">
        <v>39.79</v>
      </c>
      <c r="P65" t="s">
        <v>15</v>
      </c>
    </row>
    <row r="66" spans="1:16">
      <c r="A66" t="s">
        <v>95</v>
      </c>
      <c r="C66" t="s">
        <v>19</v>
      </c>
      <c r="D66" t="s">
        <v>20</v>
      </c>
      <c r="E66" t="s">
        <v>96</v>
      </c>
      <c r="F66" t="s">
        <v>96</v>
      </c>
      <c r="G66" t="s">
        <v>109</v>
      </c>
      <c r="H66" t="s">
        <v>23</v>
      </c>
      <c r="I66">
        <v>37.950000000000003</v>
      </c>
      <c r="J66">
        <v>-8.8800000000000008</v>
      </c>
      <c r="K66">
        <v>1960</v>
      </c>
      <c r="M66">
        <v>47</v>
      </c>
      <c r="N66" t="s">
        <v>24</v>
      </c>
      <c r="O66">
        <v>126.17</v>
      </c>
      <c r="P66" t="s">
        <v>15</v>
      </c>
    </row>
    <row r="67" spans="1:16">
      <c r="A67" t="s">
        <v>95</v>
      </c>
      <c r="C67" t="s">
        <v>19</v>
      </c>
      <c r="D67" t="s">
        <v>20</v>
      </c>
      <c r="E67" t="s">
        <v>96</v>
      </c>
      <c r="F67" t="s">
        <v>96</v>
      </c>
      <c r="G67" t="s">
        <v>110</v>
      </c>
      <c r="H67" t="s">
        <v>23</v>
      </c>
      <c r="I67">
        <v>39.51</v>
      </c>
      <c r="J67">
        <v>-9.14</v>
      </c>
      <c r="K67">
        <v>1960</v>
      </c>
      <c r="M67">
        <v>47</v>
      </c>
      <c r="N67" t="s">
        <v>24</v>
      </c>
      <c r="O67">
        <v>41.91</v>
      </c>
      <c r="P67" t="s">
        <v>15</v>
      </c>
    </row>
    <row r="68" spans="1:16">
      <c r="A68" t="s">
        <v>95</v>
      </c>
      <c r="C68" t="s">
        <v>19</v>
      </c>
      <c r="D68" t="s">
        <v>20</v>
      </c>
      <c r="E68" t="s">
        <v>96</v>
      </c>
      <c r="F68" t="s">
        <v>96</v>
      </c>
      <c r="G68" t="s">
        <v>111</v>
      </c>
      <c r="H68" t="s">
        <v>29</v>
      </c>
      <c r="I68">
        <v>37.11</v>
      </c>
      <c r="J68">
        <v>-8.58</v>
      </c>
      <c r="K68">
        <v>1960</v>
      </c>
      <c r="M68">
        <v>47</v>
      </c>
      <c r="N68" t="s">
        <v>84</v>
      </c>
      <c r="O68">
        <v>0</v>
      </c>
      <c r="P68" t="s">
        <v>85</v>
      </c>
    </row>
    <row r="69" spans="1:16">
      <c r="A69" t="s">
        <v>95</v>
      </c>
      <c r="C69" t="s">
        <v>19</v>
      </c>
      <c r="D69" t="s">
        <v>20</v>
      </c>
      <c r="E69" t="s">
        <v>96</v>
      </c>
      <c r="F69" t="s">
        <v>96</v>
      </c>
      <c r="G69" t="s">
        <v>112</v>
      </c>
      <c r="H69" t="s">
        <v>29</v>
      </c>
      <c r="I69">
        <v>38.47</v>
      </c>
      <c r="J69">
        <v>-8.9700000000000006</v>
      </c>
      <c r="K69">
        <v>1960</v>
      </c>
      <c r="M69">
        <v>47</v>
      </c>
      <c r="N69" t="s">
        <v>84</v>
      </c>
      <c r="O69">
        <v>0</v>
      </c>
      <c r="P69" t="s">
        <v>85</v>
      </c>
    </row>
    <row r="70" spans="1:16">
      <c r="A70" t="s">
        <v>95</v>
      </c>
      <c r="C70" t="s">
        <v>19</v>
      </c>
      <c r="D70" t="s">
        <v>20</v>
      </c>
      <c r="E70" t="s">
        <v>96</v>
      </c>
      <c r="F70" t="s">
        <v>96</v>
      </c>
      <c r="G70" t="s">
        <v>113</v>
      </c>
      <c r="H70" t="s">
        <v>29</v>
      </c>
      <c r="I70">
        <v>37.090000000000003</v>
      </c>
      <c r="J70">
        <v>-8.66</v>
      </c>
      <c r="K70">
        <v>1960</v>
      </c>
      <c r="M70">
        <v>47</v>
      </c>
      <c r="N70" t="s">
        <v>84</v>
      </c>
      <c r="O70">
        <v>0</v>
      </c>
      <c r="P70" t="s">
        <v>85</v>
      </c>
    </row>
    <row r="71" spans="1:16">
      <c r="A71" t="s">
        <v>95</v>
      </c>
      <c r="C71" t="s">
        <v>19</v>
      </c>
      <c r="D71" t="s">
        <v>20</v>
      </c>
      <c r="E71" t="s">
        <v>96</v>
      </c>
      <c r="F71" t="s">
        <v>96</v>
      </c>
      <c r="G71" t="s">
        <v>114</v>
      </c>
      <c r="H71" t="s">
        <v>29</v>
      </c>
      <c r="I71">
        <v>36.99</v>
      </c>
      <c r="J71">
        <v>-8.8699999999999992</v>
      </c>
      <c r="K71">
        <v>1960</v>
      </c>
      <c r="M71">
        <v>47</v>
      </c>
      <c r="N71" t="s">
        <v>84</v>
      </c>
      <c r="O71">
        <v>0</v>
      </c>
      <c r="P71" t="s">
        <v>85</v>
      </c>
    </row>
    <row r="72" spans="1:16">
      <c r="A72" t="s">
        <v>95</v>
      </c>
      <c r="C72" t="s">
        <v>19</v>
      </c>
      <c r="D72" t="s">
        <v>20</v>
      </c>
      <c r="E72" t="s">
        <v>96</v>
      </c>
      <c r="F72" t="s">
        <v>96</v>
      </c>
      <c r="G72" t="s">
        <v>115</v>
      </c>
      <c r="H72" t="s">
        <v>29</v>
      </c>
      <c r="I72">
        <v>39.369999999999997</v>
      </c>
      <c r="J72">
        <v>-9.34</v>
      </c>
      <c r="K72">
        <v>1960</v>
      </c>
      <c r="M72">
        <v>47</v>
      </c>
      <c r="N72" t="s">
        <v>84</v>
      </c>
      <c r="O72">
        <v>0</v>
      </c>
      <c r="P72" t="s">
        <v>85</v>
      </c>
    </row>
    <row r="73" spans="1:16">
      <c r="A73" t="s">
        <v>95</v>
      </c>
      <c r="C73" t="s">
        <v>19</v>
      </c>
      <c r="D73" t="s">
        <v>20</v>
      </c>
      <c r="E73" t="s">
        <v>96</v>
      </c>
      <c r="F73" t="s">
        <v>96</v>
      </c>
      <c r="G73" t="s">
        <v>116</v>
      </c>
      <c r="H73" t="s">
        <v>29</v>
      </c>
      <c r="I73">
        <v>39.369999999999997</v>
      </c>
      <c r="J73">
        <v>-9.41</v>
      </c>
      <c r="K73">
        <v>1960</v>
      </c>
      <c r="M73">
        <v>47</v>
      </c>
      <c r="N73" t="s">
        <v>84</v>
      </c>
      <c r="O73">
        <v>0</v>
      </c>
      <c r="P73" t="s">
        <v>85</v>
      </c>
    </row>
    <row r="74" spans="1:16">
      <c r="A74" t="s">
        <v>95</v>
      </c>
      <c r="C74" t="s">
        <v>19</v>
      </c>
      <c r="D74" t="s">
        <v>20</v>
      </c>
      <c r="E74" t="s">
        <v>96</v>
      </c>
      <c r="F74" t="s">
        <v>96</v>
      </c>
      <c r="G74" t="s">
        <v>117</v>
      </c>
      <c r="H74" t="s">
        <v>29</v>
      </c>
      <c r="I74">
        <v>37.65</v>
      </c>
      <c r="J74">
        <v>8.8000000000000007</v>
      </c>
      <c r="K74">
        <v>1960</v>
      </c>
      <c r="M74">
        <v>47</v>
      </c>
      <c r="N74" t="s">
        <v>84</v>
      </c>
      <c r="O74">
        <v>0</v>
      </c>
      <c r="P74" t="s">
        <v>85</v>
      </c>
    </row>
    <row r="75" spans="1:16">
      <c r="A75" t="s">
        <v>95</v>
      </c>
      <c r="C75" t="s">
        <v>19</v>
      </c>
      <c r="D75" t="s">
        <v>20</v>
      </c>
      <c r="E75" t="s">
        <v>96</v>
      </c>
      <c r="F75" t="s">
        <v>96</v>
      </c>
      <c r="G75" t="s">
        <v>118</v>
      </c>
      <c r="H75" t="s">
        <v>29</v>
      </c>
      <c r="I75">
        <v>41.8</v>
      </c>
      <c r="J75">
        <v>-8.8699999999999992</v>
      </c>
      <c r="K75">
        <v>1960</v>
      </c>
      <c r="M75">
        <v>47</v>
      </c>
      <c r="N75" t="s">
        <v>84</v>
      </c>
      <c r="O75">
        <v>0</v>
      </c>
      <c r="P75" t="s">
        <v>85</v>
      </c>
    </row>
    <row r="76" spans="1:16">
      <c r="A76" t="s">
        <v>95</v>
      </c>
      <c r="C76" t="s">
        <v>19</v>
      </c>
      <c r="D76" t="s">
        <v>20</v>
      </c>
      <c r="E76" t="s">
        <v>96</v>
      </c>
      <c r="F76" t="s">
        <v>96</v>
      </c>
      <c r="G76" t="s">
        <v>119</v>
      </c>
      <c r="H76" t="s">
        <v>29</v>
      </c>
      <c r="I76">
        <v>39.369999999999997</v>
      </c>
      <c r="J76">
        <v>-9.41</v>
      </c>
      <c r="K76">
        <v>1960</v>
      </c>
      <c r="M76">
        <v>47</v>
      </c>
      <c r="N76" t="s">
        <v>84</v>
      </c>
      <c r="O76">
        <v>0</v>
      </c>
      <c r="P76" t="s">
        <v>85</v>
      </c>
    </row>
    <row r="77" spans="1:16">
      <c r="A77" t="s">
        <v>95</v>
      </c>
      <c r="C77" t="s">
        <v>19</v>
      </c>
      <c r="D77" t="s">
        <v>20</v>
      </c>
      <c r="E77" t="s">
        <v>96</v>
      </c>
      <c r="F77" t="s">
        <v>96</v>
      </c>
      <c r="G77" t="s">
        <v>120</v>
      </c>
      <c r="H77" t="s">
        <v>29</v>
      </c>
      <c r="I77">
        <v>37.01</v>
      </c>
      <c r="J77">
        <v>-8.93</v>
      </c>
      <c r="K77">
        <v>1960</v>
      </c>
      <c r="M77">
        <v>47</v>
      </c>
      <c r="N77" t="s">
        <v>24</v>
      </c>
      <c r="O77">
        <v>70.209999999999994</v>
      </c>
      <c r="P77" t="s">
        <v>88</v>
      </c>
    </row>
    <row r="78" spans="1:16">
      <c r="A78" t="s">
        <v>95</v>
      </c>
      <c r="C78" t="s">
        <v>19</v>
      </c>
      <c r="D78" t="s">
        <v>20</v>
      </c>
      <c r="E78" t="s">
        <v>96</v>
      </c>
      <c r="F78" t="s">
        <v>96</v>
      </c>
      <c r="G78" t="s">
        <v>121</v>
      </c>
      <c r="H78" t="s">
        <v>29</v>
      </c>
      <c r="I78">
        <v>37.340000000000003</v>
      </c>
      <c r="J78">
        <v>-8.85</v>
      </c>
      <c r="K78">
        <v>1960</v>
      </c>
      <c r="M78">
        <v>47</v>
      </c>
      <c r="N78" t="s">
        <v>24</v>
      </c>
      <c r="O78">
        <v>54.68</v>
      </c>
      <c r="P78" t="s">
        <v>88</v>
      </c>
    </row>
    <row r="79" spans="1:16">
      <c r="A79" t="s">
        <v>95</v>
      </c>
      <c r="C79" t="s">
        <v>19</v>
      </c>
      <c r="D79" t="s">
        <v>20</v>
      </c>
      <c r="E79" t="s">
        <v>96</v>
      </c>
      <c r="F79" t="s">
        <v>96</v>
      </c>
      <c r="G79" t="s">
        <v>122</v>
      </c>
      <c r="H79" t="s">
        <v>23</v>
      </c>
      <c r="I79">
        <v>39.369999999999997</v>
      </c>
      <c r="J79">
        <v>-9.34</v>
      </c>
      <c r="K79">
        <v>1960</v>
      </c>
      <c r="M79">
        <v>47</v>
      </c>
      <c r="N79" t="s">
        <v>24</v>
      </c>
      <c r="O79">
        <v>48.3</v>
      </c>
      <c r="P79" t="s">
        <v>88</v>
      </c>
    </row>
    <row r="80" spans="1:16">
      <c r="A80" t="s">
        <v>95</v>
      </c>
      <c r="C80" t="s">
        <v>19</v>
      </c>
      <c r="D80" t="s">
        <v>20</v>
      </c>
      <c r="E80" t="s">
        <v>96</v>
      </c>
      <c r="F80" t="s">
        <v>96</v>
      </c>
      <c r="G80" t="s">
        <v>123</v>
      </c>
      <c r="H80" t="s">
        <v>23</v>
      </c>
      <c r="I80">
        <v>38.659999999999997</v>
      </c>
      <c r="J80">
        <v>-9.3699999999999992</v>
      </c>
      <c r="K80">
        <v>1960</v>
      </c>
      <c r="M80">
        <v>47</v>
      </c>
      <c r="N80" t="s">
        <v>24</v>
      </c>
      <c r="O80">
        <v>33.4</v>
      </c>
      <c r="P80" t="s">
        <v>88</v>
      </c>
    </row>
    <row r="81" spans="1:16">
      <c r="A81" t="s">
        <v>95</v>
      </c>
      <c r="C81" t="s">
        <v>19</v>
      </c>
      <c r="D81" t="s">
        <v>20</v>
      </c>
      <c r="E81" t="s">
        <v>96</v>
      </c>
      <c r="F81" t="s">
        <v>96</v>
      </c>
      <c r="G81" t="s">
        <v>124</v>
      </c>
      <c r="H81" t="s">
        <v>23</v>
      </c>
      <c r="I81">
        <v>42.42</v>
      </c>
      <c r="J81">
        <v>-8.7100000000000009</v>
      </c>
      <c r="K81">
        <v>1960</v>
      </c>
      <c r="M81">
        <v>47</v>
      </c>
      <c r="N81" t="s">
        <v>24</v>
      </c>
      <c r="O81">
        <v>19.149999999999999</v>
      </c>
      <c r="P81" t="s">
        <v>88</v>
      </c>
    </row>
    <row r="82" spans="1:16">
      <c r="A82" t="s">
        <v>95</v>
      </c>
      <c r="C82" t="s">
        <v>19</v>
      </c>
      <c r="D82" t="s">
        <v>20</v>
      </c>
      <c r="E82" t="s">
        <v>96</v>
      </c>
      <c r="F82" t="s">
        <v>96</v>
      </c>
      <c r="G82" t="s">
        <v>125</v>
      </c>
      <c r="H82" t="s">
        <v>29</v>
      </c>
      <c r="I82">
        <v>37.340000000000003</v>
      </c>
      <c r="J82">
        <v>-8.85</v>
      </c>
      <c r="K82">
        <v>1960</v>
      </c>
      <c r="M82">
        <v>47</v>
      </c>
      <c r="N82" t="s">
        <v>24</v>
      </c>
      <c r="O82">
        <v>25.74</v>
      </c>
      <c r="P82" t="s">
        <v>88</v>
      </c>
    </row>
    <row r="83" spans="1:16">
      <c r="A83" t="s">
        <v>95</v>
      </c>
      <c r="C83" t="s">
        <v>19</v>
      </c>
      <c r="D83" t="s">
        <v>20</v>
      </c>
      <c r="E83" t="s">
        <v>96</v>
      </c>
      <c r="F83" t="s">
        <v>96</v>
      </c>
      <c r="G83" t="s">
        <v>126</v>
      </c>
      <c r="H83" t="s">
        <v>29</v>
      </c>
      <c r="I83">
        <v>37.11</v>
      </c>
      <c r="J83">
        <v>-8.58</v>
      </c>
      <c r="K83">
        <v>1960</v>
      </c>
      <c r="M83">
        <v>47</v>
      </c>
      <c r="N83" t="s">
        <v>30</v>
      </c>
      <c r="O83">
        <v>-1.91</v>
      </c>
      <c r="P83" t="s">
        <v>88</v>
      </c>
    </row>
    <row r="84" spans="1:16">
      <c r="A84" t="s">
        <v>95</v>
      </c>
      <c r="C84" t="s">
        <v>19</v>
      </c>
      <c r="D84" t="s">
        <v>20</v>
      </c>
      <c r="E84" t="s">
        <v>96</v>
      </c>
      <c r="F84" t="s">
        <v>96</v>
      </c>
      <c r="G84" t="s">
        <v>127</v>
      </c>
      <c r="H84" t="s">
        <v>29</v>
      </c>
      <c r="I84">
        <v>37.11</v>
      </c>
      <c r="J84">
        <v>8.58</v>
      </c>
      <c r="K84">
        <v>1960</v>
      </c>
      <c r="M84">
        <v>47</v>
      </c>
      <c r="N84" t="s">
        <v>24</v>
      </c>
      <c r="O84">
        <v>1.91</v>
      </c>
      <c r="P84" t="s">
        <v>88</v>
      </c>
    </row>
    <row r="85" spans="1:16">
      <c r="A85" t="s">
        <v>95</v>
      </c>
      <c r="C85" t="s">
        <v>19</v>
      </c>
      <c r="D85" t="s">
        <v>20</v>
      </c>
      <c r="E85" t="s">
        <v>96</v>
      </c>
      <c r="F85" t="s">
        <v>96</v>
      </c>
      <c r="G85" t="s">
        <v>128</v>
      </c>
      <c r="H85" t="s">
        <v>29</v>
      </c>
      <c r="I85">
        <v>37.93</v>
      </c>
      <c r="J85">
        <v>-8.8699999999999992</v>
      </c>
      <c r="K85">
        <v>1960</v>
      </c>
      <c r="M85">
        <v>47</v>
      </c>
      <c r="N85" t="s">
        <v>24</v>
      </c>
      <c r="O85">
        <v>5.96</v>
      </c>
      <c r="P85" t="s">
        <v>88</v>
      </c>
    </row>
    <row r="86" spans="1:16">
      <c r="A86" t="s">
        <v>95</v>
      </c>
      <c r="C86" t="s">
        <v>19</v>
      </c>
      <c r="D86" t="s">
        <v>20</v>
      </c>
      <c r="E86" t="s">
        <v>96</v>
      </c>
      <c r="F86" t="s">
        <v>96</v>
      </c>
      <c r="G86" t="s">
        <v>129</v>
      </c>
      <c r="H86" t="s">
        <v>29</v>
      </c>
      <c r="I86">
        <v>41.75</v>
      </c>
      <c r="J86">
        <v>-8.8800000000000008</v>
      </c>
      <c r="K86">
        <v>1960</v>
      </c>
      <c r="M86">
        <v>47</v>
      </c>
      <c r="N86" t="s">
        <v>24</v>
      </c>
      <c r="O86">
        <v>1.91</v>
      </c>
      <c r="P86" t="s">
        <v>88</v>
      </c>
    </row>
    <row r="87" spans="1:16">
      <c r="A87" t="s">
        <v>95</v>
      </c>
      <c r="C87" t="s">
        <v>19</v>
      </c>
      <c r="D87" t="s">
        <v>20</v>
      </c>
      <c r="E87" t="s">
        <v>96</v>
      </c>
      <c r="F87" t="s">
        <v>96</v>
      </c>
      <c r="G87" t="s">
        <v>130</v>
      </c>
      <c r="H87" t="s">
        <v>29</v>
      </c>
      <c r="I87">
        <v>41.14</v>
      </c>
      <c r="J87">
        <v>-8.68</v>
      </c>
      <c r="K87">
        <v>1960</v>
      </c>
      <c r="M87">
        <v>47</v>
      </c>
      <c r="N87" t="s">
        <v>24</v>
      </c>
      <c r="O87">
        <v>3.83</v>
      </c>
      <c r="P87" t="s">
        <v>88</v>
      </c>
    </row>
    <row r="88" spans="1:16">
      <c r="A88" t="s">
        <v>95</v>
      </c>
      <c r="C88" t="s">
        <v>19</v>
      </c>
      <c r="D88" t="s">
        <v>20</v>
      </c>
      <c r="E88" t="s">
        <v>96</v>
      </c>
      <c r="F88" t="s">
        <v>96</v>
      </c>
      <c r="G88" t="s">
        <v>131</v>
      </c>
      <c r="H88" t="s">
        <v>23</v>
      </c>
      <c r="I88">
        <v>41.8</v>
      </c>
      <c r="J88">
        <v>-8.8699999999999992</v>
      </c>
      <c r="K88">
        <v>1960</v>
      </c>
      <c r="M88">
        <v>47</v>
      </c>
      <c r="N88" t="s">
        <v>30</v>
      </c>
      <c r="O88">
        <v>-1.06</v>
      </c>
      <c r="P88" t="s">
        <v>88</v>
      </c>
    </row>
    <row r="89" spans="1:16">
      <c r="A89" t="s">
        <v>95</v>
      </c>
      <c r="C89" t="s">
        <v>19</v>
      </c>
      <c r="D89" t="s">
        <v>20</v>
      </c>
      <c r="E89" t="s">
        <v>96</v>
      </c>
      <c r="F89" t="s">
        <v>96</v>
      </c>
      <c r="G89" t="s">
        <v>132</v>
      </c>
      <c r="H89" t="s">
        <v>23</v>
      </c>
      <c r="I89">
        <v>37.93</v>
      </c>
      <c r="J89">
        <v>-8.8699999999999992</v>
      </c>
      <c r="K89">
        <v>1960</v>
      </c>
      <c r="M89">
        <v>47</v>
      </c>
      <c r="N89" t="s">
        <v>24</v>
      </c>
      <c r="O89">
        <v>5.96</v>
      </c>
      <c r="P89" t="s">
        <v>15</v>
      </c>
    </row>
    <row r="90" spans="1:16">
      <c r="A90" t="s">
        <v>95</v>
      </c>
      <c r="C90" t="s">
        <v>19</v>
      </c>
      <c r="D90" t="s">
        <v>20</v>
      </c>
      <c r="E90" t="s">
        <v>96</v>
      </c>
      <c r="F90" t="s">
        <v>96</v>
      </c>
      <c r="G90" t="s">
        <v>133</v>
      </c>
      <c r="H90" t="s">
        <v>23</v>
      </c>
      <c r="I90">
        <v>37.11</v>
      </c>
      <c r="J90">
        <v>-8.58</v>
      </c>
      <c r="K90">
        <v>1960</v>
      </c>
      <c r="M90">
        <v>47</v>
      </c>
      <c r="N90" t="s">
        <v>24</v>
      </c>
      <c r="O90">
        <v>4.26</v>
      </c>
      <c r="P90" t="s">
        <v>15</v>
      </c>
    </row>
    <row r="91" spans="1:16">
      <c r="A91" t="s">
        <v>134</v>
      </c>
      <c r="C91" t="s">
        <v>19</v>
      </c>
      <c r="D91" t="s">
        <v>20</v>
      </c>
      <c r="E91" t="s">
        <v>21</v>
      </c>
      <c r="F91" t="s">
        <v>21</v>
      </c>
      <c r="G91" t="s">
        <v>135</v>
      </c>
      <c r="H91" t="s">
        <v>23</v>
      </c>
      <c r="I91">
        <v>47</v>
      </c>
      <c r="J91">
        <v>-10</v>
      </c>
      <c r="K91">
        <v>1978</v>
      </c>
      <c r="M91">
        <v>23</v>
      </c>
      <c r="N91" t="s">
        <v>24</v>
      </c>
      <c r="O91">
        <v>157</v>
      </c>
      <c r="P91" t="s">
        <v>15</v>
      </c>
    </row>
    <row r="92" spans="1:16">
      <c r="A92" t="s">
        <v>134</v>
      </c>
      <c r="C92" t="s">
        <v>19</v>
      </c>
      <c r="D92" t="s">
        <v>20</v>
      </c>
      <c r="E92" t="s">
        <v>21</v>
      </c>
      <c r="F92" t="s">
        <v>21</v>
      </c>
      <c r="G92" t="s">
        <v>136</v>
      </c>
      <c r="H92" t="s">
        <v>23</v>
      </c>
      <c r="I92">
        <v>47</v>
      </c>
      <c r="J92">
        <v>-10</v>
      </c>
      <c r="K92">
        <v>1978</v>
      </c>
      <c r="M92">
        <v>23</v>
      </c>
      <c r="N92" t="s">
        <v>24</v>
      </c>
      <c r="O92">
        <v>157</v>
      </c>
      <c r="P92" t="s">
        <v>15</v>
      </c>
    </row>
    <row r="93" spans="1:16">
      <c r="A93" t="s">
        <v>137</v>
      </c>
      <c r="C93" t="s">
        <v>19</v>
      </c>
      <c r="D93" t="s">
        <v>50</v>
      </c>
      <c r="E93" t="s">
        <v>138</v>
      </c>
      <c r="F93" t="s">
        <v>139</v>
      </c>
      <c r="G93" t="s">
        <v>140</v>
      </c>
      <c r="H93" t="s">
        <v>23</v>
      </c>
      <c r="I93">
        <v>-43.37</v>
      </c>
      <c r="J93">
        <v>145.93</v>
      </c>
      <c r="K93">
        <v>1960</v>
      </c>
      <c r="M93">
        <v>46</v>
      </c>
      <c r="N93" t="s">
        <v>24</v>
      </c>
      <c r="O93">
        <v>160</v>
      </c>
      <c r="P93" t="s">
        <v>15</v>
      </c>
    </row>
    <row r="94" spans="1:16">
      <c r="A94" t="s">
        <v>141</v>
      </c>
      <c r="C94" t="s">
        <v>19</v>
      </c>
      <c r="D94" t="s">
        <v>20</v>
      </c>
      <c r="E94" t="s">
        <v>96</v>
      </c>
      <c r="F94" t="s">
        <v>96</v>
      </c>
      <c r="G94" t="s">
        <v>121</v>
      </c>
      <c r="H94" t="s">
        <v>23</v>
      </c>
      <c r="I94">
        <v>50.51</v>
      </c>
      <c r="J94">
        <v>-2.4500000000000002</v>
      </c>
      <c r="K94">
        <v>1936</v>
      </c>
      <c r="M94">
        <v>68</v>
      </c>
      <c r="N94" t="s">
        <v>24</v>
      </c>
      <c r="O94">
        <v>77.78</v>
      </c>
      <c r="P94" t="s">
        <v>15</v>
      </c>
    </row>
    <row r="95" spans="1:16">
      <c r="A95" t="s">
        <v>142</v>
      </c>
      <c r="C95" t="s">
        <v>19</v>
      </c>
      <c r="D95" t="s">
        <v>143</v>
      </c>
      <c r="E95" t="s">
        <v>36</v>
      </c>
      <c r="F95" t="s">
        <v>36</v>
      </c>
      <c r="G95" t="s">
        <v>144</v>
      </c>
      <c r="H95" t="s">
        <v>29</v>
      </c>
      <c r="I95">
        <v>32.5</v>
      </c>
      <c r="J95">
        <v>-75.5</v>
      </c>
      <c r="K95">
        <v>1960</v>
      </c>
      <c r="M95">
        <v>51</v>
      </c>
      <c r="N95" t="s">
        <v>30</v>
      </c>
      <c r="O95">
        <v>-70</v>
      </c>
      <c r="P95" t="s">
        <v>15</v>
      </c>
    </row>
    <row r="96" spans="1:16">
      <c r="A96" t="s">
        <v>145</v>
      </c>
      <c r="C96" t="s">
        <v>19</v>
      </c>
      <c r="D96" t="s">
        <v>20</v>
      </c>
      <c r="E96" t="s">
        <v>36</v>
      </c>
      <c r="F96" t="s">
        <v>36</v>
      </c>
      <c r="G96" t="s">
        <v>146</v>
      </c>
      <c r="H96" t="s">
        <v>147</v>
      </c>
      <c r="I96">
        <v>41.16</v>
      </c>
      <c r="J96">
        <v>-8.68</v>
      </c>
      <c r="K96">
        <v>1955</v>
      </c>
      <c r="M96">
        <v>51</v>
      </c>
      <c r="N96" t="s">
        <v>24</v>
      </c>
      <c r="O96">
        <v>250</v>
      </c>
      <c r="P96" t="s">
        <v>15</v>
      </c>
    </row>
    <row r="97" spans="1:16">
      <c r="A97" t="s">
        <v>145</v>
      </c>
      <c r="C97" t="s">
        <v>19</v>
      </c>
      <c r="D97" t="s">
        <v>20</v>
      </c>
      <c r="E97" t="s">
        <v>36</v>
      </c>
      <c r="F97" t="s">
        <v>36</v>
      </c>
      <c r="G97" t="s">
        <v>146</v>
      </c>
      <c r="H97" t="s">
        <v>23</v>
      </c>
      <c r="I97">
        <v>39.51</v>
      </c>
      <c r="J97">
        <v>-9.14</v>
      </c>
      <c r="K97">
        <v>1955</v>
      </c>
      <c r="M97">
        <v>51</v>
      </c>
      <c r="N97" t="s">
        <v>84</v>
      </c>
      <c r="O97">
        <v>0</v>
      </c>
      <c r="P97" t="s">
        <v>85</v>
      </c>
    </row>
    <row r="98" spans="1:16">
      <c r="A98" t="s">
        <v>141</v>
      </c>
      <c r="C98" t="s">
        <v>19</v>
      </c>
      <c r="D98" t="s">
        <v>20</v>
      </c>
      <c r="E98" t="s">
        <v>36</v>
      </c>
      <c r="F98" t="s">
        <v>36</v>
      </c>
      <c r="G98" t="s">
        <v>148</v>
      </c>
      <c r="H98" t="s">
        <v>23</v>
      </c>
      <c r="I98">
        <v>50.63</v>
      </c>
      <c r="J98">
        <v>-2.37</v>
      </c>
      <c r="K98">
        <v>1952</v>
      </c>
      <c r="M98">
        <v>52</v>
      </c>
      <c r="N98" t="s">
        <v>24</v>
      </c>
      <c r="O98">
        <v>27.78</v>
      </c>
      <c r="P98" t="s">
        <v>15</v>
      </c>
    </row>
    <row r="99" spans="1:16">
      <c r="A99" t="s">
        <v>149</v>
      </c>
      <c r="C99" t="s">
        <v>19</v>
      </c>
      <c r="D99" t="s">
        <v>150</v>
      </c>
      <c r="E99" t="s">
        <v>47</v>
      </c>
      <c r="F99" t="s">
        <v>47</v>
      </c>
      <c r="G99" t="s">
        <v>151</v>
      </c>
      <c r="H99" t="s">
        <v>38</v>
      </c>
      <c r="I99">
        <v>58</v>
      </c>
      <c r="J99">
        <v>-167</v>
      </c>
      <c r="K99">
        <v>1982</v>
      </c>
      <c r="M99">
        <v>25</v>
      </c>
      <c r="N99" t="s">
        <v>30</v>
      </c>
      <c r="O99">
        <v>-15.2</v>
      </c>
      <c r="P99" t="s">
        <v>88</v>
      </c>
    </row>
    <row r="100" spans="1:16">
      <c r="A100" t="s">
        <v>149</v>
      </c>
      <c r="C100" t="s">
        <v>19</v>
      </c>
      <c r="D100" t="s">
        <v>150</v>
      </c>
      <c r="E100" t="s">
        <v>47</v>
      </c>
      <c r="F100" t="s">
        <v>47</v>
      </c>
      <c r="G100" t="s">
        <v>152</v>
      </c>
      <c r="H100" t="s">
        <v>23</v>
      </c>
      <c r="I100">
        <v>58</v>
      </c>
      <c r="J100">
        <v>-167</v>
      </c>
      <c r="K100">
        <v>1982</v>
      </c>
      <c r="M100">
        <v>25</v>
      </c>
      <c r="N100" t="s">
        <v>30</v>
      </c>
      <c r="O100">
        <v>-6</v>
      </c>
      <c r="P100" t="s">
        <v>88</v>
      </c>
    </row>
    <row r="101" spans="1:16">
      <c r="A101" t="s">
        <v>149</v>
      </c>
      <c r="C101" t="s">
        <v>19</v>
      </c>
      <c r="D101" t="s">
        <v>150</v>
      </c>
      <c r="E101" t="s">
        <v>47</v>
      </c>
      <c r="F101" t="s">
        <v>47</v>
      </c>
      <c r="G101" t="s">
        <v>153</v>
      </c>
      <c r="H101" t="s">
        <v>23</v>
      </c>
      <c r="I101">
        <v>58</v>
      </c>
      <c r="J101">
        <v>-167</v>
      </c>
      <c r="K101">
        <v>1982</v>
      </c>
      <c r="M101">
        <v>25</v>
      </c>
      <c r="N101" t="s">
        <v>30</v>
      </c>
      <c r="O101">
        <v>-4.4000000000000004</v>
      </c>
      <c r="P101" t="s">
        <v>88</v>
      </c>
    </row>
    <row r="102" spans="1:16">
      <c r="A102" t="s">
        <v>149</v>
      </c>
      <c r="C102" t="s">
        <v>19</v>
      </c>
      <c r="D102" t="s">
        <v>150</v>
      </c>
      <c r="E102" t="s">
        <v>47</v>
      </c>
      <c r="F102" t="s">
        <v>47</v>
      </c>
      <c r="G102" t="s">
        <v>154</v>
      </c>
      <c r="H102" t="s">
        <v>38</v>
      </c>
      <c r="I102">
        <v>58</v>
      </c>
      <c r="J102">
        <v>-167</v>
      </c>
      <c r="K102">
        <v>1982</v>
      </c>
      <c r="M102">
        <v>25</v>
      </c>
      <c r="N102" t="s">
        <v>30</v>
      </c>
      <c r="O102">
        <v>-2</v>
      </c>
      <c r="P102" t="s">
        <v>88</v>
      </c>
    </row>
    <row r="103" spans="1:16">
      <c r="A103" t="s">
        <v>149</v>
      </c>
      <c r="C103" t="s">
        <v>19</v>
      </c>
      <c r="D103" t="s">
        <v>150</v>
      </c>
      <c r="E103" t="s">
        <v>47</v>
      </c>
      <c r="F103" t="s">
        <v>47</v>
      </c>
      <c r="G103" t="s">
        <v>155</v>
      </c>
      <c r="H103" t="s">
        <v>23</v>
      </c>
      <c r="I103">
        <v>58</v>
      </c>
      <c r="J103">
        <v>-167</v>
      </c>
      <c r="K103">
        <v>1982</v>
      </c>
      <c r="M103">
        <v>25</v>
      </c>
      <c r="N103" t="s">
        <v>30</v>
      </c>
      <c r="O103">
        <v>-0.8</v>
      </c>
      <c r="P103" t="s">
        <v>88</v>
      </c>
    </row>
    <row r="104" spans="1:16">
      <c r="A104" t="s">
        <v>149</v>
      </c>
      <c r="C104" t="s">
        <v>19</v>
      </c>
      <c r="D104" t="s">
        <v>150</v>
      </c>
      <c r="E104" t="s">
        <v>47</v>
      </c>
      <c r="F104" t="s">
        <v>47</v>
      </c>
      <c r="G104" t="s">
        <v>156</v>
      </c>
      <c r="H104" t="s">
        <v>23</v>
      </c>
      <c r="I104">
        <v>58</v>
      </c>
      <c r="J104">
        <v>-167</v>
      </c>
      <c r="K104">
        <v>1982</v>
      </c>
      <c r="M104">
        <v>25</v>
      </c>
      <c r="N104" t="s">
        <v>24</v>
      </c>
      <c r="O104">
        <v>5.2</v>
      </c>
      <c r="P104" t="s">
        <v>15</v>
      </c>
    </row>
    <row r="105" spans="1:16">
      <c r="A105" t="s">
        <v>149</v>
      </c>
      <c r="C105" t="s">
        <v>19</v>
      </c>
      <c r="D105" t="s">
        <v>150</v>
      </c>
      <c r="E105" t="s">
        <v>47</v>
      </c>
      <c r="F105" t="s">
        <v>47</v>
      </c>
      <c r="G105" t="s">
        <v>157</v>
      </c>
      <c r="H105" t="s">
        <v>23</v>
      </c>
      <c r="I105">
        <v>58</v>
      </c>
      <c r="J105">
        <v>-167</v>
      </c>
      <c r="K105">
        <v>1982</v>
      </c>
      <c r="M105">
        <v>25</v>
      </c>
      <c r="N105" t="s">
        <v>24</v>
      </c>
      <c r="O105">
        <v>5.6</v>
      </c>
      <c r="P105" t="s">
        <v>15</v>
      </c>
    </row>
    <row r="106" spans="1:16">
      <c r="A106" t="s">
        <v>149</v>
      </c>
      <c r="C106" t="s">
        <v>19</v>
      </c>
      <c r="D106" t="s">
        <v>150</v>
      </c>
      <c r="E106" t="s">
        <v>47</v>
      </c>
      <c r="F106" t="s">
        <v>47</v>
      </c>
      <c r="G106" t="s">
        <v>158</v>
      </c>
      <c r="H106" t="s">
        <v>23</v>
      </c>
      <c r="I106">
        <v>58</v>
      </c>
      <c r="J106">
        <v>-167</v>
      </c>
      <c r="K106">
        <v>1982</v>
      </c>
      <c r="M106">
        <v>25</v>
      </c>
      <c r="N106" t="s">
        <v>24</v>
      </c>
      <c r="O106">
        <v>10.4</v>
      </c>
      <c r="P106" t="s">
        <v>15</v>
      </c>
    </row>
    <row r="107" spans="1:16">
      <c r="A107" t="s">
        <v>159</v>
      </c>
      <c r="C107" t="s">
        <v>19</v>
      </c>
      <c r="D107" t="s">
        <v>160</v>
      </c>
      <c r="E107" t="s">
        <v>161</v>
      </c>
      <c r="F107" t="s">
        <v>162</v>
      </c>
      <c r="G107" t="s">
        <v>163</v>
      </c>
      <c r="H107" t="s">
        <v>23</v>
      </c>
      <c r="I107">
        <v>35</v>
      </c>
      <c r="J107">
        <v>18</v>
      </c>
      <c r="K107">
        <v>1900</v>
      </c>
      <c r="M107">
        <v>107</v>
      </c>
      <c r="N107" t="s">
        <v>24</v>
      </c>
      <c r="O107">
        <v>150</v>
      </c>
      <c r="P107" t="s">
        <v>15</v>
      </c>
    </row>
    <row r="108" spans="1:16">
      <c r="A108" t="s">
        <v>164</v>
      </c>
      <c r="C108" t="s">
        <v>19</v>
      </c>
      <c r="D108" t="s">
        <v>20</v>
      </c>
      <c r="E108" t="s">
        <v>161</v>
      </c>
      <c r="F108" t="s">
        <v>162</v>
      </c>
      <c r="G108" t="s">
        <v>165</v>
      </c>
      <c r="H108" t="s">
        <v>23</v>
      </c>
      <c r="I108">
        <v>53</v>
      </c>
      <c r="J108">
        <v>3</v>
      </c>
      <c r="K108">
        <v>1923</v>
      </c>
      <c r="M108">
        <v>85</v>
      </c>
      <c r="N108" t="s">
        <v>24</v>
      </c>
      <c r="O108">
        <v>10.3</v>
      </c>
      <c r="P108" t="s">
        <v>15</v>
      </c>
    </row>
    <row r="109" spans="1:16">
      <c r="A109" t="s">
        <v>164</v>
      </c>
      <c r="C109" t="s">
        <v>19</v>
      </c>
      <c r="D109" t="s">
        <v>20</v>
      </c>
      <c r="E109" t="s">
        <v>161</v>
      </c>
      <c r="F109" t="s">
        <v>162</v>
      </c>
      <c r="G109" t="s">
        <v>166</v>
      </c>
      <c r="H109" t="s">
        <v>23</v>
      </c>
      <c r="I109">
        <v>55.5</v>
      </c>
      <c r="J109">
        <v>3</v>
      </c>
      <c r="K109">
        <v>1913</v>
      </c>
      <c r="M109">
        <v>95</v>
      </c>
      <c r="N109" t="s">
        <v>24</v>
      </c>
      <c r="O109">
        <v>24.9</v>
      </c>
      <c r="P109" t="s">
        <v>15</v>
      </c>
    </row>
    <row r="110" spans="1:16">
      <c r="A110" t="s">
        <v>149</v>
      </c>
      <c r="C110" t="s">
        <v>19</v>
      </c>
      <c r="D110" t="s">
        <v>150</v>
      </c>
      <c r="E110" t="s">
        <v>161</v>
      </c>
      <c r="F110" t="s">
        <v>162</v>
      </c>
      <c r="G110" t="s">
        <v>167</v>
      </c>
      <c r="H110" t="s">
        <v>38</v>
      </c>
      <c r="I110">
        <v>58</v>
      </c>
      <c r="J110">
        <v>-167</v>
      </c>
      <c r="K110">
        <v>1982</v>
      </c>
      <c r="M110">
        <v>25</v>
      </c>
      <c r="N110" t="s">
        <v>30</v>
      </c>
      <c r="O110">
        <v>-28</v>
      </c>
      <c r="P110" t="s">
        <v>88</v>
      </c>
    </row>
    <row r="111" spans="1:16">
      <c r="A111" t="s">
        <v>149</v>
      </c>
      <c r="C111" t="s">
        <v>19</v>
      </c>
      <c r="D111" t="s">
        <v>150</v>
      </c>
      <c r="E111" t="s">
        <v>161</v>
      </c>
      <c r="F111" t="s">
        <v>162</v>
      </c>
      <c r="G111" t="s">
        <v>168</v>
      </c>
      <c r="H111" t="s">
        <v>38</v>
      </c>
      <c r="I111">
        <v>58</v>
      </c>
      <c r="J111">
        <v>-167</v>
      </c>
      <c r="K111">
        <v>1982</v>
      </c>
      <c r="M111">
        <v>25</v>
      </c>
      <c r="N111" t="s">
        <v>30</v>
      </c>
      <c r="O111">
        <v>-28</v>
      </c>
      <c r="P111" t="s">
        <v>88</v>
      </c>
    </row>
    <row r="112" spans="1:16">
      <c r="A112" t="s">
        <v>149</v>
      </c>
      <c r="C112" t="s">
        <v>19</v>
      </c>
      <c r="D112" t="s">
        <v>150</v>
      </c>
      <c r="E112" t="s">
        <v>47</v>
      </c>
      <c r="F112" t="s">
        <v>47</v>
      </c>
      <c r="G112" t="s">
        <v>169</v>
      </c>
      <c r="H112" t="s">
        <v>38</v>
      </c>
      <c r="I112">
        <v>58</v>
      </c>
      <c r="J112">
        <v>-167</v>
      </c>
      <c r="K112">
        <v>1982</v>
      </c>
      <c r="M112">
        <v>25</v>
      </c>
      <c r="N112" t="s">
        <v>24</v>
      </c>
      <c r="O112">
        <v>18.8</v>
      </c>
      <c r="P112" t="s">
        <v>15</v>
      </c>
    </row>
    <row r="113" spans="1:16">
      <c r="A113" t="s">
        <v>149</v>
      </c>
      <c r="C113" t="s">
        <v>19</v>
      </c>
      <c r="D113" t="s">
        <v>150</v>
      </c>
      <c r="E113" t="s">
        <v>161</v>
      </c>
      <c r="F113" t="s">
        <v>162</v>
      </c>
      <c r="G113" t="s">
        <v>170</v>
      </c>
      <c r="H113" t="s">
        <v>38</v>
      </c>
      <c r="I113">
        <v>58</v>
      </c>
      <c r="J113">
        <v>-167</v>
      </c>
      <c r="K113">
        <v>1982</v>
      </c>
      <c r="M113">
        <v>25</v>
      </c>
      <c r="N113" t="s">
        <v>30</v>
      </c>
      <c r="O113">
        <v>-15.2</v>
      </c>
      <c r="P113" t="s">
        <v>88</v>
      </c>
    </row>
    <row r="114" spans="1:16">
      <c r="A114" t="s">
        <v>149</v>
      </c>
      <c r="C114" t="s">
        <v>19</v>
      </c>
      <c r="D114" t="s">
        <v>150</v>
      </c>
      <c r="E114" t="s">
        <v>161</v>
      </c>
      <c r="F114" t="s">
        <v>162</v>
      </c>
      <c r="G114" t="s">
        <v>171</v>
      </c>
      <c r="H114" t="s">
        <v>38</v>
      </c>
      <c r="I114">
        <v>58</v>
      </c>
      <c r="J114">
        <v>-167</v>
      </c>
      <c r="K114">
        <v>1982</v>
      </c>
      <c r="M114">
        <v>25</v>
      </c>
      <c r="N114" t="s">
        <v>30</v>
      </c>
      <c r="O114">
        <v>-4</v>
      </c>
      <c r="P114" t="s">
        <v>88</v>
      </c>
    </row>
    <row r="115" spans="1:16">
      <c r="A115" t="s">
        <v>149</v>
      </c>
      <c r="C115" t="s">
        <v>19</v>
      </c>
      <c r="D115" t="s">
        <v>150</v>
      </c>
      <c r="E115" t="s">
        <v>161</v>
      </c>
      <c r="F115" t="s">
        <v>162</v>
      </c>
      <c r="G115" t="s">
        <v>172</v>
      </c>
      <c r="H115" t="s">
        <v>38</v>
      </c>
      <c r="I115">
        <v>58</v>
      </c>
      <c r="J115">
        <v>-167</v>
      </c>
      <c r="K115">
        <v>1982</v>
      </c>
      <c r="M115">
        <v>25</v>
      </c>
      <c r="N115" t="s">
        <v>30</v>
      </c>
      <c r="O115">
        <v>-2.8</v>
      </c>
      <c r="P115" t="s">
        <v>88</v>
      </c>
    </row>
    <row r="116" spans="1:16">
      <c r="A116" t="s">
        <v>149</v>
      </c>
      <c r="C116" t="s">
        <v>19</v>
      </c>
      <c r="D116" t="s">
        <v>150</v>
      </c>
      <c r="E116" t="s">
        <v>161</v>
      </c>
      <c r="F116" t="s">
        <v>162</v>
      </c>
      <c r="G116" t="s">
        <v>173</v>
      </c>
      <c r="H116" t="s">
        <v>38</v>
      </c>
      <c r="I116">
        <v>58</v>
      </c>
      <c r="J116">
        <v>-167</v>
      </c>
      <c r="K116">
        <v>1982</v>
      </c>
      <c r="M116">
        <v>25</v>
      </c>
      <c r="N116" t="s">
        <v>84</v>
      </c>
      <c r="O116">
        <v>0</v>
      </c>
      <c r="P116" t="s">
        <v>15</v>
      </c>
    </row>
    <row r="117" spans="1:16">
      <c r="A117" t="s">
        <v>149</v>
      </c>
      <c r="C117" t="s">
        <v>19</v>
      </c>
      <c r="D117" t="s">
        <v>150</v>
      </c>
      <c r="E117" t="s">
        <v>161</v>
      </c>
      <c r="F117" t="s">
        <v>162</v>
      </c>
      <c r="G117" t="s">
        <v>174</v>
      </c>
      <c r="H117" t="s">
        <v>38</v>
      </c>
      <c r="I117">
        <v>58</v>
      </c>
      <c r="J117">
        <v>-167</v>
      </c>
      <c r="K117">
        <v>1982</v>
      </c>
      <c r="M117">
        <v>25</v>
      </c>
      <c r="N117" t="s">
        <v>84</v>
      </c>
      <c r="O117">
        <v>0</v>
      </c>
      <c r="P117" t="s">
        <v>85</v>
      </c>
    </row>
    <row r="118" spans="1:16">
      <c r="A118" t="s">
        <v>149</v>
      </c>
      <c r="C118" t="s">
        <v>19</v>
      </c>
      <c r="D118" t="s">
        <v>150</v>
      </c>
      <c r="E118" t="s">
        <v>47</v>
      </c>
      <c r="F118" t="s">
        <v>47</v>
      </c>
      <c r="G118" t="s">
        <v>175</v>
      </c>
      <c r="H118" t="s">
        <v>38</v>
      </c>
      <c r="I118">
        <v>58</v>
      </c>
      <c r="J118">
        <v>-167</v>
      </c>
      <c r="K118">
        <v>1982</v>
      </c>
      <c r="M118">
        <v>25</v>
      </c>
      <c r="N118" t="s">
        <v>24</v>
      </c>
      <c r="O118">
        <v>24.8</v>
      </c>
      <c r="P118" t="s">
        <v>15</v>
      </c>
    </row>
    <row r="119" spans="1:16">
      <c r="A119" t="s">
        <v>149</v>
      </c>
      <c r="C119" t="s">
        <v>19</v>
      </c>
      <c r="D119" t="s">
        <v>150</v>
      </c>
      <c r="E119" t="s">
        <v>161</v>
      </c>
      <c r="F119" t="s">
        <v>162</v>
      </c>
      <c r="G119" t="s">
        <v>176</v>
      </c>
      <c r="H119" t="s">
        <v>38</v>
      </c>
      <c r="I119">
        <v>58</v>
      </c>
      <c r="J119">
        <v>-167</v>
      </c>
      <c r="K119">
        <v>1982</v>
      </c>
      <c r="M119">
        <v>25</v>
      </c>
      <c r="N119" t="s">
        <v>84</v>
      </c>
      <c r="O119">
        <v>0</v>
      </c>
      <c r="P119" t="s">
        <v>85</v>
      </c>
    </row>
    <row r="120" spans="1:16">
      <c r="A120" t="s">
        <v>149</v>
      </c>
      <c r="C120" t="s">
        <v>19</v>
      </c>
      <c r="D120" t="s">
        <v>150</v>
      </c>
      <c r="E120" t="s">
        <v>161</v>
      </c>
      <c r="F120" t="s">
        <v>162</v>
      </c>
      <c r="G120" t="s">
        <v>177</v>
      </c>
      <c r="H120" t="s">
        <v>38</v>
      </c>
      <c r="I120">
        <v>58</v>
      </c>
      <c r="J120">
        <v>-167</v>
      </c>
      <c r="K120">
        <v>1982</v>
      </c>
      <c r="M120">
        <v>25</v>
      </c>
      <c r="N120" t="s">
        <v>84</v>
      </c>
      <c r="O120">
        <v>0</v>
      </c>
      <c r="P120" t="s">
        <v>85</v>
      </c>
    </row>
    <row r="121" spans="1:16">
      <c r="A121" t="s">
        <v>149</v>
      </c>
      <c r="C121" t="s">
        <v>19</v>
      </c>
      <c r="D121" t="s">
        <v>150</v>
      </c>
      <c r="E121" t="s">
        <v>161</v>
      </c>
      <c r="F121" t="s">
        <v>162</v>
      </c>
      <c r="G121" t="s">
        <v>178</v>
      </c>
      <c r="H121" t="s">
        <v>38</v>
      </c>
      <c r="I121">
        <v>58</v>
      </c>
      <c r="J121">
        <v>-167</v>
      </c>
      <c r="K121">
        <v>1982</v>
      </c>
      <c r="M121">
        <v>25</v>
      </c>
      <c r="N121" t="s">
        <v>84</v>
      </c>
      <c r="O121">
        <v>0</v>
      </c>
      <c r="P121" t="s">
        <v>85</v>
      </c>
    </row>
    <row r="122" spans="1:16">
      <c r="A122" t="s">
        <v>149</v>
      </c>
      <c r="C122" t="s">
        <v>19</v>
      </c>
      <c r="D122" t="s">
        <v>150</v>
      </c>
      <c r="E122" t="s">
        <v>47</v>
      </c>
      <c r="F122" t="s">
        <v>47</v>
      </c>
      <c r="G122" t="s">
        <v>179</v>
      </c>
      <c r="H122" t="s">
        <v>29</v>
      </c>
      <c r="I122">
        <v>58</v>
      </c>
      <c r="J122">
        <v>-167</v>
      </c>
      <c r="K122">
        <v>1982</v>
      </c>
      <c r="M122">
        <v>25</v>
      </c>
      <c r="N122" t="s">
        <v>24</v>
      </c>
      <c r="O122">
        <v>35.6</v>
      </c>
      <c r="P122" t="s">
        <v>15</v>
      </c>
    </row>
    <row r="123" spans="1:16">
      <c r="A123" t="s">
        <v>149</v>
      </c>
      <c r="C123" t="s">
        <v>19</v>
      </c>
      <c r="D123" t="s">
        <v>150</v>
      </c>
      <c r="E123" t="s">
        <v>161</v>
      </c>
      <c r="F123" t="s">
        <v>162</v>
      </c>
      <c r="G123" t="s">
        <v>180</v>
      </c>
      <c r="H123" t="s">
        <v>38</v>
      </c>
      <c r="I123">
        <v>58</v>
      </c>
      <c r="J123">
        <v>-167</v>
      </c>
      <c r="K123">
        <v>1982</v>
      </c>
      <c r="M123">
        <v>25</v>
      </c>
      <c r="N123" t="s">
        <v>84</v>
      </c>
      <c r="O123">
        <v>0</v>
      </c>
      <c r="P123" t="s">
        <v>85</v>
      </c>
    </row>
    <row r="124" spans="1:16">
      <c r="A124" t="s">
        <v>149</v>
      </c>
      <c r="C124" t="s">
        <v>19</v>
      </c>
      <c r="D124" t="s">
        <v>150</v>
      </c>
      <c r="E124" t="s">
        <v>161</v>
      </c>
      <c r="F124" t="s">
        <v>162</v>
      </c>
      <c r="G124" t="s">
        <v>181</v>
      </c>
      <c r="H124" t="s">
        <v>38</v>
      </c>
      <c r="I124">
        <v>58</v>
      </c>
      <c r="J124">
        <v>-167</v>
      </c>
      <c r="K124">
        <v>1982</v>
      </c>
      <c r="M124">
        <v>25</v>
      </c>
      <c r="N124" t="s">
        <v>24</v>
      </c>
      <c r="O124">
        <v>0.8</v>
      </c>
      <c r="P124" t="s">
        <v>15</v>
      </c>
    </row>
    <row r="125" spans="1:16">
      <c r="A125" t="s">
        <v>149</v>
      </c>
      <c r="C125" t="s">
        <v>19</v>
      </c>
      <c r="D125" t="s">
        <v>150</v>
      </c>
      <c r="E125" t="s">
        <v>161</v>
      </c>
      <c r="F125" t="s">
        <v>162</v>
      </c>
      <c r="G125" t="s">
        <v>182</v>
      </c>
      <c r="H125" t="s">
        <v>38</v>
      </c>
      <c r="I125">
        <v>58</v>
      </c>
      <c r="J125">
        <v>-167</v>
      </c>
      <c r="K125">
        <v>1982</v>
      </c>
      <c r="M125">
        <v>25</v>
      </c>
      <c r="N125" t="s">
        <v>24</v>
      </c>
      <c r="O125">
        <v>1.2</v>
      </c>
      <c r="P125" t="s">
        <v>15</v>
      </c>
    </row>
    <row r="126" spans="1:16">
      <c r="A126" t="s">
        <v>149</v>
      </c>
      <c r="C126" t="s">
        <v>19</v>
      </c>
      <c r="D126" t="s">
        <v>150</v>
      </c>
      <c r="E126" t="s">
        <v>161</v>
      </c>
      <c r="F126" t="s">
        <v>162</v>
      </c>
      <c r="G126" t="s">
        <v>183</v>
      </c>
      <c r="H126" t="s">
        <v>38</v>
      </c>
      <c r="I126">
        <v>58</v>
      </c>
      <c r="J126">
        <v>-167</v>
      </c>
      <c r="K126">
        <v>1982</v>
      </c>
      <c r="M126">
        <v>25</v>
      </c>
      <c r="N126" t="s">
        <v>24</v>
      </c>
      <c r="O126">
        <v>2.4</v>
      </c>
      <c r="P126" t="s">
        <v>15</v>
      </c>
    </row>
    <row r="127" spans="1:16">
      <c r="A127" t="s">
        <v>149</v>
      </c>
      <c r="C127" t="s">
        <v>19</v>
      </c>
      <c r="D127" t="s">
        <v>150</v>
      </c>
      <c r="E127" t="s">
        <v>161</v>
      </c>
      <c r="F127" t="s">
        <v>162</v>
      </c>
      <c r="G127" t="s">
        <v>184</v>
      </c>
      <c r="H127" t="s">
        <v>38</v>
      </c>
      <c r="I127">
        <v>58</v>
      </c>
      <c r="J127">
        <v>-167</v>
      </c>
      <c r="K127">
        <v>1982</v>
      </c>
      <c r="M127">
        <v>25</v>
      </c>
      <c r="N127" t="s">
        <v>24</v>
      </c>
      <c r="O127">
        <v>6.4</v>
      </c>
      <c r="P127" t="s">
        <v>15</v>
      </c>
    </row>
    <row r="128" spans="1:16">
      <c r="A128" t="s">
        <v>149</v>
      </c>
      <c r="C128" t="s">
        <v>19</v>
      </c>
      <c r="D128" t="s">
        <v>150</v>
      </c>
      <c r="E128" t="s">
        <v>161</v>
      </c>
      <c r="F128" t="s">
        <v>162</v>
      </c>
      <c r="G128" t="s">
        <v>185</v>
      </c>
      <c r="H128" t="s">
        <v>38</v>
      </c>
      <c r="I128">
        <v>58</v>
      </c>
      <c r="J128">
        <v>-167</v>
      </c>
      <c r="K128">
        <v>1982</v>
      </c>
      <c r="M128">
        <v>25</v>
      </c>
      <c r="N128" t="s">
        <v>24</v>
      </c>
      <c r="O128">
        <v>8.4</v>
      </c>
      <c r="P128" t="s">
        <v>15</v>
      </c>
    </row>
    <row r="129" spans="1:16">
      <c r="A129" t="s">
        <v>149</v>
      </c>
      <c r="C129" t="s">
        <v>19</v>
      </c>
      <c r="D129" t="s">
        <v>150</v>
      </c>
      <c r="E129" t="s">
        <v>161</v>
      </c>
      <c r="F129" t="s">
        <v>162</v>
      </c>
      <c r="G129" t="s">
        <v>186</v>
      </c>
      <c r="H129" t="s">
        <v>38</v>
      </c>
      <c r="I129">
        <v>58</v>
      </c>
      <c r="J129">
        <v>-167</v>
      </c>
      <c r="K129">
        <v>1982</v>
      </c>
      <c r="M129">
        <v>25</v>
      </c>
      <c r="N129" t="s">
        <v>24</v>
      </c>
      <c r="O129">
        <v>9.1999999999999993</v>
      </c>
      <c r="P129" t="s">
        <v>15</v>
      </c>
    </row>
    <row r="130" spans="1:16">
      <c r="A130" t="s">
        <v>149</v>
      </c>
      <c r="C130" t="s">
        <v>19</v>
      </c>
      <c r="D130" t="s">
        <v>150</v>
      </c>
      <c r="E130" t="s">
        <v>161</v>
      </c>
      <c r="F130" t="s">
        <v>162</v>
      </c>
      <c r="G130" t="s">
        <v>187</v>
      </c>
      <c r="H130" t="s">
        <v>38</v>
      </c>
      <c r="I130">
        <v>58</v>
      </c>
      <c r="J130">
        <v>-167</v>
      </c>
      <c r="K130">
        <v>1982</v>
      </c>
      <c r="M130">
        <v>25</v>
      </c>
      <c r="N130" t="s">
        <v>24</v>
      </c>
      <c r="O130">
        <v>10.8</v>
      </c>
      <c r="P130" t="s">
        <v>15</v>
      </c>
    </row>
    <row r="131" spans="1:16">
      <c r="A131" t="s">
        <v>149</v>
      </c>
      <c r="C131" t="s">
        <v>19</v>
      </c>
      <c r="D131" t="s">
        <v>150</v>
      </c>
      <c r="E131" t="s">
        <v>161</v>
      </c>
      <c r="F131" t="s">
        <v>162</v>
      </c>
      <c r="G131" t="s">
        <v>163</v>
      </c>
      <c r="H131" t="s">
        <v>38</v>
      </c>
      <c r="I131">
        <v>58</v>
      </c>
      <c r="J131">
        <v>-167</v>
      </c>
      <c r="K131">
        <v>1982</v>
      </c>
      <c r="M131">
        <v>25</v>
      </c>
      <c r="N131" t="s">
        <v>24</v>
      </c>
      <c r="O131">
        <v>13.6</v>
      </c>
      <c r="P131" t="s">
        <v>15</v>
      </c>
    </row>
    <row r="132" spans="1:16">
      <c r="A132" t="s">
        <v>149</v>
      </c>
      <c r="C132" t="s">
        <v>19</v>
      </c>
      <c r="D132" t="s">
        <v>150</v>
      </c>
      <c r="E132" t="s">
        <v>161</v>
      </c>
      <c r="F132" t="s">
        <v>162</v>
      </c>
      <c r="G132" t="s">
        <v>188</v>
      </c>
      <c r="H132" t="s">
        <v>38</v>
      </c>
      <c r="I132">
        <v>58</v>
      </c>
      <c r="J132">
        <v>-167</v>
      </c>
      <c r="K132">
        <v>1982</v>
      </c>
      <c r="M132">
        <v>25</v>
      </c>
      <c r="N132" t="s">
        <v>24</v>
      </c>
      <c r="O132">
        <v>13.6</v>
      </c>
      <c r="P132" t="s">
        <v>15</v>
      </c>
    </row>
    <row r="133" spans="1:16">
      <c r="A133" t="s">
        <v>149</v>
      </c>
      <c r="C133" t="s">
        <v>19</v>
      </c>
      <c r="D133" t="s">
        <v>150</v>
      </c>
      <c r="E133" t="s">
        <v>161</v>
      </c>
      <c r="F133" t="s">
        <v>162</v>
      </c>
      <c r="G133" t="s">
        <v>189</v>
      </c>
      <c r="H133" t="s">
        <v>38</v>
      </c>
      <c r="I133">
        <v>58</v>
      </c>
      <c r="J133">
        <v>-167</v>
      </c>
      <c r="K133">
        <v>1982</v>
      </c>
      <c r="M133">
        <v>25</v>
      </c>
      <c r="N133" t="s">
        <v>24</v>
      </c>
      <c r="O133">
        <v>15.6</v>
      </c>
      <c r="P133" t="s">
        <v>15</v>
      </c>
    </row>
    <row r="134" spans="1:16">
      <c r="A134" t="s">
        <v>149</v>
      </c>
      <c r="C134" t="s">
        <v>19</v>
      </c>
      <c r="D134" t="s">
        <v>150</v>
      </c>
      <c r="E134" t="s">
        <v>161</v>
      </c>
      <c r="F134" t="s">
        <v>162</v>
      </c>
      <c r="G134" t="s">
        <v>190</v>
      </c>
      <c r="H134" t="s">
        <v>38</v>
      </c>
      <c r="I134">
        <v>58</v>
      </c>
      <c r="J134">
        <v>-167</v>
      </c>
      <c r="K134">
        <v>1982</v>
      </c>
      <c r="M134">
        <v>25</v>
      </c>
      <c r="N134" t="s">
        <v>24</v>
      </c>
      <c r="O134">
        <v>16</v>
      </c>
      <c r="P134" t="s">
        <v>15</v>
      </c>
    </row>
    <row r="135" spans="1:16">
      <c r="A135" t="s">
        <v>149</v>
      </c>
      <c r="C135" t="s">
        <v>19</v>
      </c>
      <c r="D135" t="s">
        <v>150</v>
      </c>
      <c r="E135" t="s">
        <v>161</v>
      </c>
      <c r="F135" t="s">
        <v>162</v>
      </c>
      <c r="G135" t="s">
        <v>191</v>
      </c>
      <c r="H135" t="s">
        <v>38</v>
      </c>
      <c r="I135">
        <v>58</v>
      </c>
      <c r="J135">
        <v>-167</v>
      </c>
      <c r="K135">
        <v>1982</v>
      </c>
      <c r="M135">
        <v>25</v>
      </c>
      <c r="N135" t="s">
        <v>24</v>
      </c>
      <c r="O135">
        <v>16.399999999999999</v>
      </c>
      <c r="P135" t="s">
        <v>15</v>
      </c>
    </row>
    <row r="136" spans="1:16">
      <c r="A136" t="s">
        <v>149</v>
      </c>
      <c r="C136" t="s">
        <v>19</v>
      </c>
      <c r="D136" t="s">
        <v>150</v>
      </c>
      <c r="E136" t="s">
        <v>161</v>
      </c>
      <c r="F136" t="s">
        <v>162</v>
      </c>
      <c r="G136" t="s">
        <v>192</v>
      </c>
      <c r="H136" t="s">
        <v>38</v>
      </c>
      <c r="I136">
        <v>58</v>
      </c>
      <c r="J136">
        <v>-167</v>
      </c>
      <c r="K136">
        <v>1982</v>
      </c>
      <c r="M136">
        <v>25</v>
      </c>
      <c r="N136" t="s">
        <v>24</v>
      </c>
      <c r="O136">
        <v>18.399999999999999</v>
      </c>
      <c r="P136" t="s">
        <v>15</v>
      </c>
    </row>
    <row r="137" spans="1:16">
      <c r="A137" t="s">
        <v>149</v>
      </c>
      <c r="C137" t="s">
        <v>19</v>
      </c>
      <c r="D137" t="s">
        <v>150</v>
      </c>
      <c r="E137" t="s">
        <v>161</v>
      </c>
      <c r="F137" t="s">
        <v>162</v>
      </c>
      <c r="G137" t="s">
        <v>193</v>
      </c>
      <c r="H137" t="s">
        <v>38</v>
      </c>
      <c r="I137">
        <v>58</v>
      </c>
      <c r="J137">
        <v>-167</v>
      </c>
      <c r="K137">
        <v>1982</v>
      </c>
      <c r="M137">
        <v>25</v>
      </c>
      <c r="N137" t="s">
        <v>24</v>
      </c>
      <c r="O137">
        <v>19.2</v>
      </c>
      <c r="P137" t="s">
        <v>15</v>
      </c>
    </row>
    <row r="138" spans="1:16">
      <c r="A138" t="s">
        <v>149</v>
      </c>
      <c r="C138" t="s">
        <v>19</v>
      </c>
      <c r="D138" t="s">
        <v>150</v>
      </c>
      <c r="E138" t="s">
        <v>161</v>
      </c>
      <c r="F138" t="s">
        <v>162</v>
      </c>
      <c r="G138" t="s">
        <v>194</v>
      </c>
      <c r="H138" t="s">
        <v>38</v>
      </c>
      <c r="I138">
        <v>58</v>
      </c>
      <c r="J138">
        <v>-167</v>
      </c>
      <c r="K138">
        <v>1982</v>
      </c>
      <c r="M138">
        <v>25</v>
      </c>
      <c r="N138" t="s">
        <v>24</v>
      </c>
      <c r="O138">
        <v>20.399999999999999</v>
      </c>
      <c r="P138" t="s">
        <v>15</v>
      </c>
    </row>
    <row r="139" spans="1:16">
      <c r="A139" t="s">
        <v>149</v>
      </c>
      <c r="C139" t="s">
        <v>19</v>
      </c>
      <c r="D139" t="s">
        <v>150</v>
      </c>
      <c r="E139" t="s">
        <v>161</v>
      </c>
      <c r="F139" t="s">
        <v>162</v>
      </c>
      <c r="G139" t="s">
        <v>195</v>
      </c>
      <c r="H139" t="s">
        <v>38</v>
      </c>
      <c r="I139">
        <v>58</v>
      </c>
      <c r="J139">
        <v>-167</v>
      </c>
      <c r="K139">
        <v>1982</v>
      </c>
      <c r="M139">
        <v>25</v>
      </c>
      <c r="N139" t="s">
        <v>24</v>
      </c>
      <c r="O139">
        <v>22</v>
      </c>
      <c r="P139" t="s">
        <v>15</v>
      </c>
    </row>
    <row r="140" spans="1:16">
      <c r="A140" t="s">
        <v>149</v>
      </c>
      <c r="C140" t="s">
        <v>19</v>
      </c>
      <c r="D140" t="s">
        <v>150</v>
      </c>
      <c r="E140" t="s">
        <v>161</v>
      </c>
      <c r="F140" t="s">
        <v>162</v>
      </c>
      <c r="G140" t="s">
        <v>196</v>
      </c>
      <c r="H140" t="s">
        <v>38</v>
      </c>
      <c r="I140">
        <v>58</v>
      </c>
      <c r="J140">
        <v>-167</v>
      </c>
      <c r="K140">
        <v>1982</v>
      </c>
      <c r="M140">
        <v>25</v>
      </c>
      <c r="N140" t="s">
        <v>24</v>
      </c>
      <c r="O140">
        <v>22.8</v>
      </c>
      <c r="P140" t="s">
        <v>15</v>
      </c>
    </row>
    <row r="141" spans="1:16">
      <c r="A141" t="s">
        <v>149</v>
      </c>
      <c r="C141" t="s">
        <v>19</v>
      </c>
      <c r="D141" t="s">
        <v>150</v>
      </c>
      <c r="E141" t="s">
        <v>161</v>
      </c>
      <c r="F141" t="s">
        <v>162</v>
      </c>
      <c r="G141" t="s">
        <v>197</v>
      </c>
      <c r="H141" t="s">
        <v>38</v>
      </c>
      <c r="I141">
        <v>58</v>
      </c>
      <c r="J141">
        <v>-167</v>
      </c>
      <c r="K141">
        <v>1982</v>
      </c>
      <c r="M141">
        <v>25</v>
      </c>
      <c r="N141" t="s">
        <v>24</v>
      </c>
      <c r="O141">
        <v>24</v>
      </c>
      <c r="P141" t="s">
        <v>15</v>
      </c>
    </row>
    <row r="142" spans="1:16">
      <c r="A142" t="s">
        <v>149</v>
      </c>
      <c r="C142" t="s">
        <v>19</v>
      </c>
      <c r="D142" t="s">
        <v>150</v>
      </c>
      <c r="E142" t="s">
        <v>161</v>
      </c>
      <c r="F142" t="s">
        <v>162</v>
      </c>
      <c r="G142" t="s">
        <v>198</v>
      </c>
      <c r="H142" t="s">
        <v>38</v>
      </c>
      <c r="I142">
        <v>58</v>
      </c>
      <c r="J142">
        <v>-167</v>
      </c>
      <c r="K142">
        <v>1982</v>
      </c>
      <c r="M142">
        <v>25</v>
      </c>
      <c r="N142" t="s">
        <v>24</v>
      </c>
      <c r="O142">
        <v>26.4</v>
      </c>
      <c r="P142" t="s">
        <v>15</v>
      </c>
    </row>
    <row r="143" spans="1:16">
      <c r="A143" t="s">
        <v>149</v>
      </c>
      <c r="C143" t="s">
        <v>19</v>
      </c>
      <c r="D143" t="s">
        <v>150</v>
      </c>
      <c r="E143" t="s">
        <v>161</v>
      </c>
      <c r="F143" t="s">
        <v>162</v>
      </c>
      <c r="G143" t="s">
        <v>199</v>
      </c>
      <c r="H143" t="s">
        <v>38</v>
      </c>
      <c r="I143">
        <v>58</v>
      </c>
      <c r="J143">
        <v>-167</v>
      </c>
      <c r="K143">
        <v>1982</v>
      </c>
      <c r="M143">
        <v>25</v>
      </c>
      <c r="N143" t="s">
        <v>24</v>
      </c>
      <c r="O143">
        <v>30.4</v>
      </c>
      <c r="P143" t="s">
        <v>15</v>
      </c>
    </row>
    <row r="144" spans="1:16">
      <c r="A144" t="s">
        <v>149</v>
      </c>
      <c r="C144" t="s">
        <v>19</v>
      </c>
      <c r="D144" t="s">
        <v>150</v>
      </c>
      <c r="E144" t="s">
        <v>161</v>
      </c>
      <c r="F144" t="s">
        <v>162</v>
      </c>
      <c r="G144" t="s">
        <v>200</v>
      </c>
      <c r="H144" t="s">
        <v>38</v>
      </c>
      <c r="I144">
        <v>58</v>
      </c>
      <c r="J144">
        <v>-167</v>
      </c>
      <c r="K144">
        <v>1982</v>
      </c>
      <c r="M144">
        <v>25</v>
      </c>
      <c r="N144" t="s">
        <v>24</v>
      </c>
      <c r="O144">
        <v>30.4</v>
      </c>
      <c r="P144" t="s">
        <v>15</v>
      </c>
    </row>
    <row r="145" spans="1:16">
      <c r="A145" t="s">
        <v>149</v>
      </c>
      <c r="C145" t="s">
        <v>19</v>
      </c>
      <c r="D145" t="s">
        <v>150</v>
      </c>
      <c r="E145" t="s">
        <v>161</v>
      </c>
      <c r="F145" t="s">
        <v>201</v>
      </c>
      <c r="G145" t="s">
        <v>202</v>
      </c>
      <c r="H145" t="s">
        <v>38</v>
      </c>
      <c r="I145">
        <v>58</v>
      </c>
      <c r="J145">
        <v>-167</v>
      </c>
      <c r="K145">
        <v>1982</v>
      </c>
      <c r="M145">
        <v>25</v>
      </c>
      <c r="N145" t="s">
        <v>24</v>
      </c>
      <c r="O145">
        <v>36</v>
      </c>
      <c r="P145" t="s">
        <v>15</v>
      </c>
    </row>
    <row r="146" spans="1:16">
      <c r="A146" t="s">
        <v>149</v>
      </c>
      <c r="C146" t="s">
        <v>19</v>
      </c>
      <c r="D146" t="s">
        <v>150</v>
      </c>
      <c r="E146" t="s">
        <v>161</v>
      </c>
      <c r="F146" t="s">
        <v>162</v>
      </c>
      <c r="G146" t="s">
        <v>203</v>
      </c>
      <c r="H146" t="s">
        <v>38</v>
      </c>
      <c r="I146">
        <v>58</v>
      </c>
      <c r="J146">
        <v>-167</v>
      </c>
      <c r="K146">
        <v>1982</v>
      </c>
      <c r="M146">
        <v>25</v>
      </c>
      <c r="N146" t="s">
        <v>24</v>
      </c>
      <c r="O146">
        <v>39.200000000000003</v>
      </c>
      <c r="P146" t="s">
        <v>15</v>
      </c>
    </row>
    <row r="147" spans="1:16">
      <c r="A147" t="s">
        <v>149</v>
      </c>
      <c r="C147" t="s">
        <v>19</v>
      </c>
      <c r="D147" t="s">
        <v>150</v>
      </c>
      <c r="E147" t="s">
        <v>161</v>
      </c>
      <c r="F147" t="s">
        <v>162</v>
      </c>
      <c r="G147" t="s">
        <v>204</v>
      </c>
      <c r="H147" t="s">
        <v>38</v>
      </c>
      <c r="I147">
        <v>58</v>
      </c>
      <c r="J147">
        <v>-167</v>
      </c>
      <c r="K147">
        <v>1982</v>
      </c>
      <c r="M147">
        <v>25</v>
      </c>
      <c r="N147" t="s">
        <v>24</v>
      </c>
      <c r="O147">
        <v>61.2</v>
      </c>
      <c r="P147" t="s">
        <v>15</v>
      </c>
    </row>
    <row r="148" spans="1:16">
      <c r="A148" t="s">
        <v>149</v>
      </c>
      <c r="C148" t="s">
        <v>19</v>
      </c>
      <c r="D148" t="s">
        <v>150</v>
      </c>
      <c r="E148" t="s">
        <v>161</v>
      </c>
      <c r="F148" t="s">
        <v>162</v>
      </c>
      <c r="G148" t="s">
        <v>205</v>
      </c>
      <c r="H148" t="s">
        <v>38</v>
      </c>
      <c r="I148">
        <v>58</v>
      </c>
      <c r="J148">
        <v>-167</v>
      </c>
      <c r="K148">
        <v>1982</v>
      </c>
      <c r="M148">
        <v>25</v>
      </c>
      <c r="N148" t="s">
        <v>24</v>
      </c>
      <c r="O148">
        <v>94.8</v>
      </c>
      <c r="P148" t="s">
        <v>15</v>
      </c>
    </row>
    <row r="149" spans="1:16">
      <c r="A149" t="s">
        <v>206</v>
      </c>
      <c r="C149" t="s">
        <v>19</v>
      </c>
      <c r="D149" t="s">
        <v>143</v>
      </c>
      <c r="E149" t="s">
        <v>161</v>
      </c>
      <c r="F149" t="s">
        <v>162</v>
      </c>
      <c r="G149" t="s">
        <v>207</v>
      </c>
      <c r="H149" t="s">
        <v>38</v>
      </c>
      <c r="I149">
        <v>40</v>
      </c>
      <c r="J149">
        <v>-71</v>
      </c>
      <c r="K149">
        <v>1968</v>
      </c>
      <c r="M149">
        <v>40</v>
      </c>
      <c r="N149" t="s">
        <v>24</v>
      </c>
      <c r="O149">
        <v>5.7</v>
      </c>
      <c r="P149" t="s">
        <v>15</v>
      </c>
    </row>
    <row r="150" spans="1:16">
      <c r="A150" t="s">
        <v>206</v>
      </c>
      <c r="C150" t="s">
        <v>19</v>
      </c>
      <c r="D150" t="s">
        <v>143</v>
      </c>
      <c r="E150" t="s">
        <v>161</v>
      </c>
      <c r="F150" t="s">
        <v>162</v>
      </c>
      <c r="G150" t="s">
        <v>208</v>
      </c>
      <c r="H150" t="s">
        <v>38</v>
      </c>
      <c r="I150">
        <v>43</v>
      </c>
      <c r="J150">
        <v>-68</v>
      </c>
      <c r="K150">
        <v>1968</v>
      </c>
      <c r="M150">
        <v>40</v>
      </c>
      <c r="N150" t="s">
        <v>24</v>
      </c>
      <c r="O150">
        <v>6.1</v>
      </c>
      <c r="P150" t="s">
        <v>15</v>
      </c>
    </row>
    <row r="151" spans="1:16">
      <c r="A151" t="s">
        <v>206</v>
      </c>
      <c r="C151" t="s">
        <v>19</v>
      </c>
      <c r="D151" t="s">
        <v>143</v>
      </c>
      <c r="E151" t="s">
        <v>161</v>
      </c>
      <c r="F151" t="s">
        <v>162</v>
      </c>
      <c r="G151" t="s">
        <v>209</v>
      </c>
      <c r="H151" t="s">
        <v>38</v>
      </c>
      <c r="I151">
        <v>40</v>
      </c>
      <c r="J151">
        <v>-71</v>
      </c>
      <c r="K151">
        <v>1968</v>
      </c>
      <c r="M151">
        <v>40</v>
      </c>
      <c r="N151" t="s">
        <v>24</v>
      </c>
      <c r="O151">
        <v>9.3000000000000007</v>
      </c>
      <c r="P151" t="s">
        <v>15</v>
      </c>
    </row>
    <row r="152" spans="1:16">
      <c r="A152" t="s">
        <v>206</v>
      </c>
      <c r="C152" t="s">
        <v>19</v>
      </c>
      <c r="D152" t="s">
        <v>143</v>
      </c>
      <c r="E152" t="s">
        <v>161</v>
      </c>
      <c r="F152" t="s">
        <v>162</v>
      </c>
      <c r="G152" t="s">
        <v>210</v>
      </c>
      <c r="H152" t="s">
        <v>38</v>
      </c>
      <c r="I152">
        <v>40</v>
      </c>
      <c r="J152">
        <v>-71</v>
      </c>
      <c r="K152">
        <v>1968</v>
      </c>
      <c r="M152">
        <v>40</v>
      </c>
      <c r="N152" t="s">
        <v>24</v>
      </c>
      <c r="O152">
        <v>14.8</v>
      </c>
      <c r="P152" t="s">
        <v>15</v>
      </c>
    </row>
    <row r="153" spans="1:16">
      <c r="A153" t="s">
        <v>206</v>
      </c>
      <c r="C153" t="s">
        <v>19</v>
      </c>
      <c r="D153" t="s">
        <v>143</v>
      </c>
      <c r="E153" t="s">
        <v>161</v>
      </c>
      <c r="F153" t="s">
        <v>162</v>
      </c>
      <c r="G153" t="s">
        <v>211</v>
      </c>
      <c r="H153" t="s">
        <v>38</v>
      </c>
      <c r="I153">
        <v>40</v>
      </c>
      <c r="J153">
        <v>-71</v>
      </c>
      <c r="K153">
        <v>1968</v>
      </c>
      <c r="M153">
        <v>40</v>
      </c>
      <c r="N153" t="s">
        <v>24</v>
      </c>
      <c r="O153">
        <v>15.5</v>
      </c>
      <c r="P153" t="s">
        <v>15</v>
      </c>
    </row>
    <row r="154" spans="1:16">
      <c r="A154" t="s">
        <v>206</v>
      </c>
      <c r="C154" t="s">
        <v>19</v>
      </c>
      <c r="D154" t="s">
        <v>143</v>
      </c>
      <c r="E154" t="s">
        <v>161</v>
      </c>
      <c r="F154" t="s">
        <v>162</v>
      </c>
      <c r="G154" t="s">
        <v>212</v>
      </c>
      <c r="H154" t="s">
        <v>38</v>
      </c>
      <c r="I154">
        <v>40</v>
      </c>
      <c r="J154">
        <v>-71</v>
      </c>
      <c r="K154">
        <v>1968</v>
      </c>
      <c r="M154">
        <v>40</v>
      </c>
      <c r="N154" t="s">
        <v>24</v>
      </c>
      <c r="O154">
        <v>16.100000000000001</v>
      </c>
      <c r="P154" t="s">
        <v>15</v>
      </c>
    </row>
    <row r="155" spans="1:16">
      <c r="A155" t="s">
        <v>206</v>
      </c>
      <c r="C155" t="s">
        <v>19</v>
      </c>
      <c r="D155" t="s">
        <v>143</v>
      </c>
      <c r="E155" t="s">
        <v>161</v>
      </c>
      <c r="F155" t="s">
        <v>162</v>
      </c>
      <c r="G155" t="s">
        <v>213</v>
      </c>
      <c r="H155" t="s">
        <v>38</v>
      </c>
      <c r="I155">
        <v>40</v>
      </c>
      <c r="J155">
        <v>-71</v>
      </c>
      <c r="K155">
        <v>1968</v>
      </c>
      <c r="M155">
        <v>40</v>
      </c>
      <c r="N155" t="s">
        <v>24</v>
      </c>
      <c r="O155">
        <v>18.7</v>
      </c>
      <c r="P155" t="s">
        <v>15</v>
      </c>
    </row>
    <row r="156" spans="1:16">
      <c r="A156" t="s">
        <v>206</v>
      </c>
      <c r="C156" t="s">
        <v>19</v>
      </c>
      <c r="D156" t="s">
        <v>143</v>
      </c>
      <c r="E156" t="s">
        <v>161</v>
      </c>
      <c r="F156" t="s">
        <v>162</v>
      </c>
      <c r="G156" t="s">
        <v>214</v>
      </c>
      <c r="H156" t="s">
        <v>38</v>
      </c>
      <c r="I156">
        <v>43</v>
      </c>
      <c r="J156">
        <v>-68</v>
      </c>
      <c r="K156">
        <v>1968</v>
      </c>
      <c r="M156">
        <v>40</v>
      </c>
      <c r="N156" t="s">
        <v>24</v>
      </c>
      <c r="O156">
        <v>21</v>
      </c>
      <c r="P156" t="s">
        <v>15</v>
      </c>
    </row>
    <row r="157" spans="1:16">
      <c r="A157" t="s">
        <v>206</v>
      </c>
      <c r="C157" t="s">
        <v>19</v>
      </c>
      <c r="D157" t="s">
        <v>143</v>
      </c>
      <c r="E157" t="s">
        <v>161</v>
      </c>
      <c r="F157" t="s">
        <v>162</v>
      </c>
      <c r="G157" t="s">
        <v>215</v>
      </c>
      <c r="H157" t="s">
        <v>38</v>
      </c>
      <c r="I157">
        <v>43</v>
      </c>
      <c r="J157">
        <v>-68</v>
      </c>
      <c r="K157">
        <v>1968</v>
      </c>
      <c r="M157">
        <v>40</v>
      </c>
      <c r="N157" t="s">
        <v>24</v>
      </c>
      <c r="O157">
        <v>25.7</v>
      </c>
      <c r="P157" t="s">
        <v>15</v>
      </c>
    </row>
    <row r="158" spans="1:16">
      <c r="A158" t="s">
        <v>206</v>
      </c>
      <c r="C158" t="s">
        <v>19</v>
      </c>
      <c r="D158" t="s">
        <v>143</v>
      </c>
      <c r="E158" t="s">
        <v>161</v>
      </c>
      <c r="F158" t="s">
        <v>162</v>
      </c>
      <c r="G158" t="s">
        <v>216</v>
      </c>
      <c r="H158" t="s">
        <v>38</v>
      </c>
      <c r="I158">
        <v>40</v>
      </c>
      <c r="J158">
        <v>-71</v>
      </c>
      <c r="K158">
        <v>1968</v>
      </c>
      <c r="M158">
        <v>40</v>
      </c>
      <c r="N158" t="s">
        <v>24</v>
      </c>
      <c r="O158">
        <v>34.4</v>
      </c>
      <c r="P158" t="s">
        <v>15</v>
      </c>
    </row>
    <row r="159" spans="1:16">
      <c r="A159" t="s">
        <v>206</v>
      </c>
      <c r="C159" t="s">
        <v>19</v>
      </c>
      <c r="D159" t="s">
        <v>143</v>
      </c>
      <c r="E159" t="s">
        <v>161</v>
      </c>
      <c r="F159" t="s">
        <v>162</v>
      </c>
      <c r="G159" t="s">
        <v>207</v>
      </c>
      <c r="H159" t="s">
        <v>38</v>
      </c>
      <c r="I159">
        <v>43</v>
      </c>
      <c r="J159">
        <v>-68</v>
      </c>
      <c r="K159">
        <v>1968</v>
      </c>
      <c r="M159">
        <v>40</v>
      </c>
      <c r="N159" t="s">
        <v>24</v>
      </c>
      <c r="O159">
        <v>35.799999999999997</v>
      </c>
      <c r="P159" t="s">
        <v>15</v>
      </c>
    </row>
    <row r="160" spans="1:16">
      <c r="A160" t="s">
        <v>206</v>
      </c>
      <c r="C160" t="s">
        <v>19</v>
      </c>
      <c r="D160" t="s">
        <v>143</v>
      </c>
      <c r="E160" t="s">
        <v>161</v>
      </c>
      <c r="F160" t="s">
        <v>162</v>
      </c>
      <c r="G160" t="s">
        <v>217</v>
      </c>
      <c r="H160" t="s">
        <v>38</v>
      </c>
      <c r="I160">
        <v>40</v>
      </c>
      <c r="J160">
        <v>-71</v>
      </c>
      <c r="K160">
        <v>1968</v>
      </c>
      <c r="M160">
        <v>40</v>
      </c>
      <c r="N160" t="s">
        <v>24</v>
      </c>
      <c r="O160">
        <v>38.1</v>
      </c>
      <c r="P160" t="s">
        <v>15</v>
      </c>
    </row>
    <row r="161" spans="1:16">
      <c r="A161" t="s">
        <v>206</v>
      </c>
      <c r="C161" t="s">
        <v>19</v>
      </c>
      <c r="D161" t="s">
        <v>143</v>
      </c>
      <c r="E161" t="s">
        <v>161</v>
      </c>
      <c r="F161" t="s">
        <v>162</v>
      </c>
      <c r="G161" t="s">
        <v>218</v>
      </c>
      <c r="H161" t="s">
        <v>38</v>
      </c>
      <c r="I161">
        <v>40</v>
      </c>
      <c r="J161">
        <v>-71</v>
      </c>
      <c r="K161">
        <v>1968</v>
      </c>
      <c r="M161">
        <v>40</v>
      </c>
      <c r="N161" t="s">
        <v>24</v>
      </c>
      <c r="O161">
        <v>43.2</v>
      </c>
      <c r="P161" t="s">
        <v>15</v>
      </c>
    </row>
    <row r="162" spans="1:16">
      <c r="A162" t="s">
        <v>206</v>
      </c>
      <c r="C162" t="s">
        <v>19</v>
      </c>
      <c r="D162" t="s">
        <v>143</v>
      </c>
      <c r="E162" t="s">
        <v>161</v>
      </c>
      <c r="F162" t="s">
        <v>162</v>
      </c>
      <c r="G162" t="s">
        <v>219</v>
      </c>
      <c r="H162" t="s">
        <v>38</v>
      </c>
      <c r="I162">
        <v>40</v>
      </c>
      <c r="J162">
        <v>-71</v>
      </c>
      <c r="K162">
        <v>1968</v>
      </c>
      <c r="M162">
        <v>40</v>
      </c>
      <c r="N162" t="s">
        <v>24</v>
      </c>
      <c r="O162">
        <v>54.7</v>
      </c>
      <c r="P162" t="s">
        <v>15</v>
      </c>
    </row>
    <row r="163" spans="1:16">
      <c r="A163" t="s">
        <v>206</v>
      </c>
      <c r="C163" t="s">
        <v>19</v>
      </c>
      <c r="D163" t="s">
        <v>143</v>
      </c>
      <c r="E163" t="s">
        <v>161</v>
      </c>
      <c r="F163" t="s">
        <v>162</v>
      </c>
      <c r="G163" t="s">
        <v>208</v>
      </c>
      <c r="H163" t="s">
        <v>38</v>
      </c>
      <c r="I163">
        <v>40</v>
      </c>
      <c r="J163">
        <v>-71</v>
      </c>
      <c r="K163">
        <v>1968</v>
      </c>
      <c r="M163">
        <v>40</v>
      </c>
      <c r="N163" t="s">
        <v>24</v>
      </c>
      <c r="O163">
        <v>55.2</v>
      </c>
      <c r="P163" t="s">
        <v>15</v>
      </c>
    </row>
    <row r="164" spans="1:16">
      <c r="A164" t="s">
        <v>220</v>
      </c>
      <c r="C164" t="s">
        <v>19</v>
      </c>
      <c r="D164" t="s">
        <v>150</v>
      </c>
      <c r="E164" t="s">
        <v>47</v>
      </c>
      <c r="F164" t="s">
        <v>47</v>
      </c>
      <c r="G164" t="s">
        <v>179</v>
      </c>
      <c r="H164" t="s">
        <v>29</v>
      </c>
      <c r="I164">
        <v>64</v>
      </c>
      <c r="J164">
        <v>-168</v>
      </c>
      <c r="K164">
        <v>1975</v>
      </c>
      <c r="M164">
        <v>27</v>
      </c>
      <c r="N164" t="s">
        <v>30</v>
      </c>
      <c r="O164">
        <v>-155.4</v>
      </c>
      <c r="P164" t="s">
        <v>15</v>
      </c>
    </row>
    <row r="165" spans="1:16">
      <c r="A165" t="s">
        <v>206</v>
      </c>
      <c r="C165" t="s">
        <v>19</v>
      </c>
      <c r="D165" t="s">
        <v>143</v>
      </c>
      <c r="E165" t="s">
        <v>161</v>
      </c>
      <c r="F165" t="s">
        <v>162</v>
      </c>
      <c r="G165" t="s">
        <v>221</v>
      </c>
      <c r="H165" t="s">
        <v>38</v>
      </c>
      <c r="I165">
        <v>40</v>
      </c>
      <c r="J165">
        <v>-71</v>
      </c>
      <c r="K165">
        <v>1968</v>
      </c>
      <c r="M165">
        <v>40</v>
      </c>
      <c r="N165" t="s">
        <v>24</v>
      </c>
      <c r="O165">
        <v>68.599999999999994</v>
      </c>
      <c r="P165" t="s">
        <v>15</v>
      </c>
    </row>
    <row r="166" spans="1:16">
      <c r="A166" t="s">
        <v>206</v>
      </c>
      <c r="C166" t="s">
        <v>19</v>
      </c>
      <c r="D166" t="s">
        <v>143</v>
      </c>
      <c r="E166" t="s">
        <v>161</v>
      </c>
      <c r="F166" t="s">
        <v>162</v>
      </c>
      <c r="G166" t="s">
        <v>222</v>
      </c>
      <c r="H166" t="s">
        <v>38</v>
      </c>
      <c r="I166">
        <v>40</v>
      </c>
      <c r="J166">
        <v>-71</v>
      </c>
      <c r="K166">
        <v>1968</v>
      </c>
      <c r="M166">
        <v>40</v>
      </c>
      <c r="N166" t="s">
        <v>24</v>
      </c>
      <c r="O166">
        <v>85.3</v>
      </c>
      <c r="P166" t="s">
        <v>15</v>
      </c>
    </row>
    <row r="167" spans="1:16">
      <c r="A167" t="s">
        <v>206</v>
      </c>
      <c r="C167" t="s">
        <v>19</v>
      </c>
      <c r="D167" t="s">
        <v>143</v>
      </c>
      <c r="E167" t="s">
        <v>161</v>
      </c>
      <c r="F167" t="s">
        <v>201</v>
      </c>
      <c r="G167" t="s">
        <v>223</v>
      </c>
      <c r="H167" t="s">
        <v>29</v>
      </c>
      <c r="I167">
        <v>43</v>
      </c>
      <c r="J167">
        <v>-68</v>
      </c>
      <c r="K167">
        <v>1968</v>
      </c>
      <c r="M167">
        <v>40</v>
      </c>
      <c r="N167" t="s">
        <v>84</v>
      </c>
      <c r="O167">
        <v>0</v>
      </c>
      <c r="P167" t="s">
        <v>85</v>
      </c>
    </row>
    <row r="168" spans="1:16">
      <c r="A168" t="s">
        <v>206</v>
      </c>
      <c r="C168" t="s">
        <v>19</v>
      </c>
      <c r="D168" t="s">
        <v>143</v>
      </c>
      <c r="E168" t="s">
        <v>161</v>
      </c>
      <c r="F168" t="s">
        <v>162</v>
      </c>
      <c r="G168" t="s">
        <v>224</v>
      </c>
      <c r="H168" t="s">
        <v>38</v>
      </c>
      <c r="I168">
        <v>40</v>
      </c>
      <c r="J168">
        <v>-71</v>
      </c>
      <c r="K168">
        <v>1968</v>
      </c>
      <c r="M168">
        <v>40</v>
      </c>
      <c r="N168" t="s">
        <v>84</v>
      </c>
      <c r="O168">
        <v>0</v>
      </c>
      <c r="P168" t="s">
        <v>85</v>
      </c>
    </row>
    <row r="169" spans="1:16">
      <c r="A169" t="s">
        <v>206</v>
      </c>
      <c r="C169" t="s">
        <v>19</v>
      </c>
      <c r="D169" t="s">
        <v>143</v>
      </c>
      <c r="E169" t="s">
        <v>161</v>
      </c>
      <c r="F169" t="s">
        <v>162</v>
      </c>
      <c r="G169" t="s">
        <v>225</v>
      </c>
      <c r="H169" t="s">
        <v>38</v>
      </c>
      <c r="I169">
        <v>43</v>
      </c>
      <c r="J169">
        <v>-68</v>
      </c>
      <c r="K169">
        <v>1968</v>
      </c>
      <c r="M169">
        <v>40</v>
      </c>
      <c r="N169" t="s">
        <v>84</v>
      </c>
      <c r="O169">
        <v>0</v>
      </c>
      <c r="P169" t="s">
        <v>85</v>
      </c>
    </row>
    <row r="170" spans="1:16">
      <c r="A170" t="s">
        <v>206</v>
      </c>
      <c r="C170" t="s">
        <v>19</v>
      </c>
      <c r="D170" t="s">
        <v>143</v>
      </c>
      <c r="E170" t="s">
        <v>161</v>
      </c>
      <c r="F170" t="s">
        <v>162</v>
      </c>
      <c r="G170" t="s">
        <v>225</v>
      </c>
      <c r="H170" t="s">
        <v>38</v>
      </c>
      <c r="I170">
        <v>40</v>
      </c>
      <c r="J170">
        <v>-71</v>
      </c>
      <c r="K170">
        <v>1968</v>
      </c>
      <c r="M170">
        <v>40</v>
      </c>
      <c r="N170" t="s">
        <v>84</v>
      </c>
      <c r="O170">
        <v>0</v>
      </c>
      <c r="P170" t="s">
        <v>85</v>
      </c>
    </row>
    <row r="171" spans="1:16">
      <c r="A171" t="s">
        <v>206</v>
      </c>
      <c r="C171" t="s">
        <v>19</v>
      </c>
      <c r="D171" t="s">
        <v>143</v>
      </c>
      <c r="E171" t="s">
        <v>161</v>
      </c>
      <c r="F171" t="s">
        <v>162</v>
      </c>
      <c r="G171" t="s">
        <v>226</v>
      </c>
      <c r="H171" t="s">
        <v>38</v>
      </c>
      <c r="I171">
        <v>43</v>
      </c>
      <c r="J171">
        <v>-68</v>
      </c>
      <c r="K171">
        <v>1968</v>
      </c>
      <c r="M171">
        <v>40</v>
      </c>
      <c r="N171" t="s">
        <v>84</v>
      </c>
      <c r="O171">
        <v>0</v>
      </c>
      <c r="P171" t="s">
        <v>85</v>
      </c>
    </row>
    <row r="172" spans="1:16">
      <c r="A172" t="s">
        <v>206</v>
      </c>
      <c r="C172" t="s">
        <v>19</v>
      </c>
      <c r="D172" t="s">
        <v>143</v>
      </c>
      <c r="E172" t="s">
        <v>161</v>
      </c>
      <c r="F172" t="s">
        <v>162</v>
      </c>
      <c r="G172" t="s">
        <v>227</v>
      </c>
      <c r="H172" t="s">
        <v>38</v>
      </c>
      <c r="I172">
        <v>43</v>
      </c>
      <c r="J172">
        <v>-68</v>
      </c>
      <c r="K172">
        <v>1968</v>
      </c>
      <c r="M172">
        <v>40</v>
      </c>
      <c r="N172" t="s">
        <v>84</v>
      </c>
      <c r="O172">
        <v>0</v>
      </c>
      <c r="P172" t="s">
        <v>85</v>
      </c>
    </row>
    <row r="173" spans="1:16">
      <c r="A173" t="s">
        <v>206</v>
      </c>
      <c r="C173" t="s">
        <v>19</v>
      </c>
      <c r="D173" t="s">
        <v>143</v>
      </c>
      <c r="E173" t="s">
        <v>161</v>
      </c>
      <c r="F173" t="s">
        <v>162</v>
      </c>
      <c r="G173" t="s">
        <v>228</v>
      </c>
      <c r="H173" t="s">
        <v>38</v>
      </c>
      <c r="I173">
        <v>43</v>
      </c>
      <c r="J173">
        <v>-68</v>
      </c>
      <c r="K173">
        <v>1968</v>
      </c>
      <c r="M173">
        <v>40</v>
      </c>
      <c r="N173" t="s">
        <v>84</v>
      </c>
      <c r="O173">
        <v>0</v>
      </c>
      <c r="P173" t="s">
        <v>85</v>
      </c>
    </row>
    <row r="174" spans="1:16">
      <c r="A174" t="s">
        <v>206</v>
      </c>
      <c r="C174" t="s">
        <v>19</v>
      </c>
      <c r="D174" t="s">
        <v>143</v>
      </c>
      <c r="E174" t="s">
        <v>161</v>
      </c>
      <c r="F174" t="s">
        <v>162</v>
      </c>
      <c r="G174" t="s">
        <v>229</v>
      </c>
      <c r="H174" t="s">
        <v>38</v>
      </c>
      <c r="I174">
        <v>40</v>
      </c>
      <c r="J174">
        <v>-71</v>
      </c>
      <c r="K174">
        <v>1968</v>
      </c>
      <c r="M174">
        <v>40</v>
      </c>
      <c r="N174" t="s">
        <v>84</v>
      </c>
      <c r="O174">
        <v>0</v>
      </c>
      <c r="P174" t="s">
        <v>85</v>
      </c>
    </row>
    <row r="175" spans="1:16">
      <c r="A175" t="s">
        <v>206</v>
      </c>
      <c r="C175" t="s">
        <v>19</v>
      </c>
      <c r="D175" t="s">
        <v>143</v>
      </c>
      <c r="E175" t="s">
        <v>161</v>
      </c>
      <c r="F175" t="s">
        <v>162</v>
      </c>
      <c r="G175" t="s">
        <v>230</v>
      </c>
      <c r="H175" t="s">
        <v>38</v>
      </c>
      <c r="I175">
        <v>40</v>
      </c>
      <c r="J175">
        <v>-71</v>
      </c>
      <c r="K175">
        <v>1968</v>
      </c>
      <c r="M175">
        <v>40</v>
      </c>
      <c r="N175" t="s">
        <v>84</v>
      </c>
      <c r="O175">
        <v>0</v>
      </c>
      <c r="P175" t="s">
        <v>85</v>
      </c>
    </row>
    <row r="176" spans="1:16">
      <c r="A176" t="s">
        <v>206</v>
      </c>
      <c r="C176" t="s">
        <v>19</v>
      </c>
      <c r="D176" t="s">
        <v>143</v>
      </c>
      <c r="E176" t="s">
        <v>161</v>
      </c>
      <c r="F176" t="s">
        <v>162</v>
      </c>
      <c r="G176" t="s">
        <v>227</v>
      </c>
      <c r="H176" t="s">
        <v>38</v>
      </c>
      <c r="I176">
        <v>43</v>
      </c>
      <c r="J176">
        <v>-68</v>
      </c>
      <c r="K176">
        <v>1968</v>
      </c>
      <c r="M176">
        <v>40</v>
      </c>
      <c r="N176" t="s">
        <v>84</v>
      </c>
      <c r="O176">
        <v>0</v>
      </c>
      <c r="P176" t="s">
        <v>85</v>
      </c>
    </row>
    <row r="177" spans="1:16">
      <c r="A177" t="s">
        <v>206</v>
      </c>
      <c r="C177" t="s">
        <v>19</v>
      </c>
      <c r="D177" t="s">
        <v>143</v>
      </c>
      <c r="E177" t="s">
        <v>161</v>
      </c>
      <c r="F177" t="s">
        <v>162</v>
      </c>
      <c r="G177" t="s">
        <v>231</v>
      </c>
      <c r="H177" t="s">
        <v>38</v>
      </c>
      <c r="I177">
        <v>40</v>
      </c>
      <c r="J177">
        <v>-71</v>
      </c>
      <c r="K177">
        <v>1968</v>
      </c>
      <c r="M177">
        <v>40</v>
      </c>
      <c r="N177" t="s">
        <v>84</v>
      </c>
      <c r="O177">
        <v>0</v>
      </c>
      <c r="P177" t="s">
        <v>85</v>
      </c>
    </row>
    <row r="178" spans="1:16">
      <c r="A178" t="s">
        <v>206</v>
      </c>
      <c r="C178" t="s">
        <v>19</v>
      </c>
      <c r="D178" t="s">
        <v>143</v>
      </c>
      <c r="E178" t="s">
        <v>161</v>
      </c>
      <c r="F178" t="s">
        <v>162</v>
      </c>
      <c r="G178" t="s">
        <v>232</v>
      </c>
      <c r="H178" t="s">
        <v>38</v>
      </c>
      <c r="I178">
        <v>43</v>
      </c>
      <c r="J178">
        <v>-68</v>
      </c>
      <c r="K178">
        <v>1968</v>
      </c>
      <c r="M178">
        <v>40</v>
      </c>
      <c r="N178" t="s">
        <v>84</v>
      </c>
      <c r="O178">
        <v>0</v>
      </c>
      <c r="P178" t="s">
        <v>85</v>
      </c>
    </row>
    <row r="179" spans="1:16">
      <c r="A179" t="s">
        <v>206</v>
      </c>
      <c r="C179" t="s">
        <v>19</v>
      </c>
      <c r="D179" t="s">
        <v>143</v>
      </c>
      <c r="E179" t="s">
        <v>161</v>
      </c>
      <c r="F179" t="s">
        <v>162</v>
      </c>
      <c r="G179" t="s">
        <v>233</v>
      </c>
      <c r="H179" t="s">
        <v>38</v>
      </c>
      <c r="I179">
        <v>40</v>
      </c>
      <c r="J179">
        <v>-71</v>
      </c>
      <c r="K179">
        <v>1968</v>
      </c>
      <c r="M179">
        <v>40</v>
      </c>
      <c r="N179" t="s">
        <v>84</v>
      </c>
      <c r="O179">
        <v>0</v>
      </c>
      <c r="P179" t="s">
        <v>85</v>
      </c>
    </row>
    <row r="180" spans="1:16">
      <c r="A180" t="s">
        <v>206</v>
      </c>
      <c r="C180" t="s">
        <v>19</v>
      </c>
      <c r="D180" t="s">
        <v>143</v>
      </c>
      <c r="E180" t="s">
        <v>161</v>
      </c>
      <c r="F180" t="s">
        <v>162</v>
      </c>
      <c r="G180" t="s">
        <v>234</v>
      </c>
      <c r="H180" t="s">
        <v>38</v>
      </c>
      <c r="I180">
        <v>43</v>
      </c>
      <c r="J180">
        <v>-68</v>
      </c>
      <c r="K180">
        <v>1968</v>
      </c>
      <c r="M180">
        <v>40</v>
      </c>
      <c r="N180" t="s">
        <v>84</v>
      </c>
      <c r="O180">
        <v>0</v>
      </c>
      <c r="P180" t="s">
        <v>85</v>
      </c>
    </row>
    <row r="181" spans="1:16">
      <c r="A181" t="s">
        <v>206</v>
      </c>
      <c r="C181" t="s">
        <v>19</v>
      </c>
      <c r="D181" t="s">
        <v>143</v>
      </c>
      <c r="E181" t="s">
        <v>161</v>
      </c>
      <c r="F181" t="s">
        <v>162</v>
      </c>
      <c r="G181" t="s">
        <v>235</v>
      </c>
      <c r="H181" t="s">
        <v>38</v>
      </c>
      <c r="I181">
        <v>40</v>
      </c>
      <c r="J181">
        <v>-71</v>
      </c>
      <c r="K181">
        <v>1968</v>
      </c>
      <c r="M181">
        <v>40</v>
      </c>
      <c r="N181" t="s">
        <v>84</v>
      </c>
      <c r="O181">
        <v>0</v>
      </c>
      <c r="P181" t="s">
        <v>85</v>
      </c>
    </row>
    <row r="182" spans="1:16">
      <c r="A182" t="s">
        <v>206</v>
      </c>
      <c r="C182" t="s">
        <v>19</v>
      </c>
      <c r="D182" t="s">
        <v>143</v>
      </c>
      <c r="E182" t="s">
        <v>161</v>
      </c>
      <c r="F182" t="s">
        <v>162</v>
      </c>
      <c r="G182" t="s">
        <v>211</v>
      </c>
      <c r="H182" t="s">
        <v>38</v>
      </c>
      <c r="I182">
        <v>43</v>
      </c>
      <c r="J182">
        <v>-68</v>
      </c>
      <c r="K182">
        <v>1968</v>
      </c>
      <c r="M182">
        <v>40</v>
      </c>
      <c r="N182" t="s">
        <v>30</v>
      </c>
      <c r="O182">
        <v>-38.200000000000003</v>
      </c>
      <c r="P182" t="s">
        <v>88</v>
      </c>
    </row>
    <row r="183" spans="1:16">
      <c r="A183" t="s">
        <v>206</v>
      </c>
      <c r="C183" t="s">
        <v>19</v>
      </c>
      <c r="D183" t="s">
        <v>143</v>
      </c>
      <c r="E183" t="s">
        <v>161</v>
      </c>
      <c r="F183" t="s">
        <v>201</v>
      </c>
      <c r="G183" t="s">
        <v>236</v>
      </c>
      <c r="H183" t="s">
        <v>38</v>
      </c>
      <c r="I183">
        <v>40</v>
      </c>
      <c r="J183">
        <v>-71</v>
      </c>
      <c r="K183">
        <v>1968</v>
      </c>
      <c r="M183">
        <v>40</v>
      </c>
      <c r="N183" t="s">
        <v>30</v>
      </c>
      <c r="O183">
        <v>-13.5</v>
      </c>
      <c r="P183" t="s">
        <v>88</v>
      </c>
    </row>
    <row r="184" spans="1:16">
      <c r="A184" t="s">
        <v>206</v>
      </c>
      <c r="C184" t="s">
        <v>19</v>
      </c>
      <c r="D184" t="s">
        <v>143</v>
      </c>
      <c r="E184" t="s">
        <v>161</v>
      </c>
      <c r="F184" t="s">
        <v>162</v>
      </c>
      <c r="G184" t="s">
        <v>210</v>
      </c>
      <c r="H184" t="s">
        <v>38</v>
      </c>
      <c r="I184">
        <v>43</v>
      </c>
      <c r="J184">
        <v>-68</v>
      </c>
      <c r="K184">
        <v>1968</v>
      </c>
      <c r="M184">
        <v>40</v>
      </c>
      <c r="N184" t="s">
        <v>30</v>
      </c>
      <c r="O184">
        <v>-8.3000000000000007</v>
      </c>
      <c r="P184" t="s">
        <v>88</v>
      </c>
    </row>
    <row r="185" spans="1:16">
      <c r="A185" t="s">
        <v>206</v>
      </c>
      <c r="C185" t="s">
        <v>19</v>
      </c>
      <c r="D185" t="s">
        <v>143</v>
      </c>
      <c r="E185" t="s">
        <v>161</v>
      </c>
      <c r="F185" t="s">
        <v>201</v>
      </c>
      <c r="G185" t="s">
        <v>237</v>
      </c>
      <c r="H185" t="s">
        <v>38</v>
      </c>
      <c r="I185">
        <v>40</v>
      </c>
      <c r="J185">
        <v>-71</v>
      </c>
      <c r="K185">
        <v>1968</v>
      </c>
      <c r="M185">
        <v>40</v>
      </c>
      <c r="N185" t="s">
        <v>30</v>
      </c>
      <c r="O185">
        <v>-8.3000000000000007</v>
      </c>
      <c r="P185" t="s">
        <v>88</v>
      </c>
    </row>
    <row r="186" spans="1:16">
      <c r="A186" t="s">
        <v>220</v>
      </c>
      <c r="C186" t="s">
        <v>19</v>
      </c>
      <c r="D186" t="s">
        <v>150</v>
      </c>
      <c r="E186" t="s">
        <v>161</v>
      </c>
      <c r="F186" t="s">
        <v>162</v>
      </c>
      <c r="G186" t="s">
        <v>184</v>
      </c>
      <c r="H186" t="s">
        <v>38</v>
      </c>
      <c r="I186">
        <v>64</v>
      </c>
      <c r="J186">
        <v>-168</v>
      </c>
      <c r="K186">
        <v>1978</v>
      </c>
      <c r="M186">
        <v>25</v>
      </c>
      <c r="N186" t="s">
        <v>24</v>
      </c>
      <c r="O186">
        <v>53.38</v>
      </c>
      <c r="P186" t="s">
        <v>15</v>
      </c>
    </row>
    <row r="187" spans="1:16">
      <c r="A187" t="s">
        <v>238</v>
      </c>
      <c r="C187" t="s">
        <v>19</v>
      </c>
      <c r="D187" t="s">
        <v>20</v>
      </c>
      <c r="E187" t="s">
        <v>161</v>
      </c>
      <c r="F187" t="s">
        <v>162</v>
      </c>
      <c r="G187" t="s">
        <v>239</v>
      </c>
      <c r="H187" t="s">
        <v>38</v>
      </c>
      <c r="I187">
        <v>54.17</v>
      </c>
      <c r="J187">
        <v>2</v>
      </c>
      <c r="K187">
        <v>1977</v>
      </c>
      <c r="M187">
        <v>25</v>
      </c>
      <c r="N187" t="s">
        <v>84</v>
      </c>
      <c r="O187">
        <v>0</v>
      </c>
      <c r="P187" t="s">
        <v>85</v>
      </c>
    </row>
    <row r="188" spans="1:16">
      <c r="A188" t="s">
        <v>238</v>
      </c>
      <c r="C188" t="s">
        <v>19</v>
      </c>
      <c r="D188" t="s">
        <v>20</v>
      </c>
      <c r="E188" t="s">
        <v>161</v>
      </c>
      <c r="F188" t="s">
        <v>162</v>
      </c>
      <c r="G188" t="s">
        <v>240</v>
      </c>
      <c r="H188" t="s">
        <v>38</v>
      </c>
      <c r="I188">
        <v>55.4</v>
      </c>
      <c r="J188">
        <v>2</v>
      </c>
      <c r="K188">
        <v>1977</v>
      </c>
      <c r="M188">
        <v>25</v>
      </c>
      <c r="N188" t="s">
        <v>24</v>
      </c>
      <c r="O188">
        <v>69.930000000000007</v>
      </c>
      <c r="P188" t="s">
        <v>15</v>
      </c>
    </row>
    <row r="189" spans="1:16">
      <c r="A189" t="s">
        <v>238</v>
      </c>
      <c r="C189" t="s">
        <v>19</v>
      </c>
      <c r="D189" t="s">
        <v>20</v>
      </c>
      <c r="E189" t="s">
        <v>161</v>
      </c>
      <c r="F189" t="s">
        <v>162</v>
      </c>
      <c r="G189" t="s">
        <v>241</v>
      </c>
      <c r="H189" t="s">
        <v>38</v>
      </c>
      <c r="I189">
        <v>53.3</v>
      </c>
      <c r="J189">
        <v>2</v>
      </c>
      <c r="K189">
        <v>1977</v>
      </c>
      <c r="M189">
        <v>25</v>
      </c>
      <c r="N189" t="s">
        <v>84</v>
      </c>
      <c r="O189">
        <v>0</v>
      </c>
      <c r="P189" t="s">
        <v>85</v>
      </c>
    </row>
    <row r="190" spans="1:16">
      <c r="A190" t="s">
        <v>238</v>
      </c>
      <c r="C190" t="s">
        <v>19</v>
      </c>
      <c r="D190" t="s">
        <v>20</v>
      </c>
      <c r="E190" t="s">
        <v>161</v>
      </c>
      <c r="F190" t="s">
        <v>162</v>
      </c>
      <c r="G190" t="s">
        <v>242</v>
      </c>
      <c r="H190" t="s">
        <v>38</v>
      </c>
      <c r="I190">
        <v>56.13</v>
      </c>
      <c r="J190">
        <v>2</v>
      </c>
      <c r="K190">
        <v>1977</v>
      </c>
      <c r="M190">
        <v>25</v>
      </c>
      <c r="N190" t="s">
        <v>24</v>
      </c>
      <c r="O190">
        <v>39.96</v>
      </c>
      <c r="P190" t="s">
        <v>15</v>
      </c>
    </row>
    <row r="191" spans="1:16">
      <c r="A191" t="s">
        <v>238</v>
      </c>
      <c r="C191" t="s">
        <v>19</v>
      </c>
      <c r="D191" t="s">
        <v>20</v>
      </c>
      <c r="E191" t="s">
        <v>161</v>
      </c>
      <c r="F191" t="s">
        <v>162</v>
      </c>
      <c r="G191" t="s">
        <v>210</v>
      </c>
      <c r="H191" t="s">
        <v>38</v>
      </c>
      <c r="I191">
        <v>56.81</v>
      </c>
      <c r="J191">
        <v>2</v>
      </c>
      <c r="K191">
        <v>1977</v>
      </c>
      <c r="M191">
        <v>25</v>
      </c>
      <c r="N191" t="s">
        <v>24</v>
      </c>
      <c r="O191">
        <v>38.85</v>
      </c>
      <c r="P191" t="s">
        <v>15</v>
      </c>
    </row>
    <row r="192" spans="1:16">
      <c r="A192" t="s">
        <v>238</v>
      </c>
      <c r="C192" t="s">
        <v>19</v>
      </c>
      <c r="D192" t="s">
        <v>20</v>
      </c>
      <c r="E192" t="s">
        <v>161</v>
      </c>
      <c r="F192" t="s">
        <v>162</v>
      </c>
      <c r="G192" t="s">
        <v>228</v>
      </c>
      <c r="H192" t="s">
        <v>38</v>
      </c>
      <c r="I192">
        <v>57.62</v>
      </c>
      <c r="J192">
        <v>2</v>
      </c>
      <c r="K192">
        <v>1977</v>
      </c>
      <c r="M192">
        <v>25</v>
      </c>
      <c r="N192" t="s">
        <v>84</v>
      </c>
      <c r="O192">
        <v>0</v>
      </c>
      <c r="P192" t="s">
        <v>85</v>
      </c>
    </row>
    <row r="193" spans="1:16">
      <c r="A193" t="s">
        <v>238</v>
      </c>
      <c r="C193" t="s">
        <v>19</v>
      </c>
      <c r="D193" t="s">
        <v>20</v>
      </c>
      <c r="E193" t="s">
        <v>161</v>
      </c>
      <c r="F193" t="s">
        <v>162</v>
      </c>
      <c r="G193" t="s">
        <v>243</v>
      </c>
      <c r="H193" t="s">
        <v>38</v>
      </c>
      <c r="I193">
        <v>60.51</v>
      </c>
      <c r="J193">
        <v>2</v>
      </c>
      <c r="K193">
        <v>1977</v>
      </c>
      <c r="M193">
        <v>25</v>
      </c>
      <c r="N193" t="s">
        <v>24</v>
      </c>
      <c r="O193">
        <v>23.31</v>
      </c>
      <c r="P193" t="s">
        <v>15</v>
      </c>
    </row>
    <row r="194" spans="1:16">
      <c r="A194" t="s">
        <v>238</v>
      </c>
      <c r="C194" t="s">
        <v>19</v>
      </c>
      <c r="D194" t="s">
        <v>20</v>
      </c>
      <c r="E194" t="s">
        <v>161</v>
      </c>
      <c r="F194" t="s">
        <v>162</v>
      </c>
      <c r="G194" t="s">
        <v>244</v>
      </c>
      <c r="H194" t="s">
        <v>38</v>
      </c>
      <c r="I194">
        <v>57.99</v>
      </c>
      <c r="J194">
        <v>2</v>
      </c>
      <c r="K194">
        <v>1977</v>
      </c>
      <c r="M194">
        <v>25</v>
      </c>
      <c r="N194" t="s">
        <v>24</v>
      </c>
      <c r="O194">
        <v>78</v>
      </c>
      <c r="P194" t="s">
        <v>15</v>
      </c>
    </row>
    <row r="195" spans="1:16">
      <c r="A195" t="s">
        <v>238</v>
      </c>
      <c r="C195" t="s">
        <v>19</v>
      </c>
      <c r="D195" t="s">
        <v>20</v>
      </c>
      <c r="E195" t="s">
        <v>161</v>
      </c>
      <c r="F195" t="s">
        <v>162</v>
      </c>
      <c r="G195" t="s">
        <v>245</v>
      </c>
      <c r="H195" t="s">
        <v>38</v>
      </c>
      <c r="I195">
        <v>56.52</v>
      </c>
      <c r="J195">
        <v>2</v>
      </c>
      <c r="K195">
        <v>1977</v>
      </c>
      <c r="M195">
        <v>25</v>
      </c>
      <c r="N195" t="s">
        <v>24</v>
      </c>
      <c r="O195">
        <v>118.77</v>
      </c>
      <c r="P195" t="s">
        <v>15</v>
      </c>
    </row>
    <row r="196" spans="1:16">
      <c r="A196" t="s">
        <v>238</v>
      </c>
      <c r="C196" t="s">
        <v>19</v>
      </c>
      <c r="D196" t="s">
        <v>20</v>
      </c>
      <c r="E196" t="s">
        <v>161</v>
      </c>
      <c r="F196" t="s">
        <v>162</v>
      </c>
      <c r="G196" t="s">
        <v>225</v>
      </c>
      <c r="H196" t="s">
        <v>38</v>
      </c>
      <c r="I196">
        <v>57.91</v>
      </c>
      <c r="J196">
        <v>2</v>
      </c>
      <c r="K196">
        <v>1977</v>
      </c>
      <c r="M196">
        <v>25</v>
      </c>
      <c r="N196" t="s">
        <v>84</v>
      </c>
      <c r="O196">
        <v>0</v>
      </c>
      <c r="P196" t="s">
        <v>85</v>
      </c>
    </row>
    <row r="197" spans="1:16">
      <c r="A197" t="s">
        <v>238</v>
      </c>
      <c r="C197" t="s">
        <v>19</v>
      </c>
      <c r="D197" t="s">
        <v>20</v>
      </c>
      <c r="E197" t="s">
        <v>161</v>
      </c>
      <c r="F197" t="s">
        <v>162</v>
      </c>
      <c r="G197" t="s">
        <v>246</v>
      </c>
      <c r="H197" t="s">
        <v>38</v>
      </c>
      <c r="I197">
        <v>56.57</v>
      </c>
      <c r="J197">
        <v>2</v>
      </c>
      <c r="K197">
        <v>1977</v>
      </c>
      <c r="M197">
        <v>25</v>
      </c>
      <c r="N197" t="s">
        <v>84</v>
      </c>
      <c r="O197">
        <v>0</v>
      </c>
      <c r="P197" t="s">
        <v>85</v>
      </c>
    </row>
    <row r="198" spans="1:16">
      <c r="A198" t="s">
        <v>238</v>
      </c>
      <c r="C198" t="s">
        <v>19</v>
      </c>
      <c r="D198" t="s">
        <v>20</v>
      </c>
      <c r="E198" t="s">
        <v>161</v>
      </c>
      <c r="F198" t="s">
        <v>162</v>
      </c>
      <c r="G198" t="s">
        <v>247</v>
      </c>
      <c r="H198" t="s">
        <v>38</v>
      </c>
      <c r="I198">
        <v>56.05</v>
      </c>
      <c r="J198">
        <v>2</v>
      </c>
      <c r="K198">
        <v>1977</v>
      </c>
      <c r="M198">
        <v>25</v>
      </c>
      <c r="N198" t="s">
        <v>24</v>
      </c>
      <c r="O198">
        <v>61.05</v>
      </c>
      <c r="P198" t="s">
        <v>15</v>
      </c>
    </row>
    <row r="199" spans="1:16">
      <c r="A199" t="s">
        <v>238</v>
      </c>
      <c r="C199" t="s">
        <v>19</v>
      </c>
      <c r="D199" t="s">
        <v>20</v>
      </c>
      <c r="E199" t="s">
        <v>161</v>
      </c>
      <c r="F199" t="s">
        <v>162</v>
      </c>
      <c r="G199" t="s">
        <v>248</v>
      </c>
      <c r="H199" t="s">
        <v>38</v>
      </c>
      <c r="I199">
        <v>53.29</v>
      </c>
      <c r="J199">
        <v>2</v>
      </c>
      <c r="K199">
        <v>1977</v>
      </c>
      <c r="M199">
        <v>25</v>
      </c>
      <c r="N199" t="s">
        <v>84</v>
      </c>
      <c r="O199">
        <v>0</v>
      </c>
      <c r="P199" t="s">
        <v>85</v>
      </c>
    </row>
    <row r="200" spans="1:16">
      <c r="A200" t="s">
        <v>238</v>
      </c>
      <c r="C200" t="s">
        <v>19</v>
      </c>
      <c r="D200" t="s">
        <v>20</v>
      </c>
      <c r="E200" t="s">
        <v>161</v>
      </c>
      <c r="F200" t="s">
        <v>162</v>
      </c>
      <c r="G200" t="s">
        <v>249</v>
      </c>
      <c r="H200" t="s">
        <v>38</v>
      </c>
      <c r="I200">
        <v>55.63</v>
      </c>
      <c r="J200">
        <v>2</v>
      </c>
      <c r="K200">
        <v>1977</v>
      </c>
      <c r="M200">
        <v>25</v>
      </c>
      <c r="N200" t="s">
        <v>84</v>
      </c>
      <c r="O200">
        <v>0</v>
      </c>
      <c r="P200" t="s">
        <v>85</v>
      </c>
    </row>
    <row r="201" spans="1:16">
      <c r="A201" t="s">
        <v>141</v>
      </c>
      <c r="C201" t="s">
        <v>19</v>
      </c>
      <c r="D201" t="s">
        <v>20</v>
      </c>
      <c r="E201" t="s">
        <v>36</v>
      </c>
      <c r="F201" t="s">
        <v>36</v>
      </c>
      <c r="G201" t="s">
        <v>250</v>
      </c>
      <c r="H201" t="s">
        <v>23</v>
      </c>
      <c r="I201">
        <v>58.44</v>
      </c>
      <c r="J201">
        <v>-4.3</v>
      </c>
      <c r="K201">
        <v>1952</v>
      </c>
      <c r="M201">
        <v>52</v>
      </c>
      <c r="N201" t="s">
        <v>24</v>
      </c>
      <c r="O201">
        <v>28.95</v>
      </c>
      <c r="P201" t="s">
        <v>15</v>
      </c>
    </row>
    <row r="202" spans="1:16">
      <c r="A202" t="s">
        <v>251</v>
      </c>
      <c r="C202" t="s">
        <v>19</v>
      </c>
      <c r="D202" t="s">
        <v>50</v>
      </c>
      <c r="E202" t="s">
        <v>138</v>
      </c>
      <c r="F202" t="s">
        <v>139</v>
      </c>
      <c r="G202" t="s">
        <v>252</v>
      </c>
      <c r="H202" t="s">
        <v>23</v>
      </c>
      <c r="I202">
        <v>-43.57</v>
      </c>
      <c r="J202">
        <v>146.93</v>
      </c>
      <c r="K202">
        <v>1955</v>
      </c>
      <c r="M202">
        <v>54</v>
      </c>
      <c r="N202" t="s">
        <v>24</v>
      </c>
      <c r="O202">
        <v>3.7</v>
      </c>
      <c r="P202" t="s">
        <v>15</v>
      </c>
    </row>
    <row r="203" spans="1:16">
      <c r="A203" t="s">
        <v>251</v>
      </c>
      <c r="C203" t="s">
        <v>19</v>
      </c>
      <c r="D203" t="s">
        <v>50</v>
      </c>
      <c r="E203" t="s">
        <v>47</v>
      </c>
      <c r="F203" t="s">
        <v>47</v>
      </c>
      <c r="G203" t="s">
        <v>253</v>
      </c>
      <c r="H203" t="s">
        <v>23</v>
      </c>
      <c r="I203">
        <v>-43.57</v>
      </c>
      <c r="J203">
        <v>146.93</v>
      </c>
      <c r="K203">
        <v>1955</v>
      </c>
      <c r="M203">
        <v>54</v>
      </c>
      <c r="N203" t="s">
        <v>24</v>
      </c>
      <c r="O203">
        <v>3.7</v>
      </c>
      <c r="P203" t="s">
        <v>15</v>
      </c>
    </row>
    <row r="204" spans="1:16">
      <c r="A204" t="s">
        <v>251</v>
      </c>
      <c r="C204" t="s">
        <v>19</v>
      </c>
      <c r="D204" t="s">
        <v>50</v>
      </c>
      <c r="E204" t="s">
        <v>47</v>
      </c>
      <c r="F204" t="s">
        <v>47</v>
      </c>
      <c r="G204" t="s">
        <v>254</v>
      </c>
      <c r="H204" t="s">
        <v>23</v>
      </c>
      <c r="I204">
        <v>-43.57</v>
      </c>
      <c r="J204">
        <v>146.93</v>
      </c>
      <c r="K204">
        <v>1955</v>
      </c>
      <c r="M204">
        <v>54</v>
      </c>
      <c r="N204" t="s">
        <v>24</v>
      </c>
      <c r="O204">
        <v>12.9</v>
      </c>
      <c r="P204" t="s">
        <v>15</v>
      </c>
    </row>
    <row r="205" spans="1:16">
      <c r="A205" t="s">
        <v>251</v>
      </c>
      <c r="C205" t="s">
        <v>19</v>
      </c>
      <c r="D205" t="s">
        <v>50</v>
      </c>
      <c r="E205" t="s">
        <v>47</v>
      </c>
      <c r="F205" t="s">
        <v>47</v>
      </c>
      <c r="G205" t="s">
        <v>255</v>
      </c>
      <c r="H205" t="s">
        <v>23</v>
      </c>
      <c r="I205">
        <v>-43.22</v>
      </c>
      <c r="J205">
        <v>147.9</v>
      </c>
      <c r="K205">
        <v>1955</v>
      </c>
      <c r="M205">
        <v>54</v>
      </c>
      <c r="N205" t="s">
        <v>24</v>
      </c>
      <c r="O205">
        <v>46.3</v>
      </c>
      <c r="P205" t="s">
        <v>15</v>
      </c>
    </row>
    <row r="206" spans="1:16">
      <c r="A206" t="s">
        <v>256</v>
      </c>
      <c r="C206" t="s">
        <v>19</v>
      </c>
      <c r="D206" t="s">
        <v>20</v>
      </c>
      <c r="E206" t="s">
        <v>36</v>
      </c>
      <c r="F206" t="s">
        <v>36</v>
      </c>
      <c r="G206" t="s">
        <v>148</v>
      </c>
      <c r="H206" t="s">
        <v>23</v>
      </c>
      <c r="I206">
        <v>53.42</v>
      </c>
      <c r="J206">
        <v>-4.29</v>
      </c>
      <c r="K206">
        <v>1963</v>
      </c>
      <c r="M206">
        <v>42</v>
      </c>
      <c r="N206" t="s">
        <v>24</v>
      </c>
      <c r="O206">
        <v>18</v>
      </c>
      <c r="P206" t="s">
        <v>15</v>
      </c>
    </row>
    <row r="207" spans="1:16">
      <c r="A207" t="s">
        <v>256</v>
      </c>
      <c r="C207" t="s">
        <v>19</v>
      </c>
      <c r="D207" t="s">
        <v>20</v>
      </c>
      <c r="E207" t="s">
        <v>36</v>
      </c>
      <c r="F207" t="s">
        <v>36</v>
      </c>
      <c r="G207" t="s">
        <v>148</v>
      </c>
      <c r="H207" t="s">
        <v>23</v>
      </c>
      <c r="I207">
        <v>54.26</v>
      </c>
      <c r="J207">
        <v>-5.6</v>
      </c>
      <c r="K207">
        <v>1971</v>
      </c>
      <c r="M207">
        <v>33</v>
      </c>
      <c r="N207" t="s">
        <v>24</v>
      </c>
      <c r="O207">
        <v>3</v>
      </c>
      <c r="P207" t="s">
        <v>15</v>
      </c>
    </row>
    <row r="208" spans="1:16">
      <c r="A208" t="s">
        <v>251</v>
      </c>
      <c r="C208" t="s">
        <v>19</v>
      </c>
      <c r="D208" t="s">
        <v>50</v>
      </c>
      <c r="E208" t="s">
        <v>36</v>
      </c>
      <c r="F208" t="s">
        <v>36</v>
      </c>
      <c r="G208" t="s">
        <v>257</v>
      </c>
      <c r="H208" t="s">
        <v>23</v>
      </c>
      <c r="I208">
        <v>-43.57</v>
      </c>
      <c r="J208">
        <v>146.93</v>
      </c>
      <c r="K208">
        <v>1955</v>
      </c>
      <c r="M208">
        <v>54</v>
      </c>
      <c r="N208" t="s">
        <v>30</v>
      </c>
      <c r="O208">
        <v>-3.7</v>
      </c>
      <c r="P208" t="s">
        <v>88</v>
      </c>
    </row>
    <row r="209" spans="1:16">
      <c r="A209" t="s">
        <v>251</v>
      </c>
      <c r="C209" t="s">
        <v>19</v>
      </c>
      <c r="D209" t="s">
        <v>50</v>
      </c>
      <c r="E209" t="s">
        <v>36</v>
      </c>
      <c r="F209" t="s">
        <v>36</v>
      </c>
      <c r="G209" t="s">
        <v>258</v>
      </c>
      <c r="H209" t="s">
        <v>23</v>
      </c>
      <c r="I209">
        <v>-43.57</v>
      </c>
      <c r="J209">
        <v>146.93</v>
      </c>
      <c r="K209">
        <v>1955</v>
      </c>
      <c r="M209">
        <v>54</v>
      </c>
      <c r="N209" t="s">
        <v>24</v>
      </c>
      <c r="O209">
        <v>16.7</v>
      </c>
      <c r="P209" t="s">
        <v>15</v>
      </c>
    </row>
    <row r="210" spans="1:16">
      <c r="A210" t="s">
        <v>251</v>
      </c>
      <c r="C210" t="s">
        <v>19</v>
      </c>
      <c r="D210" t="s">
        <v>50</v>
      </c>
      <c r="E210" t="s">
        <v>36</v>
      </c>
      <c r="F210" t="s">
        <v>36</v>
      </c>
      <c r="G210" t="s">
        <v>259</v>
      </c>
      <c r="H210" t="s">
        <v>23</v>
      </c>
      <c r="I210">
        <v>-43.01</v>
      </c>
      <c r="J210">
        <v>147.93</v>
      </c>
      <c r="K210">
        <v>1955</v>
      </c>
      <c r="M210">
        <v>54</v>
      </c>
      <c r="N210" t="s">
        <v>24</v>
      </c>
      <c r="O210">
        <v>42.6</v>
      </c>
      <c r="P210" t="s">
        <v>15</v>
      </c>
    </row>
    <row r="211" spans="1:16">
      <c r="A211" t="s">
        <v>251</v>
      </c>
      <c r="C211" t="s">
        <v>19</v>
      </c>
      <c r="D211" t="s">
        <v>50</v>
      </c>
      <c r="E211" t="s">
        <v>36</v>
      </c>
      <c r="F211" t="s">
        <v>36</v>
      </c>
      <c r="G211" t="s">
        <v>260</v>
      </c>
      <c r="H211" t="s">
        <v>23</v>
      </c>
      <c r="I211">
        <v>-43.01</v>
      </c>
      <c r="J211">
        <v>147.93</v>
      </c>
      <c r="K211">
        <v>1955</v>
      </c>
      <c r="M211">
        <v>54</v>
      </c>
      <c r="N211" t="s">
        <v>24</v>
      </c>
      <c r="O211">
        <v>23.1</v>
      </c>
      <c r="P211" t="s">
        <v>15</v>
      </c>
    </row>
    <row r="212" spans="1:16">
      <c r="A212" t="s">
        <v>251</v>
      </c>
      <c r="C212" t="s">
        <v>19</v>
      </c>
      <c r="D212" t="s">
        <v>50</v>
      </c>
      <c r="E212" t="s">
        <v>36</v>
      </c>
      <c r="F212" t="s">
        <v>36</v>
      </c>
      <c r="G212" t="s">
        <v>261</v>
      </c>
      <c r="H212" t="s">
        <v>23</v>
      </c>
      <c r="I212">
        <v>-43.01</v>
      </c>
      <c r="J212">
        <v>147.93</v>
      </c>
      <c r="K212">
        <v>1955</v>
      </c>
      <c r="M212">
        <v>54</v>
      </c>
      <c r="N212" t="s">
        <v>24</v>
      </c>
      <c r="O212">
        <v>23.1</v>
      </c>
      <c r="P212" t="s">
        <v>15</v>
      </c>
    </row>
    <row r="213" spans="1:16">
      <c r="A213" t="s">
        <v>251</v>
      </c>
      <c r="C213" t="s">
        <v>19</v>
      </c>
      <c r="D213" t="s">
        <v>50</v>
      </c>
      <c r="E213" t="s">
        <v>138</v>
      </c>
      <c r="F213" t="s">
        <v>139</v>
      </c>
      <c r="G213" t="s">
        <v>262</v>
      </c>
      <c r="H213" t="s">
        <v>23</v>
      </c>
      <c r="I213">
        <v>-43.57</v>
      </c>
      <c r="J213">
        <v>146.93</v>
      </c>
      <c r="K213">
        <v>1955</v>
      </c>
      <c r="M213">
        <v>54</v>
      </c>
      <c r="N213" t="s">
        <v>24</v>
      </c>
      <c r="O213">
        <v>43.5</v>
      </c>
      <c r="P213" t="s">
        <v>15</v>
      </c>
    </row>
    <row r="214" spans="1:16">
      <c r="A214" t="s">
        <v>251</v>
      </c>
      <c r="C214" t="s">
        <v>19</v>
      </c>
      <c r="D214" t="s">
        <v>50</v>
      </c>
      <c r="E214" t="s">
        <v>138</v>
      </c>
      <c r="F214" t="s">
        <v>139</v>
      </c>
      <c r="G214" t="s">
        <v>263</v>
      </c>
      <c r="H214" t="s">
        <v>23</v>
      </c>
      <c r="I214">
        <v>-43.01</v>
      </c>
      <c r="J214">
        <v>147.93</v>
      </c>
      <c r="K214">
        <v>1955</v>
      </c>
      <c r="M214">
        <v>54</v>
      </c>
      <c r="N214" t="s">
        <v>24</v>
      </c>
      <c r="O214">
        <v>22.2</v>
      </c>
      <c r="P214" t="s">
        <v>15</v>
      </c>
    </row>
    <row r="215" spans="1:16">
      <c r="A215" t="s">
        <v>264</v>
      </c>
      <c r="C215" t="s">
        <v>19</v>
      </c>
      <c r="D215" t="s">
        <v>50</v>
      </c>
      <c r="E215" t="s">
        <v>265</v>
      </c>
      <c r="F215" t="s">
        <v>265</v>
      </c>
      <c r="G215" t="s">
        <v>266</v>
      </c>
      <c r="H215" t="s">
        <v>29</v>
      </c>
      <c r="I215">
        <v>-25.9</v>
      </c>
      <c r="J215">
        <v>153.30000000000001</v>
      </c>
      <c r="K215">
        <v>1955</v>
      </c>
      <c r="M215">
        <v>54</v>
      </c>
      <c r="N215" t="s">
        <v>84</v>
      </c>
      <c r="O215">
        <v>0</v>
      </c>
      <c r="P215" t="s">
        <v>85</v>
      </c>
    </row>
    <row r="216" spans="1:16">
      <c r="A216" t="s">
        <v>264</v>
      </c>
      <c r="C216" t="s">
        <v>19</v>
      </c>
      <c r="D216" t="s">
        <v>50</v>
      </c>
      <c r="E216" t="s">
        <v>265</v>
      </c>
      <c r="F216" t="s">
        <v>265</v>
      </c>
      <c r="G216" t="s">
        <v>267</v>
      </c>
      <c r="H216" t="s">
        <v>29</v>
      </c>
      <c r="I216">
        <v>-25.9</v>
      </c>
      <c r="J216">
        <v>153.30000000000001</v>
      </c>
      <c r="K216">
        <v>1955</v>
      </c>
      <c r="M216">
        <v>54</v>
      </c>
      <c r="N216" t="s">
        <v>30</v>
      </c>
      <c r="O216">
        <v>-31.5</v>
      </c>
      <c r="P216" t="s">
        <v>15</v>
      </c>
    </row>
    <row r="217" spans="1:16">
      <c r="A217" t="s">
        <v>264</v>
      </c>
      <c r="C217" t="s">
        <v>19</v>
      </c>
      <c r="D217" t="s">
        <v>50</v>
      </c>
      <c r="E217" t="s">
        <v>138</v>
      </c>
      <c r="F217" t="s">
        <v>139</v>
      </c>
      <c r="G217" t="s">
        <v>252</v>
      </c>
      <c r="H217" t="s">
        <v>29</v>
      </c>
      <c r="I217">
        <v>-27</v>
      </c>
      <c r="J217">
        <v>153.5</v>
      </c>
      <c r="K217">
        <v>1955</v>
      </c>
      <c r="M217">
        <v>54</v>
      </c>
      <c r="N217" t="s">
        <v>24</v>
      </c>
      <c r="O217">
        <v>8.4</v>
      </c>
      <c r="P217" t="s">
        <v>88</v>
      </c>
    </row>
    <row r="218" spans="1:16">
      <c r="A218" t="s">
        <v>251</v>
      </c>
      <c r="C218" t="s">
        <v>19</v>
      </c>
      <c r="D218" t="s">
        <v>50</v>
      </c>
      <c r="E218" t="s">
        <v>36</v>
      </c>
      <c r="F218" t="s">
        <v>36</v>
      </c>
      <c r="G218" t="s">
        <v>268</v>
      </c>
      <c r="H218" t="s">
        <v>23</v>
      </c>
      <c r="I218">
        <v>-43.57</v>
      </c>
      <c r="J218">
        <v>146.93</v>
      </c>
      <c r="K218">
        <v>1955</v>
      </c>
      <c r="M218">
        <v>54</v>
      </c>
      <c r="N218" t="s">
        <v>24</v>
      </c>
      <c r="O218">
        <v>3.7</v>
      </c>
      <c r="P218" t="s">
        <v>15</v>
      </c>
    </row>
    <row r="219" spans="1:16">
      <c r="A219" t="s">
        <v>251</v>
      </c>
      <c r="C219" t="s">
        <v>19</v>
      </c>
      <c r="D219" t="s">
        <v>50</v>
      </c>
      <c r="E219" t="s">
        <v>36</v>
      </c>
      <c r="F219" t="s">
        <v>36</v>
      </c>
      <c r="G219" t="s">
        <v>269</v>
      </c>
      <c r="H219" t="s">
        <v>23</v>
      </c>
      <c r="I219">
        <v>-43.22</v>
      </c>
      <c r="J219">
        <v>147.9</v>
      </c>
      <c r="K219">
        <v>1955</v>
      </c>
      <c r="M219">
        <v>54</v>
      </c>
      <c r="N219" t="s">
        <v>24</v>
      </c>
      <c r="O219">
        <v>22.2</v>
      </c>
      <c r="P219" t="s">
        <v>15</v>
      </c>
    </row>
    <row r="220" spans="1:16">
      <c r="A220" t="s">
        <v>251</v>
      </c>
      <c r="C220" t="s">
        <v>19</v>
      </c>
      <c r="D220" t="s">
        <v>50</v>
      </c>
      <c r="E220" t="s">
        <v>36</v>
      </c>
      <c r="F220" t="s">
        <v>36</v>
      </c>
      <c r="G220" t="s">
        <v>270</v>
      </c>
      <c r="H220" t="s">
        <v>23</v>
      </c>
      <c r="I220">
        <v>-43.57</v>
      </c>
      <c r="J220">
        <v>146.93</v>
      </c>
      <c r="K220">
        <v>1955</v>
      </c>
      <c r="M220">
        <v>54</v>
      </c>
      <c r="N220" t="s">
        <v>24</v>
      </c>
      <c r="O220">
        <v>43.5</v>
      </c>
      <c r="P220" t="s">
        <v>15</v>
      </c>
    </row>
    <row r="221" spans="1:16">
      <c r="A221" t="s">
        <v>264</v>
      </c>
      <c r="C221" t="s">
        <v>19</v>
      </c>
      <c r="D221" t="s">
        <v>50</v>
      </c>
      <c r="E221" t="s">
        <v>36</v>
      </c>
      <c r="F221" t="s">
        <v>36</v>
      </c>
      <c r="G221" t="s">
        <v>271</v>
      </c>
      <c r="H221" t="s">
        <v>29</v>
      </c>
      <c r="I221">
        <v>-25.9</v>
      </c>
      <c r="J221">
        <v>153.30000000000001</v>
      </c>
      <c r="K221">
        <v>1955</v>
      </c>
      <c r="M221">
        <v>54</v>
      </c>
      <c r="N221" t="s">
        <v>30</v>
      </c>
      <c r="O221">
        <v>-62.2</v>
      </c>
      <c r="P221" t="s">
        <v>15</v>
      </c>
    </row>
    <row r="222" spans="1:16">
      <c r="A222" t="s">
        <v>264</v>
      </c>
      <c r="C222" t="s">
        <v>19</v>
      </c>
      <c r="D222" t="s">
        <v>50</v>
      </c>
      <c r="E222" t="s">
        <v>36</v>
      </c>
      <c r="F222" t="s">
        <v>36</v>
      </c>
      <c r="G222" t="s">
        <v>272</v>
      </c>
      <c r="H222" t="s">
        <v>23</v>
      </c>
      <c r="I222">
        <v>-25.3</v>
      </c>
      <c r="J222">
        <v>152.9</v>
      </c>
      <c r="K222">
        <v>1955</v>
      </c>
      <c r="M222">
        <v>54</v>
      </c>
      <c r="N222" t="s">
        <v>84</v>
      </c>
      <c r="O222">
        <v>0</v>
      </c>
      <c r="P222" t="s">
        <v>85</v>
      </c>
    </row>
    <row r="223" spans="1:16">
      <c r="A223" t="s">
        <v>264</v>
      </c>
      <c r="C223" t="s">
        <v>19</v>
      </c>
      <c r="D223" t="s">
        <v>50</v>
      </c>
      <c r="E223" t="s">
        <v>36</v>
      </c>
      <c r="F223" t="s">
        <v>36</v>
      </c>
      <c r="G223" t="s">
        <v>273</v>
      </c>
      <c r="H223" t="s">
        <v>23</v>
      </c>
      <c r="I223">
        <v>-25.3</v>
      </c>
      <c r="J223">
        <v>152.9</v>
      </c>
      <c r="K223">
        <v>1955</v>
      </c>
      <c r="M223">
        <v>54</v>
      </c>
      <c r="N223" t="s">
        <v>24</v>
      </c>
      <c r="O223">
        <v>11.1</v>
      </c>
      <c r="P223" t="s">
        <v>15</v>
      </c>
    </row>
    <row r="224" spans="1:16">
      <c r="A224" t="s">
        <v>264</v>
      </c>
      <c r="C224" t="s">
        <v>19</v>
      </c>
      <c r="D224" t="s">
        <v>50</v>
      </c>
      <c r="E224" t="s">
        <v>36</v>
      </c>
      <c r="F224" t="s">
        <v>36</v>
      </c>
      <c r="G224" t="s">
        <v>274</v>
      </c>
      <c r="H224" t="s">
        <v>23</v>
      </c>
      <c r="I224">
        <v>-25.3</v>
      </c>
      <c r="J224">
        <v>152.9</v>
      </c>
      <c r="K224">
        <v>1955</v>
      </c>
      <c r="M224">
        <v>54</v>
      </c>
      <c r="N224" t="s">
        <v>84</v>
      </c>
      <c r="O224">
        <v>0</v>
      </c>
      <c r="P224" t="s">
        <v>85</v>
      </c>
    </row>
    <row r="225" spans="1:16">
      <c r="A225" t="s">
        <v>264</v>
      </c>
      <c r="C225" t="s">
        <v>19</v>
      </c>
      <c r="D225" t="s">
        <v>50</v>
      </c>
      <c r="E225" t="s">
        <v>36</v>
      </c>
      <c r="F225" t="s">
        <v>36</v>
      </c>
      <c r="G225" t="s">
        <v>275</v>
      </c>
      <c r="H225" t="s">
        <v>23</v>
      </c>
      <c r="I225">
        <v>-25.9</v>
      </c>
      <c r="J225">
        <v>153.30000000000001</v>
      </c>
      <c r="K225">
        <v>1955</v>
      </c>
      <c r="M225">
        <v>54</v>
      </c>
      <c r="N225" t="s">
        <v>24</v>
      </c>
      <c r="O225">
        <v>15.8</v>
      </c>
      <c r="P225" t="s">
        <v>15</v>
      </c>
    </row>
    <row r="226" spans="1:16">
      <c r="A226" t="s">
        <v>264</v>
      </c>
      <c r="C226" t="s">
        <v>19</v>
      </c>
      <c r="D226" t="s">
        <v>50</v>
      </c>
      <c r="E226" t="s">
        <v>36</v>
      </c>
      <c r="F226" t="s">
        <v>36</v>
      </c>
      <c r="G226" t="s">
        <v>276</v>
      </c>
      <c r="H226" t="s">
        <v>23</v>
      </c>
      <c r="I226">
        <v>-27</v>
      </c>
      <c r="J226">
        <v>153.5</v>
      </c>
      <c r="K226">
        <v>1955</v>
      </c>
      <c r="M226">
        <v>54</v>
      </c>
      <c r="N226" t="s">
        <v>24</v>
      </c>
      <c r="O226">
        <v>93.5</v>
      </c>
      <c r="P226" t="s">
        <v>15</v>
      </c>
    </row>
    <row r="227" spans="1:16">
      <c r="A227" t="s">
        <v>264</v>
      </c>
      <c r="C227" t="s">
        <v>19</v>
      </c>
      <c r="D227" t="s">
        <v>50</v>
      </c>
      <c r="E227" t="s">
        <v>36</v>
      </c>
      <c r="F227" t="s">
        <v>36</v>
      </c>
      <c r="G227" t="s">
        <v>277</v>
      </c>
      <c r="H227" t="s">
        <v>29</v>
      </c>
      <c r="I227">
        <v>-25.9</v>
      </c>
      <c r="J227">
        <v>153.30000000000001</v>
      </c>
      <c r="K227">
        <v>1955</v>
      </c>
      <c r="M227">
        <v>54</v>
      </c>
      <c r="N227" t="s">
        <v>84</v>
      </c>
      <c r="O227">
        <v>0</v>
      </c>
      <c r="P227" t="s">
        <v>85</v>
      </c>
    </row>
    <row r="228" spans="1:16">
      <c r="A228" t="s">
        <v>264</v>
      </c>
      <c r="C228" t="s">
        <v>19</v>
      </c>
      <c r="D228" t="s">
        <v>50</v>
      </c>
      <c r="E228" t="s">
        <v>36</v>
      </c>
      <c r="F228" t="s">
        <v>36</v>
      </c>
      <c r="G228" t="s">
        <v>278</v>
      </c>
      <c r="H228" t="s">
        <v>29</v>
      </c>
      <c r="I228">
        <v>-26.8</v>
      </c>
      <c r="J228">
        <v>153.4</v>
      </c>
      <c r="K228">
        <v>1955</v>
      </c>
      <c r="M228">
        <v>54</v>
      </c>
      <c r="N228" t="s">
        <v>279</v>
      </c>
      <c r="O228">
        <v>-41.7</v>
      </c>
      <c r="P228" t="s">
        <v>88</v>
      </c>
    </row>
    <row r="229" spans="1:16">
      <c r="A229" t="s">
        <v>264</v>
      </c>
      <c r="C229" t="s">
        <v>19</v>
      </c>
      <c r="D229" t="s">
        <v>50</v>
      </c>
      <c r="E229" t="s">
        <v>36</v>
      </c>
      <c r="F229" t="s">
        <v>36</v>
      </c>
      <c r="G229" t="s">
        <v>280</v>
      </c>
      <c r="H229" t="s">
        <v>29</v>
      </c>
      <c r="I229">
        <v>-25.9</v>
      </c>
      <c r="J229">
        <v>153.30000000000001</v>
      </c>
      <c r="K229">
        <v>1955</v>
      </c>
      <c r="M229">
        <v>54</v>
      </c>
      <c r="N229" t="s">
        <v>24</v>
      </c>
      <c r="O229">
        <v>72.400000000000006</v>
      </c>
      <c r="P229" t="s">
        <v>88</v>
      </c>
    </row>
    <row r="230" spans="1:16">
      <c r="A230" t="s">
        <v>264</v>
      </c>
      <c r="C230" t="s">
        <v>19</v>
      </c>
      <c r="D230" t="s">
        <v>50</v>
      </c>
      <c r="E230" t="s">
        <v>36</v>
      </c>
      <c r="F230" t="s">
        <v>36</v>
      </c>
      <c r="G230" t="s">
        <v>258</v>
      </c>
      <c r="H230" t="s">
        <v>29</v>
      </c>
      <c r="I230">
        <v>-26.8</v>
      </c>
      <c r="J230">
        <v>153.4</v>
      </c>
      <c r="K230">
        <v>1955</v>
      </c>
      <c r="M230">
        <v>54</v>
      </c>
      <c r="N230" t="s">
        <v>24</v>
      </c>
      <c r="O230">
        <v>41.7</v>
      </c>
      <c r="P230" t="s">
        <v>88</v>
      </c>
    </row>
    <row r="231" spans="1:16">
      <c r="A231" t="s">
        <v>264</v>
      </c>
      <c r="C231" t="s">
        <v>19</v>
      </c>
      <c r="D231" t="s">
        <v>50</v>
      </c>
      <c r="E231" t="s">
        <v>36</v>
      </c>
      <c r="F231" t="s">
        <v>36</v>
      </c>
      <c r="G231" t="s">
        <v>281</v>
      </c>
      <c r="H231" t="s">
        <v>23</v>
      </c>
      <c r="I231">
        <v>-26.4</v>
      </c>
      <c r="J231">
        <v>153.19999999999999</v>
      </c>
      <c r="K231">
        <v>1955</v>
      </c>
      <c r="M231">
        <v>54</v>
      </c>
      <c r="N231" t="s">
        <v>24</v>
      </c>
      <c r="O231">
        <v>24.3</v>
      </c>
      <c r="P231" t="s">
        <v>15</v>
      </c>
    </row>
    <row r="232" spans="1:16">
      <c r="A232" t="s">
        <v>264</v>
      </c>
      <c r="C232" t="s">
        <v>19</v>
      </c>
      <c r="D232" t="s">
        <v>50</v>
      </c>
      <c r="E232" t="s">
        <v>36</v>
      </c>
      <c r="F232" t="s">
        <v>36</v>
      </c>
      <c r="G232" t="s">
        <v>282</v>
      </c>
      <c r="H232" t="s">
        <v>23</v>
      </c>
      <c r="I232">
        <v>-28.1</v>
      </c>
      <c r="J232">
        <v>153.5</v>
      </c>
      <c r="K232">
        <v>1955</v>
      </c>
      <c r="M232">
        <v>54</v>
      </c>
      <c r="N232" t="s">
        <v>30</v>
      </c>
      <c r="O232">
        <v>-68.7</v>
      </c>
      <c r="P232" t="s">
        <v>88</v>
      </c>
    </row>
    <row r="233" spans="1:16">
      <c r="A233" t="s">
        <v>264</v>
      </c>
      <c r="C233" t="s">
        <v>19</v>
      </c>
      <c r="D233" t="s">
        <v>50</v>
      </c>
      <c r="E233" t="s">
        <v>36</v>
      </c>
      <c r="F233" t="s">
        <v>36</v>
      </c>
      <c r="G233" t="s">
        <v>283</v>
      </c>
      <c r="H233" t="s">
        <v>23</v>
      </c>
      <c r="I233">
        <v>-26.8</v>
      </c>
      <c r="J233">
        <v>153.4</v>
      </c>
      <c r="K233">
        <v>1955</v>
      </c>
      <c r="M233">
        <v>54</v>
      </c>
      <c r="N233" t="s">
        <v>24</v>
      </c>
      <c r="O233">
        <v>33.200000000000003</v>
      </c>
      <c r="P233" t="s">
        <v>15</v>
      </c>
    </row>
    <row r="234" spans="1:16">
      <c r="A234" t="s">
        <v>264</v>
      </c>
      <c r="C234" t="s">
        <v>19</v>
      </c>
      <c r="D234" t="s">
        <v>50</v>
      </c>
      <c r="E234" t="s">
        <v>36</v>
      </c>
      <c r="F234" t="s">
        <v>36</v>
      </c>
      <c r="G234" t="s">
        <v>284</v>
      </c>
      <c r="H234" t="s">
        <v>23</v>
      </c>
      <c r="I234">
        <v>-26.8</v>
      </c>
      <c r="J234">
        <v>153.4</v>
      </c>
      <c r="K234">
        <v>1955</v>
      </c>
      <c r="M234">
        <v>54</v>
      </c>
      <c r="N234" t="s">
        <v>30</v>
      </c>
      <c r="O234">
        <v>-17.8</v>
      </c>
      <c r="P234" t="s">
        <v>88</v>
      </c>
    </row>
    <row r="235" spans="1:16">
      <c r="A235" t="s">
        <v>264</v>
      </c>
      <c r="C235" t="s">
        <v>19</v>
      </c>
      <c r="D235" t="s">
        <v>50</v>
      </c>
      <c r="E235" t="s">
        <v>47</v>
      </c>
      <c r="F235" t="s">
        <v>47</v>
      </c>
      <c r="G235" t="s">
        <v>253</v>
      </c>
      <c r="H235" t="s">
        <v>29</v>
      </c>
      <c r="I235">
        <v>-28.1</v>
      </c>
      <c r="J235">
        <v>153.5</v>
      </c>
      <c r="K235">
        <v>1955</v>
      </c>
      <c r="M235">
        <v>54</v>
      </c>
      <c r="N235" t="s">
        <v>30</v>
      </c>
      <c r="O235">
        <v>-26.8</v>
      </c>
      <c r="P235" t="s">
        <v>15</v>
      </c>
    </row>
    <row r="236" spans="1:16">
      <c r="A236" t="s">
        <v>264</v>
      </c>
      <c r="C236" t="s">
        <v>19</v>
      </c>
      <c r="D236" t="s">
        <v>50</v>
      </c>
      <c r="E236" t="s">
        <v>47</v>
      </c>
      <c r="F236" t="s">
        <v>47</v>
      </c>
      <c r="G236" t="s">
        <v>285</v>
      </c>
      <c r="H236" t="s">
        <v>29</v>
      </c>
      <c r="I236">
        <v>-25.9</v>
      </c>
      <c r="J236">
        <v>153.30000000000001</v>
      </c>
      <c r="K236">
        <v>1955</v>
      </c>
      <c r="M236">
        <v>54</v>
      </c>
      <c r="N236" t="s">
        <v>30</v>
      </c>
      <c r="O236">
        <v>-117.4</v>
      </c>
      <c r="P236" t="s">
        <v>15</v>
      </c>
    </row>
    <row r="237" spans="1:16">
      <c r="A237" t="s">
        <v>264</v>
      </c>
      <c r="C237" t="s">
        <v>19</v>
      </c>
      <c r="D237" t="s">
        <v>50</v>
      </c>
      <c r="E237" t="s">
        <v>47</v>
      </c>
      <c r="F237" t="s">
        <v>47</v>
      </c>
      <c r="G237" t="s">
        <v>286</v>
      </c>
      <c r="H237" t="s">
        <v>29</v>
      </c>
      <c r="I237">
        <v>-25.9</v>
      </c>
      <c r="J237">
        <v>153.19999999999999</v>
      </c>
      <c r="K237">
        <v>1955</v>
      </c>
      <c r="M237">
        <v>54</v>
      </c>
      <c r="N237" t="s">
        <v>84</v>
      </c>
      <c r="O237">
        <v>0</v>
      </c>
      <c r="P237" t="s">
        <v>85</v>
      </c>
    </row>
    <row r="238" spans="1:16">
      <c r="A238" t="s">
        <v>264</v>
      </c>
      <c r="C238" t="s">
        <v>19</v>
      </c>
      <c r="D238" t="s">
        <v>50</v>
      </c>
      <c r="E238" t="s">
        <v>47</v>
      </c>
      <c r="F238" t="s">
        <v>47</v>
      </c>
      <c r="G238" t="s">
        <v>287</v>
      </c>
      <c r="H238" t="s">
        <v>23</v>
      </c>
      <c r="I238">
        <v>-30.5</v>
      </c>
      <c r="J238">
        <v>153.1</v>
      </c>
      <c r="K238">
        <v>1955</v>
      </c>
      <c r="M238">
        <v>54</v>
      </c>
      <c r="N238" t="s">
        <v>24</v>
      </c>
      <c r="O238">
        <v>126.7</v>
      </c>
      <c r="P238" t="s">
        <v>15</v>
      </c>
    </row>
    <row r="239" spans="1:16">
      <c r="A239" t="s">
        <v>264</v>
      </c>
      <c r="C239" t="s">
        <v>19</v>
      </c>
      <c r="D239" t="s">
        <v>50</v>
      </c>
      <c r="E239" t="s">
        <v>47</v>
      </c>
      <c r="F239" t="s">
        <v>47</v>
      </c>
      <c r="G239" t="s">
        <v>288</v>
      </c>
      <c r="H239" t="s">
        <v>23</v>
      </c>
      <c r="I239">
        <v>-31.6</v>
      </c>
      <c r="J239">
        <v>152.9</v>
      </c>
      <c r="K239">
        <v>1955</v>
      </c>
      <c r="M239">
        <v>54</v>
      </c>
      <c r="N239" t="s">
        <v>24</v>
      </c>
      <c r="O239">
        <v>131.5</v>
      </c>
      <c r="P239" t="s">
        <v>15</v>
      </c>
    </row>
    <row r="240" spans="1:16">
      <c r="A240" t="s">
        <v>264</v>
      </c>
      <c r="C240" t="s">
        <v>19</v>
      </c>
      <c r="D240" t="s">
        <v>50</v>
      </c>
      <c r="E240" t="s">
        <v>47</v>
      </c>
      <c r="F240" t="s">
        <v>47</v>
      </c>
      <c r="G240" t="s">
        <v>255</v>
      </c>
      <c r="H240" t="s">
        <v>29</v>
      </c>
      <c r="I240">
        <v>-25.9</v>
      </c>
      <c r="J240">
        <v>153.30000000000001</v>
      </c>
      <c r="K240">
        <v>1955</v>
      </c>
      <c r="M240">
        <v>54</v>
      </c>
      <c r="N240" t="s">
        <v>30</v>
      </c>
      <c r="O240">
        <v>-9.6</v>
      </c>
      <c r="P240" t="s">
        <v>15</v>
      </c>
    </row>
    <row r="241" spans="1:16">
      <c r="A241" t="s">
        <v>264</v>
      </c>
      <c r="C241" t="s">
        <v>19</v>
      </c>
      <c r="D241" t="s">
        <v>50</v>
      </c>
      <c r="E241" t="s">
        <v>47</v>
      </c>
      <c r="F241" t="s">
        <v>47</v>
      </c>
      <c r="G241" t="s">
        <v>289</v>
      </c>
      <c r="H241" t="s">
        <v>29</v>
      </c>
      <c r="I241">
        <v>-23</v>
      </c>
      <c r="J241">
        <v>150.9</v>
      </c>
      <c r="K241">
        <v>1955</v>
      </c>
      <c r="M241">
        <v>54</v>
      </c>
      <c r="N241" t="s">
        <v>30</v>
      </c>
      <c r="O241">
        <v>-27.7</v>
      </c>
      <c r="P241" t="s">
        <v>15</v>
      </c>
    </row>
    <row r="242" spans="1:16">
      <c r="A242" t="s">
        <v>264</v>
      </c>
      <c r="C242" t="s">
        <v>19</v>
      </c>
      <c r="D242" t="s">
        <v>50</v>
      </c>
      <c r="E242" t="s">
        <v>138</v>
      </c>
      <c r="F242" t="s">
        <v>139</v>
      </c>
      <c r="G242" t="s">
        <v>262</v>
      </c>
      <c r="H242" t="s">
        <v>29</v>
      </c>
      <c r="I242">
        <v>-28.1</v>
      </c>
      <c r="J242">
        <v>153.5</v>
      </c>
      <c r="K242">
        <v>1955</v>
      </c>
      <c r="M242">
        <v>54</v>
      </c>
      <c r="N242" t="s">
        <v>30</v>
      </c>
      <c r="O242">
        <v>-15.6</v>
      </c>
      <c r="P242" t="s">
        <v>15</v>
      </c>
    </row>
    <row r="243" spans="1:16">
      <c r="A243" t="s">
        <v>264</v>
      </c>
      <c r="C243" t="s">
        <v>19</v>
      </c>
      <c r="D243" t="s">
        <v>50</v>
      </c>
      <c r="E243" t="s">
        <v>138</v>
      </c>
      <c r="F243" t="s">
        <v>139</v>
      </c>
      <c r="G243" t="s">
        <v>290</v>
      </c>
      <c r="H243" t="s">
        <v>29</v>
      </c>
      <c r="I243">
        <v>-25.9</v>
      </c>
      <c r="J243">
        <v>153.30000000000001</v>
      </c>
      <c r="K243">
        <v>1955</v>
      </c>
      <c r="M243">
        <v>54</v>
      </c>
      <c r="N243" t="s">
        <v>84</v>
      </c>
      <c r="O243">
        <v>0</v>
      </c>
      <c r="P243" t="s">
        <v>85</v>
      </c>
    </row>
    <row r="244" spans="1:16">
      <c r="A244" t="s">
        <v>238</v>
      </c>
      <c r="C244" t="s">
        <v>19</v>
      </c>
      <c r="D244" t="s">
        <v>20</v>
      </c>
      <c r="E244" t="s">
        <v>161</v>
      </c>
      <c r="F244" t="s">
        <v>162</v>
      </c>
      <c r="G244" t="s">
        <v>234</v>
      </c>
      <c r="H244" t="s">
        <v>38</v>
      </c>
      <c r="I244">
        <v>58.14</v>
      </c>
      <c r="J244">
        <v>2</v>
      </c>
      <c r="K244">
        <v>1977</v>
      </c>
      <c r="M244">
        <v>25</v>
      </c>
      <c r="N244" t="s">
        <v>84</v>
      </c>
      <c r="O244">
        <v>0</v>
      </c>
      <c r="P244" t="s">
        <v>85</v>
      </c>
    </row>
    <row r="245" spans="1:16">
      <c r="A245" t="s">
        <v>238</v>
      </c>
      <c r="C245" t="s">
        <v>19</v>
      </c>
      <c r="D245" t="s">
        <v>20</v>
      </c>
      <c r="E245" t="s">
        <v>161</v>
      </c>
      <c r="F245" t="s">
        <v>162</v>
      </c>
      <c r="G245" t="s">
        <v>291</v>
      </c>
      <c r="H245" t="s">
        <v>38</v>
      </c>
      <c r="I245">
        <v>59.59</v>
      </c>
      <c r="J245">
        <v>2</v>
      </c>
      <c r="K245">
        <v>1977</v>
      </c>
      <c r="M245">
        <v>25</v>
      </c>
      <c r="N245" t="s">
        <v>84</v>
      </c>
      <c r="O245">
        <v>0</v>
      </c>
      <c r="P245" t="s">
        <v>85</v>
      </c>
    </row>
    <row r="246" spans="1:16">
      <c r="A246" t="s">
        <v>238</v>
      </c>
      <c r="C246" t="s">
        <v>19</v>
      </c>
      <c r="D246" t="s">
        <v>20</v>
      </c>
      <c r="E246" t="s">
        <v>161</v>
      </c>
      <c r="F246" t="s">
        <v>162</v>
      </c>
      <c r="G246" t="s">
        <v>292</v>
      </c>
      <c r="H246" t="s">
        <v>38</v>
      </c>
      <c r="I246">
        <v>54.14</v>
      </c>
      <c r="J246">
        <v>2</v>
      </c>
      <c r="K246">
        <v>1977</v>
      </c>
      <c r="M246">
        <v>25</v>
      </c>
      <c r="N246" t="s">
        <v>84</v>
      </c>
      <c r="O246">
        <v>0</v>
      </c>
      <c r="P246" t="s">
        <v>85</v>
      </c>
    </row>
    <row r="247" spans="1:16">
      <c r="A247" t="s">
        <v>238</v>
      </c>
      <c r="C247" t="s">
        <v>19</v>
      </c>
      <c r="D247" t="s">
        <v>20</v>
      </c>
      <c r="E247" t="s">
        <v>161</v>
      </c>
      <c r="F247" t="s">
        <v>162</v>
      </c>
      <c r="G247" t="s">
        <v>293</v>
      </c>
      <c r="H247" t="s">
        <v>38</v>
      </c>
      <c r="I247">
        <v>59.83</v>
      </c>
      <c r="J247">
        <v>2</v>
      </c>
      <c r="K247">
        <v>1977</v>
      </c>
      <c r="M247">
        <v>25</v>
      </c>
      <c r="N247" t="s">
        <v>84</v>
      </c>
      <c r="O247">
        <v>0</v>
      </c>
      <c r="P247" t="s">
        <v>85</v>
      </c>
    </row>
    <row r="248" spans="1:16">
      <c r="A248" t="s">
        <v>264</v>
      </c>
      <c r="C248" t="s">
        <v>19</v>
      </c>
      <c r="D248" t="s">
        <v>50</v>
      </c>
      <c r="E248" t="s">
        <v>36</v>
      </c>
      <c r="F248" t="s">
        <v>36</v>
      </c>
      <c r="G248" t="s">
        <v>294</v>
      </c>
      <c r="H248" t="s">
        <v>29</v>
      </c>
      <c r="I248">
        <v>-26.4</v>
      </c>
      <c r="J248">
        <v>153.19999999999999</v>
      </c>
      <c r="K248">
        <v>1955</v>
      </c>
      <c r="M248">
        <v>54</v>
      </c>
      <c r="N248" t="s">
        <v>84</v>
      </c>
      <c r="O248">
        <v>0</v>
      </c>
      <c r="P248" t="s">
        <v>85</v>
      </c>
    </row>
    <row r="249" spans="1:16">
      <c r="A249" t="s">
        <v>264</v>
      </c>
      <c r="C249" t="s">
        <v>19</v>
      </c>
      <c r="D249" t="s">
        <v>50</v>
      </c>
      <c r="E249" t="s">
        <v>36</v>
      </c>
      <c r="F249" t="s">
        <v>36</v>
      </c>
      <c r="G249" t="s">
        <v>269</v>
      </c>
      <c r="H249" t="s">
        <v>29</v>
      </c>
      <c r="I249">
        <v>-25.9</v>
      </c>
      <c r="J249">
        <v>153.30000000000001</v>
      </c>
      <c r="K249">
        <v>1955</v>
      </c>
      <c r="M249">
        <v>54</v>
      </c>
      <c r="N249" t="s">
        <v>84</v>
      </c>
      <c r="O249">
        <v>0</v>
      </c>
      <c r="P249" t="s">
        <v>85</v>
      </c>
    </row>
    <row r="250" spans="1:16">
      <c r="A250" t="s">
        <v>264</v>
      </c>
      <c r="C250" t="s">
        <v>19</v>
      </c>
      <c r="D250" t="s">
        <v>50</v>
      </c>
      <c r="E250" t="s">
        <v>36</v>
      </c>
      <c r="F250" t="s">
        <v>36</v>
      </c>
      <c r="G250" t="s">
        <v>295</v>
      </c>
      <c r="H250" t="s">
        <v>29</v>
      </c>
      <c r="I250">
        <v>-27</v>
      </c>
      <c r="J250">
        <v>153.5</v>
      </c>
      <c r="K250">
        <v>1955</v>
      </c>
      <c r="M250">
        <v>54</v>
      </c>
      <c r="N250" t="s">
        <v>24</v>
      </c>
      <c r="O250">
        <v>8.9</v>
      </c>
      <c r="P250" t="s">
        <v>88</v>
      </c>
    </row>
    <row r="251" spans="1:16">
      <c r="A251" t="s">
        <v>296</v>
      </c>
      <c r="C251" t="s">
        <v>19</v>
      </c>
      <c r="D251" t="s">
        <v>50</v>
      </c>
      <c r="E251" t="s">
        <v>36</v>
      </c>
      <c r="F251" t="s">
        <v>36</v>
      </c>
      <c r="G251" t="s">
        <v>297</v>
      </c>
      <c r="H251" t="s">
        <v>23</v>
      </c>
      <c r="I251">
        <v>-30</v>
      </c>
      <c r="J251">
        <v>-71.7</v>
      </c>
      <c r="K251">
        <v>1962</v>
      </c>
      <c r="M251">
        <v>39</v>
      </c>
      <c r="N251" t="s">
        <v>24</v>
      </c>
      <c r="O251">
        <v>55.13</v>
      </c>
      <c r="P251" t="s">
        <v>15</v>
      </c>
    </row>
    <row r="252" spans="1:16">
      <c r="A252" t="s">
        <v>296</v>
      </c>
      <c r="C252" t="s">
        <v>19</v>
      </c>
      <c r="D252" t="s">
        <v>50</v>
      </c>
      <c r="E252" t="s">
        <v>36</v>
      </c>
      <c r="F252" t="s">
        <v>36</v>
      </c>
      <c r="G252" t="s">
        <v>298</v>
      </c>
      <c r="H252" t="s">
        <v>23</v>
      </c>
      <c r="I252">
        <v>-30</v>
      </c>
      <c r="J252">
        <v>-71.7</v>
      </c>
      <c r="K252">
        <v>1975</v>
      </c>
      <c r="M252">
        <v>26</v>
      </c>
      <c r="N252" t="s">
        <v>24</v>
      </c>
      <c r="O252">
        <v>137.69</v>
      </c>
      <c r="P252" t="s">
        <v>15</v>
      </c>
    </row>
    <row r="253" spans="1:16">
      <c r="A253" t="s">
        <v>296</v>
      </c>
      <c r="C253" t="s">
        <v>19</v>
      </c>
      <c r="D253" t="s">
        <v>50</v>
      </c>
      <c r="E253" t="s">
        <v>36</v>
      </c>
      <c r="F253" t="s">
        <v>36</v>
      </c>
      <c r="G253" t="s">
        <v>299</v>
      </c>
      <c r="H253" t="s">
        <v>23</v>
      </c>
      <c r="I253">
        <v>-30</v>
      </c>
      <c r="J253">
        <v>-71.7</v>
      </c>
      <c r="K253">
        <v>1947</v>
      </c>
      <c r="M253">
        <v>54</v>
      </c>
      <c r="N253" t="s">
        <v>84</v>
      </c>
      <c r="O253">
        <v>0</v>
      </c>
      <c r="P253" t="s">
        <v>85</v>
      </c>
    </row>
    <row r="254" spans="1:16">
      <c r="A254" t="s">
        <v>296</v>
      </c>
      <c r="C254" t="s">
        <v>19</v>
      </c>
      <c r="D254" t="s">
        <v>50</v>
      </c>
      <c r="E254" t="s">
        <v>36</v>
      </c>
      <c r="F254" t="s">
        <v>36</v>
      </c>
      <c r="G254" t="s">
        <v>300</v>
      </c>
      <c r="H254" t="s">
        <v>23</v>
      </c>
      <c r="I254">
        <v>-30</v>
      </c>
      <c r="J254">
        <v>-71.7</v>
      </c>
      <c r="K254">
        <v>1949</v>
      </c>
      <c r="M254">
        <v>52</v>
      </c>
      <c r="N254" t="s">
        <v>84</v>
      </c>
      <c r="O254">
        <v>0</v>
      </c>
      <c r="P254" t="s">
        <v>85</v>
      </c>
    </row>
    <row r="255" spans="1:16">
      <c r="A255" t="s">
        <v>296</v>
      </c>
      <c r="C255" t="s">
        <v>19</v>
      </c>
      <c r="D255" t="s">
        <v>50</v>
      </c>
      <c r="E255" t="s">
        <v>36</v>
      </c>
      <c r="F255" t="s">
        <v>36</v>
      </c>
      <c r="G255" t="s">
        <v>301</v>
      </c>
      <c r="H255" t="s">
        <v>23</v>
      </c>
      <c r="I255">
        <v>-30</v>
      </c>
      <c r="J255">
        <v>-71.7</v>
      </c>
      <c r="K255">
        <v>1958</v>
      </c>
      <c r="M255">
        <v>43</v>
      </c>
      <c r="N255" t="s">
        <v>84</v>
      </c>
      <c r="O255">
        <v>0</v>
      </c>
      <c r="P255" t="s">
        <v>85</v>
      </c>
    </row>
    <row r="256" spans="1:16">
      <c r="A256" t="s">
        <v>296</v>
      </c>
      <c r="C256" t="s">
        <v>19</v>
      </c>
      <c r="D256" t="s">
        <v>50</v>
      </c>
      <c r="E256" t="s">
        <v>36</v>
      </c>
      <c r="F256" t="s">
        <v>36</v>
      </c>
      <c r="G256" t="s">
        <v>302</v>
      </c>
      <c r="H256" t="s">
        <v>23</v>
      </c>
      <c r="I256">
        <v>-30</v>
      </c>
      <c r="J256">
        <v>-71.7</v>
      </c>
      <c r="K256">
        <v>1962</v>
      </c>
      <c r="M256">
        <v>39</v>
      </c>
      <c r="N256" t="s">
        <v>84</v>
      </c>
      <c r="O256">
        <v>0</v>
      </c>
      <c r="P256" t="s">
        <v>85</v>
      </c>
    </row>
    <row r="257" spans="1:16">
      <c r="A257" t="s">
        <v>296</v>
      </c>
      <c r="C257" t="s">
        <v>19</v>
      </c>
      <c r="D257" t="s">
        <v>50</v>
      </c>
      <c r="E257" t="s">
        <v>36</v>
      </c>
      <c r="F257" t="s">
        <v>36</v>
      </c>
      <c r="G257" t="s">
        <v>303</v>
      </c>
      <c r="H257" t="s">
        <v>23</v>
      </c>
      <c r="I257">
        <v>-30</v>
      </c>
      <c r="J257">
        <v>-71.7</v>
      </c>
      <c r="K257">
        <v>1975</v>
      </c>
      <c r="M257">
        <v>26</v>
      </c>
      <c r="N257" t="s">
        <v>84</v>
      </c>
      <c r="O257">
        <v>0</v>
      </c>
      <c r="P257" t="s">
        <v>85</v>
      </c>
    </row>
    <row r="258" spans="1:16">
      <c r="A258" t="s">
        <v>296</v>
      </c>
      <c r="C258" t="s">
        <v>19</v>
      </c>
      <c r="D258" t="s">
        <v>50</v>
      </c>
      <c r="E258" t="s">
        <v>36</v>
      </c>
      <c r="F258" t="s">
        <v>36</v>
      </c>
      <c r="G258" t="s">
        <v>304</v>
      </c>
      <c r="H258" t="s">
        <v>23</v>
      </c>
      <c r="I258">
        <v>-30</v>
      </c>
      <c r="J258">
        <v>-71.7</v>
      </c>
      <c r="K258">
        <v>1947</v>
      </c>
      <c r="M258">
        <v>54</v>
      </c>
      <c r="N258" t="s">
        <v>30</v>
      </c>
      <c r="O258">
        <v>-155.37</v>
      </c>
      <c r="P258" t="s">
        <v>88</v>
      </c>
    </row>
    <row r="259" spans="1:16">
      <c r="A259" t="s">
        <v>238</v>
      </c>
      <c r="C259" t="s">
        <v>19</v>
      </c>
      <c r="D259" t="s">
        <v>20</v>
      </c>
      <c r="E259" t="s">
        <v>161</v>
      </c>
      <c r="F259" t="s">
        <v>162</v>
      </c>
      <c r="G259" t="s">
        <v>305</v>
      </c>
      <c r="H259" t="s">
        <v>38</v>
      </c>
      <c r="I259">
        <v>58.22</v>
      </c>
      <c r="J259">
        <v>2</v>
      </c>
      <c r="K259">
        <v>1977</v>
      </c>
      <c r="M259">
        <v>25</v>
      </c>
      <c r="N259" t="s">
        <v>84</v>
      </c>
      <c r="O259">
        <v>0</v>
      </c>
      <c r="P259" t="s">
        <v>85</v>
      </c>
    </row>
    <row r="260" spans="1:16">
      <c r="A260" t="s">
        <v>296</v>
      </c>
      <c r="C260" t="s">
        <v>19</v>
      </c>
      <c r="D260" t="s">
        <v>50</v>
      </c>
      <c r="E260" t="s">
        <v>36</v>
      </c>
      <c r="F260" t="s">
        <v>36</v>
      </c>
      <c r="G260" t="s">
        <v>306</v>
      </c>
      <c r="H260" t="s">
        <v>23</v>
      </c>
      <c r="I260">
        <v>-30</v>
      </c>
      <c r="J260">
        <v>-71.7</v>
      </c>
      <c r="K260">
        <v>1962</v>
      </c>
      <c r="M260">
        <v>39</v>
      </c>
      <c r="N260" t="s">
        <v>30</v>
      </c>
      <c r="O260">
        <v>-138.72</v>
      </c>
      <c r="P260" t="s">
        <v>88</v>
      </c>
    </row>
    <row r="261" spans="1:16">
      <c r="A261" t="s">
        <v>296</v>
      </c>
      <c r="C261" t="s">
        <v>19</v>
      </c>
      <c r="D261" t="s">
        <v>50</v>
      </c>
      <c r="E261" t="s">
        <v>36</v>
      </c>
      <c r="F261" t="s">
        <v>36</v>
      </c>
      <c r="G261" t="s">
        <v>307</v>
      </c>
      <c r="H261" t="s">
        <v>23</v>
      </c>
      <c r="I261">
        <v>-30</v>
      </c>
      <c r="J261">
        <v>-71.7</v>
      </c>
      <c r="K261">
        <v>1962</v>
      </c>
      <c r="M261">
        <v>39</v>
      </c>
      <c r="N261" t="s">
        <v>30</v>
      </c>
      <c r="O261">
        <v>-96.67</v>
      </c>
      <c r="P261" t="s">
        <v>88</v>
      </c>
    </row>
    <row r="262" spans="1:16">
      <c r="A262" t="s">
        <v>238</v>
      </c>
      <c r="C262" t="s">
        <v>19</v>
      </c>
      <c r="D262" t="s">
        <v>20</v>
      </c>
      <c r="E262" t="s">
        <v>161</v>
      </c>
      <c r="F262" t="s">
        <v>201</v>
      </c>
      <c r="G262" t="s">
        <v>308</v>
      </c>
      <c r="H262" t="s">
        <v>29</v>
      </c>
      <c r="I262">
        <v>58.06</v>
      </c>
      <c r="J262">
        <v>2</v>
      </c>
      <c r="K262">
        <v>1977</v>
      </c>
      <c r="M262">
        <v>25</v>
      </c>
      <c r="N262" t="s">
        <v>84</v>
      </c>
      <c r="O262">
        <v>0</v>
      </c>
      <c r="P262" t="s">
        <v>85</v>
      </c>
    </row>
    <row r="263" spans="1:16">
      <c r="A263" t="s">
        <v>309</v>
      </c>
      <c r="C263" t="s">
        <v>19</v>
      </c>
      <c r="D263" t="s">
        <v>310</v>
      </c>
      <c r="E263" t="s">
        <v>96</v>
      </c>
      <c r="F263" t="s">
        <v>96</v>
      </c>
      <c r="G263" t="s">
        <v>311</v>
      </c>
      <c r="H263" t="s">
        <v>29</v>
      </c>
      <c r="I263">
        <v>-28.87</v>
      </c>
      <c r="J263">
        <v>114.5</v>
      </c>
      <c r="K263">
        <v>1951</v>
      </c>
      <c r="M263">
        <v>50</v>
      </c>
      <c r="N263" t="s">
        <v>30</v>
      </c>
      <c r="O263">
        <v>-1.29</v>
      </c>
      <c r="P263" t="s">
        <v>15</v>
      </c>
    </row>
    <row r="264" spans="1:16">
      <c r="A264" t="s">
        <v>309</v>
      </c>
      <c r="C264" t="s">
        <v>19</v>
      </c>
      <c r="D264" t="s">
        <v>310</v>
      </c>
      <c r="E264" t="s">
        <v>96</v>
      </c>
      <c r="F264" t="s">
        <v>96</v>
      </c>
      <c r="G264" t="s">
        <v>312</v>
      </c>
      <c r="H264" t="s">
        <v>29</v>
      </c>
      <c r="I264">
        <v>-27.7</v>
      </c>
      <c r="J264">
        <v>113.8</v>
      </c>
      <c r="K264">
        <v>1951</v>
      </c>
      <c r="M264">
        <v>50</v>
      </c>
      <c r="N264" t="s">
        <v>30</v>
      </c>
      <c r="O264">
        <v>-1.17</v>
      </c>
      <c r="P264" t="s">
        <v>15</v>
      </c>
    </row>
    <row r="265" spans="1:16">
      <c r="A265" t="s">
        <v>309</v>
      </c>
      <c r="C265" t="s">
        <v>19</v>
      </c>
      <c r="D265" t="s">
        <v>310</v>
      </c>
      <c r="E265" t="s">
        <v>96</v>
      </c>
      <c r="F265" t="s">
        <v>96</v>
      </c>
      <c r="G265" t="s">
        <v>313</v>
      </c>
      <c r="H265" t="s">
        <v>29</v>
      </c>
      <c r="I265">
        <v>-29.26</v>
      </c>
      <c r="J265">
        <v>114.8</v>
      </c>
      <c r="K265">
        <v>1951</v>
      </c>
      <c r="M265">
        <v>50</v>
      </c>
      <c r="N265" t="s">
        <v>30</v>
      </c>
      <c r="O265">
        <v>-1.02</v>
      </c>
      <c r="P265" t="s">
        <v>15</v>
      </c>
    </row>
    <row r="266" spans="1:16">
      <c r="A266" t="s">
        <v>309</v>
      </c>
      <c r="C266" t="s">
        <v>19</v>
      </c>
      <c r="D266" t="s">
        <v>310</v>
      </c>
      <c r="E266" t="s">
        <v>96</v>
      </c>
      <c r="F266" t="s">
        <v>96</v>
      </c>
      <c r="G266" t="s">
        <v>314</v>
      </c>
      <c r="H266" t="s">
        <v>29</v>
      </c>
      <c r="I266">
        <v>-27.71</v>
      </c>
      <c r="J266">
        <v>113.8</v>
      </c>
      <c r="K266">
        <v>1951</v>
      </c>
      <c r="M266">
        <v>50</v>
      </c>
      <c r="N266" t="s">
        <v>30</v>
      </c>
      <c r="O266">
        <v>-0.97</v>
      </c>
      <c r="P266" t="s">
        <v>15</v>
      </c>
    </row>
    <row r="267" spans="1:16">
      <c r="A267" t="s">
        <v>309</v>
      </c>
      <c r="C267" t="s">
        <v>19</v>
      </c>
      <c r="D267" t="s">
        <v>310</v>
      </c>
      <c r="E267" t="s">
        <v>96</v>
      </c>
      <c r="F267" t="s">
        <v>96</v>
      </c>
      <c r="G267" t="s">
        <v>315</v>
      </c>
      <c r="H267" t="s">
        <v>29</v>
      </c>
      <c r="I267">
        <v>-27.71</v>
      </c>
      <c r="J267">
        <v>113.8</v>
      </c>
      <c r="K267">
        <v>1951</v>
      </c>
      <c r="M267">
        <v>50</v>
      </c>
      <c r="N267" t="s">
        <v>30</v>
      </c>
      <c r="O267">
        <v>-0.76</v>
      </c>
      <c r="P267" t="s">
        <v>15</v>
      </c>
    </row>
    <row r="268" spans="1:16">
      <c r="A268" t="s">
        <v>309</v>
      </c>
      <c r="C268" t="s">
        <v>19</v>
      </c>
      <c r="D268" t="s">
        <v>310</v>
      </c>
      <c r="E268" t="s">
        <v>96</v>
      </c>
      <c r="F268" t="s">
        <v>96</v>
      </c>
      <c r="G268" t="s">
        <v>316</v>
      </c>
      <c r="H268" t="s">
        <v>29</v>
      </c>
      <c r="I268">
        <v>-27.71</v>
      </c>
      <c r="J268">
        <v>113.8</v>
      </c>
      <c r="K268">
        <v>1951</v>
      </c>
      <c r="M268">
        <v>50</v>
      </c>
      <c r="N268" t="s">
        <v>30</v>
      </c>
      <c r="O268">
        <v>-0.66</v>
      </c>
      <c r="P268" t="s">
        <v>15</v>
      </c>
    </row>
    <row r="269" spans="1:16">
      <c r="A269" t="s">
        <v>309</v>
      </c>
      <c r="C269" t="s">
        <v>19</v>
      </c>
      <c r="D269" t="s">
        <v>310</v>
      </c>
      <c r="E269" t="s">
        <v>96</v>
      </c>
      <c r="F269" t="s">
        <v>96</v>
      </c>
      <c r="G269" t="s">
        <v>317</v>
      </c>
      <c r="H269" t="s">
        <v>29</v>
      </c>
      <c r="I269">
        <v>-28.79</v>
      </c>
      <c r="J269">
        <v>114.3</v>
      </c>
      <c r="K269">
        <v>1951</v>
      </c>
      <c r="M269">
        <v>50</v>
      </c>
      <c r="N269" t="s">
        <v>30</v>
      </c>
      <c r="O269">
        <v>-0.52</v>
      </c>
      <c r="P269" t="s">
        <v>15</v>
      </c>
    </row>
    <row r="270" spans="1:16">
      <c r="A270" t="s">
        <v>309</v>
      </c>
      <c r="C270" t="s">
        <v>19</v>
      </c>
      <c r="D270" t="s">
        <v>310</v>
      </c>
      <c r="E270" t="s">
        <v>96</v>
      </c>
      <c r="F270" t="s">
        <v>96</v>
      </c>
      <c r="G270" t="s">
        <v>318</v>
      </c>
      <c r="H270" t="s">
        <v>29</v>
      </c>
      <c r="I270">
        <v>-28.79</v>
      </c>
      <c r="J270">
        <v>114.3</v>
      </c>
      <c r="K270">
        <v>1951</v>
      </c>
      <c r="M270">
        <v>50</v>
      </c>
      <c r="N270" t="s">
        <v>30</v>
      </c>
      <c r="O270">
        <v>-0.46</v>
      </c>
      <c r="P270" t="s">
        <v>15</v>
      </c>
    </row>
    <row r="271" spans="1:16">
      <c r="A271" t="s">
        <v>309</v>
      </c>
      <c r="C271" t="s">
        <v>19</v>
      </c>
      <c r="D271" t="s">
        <v>310</v>
      </c>
      <c r="E271" t="s">
        <v>96</v>
      </c>
      <c r="F271" t="s">
        <v>96</v>
      </c>
      <c r="G271" t="s">
        <v>319</v>
      </c>
      <c r="H271" t="s">
        <v>29</v>
      </c>
      <c r="I271">
        <v>-28.79</v>
      </c>
      <c r="J271">
        <v>114.3</v>
      </c>
      <c r="K271">
        <v>1951</v>
      </c>
      <c r="M271">
        <v>50</v>
      </c>
      <c r="N271" t="s">
        <v>24</v>
      </c>
      <c r="O271">
        <v>7.0000000000000007E-2</v>
      </c>
      <c r="P271" t="s">
        <v>88</v>
      </c>
    </row>
    <row r="272" spans="1:16">
      <c r="A272" t="s">
        <v>309</v>
      </c>
      <c r="C272" t="s">
        <v>19</v>
      </c>
      <c r="D272" t="s">
        <v>310</v>
      </c>
      <c r="E272" t="s">
        <v>96</v>
      </c>
      <c r="F272" t="s">
        <v>96</v>
      </c>
      <c r="G272" t="s">
        <v>320</v>
      </c>
      <c r="H272" t="s">
        <v>29</v>
      </c>
      <c r="I272">
        <v>-28.78</v>
      </c>
      <c r="J272">
        <v>114.3</v>
      </c>
      <c r="K272">
        <v>1951</v>
      </c>
      <c r="M272">
        <v>50</v>
      </c>
      <c r="N272" t="s">
        <v>24</v>
      </c>
      <c r="O272">
        <v>0.13</v>
      </c>
      <c r="P272" t="s">
        <v>88</v>
      </c>
    </row>
    <row r="273" spans="1:16">
      <c r="A273" t="s">
        <v>309</v>
      </c>
      <c r="C273" t="s">
        <v>19</v>
      </c>
      <c r="D273" t="s">
        <v>310</v>
      </c>
      <c r="E273" t="s">
        <v>96</v>
      </c>
      <c r="F273" t="s">
        <v>96</v>
      </c>
      <c r="G273" t="s">
        <v>321</v>
      </c>
      <c r="H273" t="s">
        <v>29</v>
      </c>
      <c r="I273">
        <v>-28.79</v>
      </c>
      <c r="J273">
        <v>114.3</v>
      </c>
      <c r="K273">
        <v>1951</v>
      </c>
      <c r="M273">
        <v>50</v>
      </c>
      <c r="N273" t="s">
        <v>24</v>
      </c>
      <c r="O273">
        <v>0.32</v>
      </c>
      <c r="P273" t="s">
        <v>88</v>
      </c>
    </row>
    <row r="274" spans="1:16">
      <c r="A274" t="s">
        <v>309</v>
      </c>
      <c r="C274" t="s">
        <v>19</v>
      </c>
      <c r="D274" t="s">
        <v>310</v>
      </c>
      <c r="E274" t="s">
        <v>96</v>
      </c>
      <c r="F274" t="s">
        <v>96</v>
      </c>
      <c r="G274" t="s">
        <v>322</v>
      </c>
      <c r="H274" t="s">
        <v>29</v>
      </c>
      <c r="I274">
        <v>-28.77</v>
      </c>
      <c r="J274">
        <v>114.3</v>
      </c>
      <c r="K274">
        <v>1951</v>
      </c>
      <c r="M274">
        <v>50</v>
      </c>
      <c r="N274" t="s">
        <v>24</v>
      </c>
      <c r="O274">
        <v>0.4</v>
      </c>
      <c r="P274" t="s">
        <v>88</v>
      </c>
    </row>
    <row r="275" spans="1:16">
      <c r="A275" t="s">
        <v>309</v>
      </c>
      <c r="C275" t="s">
        <v>19</v>
      </c>
      <c r="D275" t="s">
        <v>310</v>
      </c>
      <c r="E275" t="s">
        <v>96</v>
      </c>
      <c r="F275" t="s">
        <v>96</v>
      </c>
      <c r="G275" t="s">
        <v>323</v>
      </c>
      <c r="H275" t="s">
        <v>29</v>
      </c>
      <c r="I275">
        <v>-28.77</v>
      </c>
      <c r="J275">
        <v>114.3</v>
      </c>
      <c r="K275">
        <v>1951</v>
      </c>
      <c r="M275">
        <v>50</v>
      </c>
      <c r="N275" t="s">
        <v>24</v>
      </c>
      <c r="O275">
        <v>0.4</v>
      </c>
      <c r="P275" t="s">
        <v>88</v>
      </c>
    </row>
    <row r="276" spans="1:16">
      <c r="A276" t="s">
        <v>309</v>
      </c>
      <c r="C276" t="s">
        <v>19</v>
      </c>
      <c r="D276" t="s">
        <v>310</v>
      </c>
      <c r="E276" t="s">
        <v>96</v>
      </c>
      <c r="F276" t="s">
        <v>96</v>
      </c>
      <c r="G276" t="s">
        <v>324</v>
      </c>
      <c r="H276" t="s">
        <v>29</v>
      </c>
      <c r="I276">
        <v>-28.93</v>
      </c>
      <c r="J276">
        <v>114.3</v>
      </c>
      <c r="K276">
        <v>1951</v>
      </c>
      <c r="M276">
        <v>50</v>
      </c>
      <c r="N276" t="s">
        <v>24</v>
      </c>
      <c r="O276">
        <v>0.73</v>
      </c>
      <c r="P276" t="s">
        <v>88</v>
      </c>
    </row>
    <row r="277" spans="1:16">
      <c r="A277" t="s">
        <v>309</v>
      </c>
      <c r="C277" t="s">
        <v>19</v>
      </c>
      <c r="D277" t="s">
        <v>310</v>
      </c>
      <c r="E277" t="s">
        <v>96</v>
      </c>
      <c r="F277" t="s">
        <v>96</v>
      </c>
      <c r="G277" t="s">
        <v>325</v>
      </c>
      <c r="H277" t="s">
        <v>29</v>
      </c>
      <c r="I277">
        <v>-29.28</v>
      </c>
      <c r="J277">
        <v>114.9</v>
      </c>
      <c r="K277">
        <v>1951</v>
      </c>
      <c r="M277">
        <v>50</v>
      </c>
      <c r="N277" t="s">
        <v>24</v>
      </c>
      <c r="O277">
        <v>1.58</v>
      </c>
      <c r="P277" t="s">
        <v>88</v>
      </c>
    </row>
    <row r="278" spans="1:16">
      <c r="A278" t="s">
        <v>309</v>
      </c>
      <c r="C278" t="s">
        <v>19</v>
      </c>
      <c r="D278" t="s">
        <v>310</v>
      </c>
      <c r="E278" t="s">
        <v>96</v>
      </c>
      <c r="F278" t="s">
        <v>96</v>
      </c>
      <c r="G278" t="s">
        <v>326</v>
      </c>
      <c r="H278" t="s">
        <v>29</v>
      </c>
      <c r="I278">
        <v>-29.28</v>
      </c>
      <c r="J278">
        <v>114.9</v>
      </c>
      <c r="K278">
        <v>1951</v>
      </c>
      <c r="M278">
        <v>50</v>
      </c>
      <c r="N278" t="s">
        <v>30</v>
      </c>
      <c r="O278">
        <v>-4.7699999999999996</v>
      </c>
      <c r="P278" t="s">
        <v>15</v>
      </c>
    </row>
    <row r="279" spans="1:16">
      <c r="A279" t="s">
        <v>309</v>
      </c>
      <c r="C279" t="s">
        <v>19</v>
      </c>
      <c r="D279" t="s">
        <v>310</v>
      </c>
      <c r="E279" t="s">
        <v>96</v>
      </c>
      <c r="F279" t="s">
        <v>96</v>
      </c>
      <c r="G279" t="s">
        <v>327</v>
      </c>
      <c r="H279" t="s">
        <v>29</v>
      </c>
      <c r="I279">
        <v>-28.78</v>
      </c>
      <c r="J279">
        <v>114.3</v>
      </c>
      <c r="K279">
        <v>1951</v>
      </c>
      <c r="M279">
        <v>50</v>
      </c>
      <c r="N279" t="s">
        <v>30</v>
      </c>
      <c r="O279">
        <v>-3.24</v>
      </c>
      <c r="P279" t="s">
        <v>15</v>
      </c>
    </row>
    <row r="280" spans="1:16">
      <c r="A280" t="s">
        <v>309</v>
      </c>
      <c r="C280" t="s">
        <v>19</v>
      </c>
      <c r="D280" t="s">
        <v>310</v>
      </c>
      <c r="E280" t="s">
        <v>96</v>
      </c>
      <c r="F280" t="s">
        <v>96</v>
      </c>
      <c r="G280" t="s">
        <v>328</v>
      </c>
      <c r="H280" t="s">
        <v>29</v>
      </c>
      <c r="I280">
        <v>-28.72</v>
      </c>
      <c r="J280">
        <v>114.3</v>
      </c>
      <c r="K280">
        <v>1951</v>
      </c>
      <c r="M280">
        <v>50</v>
      </c>
      <c r="N280" t="s">
        <v>30</v>
      </c>
      <c r="O280">
        <v>-3.11</v>
      </c>
      <c r="P280" t="s">
        <v>15</v>
      </c>
    </row>
    <row r="281" spans="1:16">
      <c r="A281" t="s">
        <v>309</v>
      </c>
      <c r="C281" t="s">
        <v>19</v>
      </c>
      <c r="D281" t="s">
        <v>310</v>
      </c>
      <c r="E281" t="s">
        <v>96</v>
      </c>
      <c r="F281" t="s">
        <v>96</v>
      </c>
      <c r="G281" t="s">
        <v>329</v>
      </c>
      <c r="H281" t="s">
        <v>29</v>
      </c>
      <c r="I281">
        <v>-27.71</v>
      </c>
      <c r="J281">
        <v>113.8</v>
      </c>
      <c r="K281">
        <v>1951</v>
      </c>
      <c r="M281">
        <v>50</v>
      </c>
      <c r="N281" t="s">
        <v>30</v>
      </c>
      <c r="O281">
        <v>-2.83</v>
      </c>
      <c r="P281" t="s">
        <v>15</v>
      </c>
    </row>
    <row r="282" spans="1:16">
      <c r="A282" t="s">
        <v>309</v>
      </c>
      <c r="C282" t="s">
        <v>19</v>
      </c>
      <c r="D282" t="s">
        <v>310</v>
      </c>
      <c r="E282" t="s">
        <v>96</v>
      </c>
      <c r="F282" t="s">
        <v>96</v>
      </c>
      <c r="G282" t="s">
        <v>330</v>
      </c>
      <c r="H282" t="s">
        <v>29</v>
      </c>
      <c r="I282">
        <v>-28.92</v>
      </c>
      <c r="J282">
        <v>114.3</v>
      </c>
      <c r="K282">
        <v>1951</v>
      </c>
      <c r="M282">
        <v>50</v>
      </c>
      <c r="N282" t="s">
        <v>30</v>
      </c>
      <c r="O282">
        <v>-2.5299999999999998</v>
      </c>
      <c r="P282" t="s">
        <v>15</v>
      </c>
    </row>
    <row r="283" spans="1:16">
      <c r="A283" t="s">
        <v>309</v>
      </c>
      <c r="C283" t="s">
        <v>19</v>
      </c>
      <c r="D283" t="s">
        <v>310</v>
      </c>
      <c r="E283" t="s">
        <v>96</v>
      </c>
      <c r="F283" t="s">
        <v>96</v>
      </c>
      <c r="G283" t="s">
        <v>331</v>
      </c>
      <c r="H283" t="s">
        <v>29</v>
      </c>
      <c r="I283">
        <v>-28.79</v>
      </c>
      <c r="J283">
        <v>114.3</v>
      </c>
      <c r="K283">
        <v>1951</v>
      </c>
      <c r="M283">
        <v>50</v>
      </c>
      <c r="N283" t="s">
        <v>30</v>
      </c>
      <c r="O283">
        <v>-1.77</v>
      </c>
      <c r="P283" t="s">
        <v>15</v>
      </c>
    </row>
    <row r="284" spans="1:16">
      <c r="A284" t="s">
        <v>309</v>
      </c>
      <c r="C284" t="s">
        <v>19</v>
      </c>
      <c r="D284" t="s">
        <v>310</v>
      </c>
      <c r="E284" t="s">
        <v>96</v>
      </c>
      <c r="F284" t="s">
        <v>96</v>
      </c>
      <c r="G284" t="s">
        <v>332</v>
      </c>
      <c r="H284" t="s">
        <v>29</v>
      </c>
      <c r="I284">
        <v>-28.87</v>
      </c>
      <c r="J284">
        <v>114.3</v>
      </c>
      <c r="K284">
        <v>1951</v>
      </c>
      <c r="M284">
        <v>50</v>
      </c>
      <c r="N284" t="s">
        <v>30</v>
      </c>
      <c r="O284">
        <v>-1.61</v>
      </c>
      <c r="P284" t="s">
        <v>15</v>
      </c>
    </row>
    <row r="285" spans="1:16">
      <c r="A285" t="s">
        <v>309</v>
      </c>
      <c r="C285" t="s">
        <v>19</v>
      </c>
      <c r="D285" t="s">
        <v>310</v>
      </c>
      <c r="E285" t="s">
        <v>96</v>
      </c>
      <c r="F285" t="s">
        <v>96</v>
      </c>
      <c r="G285" t="s">
        <v>333</v>
      </c>
      <c r="H285" t="s">
        <v>29</v>
      </c>
      <c r="I285">
        <v>-28.74</v>
      </c>
      <c r="J285">
        <v>114.3</v>
      </c>
      <c r="K285">
        <v>1951</v>
      </c>
      <c r="M285">
        <v>50</v>
      </c>
      <c r="N285" t="s">
        <v>30</v>
      </c>
      <c r="O285">
        <v>-1.6</v>
      </c>
      <c r="P285" t="s">
        <v>15</v>
      </c>
    </row>
    <row r="286" spans="1:16">
      <c r="A286" t="s">
        <v>309</v>
      </c>
      <c r="C286" t="s">
        <v>19</v>
      </c>
      <c r="D286" t="s">
        <v>310</v>
      </c>
      <c r="E286" t="s">
        <v>96</v>
      </c>
      <c r="F286" t="s">
        <v>96</v>
      </c>
      <c r="G286" t="s">
        <v>334</v>
      </c>
      <c r="H286" t="s">
        <v>29</v>
      </c>
      <c r="I286">
        <v>-28.79</v>
      </c>
      <c r="J286">
        <v>114.3</v>
      </c>
      <c r="K286">
        <v>1951</v>
      </c>
      <c r="M286">
        <v>50</v>
      </c>
      <c r="N286" t="s">
        <v>30</v>
      </c>
      <c r="O286">
        <v>-1.35</v>
      </c>
      <c r="P286" t="s">
        <v>15</v>
      </c>
    </row>
    <row r="287" spans="1:16">
      <c r="A287" t="s">
        <v>309</v>
      </c>
      <c r="C287" t="s">
        <v>19</v>
      </c>
      <c r="D287" t="s">
        <v>310</v>
      </c>
      <c r="E287" t="s">
        <v>96</v>
      </c>
      <c r="F287" t="s">
        <v>96</v>
      </c>
      <c r="G287" t="s">
        <v>335</v>
      </c>
      <c r="H287" t="s">
        <v>29</v>
      </c>
      <c r="I287">
        <v>-29.26</v>
      </c>
      <c r="J287">
        <v>114.8</v>
      </c>
      <c r="K287">
        <v>1951</v>
      </c>
      <c r="M287">
        <v>50</v>
      </c>
      <c r="N287" t="s">
        <v>30</v>
      </c>
      <c r="O287">
        <v>-1.02</v>
      </c>
      <c r="P287" t="s">
        <v>15</v>
      </c>
    </row>
    <row r="288" spans="1:16">
      <c r="A288" t="s">
        <v>309</v>
      </c>
      <c r="C288" t="s">
        <v>19</v>
      </c>
      <c r="D288" t="s">
        <v>310</v>
      </c>
      <c r="E288" t="s">
        <v>96</v>
      </c>
      <c r="F288" t="s">
        <v>96</v>
      </c>
      <c r="G288" t="s">
        <v>336</v>
      </c>
      <c r="H288" t="s">
        <v>29</v>
      </c>
      <c r="I288">
        <v>-27.7</v>
      </c>
      <c r="J288">
        <v>113.8</v>
      </c>
      <c r="K288">
        <v>1951</v>
      </c>
      <c r="M288">
        <v>50</v>
      </c>
      <c r="N288" t="s">
        <v>30</v>
      </c>
      <c r="O288">
        <v>-0.68</v>
      </c>
      <c r="P288" t="s">
        <v>15</v>
      </c>
    </row>
    <row r="289" spans="1:16">
      <c r="A289" t="s">
        <v>309</v>
      </c>
      <c r="C289" t="s">
        <v>19</v>
      </c>
      <c r="D289" t="s">
        <v>310</v>
      </c>
      <c r="E289" t="s">
        <v>96</v>
      </c>
      <c r="F289" t="s">
        <v>96</v>
      </c>
      <c r="G289" t="s">
        <v>337</v>
      </c>
      <c r="H289" t="s">
        <v>29</v>
      </c>
      <c r="I289">
        <v>-27.7</v>
      </c>
      <c r="J289">
        <v>113.8</v>
      </c>
      <c r="K289">
        <v>1951</v>
      </c>
      <c r="M289">
        <v>50</v>
      </c>
      <c r="N289" t="s">
        <v>30</v>
      </c>
      <c r="O289">
        <v>-0.68</v>
      </c>
      <c r="P289" t="s">
        <v>15</v>
      </c>
    </row>
    <row r="290" spans="1:16">
      <c r="A290" t="s">
        <v>309</v>
      </c>
      <c r="C290" t="s">
        <v>19</v>
      </c>
      <c r="D290" t="s">
        <v>310</v>
      </c>
      <c r="E290" t="s">
        <v>96</v>
      </c>
      <c r="F290" t="s">
        <v>96</v>
      </c>
      <c r="G290" t="s">
        <v>338</v>
      </c>
      <c r="H290" t="s">
        <v>29</v>
      </c>
      <c r="I290">
        <v>-27.77</v>
      </c>
      <c r="J290">
        <v>113.8</v>
      </c>
      <c r="K290">
        <v>1951</v>
      </c>
      <c r="M290">
        <v>50</v>
      </c>
      <c r="N290" t="s">
        <v>30</v>
      </c>
      <c r="O290">
        <v>-0.6</v>
      </c>
      <c r="P290" t="s">
        <v>15</v>
      </c>
    </row>
    <row r="291" spans="1:16">
      <c r="A291" t="s">
        <v>309</v>
      </c>
      <c r="C291" t="s">
        <v>19</v>
      </c>
      <c r="D291" t="s">
        <v>310</v>
      </c>
      <c r="E291" t="s">
        <v>96</v>
      </c>
      <c r="F291" t="s">
        <v>96</v>
      </c>
      <c r="G291" t="s">
        <v>339</v>
      </c>
      <c r="H291" t="s">
        <v>29</v>
      </c>
      <c r="I291">
        <v>-28.79</v>
      </c>
      <c r="J291">
        <v>114.3</v>
      </c>
      <c r="K291">
        <v>1951</v>
      </c>
      <c r="M291">
        <v>50</v>
      </c>
      <c r="N291" t="s">
        <v>30</v>
      </c>
      <c r="O291">
        <v>-0.49</v>
      </c>
      <c r="P291" t="s">
        <v>15</v>
      </c>
    </row>
    <row r="292" spans="1:16">
      <c r="A292" t="s">
        <v>309</v>
      </c>
      <c r="C292" t="s">
        <v>19</v>
      </c>
      <c r="D292" t="s">
        <v>310</v>
      </c>
      <c r="E292" t="s">
        <v>96</v>
      </c>
      <c r="F292" t="s">
        <v>96</v>
      </c>
      <c r="G292" t="s">
        <v>340</v>
      </c>
      <c r="H292" t="s">
        <v>29</v>
      </c>
      <c r="I292">
        <v>-28.78</v>
      </c>
      <c r="J292">
        <v>114.3</v>
      </c>
      <c r="K292">
        <v>1951</v>
      </c>
      <c r="M292">
        <v>50</v>
      </c>
      <c r="N292" t="s">
        <v>30</v>
      </c>
      <c r="O292">
        <v>-0.47</v>
      </c>
      <c r="P292" t="s">
        <v>15</v>
      </c>
    </row>
    <row r="293" spans="1:16">
      <c r="A293" t="s">
        <v>309</v>
      </c>
      <c r="C293" t="s">
        <v>19</v>
      </c>
      <c r="D293" t="s">
        <v>310</v>
      </c>
      <c r="E293" t="s">
        <v>96</v>
      </c>
      <c r="F293" t="s">
        <v>96</v>
      </c>
      <c r="G293" t="s">
        <v>341</v>
      </c>
      <c r="H293" t="s">
        <v>29</v>
      </c>
      <c r="I293">
        <v>-29.25</v>
      </c>
      <c r="J293">
        <v>114.8</v>
      </c>
      <c r="K293">
        <v>1951</v>
      </c>
      <c r="M293">
        <v>50</v>
      </c>
      <c r="N293" t="s">
        <v>30</v>
      </c>
      <c r="O293">
        <v>-0.05</v>
      </c>
      <c r="P293" t="s">
        <v>15</v>
      </c>
    </row>
    <row r="294" spans="1:16">
      <c r="A294" t="s">
        <v>309</v>
      </c>
      <c r="C294" t="s">
        <v>19</v>
      </c>
      <c r="D294" t="s">
        <v>310</v>
      </c>
      <c r="E294" t="s">
        <v>96</v>
      </c>
      <c r="F294" t="s">
        <v>96</v>
      </c>
      <c r="G294" t="s">
        <v>342</v>
      </c>
      <c r="H294" t="s">
        <v>29</v>
      </c>
      <c r="I294">
        <v>-29.25</v>
      </c>
      <c r="J294">
        <v>114.8</v>
      </c>
      <c r="K294">
        <v>1951</v>
      </c>
      <c r="M294">
        <v>50</v>
      </c>
      <c r="N294" t="s">
        <v>30</v>
      </c>
      <c r="O294">
        <v>-0.02</v>
      </c>
      <c r="P294" t="s">
        <v>15</v>
      </c>
    </row>
    <row r="295" spans="1:16">
      <c r="A295" t="s">
        <v>309</v>
      </c>
      <c r="C295" t="s">
        <v>19</v>
      </c>
      <c r="D295" t="s">
        <v>310</v>
      </c>
      <c r="E295" t="s">
        <v>96</v>
      </c>
      <c r="F295" t="s">
        <v>96</v>
      </c>
      <c r="G295" t="s">
        <v>343</v>
      </c>
      <c r="H295" t="s">
        <v>29</v>
      </c>
      <c r="I295">
        <v>-28.75</v>
      </c>
      <c r="J295">
        <v>114.3</v>
      </c>
      <c r="K295">
        <v>1951</v>
      </c>
      <c r="M295">
        <v>50</v>
      </c>
      <c r="N295" t="s">
        <v>84</v>
      </c>
      <c r="O295">
        <v>0</v>
      </c>
      <c r="P295" t="s">
        <v>85</v>
      </c>
    </row>
    <row r="296" spans="1:16">
      <c r="A296" t="s">
        <v>309</v>
      </c>
      <c r="C296" t="s">
        <v>19</v>
      </c>
      <c r="D296" t="s">
        <v>310</v>
      </c>
      <c r="E296" t="s">
        <v>96</v>
      </c>
      <c r="F296" t="s">
        <v>96</v>
      </c>
      <c r="G296" t="s">
        <v>344</v>
      </c>
      <c r="H296" t="s">
        <v>29</v>
      </c>
      <c r="I296">
        <v>-27.7</v>
      </c>
      <c r="J296">
        <v>114</v>
      </c>
      <c r="K296">
        <v>1951</v>
      </c>
      <c r="M296">
        <v>50</v>
      </c>
      <c r="N296" t="s">
        <v>24</v>
      </c>
      <c r="O296">
        <v>0.01</v>
      </c>
      <c r="P296" t="s">
        <v>88</v>
      </c>
    </row>
    <row r="297" spans="1:16">
      <c r="A297" t="s">
        <v>309</v>
      </c>
      <c r="C297" t="s">
        <v>19</v>
      </c>
      <c r="D297" t="s">
        <v>310</v>
      </c>
      <c r="E297" t="s">
        <v>96</v>
      </c>
      <c r="F297" t="s">
        <v>96</v>
      </c>
      <c r="G297" t="s">
        <v>345</v>
      </c>
      <c r="H297" t="s">
        <v>29</v>
      </c>
      <c r="I297">
        <v>-28.76</v>
      </c>
      <c r="J297">
        <v>114.5</v>
      </c>
      <c r="K297">
        <v>1951</v>
      </c>
      <c r="M297">
        <v>50</v>
      </c>
      <c r="N297" t="s">
        <v>24</v>
      </c>
      <c r="O297">
        <v>0.03</v>
      </c>
      <c r="P297" t="s">
        <v>88</v>
      </c>
    </row>
    <row r="298" spans="1:16">
      <c r="A298" t="s">
        <v>309</v>
      </c>
      <c r="C298" t="s">
        <v>19</v>
      </c>
      <c r="D298" t="s">
        <v>310</v>
      </c>
      <c r="E298" t="s">
        <v>96</v>
      </c>
      <c r="F298" t="s">
        <v>96</v>
      </c>
      <c r="G298" t="s">
        <v>346</v>
      </c>
      <c r="H298" t="s">
        <v>29</v>
      </c>
      <c r="I298">
        <v>-28.73</v>
      </c>
      <c r="J298">
        <v>114.5</v>
      </c>
      <c r="K298">
        <v>1951</v>
      </c>
      <c r="M298">
        <v>50</v>
      </c>
      <c r="N298" t="s">
        <v>24</v>
      </c>
      <c r="O298">
        <v>0.05</v>
      </c>
      <c r="P298" t="s">
        <v>88</v>
      </c>
    </row>
    <row r="299" spans="1:16">
      <c r="A299" t="s">
        <v>309</v>
      </c>
      <c r="C299" t="s">
        <v>19</v>
      </c>
      <c r="D299" t="s">
        <v>310</v>
      </c>
      <c r="E299" t="s">
        <v>96</v>
      </c>
      <c r="F299" t="s">
        <v>96</v>
      </c>
      <c r="G299" t="s">
        <v>347</v>
      </c>
      <c r="H299" t="s">
        <v>29</v>
      </c>
      <c r="I299">
        <v>-28.48</v>
      </c>
      <c r="J299">
        <v>114.5</v>
      </c>
      <c r="K299">
        <v>1951</v>
      </c>
      <c r="M299">
        <v>50</v>
      </c>
      <c r="N299" t="s">
        <v>24</v>
      </c>
      <c r="O299">
        <v>0.31</v>
      </c>
      <c r="P299" t="s">
        <v>88</v>
      </c>
    </row>
    <row r="300" spans="1:16">
      <c r="A300" t="s">
        <v>309</v>
      </c>
      <c r="C300" t="s">
        <v>19</v>
      </c>
      <c r="D300" t="s">
        <v>310</v>
      </c>
      <c r="E300" t="s">
        <v>96</v>
      </c>
      <c r="F300" t="s">
        <v>96</v>
      </c>
      <c r="G300" t="s">
        <v>348</v>
      </c>
      <c r="H300" t="s">
        <v>29</v>
      </c>
      <c r="I300">
        <v>-28.47</v>
      </c>
      <c r="J300">
        <v>114.5</v>
      </c>
      <c r="K300">
        <v>1951</v>
      </c>
      <c r="M300">
        <v>50</v>
      </c>
      <c r="N300" t="s">
        <v>24</v>
      </c>
      <c r="O300">
        <v>0.32</v>
      </c>
      <c r="P300" t="s">
        <v>88</v>
      </c>
    </row>
    <row r="301" spans="1:16">
      <c r="A301" t="s">
        <v>309</v>
      </c>
      <c r="C301" t="s">
        <v>19</v>
      </c>
      <c r="D301" t="s">
        <v>310</v>
      </c>
      <c r="E301" t="s">
        <v>96</v>
      </c>
      <c r="F301" t="s">
        <v>96</v>
      </c>
      <c r="G301" t="s">
        <v>349</v>
      </c>
      <c r="H301" t="s">
        <v>29</v>
      </c>
      <c r="I301">
        <v>-28.42</v>
      </c>
      <c r="J301">
        <v>114.5</v>
      </c>
      <c r="K301">
        <v>1951</v>
      </c>
      <c r="M301">
        <v>50</v>
      </c>
      <c r="N301" t="s">
        <v>24</v>
      </c>
      <c r="O301">
        <v>0.36</v>
      </c>
      <c r="P301" t="s">
        <v>88</v>
      </c>
    </row>
    <row r="302" spans="1:16">
      <c r="A302" t="s">
        <v>309</v>
      </c>
      <c r="C302" t="s">
        <v>19</v>
      </c>
      <c r="D302" t="s">
        <v>310</v>
      </c>
      <c r="E302" t="s">
        <v>96</v>
      </c>
      <c r="F302" t="s">
        <v>96</v>
      </c>
      <c r="G302" t="s">
        <v>350</v>
      </c>
      <c r="H302" t="s">
        <v>29</v>
      </c>
      <c r="I302">
        <v>-28.37</v>
      </c>
      <c r="J302">
        <v>114.5</v>
      </c>
      <c r="K302">
        <v>1951</v>
      </c>
      <c r="M302">
        <v>50</v>
      </c>
      <c r="N302" t="s">
        <v>24</v>
      </c>
      <c r="O302">
        <v>0.37</v>
      </c>
      <c r="P302" t="s">
        <v>88</v>
      </c>
    </row>
    <row r="303" spans="1:16">
      <c r="A303" t="s">
        <v>309</v>
      </c>
      <c r="C303" t="s">
        <v>19</v>
      </c>
      <c r="D303" t="s">
        <v>310</v>
      </c>
      <c r="E303" t="s">
        <v>96</v>
      </c>
      <c r="F303" t="s">
        <v>96</v>
      </c>
      <c r="G303" t="s">
        <v>351</v>
      </c>
      <c r="H303" t="s">
        <v>29</v>
      </c>
      <c r="I303">
        <v>-28.38</v>
      </c>
      <c r="J303">
        <v>114.5</v>
      </c>
      <c r="K303">
        <v>1951</v>
      </c>
      <c r="M303">
        <v>50</v>
      </c>
      <c r="N303" t="s">
        <v>24</v>
      </c>
      <c r="O303">
        <v>0.41</v>
      </c>
      <c r="P303" t="s">
        <v>88</v>
      </c>
    </row>
    <row r="304" spans="1:16">
      <c r="A304" t="s">
        <v>309</v>
      </c>
      <c r="C304" t="s">
        <v>19</v>
      </c>
      <c r="D304" t="s">
        <v>310</v>
      </c>
      <c r="E304" t="s">
        <v>96</v>
      </c>
      <c r="F304" t="s">
        <v>96</v>
      </c>
      <c r="G304" t="s">
        <v>352</v>
      </c>
      <c r="H304" t="s">
        <v>29</v>
      </c>
      <c r="I304">
        <v>-28.37</v>
      </c>
      <c r="J304">
        <v>114.5</v>
      </c>
      <c r="K304">
        <v>1951</v>
      </c>
      <c r="M304">
        <v>50</v>
      </c>
      <c r="N304" t="s">
        <v>24</v>
      </c>
      <c r="O304">
        <v>0.42</v>
      </c>
      <c r="P304" t="s">
        <v>88</v>
      </c>
    </row>
    <row r="305" spans="1:16">
      <c r="A305" t="s">
        <v>309</v>
      </c>
      <c r="C305" t="s">
        <v>19</v>
      </c>
      <c r="D305" t="s">
        <v>310</v>
      </c>
      <c r="E305" t="s">
        <v>96</v>
      </c>
      <c r="F305" t="s">
        <v>96</v>
      </c>
      <c r="G305" t="s">
        <v>353</v>
      </c>
      <c r="H305" t="s">
        <v>29</v>
      </c>
      <c r="I305">
        <v>-28.37</v>
      </c>
      <c r="J305">
        <v>114.5</v>
      </c>
      <c r="K305">
        <v>1951</v>
      </c>
      <c r="M305">
        <v>50</v>
      </c>
      <c r="N305" t="s">
        <v>24</v>
      </c>
      <c r="O305">
        <v>0.42</v>
      </c>
      <c r="P305" t="s">
        <v>88</v>
      </c>
    </row>
    <row r="306" spans="1:16">
      <c r="A306" t="s">
        <v>309</v>
      </c>
      <c r="C306" t="s">
        <v>19</v>
      </c>
      <c r="D306" t="s">
        <v>310</v>
      </c>
      <c r="E306" t="s">
        <v>96</v>
      </c>
      <c r="F306" t="s">
        <v>96</v>
      </c>
      <c r="G306" t="s">
        <v>354</v>
      </c>
      <c r="H306" t="s">
        <v>29</v>
      </c>
      <c r="I306">
        <v>-28.42</v>
      </c>
      <c r="J306">
        <v>114.5</v>
      </c>
      <c r="K306">
        <v>1951</v>
      </c>
      <c r="M306">
        <v>50</v>
      </c>
      <c r="N306" t="s">
        <v>24</v>
      </c>
      <c r="O306">
        <v>0.85</v>
      </c>
      <c r="P306" t="s">
        <v>88</v>
      </c>
    </row>
    <row r="307" spans="1:16">
      <c r="A307" t="s">
        <v>309</v>
      </c>
      <c r="C307" t="s">
        <v>19</v>
      </c>
      <c r="D307" t="s">
        <v>310</v>
      </c>
      <c r="E307" t="s">
        <v>96</v>
      </c>
      <c r="F307" t="s">
        <v>96</v>
      </c>
      <c r="G307" t="s">
        <v>355</v>
      </c>
      <c r="H307" t="s">
        <v>29</v>
      </c>
      <c r="I307">
        <v>-28.38</v>
      </c>
      <c r="J307">
        <v>114.5</v>
      </c>
      <c r="K307">
        <v>1951</v>
      </c>
      <c r="M307">
        <v>50</v>
      </c>
      <c r="N307" t="s">
        <v>24</v>
      </c>
      <c r="O307">
        <v>0.87</v>
      </c>
      <c r="P307" t="s">
        <v>88</v>
      </c>
    </row>
    <row r="308" spans="1:16">
      <c r="A308" t="s">
        <v>309</v>
      </c>
      <c r="C308" t="s">
        <v>19</v>
      </c>
      <c r="D308" t="s">
        <v>310</v>
      </c>
      <c r="E308" t="s">
        <v>96</v>
      </c>
      <c r="F308" t="s">
        <v>96</v>
      </c>
      <c r="G308" t="s">
        <v>356</v>
      </c>
      <c r="H308" t="s">
        <v>29</v>
      </c>
      <c r="I308">
        <v>-27.25</v>
      </c>
      <c r="J308">
        <v>153</v>
      </c>
      <c r="K308">
        <v>1951</v>
      </c>
      <c r="M308">
        <v>50</v>
      </c>
      <c r="N308" t="s">
        <v>30</v>
      </c>
      <c r="O308">
        <v>-2.84</v>
      </c>
      <c r="P308" t="s">
        <v>15</v>
      </c>
    </row>
    <row r="309" spans="1:16">
      <c r="A309" t="s">
        <v>309</v>
      </c>
      <c r="C309" t="s">
        <v>19</v>
      </c>
      <c r="D309" t="s">
        <v>310</v>
      </c>
      <c r="E309" t="s">
        <v>96</v>
      </c>
      <c r="F309" t="s">
        <v>96</v>
      </c>
      <c r="G309" t="s">
        <v>357</v>
      </c>
      <c r="H309" t="s">
        <v>29</v>
      </c>
      <c r="I309">
        <v>-26.42</v>
      </c>
      <c r="J309">
        <v>153</v>
      </c>
      <c r="K309">
        <v>1951</v>
      </c>
      <c r="M309">
        <v>50</v>
      </c>
      <c r="N309" t="s">
        <v>30</v>
      </c>
      <c r="O309">
        <v>-1.95</v>
      </c>
      <c r="P309" t="s">
        <v>15</v>
      </c>
    </row>
    <row r="310" spans="1:16">
      <c r="A310" t="s">
        <v>309</v>
      </c>
      <c r="C310" t="s">
        <v>19</v>
      </c>
      <c r="D310" t="s">
        <v>310</v>
      </c>
      <c r="E310" t="s">
        <v>96</v>
      </c>
      <c r="F310" t="s">
        <v>96</v>
      </c>
      <c r="G310" t="s">
        <v>358</v>
      </c>
      <c r="H310" t="s">
        <v>29</v>
      </c>
      <c r="I310">
        <v>-28.72</v>
      </c>
      <c r="J310">
        <v>153</v>
      </c>
      <c r="K310">
        <v>1951</v>
      </c>
      <c r="M310">
        <v>50</v>
      </c>
      <c r="N310" t="s">
        <v>30</v>
      </c>
      <c r="O310">
        <v>-1.92</v>
      </c>
      <c r="P310" t="s">
        <v>15</v>
      </c>
    </row>
    <row r="311" spans="1:16">
      <c r="A311" t="s">
        <v>309</v>
      </c>
      <c r="C311" t="s">
        <v>19</v>
      </c>
      <c r="D311" t="s">
        <v>310</v>
      </c>
      <c r="E311" t="s">
        <v>96</v>
      </c>
      <c r="F311" t="s">
        <v>96</v>
      </c>
      <c r="G311" t="s">
        <v>359</v>
      </c>
      <c r="H311" t="s">
        <v>29</v>
      </c>
      <c r="I311">
        <v>-28.8</v>
      </c>
      <c r="J311">
        <v>153</v>
      </c>
      <c r="K311">
        <v>1951</v>
      </c>
      <c r="M311">
        <v>50</v>
      </c>
      <c r="N311" t="s">
        <v>24</v>
      </c>
      <c r="O311">
        <v>1.57</v>
      </c>
      <c r="P311" t="s">
        <v>88</v>
      </c>
    </row>
    <row r="312" spans="1:16">
      <c r="A312" t="s">
        <v>309</v>
      </c>
      <c r="C312" t="s">
        <v>19</v>
      </c>
      <c r="D312" t="s">
        <v>310</v>
      </c>
      <c r="E312" t="s">
        <v>96</v>
      </c>
      <c r="F312" t="s">
        <v>96</v>
      </c>
      <c r="G312" t="s">
        <v>360</v>
      </c>
      <c r="H312" t="s">
        <v>29</v>
      </c>
      <c r="I312">
        <v>-26.8</v>
      </c>
      <c r="J312">
        <v>153</v>
      </c>
      <c r="K312">
        <v>1951</v>
      </c>
      <c r="M312">
        <v>50</v>
      </c>
      <c r="N312" t="s">
        <v>30</v>
      </c>
      <c r="O312">
        <v>-1.92</v>
      </c>
      <c r="P312" t="s">
        <v>15</v>
      </c>
    </row>
    <row r="313" spans="1:16">
      <c r="A313" t="s">
        <v>309</v>
      </c>
      <c r="C313" t="s">
        <v>19</v>
      </c>
      <c r="D313" t="s">
        <v>310</v>
      </c>
      <c r="E313" t="s">
        <v>96</v>
      </c>
      <c r="F313" t="s">
        <v>96</v>
      </c>
      <c r="G313" t="s">
        <v>361</v>
      </c>
      <c r="H313" t="s">
        <v>29</v>
      </c>
      <c r="I313">
        <v>-27.22</v>
      </c>
      <c r="J313">
        <v>153</v>
      </c>
      <c r="K313">
        <v>1951</v>
      </c>
      <c r="M313">
        <v>50</v>
      </c>
      <c r="N313" t="s">
        <v>30</v>
      </c>
      <c r="O313">
        <v>-1.42</v>
      </c>
      <c r="P313" t="s">
        <v>15</v>
      </c>
    </row>
    <row r="314" spans="1:16">
      <c r="A314" t="s">
        <v>309</v>
      </c>
      <c r="C314" t="s">
        <v>19</v>
      </c>
      <c r="D314" t="s">
        <v>310</v>
      </c>
      <c r="E314" t="s">
        <v>96</v>
      </c>
      <c r="F314" t="s">
        <v>96</v>
      </c>
      <c r="G314" t="s">
        <v>362</v>
      </c>
      <c r="H314" t="s">
        <v>29</v>
      </c>
      <c r="I314">
        <v>-28.63</v>
      </c>
      <c r="J314">
        <v>153</v>
      </c>
      <c r="K314">
        <v>1951</v>
      </c>
      <c r="M314">
        <v>50</v>
      </c>
      <c r="N314" t="s">
        <v>30</v>
      </c>
      <c r="O314">
        <v>-1.4</v>
      </c>
      <c r="P314" t="s">
        <v>15</v>
      </c>
    </row>
    <row r="315" spans="1:16">
      <c r="A315" t="s">
        <v>363</v>
      </c>
      <c r="C315" t="s">
        <v>19</v>
      </c>
      <c r="D315" t="s">
        <v>20</v>
      </c>
      <c r="E315" t="s">
        <v>47</v>
      </c>
      <c r="F315" t="s">
        <v>47</v>
      </c>
      <c r="G315" t="s">
        <v>364</v>
      </c>
      <c r="H315" t="s">
        <v>29</v>
      </c>
      <c r="I315">
        <v>43</v>
      </c>
      <c r="J315">
        <v>-9.3000000000000007</v>
      </c>
      <c r="K315">
        <v>1972</v>
      </c>
      <c r="M315">
        <v>35</v>
      </c>
      <c r="N315" t="s">
        <v>30</v>
      </c>
      <c r="O315">
        <v>-10</v>
      </c>
      <c r="P315" t="s">
        <v>15</v>
      </c>
    </row>
    <row r="316" spans="1:16">
      <c r="A316" t="s">
        <v>363</v>
      </c>
      <c r="C316" t="s">
        <v>19</v>
      </c>
      <c r="D316" t="s">
        <v>20</v>
      </c>
      <c r="E316" t="s">
        <v>47</v>
      </c>
      <c r="F316" t="s">
        <v>47</v>
      </c>
      <c r="G316" t="s">
        <v>364</v>
      </c>
      <c r="H316" t="s">
        <v>29</v>
      </c>
      <c r="I316">
        <v>46</v>
      </c>
      <c r="J316">
        <v>-1.4</v>
      </c>
      <c r="K316">
        <v>1972</v>
      </c>
      <c r="M316">
        <v>35</v>
      </c>
      <c r="N316" t="s">
        <v>30</v>
      </c>
      <c r="O316">
        <v>-50</v>
      </c>
      <c r="P316" t="s">
        <v>15</v>
      </c>
    </row>
    <row r="317" spans="1:16">
      <c r="A317" t="s">
        <v>363</v>
      </c>
      <c r="C317" t="s">
        <v>19</v>
      </c>
      <c r="D317" t="s">
        <v>20</v>
      </c>
      <c r="E317" t="s">
        <v>138</v>
      </c>
      <c r="F317" t="s">
        <v>139</v>
      </c>
      <c r="G317" t="s">
        <v>365</v>
      </c>
      <c r="H317" t="s">
        <v>23</v>
      </c>
      <c r="I317">
        <v>43</v>
      </c>
      <c r="J317">
        <v>-9.3000000000000007</v>
      </c>
      <c r="K317">
        <v>1923</v>
      </c>
      <c r="M317">
        <v>84</v>
      </c>
      <c r="N317" t="s">
        <v>24</v>
      </c>
      <c r="O317">
        <v>36</v>
      </c>
      <c r="P317" t="s">
        <v>15</v>
      </c>
    </row>
    <row r="318" spans="1:16">
      <c r="A318" t="s">
        <v>366</v>
      </c>
      <c r="C318" t="s">
        <v>19</v>
      </c>
      <c r="D318" t="s">
        <v>367</v>
      </c>
      <c r="E318" t="s">
        <v>368</v>
      </c>
      <c r="F318" t="s">
        <v>368</v>
      </c>
      <c r="G318" t="s">
        <v>369</v>
      </c>
      <c r="H318" t="s">
        <v>29</v>
      </c>
      <c r="I318">
        <v>72</v>
      </c>
      <c r="J318">
        <v>-152</v>
      </c>
      <c r="K318">
        <v>1985</v>
      </c>
      <c r="M318">
        <v>20</v>
      </c>
      <c r="N318" t="s">
        <v>30</v>
      </c>
      <c r="O318">
        <v>-857</v>
      </c>
      <c r="P318" t="s">
        <v>15</v>
      </c>
    </row>
    <row r="319" spans="1:16">
      <c r="A319" t="s">
        <v>370</v>
      </c>
      <c r="C319" t="s">
        <v>19</v>
      </c>
      <c r="D319" t="s">
        <v>371</v>
      </c>
      <c r="E319" t="s">
        <v>265</v>
      </c>
      <c r="F319" t="s">
        <v>265</v>
      </c>
      <c r="G319" t="s">
        <v>372</v>
      </c>
      <c r="H319" t="s">
        <v>29</v>
      </c>
      <c r="I319">
        <v>32.700000000000003</v>
      </c>
      <c r="J319">
        <v>128.94</v>
      </c>
      <c r="K319">
        <v>1931</v>
      </c>
      <c r="M319">
        <v>80</v>
      </c>
      <c r="N319" t="s">
        <v>24</v>
      </c>
      <c r="O319">
        <v>130</v>
      </c>
      <c r="P319" t="s">
        <v>15</v>
      </c>
    </row>
    <row r="320" spans="1:16">
      <c r="A320" t="s">
        <v>370</v>
      </c>
      <c r="C320" t="s">
        <v>19</v>
      </c>
      <c r="D320" t="s">
        <v>371</v>
      </c>
      <c r="E320" t="s">
        <v>265</v>
      </c>
      <c r="F320" t="s">
        <v>265</v>
      </c>
      <c r="G320" t="s">
        <v>373</v>
      </c>
      <c r="H320" t="s">
        <v>29</v>
      </c>
      <c r="I320">
        <v>33.4</v>
      </c>
      <c r="J320">
        <v>135.9</v>
      </c>
      <c r="K320">
        <v>1931</v>
      </c>
      <c r="M320">
        <v>80</v>
      </c>
      <c r="N320" t="s">
        <v>24</v>
      </c>
      <c r="O320">
        <v>40</v>
      </c>
      <c r="P320" t="s">
        <v>15</v>
      </c>
    </row>
    <row r="321" spans="1:16">
      <c r="A321" t="s">
        <v>370</v>
      </c>
      <c r="C321" t="s">
        <v>19</v>
      </c>
      <c r="D321" t="s">
        <v>371</v>
      </c>
      <c r="E321" t="s">
        <v>265</v>
      </c>
      <c r="F321" t="s">
        <v>265</v>
      </c>
      <c r="G321" t="s">
        <v>373</v>
      </c>
      <c r="H321" t="s">
        <v>29</v>
      </c>
      <c r="I321">
        <v>32.700000000000003</v>
      </c>
      <c r="J321">
        <v>128.94</v>
      </c>
      <c r="K321">
        <v>1931</v>
      </c>
      <c r="M321">
        <v>80</v>
      </c>
      <c r="N321" t="s">
        <v>24</v>
      </c>
      <c r="O321">
        <v>140</v>
      </c>
      <c r="P321" t="s">
        <v>15</v>
      </c>
    </row>
    <row r="322" spans="1:16">
      <c r="A322" t="s">
        <v>370</v>
      </c>
      <c r="C322" t="s">
        <v>19</v>
      </c>
      <c r="D322" t="s">
        <v>371</v>
      </c>
      <c r="E322" t="s">
        <v>265</v>
      </c>
      <c r="F322" t="s">
        <v>265</v>
      </c>
      <c r="G322" t="s">
        <v>374</v>
      </c>
      <c r="H322" t="s">
        <v>29</v>
      </c>
      <c r="I322">
        <v>34.83</v>
      </c>
      <c r="J322">
        <v>139.83000000000001</v>
      </c>
      <c r="K322">
        <v>1931</v>
      </c>
      <c r="M322">
        <v>80</v>
      </c>
      <c r="N322" t="s">
        <v>24</v>
      </c>
      <c r="O322">
        <v>50</v>
      </c>
      <c r="P322" t="s">
        <v>15</v>
      </c>
    </row>
    <row r="323" spans="1:16">
      <c r="A323" t="s">
        <v>370</v>
      </c>
      <c r="C323" t="s">
        <v>19</v>
      </c>
      <c r="D323" t="s">
        <v>371</v>
      </c>
      <c r="E323" t="s">
        <v>265</v>
      </c>
      <c r="F323" t="s">
        <v>265</v>
      </c>
      <c r="G323" t="s">
        <v>374</v>
      </c>
      <c r="H323" t="s">
        <v>29</v>
      </c>
      <c r="I323">
        <v>34.409999999999997</v>
      </c>
      <c r="J323">
        <v>129.41</v>
      </c>
      <c r="K323">
        <v>1931</v>
      </c>
      <c r="M323">
        <v>80</v>
      </c>
      <c r="N323" t="s">
        <v>24</v>
      </c>
      <c r="O323">
        <v>80</v>
      </c>
      <c r="P323" t="s">
        <v>15</v>
      </c>
    </row>
    <row r="324" spans="1:16">
      <c r="A324" t="s">
        <v>370</v>
      </c>
      <c r="C324" t="s">
        <v>19</v>
      </c>
      <c r="D324" t="s">
        <v>371</v>
      </c>
      <c r="E324" t="s">
        <v>265</v>
      </c>
      <c r="F324" t="s">
        <v>265</v>
      </c>
      <c r="G324" t="s">
        <v>375</v>
      </c>
      <c r="H324" t="s">
        <v>29</v>
      </c>
      <c r="I324">
        <v>34.56</v>
      </c>
      <c r="J324">
        <v>138.82</v>
      </c>
      <c r="K324">
        <v>1931</v>
      </c>
      <c r="M324">
        <v>80</v>
      </c>
      <c r="N324" t="s">
        <v>24</v>
      </c>
      <c r="O324">
        <v>50</v>
      </c>
      <c r="P324" t="s">
        <v>15</v>
      </c>
    </row>
    <row r="325" spans="1:16">
      <c r="A325" t="s">
        <v>370</v>
      </c>
      <c r="C325" t="s">
        <v>19</v>
      </c>
      <c r="D325" t="s">
        <v>371</v>
      </c>
      <c r="E325" t="s">
        <v>265</v>
      </c>
      <c r="F325" t="s">
        <v>265</v>
      </c>
      <c r="G325" t="s">
        <v>375</v>
      </c>
      <c r="H325" t="s">
        <v>29</v>
      </c>
      <c r="I325">
        <v>32.700000000000003</v>
      </c>
      <c r="J325">
        <v>128.94</v>
      </c>
      <c r="K325">
        <v>1931</v>
      </c>
      <c r="M325">
        <v>80</v>
      </c>
      <c r="N325" t="s">
        <v>24</v>
      </c>
      <c r="O325">
        <v>50</v>
      </c>
      <c r="P325" t="s">
        <v>15</v>
      </c>
    </row>
    <row r="326" spans="1:16">
      <c r="A326" t="s">
        <v>370</v>
      </c>
      <c r="C326" t="s">
        <v>19</v>
      </c>
      <c r="D326" t="s">
        <v>371</v>
      </c>
      <c r="E326" t="s">
        <v>265</v>
      </c>
      <c r="F326" t="s">
        <v>265</v>
      </c>
      <c r="G326" t="s">
        <v>372</v>
      </c>
      <c r="H326" t="s">
        <v>29</v>
      </c>
      <c r="I326">
        <v>33.4</v>
      </c>
      <c r="J326">
        <v>135.9</v>
      </c>
      <c r="K326">
        <v>1931</v>
      </c>
      <c r="M326">
        <v>80</v>
      </c>
      <c r="N326" t="s">
        <v>84</v>
      </c>
      <c r="O326">
        <v>0</v>
      </c>
      <c r="P326" t="s">
        <v>85</v>
      </c>
    </row>
    <row r="327" spans="1:16">
      <c r="A327" t="s">
        <v>370</v>
      </c>
      <c r="C327" t="s">
        <v>19</v>
      </c>
      <c r="D327" t="s">
        <v>371</v>
      </c>
      <c r="E327" t="s">
        <v>265</v>
      </c>
      <c r="F327" t="s">
        <v>265</v>
      </c>
      <c r="G327" t="s">
        <v>376</v>
      </c>
      <c r="H327" t="s">
        <v>29</v>
      </c>
      <c r="I327">
        <v>34.83</v>
      </c>
      <c r="J327">
        <v>139.83000000000001</v>
      </c>
      <c r="K327">
        <v>1931</v>
      </c>
      <c r="M327">
        <v>80</v>
      </c>
      <c r="N327" t="s">
        <v>84</v>
      </c>
      <c r="O327">
        <v>0</v>
      </c>
      <c r="P327" t="s">
        <v>85</v>
      </c>
    </row>
    <row r="328" spans="1:16">
      <c r="A328" t="s">
        <v>370</v>
      </c>
      <c r="C328" t="s">
        <v>19</v>
      </c>
      <c r="D328" t="s">
        <v>371</v>
      </c>
      <c r="E328" t="s">
        <v>265</v>
      </c>
      <c r="F328" t="s">
        <v>265</v>
      </c>
      <c r="G328" t="s">
        <v>376</v>
      </c>
      <c r="H328" t="s">
        <v>29</v>
      </c>
      <c r="I328">
        <v>34.409999999999997</v>
      </c>
      <c r="J328">
        <v>129.41</v>
      </c>
      <c r="K328">
        <v>1931</v>
      </c>
      <c r="M328">
        <v>80</v>
      </c>
      <c r="N328" t="s">
        <v>84</v>
      </c>
      <c r="O328">
        <v>0</v>
      </c>
      <c r="P328" t="s">
        <v>85</v>
      </c>
    </row>
    <row r="329" spans="1:16">
      <c r="A329" t="s">
        <v>370</v>
      </c>
      <c r="C329" t="s">
        <v>19</v>
      </c>
      <c r="D329" t="s">
        <v>371</v>
      </c>
      <c r="E329" t="s">
        <v>265</v>
      </c>
      <c r="F329" t="s">
        <v>265</v>
      </c>
      <c r="G329" t="s">
        <v>377</v>
      </c>
      <c r="H329" t="s">
        <v>29</v>
      </c>
      <c r="I329">
        <v>33.4</v>
      </c>
      <c r="J329">
        <v>135.9</v>
      </c>
      <c r="K329">
        <v>1931</v>
      </c>
      <c r="M329">
        <v>80</v>
      </c>
      <c r="N329" t="s">
        <v>84</v>
      </c>
      <c r="O329">
        <v>0</v>
      </c>
      <c r="P329" t="s">
        <v>85</v>
      </c>
    </row>
    <row r="330" spans="1:16">
      <c r="A330" t="s">
        <v>370</v>
      </c>
      <c r="C330" t="s">
        <v>19</v>
      </c>
      <c r="D330" t="s">
        <v>371</v>
      </c>
      <c r="E330" t="s">
        <v>265</v>
      </c>
      <c r="F330" t="s">
        <v>265</v>
      </c>
      <c r="G330" t="s">
        <v>377</v>
      </c>
      <c r="H330" t="s">
        <v>29</v>
      </c>
      <c r="I330">
        <v>34.409999999999997</v>
      </c>
      <c r="J330">
        <v>129.41</v>
      </c>
      <c r="K330">
        <v>1931</v>
      </c>
      <c r="M330">
        <v>80</v>
      </c>
      <c r="N330" t="s">
        <v>84</v>
      </c>
      <c r="O330">
        <v>0</v>
      </c>
      <c r="P330" t="s">
        <v>85</v>
      </c>
    </row>
    <row r="331" spans="1:16">
      <c r="A331" t="s">
        <v>370</v>
      </c>
      <c r="C331" t="s">
        <v>19</v>
      </c>
      <c r="D331" t="s">
        <v>371</v>
      </c>
      <c r="E331" t="s">
        <v>265</v>
      </c>
      <c r="F331" t="s">
        <v>265</v>
      </c>
      <c r="G331" t="s">
        <v>378</v>
      </c>
      <c r="H331" t="s">
        <v>29</v>
      </c>
      <c r="I331">
        <v>34.83</v>
      </c>
      <c r="J331">
        <v>139.83000000000001</v>
      </c>
      <c r="K331">
        <v>1931</v>
      </c>
      <c r="M331">
        <v>80</v>
      </c>
      <c r="N331" t="s">
        <v>84</v>
      </c>
      <c r="O331">
        <v>0</v>
      </c>
      <c r="P331" t="s">
        <v>85</v>
      </c>
    </row>
    <row r="332" spans="1:16">
      <c r="A332" t="s">
        <v>370</v>
      </c>
      <c r="C332" t="s">
        <v>19</v>
      </c>
      <c r="D332" t="s">
        <v>371</v>
      </c>
      <c r="E332" t="s">
        <v>265</v>
      </c>
      <c r="F332" t="s">
        <v>265</v>
      </c>
      <c r="G332" t="s">
        <v>378</v>
      </c>
      <c r="H332" t="s">
        <v>29</v>
      </c>
      <c r="I332">
        <v>34.409999999999997</v>
      </c>
      <c r="J332">
        <v>129.41</v>
      </c>
      <c r="K332">
        <v>1931</v>
      </c>
      <c r="M332">
        <v>80</v>
      </c>
      <c r="N332" t="s">
        <v>84</v>
      </c>
      <c r="O332">
        <v>0</v>
      </c>
      <c r="P332" t="s">
        <v>85</v>
      </c>
    </row>
    <row r="333" spans="1:16">
      <c r="A333" t="s">
        <v>370</v>
      </c>
      <c r="C333" t="s">
        <v>19</v>
      </c>
      <c r="D333" t="s">
        <v>371</v>
      </c>
      <c r="E333" t="s">
        <v>265</v>
      </c>
      <c r="F333" t="s">
        <v>265</v>
      </c>
      <c r="G333" t="s">
        <v>379</v>
      </c>
      <c r="H333" t="s">
        <v>29</v>
      </c>
      <c r="I333">
        <v>34.83</v>
      </c>
      <c r="J333">
        <v>139.83000000000001</v>
      </c>
      <c r="K333">
        <v>1931</v>
      </c>
      <c r="M333">
        <v>80</v>
      </c>
      <c r="N333" t="s">
        <v>84</v>
      </c>
      <c r="O333">
        <v>0</v>
      </c>
      <c r="P333" t="s">
        <v>85</v>
      </c>
    </row>
    <row r="334" spans="1:16">
      <c r="A334" t="s">
        <v>370</v>
      </c>
      <c r="C334" t="s">
        <v>19</v>
      </c>
      <c r="D334" t="s">
        <v>371</v>
      </c>
      <c r="E334" t="s">
        <v>265</v>
      </c>
      <c r="F334" t="s">
        <v>265</v>
      </c>
      <c r="G334" t="s">
        <v>379</v>
      </c>
      <c r="H334" t="s">
        <v>29</v>
      </c>
      <c r="I334">
        <v>34.409999999999997</v>
      </c>
      <c r="J334">
        <v>129.41</v>
      </c>
      <c r="K334">
        <v>1931</v>
      </c>
      <c r="M334">
        <v>80</v>
      </c>
      <c r="N334" t="s">
        <v>84</v>
      </c>
      <c r="O334">
        <v>0</v>
      </c>
      <c r="P334" t="s">
        <v>85</v>
      </c>
    </row>
    <row r="335" spans="1:16">
      <c r="A335" t="s">
        <v>370</v>
      </c>
      <c r="C335" t="s">
        <v>19</v>
      </c>
      <c r="D335" t="s">
        <v>371</v>
      </c>
      <c r="E335" t="s">
        <v>265</v>
      </c>
      <c r="F335" t="s">
        <v>265</v>
      </c>
      <c r="G335" t="s">
        <v>380</v>
      </c>
      <c r="H335" t="s">
        <v>29</v>
      </c>
      <c r="I335">
        <v>33.4</v>
      </c>
      <c r="J335">
        <v>135.9</v>
      </c>
      <c r="K335">
        <v>1931</v>
      </c>
      <c r="M335">
        <v>80</v>
      </c>
      <c r="N335" t="s">
        <v>84</v>
      </c>
      <c r="O335">
        <v>0</v>
      </c>
      <c r="P335" t="s">
        <v>85</v>
      </c>
    </row>
    <row r="336" spans="1:16">
      <c r="A336" t="s">
        <v>370</v>
      </c>
      <c r="C336" t="s">
        <v>19</v>
      </c>
      <c r="D336" t="s">
        <v>371</v>
      </c>
      <c r="E336" t="s">
        <v>265</v>
      </c>
      <c r="F336" t="s">
        <v>265</v>
      </c>
      <c r="G336" t="s">
        <v>380</v>
      </c>
      <c r="H336" t="s">
        <v>29</v>
      </c>
      <c r="I336">
        <v>34.409999999999997</v>
      </c>
      <c r="J336">
        <v>129.41</v>
      </c>
      <c r="K336">
        <v>1931</v>
      </c>
      <c r="M336">
        <v>80</v>
      </c>
      <c r="N336" t="s">
        <v>84</v>
      </c>
      <c r="O336">
        <v>0</v>
      </c>
      <c r="P336" t="s">
        <v>85</v>
      </c>
    </row>
    <row r="337" spans="1:17">
      <c r="A337" t="s">
        <v>381</v>
      </c>
      <c r="C337" t="s">
        <v>19</v>
      </c>
      <c r="D337" t="s">
        <v>20</v>
      </c>
      <c r="E337" t="s">
        <v>96</v>
      </c>
      <c r="F337" t="s">
        <v>96</v>
      </c>
      <c r="G337" t="s">
        <v>382</v>
      </c>
      <c r="H337" t="s">
        <v>29</v>
      </c>
      <c r="I337">
        <v>45.38</v>
      </c>
      <c r="J337">
        <v>-3.8</v>
      </c>
      <c r="K337">
        <v>1955</v>
      </c>
      <c r="M337">
        <v>55</v>
      </c>
      <c r="N337" t="s">
        <v>30</v>
      </c>
      <c r="O337">
        <v>-38.9</v>
      </c>
      <c r="P337" t="s">
        <v>15</v>
      </c>
    </row>
    <row r="338" spans="1:17">
      <c r="A338" t="s">
        <v>381</v>
      </c>
      <c r="C338" t="s">
        <v>19</v>
      </c>
      <c r="D338" t="s">
        <v>20</v>
      </c>
      <c r="E338" t="s">
        <v>96</v>
      </c>
      <c r="F338" t="s">
        <v>96</v>
      </c>
      <c r="G338" t="s">
        <v>383</v>
      </c>
      <c r="H338" t="s">
        <v>29</v>
      </c>
      <c r="I338">
        <v>43.46</v>
      </c>
      <c r="J338">
        <v>-3.8</v>
      </c>
      <c r="K338">
        <v>1955</v>
      </c>
      <c r="M338">
        <v>55</v>
      </c>
      <c r="N338" t="s">
        <v>30</v>
      </c>
      <c r="O338">
        <v>-14.7</v>
      </c>
      <c r="P338" t="s">
        <v>15</v>
      </c>
    </row>
    <row r="339" spans="1:17">
      <c r="A339" t="s">
        <v>238</v>
      </c>
      <c r="C339" t="s">
        <v>19</v>
      </c>
      <c r="D339" t="s">
        <v>20</v>
      </c>
      <c r="E339" t="s">
        <v>161</v>
      </c>
      <c r="F339" t="s">
        <v>162</v>
      </c>
      <c r="G339" t="s">
        <v>384</v>
      </c>
      <c r="H339" t="s">
        <v>38</v>
      </c>
      <c r="I339">
        <v>55.86</v>
      </c>
      <c r="J339">
        <v>2</v>
      </c>
      <c r="K339">
        <v>1977</v>
      </c>
      <c r="M339">
        <v>25</v>
      </c>
      <c r="N339" t="s">
        <v>84</v>
      </c>
      <c r="O339">
        <v>0</v>
      </c>
      <c r="P339" t="s">
        <v>15</v>
      </c>
    </row>
    <row r="340" spans="1:17">
      <c r="A340" t="s">
        <v>296</v>
      </c>
      <c r="C340" t="s">
        <v>19</v>
      </c>
      <c r="D340" t="s">
        <v>50</v>
      </c>
      <c r="E340" t="s">
        <v>36</v>
      </c>
      <c r="F340" t="s">
        <v>36</v>
      </c>
      <c r="G340" t="s">
        <v>385</v>
      </c>
      <c r="H340" t="s">
        <v>23</v>
      </c>
      <c r="I340">
        <v>-30</v>
      </c>
      <c r="J340">
        <v>-71.7</v>
      </c>
      <c r="K340">
        <v>1949</v>
      </c>
      <c r="M340">
        <v>52</v>
      </c>
      <c r="N340" t="s">
        <v>30</v>
      </c>
      <c r="O340">
        <v>-71.73</v>
      </c>
      <c r="P340" t="s">
        <v>88</v>
      </c>
    </row>
    <row r="341" spans="1:17">
      <c r="A341" t="s">
        <v>386</v>
      </c>
      <c r="C341" t="s">
        <v>19</v>
      </c>
      <c r="D341" t="s">
        <v>371</v>
      </c>
      <c r="E341" t="s">
        <v>36</v>
      </c>
      <c r="F341" t="s">
        <v>36</v>
      </c>
      <c r="G341" t="s">
        <v>387</v>
      </c>
      <c r="H341" t="s">
        <v>23</v>
      </c>
      <c r="I341">
        <v>37.46</v>
      </c>
      <c r="J341">
        <v>-122.45</v>
      </c>
      <c r="K341">
        <v>1966</v>
      </c>
      <c r="M341">
        <v>31</v>
      </c>
      <c r="N341" t="s">
        <v>24</v>
      </c>
      <c r="O341">
        <v>53.12</v>
      </c>
      <c r="P341" t="s">
        <v>15</v>
      </c>
    </row>
    <row r="342" spans="1:17">
      <c r="A342" t="s">
        <v>388</v>
      </c>
      <c r="C342" t="s">
        <v>19</v>
      </c>
      <c r="D342" t="s">
        <v>20</v>
      </c>
      <c r="E342" t="s">
        <v>96</v>
      </c>
      <c r="F342" t="s">
        <v>96</v>
      </c>
      <c r="G342" t="s">
        <v>389</v>
      </c>
      <c r="H342" t="s">
        <v>29</v>
      </c>
      <c r="I342">
        <v>43.6</v>
      </c>
      <c r="J342">
        <v>-3.06</v>
      </c>
      <c r="K342">
        <v>1980</v>
      </c>
      <c r="M342">
        <v>31</v>
      </c>
      <c r="N342" t="s">
        <v>30</v>
      </c>
      <c r="O342">
        <v>79</v>
      </c>
      <c r="P342" t="s">
        <v>15</v>
      </c>
    </row>
    <row r="343" spans="1:17">
      <c r="A343" t="s">
        <v>388</v>
      </c>
      <c r="C343" t="s">
        <v>19</v>
      </c>
      <c r="D343" t="s">
        <v>20</v>
      </c>
      <c r="E343" t="s">
        <v>96</v>
      </c>
      <c r="F343" t="s">
        <v>96</v>
      </c>
      <c r="G343" t="s">
        <v>390</v>
      </c>
      <c r="H343" t="s">
        <v>29</v>
      </c>
      <c r="I343">
        <v>43.73</v>
      </c>
      <c r="J343">
        <v>-5.82</v>
      </c>
      <c r="K343">
        <v>1980</v>
      </c>
      <c r="M343">
        <v>31</v>
      </c>
      <c r="N343" t="s">
        <v>30</v>
      </c>
      <c r="O343">
        <v>-111</v>
      </c>
      <c r="P343" t="s">
        <v>15</v>
      </c>
    </row>
    <row r="344" spans="1:17">
      <c r="A344" t="s">
        <v>388</v>
      </c>
      <c r="C344" t="s">
        <v>19</v>
      </c>
      <c r="D344" t="s">
        <v>20</v>
      </c>
      <c r="E344" t="s">
        <v>96</v>
      </c>
      <c r="F344" t="s">
        <v>96</v>
      </c>
      <c r="G344" t="s">
        <v>115</v>
      </c>
      <c r="H344" t="s">
        <v>29</v>
      </c>
      <c r="I344">
        <v>43.58</v>
      </c>
      <c r="J344">
        <v>-7.21</v>
      </c>
      <c r="K344">
        <v>1980</v>
      </c>
      <c r="M344">
        <v>31</v>
      </c>
      <c r="N344" t="s">
        <v>30</v>
      </c>
      <c r="O344">
        <v>-54</v>
      </c>
      <c r="P344" t="s">
        <v>15</v>
      </c>
    </row>
    <row r="345" spans="1:17">
      <c r="A345" t="s">
        <v>391</v>
      </c>
      <c r="C345" t="s">
        <v>19</v>
      </c>
      <c r="D345" t="s">
        <v>20</v>
      </c>
      <c r="E345" t="s">
        <v>47</v>
      </c>
      <c r="F345" t="s">
        <v>47</v>
      </c>
      <c r="G345" t="s">
        <v>364</v>
      </c>
      <c r="H345" t="s">
        <v>29</v>
      </c>
      <c r="I345">
        <v>40</v>
      </c>
      <c r="J345">
        <v>-74</v>
      </c>
      <c r="K345">
        <v>1963</v>
      </c>
      <c r="M345">
        <v>45</v>
      </c>
      <c r="N345" t="s">
        <v>30</v>
      </c>
      <c r="O345">
        <v>-75</v>
      </c>
      <c r="P345" t="s">
        <v>15</v>
      </c>
    </row>
    <row r="346" spans="1:17">
      <c r="A346" t="s">
        <v>392</v>
      </c>
      <c r="C346" t="s">
        <v>393</v>
      </c>
      <c r="E346" t="s">
        <v>394</v>
      </c>
      <c r="F346" t="s">
        <v>394</v>
      </c>
      <c r="G346" t="s">
        <v>395</v>
      </c>
      <c r="H346" t="s">
        <v>396</v>
      </c>
      <c r="K346">
        <v>1980</v>
      </c>
      <c r="O346">
        <v>-16.190000000000001</v>
      </c>
      <c r="P346" t="s">
        <v>397</v>
      </c>
      <c r="Q346" t="s">
        <v>398</v>
      </c>
    </row>
    <row r="347" spans="1:17">
      <c r="A347" t="s">
        <v>392</v>
      </c>
      <c r="C347" t="s">
        <v>393</v>
      </c>
      <c r="E347" t="s">
        <v>394</v>
      </c>
      <c r="F347" t="s">
        <v>394</v>
      </c>
      <c r="G347" t="s">
        <v>395</v>
      </c>
      <c r="H347" t="s">
        <v>399</v>
      </c>
      <c r="K347">
        <v>1980</v>
      </c>
      <c r="O347">
        <v>-4.13</v>
      </c>
      <c r="P347" t="s">
        <v>397</v>
      </c>
      <c r="Q347" t="s">
        <v>398</v>
      </c>
    </row>
    <row r="348" spans="1:17">
      <c r="A348" t="s">
        <v>400</v>
      </c>
      <c r="C348" t="s">
        <v>393</v>
      </c>
      <c r="D348" t="s">
        <v>401</v>
      </c>
      <c r="E348" t="s">
        <v>394</v>
      </c>
      <c r="F348" t="s">
        <v>394</v>
      </c>
      <c r="G348" t="s">
        <v>402</v>
      </c>
      <c r="I348">
        <v>-0.535829</v>
      </c>
      <c r="J348">
        <v>-91.270139999999998</v>
      </c>
      <c r="K348">
        <v>1970</v>
      </c>
      <c r="M348">
        <v>28</v>
      </c>
      <c r="O348" t="s">
        <v>163</v>
      </c>
      <c r="P348" t="s">
        <v>397</v>
      </c>
      <c r="Q348" t="s">
        <v>403</v>
      </c>
    </row>
    <row r="349" spans="1:17">
      <c r="A349" t="s">
        <v>238</v>
      </c>
      <c r="C349" t="s">
        <v>19</v>
      </c>
      <c r="D349" t="s">
        <v>20</v>
      </c>
      <c r="E349" t="s">
        <v>161</v>
      </c>
      <c r="F349" t="s">
        <v>162</v>
      </c>
      <c r="G349" t="s">
        <v>404</v>
      </c>
      <c r="H349" t="s">
        <v>38</v>
      </c>
      <c r="I349">
        <v>58.84</v>
      </c>
      <c r="J349">
        <v>2</v>
      </c>
      <c r="K349">
        <v>1977</v>
      </c>
      <c r="M349">
        <v>25</v>
      </c>
      <c r="N349" t="s">
        <v>84</v>
      </c>
      <c r="O349">
        <v>0</v>
      </c>
      <c r="P349" t="s">
        <v>85</v>
      </c>
    </row>
    <row r="350" spans="1:17">
      <c r="A350" t="s">
        <v>405</v>
      </c>
      <c r="C350" t="s">
        <v>19</v>
      </c>
      <c r="D350" t="s">
        <v>20</v>
      </c>
      <c r="E350" t="s">
        <v>96</v>
      </c>
      <c r="F350" t="s">
        <v>96</v>
      </c>
      <c r="G350" t="s">
        <v>123</v>
      </c>
      <c r="H350" t="s">
        <v>406</v>
      </c>
      <c r="I350">
        <v>36</v>
      </c>
      <c r="J350">
        <v>-7</v>
      </c>
      <c r="K350">
        <v>1985</v>
      </c>
      <c r="M350">
        <v>27</v>
      </c>
      <c r="N350" t="s">
        <v>24</v>
      </c>
      <c r="O350">
        <v>463</v>
      </c>
      <c r="P350" t="s">
        <v>15</v>
      </c>
    </row>
    <row r="351" spans="1:17">
      <c r="A351" t="s">
        <v>238</v>
      </c>
      <c r="C351" t="s">
        <v>19</v>
      </c>
      <c r="D351" t="s">
        <v>20</v>
      </c>
      <c r="E351" t="s">
        <v>161</v>
      </c>
      <c r="F351" t="s">
        <v>162</v>
      </c>
      <c r="G351" t="s">
        <v>407</v>
      </c>
      <c r="H351" t="s">
        <v>38</v>
      </c>
      <c r="I351">
        <v>60.13</v>
      </c>
      <c r="J351">
        <v>2</v>
      </c>
      <c r="K351">
        <v>1977</v>
      </c>
      <c r="M351">
        <v>25</v>
      </c>
      <c r="N351" t="s">
        <v>84</v>
      </c>
      <c r="O351">
        <v>0</v>
      </c>
      <c r="P351" t="s">
        <v>85</v>
      </c>
    </row>
    <row r="352" spans="1:17">
      <c r="A352" t="s">
        <v>238</v>
      </c>
      <c r="C352" t="s">
        <v>19</v>
      </c>
      <c r="D352" t="s">
        <v>20</v>
      </c>
      <c r="E352" t="s">
        <v>161</v>
      </c>
      <c r="F352" t="s">
        <v>162</v>
      </c>
      <c r="G352" t="s">
        <v>408</v>
      </c>
      <c r="H352" t="s">
        <v>38</v>
      </c>
      <c r="I352">
        <v>57.06</v>
      </c>
      <c r="J352">
        <v>2</v>
      </c>
      <c r="K352">
        <v>1977</v>
      </c>
      <c r="M352">
        <v>25</v>
      </c>
      <c r="N352" t="s">
        <v>84</v>
      </c>
      <c r="O352">
        <v>0</v>
      </c>
      <c r="P352" t="s">
        <v>85</v>
      </c>
    </row>
    <row r="353" spans="1:17">
      <c r="A353" t="s">
        <v>238</v>
      </c>
      <c r="C353" t="s">
        <v>19</v>
      </c>
      <c r="D353" t="s">
        <v>20</v>
      </c>
      <c r="E353" t="s">
        <v>161</v>
      </c>
      <c r="F353" t="s">
        <v>162</v>
      </c>
      <c r="G353" t="s">
        <v>409</v>
      </c>
      <c r="H353" t="s">
        <v>38</v>
      </c>
      <c r="I353">
        <v>59.26</v>
      </c>
      <c r="J353">
        <v>2</v>
      </c>
      <c r="K353">
        <v>1977</v>
      </c>
      <c r="M353">
        <v>25</v>
      </c>
      <c r="N353" t="s">
        <v>84</v>
      </c>
      <c r="O353">
        <v>0</v>
      </c>
      <c r="P353" t="s">
        <v>85</v>
      </c>
    </row>
    <row r="354" spans="1:17">
      <c r="A354" t="s">
        <v>238</v>
      </c>
      <c r="C354" t="s">
        <v>19</v>
      </c>
      <c r="D354" t="s">
        <v>20</v>
      </c>
      <c r="E354" t="s">
        <v>161</v>
      </c>
      <c r="F354" t="s">
        <v>201</v>
      </c>
      <c r="G354" t="s">
        <v>410</v>
      </c>
      <c r="H354" t="s">
        <v>38</v>
      </c>
      <c r="I354">
        <v>57.51</v>
      </c>
      <c r="J354">
        <v>2</v>
      </c>
      <c r="K354">
        <v>1977</v>
      </c>
      <c r="M354">
        <v>25</v>
      </c>
      <c r="N354" t="s">
        <v>84</v>
      </c>
      <c r="O354">
        <v>0</v>
      </c>
      <c r="P354" t="s">
        <v>85</v>
      </c>
    </row>
    <row r="355" spans="1:17">
      <c r="A355" t="s">
        <v>238</v>
      </c>
      <c r="C355" t="s">
        <v>19</v>
      </c>
      <c r="D355" t="s">
        <v>20</v>
      </c>
      <c r="E355" t="s">
        <v>161</v>
      </c>
      <c r="F355" t="s">
        <v>162</v>
      </c>
      <c r="G355" t="s">
        <v>166</v>
      </c>
      <c r="H355" t="s">
        <v>38</v>
      </c>
      <c r="I355">
        <v>55.52</v>
      </c>
      <c r="J355">
        <v>2</v>
      </c>
      <c r="K355">
        <v>1977</v>
      </c>
      <c r="M355">
        <v>25</v>
      </c>
      <c r="N355" t="s">
        <v>84</v>
      </c>
      <c r="O355">
        <v>0</v>
      </c>
      <c r="P355" t="s">
        <v>85</v>
      </c>
    </row>
    <row r="356" spans="1:17">
      <c r="A356" t="s">
        <v>238</v>
      </c>
      <c r="C356" t="s">
        <v>19</v>
      </c>
      <c r="D356" t="s">
        <v>20</v>
      </c>
      <c r="E356" t="s">
        <v>161</v>
      </c>
      <c r="F356" t="s">
        <v>162</v>
      </c>
      <c r="G356" t="s">
        <v>226</v>
      </c>
      <c r="H356" t="s">
        <v>38</v>
      </c>
      <c r="I356">
        <v>59.44</v>
      </c>
      <c r="J356">
        <v>2</v>
      </c>
      <c r="K356">
        <v>1977</v>
      </c>
      <c r="M356">
        <v>25</v>
      </c>
      <c r="N356" t="s">
        <v>84</v>
      </c>
      <c r="O356">
        <v>0</v>
      </c>
      <c r="P356" t="s">
        <v>85</v>
      </c>
    </row>
    <row r="357" spans="1:17">
      <c r="A357" t="s">
        <v>238</v>
      </c>
      <c r="C357" t="s">
        <v>19</v>
      </c>
      <c r="D357" t="s">
        <v>20</v>
      </c>
      <c r="E357" t="s">
        <v>161</v>
      </c>
      <c r="F357" t="s">
        <v>162</v>
      </c>
      <c r="G357" t="s">
        <v>411</v>
      </c>
      <c r="H357" t="s">
        <v>38</v>
      </c>
      <c r="I357">
        <v>54.73</v>
      </c>
      <c r="J357">
        <v>2</v>
      </c>
      <c r="K357">
        <v>1977</v>
      </c>
      <c r="M357">
        <v>25</v>
      </c>
      <c r="N357" t="s">
        <v>84</v>
      </c>
      <c r="O357">
        <v>0</v>
      </c>
      <c r="P357" t="s">
        <v>85</v>
      </c>
    </row>
    <row r="358" spans="1:17">
      <c r="A358" t="s">
        <v>238</v>
      </c>
      <c r="C358" t="s">
        <v>19</v>
      </c>
      <c r="D358" t="s">
        <v>20</v>
      </c>
      <c r="E358" t="s">
        <v>161</v>
      </c>
      <c r="F358" t="s">
        <v>162</v>
      </c>
      <c r="G358" t="s">
        <v>412</v>
      </c>
      <c r="H358" t="s">
        <v>38</v>
      </c>
      <c r="I358">
        <v>59.89</v>
      </c>
      <c r="J358">
        <v>2</v>
      </c>
      <c r="K358">
        <v>1977</v>
      </c>
      <c r="M358">
        <v>25</v>
      </c>
      <c r="N358" t="s">
        <v>84</v>
      </c>
      <c r="O358">
        <v>0</v>
      </c>
      <c r="P358" t="s">
        <v>85</v>
      </c>
    </row>
    <row r="359" spans="1:17">
      <c r="A359" t="s">
        <v>238</v>
      </c>
      <c r="C359" t="s">
        <v>19</v>
      </c>
      <c r="D359" t="s">
        <v>20</v>
      </c>
      <c r="E359" t="s">
        <v>161</v>
      </c>
      <c r="F359" t="s">
        <v>201</v>
      </c>
      <c r="G359" t="s">
        <v>235</v>
      </c>
      <c r="H359" t="s">
        <v>38</v>
      </c>
      <c r="I359">
        <v>56.29</v>
      </c>
      <c r="J359">
        <v>2</v>
      </c>
      <c r="K359">
        <v>1977</v>
      </c>
      <c r="M359">
        <v>25</v>
      </c>
      <c r="N359" t="s">
        <v>84</v>
      </c>
      <c r="O359">
        <v>0</v>
      </c>
      <c r="P359" t="s">
        <v>85</v>
      </c>
    </row>
    <row r="360" spans="1:17">
      <c r="A360" t="s">
        <v>238</v>
      </c>
      <c r="C360" t="s">
        <v>19</v>
      </c>
      <c r="D360" t="s">
        <v>20</v>
      </c>
      <c r="E360" t="s">
        <v>161</v>
      </c>
      <c r="F360" t="s">
        <v>162</v>
      </c>
      <c r="G360" t="s">
        <v>413</v>
      </c>
      <c r="H360" t="s">
        <v>38</v>
      </c>
      <c r="I360">
        <v>53.89</v>
      </c>
      <c r="J360">
        <v>2</v>
      </c>
      <c r="K360">
        <v>1977</v>
      </c>
      <c r="M360">
        <v>25</v>
      </c>
      <c r="N360" t="s">
        <v>84</v>
      </c>
      <c r="O360">
        <v>0</v>
      </c>
      <c r="P360" t="s">
        <v>85</v>
      </c>
    </row>
    <row r="361" spans="1:17">
      <c r="A361" t="s">
        <v>238</v>
      </c>
      <c r="C361" t="s">
        <v>19</v>
      </c>
      <c r="D361" t="s">
        <v>20</v>
      </c>
      <c r="E361" t="s">
        <v>161</v>
      </c>
      <c r="F361" t="s">
        <v>162</v>
      </c>
      <c r="G361" t="s">
        <v>414</v>
      </c>
      <c r="H361" t="s">
        <v>38</v>
      </c>
      <c r="I361">
        <v>54.67</v>
      </c>
      <c r="J361">
        <v>2</v>
      </c>
      <c r="K361">
        <v>1977</v>
      </c>
      <c r="M361">
        <v>25</v>
      </c>
      <c r="N361" t="s">
        <v>30</v>
      </c>
      <c r="O361">
        <v>-82.14</v>
      </c>
      <c r="P361" t="s">
        <v>88</v>
      </c>
    </row>
    <row r="362" spans="1:17">
      <c r="A362" t="s">
        <v>238</v>
      </c>
      <c r="C362" t="s">
        <v>19</v>
      </c>
      <c r="D362" t="s">
        <v>20</v>
      </c>
      <c r="E362" t="s">
        <v>161</v>
      </c>
      <c r="F362" t="s">
        <v>201</v>
      </c>
      <c r="G362" t="s">
        <v>415</v>
      </c>
      <c r="H362" t="s">
        <v>38</v>
      </c>
      <c r="I362">
        <v>58.34</v>
      </c>
      <c r="J362">
        <v>2</v>
      </c>
      <c r="K362">
        <v>1977</v>
      </c>
      <c r="M362">
        <v>25</v>
      </c>
      <c r="N362" t="s">
        <v>30</v>
      </c>
      <c r="O362">
        <v>-85.47</v>
      </c>
      <c r="P362" t="s">
        <v>88</v>
      </c>
    </row>
    <row r="363" spans="1:17">
      <c r="A363" t="s">
        <v>416</v>
      </c>
      <c r="C363" t="s">
        <v>393</v>
      </c>
      <c r="E363" t="s">
        <v>394</v>
      </c>
      <c r="F363" t="s">
        <v>394</v>
      </c>
      <c r="G363" t="s">
        <v>417</v>
      </c>
      <c r="H363" t="s">
        <v>399</v>
      </c>
      <c r="K363">
        <v>1981</v>
      </c>
      <c r="O363">
        <v>-66.31</v>
      </c>
      <c r="P363" t="s">
        <v>397</v>
      </c>
      <c r="Q363" t="s">
        <v>398</v>
      </c>
    </row>
    <row r="364" spans="1:17">
      <c r="A364" t="s">
        <v>386</v>
      </c>
      <c r="C364" t="s">
        <v>19</v>
      </c>
      <c r="D364" t="s">
        <v>371</v>
      </c>
      <c r="E364" t="s">
        <v>36</v>
      </c>
      <c r="F364" t="s">
        <v>36</v>
      </c>
      <c r="G364" t="s">
        <v>418</v>
      </c>
      <c r="H364" t="s">
        <v>23</v>
      </c>
      <c r="I364">
        <v>41.84</v>
      </c>
      <c r="J364">
        <v>-124.13</v>
      </c>
      <c r="K364">
        <v>1954</v>
      </c>
      <c r="M364">
        <v>40</v>
      </c>
      <c r="N364" t="s">
        <v>24</v>
      </c>
      <c r="O364">
        <v>151.75</v>
      </c>
      <c r="P364" t="s">
        <v>15</v>
      </c>
    </row>
    <row r="365" spans="1:17">
      <c r="A365" t="s">
        <v>238</v>
      </c>
      <c r="C365" t="s">
        <v>19</v>
      </c>
      <c r="D365" t="s">
        <v>20</v>
      </c>
      <c r="E365" t="s">
        <v>161</v>
      </c>
      <c r="F365" t="s">
        <v>162</v>
      </c>
      <c r="G365" t="s">
        <v>165</v>
      </c>
      <c r="H365" t="s">
        <v>38</v>
      </c>
      <c r="I365">
        <v>53.68</v>
      </c>
      <c r="J365">
        <v>2</v>
      </c>
      <c r="K365">
        <v>1977</v>
      </c>
      <c r="M365">
        <v>25</v>
      </c>
      <c r="N365" t="s">
        <v>30</v>
      </c>
      <c r="O365">
        <v>-54.39</v>
      </c>
      <c r="P365" t="s">
        <v>88</v>
      </c>
    </row>
    <row r="366" spans="1:17">
      <c r="A366" t="s">
        <v>238</v>
      </c>
      <c r="C366" t="s">
        <v>19</v>
      </c>
      <c r="D366" t="s">
        <v>20</v>
      </c>
      <c r="E366" t="s">
        <v>161</v>
      </c>
      <c r="F366" t="s">
        <v>162</v>
      </c>
      <c r="G366" t="s">
        <v>419</v>
      </c>
      <c r="H366" t="s">
        <v>38</v>
      </c>
      <c r="I366">
        <v>58.59</v>
      </c>
      <c r="J366">
        <v>2</v>
      </c>
      <c r="K366">
        <v>1977</v>
      </c>
      <c r="M366">
        <v>25</v>
      </c>
      <c r="N366" t="s">
        <v>30</v>
      </c>
      <c r="O366">
        <v>-21.09</v>
      </c>
      <c r="P366" t="s">
        <v>88</v>
      </c>
    </row>
    <row r="367" spans="1:17">
      <c r="A367" t="s">
        <v>420</v>
      </c>
      <c r="C367" t="s">
        <v>19</v>
      </c>
      <c r="D367" t="s">
        <v>20</v>
      </c>
      <c r="E367" t="s">
        <v>161</v>
      </c>
      <c r="F367" t="s">
        <v>162</v>
      </c>
      <c r="G367" t="s">
        <v>421</v>
      </c>
      <c r="H367" t="s">
        <v>23</v>
      </c>
      <c r="I367">
        <v>55.5</v>
      </c>
      <c r="J367">
        <v>-10</v>
      </c>
      <c r="K367">
        <v>1966</v>
      </c>
      <c r="M367">
        <v>30</v>
      </c>
      <c r="N367" t="s">
        <v>24</v>
      </c>
      <c r="O367">
        <v>685</v>
      </c>
      <c r="P367" t="s">
        <v>15</v>
      </c>
    </row>
    <row r="368" spans="1:17">
      <c r="A368" t="s">
        <v>416</v>
      </c>
      <c r="C368" t="s">
        <v>393</v>
      </c>
      <c r="E368" t="s">
        <v>394</v>
      </c>
      <c r="F368" t="s">
        <v>394</v>
      </c>
      <c r="G368" t="s">
        <v>422</v>
      </c>
      <c r="H368" t="s">
        <v>399</v>
      </c>
      <c r="K368">
        <v>1981</v>
      </c>
      <c r="O368">
        <v>-56.15</v>
      </c>
      <c r="P368" t="s">
        <v>397</v>
      </c>
      <c r="Q368" t="s">
        <v>398</v>
      </c>
    </row>
    <row r="369" spans="1:17">
      <c r="A369" t="s">
        <v>416</v>
      </c>
      <c r="C369" t="s">
        <v>393</v>
      </c>
      <c r="E369" t="s">
        <v>394</v>
      </c>
      <c r="F369" t="s">
        <v>394</v>
      </c>
      <c r="G369" t="s">
        <v>423</v>
      </c>
      <c r="H369" t="s">
        <v>399</v>
      </c>
      <c r="K369">
        <v>1981</v>
      </c>
      <c r="O369">
        <v>-52.760000000000005</v>
      </c>
      <c r="P369" t="s">
        <v>397</v>
      </c>
      <c r="Q369" t="s">
        <v>398</v>
      </c>
    </row>
    <row r="370" spans="1:17">
      <c r="A370" t="s">
        <v>416</v>
      </c>
      <c r="C370" t="s">
        <v>393</v>
      </c>
      <c r="E370" t="s">
        <v>394</v>
      </c>
      <c r="F370" t="s">
        <v>394</v>
      </c>
      <c r="G370" t="s">
        <v>424</v>
      </c>
      <c r="H370" t="s">
        <v>399</v>
      </c>
      <c r="K370">
        <v>1981</v>
      </c>
      <c r="O370">
        <v>-24.2</v>
      </c>
      <c r="P370" t="s">
        <v>397</v>
      </c>
      <c r="Q370" t="s">
        <v>398</v>
      </c>
    </row>
    <row r="371" spans="1:17">
      <c r="A371" t="s">
        <v>416</v>
      </c>
      <c r="C371" t="s">
        <v>393</v>
      </c>
      <c r="E371" t="s">
        <v>394</v>
      </c>
      <c r="F371" t="s">
        <v>394</v>
      </c>
      <c r="G371" t="s">
        <v>425</v>
      </c>
      <c r="H371" t="s">
        <v>399</v>
      </c>
      <c r="K371">
        <v>1981</v>
      </c>
      <c r="O371">
        <v>-21.299999999999997</v>
      </c>
      <c r="P371" t="s">
        <v>397</v>
      </c>
      <c r="Q371" t="s">
        <v>398</v>
      </c>
    </row>
    <row r="372" spans="1:17">
      <c r="A372" t="s">
        <v>416</v>
      </c>
      <c r="C372" t="s">
        <v>393</v>
      </c>
      <c r="E372" t="s">
        <v>394</v>
      </c>
      <c r="F372" t="s">
        <v>394</v>
      </c>
      <c r="G372" t="s">
        <v>426</v>
      </c>
      <c r="H372" t="s">
        <v>399</v>
      </c>
      <c r="K372">
        <v>1981</v>
      </c>
      <c r="O372">
        <v>-16.46</v>
      </c>
      <c r="P372" t="s">
        <v>397</v>
      </c>
      <c r="Q372" t="s">
        <v>398</v>
      </c>
    </row>
    <row r="373" spans="1:17">
      <c r="A373" t="s">
        <v>416</v>
      </c>
      <c r="C373" t="s">
        <v>393</v>
      </c>
      <c r="E373" t="s">
        <v>394</v>
      </c>
      <c r="F373" t="s">
        <v>394</v>
      </c>
      <c r="G373" t="s">
        <v>427</v>
      </c>
      <c r="H373" t="s">
        <v>399</v>
      </c>
      <c r="K373">
        <v>1981</v>
      </c>
      <c r="O373">
        <v>-11.129999999999999</v>
      </c>
      <c r="P373" t="s">
        <v>397</v>
      </c>
      <c r="Q373" t="s">
        <v>398</v>
      </c>
    </row>
    <row r="374" spans="1:17">
      <c r="A374" t="s">
        <v>428</v>
      </c>
      <c r="C374" t="s">
        <v>393</v>
      </c>
      <c r="E374" t="s">
        <v>394</v>
      </c>
      <c r="F374" t="s">
        <v>394</v>
      </c>
      <c r="G374" t="s">
        <v>429</v>
      </c>
      <c r="H374" t="s">
        <v>399</v>
      </c>
      <c r="K374">
        <v>2000</v>
      </c>
      <c r="O374">
        <v>-33.51</v>
      </c>
      <c r="P374" t="s">
        <v>397</v>
      </c>
      <c r="Q374" t="s">
        <v>398</v>
      </c>
    </row>
    <row r="375" spans="1:17">
      <c r="A375" t="s">
        <v>430</v>
      </c>
      <c r="C375" t="s">
        <v>393</v>
      </c>
      <c r="E375" t="s">
        <v>394</v>
      </c>
      <c r="F375" t="s">
        <v>394</v>
      </c>
      <c r="G375" t="s">
        <v>431</v>
      </c>
      <c r="H375" t="s">
        <v>399</v>
      </c>
      <c r="K375">
        <v>2000</v>
      </c>
      <c r="O375">
        <v>-64.91</v>
      </c>
      <c r="P375" t="s">
        <v>397</v>
      </c>
      <c r="Q375" t="s">
        <v>398</v>
      </c>
    </row>
    <row r="376" spans="1:17">
      <c r="A376" t="s">
        <v>430</v>
      </c>
      <c r="C376" t="s">
        <v>393</v>
      </c>
      <c r="E376" t="s">
        <v>394</v>
      </c>
      <c r="F376" t="s">
        <v>394</v>
      </c>
      <c r="G376" t="s">
        <v>432</v>
      </c>
      <c r="H376" t="s">
        <v>399</v>
      </c>
      <c r="K376">
        <v>2000</v>
      </c>
      <c r="O376">
        <v>-23.1</v>
      </c>
      <c r="P376" t="s">
        <v>397</v>
      </c>
      <c r="Q376" t="s">
        <v>398</v>
      </c>
    </row>
    <row r="377" spans="1:17">
      <c r="A377" t="s">
        <v>430</v>
      </c>
      <c r="C377" t="s">
        <v>393</v>
      </c>
      <c r="E377" t="s">
        <v>394</v>
      </c>
      <c r="F377" t="s">
        <v>394</v>
      </c>
      <c r="G377" t="s">
        <v>433</v>
      </c>
      <c r="H377" t="s">
        <v>399</v>
      </c>
      <c r="K377">
        <v>2000</v>
      </c>
      <c r="O377">
        <v>-9.49</v>
      </c>
      <c r="P377" t="s">
        <v>397</v>
      </c>
      <c r="Q377" t="s">
        <v>398</v>
      </c>
    </row>
    <row r="378" spans="1:17">
      <c r="A378" t="s">
        <v>434</v>
      </c>
      <c r="C378" t="s">
        <v>393</v>
      </c>
      <c r="E378" t="s">
        <v>394</v>
      </c>
      <c r="F378" t="s">
        <v>394</v>
      </c>
      <c r="G378" t="s">
        <v>435</v>
      </c>
      <c r="H378" t="s">
        <v>399</v>
      </c>
      <c r="K378">
        <v>1974</v>
      </c>
      <c r="O378">
        <v>-178</v>
      </c>
      <c r="P378" t="s">
        <v>397</v>
      </c>
      <c r="Q378" t="s">
        <v>398</v>
      </c>
    </row>
    <row r="379" spans="1:17">
      <c r="A379" t="s">
        <v>434</v>
      </c>
      <c r="C379" t="s">
        <v>393</v>
      </c>
      <c r="E379" t="s">
        <v>394</v>
      </c>
      <c r="F379" t="s">
        <v>394</v>
      </c>
      <c r="G379" t="s">
        <v>436</v>
      </c>
      <c r="H379" t="s">
        <v>399</v>
      </c>
      <c r="K379">
        <v>1974</v>
      </c>
      <c r="O379">
        <v>-56</v>
      </c>
      <c r="P379" t="s">
        <v>397</v>
      </c>
      <c r="Q379" t="s">
        <v>398</v>
      </c>
    </row>
    <row r="380" spans="1:17">
      <c r="A380" t="s">
        <v>434</v>
      </c>
      <c r="C380" t="s">
        <v>393</v>
      </c>
      <c r="E380" t="s">
        <v>394</v>
      </c>
      <c r="F380" t="s">
        <v>394</v>
      </c>
      <c r="G380" t="s">
        <v>437</v>
      </c>
      <c r="H380" t="s">
        <v>399</v>
      </c>
      <c r="K380">
        <v>1974</v>
      </c>
      <c r="O380">
        <v>-33</v>
      </c>
      <c r="P380" t="s">
        <v>397</v>
      </c>
      <c r="Q380" t="s">
        <v>398</v>
      </c>
    </row>
    <row r="381" spans="1:17">
      <c r="A381" t="s">
        <v>434</v>
      </c>
      <c r="C381" t="s">
        <v>393</v>
      </c>
      <c r="E381" t="s">
        <v>394</v>
      </c>
      <c r="F381" t="s">
        <v>394</v>
      </c>
      <c r="G381" t="s">
        <v>438</v>
      </c>
      <c r="H381" t="s">
        <v>399</v>
      </c>
      <c r="K381">
        <v>1974</v>
      </c>
      <c r="O381">
        <v>-33</v>
      </c>
      <c r="P381" t="s">
        <v>397</v>
      </c>
      <c r="Q381" t="s">
        <v>398</v>
      </c>
    </row>
    <row r="382" spans="1:17">
      <c r="A382" t="s">
        <v>434</v>
      </c>
      <c r="C382" t="s">
        <v>393</v>
      </c>
      <c r="E382" t="s">
        <v>394</v>
      </c>
      <c r="F382" t="s">
        <v>394</v>
      </c>
      <c r="G382" t="s">
        <v>439</v>
      </c>
      <c r="H382" t="s">
        <v>399</v>
      </c>
      <c r="K382">
        <v>1974</v>
      </c>
      <c r="O382">
        <v>-33</v>
      </c>
      <c r="P382" t="s">
        <v>397</v>
      </c>
      <c r="Q382" t="s">
        <v>398</v>
      </c>
    </row>
    <row r="383" spans="1:17">
      <c r="A383" t="s">
        <v>434</v>
      </c>
      <c r="C383" t="s">
        <v>393</v>
      </c>
      <c r="E383" t="s">
        <v>394</v>
      </c>
      <c r="F383" t="s">
        <v>394</v>
      </c>
      <c r="G383" t="s">
        <v>432</v>
      </c>
      <c r="H383" t="s">
        <v>399</v>
      </c>
      <c r="K383">
        <v>1974</v>
      </c>
      <c r="O383">
        <v>-22</v>
      </c>
      <c r="P383" t="s">
        <v>397</v>
      </c>
      <c r="Q383" t="s">
        <v>398</v>
      </c>
    </row>
    <row r="384" spans="1:17">
      <c r="A384" t="s">
        <v>434</v>
      </c>
      <c r="C384" t="s">
        <v>393</v>
      </c>
      <c r="E384" t="s">
        <v>394</v>
      </c>
      <c r="F384" t="s">
        <v>394</v>
      </c>
      <c r="G384" t="s">
        <v>431</v>
      </c>
      <c r="H384" t="s">
        <v>399</v>
      </c>
      <c r="K384">
        <v>1960</v>
      </c>
      <c r="O384">
        <v>-15</v>
      </c>
      <c r="P384" t="s">
        <v>397</v>
      </c>
      <c r="Q384" t="s">
        <v>398</v>
      </c>
    </row>
    <row r="385" spans="1:17">
      <c r="A385" t="s">
        <v>440</v>
      </c>
      <c r="C385" t="s">
        <v>393</v>
      </c>
      <c r="E385" t="s">
        <v>394</v>
      </c>
      <c r="F385" t="s">
        <v>394</v>
      </c>
      <c r="G385" t="s">
        <v>441</v>
      </c>
      <c r="H385" t="s">
        <v>399</v>
      </c>
      <c r="K385">
        <v>1966</v>
      </c>
      <c r="O385">
        <v>-111.5</v>
      </c>
      <c r="P385" t="s">
        <v>397</v>
      </c>
      <c r="Q385" t="s">
        <v>398</v>
      </c>
    </row>
    <row r="386" spans="1:17">
      <c r="A386" t="s">
        <v>440</v>
      </c>
      <c r="C386" t="s">
        <v>393</v>
      </c>
      <c r="E386" t="s">
        <v>394</v>
      </c>
      <c r="F386" t="s">
        <v>394</v>
      </c>
      <c r="G386" t="s">
        <v>442</v>
      </c>
      <c r="H386" t="s">
        <v>399</v>
      </c>
      <c r="K386">
        <v>1966</v>
      </c>
      <c r="O386">
        <v>-93.78</v>
      </c>
      <c r="P386" t="s">
        <v>397</v>
      </c>
      <c r="Q386" t="s">
        <v>398</v>
      </c>
    </row>
    <row r="387" spans="1:17">
      <c r="A387" t="s">
        <v>440</v>
      </c>
      <c r="C387" t="s">
        <v>393</v>
      </c>
      <c r="E387" t="s">
        <v>394</v>
      </c>
      <c r="F387" t="s">
        <v>394</v>
      </c>
      <c r="G387" t="s">
        <v>443</v>
      </c>
      <c r="H387" t="s">
        <v>399</v>
      </c>
      <c r="K387">
        <v>1966</v>
      </c>
      <c r="O387">
        <v>-39.799999999999997</v>
      </c>
      <c r="P387" t="s">
        <v>397</v>
      </c>
      <c r="Q387" t="s">
        <v>398</v>
      </c>
    </row>
    <row r="388" spans="1:17">
      <c r="A388" t="s">
        <v>440</v>
      </c>
      <c r="C388" t="s">
        <v>393</v>
      </c>
      <c r="E388" t="s">
        <v>394</v>
      </c>
      <c r="F388" t="s">
        <v>394</v>
      </c>
      <c r="G388" t="s">
        <v>395</v>
      </c>
      <c r="H388" t="s">
        <v>399</v>
      </c>
      <c r="K388">
        <v>1966</v>
      </c>
      <c r="O388">
        <v>-38.380000000000003</v>
      </c>
      <c r="P388" t="s">
        <v>397</v>
      </c>
      <c r="Q388" t="s">
        <v>398</v>
      </c>
    </row>
    <row r="389" spans="1:17">
      <c r="A389" t="s">
        <v>440</v>
      </c>
      <c r="C389" t="s">
        <v>393</v>
      </c>
      <c r="E389" t="s">
        <v>394</v>
      </c>
      <c r="F389" t="s">
        <v>394</v>
      </c>
      <c r="G389" t="s">
        <v>444</v>
      </c>
      <c r="H389" t="s">
        <v>399</v>
      </c>
      <c r="K389">
        <v>1966</v>
      </c>
      <c r="O389">
        <v>-32.480000000000004</v>
      </c>
      <c r="P389" t="s">
        <v>397</v>
      </c>
      <c r="Q389" t="s">
        <v>398</v>
      </c>
    </row>
    <row r="390" spans="1:17">
      <c r="A390" t="s">
        <v>440</v>
      </c>
      <c r="C390" t="s">
        <v>393</v>
      </c>
      <c r="E390" t="s">
        <v>394</v>
      </c>
      <c r="F390" t="s">
        <v>394</v>
      </c>
      <c r="G390" t="s">
        <v>445</v>
      </c>
      <c r="H390" t="s">
        <v>399</v>
      </c>
      <c r="K390">
        <v>1966</v>
      </c>
      <c r="O390">
        <v>-25.18</v>
      </c>
      <c r="P390" t="s">
        <v>397</v>
      </c>
      <c r="Q390" t="s">
        <v>398</v>
      </c>
    </row>
    <row r="391" spans="1:17">
      <c r="A391" t="s">
        <v>440</v>
      </c>
      <c r="C391" t="s">
        <v>393</v>
      </c>
      <c r="E391" t="s">
        <v>394</v>
      </c>
      <c r="F391" t="s">
        <v>394</v>
      </c>
      <c r="G391" t="s">
        <v>446</v>
      </c>
      <c r="H391" t="s">
        <v>399</v>
      </c>
      <c r="K391">
        <v>1966</v>
      </c>
      <c r="O391">
        <v>-19.03</v>
      </c>
      <c r="P391" t="s">
        <v>397</v>
      </c>
      <c r="Q391" t="s">
        <v>398</v>
      </c>
    </row>
    <row r="392" spans="1:17">
      <c r="A392" t="s">
        <v>440</v>
      </c>
      <c r="C392" t="s">
        <v>393</v>
      </c>
      <c r="E392" t="s">
        <v>394</v>
      </c>
      <c r="F392" t="s">
        <v>394</v>
      </c>
      <c r="G392" t="s">
        <v>447</v>
      </c>
      <c r="H392" t="s">
        <v>399</v>
      </c>
      <c r="K392">
        <v>1966</v>
      </c>
      <c r="O392">
        <v>-18.48</v>
      </c>
      <c r="P392" t="s">
        <v>397</v>
      </c>
      <c r="Q392" t="s">
        <v>398</v>
      </c>
    </row>
    <row r="393" spans="1:17">
      <c r="A393" t="s">
        <v>440</v>
      </c>
      <c r="C393" t="s">
        <v>393</v>
      </c>
      <c r="E393" t="s">
        <v>394</v>
      </c>
      <c r="F393" t="s">
        <v>394</v>
      </c>
      <c r="G393" t="s">
        <v>448</v>
      </c>
      <c r="H393" t="s">
        <v>399</v>
      </c>
      <c r="K393">
        <v>1966</v>
      </c>
      <c r="O393">
        <v>-11.35</v>
      </c>
      <c r="P393" t="s">
        <v>397</v>
      </c>
      <c r="Q393" t="s">
        <v>398</v>
      </c>
    </row>
    <row r="394" spans="1:17">
      <c r="A394" t="s">
        <v>440</v>
      </c>
      <c r="C394" t="s">
        <v>393</v>
      </c>
      <c r="E394" t="s">
        <v>394</v>
      </c>
      <c r="F394" t="s">
        <v>394</v>
      </c>
      <c r="G394" t="s">
        <v>439</v>
      </c>
      <c r="H394" t="s">
        <v>399</v>
      </c>
      <c r="K394">
        <v>1966</v>
      </c>
      <c r="O394">
        <v>-5.23</v>
      </c>
      <c r="P394" t="s">
        <v>397</v>
      </c>
      <c r="Q394" t="s">
        <v>398</v>
      </c>
    </row>
    <row r="395" spans="1:17">
      <c r="A395" t="s">
        <v>449</v>
      </c>
      <c r="C395" t="s">
        <v>393</v>
      </c>
      <c r="E395" t="s">
        <v>394</v>
      </c>
      <c r="F395" t="s">
        <v>394</v>
      </c>
      <c r="G395" t="s">
        <v>450</v>
      </c>
      <c r="H395" t="s">
        <v>399</v>
      </c>
      <c r="K395">
        <v>1966</v>
      </c>
      <c r="O395">
        <v>-95.83</v>
      </c>
      <c r="P395" t="s">
        <v>397</v>
      </c>
      <c r="Q395" t="s">
        <v>398</v>
      </c>
    </row>
    <row r="396" spans="1:17">
      <c r="A396" t="s">
        <v>449</v>
      </c>
      <c r="C396" t="s">
        <v>393</v>
      </c>
      <c r="E396" t="s">
        <v>394</v>
      </c>
      <c r="F396" t="s">
        <v>394</v>
      </c>
      <c r="G396" t="s">
        <v>433</v>
      </c>
      <c r="H396" t="s">
        <v>399</v>
      </c>
      <c r="K396">
        <v>1966</v>
      </c>
      <c r="O396">
        <v>-38.9</v>
      </c>
      <c r="P396" t="s">
        <v>397</v>
      </c>
      <c r="Q396" t="s">
        <v>398</v>
      </c>
    </row>
    <row r="397" spans="1:17">
      <c r="A397" t="s">
        <v>449</v>
      </c>
      <c r="C397" t="s">
        <v>393</v>
      </c>
      <c r="E397" t="s">
        <v>394</v>
      </c>
      <c r="F397" t="s">
        <v>394</v>
      </c>
      <c r="G397" t="s">
        <v>451</v>
      </c>
      <c r="H397" t="s">
        <v>399</v>
      </c>
      <c r="K397">
        <v>1966</v>
      </c>
      <c r="O397">
        <v>-24.25</v>
      </c>
      <c r="P397" t="s">
        <v>397</v>
      </c>
      <c r="Q397" t="s">
        <v>398</v>
      </c>
    </row>
    <row r="398" spans="1:17">
      <c r="A398" t="s">
        <v>449</v>
      </c>
      <c r="C398" t="s">
        <v>393</v>
      </c>
      <c r="E398" t="s">
        <v>394</v>
      </c>
      <c r="F398" t="s">
        <v>394</v>
      </c>
      <c r="G398" t="s">
        <v>452</v>
      </c>
      <c r="H398" t="s">
        <v>399</v>
      </c>
      <c r="K398">
        <v>1966</v>
      </c>
      <c r="O398">
        <v>-15.58</v>
      </c>
      <c r="P398" t="s">
        <v>397</v>
      </c>
      <c r="Q398" t="s">
        <v>398</v>
      </c>
    </row>
    <row r="399" spans="1:17">
      <c r="A399" t="s">
        <v>449</v>
      </c>
      <c r="C399" t="s">
        <v>393</v>
      </c>
      <c r="E399" t="s">
        <v>394</v>
      </c>
      <c r="F399" t="s">
        <v>394</v>
      </c>
      <c r="G399" t="s">
        <v>453</v>
      </c>
      <c r="H399" t="s">
        <v>399</v>
      </c>
      <c r="K399">
        <v>1966</v>
      </c>
      <c r="O399">
        <v>-10.029999999999999</v>
      </c>
      <c r="P399" t="s">
        <v>397</v>
      </c>
      <c r="Q399" t="s">
        <v>398</v>
      </c>
    </row>
    <row r="400" spans="1:17">
      <c r="A400" t="s">
        <v>449</v>
      </c>
      <c r="C400" t="s">
        <v>393</v>
      </c>
      <c r="E400" t="s">
        <v>394</v>
      </c>
      <c r="F400" t="s">
        <v>394</v>
      </c>
      <c r="G400" t="s">
        <v>436</v>
      </c>
      <c r="H400" t="s">
        <v>399</v>
      </c>
      <c r="K400">
        <v>1966</v>
      </c>
      <c r="O400">
        <v>-9.4499999999999993</v>
      </c>
      <c r="P400" t="s">
        <v>397</v>
      </c>
      <c r="Q400" t="s">
        <v>398</v>
      </c>
    </row>
    <row r="401" spans="1:18">
      <c r="A401" t="s">
        <v>449</v>
      </c>
      <c r="C401" t="s">
        <v>393</v>
      </c>
      <c r="E401" t="s">
        <v>394</v>
      </c>
      <c r="F401" t="s">
        <v>394</v>
      </c>
      <c r="G401" t="s">
        <v>435</v>
      </c>
      <c r="H401" t="s">
        <v>399</v>
      </c>
      <c r="K401">
        <v>1966</v>
      </c>
      <c r="O401">
        <v>-3.7</v>
      </c>
      <c r="P401" t="s">
        <v>397</v>
      </c>
      <c r="Q401" t="s">
        <v>398</v>
      </c>
    </row>
    <row r="402" spans="1:18">
      <c r="A402" t="s">
        <v>454</v>
      </c>
      <c r="C402" t="s">
        <v>393</v>
      </c>
      <c r="E402" t="s">
        <v>394</v>
      </c>
      <c r="F402" t="s">
        <v>394</v>
      </c>
      <c r="G402" t="s">
        <v>395</v>
      </c>
      <c r="H402" t="s">
        <v>396</v>
      </c>
      <c r="K402">
        <v>1981</v>
      </c>
      <c r="O402">
        <v>-0.1</v>
      </c>
      <c r="P402" t="s">
        <v>397</v>
      </c>
      <c r="Q402" t="s">
        <v>398</v>
      </c>
      <c r="R402" t="s">
        <v>455</v>
      </c>
    </row>
    <row r="403" spans="1:18">
      <c r="A403" t="s">
        <v>454</v>
      </c>
      <c r="C403" t="s">
        <v>393</v>
      </c>
      <c r="E403" t="s">
        <v>394</v>
      </c>
      <c r="F403" t="s">
        <v>394</v>
      </c>
      <c r="G403" t="s">
        <v>456</v>
      </c>
      <c r="H403" t="s">
        <v>457</v>
      </c>
      <c r="K403">
        <v>1981</v>
      </c>
      <c r="O403">
        <v>-2.3899999999999997</v>
      </c>
      <c r="P403" t="s">
        <v>397</v>
      </c>
      <c r="Q403" t="s">
        <v>398</v>
      </c>
    </row>
    <row r="404" spans="1:18">
      <c r="A404" t="s">
        <v>454</v>
      </c>
      <c r="C404" t="s">
        <v>393</v>
      </c>
      <c r="E404" t="s">
        <v>394</v>
      </c>
      <c r="F404" t="s">
        <v>394</v>
      </c>
      <c r="G404" t="s">
        <v>458</v>
      </c>
      <c r="H404" t="s">
        <v>399</v>
      </c>
      <c r="K404">
        <v>1981</v>
      </c>
      <c r="O404">
        <v>-2.38</v>
      </c>
      <c r="P404" t="s">
        <v>397</v>
      </c>
      <c r="Q404" t="s">
        <v>398</v>
      </c>
    </row>
    <row r="405" spans="1:18">
      <c r="A405" t="s">
        <v>454</v>
      </c>
      <c r="C405" t="s">
        <v>393</v>
      </c>
      <c r="E405" t="s">
        <v>394</v>
      </c>
      <c r="F405" t="s">
        <v>394</v>
      </c>
      <c r="G405" t="s">
        <v>459</v>
      </c>
      <c r="H405" t="s">
        <v>396</v>
      </c>
      <c r="K405">
        <v>1981</v>
      </c>
      <c r="O405">
        <v>-7.1999999999999993</v>
      </c>
      <c r="P405" t="s">
        <v>397</v>
      </c>
      <c r="Q405" t="s">
        <v>398</v>
      </c>
      <c r="R405" t="s">
        <v>455</v>
      </c>
    </row>
    <row r="406" spans="1:18">
      <c r="A406" t="s">
        <v>460</v>
      </c>
      <c r="C406" t="s">
        <v>393</v>
      </c>
      <c r="E406" t="s">
        <v>394</v>
      </c>
      <c r="F406" t="s">
        <v>394</v>
      </c>
      <c r="G406" t="s">
        <v>432</v>
      </c>
      <c r="H406" t="s">
        <v>457</v>
      </c>
      <c r="K406">
        <v>1975</v>
      </c>
      <c r="O406">
        <v>-35.799999999999997</v>
      </c>
      <c r="P406" t="s">
        <v>397</v>
      </c>
      <c r="Q406" t="s">
        <v>398</v>
      </c>
    </row>
    <row r="407" spans="1:18">
      <c r="A407" t="s">
        <v>460</v>
      </c>
      <c r="C407" t="s">
        <v>393</v>
      </c>
      <c r="E407" t="s">
        <v>394</v>
      </c>
      <c r="F407" t="s">
        <v>394</v>
      </c>
      <c r="G407" t="s">
        <v>432</v>
      </c>
      <c r="H407" t="s">
        <v>399</v>
      </c>
      <c r="K407">
        <v>1975</v>
      </c>
      <c r="O407">
        <v>-7.9</v>
      </c>
      <c r="P407" t="s">
        <v>397</v>
      </c>
      <c r="Q407" t="s">
        <v>398</v>
      </c>
    </row>
    <row r="408" spans="1:18">
      <c r="A408" t="s">
        <v>460</v>
      </c>
      <c r="C408" t="s">
        <v>393</v>
      </c>
      <c r="E408" t="s">
        <v>394</v>
      </c>
      <c r="F408" t="s">
        <v>394</v>
      </c>
      <c r="G408" t="s">
        <v>432</v>
      </c>
      <c r="H408" t="s">
        <v>399</v>
      </c>
      <c r="K408">
        <v>1975</v>
      </c>
      <c r="O408">
        <v>-2.1</v>
      </c>
      <c r="P408" t="s">
        <v>397</v>
      </c>
      <c r="Q408" t="s">
        <v>398</v>
      </c>
    </row>
    <row r="409" spans="1:18">
      <c r="A409" t="s">
        <v>460</v>
      </c>
      <c r="C409" t="s">
        <v>393</v>
      </c>
      <c r="E409" t="s">
        <v>394</v>
      </c>
      <c r="F409" t="s">
        <v>394</v>
      </c>
      <c r="G409" t="s">
        <v>452</v>
      </c>
      <c r="H409" t="s">
        <v>399</v>
      </c>
      <c r="K409">
        <v>1975</v>
      </c>
      <c r="O409">
        <v>-16.5</v>
      </c>
      <c r="P409" t="s">
        <v>397</v>
      </c>
      <c r="Q409" t="s">
        <v>398</v>
      </c>
    </row>
    <row r="410" spans="1:18">
      <c r="A410" t="s">
        <v>461</v>
      </c>
      <c r="C410" t="s">
        <v>393</v>
      </c>
      <c r="E410" t="s">
        <v>394</v>
      </c>
      <c r="F410" t="s">
        <v>394</v>
      </c>
      <c r="G410" t="s">
        <v>456</v>
      </c>
      <c r="H410" t="s">
        <v>399</v>
      </c>
      <c r="K410">
        <v>1975</v>
      </c>
      <c r="O410">
        <v>-35.5</v>
      </c>
      <c r="P410" t="s">
        <v>397</v>
      </c>
      <c r="Q410" t="s">
        <v>398</v>
      </c>
    </row>
    <row r="411" spans="1:18">
      <c r="A411" t="s">
        <v>461</v>
      </c>
      <c r="C411" t="s">
        <v>393</v>
      </c>
      <c r="E411" t="s">
        <v>394</v>
      </c>
      <c r="F411" t="s">
        <v>394</v>
      </c>
      <c r="G411" t="s">
        <v>462</v>
      </c>
      <c r="H411" t="s">
        <v>399</v>
      </c>
      <c r="K411">
        <v>1975</v>
      </c>
      <c r="O411">
        <v>-76.3</v>
      </c>
      <c r="P411" t="s">
        <v>397</v>
      </c>
      <c r="Q411" t="s">
        <v>398</v>
      </c>
    </row>
    <row r="412" spans="1:18">
      <c r="A412" t="s">
        <v>463</v>
      </c>
      <c r="C412" t="s">
        <v>393</v>
      </c>
      <c r="D412" t="s">
        <v>464</v>
      </c>
      <c r="E412" t="s">
        <v>394</v>
      </c>
      <c r="F412" t="s">
        <v>394</v>
      </c>
      <c r="G412" t="s">
        <v>465</v>
      </c>
      <c r="I412">
        <v>69.590556000000007</v>
      </c>
      <c r="J412">
        <v>-165.33397199999999</v>
      </c>
      <c r="K412">
        <v>1975</v>
      </c>
      <c r="M412">
        <v>38</v>
      </c>
      <c r="O412" t="s">
        <v>163</v>
      </c>
      <c r="P412" t="s">
        <v>397</v>
      </c>
      <c r="Q412" t="s">
        <v>403</v>
      </c>
    </row>
    <row r="413" spans="1:18">
      <c r="A413" t="s">
        <v>463</v>
      </c>
      <c r="C413" t="s">
        <v>393</v>
      </c>
      <c r="D413" t="s">
        <v>464</v>
      </c>
      <c r="E413" t="s">
        <v>394</v>
      </c>
      <c r="F413" t="s">
        <v>394</v>
      </c>
      <c r="G413" t="s">
        <v>466</v>
      </c>
      <c r="I413">
        <v>69.590556000000007</v>
      </c>
      <c r="J413">
        <v>-165.33397199999999</v>
      </c>
      <c r="K413">
        <v>1975</v>
      </c>
      <c r="M413">
        <v>38</v>
      </c>
      <c r="O413" t="s">
        <v>163</v>
      </c>
      <c r="P413" t="s">
        <v>397</v>
      </c>
      <c r="Q413" t="s">
        <v>403</v>
      </c>
    </row>
    <row r="414" spans="1:18">
      <c r="A414" t="s">
        <v>467</v>
      </c>
      <c r="C414" t="s">
        <v>393</v>
      </c>
      <c r="D414" t="s">
        <v>468</v>
      </c>
      <c r="E414" t="s">
        <v>394</v>
      </c>
      <c r="F414" t="s">
        <v>394</v>
      </c>
      <c r="G414" t="s">
        <v>469</v>
      </c>
      <c r="I414">
        <v>62.95</v>
      </c>
      <c r="J414">
        <v>-82</v>
      </c>
      <c r="K414">
        <v>1984</v>
      </c>
      <c r="M414">
        <v>23</v>
      </c>
      <c r="O414" t="s">
        <v>163</v>
      </c>
      <c r="P414" t="s">
        <v>397</v>
      </c>
      <c r="Q414" t="s">
        <v>403</v>
      </c>
    </row>
    <row r="415" spans="1:18">
      <c r="A415" t="s">
        <v>467</v>
      </c>
      <c r="C415" t="s">
        <v>393</v>
      </c>
      <c r="D415" t="s">
        <v>468</v>
      </c>
      <c r="E415" t="s">
        <v>394</v>
      </c>
      <c r="F415" t="s">
        <v>394</v>
      </c>
      <c r="G415" t="s">
        <v>469</v>
      </c>
      <c r="I415">
        <v>62.95</v>
      </c>
      <c r="J415">
        <v>-82</v>
      </c>
      <c r="K415">
        <v>1984</v>
      </c>
      <c r="M415">
        <v>23</v>
      </c>
      <c r="O415" t="s">
        <v>163</v>
      </c>
      <c r="P415" t="s">
        <v>397</v>
      </c>
      <c r="Q415" t="s">
        <v>403</v>
      </c>
    </row>
    <row r="416" spans="1:18">
      <c r="A416" t="s">
        <v>470</v>
      </c>
      <c r="C416" t="s">
        <v>393</v>
      </c>
      <c r="E416" t="s">
        <v>394</v>
      </c>
      <c r="F416" t="s">
        <v>394</v>
      </c>
      <c r="G416" t="s">
        <v>442</v>
      </c>
      <c r="H416" t="s">
        <v>399</v>
      </c>
      <c r="K416">
        <v>1986</v>
      </c>
      <c r="O416">
        <v>-16.88</v>
      </c>
      <c r="P416" t="s">
        <v>397</v>
      </c>
      <c r="Q416" t="s">
        <v>398</v>
      </c>
    </row>
    <row r="417" spans="1:17">
      <c r="A417" t="s">
        <v>470</v>
      </c>
      <c r="C417" t="s">
        <v>393</v>
      </c>
      <c r="E417" t="s">
        <v>394</v>
      </c>
      <c r="F417" t="s">
        <v>394</v>
      </c>
      <c r="G417" t="s">
        <v>442</v>
      </c>
      <c r="H417" t="s">
        <v>399</v>
      </c>
      <c r="K417">
        <v>1974</v>
      </c>
      <c r="O417">
        <v>-16.279999999999998</v>
      </c>
      <c r="P417" t="s">
        <v>397</v>
      </c>
      <c r="Q417" t="s">
        <v>398</v>
      </c>
    </row>
    <row r="418" spans="1:17">
      <c r="A418" t="s">
        <v>470</v>
      </c>
      <c r="C418" t="s">
        <v>393</v>
      </c>
      <c r="E418" t="s">
        <v>394</v>
      </c>
      <c r="F418" t="s">
        <v>394</v>
      </c>
      <c r="G418" t="s">
        <v>442</v>
      </c>
      <c r="H418" t="s">
        <v>399</v>
      </c>
      <c r="K418">
        <v>1974</v>
      </c>
      <c r="O418">
        <v>-13.83</v>
      </c>
      <c r="P418" t="s">
        <v>397</v>
      </c>
      <c r="Q418" t="s">
        <v>398</v>
      </c>
    </row>
    <row r="419" spans="1:17">
      <c r="A419" t="s">
        <v>470</v>
      </c>
      <c r="C419" t="s">
        <v>393</v>
      </c>
      <c r="E419" t="s">
        <v>394</v>
      </c>
      <c r="F419" t="s">
        <v>394</v>
      </c>
      <c r="G419" t="s">
        <v>471</v>
      </c>
      <c r="H419" t="s">
        <v>399</v>
      </c>
      <c r="K419">
        <v>1974</v>
      </c>
      <c r="O419">
        <v>-9.08</v>
      </c>
      <c r="P419" t="s">
        <v>397</v>
      </c>
      <c r="Q419" t="s">
        <v>398</v>
      </c>
    </row>
    <row r="420" spans="1:17">
      <c r="A420" t="s">
        <v>472</v>
      </c>
      <c r="C420" t="s">
        <v>393</v>
      </c>
      <c r="E420" t="s">
        <v>394</v>
      </c>
      <c r="F420" t="s">
        <v>394</v>
      </c>
      <c r="G420" t="s">
        <v>431</v>
      </c>
      <c r="H420" t="s">
        <v>399</v>
      </c>
      <c r="K420">
        <v>1986</v>
      </c>
      <c r="O420">
        <v>-26.93</v>
      </c>
      <c r="P420" t="s">
        <v>397</v>
      </c>
      <c r="Q420" t="s">
        <v>398</v>
      </c>
    </row>
    <row r="421" spans="1:17">
      <c r="A421" t="s">
        <v>472</v>
      </c>
      <c r="C421" t="s">
        <v>393</v>
      </c>
      <c r="E421" t="s">
        <v>394</v>
      </c>
      <c r="F421" t="s">
        <v>394</v>
      </c>
      <c r="G421" t="s">
        <v>431</v>
      </c>
      <c r="H421" t="s">
        <v>399</v>
      </c>
      <c r="K421">
        <v>1974</v>
      </c>
      <c r="O421">
        <v>-14.770000000000001</v>
      </c>
      <c r="P421" t="s">
        <v>397</v>
      </c>
      <c r="Q421" t="s">
        <v>398</v>
      </c>
    </row>
    <row r="422" spans="1:17">
      <c r="A422" t="s">
        <v>472</v>
      </c>
      <c r="C422" t="s">
        <v>393</v>
      </c>
      <c r="E422" t="s">
        <v>394</v>
      </c>
      <c r="F422" t="s">
        <v>394</v>
      </c>
      <c r="G422" t="s">
        <v>473</v>
      </c>
      <c r="H422" t="s">
        <v>399</v>
      </c>
      <c r="K422">
        <v>1974</v>
      </c>
      <c r="O422">
        <v>-4.5</v>
      </c>
      <c r="P422" t="s">
        <v>397</v>
      </c>
      <c r="Q422" t="s">
        <v>398</v>
      </c>
    </row>
    <row r="423" spans="1:17">
      <c r="A423" t="s">
        <v>472</v>
      </c>
      <c r="C423" t="s">
        <v>393</v>
      </c>
      <c r="E423" t="s">
        <v>394</v>
      </c>
      <c r="F423" t="s">
        <v>394</v>
      </c>
      <c r="G423" t="s">
        <v>474</v>
      </c>
      <c r="H423" t="s">
        <v>399</v>
      </c>
      <c r="K423">
        <v>1974</v>
      </c>
      <c r="O423">
        <v>0</v>
      </c>
      <c r="P423" t="s">
        <v>397</v>
      </c>
      <c r="Q423" t="s">
        <v>398</v>
      </c>
    </row>
    <row r="424" spans="1:17">
      <c r="A424" t="s">
        <v>475</v>
      </c>
      <c r="C424" t="s">
        <v>393</v>
      </c>
      <c r="E424" t="s">
        <v>394</v>
      </c>
      <c r="F424" t="s">
        <v>394</v>
      </c>
      <c r="G424" t="s">
        <v>476</v>
      </c>
      <c r="H424" t="s">
        <v>457</v>
      </c>
      <c r="K424">
        <v>1974</v>
      </c>
      <c r="O424">
        <v>-166.67000000000002</v>
      </c>
      <c r="P424" t="s">
        <v>397</v>
      </c>
      <c r="Q424" t="s">
        <v>398</v>
      </c>
    </row>
    <row r="425" spans="1:17">
      <c r="A425" t="s">
        <v>477</v>
      </c>
      <c r="C425" t="s">
        <v>393</v>
      </c>
      <c r="E425" t="s">
        <v>394</v>
      </c>
      <c r="F425" t="s">
        <v>394</v>
      </c>
      <c r="G425" t="s">
        <v>432</v>
      </c>
      <c r="H425" t="s">
        <v>457</v>
      </c>
      <c r="K425">
        <v>1974</v>
      </c>
      <c r="O425">
        <v>-20.830000000000002</v>
      </c>
      <c r="P425" t="s">
        <v>397</v>
      </c>
      <c r="Q425" t="s">
        <v>398</v>
      </c>
    </row>
    <row r="426" spans="1:17">
      <c r="A426" t="s">
        <v>477</v>
      </c>
      <c r="C426" t="s">
        <v>393</v>
      </c>
      <c r="E426" t="s">
        <v>394</v>
      </c>
      <c r="F426" t="s">
        <v>394</v>
      </c>
      <c r="G426" t="s">
        <v>473</v>
      </c>
      <c r="H426" t="s">
        <v>457</v>
      </c>
      <c r="K426">
        <v>1974</v>
      </c>
      <c r="O426">
        <v>-25</v>
      </c>
      <c r="P426" t="s">
        <v>397</v>
      </c>
      <c r="Q426" t="s">
        <v>398</v>
      </c>
    </row>
    <row r="427" spans="1:17">
      <c r="A427" t="s">
        <v>475</v>
      </c>
      <c r="C427" t="s">
        <v>393</v>
      </c>
      <c r="E427" t="s">
        <v>394</v>
      </c>
      <c r="F427" t="s">
        <v>394</v>
      </c>
      <c r="G427" t="s">
        <v>442</v>
      </c>
      <c r="H427" t="s">
        <v>396</v>
      </c>
      <c r="K427">
        <v>1974</v>
      </c>
      <c r="O427">
        <v>-58.33</v>
      </c>
      <c r="P427" t="s">
        <v>397</v>
      </c>
      <c r="Q427" t="s">
        <v>398</v>
      </c>
    </row>
    <row r="428" spans="1:17">
      <c r="A428" t="s">
        <v>475</v>
      </c>
      <c r="C428" t="s">
        <v>393</v>
      </c>
      <c r="E428" t="s">
        <v>394</v>
      </c>
      <c r="F428" t="s">
        <v>394</v>
      </c>
      <c r="G428" t="s">
        <v>471</v>
      </c>
      <c r="H428" t="s">
        <v>396</v>
      </c>
      <c r="K428">
        <v>1974</v>
      </c>
      <c r="O428">
        <v>-33.33</v>
      </c>
      <c r="P428" t="s">
        <v>397</v>
      </c>
      <c r="Q428" t="s">
        <v>398</v>
      </c>
    </row>
    <row r="429" spans="1:17">
      <c r="A429" t="s">
        <v>478</v>
      </c>
      <c r="C429" t="s">
        <v>393</v>
      </c>
      <c r="E429" t="s">
        <v>394</v>
      </c>
      <c r="F429" t="s">
        <v>394</v>
      </c>
      <c r="G429" t="s">
        <v>395</v>
      </c>
      <c r="H429" t="s">
        <v>399</v>
      </c>
      <c r="K429">
        <v>1983</v>
      </c>
      <c r="O429">
        <v>-17.03</v>
      </c>
      <c r="P429" t="s">
        <v>397</v>
      </c>
      <c r="Q429" t="s">
        <v>398</v>
      </c>
    </row>
    <row r="430" spans="1:17">
      <c r="A430" t="s">
        <v>479</v>
      </c>
      <c r="C430" t="s">
        <v>393</v>
      </c>
      <c r="E430" t="s">
        <v>394</v>
      </c>
      <c r="F430" t="s">
        <v>394</v>
      </c>
      <c r="G430" t="s">
        <v>447</v>
      </c>
      <c r="H430" t="s">
        <v>396</v>
      </c>
      <c r="K430">
        <v>1951</v>
      </c>
      <c r="O430">
        <v>-78.8</v>
      </c>
      <c r="P430" t="s">
        <v>397</v>
      </c>
      <c r="Q430" t="s">
        <v>398</v>
      </c>
    </row>
    <row r="431" spans="1:17">
      <c r="A431" t="s">
        <v>479</v>
      </c>
      <c r="C431" t="s">
        <v>393</v>
      </c>
      <c r="E431" t="s">
        <v>394</v>
      </c>
      <c r="F431" t="s">
        <v>394</v>
      </c>
      <c r="G431" t="s">
        <v>447</v>
      </c>
      <c r="H431" t="s">
        <v>399</v>
      </c>
      <c r="K431">
        <v>1951</v>
      </c>
      <c r="O431">
        <v>-29.900000000000002</v>
      </c>
      <c r="P431" t="s">
        <v>397</v>
      </c>
      <c r="Q431" t="s">
        <v>398</v>
      </c>
    </row>
    <row r="432" spans="1:17">
      <c r="A432" t="s">
        <v>479</v>
      </c>
      <c r="C432" t="s">
        <v>393</v>
      </c>
      <c r="E432" t="s">
        <v>394</v>
      </c>
      <c r="F432" t="s">
        <v>394</v>
      </c>
      <c r="G432" t="s">
        <v>447</v>
      </c>
      <c r="H432" t="s">
        <v>457</v>
      </c>
      <c r="K432">
        <v>1951</v>
      </c>
      <c r="O432">
        <v>0</v>
      </c>
      <c r="P432" t="s">
        <v>397</v>
      </c>
      <c r="Q432" t="s">
        <v>398</v>
      </c>
    </row>
    <row r="433" spans="1:18">
      <c r="A433" t="s">
        <v>480</v>
      </c>
      <c r="C433" t="s">
        <v>393</v>
      </c>
      <c r="E433" t="s">
        <v>394</v>
      </c>
      <c r="F433" t="s">
        <v>394</v>
      </c>
      <c r="G433" t="s">
        <v>473</v>
      </c>
      <c r="H433" t="s">
        <v>399</v>
      </c>
      <c r="K433">
        <v>1984</v>
      </c>
      <c r="O433">
        <v>-101.03</v>
      </c>
      <c r="P433" t="s">
        <v>397</v>
      </c>
      <c r="Q433" t="s">
        <v>398</v>
      </c>
    </row>
    <row r="434" spans="1:18">
      <c r="A434" t="s">
        <v>480</v>
      </c>
      <c r="C434" t="s">
        <v>393</v>
      </c>
      <c r="E434" t="s">
        <v>394</v>
      </c>
      <c r="F434" t="s">
        <v>394</v>
      </c>
      <c r="G434" t="s">
        <v>432</v>
      </c>
      <c r="H434" t="s">
        <v>399</v>
      </c>
      <c r="K434">
        <v>1984</v>
      </c>
      <c r="O434">
        <v>-63.31</v>
      </c>
      <c r="P434" t="s">
        <v>397</v>
      </c>
      <c r="Q434" t="s">
        <v>398</v>
      </c>
    </row>
    <row r="435" spans="1:18">
      <c r="A435" t="s">
        <v>480</v>
      </c>
      <c r="C435" t="s">
        <v>393</v>
      </c>
      <c r="E435" t="s">
        <v>394</v>
      </c>
      <c r="F435" t="s">
        <v>394</v>
      </c>
      <c r="G435" t="s">
        <v>453</v>
      </c>
      <c r="H435" t="s">
        <v>399</v>
      </c>
      <c r="K435">
        <v>1984</v>
      </c>
      <c r="O435">
        <v>-50.480000000000004</v>
      </c>
      <c r="P435" t="s">
        <v>397</v>
      </c>
      <c r="Q435" t="s">
        <v>398</v>
      </c>
    </row>
    <row r="436" spans="1:18">
      <c r="A436" t="s">
        <v>480</v>
      </c>
      <c r="C436" t="s">
        <v>393</v>
      </c>
      <c r="E436" t="s">
        <v>394</v>
      </c>
      <c r="F436" t="s">
        <v>394</v>
      </c>
      <c r="G436" t="s">
        <v>481</v>
      </c>
      <c r="H436" t="s">
        <v>399</v>
      </c>
      <c r="K436">
        <v>1984</v>
      </c>
      <c r="O436">
        <v>-13.45</v>
      </c>
      <c r="P436" t="s">
        <v>397</v>
      </c>
      <c r="Q436" t="s">
        <v>398</v>
      </c>
    </row>
    <row r="437" spans="1:18">
      <c r="A437" t="s">
        <v>482</v>
      </c>
      <c r="C437" t="s">
        <v>393</v>
      </c>
      <c r="E437" t="s">
        <v>394</v>
      </c>
      <c r="F437" t="s">
        <v>394</v>
      </c>
      <c r="G437" t="s">
        <v>483</v>
      </c>
      <c r="H437" t="s">
        <v>399</v>
      </c>
      <c r="K437">
        <v>1974</v>
      </c>
      <c r="O437">
        <v>-47.27</v>
      </c>
      <c r="P437" t="s">
        <v>397</v>
      </c>
      <c r="Q437" t="s">
        <v>398</v>
      </c>
    </row>
    <row r="438" spans="1:18">
      <c r="A438" t="s">
        <v>482</v>
      </c>
      <c r="C438" t="s">
        <v>393</v>
      </c>
      <c r="E438" t="s">
        <v>394</v>
      </c>
      <c r="F438" t="s">
        <v>394</v>
      </c>
      <c r="G438" t="s">
        <v>442</v>
      </c>
      <c r="H438" t="s">
        <v>399</v>
      </c>
      <c r="K438">
        <v>1974</v>
      </c>
      <c r="O438">
        <v>-40</v>
      </c>
      <c r="P438" t="s">
        <v>397</v>
      </c>
      <c r="Q438" t="s">
        <v>398</v>
      </c>
    </row>
    <row r="439" spans="1:18">
      <c r="A439" t="s">
        <v>482</v>
      </c>
      <c r="C439" t="s">
        <v>393</v>
      </c>
      <c r="E439" t="s">
        <v>394</v>
      </c>
      <c r="F439" t="s">
        <v>394</v>
      </c>
      <c r="G439" t="s">
        <v>441</v>
      </c>
      <c r="H439" t="s">
        <v>399</v>
      </c>
      <c r="K439">
        <v>1974</v>
      </c>
      <c r="O439">
        <v>-7.27</v>
      </c>
      <c r="P439" t="s">
        <v>397</v>
      </c>
      <c r="Q439" t="s">
        <v>398</v>
      </c>
    </row>
    <row r="440" spans="1:18">
      <c r="A440" t="s">
        <v>484</v>
      </c>
      <c r="C440" t="s">
        <v>393</v>
      </c>
      <c r="E440" t="s">
        <v>394</v>
      </c>
      <c r="F440" t="s">
        <v>394</v>
      </c>
      <c r="G440" t="s">
        <v>431</v>
      </c>
      <c r="H440" t="s">
        <v>399</v>
      </c>
      <c r="K440">
        <v>1974</v>
      </c>
      <c r="O440">
        <v>-14.55</v>
      </c>
      <c r="P440" t="s">
        <v>397</v>
      </c>
      <c r="Q440" t="s">
        <v>398</v>
      </c>
    </row>
    <row r="441" spans="1:18">
      <c r="A441" t="s">
        <v>484</v>
      </c>
      <c r="C441" t="s">
        <v>393</v>
      </c>
      <c r="E441" t="s">
        <v>394</v>
      </c>
      <c r="F441" t="s">
        <v>394</v>
      </c>
      <c r="G441" t="s">
        <v>438</v>
      </c>
      <c r="H441" t="s">
        <v>399</v>
      </c>
      <c r="K441">
        <v>1974</v>
      </c>
      <c r="O441">
        <v>-3.6399999999999997</v>
      </c>
      <c r="P441" t="s">
        <v>397</v>
      </c>
      <c r="Q441" t="s">
        <v>398</v>
      </c>
    </row>
    <row r="442" spans="1:18">
      <c r="A442" t="s">
        <v>484</v>
      </c>
      <c r="C442" t="s">
        <v>393</v>
      </c>
      <c r="E442" t="s">
        <v>394</v>
      </c>
      <c r="F442" t="s">
        <v>394</v>
      </c>
      <c r="G442" t="s">
        <v>459</v>
      </c>
      <c r="H442" t="s">
        <v>399</v>
      </c>
      <c r="K442">
        <v>1974</v>
      </c>
      <c r="O442">
        <v>0</v>
      </c>
      <c r="P442" t="s">
        <v>397</v>
      </c>
      <c r="Q442" t="s">
        <v>398</v>
      </c>
    </row>
    <row r="443" spans="1:18">
      <c r="A443" t="s">
        <v>484</v>
      </c>
      <c r="C443" t="s">
        <v>393</v>
      </c>
      <c r="E443" t="s">
        <v>394</v>
      </c>
      <c r="F443" t="s">
        <v>394</v>
      </c>
      <c r="G443" t="s">
        <v>437</v>
      </c>
      <c r="H443" t="s">
        <v>399</v>
      </c>
      <c r="K443">
        <v>1974</v>
      </c>
      <c r="O443">
        <v>0</v>
      </c>
      <c r="P443" t="s">
        <v>397</v>
      </c>
      <c r="Q443" t="s">
        <v>398</v>
      </c>
    </row>
    <row r="444" spans="1:18">
      <c r="A444" t="s">
        <v>484</v>
      </c>
      <c r="C444" t="s">
        <v>393</v>
      </c>
      <c r="E444" t="s">
        <v>394</v>
      </c>
      <c r="F444" t="s">
        <v>394</v>
      </c>
      <c r="G444" t="s">
        <v>473</v>
      </c>
      <c r="H444" t="s">
        <v>399</v>
      </c>
      <c r="K444">
        <v>1974</v>
      </c>
      <c r="O444">
        <v>0</v>
      </c>
      <c r="P444" t="s">
        <v>397</v>
      </c>
      <c r="Q444" t="s">
        <v>398</v>
      </c>
    </row>
    <row r="445" spans="1:18">
      <c r="A445" t="s">
        <v>484</v>
      </c>
      <c r="C445" t="s">
        <v>393</v>
      </c>
      <c r="E445" t="s">
        <v>394</v>
      </c>
      <c r="F445" t="s">
        <v>394</v>
      </c>
      <c r="G445" t="s">
        <v>436</v>
      </c>
      <c r="H445" t="s">
        <v>399</v>
      </c>
      <c r="K445">
        <v>1974</v>
      </c>
      <c r="O445">
        <v>0</v>
      </c>
      <c r="P445" t="s">
        <v>397</v>
      </c>
      <c r="Q445" t="s">
        <v>398</v>
      </c>
    </row>
    <row r="446" spans="1:18">
      <c r="A446" t="s">
        <v>485</v>
      </c>
      <c r="C446" t="s">
        <v>393</v>
      </c>
      <c r="E446" t="s">
        <v>394</v>
      </c>
      <c r="F446" t="s">
        <v>394</v>
      </c>
      <c r="G446" t="s">
        <v>474</v>
      </c>
      <c r="H446" t="s">
        <v>399</v>
      </c>
      <c r="K446">
        <v>1974</v>
      </c>
      <c r="O446">
        <v>0</v>
      </c>
      <c r="P446" t="s">
        <v>397</v>
      </c>
      <c r="Q446" t="s">
        <v>398</v>
      </c>
    </row>
    <row r="447" spans="1:18">
      <c r="A447" t="s">
        <v>486</v>
      </c>
      <c r="C447" t="s">
        <v>393</v>
      </c>
      <c r="D447" t="s">
        <v>487</v>
      </c>
      <c r="E447" t="s">
        <v>394</v>
      </c>
      <c r="F447" t="s">
        <v>394</v>
      </c>
      <c r="G447" t="s">
        <v>488</v>
      </c>
      <c r="H447" t="s">
        <v>399</v>
      </c>
      <c r="I447">
        <v>-46.5</v>
      </c>
      <c r="J447">
        <v>-152</v>
      </c>
      <c r="K447">
        <v>1953</v>
      </c>
      <c r="M447">
        <f>2002-K447+1</f>
        <v>50</v>
      </c>
      <c r="O447" t="s">
        <v>163</v>
      </c>
      <c r="P447" t="s">
        <v>397</v>
      </c>
      <c r="Q447" t="s">
        <v>489</v>
      </c>
    </row>
    <row r="448" spans="1:18">
      <c r="A448" t="s">
        <v>490</v>
      </c>
      <c r="C448" t="s">
        <v>393</v>
      </c>
      <c r="D448" t="s">
        <v>491</v>
      </c>
      <c r="E448" t="s">
        <v>394</v>
      </c>
      <c r="F448" t="s">
        <v>394</v>
      </c>
      <c r="G448" t="s">
        <v>492</v>
      </c>
      <c r="H448" t="s">
        <v>457</v>
      </c>
      <c r="K448">
        <v>1975</v>
      </c>
      <c r="M448">
        <f t="shared" ref="M448:M456" si="0">2021-K448+1</f>
        <v>47</v>
      </c>
      <c r="O448">
        <v>-10.7</v>
      </c>
      <c r="P448" t="s">
        <v>397</v>
      </c>
      <c r="Q448" t="s">
        <v>493</v>
      </c>
      <c r="R448" t="s">
        <v>494</v>
      </c>
    </row>
    <row r="449" spans="1:18">
      <c r="A449" t="s">
        <v>490</v>
      </c>
      <c r="C449" t="s">
        <v>393</v>
      </c>
      <c r="D449" t="s">
        <v>491</v>
      </c>
      <c r="E449" t="s">
        <v>394</v>
      </c>
      <c r="F449" t="s">
        <v>394</v>
      </c>
      <c r="G449" t="s">
        <v>492</v>
      </c>
      <c r="H449" t="s">
        <v>495</v>
      </c>
      <c r="K449">
        <v>1975</v>
      </c>
      <c r="M449">
        <f t="shared" si="0"/>
        <v>47</v>
      </c>
      <c r="O449">
        <v>-9.1999999999999993</v>
      </c>
      <c r="P449" t="s">
        <v>397</v>
      </c>
      <c r="Q449" t="s">
        <v>493</v>
      </c>
      <c r="R449" t="s">
        <v>494</v>
      </c>
    </row>
    <row r="450" spans="1:18">
      <c r="A450" t="s">
        <v>490</v>
      </c>
      <c r="C450" t="s">
        <v>393</v>
      </c>
      <c r="D450" t="s">
        <v>491</v>
      </c>
      <c r="E450" t="s">
        <v>394</v>
      </c>
      <c r="F450" t="s">
        <v>394</v>
      </c>
      <c r="G450" t="s">
        <v>496</v>
      </c>
      <c r="H450" t="s">
        <v>495</v>
      </c>
      <c r="K450">
        <v>1975</v>
      </c>
      <c r="M450">
        <f t="shared" si="0"/>
        <v>47</v>
      </c>
      <c r="O450">
        <v>-39.799999999999997</v>
      </c>
      <c r="P450" t="s">
        <v>397</v>
      </c>
      <c r="Q450" t="s">
        <v>493</v>
      </c>
      <c r="R450" t="s">
        <v>494</v>
      </c>
    </row>
    <row r="451" spans="1:18">
      <c r="A451" t="s">
        <v>490</v>
      </c>
      <c r="C451" t="s">
        <v>393</v>
      </c>
      <c r="D451" t="s">
        <v>491</v>
      </c>
      <c r="E451" t="s">
        <v>394</v>
      </c>
      <c r="F451" t="s">
        <v>394</v>
      </c>
      <c r="G451" t="s">
        <v>497</v>
      </c>
      <c r="H451" t="s">
        <v>495</v>
      </c>
      <c r="K451">
        <v>1975</v>
      </c>
      <c r="M451">
        <f t="shared" si="0"/>
        <v>47</v>
      </c>
      <c r="O451">
        <v>-54</v>
      </c>
      <c r="P451" t="s">
        <v>397</v>
      </c>
      <c r="Q451" t="s">
        <v>493</v>
      </c>
      <c r="R451" t="s">
        <v>494</v>
      </c>
    </row>
    <row r="452" spans="1:18">
      <c r="A452" t="s">
        <v>490</v>
      </c>
      <c r="C452" t="s">
        <v>393</v>
      </c>
      <c r="D452" t="s">
        <v>491</v>
      </c>
      <c r="E452" t="s">
        <v>394</v>
      </c>
      <c r="F452" t="s">
        <v>394</v>
      </c>
      <c r="G452" t="s">
        <v>497</v>
      </c>
      <c r="H452" t="s">
        <v>457</v>
      </c>
      <c r="K452">
        <v>1975</v>
      </c>
      <c r="M452">
        <f t="shared" si="0"/>
        <v>47</v>
      </c>
      <c r="O452">
        <v>-7.4</v>
      </c>
      <c r="P452" t="s">
        <v>397</v>
      </c>
      <c r="Q452" t="s">
        <v>493</v>
      </c>
      <c r="R452" t="s">
        <v>494</v>
      </c>
    </row>
    <row r="453" spans="1:18">
      <c r="A453" t="s">
        <v>490</v>
      </c>
      <c r="C453" t="s">
        <v>393</v>
      </c>
      <c r="D453" t="s">
        <v>491</v>
      </c>
      <c r="E453" t="s">
        <v>394</v>
      </c>
      <c r="F453" t="s">
        <v>394</v>
      </c>
      <c r="G453" t="s">
        <v>498</v>
      </c>
      <c r="H453" t="s">
        <v>457</v>
      </c>
      <c r="K453">
        <v>1975</v>
      </c>
      <c r="M453">
        <f t="shared" si="0"/>
        <v>47</v>
      </c>
      <c r="O453">
        <v>-8.9</v>
      </c>
      <c r="P453" t="s">
        <v>397</v>
      </c>
      <c r="Q453" t="s">
        <v>493</v>
      </c>
      <c r="R453" t="s">
        <v>494</v>
      </c>
    </row>
    <row r="454" spans="1:18">
      <c r="A454" t="s">
        <v>490</v>
      </c>
      <c r="C454" t="s">
        <v>393</v>
      </c>
      <c r="D454" t="s">
        <v>491</v>
      </c>
      <c r="E454" t="s">
        <v>394</v>
      </c>
      <c r="F454" t="s">
        <v>394</v>
      </c>
      <c r="G454" t="s">
        <v>498</v>
      </c>
      <c r="H454" t="s">
        <v>495</v>
      </c>
      <c r="K454">
        <v>1975</v>
      </c>
      <c r="M454">
        <f t="shared" si="0"/>
        <v>47</v>
      </c>
      <c r="O454">
        <v>-6.9</v>
      </c>
      <c r="P454" t="s">
        <v>397</v>
      </c>
      <c r="Q454" t="s">
        <v>493</v>
      </c>
      <c r="R454" t="s">
        <v>494</v>
      </c>
    </row>
    <row r="455" spans="1:18">
      <c r="A455" t="s">
        <v>490</v>
      </c>
      <c r="C455" t="s">
        <v>393</v>
      </c>
      <c r="D455" t="s">
        <v>491</v>
      </c>
      <c r="E455" t="s">
        <v>394</v>
      </c>
      <c r="F455" t="s">
        <v>394</v>
      </c>
      <c r="G455" t="s">
        <v>499</v>
      </c>
      <c r="H455" t="s">
        <v>457</v>
      </c>
      <c r="K455">
        <v>1975</v>
      </c>
      <c r="M455">
        <f t="shared" si="0"/>
        <v>47</v>
      </c>
      <c r="O455">
        <v>-16.600000000000001</v>
      </c>
      <c r="P455" t="s">
        <v>397</v>
      </c>
      <c r="Q455" t="s">
        <v>493</v>
      </c>
      <c r="R455" t="s">
        <v>494</v>
      </c>
    </row>
    <row r="456" spans="1:18">
      <c r="A456" t="s">
        <v>490</v>
      </c>
      <c r="C456" t="s">
        <v>393</v>
      </c>
      <c r="D456" t="s">
        <v>491</v>
      </c>
      <c r="E456" t="s">
        <v>394</v>
      </c>
      <c r="F456" t="s">
        <v>394</v>
      </c>
      <c r="G456" t="s">
        <v>499</v>
      </c>
      <c r="H456" t="s">
        <v>495</v>
      </c>
      <c r="K456">
        <v>1975</v>
      </c>
      <c r="M456">
        <f t="shared" si="0"/>
        <v>47</v>
      </c>
      <c r="O456">
        <v>-3</v>
      </c>
      <c r="P456" t="s">
        <v>397</v>
      </c>
      <c r="Q456" t="s">
        <v>493</v>
      </c>
      <c r="R456" t="s">
        <v>494</v>
      </c>
    </row>
    <row r="457" spans="1:18">
      <c r="A457" t="s">
        <v>500</v>
      </c>
      <c r="C457" t="s">
        <v>393</v>
      </c>
      <c r="E457" t="s">
        <v>394</v>
      </c>
      <c r="F457" t="s">
        <v>394</v>
      </c>
      <c r="G457" t="s">
        <v>459</v>
      </c>
      <c r="H457" t="s">
        <v>399</v>
      </c>
      <c r="K457">
        <v>1967</v>
      </c>
      <c r="O457">
        <v>-76.959999999999994</v>
      </c>
      <c r="P457" t="s">
        <v>397</v>
      </c>
      <c r="Q457" t="s">
        <v>398</v>
      </c>
    </row>
    <row r="458" spans="1:18">
      <c r="A458" t="s">
        <v>500</v>
      </c>
      <c r="C458" t="s">
        <v>393</v>
      </c>
      <c r="E458" t="s">
        <v>394</v>
      </c>
      <c r="F458" t="s">
        <v>394</v>
      </c>
      <c r="G458" t="s">
        <v>452</v>
      </c>
      <c r="H458" t="s">
        <v>399</v>
      </c>
      <c r="K458">
        <v>1967</v>
      </c>
      <c r="O458">
        <v>-54.690000000000005</v>
      </c>
      <c r="P458" t="s">
        <v>397</v>
      </c>
      <c r="Q458" t="s">
        <v>398</v>
      </c>
    </row>
    <row r="459" spans="1:18">
      <c r="A459" t="s">
        <v>501</v>
      </c>
      <c r="C459" t="s">
        <v>393</v>
      </c>
      <c r="D459" t="s">
        <v>502</v>
      </c>
      <c r="E459" t="s">
        <v>394</v>
      </c>
      <c r="F459" t="s">
        <v>394</v>
      </c>
      <c r="G459" t="s">
        <v>503</v>
      </c>
      <c r="I459">
        <v>28.695543000000001</v>
      </c>
      <c r="J459">
        <v>-114.867986</v>
      </c>
      <c r="K459">
        <v>1980</v>
      </c>
      <c r="M459">
        <v>19</v>
      </c>
      <c r="O459" t="s">
        <v>163</v>
      </c>
      <c r="P459" t="s">
        <v>397</v>
      </c>
      <c r="Q459" t="s">
        <v>403</v>
      </c>
    </row>
    <row r="460" spans="1:18">
      <c r="A460" t="s">
        <v>504</v>
      </c>
      <c r="C460" t="s">
        <v>393</v>
      </c>
      <c r="D460" t="s">
        <v>505</v>
      </c>
      <c r="E460" t="s">
        <v>161</v>
      </c>
      <c r="G460" t="s">
        <v>506</v>
      </c>
      <c r="H460" t="s">
        <v>457</v>
      </c>
      <c r="K460">
        <v>1993</v>
      </c>
      <c r="O460">
        <v>-110.18</v>
      </c>
      <c r="P460" t="s">
        <v>397</v>
      </c>
      <c r="Q460" t="s">
        <v>398</v>
      </c>
    </row>
    <row r="461" spans="1:18">
      <c r="A461" t="s">
        <v>504</v>
      </c>
      <c r="C461" t="s">
        <v>393</v>
      </c>
      <c r="D461" t="s">
        <v>505</v>
      </c>
      <c r="E461" t="s">
        <v>161</v>
      </c>
      <c r="G461" t="s">
        <v>507</v>
      </c>
      <c r="H461" t="s">
        <v>457</v>
      </c>
      <c r="K461">
        <v>1993</v>
      </c>
      <c r="O461">
        <v>-77.69</v>
      </c>
      <c r="P461" t="s">
        <v>397</v>
      </c>
      <c r="Q461" t="s">
        <v>398</v>
      </c>
    </row>
    <row r="462" spans="1:18">
      <c r="A462" t="s">
        <v>504</v>
      </c>
      <c r="C462" t="s">
        <v>393</v>
      </c>
      <c r="D462" t="s">
        <v>505</v>
      </c>
      <c r="E462" t="s">
        <v>161</v>
      </c>
      <c r="G462" t="s">
        <v>508</v>
      </c>
      <c r="H462" t="s">
        <v>457</v>
      </c>
      <c r="K462">
        <v>1993</v>
      </c>
      <c r="O462">
        <v>-44.76</v>
      </c>
      <c r="P462" t="s">
        <v>397</v>
      </c>
      <c r="Q462" t="s">
        <v>398</v>
      </c>
    </row>
    <row r="463" spans="1:18">
      <c r="A463" t="s">
        <v>504</v>
      </c>
      <c r="C463" t="s">
        <v>393</v>
      </c>
      <c r="D463" t="s">
        <v>505</v>
      </c>
      <c r="E463" t="s">
        <v>161</v>
      </c>
      <c r="G463" t="s">
        <v>509</v>
      </c>
      <c r="H463" t="s">
        <v>457</v>
      </c>
      <c r="K463">
        <v>1993</v>
      </c>
      <c r="O463">
        <v>-28.94</v>
      </c>
      <c r="P463" t="s">
        <v>397</v>
      </c>
      <c r="Q463" t="s">
        <v>398</v>
      </c>
    </row>
    <row r="464" spans="1:18">
      <c r="A464" t="s">
        <v>504</v>
      </c>
      <c r="C464" t="s">
        <v>393</v>
      </c>
      <c r="D464" t="s">
        <v>505</v>
      </c>
      <c r="E464" t="s">
        <v>161</v>
      </c>
      <c r="G464" t="s">
        <v>510</v>
      </c>
      <c r="H464" t="s">
        <v>457</v>
      </c>
      <c r="K464">
        <v>1993</v>
      </c>
      <c r="O464">
        <v>-28.94</v>
      </c>
      <c r="P464" t="s">
        <v>397</v>
      </c>
      <c r="Q464" t="s">
        <v>398</v>
      </c>
    </row>
    <row r="465" spans="1:18">
      <c r="A465" t="s">
        <v>504</v>
      </c>
      <c r="C465" t="s">
        <v>393</v>
      </c>
      <c r="D465" t="s">
        <v>505</v>
      </c>
      <c r="E465" t="s">
        <v>161</v>
      </c>
      <c r="G465" t="s">
        <v>511</v>
      </c>
      <c r="H465" t="s">
        <v>457</v>
      </c>
      <c r="K465">
        <v>1993</v>
      </c>
      <c r="O465">
        <v>-26.97</v>
      </c>
      <c r="P465" t="s">
        <v>397</v>
      </c>
      <c r="Q465" t="s">
        <v>398</v>
      </c>
    </row>
    <row r="466" spans="1:18">
      <c r="A466" t="s">
        <v>504</v>
      </c>
      <c r="C466" t="s">
        <v>393</v>
      </c>
      <c r="D466" t="s">
        <v>505</v>
      </c>
      <c r="E466" t="s">
        <v>161</v>
      </c>
      <c r="G466" t="s">
        <v>512</v>
      </c>
      <c r="H466" t="s">
        <v>457</v>
      </c>
      <c r="K466">
        <v>1993</v>
      </c>
      <c r="O466">
        <v>-25.950000000000003</v>
      </c>
      <c r="P466" t="s">
        <v>397</v>
      </c>
      <c r="Q466" t="s">
        <v>398</v>
      </c>
    </row>
    <row r="467" spans="1:18">
      <c r="A467" t="s">
        <v>504</v>
      </c>
      <c r="C467" t="s">
        <v>393</v>
      </c>
      <c r="D467" t="s">
        <v>505</v>
      </c>
      <c r="E467" t="s">
        <v>161</v>
      </c>
      <c r="G467" t="s">
        <v>513</v>
      </c>
      <c r="H467" t="s">
        <v>457</v>
      </c>
      <c r="K467">
        <v>1993</v>
      </c>
      <c r="O467">
        <v>-23.14</v>
      </c>
      <c r="P467" t="s">
        <v>397</v>
      </c>
      <c r="Q467" t="s">
        <v>398</v>
      </c>
    </row>
    <row r="468" spans="1:18">
      <c r="A468" t="s">
        <v>504</v>
      </c>
      <c r="C468" t="s">
        <v>393</v>
      </c>
      <c r="D468" t="s">
        <v>505</v>
      </c>
      <c r="E468" t="s">
        <v>161</v>
      </c>
      <c r="G468" t="s">
        <v>514</v>
      </c>
      <c r="H468" t="s">
        <v>457</v>
      </c>
      <c r="K468">
        <v>1993</v>
      </c>
      <c r="O468">
        <v>-20.32</v>
      </c>
      <c r="P468" t="s">
        <v>397</v>
      </c>
      <c r="Q468" t="s">
        <v>398</v>
      </c>
    </row>
    <row r="469" spans="1:18">
      <c r="A469" t="s">
        <v>504</v>
      </c>
      <c r="C469" t="s">
        <v>393</v>
      </c>
      <c r="D469" t="s">
        <v>505</v>
      </c>
      <c r="E469" t="s">
        <v>161</v>
      </c>
      <c r="G469" t="s">
        <v>515</v>
      </c>
      <c r="H469" t="s">
        <v>457</v>
      </c>
      <c r="K469">
        <v>1993</v>
      </c>
      <c r="O469">
        <v>-9.2900000000000009</v>
      </c>
      <c r="P469" t="s">
        <v>397</v>
      </c>
      <c r="Q469" t="s">
        <v>398</v>
      </c>
    </row>
    <row r="470" spans="1:18">
      <c r="A470" t="s">
        <v>504</v>
      </c>
      <c r="C470" t="s">
        <v>393</v>
      </c>
      <c r="D470" t="s">
        <v>505</v>
      </c>
      <c r="E470" t="s">
        <v>161</v>
      </c>
      <c r="G470" t="s">
        <v>516</v>
      </c>
      <c r="H470" t="s">
        <v>457</v>
      </c>
      <c r="K470">
        <v>1993</v>
      </c>
      <c r="O470">
        <v>-7.41</v>
      </c>
      <c r="P470" t="s">
        <v>397</v>
      </c>
      <c r="Q470" t="s">
        <v>398</v>
      </c>
    </row>
    <row r="471" spans="1:18">
      <c r="A471" t="s">
        <v>504</v>
      </c>
      <c r="C471" t="s">
        <v>393</v>
      </c>
      <c r="D471" t="s">
        <v>505</v>
      </c>
      <c r="E471" t="s">
        <v>161</v>
      </c>
      <c r="G471" t="s">
        <v>517</v>
      </c>
      <c r="H471" t="s">
        <v>457</v>
      </c>
      <c r="K471">
        <v>1993</v>
      </c>
      <c r="O471">
        <v>-3.77</v>
      </c>
      <c r="P471" t="s">
        <v>397</v>
      </c>
      <c r="Q471" t="s">
        <v>398</v>
      </c>
    </row>
    <row r="472" spans="1:18">
      <c r="A472" t="s">
        <v>504</v>
      </c>
      <c r="C472" t="s">
        <v>393</v>
      </c>
      <c r="D472" t="s">
        <v>505</v>
      </c>
      <c r="E472" t="s">
        <v>161</v>
      </c>
      <c r="G472" t="s">
        <v>518</v>
      </c>
      <c r="H472" t="s">
        <v>457</v>
      </c>
      <c r="K472">
        <v>1993</v>
      </c>
      <c r="O472">
        <v>-2.58</v>
      </c>
      <c r="P472" t="s">
        <v>397</v>
      </c>
      <c r="Q472" t="s">
        <v>398</v>
      </c>
    </row>
    <row r="473" spans="1:18">
      <c r="A473" t="s">
        <v>504</v>
      </c>
      <c r="C473" t="s">
        <v>393</v>
      </c>
      <c r="D473" t="s">
        <v>505</v>
      </c>
      <c r="E473" t="s">
        <v>161</v>
      </c>
      <c r="G473" t="s">
        <v>519</v>
      </c>
      <c r="H473" t="s">
        <v>457</v>
      </c>
      <c r="K473">
        <v>1993</v>
      </c>
      <c r="O473">
        <v>-1.79</v>
      </c>
      <c r="P473" t="s">
        <v>397</v>
      </c>
      <c r="Q473" t="s">
        <v>398</v>
      </c>
    </row>
    <row r="474" spans="1:18">
      <c r="A474" t="s">
        <v>504</v>
      </c>
      <c r="C474" t="s">
        <v>393</v>
      </c>
      <c r="D474" t="s">
        <v>505</v>
      </c>
      <c r="E474" t="s">
        <v>161</v>
      </c>
      <c r="G474" t="s">
        <v>520</v>
      </c>
      <c r="H474" t="s">
        <v>457</v>
      </c>
      <c r="K474">
        <v>1993</v>
      </c>
      <c r="O474">
        <v>-1.48</v>
      </c>
      <c r="P474" t="s">
        <v>397</v>
      </c>
      <c r="Q474" t="s">
        <v>398</v>
      </c>
    </row>
    <row r="475" spans="1:18">
      <c r="A475" t="s">
        <v>504</v>
      </c>
      <c r="C475" t="s">
        <v>393</v>
      </c>
      <c r="D475" t="s">
        <v>505</v>
      </c>
      <c r="E475" t="s">
        <v>161</v>
      </c>
      <c r="G475" t="s">
        <v>521</v>
      </c>
      <c r="H475" t="s">
        <v>457</v>
      </c>
      <c r="K475">
        <v>1993</v>
      </c>
      <c r="O475">
        <v>-1.2</v>
      </c>
      <c r="P475" t="s">
        <v>397</v>
      </c>
      <c r="Q475" t="s">
        <v>398</v>
      </c>
    </row>
    <row r="476" spans="1:18">
      <c r="A476" t="s">
        <v>504</v>
      </c>
      <c r="C476" t="s">
        <v>393</v>
      </c>
      <c r="D476" t="s">
        <v>505</v>
      </c>
      <c r="E476" t="s">
        <v>161</v>
      </c>
      <c r="G476" t="s">
        <v>522</v>
      </c>
      <c r="H476" t="s">
        <v>457</v>
      </c>
      <c r="K476">
        <v>1993</v>
      </c>
      <c r="O476">
        <v>-1.1400000000000001</v>
      </c>
      <c r="P476" t="s">
        <v>397</v>
      </c>
      <c r="Q476" t="s">
        <v>398</v>
      </c>
    </row>
    <row r="477" spans="1:18">
      <c r="A477" t="s">
        <v>504</v>
      </c>
      <c r="C477" t="s">
        <v>393</v>
      </c>
      <c r="D477" t="s">
        <v>505</v>
      </c>
      <c r="E477" t="s">
        <v>161</v>
      </c>
      <c r="G477" t="s">
        <v>523</v>
      </c>
      <c r="H477" t="s">
        <v>457</v>
      </c>
      <c r="K477">
        <v>1993</v>
      </c>
      <c r="O477">
        <v>-0.52</v>
      </c>
      <c r="P477" t="s">
        <v>397</v>
      </c>
      <c r="Q477" t="s">
        <v>398</v>
      </c>
    </row>
    <row r="478" spans="1:18">
      <c r="A478" t="s">
        <v>524</v>
      </c>
      <c r="C478" t="s">
        <v>393</v>
      </c>
      <c r="D478" t="s">
        <v>525</v>
      </c>
      <c r="E478" t="s">
        <v>394</v>
      </c>
      <c r="F478" t="s">
        <v>394</v>
      </c>
      <c r="G478" t="s">
        <v>526</v>
      </c>
      <c r="H478" t="s">
        <v>527</v>
      </c>
      <c r="K478">
        <v>1989.5</v>
      </c>
      <c r="M478">
        <v>21</v>
      </c>
      <c r="O478">
        <v>-20.957142857142902</v>
      </c>
      <c r="P478" t="s">
        <v>397</v>
      </c>
      <c r="Q478" t="s">
        <v>528</v>
      </c>
      <c r="R478" t="s">
        <v>529</v>
      </c>
    </row>
    <row r="479" spans="1:18">
      <c r="A479" t="s">
        <v>524</v>
      </c>
      <c r="C479" t="s">
        <v>393</v>
      </c>
      <c r="D479" t="s">
        <v>525</v>
      </c>
      <c r="E479" t="s">
        <v>394</v>
      </c>
      <c r="F479" t="s">
        <v>394</v>
      </c>
      <c r="G479" t="s">
        <v>439</v>
      </c>
      <c r="H479" t="s">
        <v>527</v>
      </c>
      <c r="K479">
        <v>1989.5</v>
      </c>
      <c r="M479">
        <v>21</v>
      </c>
      <c r="O479">
        <v>-5.5714285714285703</v>
      </c>
      <c r="P479" t="s">
        <v>397</v>
      </c>
      <c r="Q479" t="s">
        <v>528</v>
      </c>
      <c r="R479" t="s">
        <v>529</v>
      </c>
    </row>
    <row r="480" spans="1:18">
      <c r="A480" t="s">
        <v>530</v>
      </c>
      <c r="C480" t="s">
        <v>393</v>
      </c>
      <c r="D480" t="s">
        <v>531</v>
      </c>
      <c r="E480" t="s">
        <v>394</v>
      </c>
      <c r="F480" t="s">
        <v>394</v>
      </c>
      <c r="G480" t="s">
        <v>532</v>
      </c>
      <c r="H480" t="s">
        <v>533</v>
      </c>
      <c r="K480">
        <v>1957</v>
      </c>
      <c r="M480">
        <v>21.5</v>
      </c>
      <c r="O480" t="s">
        <v>163</v>
      </c>
      <c r="P480" t="s">
        <v>397</v>
      </c>
      <c r="Q480" t="s">
        <v>528</v>
      </c>
      <c r="R480" t="s">
        <v>529</v>
      </c>
    </row>
    <row r="481" spans="1:18">
      <c r="A481" t="s">
        <v>534</v>
      </c>
      <c r="C481" t="s">
        <v>393</v>
      </c>
      <c r="D481" t="s">
        <v>535</v>
      </c>
      <c r="E481" t="s">
        <v>394</v>
      </c>
      <c r="F481" t="s">
        <v>394</v>
      </c>
      <c r="G481" t="s">
        <v>453</v>
      </c>
      <c r="H481" t="s">
        <v>536</v>
      </c>
      <c r="K481">
        <v>1983</v>
      </c>
      <c r="M481">
        <v>33</v>
      </c>
      <c r="O481">
        <v>-33.030303030303003</v>
      </c>
      <c r="P481" t="s">
        <v>397</v>
      </c>
      <c r="Q481" t="s">
        <v>528</v>
      </c>
      <c r="R481" t="s">
        <v>529</v>
      </c>
    </row>
    <row r="482" spans="1:18">
      <c r="A482" t="s">
        <v>537</v>
      </c>
      <c r="C482" t="s">
        <v>393</v>
      </c>
      <c r="D482" t="s">
        <v>525</v>
      </c>
      <c r="E482" t="s">
        <v>394</v>
      </c>
      <c r="F482" t="s">
        <v>394</v>
      </c>
      <c r="G482" t="s">
        <v>538</v>
      </c>
      <c r="H482" t="s">
        <v>539</v>
      </c>
      <c r="K482">
        <v>1989.5</v>
      </c>
      <c r="M482">
        <v>21</v>
      </c>
      <c r="O482">
        <v>-123.80952380952399</v>
      </c>
      <c r="P482" t="s">
        <v>397</v>
      </c>
      <c r="Q482" t="s">
        <v>528</v>
      </c>
      <c r="R482" t="s">
        <v>529</v>
      </c>
    </row>
    <row r="483" spans="1:18">
      <c r="A483" t="s">
        <v>504</v>
      </c>
      <c r="C483" t="s">
        <v>393</v>
      </c>
      <c r="D483" t="s">
        <v>505</v>
      </c>
      <c r="E483" t="s">
        <v>161</v>
      </c>
      <c r="G483" t="s">
        <v>540</v>
      </c>
      <c r="H483" t="s">
        <v>457</v>
      </c>
      <c r="K483">
        <v>1993</v>
      </c>
      <c r="O483">
        <v>-0.25</v>
      </c>
      <c r="P483" t="s">
        <v>397</v>
      </c>
      <c r="Q483" t="s">
        <v>398</v>
      </c>
    </row>
    <row r="484" spans="1:18">
      <c r="A484" t="s">
        <v>504</v>
      </c>
      <c r="C484" t="s">
        <v>393</v>
      </c>
      <c r="D484" t="s">
        <v>505</v>
      </c>
      <c r="E484" t="s">
        <v>161</v>
      </c>
      <c r="G484" t="s">
        <v>541</v>
      </c>
      <c r="H484" t="s">
        <v>457</v>
      </c>
      <c r="K484">
        <v>1993</v>
      </c>
      <c r="O484" t="s">
        <v>163</v>
      </c>
      <c r="P484" t="s">
        <v>397</v>
      </c>
      <c r="Q484" t="s">
        <v>398</v>
      </c>
    </row>
    <row r="485" spans="1:18">
      <c r="A485" t="s">
        <v>504</v>
      </c>
      <c r="C485" t="s">
        <v>393</v>
      </c>
      <c r="D485" t="s">
        <v>505</v>
      </c>
      <c r="E485" t="s">
        <v>161</v>
      </c>
      <c r="G485" t="s">
        <v>542</v>
      </c>
      <c r="H485" t="s">
        <v>457</v>
      </c>
      <c r="K485">
        <v>1993</v>
      </c>
      <c r="O485" t="s">
        <v>163</v>
      </c>
      <c r="P485" t="s">
        <v>397</v>
      </c>
      <c r="Q485" t="s">
        <v>398</v>
      </c>
    </row>
    <row r="486" spans="1:18">
      <c r="A486" t="s">
        <v>504</v>
      </c>
      <c r="C486" t="s">
        <v>393</v>
      </c>
      <c r="D486" t="s">
        <v>505</v>
      </c>
      <c r="E486" t="s">
        <v>161</v>
      </c>
      <c r="G486" t="s">
        <v>543</v>
      </c>
      <c r="H486" t="s">
        <v>457</v>
      </c>
      <c r="K486">
        <v>1993</v>
      </c>
      <c r="O486" t="s">
        <v>163</v>
      </c>
      <c r="P486" t="s">
        <v>397</v>
      </c>
      <c r="Q486" t="s">
        <v>398</v>
      </c>
    </row>
    <row r="487" spans="1:18">
      <c r="A487" t="s">
        <v>504</v>
      </c>
      <c r="C487" t="s">
        <v>393</v>
      </c>
      <c r="D487" t="s">
        <v>505</v>
      </c>
      <c r="E487" t="s">
        <v>161</v>
      </c>
      <c r="G487" t="s">
        <v>544</v>
      </c>
      <c r="H487" t="s">
        <v>457</v>
      </c>
      <c r="K487">
        <v>1993</v>
      </c>
      <c r="O487" t="s">
        <v>163</v>
      </c>
      <c r="P487" t="s">
        <v>397</v>
      </c>
      <c r="Q487" t="s">
        <v>398</v>
      </c>
    </row>
    <row r="488" spans="1:18">
      <c r="A488" t="s">
        <v>504</v>
      </c>
      <c r="C488" t="s">
        <v>393</v>
      </c>
      <c r="D488" t="s">
        <v>505</v>
      </c>
      <c r="E488" t="s">
        <v>161</v>
      </c>
      <c r="G488" t="s">
        <v>545</v>
      </c>
      <c r="H488" t="s">
        <v>457</v>
      </c>
      <c r="K488">
        <v>1993</v>
      </c>
      <c r="O488" t="s">
        <v>163</v>
      </c>
      <c r="P488" t="s">
        <v>397</v>
      </c>
      <c r="Q488" t="s">
        <v>398</v>
      </c>
    </row>
    <row r="489" spans="1:18">
      <c r="A489" t="s">
        <v>504</v>
      </c>
      <c r="C489" t="s">
        <v>393</v>
      </c>
      <c r="D489" t="s">
        <v>505</v>
      </c>
      <c r="E489" t="s">
        <v>161</v>
      </c>
      <c r="G489" t="s">
        <v>546</v>
      </c>
      <c r="H489" t="s">
        <v>457</v>
      </c>
      <c r="K489">
        <v>1993</v>
      </c>
      <c r="O489" t="s">
        <v>163</v>
      </c>
      <c r="P489" t="s">
        <v>397</v>
      </c>
      <c r="Q489" t="s">
        <v>398</v>
      </c>
    </row>
    <row r="490" spans="1:18">
      <c r="A490" t="s">
        <v>504</v>
      </c>
      <c r="C490" t="s">
        <v>393</v>
      </c>
      <c r="D490" t="s">
        <v>505</v>
      </c>
      <c r="E490" t="s">
        <v>161</v>
      </c>
      <c r="G490" t="s">
        <v>547</v>
      </c>
      <c r="H490" t="s">
        <v>457</v>
      </c>
      <c r="K490">
        <v>1993</v>
      </c>
      <c r="O490" t="s">
        <v>163</v>
      </c>
      <c r="P490" t="s">
        <v>397</v>
      </c>
      <c r="Q490" t="s">
        <v>398</v>
      </c>
    </row>
    <row r="491" spans="1:18">
      <c r="A491" t="s">
        <v>504</v>
      </c>
      <c r="C491" t="s">
        <v>393</v>
      </c>
      <c r="D491" t="s">
        <v>505</v>
      </c>
      <c r="E491" t="s">
        <v>161</v>
      </c>
      <c r="G491" t="s">
        <v>548</v>
      </c>
      <c r="H491" t="s">
        <v>457</v>
      </c>
      <c r="K491">
        <v>1993</v>
      </c>
      <c r="O491" t="s">
        <v>163</v>
      </c>
      <c r="P491" t="s">
        <v>397</v>
      </c>
      <c r="Q491" t="s">
        <v>398</v>
      </c>
    </row>
    <row r="492" spans="1:18">
      <c r="A492" t="s">
        <v>504</v>
      </c>
      <c r="C492" t="s">
        <v>393</v>
      </c>
      <c r="D492" t="s">
        <v>505</v>
      </c>
      <c r="E492" t="s">
        <v>161</v>
      </c>
      <c r="G492" t="s">
        <v>549</v>
      </c>
      <c r="H492" t="s">
        <v>457</v>
      </c>
      <c r="K492">
        <v>1993</v>
      </c>
      <c r="O492" t="s">
        <v>163</v>
      </c>
      <c r="P492" t="s">
        <v>397</v>
      </c>
      <c r="Q492" t="s">
        <v>398</v>
      </c>
    </row>
    <row r="493" spans="1:18">
      <c r="A493" t="s">
        <v>504</v>
      </c>
      <c r="C493" t="s">
        <v>393</v>
      </c>
      <c r="D493" t="s">
        <v>505</v>
      </c>
      <c r="E493" t="s">
        <v>161</v>
      </c>
      <c r="G493" t="s">
        <v>550</v>
      </c>
      <c r="H493" t="s">
        <v>457</v>
      </c>
      <c r="K493">
        <v>1993</v>
      </c>
      <c r="O493" t="s">
        <v>163</v>
      </c>
      <c r="P493" t="s">
        <v>397</v>
      </c>
      <c r="Q493" t="s">
        <v>398</v>
      </c>
    </row>
    <row r="494" spans="1:18">
      <c r="A494" t="s">
        <v>504</v>
      </c>
      <c r="C494" t="s">
        <v>393</v>
      </c>
      <c r="D494" t="s">
        <v>505</v>
      </c>
      <c r="E494" t="s">
        <v>161</v>
      </c>
      <c r="G494" t="s">
        <v>551</v>
      </c>
      <c r="H494" t="s">
        <v>457</v>
      </c>
      <c r="K494">
        <v>1993</v>
      </c>
      <c r="O494" t="s">
        <v>163</v>
      </c>
      <c r="P494" t="s">
        <v>397</v>
      </c>
      <c r="Q494" t="s">
        <v>398</v>
      </c>
    </row>
    <row r="495" spans="1:18">
      <c r="A495" t="s">
        <v>504</v>
      </c>
      <c r="C495" t="s">
        <v>393</v>
      </c>
      <c r="D495" t="s">
        <v>505</v>
      </c>
      <c r="E495" t="s">
        <v>161</v>
      </c>
      <c r="G495" t="s">
        <v>552</v>
      </c>
      <c r="H495" t="s">
        <v>457</v>
      </c>
      <c r="K495">
        <v>1993</v>
      </c>
      <c r="O495" t="s">
        <v>163</v>
      </c>
      <c r="P495" t="s">
        <v>397</v>
      </c>
      <c r="Q495" t="s">
        <v>398</v>
      </c>
    </row>
    <row r="496" spans="1:18">
      <c r="A496" t="s">
        <v>553</v>
      </c>
      <c r="C496" t="s">
        <v>393</v>
      </c>
      <c r="D496" t="s">
        <v>554</v>
      </c>
      <c r="E496" t="s">
        <v>161</v>
      </c>
      <c r="G496" t="s">
        <v>555</v>
      </c>
      <c r="H496" t="s">
        <v>399</v>
      </c>
      <c r="K496">
        <v>1995</v>
      </c>
      <c r="O496">
        <v>-130.67000000000002</v>
      </c>
      <c r="P496" t="s">
        <v>397</v>
      </c>
      <c r="Q496" t="s">
        <v>398</v>
      </c>
    </row>
    <row r="497" spans="1:17">
      <c r="A497" t="s">
        <v>553</v>
      </c>
      <c r="C497" t="s">
        <v>393</v>
      </c>
      <c r="D497" t="s">
        <v>554</v>
      </c>
      <c r="E497" t="s">
        <v>161</v>
      </c>
      <c r="G497" t="s">
        <v>556</v>
      </c>
      <c r="H497" t="s">
        <v>399</v>
      </c>
      <c r="K497">
        <v>1995</v>
      </c>
      <c r="O497">
        <v>-128.28</v>
      </c>
      <c r="P497" t="s">
        <v>397</v>
      </c>
      <c r="Q497" t="s">
        <v>398</v>
      </c>
    </row>
    <row r="498" spans="1:17">
      <c r="A498" t="s">
        <v>553</v>
      </c>
      <c r="C498" t="s">
        <v>393</v>
      </c>
      <c r="D498" t="s">
        <v>554</v>
      </c>
      <c r="E498" t="s">
        <v>161</v>
      </c>
      <c r="G498" t="s">
        <v>557</v>
      </c>
      <c r="H498" t="s">
        <v>399</v>
      </c>
      <c r="K498">
        <v>1984</v>
      </c>
      <c r="O498">
        <v>-124.97</v>
      </c>
      <c r="P498" t="s">
        <v>397</v>
      </c>
      <c r="Q498" t="s">
        <v>398</v>
      </c>
    </row>
    <row r="499" spans="1:17">
      <c r="A499" t="s">
        <v>553</v>
      </c>
      <c r="C499" t="s">
        <v>393</v>
      </c>
      <c r="D499" t="s">
        <v>554</v>
      </c>
      <c r="E499" t="s">
        <v>161</v>
      </c>
      <c r="G499" t="s">
        <v>558</v>
      </c>
      <c r="H499" t="s">
        <v>399</v>
      </c>
      <c r="K499">
        <v>1984</v>
      </c>
      <c r="O499">
        <v>-89.949999999999989</v>
      </c>
      <c r="P499" t="s">
        <v>397</v>
      </c>
      <c r="Q499" t="s">
        <v>398</v>
      </c>
    </row>
    <row r="500" spans="1:17">
      <c r="A500" t="s">
        <v>553</v>
      </c>
      <c r="C500" t="s">
        <v>393</v>
      </c>
      <c r="D500" t="s">
        <v>554</v>
      </c>
      <c r="E500" t="s">
        <v>161</v>
      </c>
      <c r="G500" t="s">
        <v>559</v>
      </c>
      <c r="H500" t="s">
        <v>399</v>
      </c>
      <c r="K500">
        <v>1977</v>
      </c>
      <c r="O500">
        <v>-63.339999999999996</v>
      </c>
      <c r="P500" t="s">
        <v>397</v>
      </c>
      <c r="Q500" t="s">
        <v>398</v>
      </c>
    </row>
    <row r="501" spans="1:17">
      <c r="A501" t="s">
        <v>553</v>
      </c>
      <c r="C501" t="s">
        <v>393</v>
      </c>
      <c r="D501" t="s">
        <v>554</v>
      </c>
      <c r="E501" t="s">
        <v>161</v>
      </c>
      <c r="G501" t="s">
        <v>560</v>
      </c>
      <c r="H501" t="s">
        <v>399</v>
      </c>
      <c r="K501">
        <v>1984</v>
      </c>
      <c r="O501">
        <v>-62.629999999999995</v>
      </c>
      <c r="P501" t="s">
        <v>397</v>
      </c>
      <c r="Q501" t="s">
        <v>398</v>
      </c>
    </row>
    <row r="502" spans="1:17">
      <c r="A502" t="s">
        <v>553</v>
      </c>
      <c r="C502" t="s">
        <v>393</v>
      </c>
      <c r="D502" t="s">
        <v>554</v>
      </c>
      <c r="E502" t="s">
        <v>161</v>
      </c>
      <c r="G502" t="s">
        <v>561</v>
      </c>
      <c r="H502" t="s">
        <v>399</v>
      </c>
      <c r="K502">
        <v>1995</v>
      </c>
      <c r="O502">
        <v>-60.38</v>
      </c>
      <c r="P502" t="s">
        <v>397</v>
      </c>
      <c r="Q502" t="s">
        <v>398</v>
      </c>
    </row>
    <row r="503" spans="1:17">
      <c r="A503" t="s">
        <v>553</v>
      </c>
      <c r="C503" t="s">
        <v>393</v>
      </c>
      <c r="D503" t="s">
        <v>554</v>
      </c>
      <c r="E503" t="s">
        <v>161</v>
      </c>
      <c r="G503" t="s">
        <v>562</v>
      </c>
      <c r="H503" t="s">
        <v>399</v>
      </c>
      <c r="K503">
        <v>1984</v>
      </c>
      <c r="O503">
        <v>-60.16</v>
      </c>
      <c r="P503" t="s">
        <v>397</v>
      </c>
      <c r="Q503" t="s">
        <v>398</v>
      </c>
    </row>
    <row r="504" spans="1:17">
      <c r="A504" t="s">
        <v>553</v>
      </c>
      <c r="C504" t="s">
        <v>393</v>
      </c>
      <c r="D504" t="s">
        <v>554</v>
      </c>
      <c r="E504" t="s">
        <v>161</v>
      </c>
      <c r="G504" t="s">
        <v>563</v>
      </c>
      <c r="H504" t="s">
        <v>399</v>
      </c>
      <c r="K504">
        <v>1984</v>
      </c>
      <c r="O504">
        <v>-56.52</v>
      </c>
      <c r="P504" t="s">
        <v>397</v>
      </c>
      <c r="Q504" t="s">
        <v>398</v>
      </c>
    </row>
    <row r="505" spans="1:17">
      <c r="A505" t="s">
        <v>553</v>
      </c>
      <c r="C505" t="s">
        <v>393</v>
      </c>
      <c r="D505" t="s">
        <v>554</v>
      </c>
      <c r="E505" t="s">
        <v>161</v>
      </c>
      <c r="G505" t="s">
        <v>564</v>
      </c>
      <c r="H505" t="s">
        <v>399</v>
      </c>
      <c r="K505">
        <v>1984</v>
      </c>
      <c r="O505">
        <v>-54.6</v>
      </c>
      <c r="P505" t="s">
        <v>397</v>
      </c>
      <c r="Q505" t="s">
        <v>398</v>
      </c>
    </row>
    <row r="506" spans="1:17">
      <c r="A506" t="s">
        <v>553</v>
      </c>
      <c r="C506" t="s">
        <v>393</v>
      </c>
      <c r="D506" t="s">
        <v>554</v>
      </c>
      <c r="E506" t="s">
        <v>161</v>
      </c>
      <c r="G506" t="s">
        <v>565</v>
      </c>
      <c r="H506" t="s">
        <v>399</v>
      </c>
      <c r="K506">
        <v>1984</v>
      </c>
      <c r="O506">
        <v>-54.47</v>
      </c>
      <c r="P506" t="s">
        <v>397</v>
      </c>
      <c r="Q506" t="s">
        <v>398</v>
      </c>
    </row>
    <row r="507" spans="1:17">
      <c r="A507" t="s">
        <v>553</v>
      </c>
      <c r="C507" t="s">
        <v>393</v>
      </c>
      <c r="D507" t="s">
        <v>554</v>
      </c>
      <c r="E507" t="s">
        <v>161</v>
      </c>
      <c r="G507" t="s">
        <v>566</v>
      </c>
      <c r="H507" t="s">
        <v>399</v>
      </c>
      <c r="K507">
        <v>1987</v>
      </c>
      <c r="O507">
        <v>-50.43</v>
      </c>
      <c r="P507" t="s">
        <v>397</v>
      </c>
      <c r="Q507" t="s">
        <v>398</v>
      </c>
    </row>
    <row r="508" spans="1:17">
      <c r="A508" t="s">
        <v>553</v>
      </c>
      <c r="C508" t="s">
        <v>393</v>
      </c>
      <c r="D508" t="s">
        <v>554</v>
      </c>
      <c r="E508" t="s">
        <v>161</v>
      </c>
      <c r="G508" t="s">
        <v>567</v>
      </c>
      <c r="H508" t="s">
        <v>399</v>
      </c>
      <c r="K508">
        <v>1995</v>
      </c>
      <c r="O508">
        <v>-49.900000000000006</v>
      </c>
      <c r="P508" t="s">
        <v>397</v>
      </c>
      <c r="Q508" t="s">
        <v>398</v>
      </c>
    </row>
    <row r="509" spans="1:17">
      <c r="A509" t="s">
        <v>553</v>
      </c>
      <c r="C509" t="s">
        <v>393</v>
      </c>
      <c r="D509" t="s">
        <v>554</v>
      </c>
      <c r="E509" t="s">
        <v>161</v>
      </c>
      <c r="G509" t="s">
        <v>568</v>
      </c>
      <c r="H509" t="s">
        <v>399</v>
      </c>
      <c r="K509">
        <v>1987</v>
      </c>
      <c r="O509">
        <v>-49.589999999999996</v>
      </c>
      <c r="P509" t="s">
        <v>397</v>
      </c>
      <c r="Q509" t="s">
        <v>398</v>
      </c>
    </row>
    <row r="510" spans="1:17">
      <c r="A510" t="s">
        <v>553</v>
      </c>
      <c r="C510" t="s">
        <v>393</v>
      </c>
      <c r="D510" t="s">
        <v>554</v>
      </c>
      <c r="E510" t="s">
        <v>161</v>
      </c>
      <c r="G510" t="s">
        <v>569</v>
      </c>
      <c r="H510" t="s">
        <v>399</v>
      </c>
      <c r="K510">
        <v>1987</v>
      </c>
      <c r="O510">
        <v>-48.98</v>
      </c>
      <c r="P510" t="s">
        <v>397</v>
      </c>
      <c r="Q510" t="s">
        <v>398</v>
      </c>
    </row>
    <row r="511" spans="1:17">
      <c r="A511" t="s">
        <v>553</v>
      </c>
      <c r="C511" t="s">
        <v>393</v>
      </c>
      <c r="D511" t="s">
        <v>554</v>
      </c>
      <c r="E511" t="s">
        <v>161</v>
      </c>
      <c r="G511" t="s">
        <v>80</v>
      </c>
      <c r="H511" t="s">
        <v>399</v>
      </c>
      <c r="K511">
        <v>1984</v>
      </c>
      <c r="O511">
        <v>-47.72</v>
      </c>
      <c r="P511" t="s">
        <v>397</v>
      </c>
      <c r="Q511" t="s">
        <v>398</v>
      </c>
    </row>
    <row r="512" spans="1:17">
      <c r="A512" t="s">
        <v>553</v>
      </c>
      <c r="C512" t="s">
        <v>393</v>
      </c>
      <c r="D512" t="s">
        <v>554</v>
      </c>
      <c r="E512" t="s">
        <v>161</v>
      </c>
      <c r="G512" t="s">
        <v>570</v>
      </c>
      <c r="H512" t="s">
        <v>399</v>
      </c>
      <c r="K512">
        <v>1995</v>
      </c>
      <c r="O512">
        <v>-44.6</v>
      </c>
      <c r="P512" t="s">
        <v>397</v>
      </c>
      <c r="Q512" t="s">
        <v>398</v>
      </c>
    </row>
    <row r="513" spans="1:17">
      <c r="A513" t="s">
        <v>553</v>
      </c>
      <c r="C513" t="s">
        <v>393</v>
      </c>
      <c r="D513" t="s">
        <v>554</v>
      </c>
      <c r="E513" t="s">
        <v>161</v>
      </c>
      <c r="G513" t="s">
        <v>571</v>
      </c>
      <c r="H513" t="s">
        <v>399</v>
      </c>
      <c r="K513">
        <v>1982</v>
      </c>
      <c r="O513">
        <v>-42.05</v>
      </c>
      <c r="P513" t="s">
        <v>397</v>
      </c>
      <c r="Q513" t="s">
        <v>398</v>
      </c>
    </row>
    <row r="514" spans="1:17">
      <c r="A514" t="s">
        <v>553</v>
      </c>
      <c r="C514" t="s">
        <v>393</v>
      </c>
      <c r="D514" t="s">
        <v>554</v>
      </c>
      <c r="E514" t="s">
        <v>161</v>
      </c>
      <c r="G514" t="s">
        <v>572</v>
      </c>
      <c r="H514" t="s">
        <v>399</v>
      </c>
      <c r="K514">
        <v>1984</v>
      </c>
      <c r="O514">
        <v>-39.54</v>
      </c>
      <c r="P514" t="s">
        <v>397</v>
      </c>
      <c r="Q514" t="s">
        <v>398</v>
      </c>
    </row>
    <row r="515" spans="1:17">
      <c r="A515" t="s">
        <v>553</v>
      </c>
      <c r="C515" t="s">
        <v>393</v>
      </c>
      <c r="D515" t="s">
        <v>554</v>
      </c>
      <c r="E515" t="s">
        <v>161</v>
      </c>
      <c r="G515" t="s">
        <v>573</v>
      </c>
      <c r="H515" t="s">
        <v>399</v>
      </c>
      <c r="K515">
        <v>1984</v>
      </c>
      <c r="O515">
        <v>-39.21</v>
      </c>
      <c r="P515" t="s">
        <v>397</v>
      </c>
      <c r="Q515" t="s">
        <v>398</v>
      </c>
    </row>
    <row r="516" spans="1:17">
      <c r="A516" t="s">
        <v>553</v>
      </c>
      <c r="C516" t="s">
        <v>393</v>
      </c>
      <c r="D516" t="s">
        <v>554</v>
      </c>
      <c r="E516" t="s">
        <v>161</v>
      </c>
      <c r="G516" t="s">
        <v>574</v>
      </c>
      <c r="H516" t="s">
        <v>399</v>
      </c>
      <c r="K516">
        <v>1987</v>
      </c>
      <c r="O516">
        <v>-39.21</v>
      </c>
      <c r="P516" t="s">
        <v>397</v>
      </c>
      <c r="Q516" t="s">
        <v>398</v>
      </c>
    </row>
    <row r="517" spans="1:17">
      <c r="A517" t="s">
        <v>553</v>
      </c>
      <c r="C517" t="s">
        <v>393</v>
      </c>
      <c r="D517" t="s">
        <v>554</v>
      </c>
      <c r="E517" t="s">
        <v>161</v>
      </c>
      <c r="G517" t="s">
        <v>575</v>
      </c>
      <c r="H517" t="s">
        <v>399</v>
      </c>
      <c r="K517">
        <v>1995</v>
      </c>
      <c r="O517">
        <v>-38.82</v>
      </c>
      <c r="P517" t="s">
        <v>397</v>
      </c>
      <c r="Q517" t="s">
        <v>398</v>
      </c>
    </row>
    <row r="518" spans="1:17">
      <c r="A518" t="s">
        <v>553</v>
      </c>
      <c r="C518" t="s">
        <v>393</v>
      </c>
      <c r="D518" t="s">
        <v>554</v>
      </c>
      <c r="E518" t="s">
        <v>161</v>
      </c>
      <c r="G518" t="s">
        <v>576</v>
      </c>
      <c r="H518" t="s">
        <v>399</v>
      </c>
      <c r="K518">
        <v>1987</v>
      </c>
      <c r="O518">
        <v>-37.28</v>
      </c>
      <c r="P518" t="s">
        <v>397</v>
      </c>
      <c r="Q518" t="s">
        <v>398</v>
      </c>
    </row>
    <row r="519" spans="1:17">
      <c r="A519" t="s">
        <v>553</v>
      </c>
      <c r="C519" t="s">
        <v>393</v>
      </c>
      <c r="D519" t="s">
        <v>554</v>
      </c>
      <c r="E519" t="s">
        <v>161</v>
      </c>
      <c r="G519" t="s">
        <v>577</v>
      </c>
      <c r="H519" t="s">
        <v>399</v>
      </c>
      <c r="K519">
        <v>1995</v>
      </c>
      <c r="O519">
        <v>-35.85</v>
      </c>
      <c r="P519" t="s">
        <v>397</v>
      </c>
      <c r="Q519" t="s">
        <v>398</v>
      </c>
    </row>
    <row r="520" spans="1:17">
      <c r="A520" t="s">
        <v>553</v>
      </c>
      <c r="C520" t="s">
        <v>393</v>
      </c>
      <c r="D520" t="s">
        <v>554</v>
      </c>
      <c r="E520" t="s">
        <v>161</v>
      </c>
      <c r="G520" t="s">
        <v>578</v>
      </c>
      <c r="H520" t="s">
        <v>399</v>
      </c>
      <c r="K520">
        <v>1984</v>
      </c>
      <c r="O520">
        <v>-35.29</v>
      </c>
      <c r="P520" t="s">
        <v>397</v>
      </c>
      <c r="Q520" t="s">
        <v>398</v>
      </c>
    </row>
    <row r="521" spans="1:17">
      <c r="A521" t="s">
        <v>553</v>
      </c>
      <c r="C521" t="s">
        <v>393</v>
      </c>
      <c r="D521" t="s">
        <v>554</v>
      </c>
      <c r="E521" t="s">
        <v>161</v>
      </c>
      <c r="G521" t="s">
        <v>579</v>
      </c>
      <c r="H521" t="s">
        <v>399</v>
      </c>
      <c r="K521">
        <v>1984</v>
      </c>
      <c r="O521">
        <v>-34.79</v>
      </c>
      <c r="P521" t="s">
        <v>397</v>
      </c>
      <c r="Q521" t="s">
        <v>398</v>
      </c>
    </row>
    <row r="522" spans="1:17">
      <c r="A522" t="s">
        <v>553</v>
      </c>
      <c r="C522" t="s">
        <v>393</v>
      </c>
      <c r="D522" t="s">
        <v>554</v>
      </c>
      <c r="E522" t="s">
        <v>161</v>
      </c>
      <c r="G522" t="s">
        <v>580</v>
      </c>
      <c r="H522" t="s">
        <v>399</v>
      </c>
      <c r="K522">
        <v>1995</v>
      </c>
      <c r="O522">
        <v>-34.72</v>
      </c>
      <c r="P522" t="s">
        <v>397</v>
      </c>
      <c r="Q522" t="s">
        <v>398</v>
      </c>
    </row>
    <row r="523" spans="1:17">
      <c r="A523" t="s">
        <v>553</v>
      </c>
      <c r="C523" t="s">
        <v>393</v>
      </c>
      <c r="D523" t="s">
        <v>554</v>
      </c>
      <c r="E523" t="s">
        <v>161</v>
      </c>
      <c r="G523" t="s">
        <v>581</v>
      </c>
      <c r="H523" t="s">
        <v>399</v>
      </c>
      <c r="K523">
        <v>1987</v>
      </c>
      <c r="O523">
        <v>-33.809999999999995</v>
      </c>
      <c r="P523" t="s">
        <v>397</v>
      </c>
      <c r="Q523" t="s">
        <v>398</v>
      </c>
    </row>
    <row r="524" spans="1:17">
      <c r="A524" t="s">
        <v>553</v>
      </c>
      <c r="C524" t="s">
        <v>393</v>
      </c>
      <c r="D524" t="s">
        <v>554</v>
      </c>
      <c r="E524" t="s">
        <v>161</v>
      </c>
      <c r="G524" t="s">
        <v>582</v>
      </c>
      <c r="H524" t="s">
        <v>399</v>
      </c>
      <c r="K524">
        <v>1984</v>
      </c>
      <c r="O524">
        <v>-32.72</v>
      </c>
      <c r="P524" t="s">
        <v>397</v>
      </c>
      <c r="Q524" t="s">
        <v>398</v>
      </c>
    </row>
    <row r="525" spans="1:17">
      <c r="A525" t="s">
        <v>553</v>
      </c>
      <c r="C525" t="s">
        <v>393</v>
      </c>
      <c r="D525" t="s">
        <v>554</v>
      </c>
      <c r="E525" t="s">
        <v>161</v>
      </c>
      <c r="G525" t="s">
        <v>583</v>
      </c>
      <c r="H525" t="s">
        <v>399</v>
      </c>
      <c r="K525">
        <v>1984</v>
      </c>
      <c r="O525">
        <v>-32.340000000000003</v>
      </c>
      <c r="P525" t="s">
        <v>397</v>
      </c>
      <c r="Q525" t="s">
        <v>398</v>
      </c>
    </row>
    <row r="526" spans="1:17">
      <c r="A526" t="s">
        <v>553</v>
      </c>
      <c r="C526" t="s">
        <v>393</v>
      </c>
      <c r="D526" t="s">
        <v>554</v>
      </c>
      <c r="E526" t="s">
        <v>161</v>
      </c>
      <c r="G526" t="s">
        <v>584</v>
      </c>
      <c r="H526" t="s">
        <v>399</v>
      </c>
      <c r="K526">
        <v>1984</v>
      </c>
      <c r="O526">
        <v>-29.65</v>
      </c>
      <c r="P526" t="s">
        <v>397</v>
      </c>
      <c r="Q526" t="s">
        <v>398</v>
      </c>
    </row>
    <row r="527" spans="1:17">
      <c r="A527" t="s">
        <v>553</v>
      </c>
      <c r="C527" t="s">
        <v>393</v>
      </c>
      <c r="D527" t="s">
        <v>554</v>
      </c>
      <c r="E527" t="s">
        <v>161</v>
      </c>
      <c r="G527" t="s">
        <v>585</v>
      </c>
      <c r="H527" t="s">
        <v>399</v>
      </c>
      <c r="K527">
        <v>1984</v>
      </c>
      <c r="O527">
        <v>-29.61</v>
      </c>
      <c r="P527" t="s">
        <v>397</v>
      </c>
      <c r="Q527" t="s">
        <v>398</v>
      </c>
    </row>
    <row r="528" spans="1:17">
      <c r="A528" t="s">
        <v>553</v>
      </c>
      <c r="C528" t="s">
        <v>393</v>
      </c>
      <c r="D528" t="s">
        <v>554</v>
      </c>
      <c r="E528" t="s">
        <v>161</v>
      </c>
      <c r="G528" t="s">
        <v>586</v>
      </c>
      <c r="H528" t="s">
        <v>399</v>
      </c>
      <c r="K528">
        <v>1984</v>
      </c>
      <c r="O528">
        <v>-29.529999999999998</v>
      </c>
      <c r="P528" t="s">
        <v>397</v>
      </c>
      <c r="Q528" t="s">
        <v>398</v>
      </c>
    </row>
    <row r="529" spans="1:18">
      <c r="A529" t="s">
        <v>537</v>
      </c>
      <c r="C529" t="s">
        <v>393</v>
      </c>
      <c r="D529" t="s">
        <v>525</v>
      </c>
      <c r="E529" t="s">
        <v>394</v>
      </c>
      <c r="F529" t="s">
        <v>394</v>
      </c>
      <c r="G529" t="s">
        <v>538</v>
      </c>
      <c r="H529" t="s">
        <v>539</v>
      </c>
      <c r="K529">
        <v>1989.5</v>
      </c>
      <c r="M529">
        <v>21</v>
      </c>
      <c r="O529">
        <v>-123.80952380952399</v>
      </c>
      <c r="P529" t="s">
        <v>397</v>
      </c>
      <c r="Q529" t="s">
        <v>528</v>
      </c>
      <c r="R529" t="s">
        <v>529</v>
      </c>
    </row>
    <row r="530" spans="1:18">
      <c r="A530" t="s">
        <v>587</v>
      </c>
      <c r="C530" t="s">
        <v>19</v>
      </c>
      <c r="D530" t="s">
        <v>150</v>
      </c>
      <c r="E530" t="s">
        <v>394</v>
      </c>
      <c r="F530" t="s">
        <v>394</v>
      </c>
      <c r="G530" t="s">
        <v>588</v>
      </c>
      <c r="H530" t="s">
        <v>23</v>
      </c>
      <c r="I530">
        <v>50</v>
      </c>
      <c r="J530">
        <v>-170</v>
      </c>
      <c r="K530">
        <v>1975</v>
      </c>
      <c r="M530">
        <v>36</v>
      </c>
      <c r="N530" t="s">
        <v>30</v>
      </c>
      <c r="O530">
        <v>-52.2</v>
      </c>
      <c r="P530" t="s">
        <v>88</v>
      </c>
    </row>
    <row r="531" spans="1:18">
      <c r="A531" t="s">
        <v>587</v>
      </c>
      <c r="C531" t="s">
        <v>19</v>
      </c>
      <c r="D531" t="s">
        <v>150</v>
      </c>
      <c r="E531" t="s">
        <v>394</v>
      </c>
      <c r="F531" t="s">
        <v>394</v>
      </c>
      <c r="G531" t="s">
        <v>589</v>
      </c>
      <c r="H531" t="s">
        <v>23</v>
      </c>
      <c r="I531">
        <v>50</v>
      </c>
      <c r="J531">
        <v>-170</v>
      </c>
      <c r="K531">
        <v>1975</v>
      </c>
      <c r="M531">
        <v>36</v>
      </c>
      <c r="N531" t="s">
        <v>24</v>
      </c>
      <c r="O531">
        <v>2.7</v>
      </c>
      <c r="P531" t="s">
        <v>15</v>
      </c>
    </row>
    <row r="532" spans="1:18">
      <c r="A532" t="s">
        <v>587</v>
      </c>
      <c r="C532" t="s">
        <v>19</v>
      </c>
      <c r="D532" t="s">
        <v>150</v>
      </c>
      <c r="E532" t="s">
        <v>394</v>
      </c>
      <c r="F532" t="s">
        <v>394</v>
      </c>
      <c r="G532" t="s">
        <v>590</v>
      </c>
      <c r="H532" t="s">
        <v>23</v>
      </c>
      <c r="I532">
        <v>50</v>
      </c>
      <c r="J532">
        <v>-170</v>
      </c>
      <c r="K532">
        <v>1975</v>
      </c>
      <c r="M532">
        <v>36</v>
      </c>
      <c r="N532" t="s">
        <v>24</v>
      </c>
      <c r="O532">
        <v>167.5</v>
      </c>
      <c r="P532" t="s">
        <v>15</v>
      </c>
    </row>
    <row r="533" spans="1:18">
      <c r="A533" t="s">
        <v>537</v>
      </c>
      <c r="C533" t="s">
        <v>393</v>
      </c>
      <c r="D533" t="s">
        <v>525</v>
      </c>
      <c r="E533" t="s">
        <v>394</v>
      </c>
      <c r="F533" t="s">
        <v>394</v>
      </c>
      <c r="G533" t="s">
        <v>591</v>
      </c>
      <c r="H533" t="s">
        <v>539</v>
      </c>
      <c r="K533">
        <v>1989.5</v>
      </c>
      <c r="M533">
        <v>21</v>
      </c>
      <c r="O533">
        <v>-122.380952380952</v>
      </c>
      <c r="P533" t="s">
        <v>397</v>
      </c>
      <c r="Q533" t="s">
        <v>528</v>
      </c>
      <c r="R533" t="s">
        <v>529</v>
      </c>
    </row>
    <row r="534" spans="1:18">
      <c r="A534" t="s">
        <v>592</v>
      </c>
      <c r="B534" t="s">
        <v>593</v>
      </c>
      <c r="C534" t="s">
        <v>393</v>
      </c>
      <c r="D534" t="s">
        <v>594</v>
      </c>
      <c r="E534" t="s">
        <v>394</v>
      </c>
      <c r="F534" t="s">
        <v>394</v>
      </c>
      <c r="G534" t="s">
        <v>526</v>
      </c>
      <c r="H534" t="s">
        <v>533</v>
      </c>
      <c r="K534">
        <v>1981</v>
      </c>
      <c r="M534">
        <v>29</v>
      </c>
      <c r="O534" t="s">
        <v>163</v>
      </c>
      <c r="P534" t="s">
        <v>595</v>
      </c>
      <c r="Q534" t="s">
        <v>528</v>
      </c>
      <c r="R534" t="s">
        <v>529</v>
      </c>
    </row>
    <row r="535" spans="1:18">
      <c r="A535" t="s">
        <v>553</v>
      </c>
      <c r="C535" t="s">
        <v>393</v>
      </c>
      <c r="D535" t="s">
        <v>554</v>
      </c>
      <c r="E535" t="s">
        <v>161</v>
      </c>
      <c r="G535" t="s">
        <v>233</v>
      </c>
      <c r="H535" t="s">
        <v>399</v>
      </c>
      <c r="K535">
        <v>1995</v>
      </c>
      <c r="O535">
        <v>-25.990000000000002</v>
      </c>
      <c r="P535" t="s">
        <v>397</v>
      </c>
      <c r="Q535" t="s">
        <v>398</v>
      </c>
    </row>
    <row r="536" spans="1:18">
      <c r="A536" t="s">
        <v>537</v>
      </c>
      <c r="C536" t="s">
        <v>393</v>
      </c>
      <c r="D536" t="s">
        <v>525</v>
      </c>
      <c r="E536" t="s">
        <v>394</v>
      </c>
      <c r="F536" t="s">
        <v>394</v>
      </c>
      <c r="G536" t="s">
        <v>591</v>
      </c>
      <c r="H536" t="s">
        <v>539</v>
      </c>
      <c r="K536">
        <v>1989.5</v>
      </c>
      <c r="M536">
        <v>21</v>
      </c>
      <c r="O536">
        <v>-122.380952380952</v>
      </c>
      <c r="P536" t="s">
        <v>397</v>
      </c>
      <c r="Q536" t="s">
        <v>528</v>
      </c>
      <c r="R536" t="s">
        <v>529</v>
      </c>
    </row>
    <row r="537" spans="1:18">
      <c r="A537" t="s">
        <v>537</v>
      </c>
      <c r="C537" t="s">
        <v>393</v>
      </c>
      <c r="D537" t="s">
        <v>525</v>
      </c>
      <c r="E537" t="s">
        <v>394</v>
      </c>
      <c r="F537" t="s">
        <v>394</v>
      </c>
      <c r="G537" t="s">
        <v>538</v>
      </c>
      <c r="H537" t="s">
        <v>539</v>
      </c>
      <c r="K537">
        <v>1989.5</v>
      </c>
      <c r="M537">
        <v>21</v>
      </c>
      <c r="O537">
        <v>-115.238095238095</v>
      </c>
      <c r="P537" t="s">
        <v>397</v>
      </c>
      <c r="Q537" t="s">
        <v>528</v>
      </c>
      <c r="R537" t="s">
        <v>529</v>
      </c>
    </row>
    <row r="538" spans="1:18">
      <c r="A538" t="s">
        <v>537</v>
      </c>
      <c r="C538" t="s">
        <v>393</v>
      </c>
      <c r="D538" t="s">
        <v>525</v>
      </c>
      <c r="E538" t="s">
        <v>394</v>
      </c>
      <c r="F538" t="s">
        <v>394</v>
      </c>
      <c r="G538" t="s">
        <v>538</v>
      </c>
      <c r="H538" t="s">
        <v>539</v>
      </c>
      <c r="K538">
        <v>1970</v>
      </c>
      <c r="M538">
        <v>20.5</v>
      </c>
      <c r="O538">
        <v>-56.585365853658502</v>
      </c>
      <c r="P538" t="s">
        <v>397</v>
      </c>
      <c r="Q538" t="s">
        <v>528</v>
      </c>
      <c r="R538" t="s">
        <v>529</v>
      </c>
    </row>
    <row r="539" spans="1:18">
      <c r="A539" t="s">
        <v>537</v>
      </c>
      <c r="C539" t="s">
        <v>393</v>
      </c>
      <c r="D539" t="s">
        <v>525</v>
      </c>
      <c r="E539" t="s">
        <v>394</v>
      </c>
      <c r="F539" t="s">
        <v>394</v>
      </c>
      <c r="G539" t="s">
        <v>538</v>
      </c>
      <c r="H539" t="s">
        <v>539</v>
      </c>
      <c r="K539">
        <v>1970</v>
      </c>
      <c r="M539">
        <v>20.5</v>
      </c>
      <c r="O539">
        <v>-47.804878048780502</v>
      </c>
      <c r="P539" t="s">
        <v>397</v>
      </c>
      <c r="Q539" t="s">
        <v>528</v>
      </c>
      <c r="R539" t="s">
        <v>529</v>
      </c>
    </row>
    <row r="540" spans="1:18">
      <c r="A540" t="s">
        <v>537</v>
      </c>
      <c r="C540" t="s">
        <v>393</v>
      </c>
      <c r="D540" t="s">
        <v>525</v>
      </c>
      <c r="E540" t="s">
        <v>394</v>
      </c>
      <c r="F540" t="s">
        <v>394</v>
      </c>
      <c r="G540" t="s">
        <v>538</v>
      </c>
      <c r="H540" t="s">
        <v>539</v>
      </c>
      <c r="K540">
        <v>1970</v>
      </c>
      <c r="M540">
        <v>20.5</v>
      </c>
      <c r="O540">
        <v>-47.804878048780502</v>
      </c>
      <c r="P540" t="s">
        <v>397</v>
      </c>
      <c r="Q540" t="s">
        <v>528</v>
      </c>
      <c r="R540" t="s">
        <v>529</v>
      </c>
    </row>
    <row r="541" spans="1:18">
      <c r="A541" t="s">
        <v>596</v>
      </c>
      <c r="C541" t="s">
        <v>393</v>
      </c>
      <c r="D541" t="s">
        <v>597</v>
      </c>
      <c r="E541" t="s">
        <v>394</v>
      </c>
      <c r="F541" t="s">
        <v>394</v>
      </c>
      <c r="G541" t="s">
        <v>598</v>
      </c>
      <c r="H541" t="s">
        <v>539</v>
      </c>
      <c r="K541">
        <v>1972</v>
      </c>
      <c r="M541">
        <v>23</v>
      </c>
      <c r="O541" t="s">
        <v>163</v>
      </c>
      <c r="P541" t="s">
        <v>397</v>
      </c>
      <c r="Q541" t="s">
        <v>528</v>
      </c>
      <c r="R541" t="s">
        <v>529</v>
      </c>
    </row>
    <row r="542" spans="1:18">
      <c r="A542" t="s">
        <v>524</v>
      </c>
      <c r="C542" t="s">
        <v>393</v>
      </c>
      <c r="D542" t="s">
        <v>525</v>
      </c>
      <c r="E542" t="s">
        <v>394</v>
      </c>
      <c r="F542" t="s">
        <v>394</v>
      </c>
      <c r="G542" t="s">
        <v>441</v>
      </c>
      <c r="H542" t="s">
        <v>527</v>
      </c>
      <c r="K542">
        <v>1989.5</v>
      </c>
      <c r="M542">
        <v>21</v>
      </c>
      <c r="O542">
        <v>1.73690476190476</v>
      </c>
      <c r="P542" t="s">
        <v>15</v>
      </c>
      <c r="Q542" t="s">
        <v>528</v>
      </c>
      <c r="R542" t="s">
        <v>529</v>
      </c>
    </row>
    <row r="543" spans="1:18">
      <c r="A543" t="s">
        <v>524</v>
      </c>
      <c r="C543" t="s">
        <v>393</v>
      </c>
      <c r="D543" t="s">
        <v>525</v>
      </c>
      <c r="E543" t="s">
        <v>394</v>
      </c>
      <c r="F543" t="s">
        <v>394</v>
      </c>
      <c r="G543" t="s">
        <v>429</v>
      </c>
      <c r="H543" t="s">
        <v>527</v>
      </c>
      <c r="K543">
        <v>1989.5</v>
      </c>
      <c r="M543">
        <v>21</v>
      </c>
      <c r="O543">
        <v>1.81928571428571</v>
      </c>
      <c r="P543" t="s">
        <v>15</v>
      </c>
      <c r="Q543" t="s">
        <v>528</v>
      </c>
      <c r="R543" t="s">
        <v>529</v>
      </c>
    </row>
    <row r="544" spans="1:18">
      <c r="A544" t="s">
        <v>524</v>
      </c>
      <c r="C544" t="s">
        <v>393</v>
      </c>
      <c r="D544" t="s">
        <v>525</v>
      </c>
      <c r="E544" t="s">
        <v>394</v>
      </c>
      <c r="F544" t="s">
        <v>394</v>
      </c>
      <c r="G544" t="s">
        <v>599</v>
      </c>
      <c r="H544" t="s">
        <v>527</v>
      </c>
      <c r="K544">
        <v>1989.5</v>
      </c>
      <c r="M544">
        <v>21</v>
      </c>
      <c r="O544">
        <v>7.1871428571428604</v>
      </c>
      <c r="P544" t="s">
        <v>15</v>
      </c>
      <c r="Q544" t="s">
        <v>528</v>
      </c>
      <c r="R544" t="s">
        <v>529</v>
      </c>
    </row>
    <row r="545" spans="1:18">
      <c r="A545" t="s">
        <v>592</v>
      </c>
      <c r="C545" t="s">
        <v>393</v>
      </c>
      <c r="D545" t="s">
        <v>594</v>
      </c>
      <c r="E545" t="s">
        <v>394</v>
      </c>
      <c r="F545" t="s">
        <v>394</v>
      </c>
      <c r="G545" t="s">
        <v>526</v>
      </c>
      <c r="H545" t="s">
        <v>539</v>
      </c>
      <c r="K545">
        <v>1981</v>
      </c>
      <c r="M545">
        <v>29</v>
      </c>
      <c r="O545" t="s">
        <v>163</v>
      </c>
      <c r="P545" t="s">
        <v>15</v>
      </c>
      <c r="Q545" t="s">
        <v>528</v>
      </c>
      <c r="R545" t="s">
        <v>529</v>
      </c>
    </row>
    <row r="546" spans="1:18">
      <c r="A546" t="s">
        <v>534</v>
      </c>
      <c r="C546" t="s">
        <v>393</v>
      </c>
      <c r="D546" t="s">
        <v>535</v>
      </c>
      <c r="E546" t="s">
        <v>394</v>
      </c>
      <c r="F546" t="s">
        <v>394</v>
      </c>
      <c r="G546" t="s">
        <v>453</v>
      </c>
      <c r="H546" t="s">
        <v>536</v>
      </c>
      <c r="K546">
        <v>1983</v>
      </c>
      <c r="M546">
        <v>33</v>
      </c>
      <c r="O546">
        <v>24.4872727272727</v>
      </c>
      <c r="P546" t="s">
        <v>15</v>
      </c>
      <c r="Q546" t="s">
        <v>528</v>
      </c>
      <c r="R546" t="s">
        <v>529</v>
      </c>
    </row>
    <row r="547" spans="1:18">
      <c r="A547" t="s">
        <v>537</v>
      </c>
      <c r="C547" t="s">
        <v>393</v>
      </c>
      <c r="D547" t="s">
        <v>525</v>
      </c>
      <c r="E547" t="s">
        <v>394</v>
      </c>
      <c r="F547" t="s">
        <v>394</v>
      </c>
      <c r="G547" t="s">
        <v>591</v>
      </c>
      <c r="H547" t="s">
        <v>539</v>
      </c>
      <c r="K547">
        <v>1970</v>
      </c>
      <c r="M547">
        <v>20.5</v>
      </c>
      <c r="O547">
        <v>32.682926829268297</v>
      </c>
      <c r="P547" t="s">
        <v>15</v>
      </c>
      <c r="Q547" t="s">
        <v>528</v>
      </c>
      <c r="R547" t="s">
        <v>529</v>
      </c>
    </row>
    <row r="548" spans="1:18">
      <c r="A548" t="s">
        <v>537</v>
      </c>
      <c r="C548" t="s">
        <v>393</v>
      </c>
      <c r="D548" t="s">
        <v>525</v>
      </c>
      <c r="E548" t="s">
        <v>394</v>
      </c>
      <c r="F548" t="s">
        <v>394</v>
      </c>
      <c r="G548" t="s">
        <v>591</v>
      </c>
      <c r="H548" t="s">
        <v>539</v>
      </c>
      <c r="K548">
        <v>1970</v>
      </c>
      <c r="M548">
        <v>20.5</v>
      </c>
      <c r="O548">
        <v>32.682926829268297</v>
      </c>
      <c r="P548" t="s">
        <v>15</v>
      </c>
      <c r="Q548" t="s">
        <v>528</v>
      </c>
      <c r="R548" t="s">
        <v>529</v>
      </c>
    </row>
    <row r="549" spans="1:18">
      <c r="A549" t="s">
        <v>537</v>
      </c>
      <c r="C549" t="s">
        <v>393</v>
      </c>
      <c r="D549" t="s">
        <v>525</v>
      </c>
      <c r="E549" t="s">
        <v>394</v>
      </c>
      <c r="F549" t="s">
        <v>394</v>
      </c>
      <c r="G549" t="s">
        <v>591</v>
      </c>
      <c r="H549" t="s">
        <v>539</v>
      </c>
      <c r="K549">
        <v>1970</v>
      </c>
      <c r="M549">
        <v>20.5</v>
      </c>
      <c r="O549">
        <v>32.682926829268297</v>
      </c>
      <c r="P549" t="s">
        <v>15</v>
      </c>
      <c r="Q549" t="s">
        <v>528</v>
      </c>
      <c r="R549" t="s">
        <v>529</v>
      </c>
    </row>
    <row r="550" spans="1:18">
      <c r="A550" t="s">
        <v>537</v>
      </c>
      <c r="C550" t="s">
        <v>393</v>
      </c>
      <c r="D550" t="s">
        <v>525</v>
      </c>
      <c r="E550" t="s">
        <v>394</v>
      </c>
      <c r="F550" t="s">
        <v>394</v>
      </c>
      <c r="G550" t="s">
        <v>600</v>
      </c>
      <c r="H550" t="s">
        <v>539</v>
      </c>
      <c r="K550">
        <v>1989.5</v>
      </c>
      <c r="M550">
        <v>21</v>
      </c>
      <c r="O550">
        <v>120.47619047619</v>
      </c>
      <c r="P550" t="s">
        <v>15</v>
      </c>
      <c r="Q550" t="s">
        <v>528</v>
      </c>
      <c r="R550" t="s">
        <v>529</v>
      </c>
    </row>
    <row r="551" spans="1:18">
      <c r="A551" t="s">
        <v>537</v>
      </c>
      <c r="C551" t="s">
        <v>393</v>
      </c>
      <c r="D551" t="s">
        <v>525</v>
      </c>
      <c r="E551" t="s">
        <v>394</v>
      </c>
      <c r="F551" t="s">
        <v>394</v>
      </c>
      <c r="G551" t="s">
        <v>600</v>
      </c>
      <c r="H551" t="s">
        <v>539</v>
      </c>
      <c r="K551">
        <v>1989.5</v>
      </c>
      <c r="M551">
        <v>21</v>
      </c>
      <c r="O551">
        <v>120.47619047619</v>
      </c>
      <c r="P551" t="s">
        <v>15</v>
      </c>
      <c r="Q551" t="s">
        <v>528</v>
      </c>
      <c r="R551" t="s">
        <v>529</v>
      </c>
    </row>
    <row r="552" spans="1:18">
      <c r="A552" t="s">
        <v>553</v>
      </c>
      <c r="C552" t="s">
        <v>393</v>
      </c>
      <c r="D552" t="s">
        <v>554</v>
      </c>
      <c r="E552" t="s">
        <v>161</v>
      </c>
      <c r="G552" t="s">
        <v>228</v>
      </c>
      <c r="H552" t="s">
        <v>399</v>
      </c>
      <c r="K552">
        <v>1995</v>
      </c>
      <c r="O552">
        <v>-25.89</v>
      </c>
      <c r="P552" t="s">
        <v>397</v>
      </c>
      <c r="Q552" t="s">
        <v>398</v>
      </c>
    </row>
    <row r="553" spans="1:18">
      <c r="A553" t="s">
        <v>553</v>
      </c>
      <c r="C553" t="s">
        <v>393</v>
      </c>
      <c r="D553" t="s">
        <v>554</v>
      </c>
      <c r="E553" t="s">
        <v>161</v>
      </c>
      <c r="G553" t="s">
        <v>601</v>
      </c>
      <c r="H553" t="s">
        <v>399</v>
      </c>
      <c r="K553">
        <v>1987</v>
      </c>
      <c r="O553">
        <v>-25.68</v>
      </c>
      <c r="P553" t="s">
        <v>397</v>
      </c>
      <c r="Q553" t="s">
        <v>398</v>
      </c>
    </row>
    <row r="554" spans="1:18">
      <c r="A554" t="s">
        <v>553</v>
      </c>
      <c r="C554" t="s">
        <v>393</v>
      </c>
      <c r="D554" t="s">
        <v>554</v>
      </c>
      <c r="E554" t="s">
        <v>161</v>
      </c>
      <c r="G554" t="s">
        <v>602</v>
      </c>
      <c r="H554" t="s">
        <v>399</v>
      </c>
      <c r="K554">
        <v>1984</v>
      </c>
      <c r="O554">
        <v>-25.16</v>
      </c>
      <c r="P554" t="s">
        <v>397</v>
      </c>
      <c r="Q554" t="s">
        <v>398</v>
      </c>
    </row>
    <row r="555" spans="1:18">
      <c r="A555" t="s">
        <v>553</v>
      </c>
      <c r="C555" t="s">
        <v>393</v>
      </c>
      <c r="D555" t="s">
        <v>554</v>
      </c>
      <c r="E555" t="s">
        <v>161</v>
      </c>
      <c r="G555" t="s">
        <v>603</v>
      </c>
      <c r="H555" t="s">
        <v>399</v>
      </c>
      <c r="K555">
        <v>1977</v>
      </c>
      <c r="O555">
        <v>-24.49</v>
      </c>
      <c r="P555" t="s">
        <v>397</v>
      </c>
      <c r="Q555" t="s">
        <v>398</v>
      </c>
    </row>
    <row r="556" spans="1:18">
      <c r="A556" t="s">
        <v>553</v>
      </c>
      <c r="C556" t="s">
        <v>393</v>
      </c>
      <c r="D556" t="s">
        <v>554</v>
      </c>
      <c r="E556" t="s">
        <v>161</v>
      </c>
      <c r="G556" t="s">
        <v>604</v>
      </c>
      <c r="H556" t="s">
        <v>399</v>
      </c>
      <c r="K556">
        <v>1982</v>
      </c>
      <c r="O556">
        <v>-24.45</v>
      </c>
      <c r="P556" t="s">
        <v>397</v>
      </c>
      <c r="Q556" t="s">
        <v>398</v>
      </c>
    </row>
    <row r="557" spans="1:18">
      <c r="A557" t="s">
        <v>553</v>
      </c>
      <c r="C557" t="s">
        <v>393</v>
      </c>
      <c r="D557" t="s">
        <v>554</v>
      </c>
      <c r="E557" t="s">
        <v>161</v>
      </c>
      <c r="G557" t="s">
        <v>64</v>
      </c>
      <c r="H557" t="s">
        <v>399</v>
      </c>
      <c r="K557">
        <v>1977</v>
      </c>
      <c r="O557">
        <v>-24.24</v>
      </c>
      <c r="P557" t="s">
        <v>397</v>
      </c>
      <c r="Q557" t="s">
        <v>398</v>
      </c>
    </row>
    <row r="558" spans="1:18">
      <c r="A558" t="s">
        <v>553</v>
      </c>
      <c r="C558" t="s">
        <v>393</v>
      </c>
      <c r="D558" t="s">
        <v>554</v>
      </c>
      <c r="E558" t="s">
        <v>161</v>
      </c>
      <c r="G558" t="s">
        <v>605</v>
      </c>
      <c r="H558" t="s">
        <v>399</v>
      </c>
      <c r="K558">
        <v>1984</v>
      </c>
      <c r="O558">
        <v>-22.32</v>
      </c>
      <c r="P558" t="s">
        <v>397</v>
      </c>
      <c r="Q558" t="s">
        <v>398</v>
      </c>
    </row>
    <row r="559" spans="1:18">
      <c r="A559" t="s">
        <v>553</v>
      </c>
      <c r="C559" t="s">
        <v>393</v>
      </c>
      <c r="D559" t="s">
        <v>554</v>
      </c>
      <c r="E559" t="s">
        <v>161</v>
      </c>
      <c r="G559" t="s">
        <v>606</v>
      </c>
      <c r="H559" t="s">
        <v>399</v>
      </c>
      <c r="K559">
        <v>1987</v>
      </c>
      <c r="O559">
        <v>-21.840000000000003</v>
      </c>
      <c r="P559" t="s">
        <v>397</v>
      </c>
      <c r="Q559" t="s">
        <v>398</v>
      </c>
    </row>
    <row r="560" spans="1:18">
      <c r="A560" t="s">
        <v>553</v>
      </c>
      <c r="C560" t="s">
        <v>393</v>
      </c>
      <c r="D560" t="s">
        <v>554</v>
      </c>
      <c r="E560" t="s">
        <v>161</v>
      </c>
      <c r="G560" t="s">
        <v>184</v>
      </c>
      <c r="H560" t="s">
        <v>399</v>
      </c>
      <c r="K560">
        <v>1984</v>
      </c>
      <c r="O560">
        <v>-21.83</v>
      </c>
      <c r="P560" t="s">
        <v>397</v>
      </c>
      <c r="Q560" t="s">
        <v>398</v>
      </c>
    </row>
    <row r="561" spans="1:17">
      <c r="A561" t="s">
        <v>553</v>
      </c>
      <c r="C561" t="s">
        <v>393</v>
      </c>
      <c r="D561" t="s">
        <v>554</v>
      </c>
      <c r="E561" t="s">
        <v>161</v>
      </c>
      <c r="G561" t="s">
        <v>607</v>
      </c>
      <c r="H561" t="s">
        <v>399</v>
      </c>
      <c r="K561">
        <v>1984</v>
      </c>
      <c r="O561">
        <v>-21.490000000000002</v>
      </c>
      <c r="P561" t="s">
        <v>397</v>
      </c>
      <c r="Q561" t="s">
        <v>398</v>
      </c>
    </row>
    <row r="562" spans="1:17">
      <c r="A562" t="s">
        <v>553</v>
      </c>
      <c r="C562" t="s">
        <v>393</v>
      </c>
      <c r="D562" t="s">
        <v>554</v>
      </c>
      <c r="E562" t="s">
        <v>161</v>
      </c>
      <c r="G562" t="s">
        <v>184</v>
      </c>
      <c r="H562" t="s">
        <v>399</v>
      </c>
      <c r="K562">
        <v>1977</v>
      </c>
      <c r="O562">
        <v>-20.880000000000003</v>
      </c>
      <c r="P562" t="s">
        <v>397</v>
      </c>
      <c r="Q562" t="s">
        <v>398</v>
      </c>
    </row>
    <row r="563" spans="1:17">
      <c r="A563" t="s">
        <v>553</v>
      </c>
      <c r="C563" t="s">
        <v>393</v>
      </c>
      <c r="D563" t="s">
        <v>554</v>
      </c>
      <c r="E563" t="s">
        <v>161</v>
      </c>
      <c r="G563" t="s">
        <v>608</v>
      </c>
      <c r="H563" t="s">
        <v>399</v>
      </c>
      <c r="K563">
        <v>1984</v>
      </c>
      <c r="O563">
        <v>-20.49</v>
      </c>
      <c r="P563" t="s">
        <v>397</v>
      </c>
      <c r="Q563" t="s">
        <v>398</v>
      </c>
    </row>
    <row r="564" spans="1:17">
      <c r="A564" t="s">
        <v>553</v>
      </c>
      <c r="C564" t="s">
        <v>393</v>
      </c>
      <c r="D564" t="s">
        <v>554</v>
      </c>
      <c r="E564" t="s">
        <v>161</v>
      </c>
      <c r="G564" t="s">
        <v>608</v>
      </c>
      <c r="H564" t="s">
        <v>399</v>
      </c>
      <c r="K564">
        <v>1982</v>
      </c>
      <c r="O564">
        <v>-19.940000000000001</v>
      </c>
      <c r="P564" t="s">
        <v>397</v>
      </c>
      <c r="Q564" t="s">
        <v>398</v>
      </c>
    </row>
    <row r="565" spans="1:17">
      <c r="A565" t="s">
        <v>553</v>
      </c>
      <c r="C565" t="s">
        <v>393</v>
      </c>
      <c r="D565" t="s">
        <v>554</v>
      </c>
      <c r="E565" t="s">
        <v>161</v>
      </c>
      <c r="G565" t="s">
        <v>212</v>
      </c>
      <c r="H565" t="s">
        <v>399</v>
      </c>
      <c r="K565">
        <v>1970</v>
      </c>
      <c r="O565">
        <v>-19.82</v>
      </c>
      <c r="P565" t="s">
        <v>397</v>
      </c>
      <c r="Q565" t="s">
        <v>398</v>
      </c>
    </row>
    <row r="566" spans="1:17">
      <c r="A566" t="s">
        <v>553</v>
      </c>
      <c r="C566" t="s">
        <v>393</v>
      </c>
      <c r="D566" t="s">
        <v>554</v>
      </c>
      <c r="E566" t="s">
        <v>161</v>
      </c>
      <c r="G566" t="s">
        <v>235</v>
      </c>
      <c r="H566" t="s">
        <v>399</v>
      </c>
      <c r="K566">
        <v>1968</v>
      </c>
      <c r="O566">
        <v>-19.559999999999999</v>
      </c>
      <c r="P566" t="s">
        <v>397</v>
      </c>
      <c r="Q566" t="s">
        <v>398</v>
      </c>
    </row>
    <row r="567" spans="1:17">
      <c r="A567" t="s">
        <v>553</v>
      </c>
      <c r="C567" t="s">
        <v>393</v>
      </c>
      <c r="D567" t="s">
        <v>554</v>
      </c>
      <c r="E567" t="s">
        <v>161</v>
      </c>
      <c r="G567" t="s">
        <v>609</v>
      </c>
      <c r="H567" t="s">
        <v>399</v>
      </c>
      <c r="K567">
        <v>1984</v>
      </c>
      <c r="O567">
        <v>-19.39</v>
      </c>
      <c r="P567" t="s">
        <v>397</v>
      </c>
      <c r="Q567" t="s">
        <v>398</v>
      </c>
    </row>
    <row r="568" spans="1:17">
      <c r="A568" t="s">
        <v>553</v>
      </c>
      <c r="C568" t="s">
        <v>393</v>
      </c>
      <c r="D568" t="s">
        <v>554</v>
      </c>
      <c r="E568" t="s">
        <v>161</v>
      </c>
      <c r="G568" t="s">
        <v>610</v>
      </c>
      <c r="H568" t="s">
        <v>399</v>
      </c>
      <c r="K568">
        <v>1987</v>
      </c>
      <c r="O568">
        <v>-19.39</v>
      </c>
      <c r="P568" t="s">
        <v>397</v>
      </c>
      <c r="Q568" t="s">
        <v>398</v>
      </c>
    </row>
    <row r="569" spans="1:17">
      <c r="A569" t="s">
        <v>553</v>
      </c>
      <c r="C569" t="s">
        <v>393</v>
      </c>
      <c r="D569" t="s">
        <v>554</v>
      </c>
      <c r="E569" t="s">
        <v>161</v>
      </c>
      <c r="G569" t="s">
        <v>611</v>
      </c>
      <c r="H569" t="s">
        <v>399</v>
      </c>
      <c r="K569">
        <v>1984</v>
      </c>
      <c r="O569">
        <v>-19.37</v>
      </c>
      <c r="P569" t="s">
        <v>397</v>
      </c>
      <c r="Q569" t="s">
        <v>398</v>
      </c>
    </row>
    <row r="570" spans="1:17">
      <c r="A570" t="s">
        <v>553</v>
      </c>
      <c r="C570" t="s">
        <v>393</v>
      </c>
      <c r="D570" t="s">
        <v>554</v>
      </c>
      <c r="E570" t="s">
        <v>161</v>
      </c>
      <c r="G570" t="s">
        <v>612</v>
      </c>
      <c r="H570" t="s">
        <v>399</v>
      </c>
      <c r="K570">
        <v>1987</v>
      </c>
      <c r="O570">
        <v>-19.190000000000001</v>
      </c>
      <c r="P570" t="s">
        <v>397</v>
      </c>
      <c r="Q570" t="s">
        <v>398</v>
      </c>
    </row>
    <row r="571" spans="1:17">
      <c r="A571" t="s">
        <v>553</v>
      </c>
      <c r="C571" t="s">
        <v>393</v>
      </c>
      <c r="D571" t="s">
        <v>554</v>
      </c>
      <c r="E571" t="s">
        <v>161</v>
      </c>
      <c r="G571" t="s">
        <v>613</v>
      </c>
      <c r="H571" t="s">
        <v>399</v>
      </c>
      <c r="K571">
        <v>1987</v>
      </c>
      <c r="O571">
        <v>-18.939999999999998</v>
      </c>
      <c r="P571" t="s">
        <v>397</v>
      </c>
      <c r="Q571" t="s">
        <v>398</v>
      </c>
    </row>
    <row r="572" spans="1:17">
      <c r="A572" t="s">
        <v>553</v>
      </c>
      <c r="C572" t="s">
        <v>393</v>
      </c>
      <c r="D572" t="s">
        <v>554</v>
      </c>
      <c r="E572" t="s">
        <v>161</v>
      </c>
      <c r="G572" t="s">
        <v>604</v>
      </c>
      <c r="H572" t="s">
        <v>399</v>
      </c>
      <c r="K572">
        <v>1984</v>
      </c>
      <c r="O572">
        <v>-18.02</v>
      </c>
      <c r="P572" t="s">
        <v>397</v>
      </c>
      <c r="Q572" t="s">
        <v>398</v>
      </c>
    </row>
    <row r="573" spans="1:17">
      <c r="A573" t="s">
        <v>553</v>
      </c>
      <c r="C573" t="s">
        <v>393</v>
      </c>
      <c r="D573" t="s">
        <v>554</v>
      </c>
      <c r="E573" t="s">
        <v>161</v>
      </c>
      <c r="G573" t="s">
        <v>224</v>
      </c>
      <c r="H573" t="s">
        <v>399</v>
      </c>
      <c r="K573">
        <v>1968</v>
      </c>
      <c r="O573">
        <v>-17.89</v>
      </c>
      <c r="P573" t="s">
        <v>397</v>
      </c>
      <c r="Q573" t="s">
        <v>398</v>
      </c>
    </row>
    <row r="574" spans="1:17">
      <c r="A574" t="s">
        <v>553</v>
      </c>
      <c r="C574" t="s">
        <v>393</v>
      </c>
      <c r="D574" t="s">
        <v>554</v>
      </c>
      <c r="E574" t="s">
        <v>161</v>
      </c>
      <c r="G574" t="s">
        <v>614</v>
      </c>
      <c r="H574" t="s">
        <v>399</v>
      </c>
      <c r="K574">
        <v>1984</v>
      </c>
      <c r="O574">
        <v>-17.12</v>
      </c>
      <c r="P574" t="s">
        <v>397</v>
      </c>
      <c r="Q574" t="s">
        <v>398</v>
      </c>
    </row>
    <row r="575" spans="1:17">
      <c r="A575" t="s">
        <v>553</v>
      </c>
      <c r="C575" t="s">
        <v>393</v>
      </c>
      <c r="D575" t="s">
        <v>554</v>
      </c>
      <c r="E575" t="s">
        <v>161</v>
      </c>
      <c r="G575" t="s">
        <v>213</v>
      </c>
      <c r="H575" t="s">
        <v>399</v>
      </c>
      <c r="K575">
        <v>1970</v>
      </c>
      <c r="O575">
        <v>-16.579999999999998</v>
      </c>
      <c r="P575" t="s">
        <v>397</v>
      </c>
      <c r="Q575" t="s">
        <v>398</v>
      </c>
    </row>
    <row r="576" spans="1:17">
      <c r="A576" t="s">
        <v>553</v>
      </c>
      <c r="C576" t="s">
        <v>393</v>
      </c>
      <c r="D576" t="s">
        <v>554</v>
      </c>
      <c r="E576" t="s">
        <v>161</v>
      </c>
      <c r="G576" t="s">
        <v>305</v>
      </c>
      <c r="H576" t="s">
        <v>399</v>
      </c>
      <c r="K576">
        <v>1971</v>
      </c>
      <c r="O576">
        <v>-16.54</v>
      </c>
      <c r="P576" t="s">
        <v>397</v>
      </c>
      <c r="Q576" t="s">
        <v>398</v>
      </c>
    </row>
    <row r="577" spans="1:17">
      <c r="A577" t="s">
        <v>553</v>
      </c>
      <c r="C577" t="s">
        <v>393</v>
      </c>
      <c r="D577" t="s">
        <v>554</v>
      </c>
      <c r="E577" t="s">
        <v>161</v>
      </c>
      <c r="G577" t="s">
        <v>615</v>
      </c>
      <c r="H577" t="s">
        <v>399</v>
      </c>
      <c r="K577">
        <v>1970</v>
      </c>
      <c r="O577">
        <v>-16.45</v>
      </c>
      <c r="P577" t="s">
        <v>397</v>
      </c>
      <c r="Q577" t="s">
        <v>398</v>
      </c>
    </row>
    <row r="578" spans="1:17">
      <c r="A578" t="s">
        <v>553</v>
      </c>
      <c r="C578" t="s">
        <v>393</v>
      </c>
      <c r="D578" t="s">
        <v>554</v>
      </c>
      <c r="E578" t="s">
        <v>161</v>
      </c>
      <c r="G578" t="s">
        <v>616</v>
      </c>
      <c r="H578" t="s">
        <v>399</v>
      </c>
      <c r="K578">
        <v>1987</v>
      </c>
      <c r="O578">
        <v>-16.29</v>
      </c>
      <c r="P578" t="s">
        <v>397</v>
      </c>
      <c r="Q578" t="s">
        <v>398</v>
      </c>
    </row>
    <row r="579" spans="1:17">
      <c r="A579" t="s">
        <v>553</v>
      </c>
      <c r="C579" t="s">
        <v>393</v>
      </c>
      <c r="D579" t="s">
        <v>554</v>
      </c>
      <c r="E579" t="s">
        <v>161</v>
      </c>
      <c r="G579" t="s">
        <v>617</v>
      </c>
      <c r="H579" t="s">
        <v>399</v>
      </c>
      <c r="K579">
        <v>1995</v>
      </c>
      <c r="O579">
        <v>-16.02</v>
      </c>
      <c r="P579" t="s">
        <v>397</v>
      </c>
      <c r="Q579" t="s">
        <v>398</v>
      </c>
    </row>
    <row r="580" spans="1:17">
      <c r="A580" t="s">
        <v>553</v>
      </c>
      <c r="C580" t="s">
        <v>393</v>
      </c>
      <c r="D580" t="s">
        <v>554</v>
      </c>
      <c r="E580" t="s">
        <v>161</v>
      </c>
      <c r="G580" t="s">
        <v>226</v>
      </c>
      <c r="H580" t="s">
        <v>399</v>
      </c>
      <c r="K580">
        <v>1970</v>
      </c>
      <c r="O580">
        <v>-15.64</v>
      </c>
      <c r="P580" t="s">
        <v>397</v>
      </c>
      <c r="Q580" t="s">
        <v>398</v>
      </c>
    </row>
    <row r="581" spans="1:17">
      <c r="A581" t="s">
        <v>553</v>
      </c>
      <c r="C581" t="s">
        <v>393</v>
      </c>
      <c r="D581" t="s">
        <v>554</v>
      </c>
      <c r="E581" t="s">
        <v>161</v>
      </c>
      <c r="G581" t="s">
        <v>210</v>
      </c>
      <c r="H581" t="s">
        <v>399</v>
      </c>
      <c r="K581">
        <v>1971</v>
      </c>
      <c r="O581">
        <v>-15.61</v>
      </c>
      <c r="P581" t="s">
        <v>397</v>
      </c>
      <c r="Q581" t="s">
        <v>398</v>
      </c>
    </row>
    <row r="582" spans="1:17">
      <c r="A582" t="s">
        <v>553</v>
      </c>
      <c r="C582" t="s">
        <v>393</v>
      </c>
      <c r="D582" t="s">
        <v>554</v>
      </c>
      <c r="E582" t="s">
        <v>161</v>
      </c>
      <c r="G582" t="s">
        <v>618</v>
      </c>
      <c r="H582" t="s">
        <v>399</v>
      </c>
      <c r="K582">
        <v>1968</v>
      </c>
      <c r="O582">
        <v>-14.66</v>
      </c>
      <c r="P582" t="s">
        <v>397</v>
      </c>
      <c r="Q582" t="s">
        <v>398</v>
      </c>
    </row>
    <row r="583" spans="1:17">
      <c r="A583" t="s">
        <v>553</v>
      </c>
      <c r="C583" t="s">
        <v>393</v>
      </c>
      <c r="D583" t="s">
        <v>554</v>
      </c>
      <c r="E583" t="s">
        <v>161</v>
      </c>
      <c r="G583" t="s">
        <v>228</v>
      </c>
      <c r="H583" t="s">
        <v>399</v>
      </c>
      <c r="K583">
        <v>1971</v>
      </c>
      <c r="O583">
        <v>-14.49</v>
      </c>
      <c r="P583" t="s">
        <v>397</v>
      </c>
      <c r="Q583" t="s">
        <v>398</v>
      </c>
    </row>
    <row r="584" spans="1:17">
      <c r="A584" t="s">
        <v>553</v>
      </c>
      <c r="C584" t="s">
        <v>393</v>
      </c>
      <c r="D584" t="s">
        <v>554</v>
      </c>
      <c r="E584" t="s">
        <v>161</v>
      </c>
      <c r="G584" t="s">
        <v>619</v>
      </c>
      <c r="H584" t="s">
        <v>399</v>
      </c>
      <c r="K584">
        <v>1995</v>
      </c>
      <c r="O584">
        <v>-14.49</v>
      </c>
      <c r="P584" t="s">
        <v>397</v>
      </c>
      <c r="Q584" t="s">
        <v>398</v>
      </c>
    </row>
    <row r="585" spans="1:17">
      <c r="A585" t="s">
        <v>553</v>
      </c>
      <c r="C585" t="s">
        <v>393</v>
      </c>
      <c r="D585" t="s">
        <v>554</v>
      </c>
      <c r="E585" t="s">
        <v>161</v>
      </c>
      <c r="G585" t="s">
        <v>560</v>
      </c>
      <c r="H585" t="s">
        <v>399</v>
      </c>
      <c r="K585">
        <v>1982</v>
      </c>
      <c r="O585">
        <v>-14.059999999999999</v>
      </c>
      <c r="P585" t="s">
        <v>397</v>
      </c>
      <c r="Q585" t="s">
        <v>398</v>
      </c>
    </row>
    <row r="586" spans="1:17">
      <c r="A586" t="s">
        <v>553</v>
      </c>
      <c r="C586" t="s">
        <v>393</v>
      </c>
      <c r="D586" t="s">
        <v>554</v>
      </c>
      <c r="E586" t="s">
        <v>161</v>
      </c>
      <c r="G586" t="s">
        <v>620</v>
      </c>
      <c r="H586" t="s">
        <v>399</v>
      </c>
      <c r="K586">
        <v>1984</v>
      </c>
      <c r="O586">
        <v>-13.4</v>
      </c>
      <c r="P586" t="s">
        <v>397</v>
      </c>
      <c r="Q586" t="s">
        <v>398</v>
      </c>
    </row>
    <row r="587" spans="1:17">
      <c r="A587" t="s">
        <v>553</v>
      </c>
      <c r="C587" t="s">
        <v>393</v>
      </c>
      <c r="D587" t="s">
        <v>554</v>
      </c>
      <c r="E587" t="s">
        <v>161</v>
      </c>
      <c r="G587" t="s">
        <v>233</v>
      </c>
      <c r="H587" t="s">
        <v>399</v>
      </c>
      <c r="K587">
        <v>1970</v>
      </c>
      <c r="O587">
        <v>-13</v>
      </c>
      <c r="P587" t="s">
        <v>397</v>
      </c>
      <c r="Q587" t="s">
        <v>398</v>
      </c>
    </row>
    <row r="588" spans="1:17">
      <c r="A588" t="s">
        <v>553</v>
      </c>
      <c r="C588" t="s">
        <v>393</v>
      </c>
      <c r="D588" t="s">
        <v>554</v>
      </c>
      <c r="E588" t="s">
        <v>161</v>
      </c>
      <c r="G588" t="s">
        <v>621</v>
      </c>
      <c r="H588" t="s">
        <v>399</v>
      </c>
      <c r="K588">
        <v>1987</v>
      </c>
      <c r="O588">
        <v>-12.12</v>
      </c>
      <c r="P588" t="s">
        <v>397</v>
      </c>
      <c r="Q588" t="s">
        <v>398</v>
      </c>
    </row>
    <row r="589" spans="1:17">
      <c r="A589" t="s">
        <v>553</v>
      </c>
      <c r="C589" t="s">
        <v>393</v>
      </c>
      <c r="D589" t="s">
        <v>554</v>
      </c>
      <c r="E589" t="s">
        <v>161</v>
      </c>
      <c r="G589" t="s">
        <v>622</v>
      </c>
      <c r="H589" t="s">
        <v>399</v>
      </c>
      <c r="K589">
        <v>1984</v>
      </c>
      <c r="O589">
        <v>-12.02</v>
      </c>
      <c r="P589" t="s">
        <v>397</v>
      </c>
      <c r="Q589" t="s">
        <v>398</v>
      </c>
    </row>
    <row r="590" spans="1:17">
      <c r="A590" t="s">
        <v>553</v>
      </c>
      <c r="C590" t="s">
        <v>393</v>
      </c>
      <c r="D590" t="s">
        <v>554</v>
      </c>
      <c r="E590" t="s">
        <v>161</v>
      </c>
      <c r="G590" t="s">
        <v>623</v>
      </c>
      <c r="H590" t="s">
        <v>399</v>
      </c>
      <c r="K590">
        <v>1987</v>
      </c>
      <c r="O590">
        <v>-11.530000000000001</v>
      </c>
      <c r="P590" t="s">
        <v>397</v>
      </c>
      <c r="Q590" t="s">
        <v>398</v>
      </c>
    </row>
    <row r="591" spans="1:17">
      <c r="A591" t="s">
        <v>553</v>
      </c>
      <c r="C591" t="s">
        <v>393</v>
      </c>
      <c r="D591" t="s">
        <v>554</v>
      </c>
      <c r="E591" t="s">
        <v>161</v>
      </c>
      <c r="G591" t="s">
        <v>624</v>
      </c>
      <c r="H591" t="s">
        <v>399</v>
      </c>
      <c r="K591">
        <v>1980</v>
      </c>
      <c r="O591">
        <v>-10.700000000000001</v>
      </c>
      <c r="P591" t="s">
        <v>397</v>
      </c>
      <c r="Q591" t="s">
        <v>398</v>
      </c>
    </row>
    <row r="592" spans="1:17">
      <c r="A592" t="s">
        <v>553</v>
      </c>
      <c r="C592" t="s">
        <v>393</v>
      </c>
      <c r="D592" t="s">
        <v>554</v>
      </c>
      <c r="E592" t="s">
        <v>161</v>
      </c>
      <c r="G592" t="s">
        <v>625</v>
      </c>
      <c r="H592" t="s">
        <v>399</v>
      </c>
      <c r="K592">
        <v>1987</v>
      </c>
      <c r="O592">
        <v>-10.66</v>
      </c>
      <c r="P592" t="s">
        <v>397</v>
      </c>
      <c r="Q592" t="s">
        <v>398</v>
      </c>
    </row>
    <row r="593" spans="1:18">
      <c r="A593" t="s">
        <v>553</v>
      </c>
      <c r="C593" t="s">
        <v>393</v>
      </c>
      <c r="D593" t="s">
        <v>554</v>
      </c>
      <c r="E593" t="s">
        <v>161</v>
      </c>
      <c r="G593" t="s">
        <v>626</v>
      </c>
      <c r="H593" t="s">
        <v>399</v>
      </c>
      <c r="K593">
        <v>1987</v>
      </c>
      <c r="O593">
        <v>-10.53</v>
      </c>
      <c r="P593" t="s">
        <v>397</v>
      </c>
      <c r="Q593" t="s">
        <v>398</v>
      </c>
    </row>
    <row r="594" spans="1:18">
      <c r="A594" t="s">
        <v>553</v>
      </c>
      <c r="C594" t="s">
        <v>393</v>
      </c>
      <c r="D594" t="s">
        <v>554</v>
      </c>
      <c r="E594" t="s">
        <v>161</v>
      </c>
      <c r="G594" t="s">
        <v>627</v>
      </c>
      <c r="H594" t="s">
        <v>399</v>
      </c>
      <c r="K594">
        <v>1984</v>
      </c>
      <c r="O594">
        <v>-10.41</v>
      </c>
      <c r="P594" t="s">
        <v>397</v>
      </c>
      <c r="Q594" t="s">
        <v>398</v>
      </c>
    </row>
    <row r="595" spans="1:18">
      <c r="A595" t="s">
        <v>553</v>
      </c>
      <c r="C595" t="s">
        <v>393</v>
      </c>
      <c r="D595" t="s">
        <v>554</v>
      </c>
      <c r="E595" t="s">
        <v>161</v>
      </c>
      <c r="G595" t="s">
        <v>628</v>
      </c>
      <c r="H595" t="s">
        <v>399</v>
      </c>
      <c r="K595">
        <v>1984</v>
      </c>
      <c r="O595">
        <v>-10.11</v>
      </c>
      <c r="P595" t="s">
        <v>397</v>
      </c>
      <c r="Q595" t="s">
        <v>398</v>
      </c>
    </row>
    <row r="596" spans="1:18">
      <c r="A596" t="s">
        <v>553</v>
      </c>
      <c r="C596" t="s">
        <v>393</v>
      </c>
      <c r="D596" t="s">
        <v>554</v>
      </c>
      <c r="E596" t="s">
        <v>161</v>
      </c>
      <c r="G596" t="s">
        <v>629</v>
      </c>
      <c r="H596" t="s">
        <v>399</v>
      </c>
      <c r="K596">
        <v>1984</v>
      </c>
      <c r="O596">
        <v>-9.32</v>
      </c>
      <c r="P596" t="s">
        <v>397</v>
      </c>
      <c r="Q596" t="s">
        <v>398</v>
      </c>
    </row>
    <row r="597" spans="1:18">
      <c r="A597" t="s">
        <v>553</v>
      </c>
      <c r="C597" t="s">
        <v>393</v>
      </c>
      <c r="D597" t="s">
        <v>554</v>
      </c>
      <c r="E597" t="s">
        <v>161</v>
      </c>
      <c r="G597" t="s">
        <v>564</v>
      </c>
      <c r="H597" t="s">
        <v>399</v>
      </c>
      <c r="K597">
        <v>1980</v>
      </c>
      <c r="O597">
        <v>-9.120000000000001</v>
      </c>
      <c r="P597" t="s">
        <v>397</v>
      </c>
      <c r="Q597" t="s">
        <v>398</v>
      </c>
    </row>
    <row r="598" spans="1:18">
      <c r="A598" t="s">
        <v>553</v>
      </c>
      <c r="C598" t="s">
        <v>393</v>
      </c>
      <c r="D598" t="s">
        <v>554</v>
      </c>
      <c r="E598" t="s">
        <v>161</v>
      </c>
      <c r="G598" t="s">
        <v>69</v>
      </c>
      <c r="H598" t="s">
        <v>399</v>
      </c>
      <c r="K598">
        <v>1984</v>
      </c>
      <c r="O598">
        <v>-8.9600000000000009</v>
      </c>
      <c r="P598" t="s">
        <v>397</v>
      </c>
      <c r="Q598" t="s">
        <v>398</v>
      </c>
    </row>
    <row r="599" spans="1:18">
      <c r="A599" t="s">
        <v>553</v>
      </c>
      <c r="C599" t="s">
        <v>393</v>
      </c>
      <c r="D599" t="s">
        <v>554</v>
      </c>
      <c r="E599" t="s">
        <v>161</v>
      </c>
      <c r="G599" t="s">
        <v>611</v>
      </c>
      <c r="H599" t="s">
        <v>399</v>
      </c>
      <c r="K599">
        <v>1980</v>
      </c>
      <c r="O599">
        <v>-8.93</v>
      </c>
      <c r="P599" t="s">
        <v>397</v>
      </c>
      <c r="Q599" t="s">
        <v>398</v>
      </c>
    </row>
    <row r="600" spans="1:18">
      <c r="A600" t="s">
        <v>537</v>
      </c>
      <c r="C600" t="s">
        <v>393</v>
      </c>
      <c r="D600" t="s">
        <v>525</v>
      </c>
      <c r="E600" t="s">
        <v>394</v>
      </c>
      <c r="F600" t="s">
        <v>394</v>
      </c>
      <c r="G600" t="s">
        <v>600</v>
      </c>
      <c r="H600" t="s">
        <v>539</v>
      </c>
      <c r="K600">
        <v>1989.5</v>
      </c>
      <c r="M600">
        <v>21</v>
      </c>
      <c r="O600">
        <v>120.47619047619</v>
      </c>
      <c r="P600" t="s">
        <v>15</v>
      </c>
      <c r="Q600" t="s">
        <v>528</v>
      </c>
      <c r="R600" t="s">
        <v>529</v>
      </c>
    </row>
    <row r="601" spans="1:18">
      <c r="A601" t="s">
        <v>630</v>
      </c>
      <c r="C601" t="s">
        <v>393</v>
      </c>
      <c r="D601" t="s">
        <v>631</v>
      </c>
      <c r="E601" t="s">
        <v>394</v>
      </c>
      <c r="F601" t="s">
        <v>394</v>
      </c>
      <c r="G601" t="s">
        <v>453</v>
      </c>
      <c r="H601" t="s">
        <v>539</v>
      </c>
      <c r="K601" t="s">
        <v>163</v>
      </c>
      <c r="M601" t="s">
        <v>163</v>
      </c>
      <c r="O601" t="s">
        <v>163</v>
      </c>
      <c r="P601" t="s">
        <v>15</v>
      </c>
      <c r="Q601" t="s">
        <v>528</v>
      </c>
      <c r="R601" t="s">
        <v>529</v>
      </c>
    </row>
    <row r="602" spans="1:18">
      <c r="A602" t="s">
        <v>630</v>
      </c>
      <c r="C602" t="s">
        <v>393</v>
      </c>
      <c r="D602" t="s">
        <v>631</v>
      </c>
      <c r="E602" t="s">
        <v>394</v>
      </c>
      <c r="F602" t="s">
        <v>394</v>
      </c>
      <c r="G602" t="s">
        <v>441</v>
      </c>
      <c r="H602" t="s">
        <v>539</v>
      </c>
      <c r="K602" t="s">
        <v>163</v>
      </c>
      <c r="M602" t="s">
        <v>163</v>
      </c>
      <c r="O602" t="s">
        <v>163</v>
      </c>
      <c r="P602" t="s">
        <v>15</v>
      </c>
      <c r="Q602" t="s">
        <v>528</v>
      </c>
      <c r="R602" t="s">
        <v>529</v>
      </c>
    </row>
    <row r="603" spans="1:18">
      <c r="A603" t="s">
        <v>630</v>
      </c>
      <c r="C603" t="s">
        <v>393</v>
      </c>
      <c r="D603" t="s">
        <v>631</v>
      </c>
      <c r="E603" t="s">
        <v>394</v>
      </c>
      <c r="F603" t="s">
        <v>394</v>
      </c>
      <c r="G603" t="s">
        <v>526</v>
      </c>
      <c r="H603" t="s">
        <v>539</v>
      </c>
      <c r="K603" t="s">
        <v>163</v>
      </c>
      <c r="M603" t="s">
        <v>163</v>
      </c>
      <c r="O603" t="s">
        <v>163</v>
      </c>
      <c r="P603" t="s">
        <v>15</v>
      </c>
      <c r="Q603" t="s">
        <v>528</v>
      </c>
      <c r="R603" t="s">
        <v>529</v>
      </c>
    </row>
    <row r="604" spans="1:18">
      <c r="A604" t="s">
        <v>630</v>
      </c>
      <c r="C604" t="s">
        <v>393</v>
      </c>
      <c r="D604" t="s">
        <v>631</v>
      </c>
      <c r="E604" t="s">
        <v>394</v>
      </c>
      <c r="F604" t="s">
        <v>394</v>
      </c>
      <c r="G604" t="s">
        <v>599</v>
      </c>
      <c r="H604" t="s">
        <v>539</v>
      </c>
      <c r="K604" t="s">
        <v>163</v>
      </c>
      <c r="M604" t="s">
        <v>163</v>
      </c>
      <c r="O604" t="s">
        <v>163</v>
      </c>
      <c r="P604" t="s">
        <v>15</v>
      </c>
      <c r="Q604" t="s">
        <v>528</v>
      </c>
      <c r="R604" t="s">
        <v>529</v>
      </c>
    </row>
    <row r="605" spans="1:18">
      <c r="A605" t="s">
        <v>630</v>
      </c>
      <c r="C605" t="s">
        <v>393</v>
      </c>
      <c r="D605" t="s">
        <v>631</v>
      </c>
      <c r="E605" t="s">
        <v>394</v>
      </c>
      <c r="F605" t="s">
        <v>394</v>
      </c>
      <c r="G605" t="s">
        <v>429</v>
      </c>
      <c r="H605" t="s">
        <v>539</v>
      </c>
      <c r="K605" t="s">
        <v>163</v>
      </c>
      <c r="M605" t="s">
        <v>163</v>
      </c>
      <c r="O605" t="s">
        <v>163</v>
      </c>
      <c r="P605" t="s">
        <v>15</v>
      </c>
      <c r="Q605" t="s">
        <v>528</v>
      </c>
      <c r="R605" t="s">
        <v>529</v>
      </c>
    </row>
    <row r="606" spans="1:18">
      <c r="A606" t="s">
        <v>630</v>
      </c>
      <c r="C606" t="s">
        <v>393</v>
      </c>
      <c r="D606" t="s">
        <v>631</v>
      </c>
      <c r="E606" t="s">
        <v>394</v>
      </c>
      <c r="F606" t="s">
        <v>394</v>
      </c>
      <c r="G606" t="s">
        <v>439</v>
      </c>
      <c r="H606" t="s">
        <v>539</v>
      </c>
      <c r="K606" t="s">
        <v>163</v>
      </c>
      <c r="M606" t="s">
        <v>163</v>
      </c>
      <c r="O606" t="s">
        <v>163</v>
      </c>
      <c r="P606" t="s">
        <v>15</v>
      </c>
      <c r="Q606" t="s">
        <v>528</v>
      </c>
      <c r="R606" t="s">
        <v>529</v>
      </c>
    </row>
    <row r="607" spans="1:18">
      <c r="A607" t="s">
        <v>630</v>
      </c>
      <c r="C607" t="s">
        <v>393</v>
      </c>
      <c r="D607" t="s">
        <v>631</v>
      </c>
      <c r="E607" t="s">
        <v>394</v>
      </c>
      <c r="F607" t="s">
        <v>394</v>
      </c>
      <c r="G607" t="s">
        <v>632</v>
      </c>
      <c r="H607" t="s">
        <v>539</v>
      </c>
      <c r="K607" t="s">
        <v>163</v>
      </c>
      <c r="M607" t="s">
        <v>163</v>
      </c>
      <c r="O607" t="s">
        <v>163</v>
      </c>
      <c r="P607" t="s">
        <v>15</v>
      </c>
      <c r="Q607" t="s">
        <v>528</v>
      </c>
      <c r="R607" t="s">
        <v>529</v>
      </c>
    </row>
    <row r="608" spans="1:18">
      <c r="A608" t="s">
        <v>630</v>
      </c>
      <c r="C608" t="s">
        <v>393</v>
      </c>
      <c r="D608" t="s">
        <v>631</v>
      </c>
      <c r="E608" t="s">
        <v>394</v>
      </c>
      <c r="F608" t="s">
        <v>394</v>
      </c>
      <c r="G608" t="s">
        <v>442</v>
      </c>
      <c r="H608" t="s">
        <v>539</v>
      </c>
      <c r="K608" t="s">
        <v>163</v>
      </c>
      <c r="M608" t="s">
        <v>163</v>
      </c>
      <c r="O608" t="s">
        <v>163</v>
      </c>
      <c r="P608" t="s">
        <v>15</v>
      </c>
      <c r="Q608" t="s">
        <v>528</v>
      </c>
      <c r="R608" t="s">
        <v>529</v>
      </c>
    </row>
    <row r="609" spans="1:17">
      <c r="A609" t="s">
        <v>553</v>
      </c>
      <c r="C609" t="s">
        <v>393</v>
      </c>
      <c r="D609" t="s">
        <v>554</v>
      </c>
      <c r="E609" t="s">
        <v>161</v>
      </c>
      <c r="G609" t="s">
        <v>573</v>
      </c>
      <c r="H609" t="s">
        <v>399</v>
      </c>
      <c r="K609">
        <v>1982</v>
      </c>
      <c r="O609">
        <v>-8.7200000000000006</v>
      </c>
      <c r="P609" t="s">
        <v>397</v>
      </c>
      <c r="Q609" t="s">
        <v>398</v>
      </c>
    </row>
    <row r="610" spans="1:17">
      <c r="A610" t="s">
        <v>553</v>
      </c>
      <c r="C610" t="s">
        <v>393</v>
      </c>
      <c r="D610" t="s">
        <v>554</v>
      </c>
      <c r="E610" t="s">
        <v>161</v>
      </c>
      <c r="G610" t="s">
        <v>170</v>
      </c>
      <c r="H610" t="s">
        <v>399</v>
      </c>
      <c r="K610">
        <v>1982</v>
      </c>
      <c r="O610">
        <v>-7.52</v>
      </c>
      <c r="P610" t="s">
        <v>397</v>
      </c>
      <c r="Q610" t="s">
        <v>398</v>
      </c>
    </row>
    <row r="611" spans="1:17">
      <c r="A611" t="s">
        <v>553</v>
      </c>
      <c r="C611" t="s">
        <v>393</v>
      </c>
      <c r="D611" t="s">
        <v>554</v>
      </c>
      <c r="E611" t="s">
        <v>161</v>
      </c>
      <c r="G611" t="s">
        <v>559</v>
      </c>
      <c r="H611" t="s">
        <v>399</v>
      </c>
      <c r="K611">
        <v>1984</v>
      </c>
      <c r="O611">
        <v>-7.42</v>
      </c>
      <c r="P611" t="s">
        <v>397</v>
      </c>
      <c r="Q611" t="s">
        <v>398</v>
      </c>
    </row>
    <row r="612" spans="1:17">
      <c r="A612" t="s">
        <v>553</v>
      </c>
      <c r="C612" t="s">
        <v>393</v>
      </c>
      <c r="D612" t="s">
        <v>554</v>
      </c>
      <c r="E612" t="s">
        <v>161</v>
      </c>
      <c r="G612" t="s">
        <v>633</v>
      </c>
      <c r="H612" t="s">
        <v>399</v>
      </c>
      <c r="K612">
        <v>1987</v>
      </c>
      <c r="O612">
        <v>-7.4</v>
      </c>
      <c r="P612" t="s">
        <v>397</v>
      </c>
      <c r="Q612" t="s">
        <v>398</v>
      </c>
    </row>
    <row r="613" spans="1:17">
      <c r="A613" t="s">
        <v>553</v>
      </c>
      <c r="C613" t="s">
        <v>393</v>
      </c>
      <c r="D613" t="s">
        <v>554</v>
      </c>
      <c r="E613" t="s">
        <v>161</v>
      </c>
      <c r="G613" t="s">
        <v>563</v>
      </c>
      <c r="H613" t="s">
        <v>399</v>
      </c>
      <c r="K613">
        <v>1980</v>
      </c>
      <c r="O613">
        <v>-7.37</v>
      </c>
      <c r="P613" t="s">
        <v>397</v>
      </c>
      <c r="Q613" t="s">
        <v>398</v>
      </c>
    </row>
    <row r="614" spans="1:17">
      <c r="A614" t="s">
        <v>553</v>
      </c>
      <c r="C614" t="s">
        <v>393</v>
      </c>
      <c r="D614" t="s">
        <v>554</v>
      </c>
      <c r="E614" t="s">
        <v>161</v>
      </c>
      <c r="G614" t="s">
        <v>634</v>
      </c>
      <c r="H614" t="s">
        <v>399</v>
      </c>
      <c r="K614">
        <v>1984</v>
      </c>
      <c r="O614">
        <v>-6.92</v>
      </c>
      <c r="P614" t="s">
        <v>397</v>
      </c>
      <c r="Q614" t="s">
        <v>398</v>
      </c>
    </row>
    <row r="615" spans="1:17">
      <c r="A615" t="s">
        <v>553</v>
      </c>
      <c r="C615" t="s">
        <v>393</v>
      </c>
      <c r="D615" t="s">
        <v>554</v>
      </c>
      <c r="E615" t="s">
        <v>161</v>
      </c>
      <c r="G615" t="s">
        <v>213</v>
      </c>
      <c r="H615" t="s">
        <v>399</v>
      </c>
      <c r="K615">
        <v>1995</v>
      </c>
      <c r="O615">
        <v>-6.83</v>
      </c>
      <c r="P615" t="s">
        <v>397</v>
      </c>
      <c r="Q615" t="s">
        <v>398</v>
      </c>
    </row>
    <row r="616" spans="1:17">
      <c r="A616" t="s">
        <v>553</v>
      </c>
      <c r="C616" t="s">
        <v>393</v>
      </c>
      <c r="D616" t="s">
        <v>554</v>
      </c>
      <c r="E616" t="s">
        <v>161</v>
      </c>
      <c r="G616" t="s">
        <v>635</v>
      </c>
      <c r="H616" t="s">
        <v>399</v>
      </c>
      <c r="K616">
        <v>1987</v>
      </c>
      <c r="O616">
        <v>-6.74</v>
      </c>
      <c r="P616" t="s">
        <v>397</v>
      </c>
      <c r="Q616" t="s">
        <v>398</v>
      </c>
    </row>
    <row r="617" spans="1:17">
      <c r="A617" t="s">
        <v>553</v>
      </c>
      <c r="C617" t="s">
        <v>393</v>
      </c>
      <c r="D617" t="s">
        <v>554</v>
      </c>
      <c r="E617" t="s">
        <v>161</v>
      </c>
      <c r="G617" t="s">
        <v>636</v>
      </c>
      <c r="H617" t="s">
        <v>399</v>
      </c>
      <c r="K617">
        <v>1995</v>
      </c>
      <c r="O617">
        <v>-6.7100000000000009</v>
      </c>
      <c r="P617" t="s">
        <v>397</v>
      </c>
      <c r="Q617" t="s">
        <v>398</v>
      </c>
    </row>
    <row r="618" spans="1:17">
      <c r="A618" t="s">
        <v>553</v>
      </c>
      <c r="C618" t="s">
        <v>393</v>
      </c>
      <c r="D618" t="s">
        <v>554</v>
      </c>
      <c r="E618" t="s">
        <v>161</v>
      </c>
      <c r="G618" t="s">
        <v>218</v>
      </c>
      <c r="H618" t="s">
        <v>399</v>
      </c>
      <c r="K618">
        <v>1970</v>
      </c>
      <c r="O618">
        <v>-6.6000000000000005</v>
      </c>
      <c r="P618" t="s">
        <v>397</v>
      </c>
      <c r="Q618" t="s">
        <v>398</v>
      </c>
    </row>
    <row r="619" spans="1:17">
      <c r="A619" t="s">
        <v>553</v>
      </c>
      <c r="C619" t="s">
        <v>393</v>
      </c>
      <c r="D619" t="s">
        <v>554</v>
      </c>
      <c r="E619" t="s">
        <v>161</v>
      </c>
      <c r="G619" t="s">
        <v>637</v>
      </c>
      <c r="H619" t="s">
        <v>399</v>
      </c>
      <c r="K619">
        <v>1984</v>
      </c>
      <c r="O619">
        <v>-6.22</v>
      </c>
      <c r="P619" t="s">
        <v>397</v>
      </c>
      <c r="Q619" t="s">
        <v>398</v>
      </c>
    </row>
    <row r="620" spans="1:17">
      <c r="A620" t="s">
        <v>553</v>
      </c>
      <c r="C620" t="s">
        <v>393</v>
      </c>
      <c r="D620" t="s">
        <v>554</v>
      </c>
      <c r="E620" t="s">
        <v>161</v>
      </c>
      <c r="G620" t="s">
        <v>210</v>
      </c>
      <c r="H620" t="s">
        <v>399</v>
      </c>
      <c r="K620">
        <v>1970</v>
      </c>
      <c r="O620">
        <v>-5.97</v>
      </c>
      <c r="P620" t="s">
        <v>397</v>
      </c>
      <c r="Q620" t="s">
        <v>398</v>
      </c>
    </row>
    <row r="621" spans="1:17">
      <c r="A621" t="s">
        <v>553</v>
      </c>
      <c r="C621" t="s">
        <v>393</v>
      </c>
      <c r="D621" t="s">
        <v>554</v>
      </c>
      <c r="E621" t="s">
        <v>161</v>
      </c>
      <c r="G621" t="s">
        <v>234</v>
      </c>
      <c r="H621" t="s">
        <v>399</v>
      </c>
      <c r="K621">
        <v>1970</v>
      </c>
      <c r="O621">
        <v>-5.7299999999999995</v>
      </c>
      <c r="P621" t="s">
        <v>397</v>
      </c>
      <c r="Q621" t="s">
        <v>398</v>
      </c>
    </row>
    <row r="622" spans="1:17">
      <c r="A622" t="s">
        <v>553</v>
      </c>
      <c r="C622" t="s">
        <v>393</v>
      </c>
      <c r="D622" t="s">
        <v>554</v>
      </c>
      <c r="E622" t="s">
        <v>161</v>
      </c>
      <c r="G622" t="s">
        <v>638</v>
      </c>
      <c r="H622" t="s">
        <v>399</v>
      </c>
      <c r="K622">
        <v>1980</v>
      </c>
      <c r="O622">
        <v>-5.29</v>
      </c>
      <c r="P622" t="s">
        <v>397</v>
      </c>
      <c r="Q622" t="s">
        <v>398</v>
      </c>
    </row>
    <row r="623" spans="1:17">
      <c r="A623" t="s">
        <v>553</v>
      </c>
      <c r="C623" t="s">
        <v>393</v>
      </c>
      <c r="D623" t="s">
        <v>554</v>
      </c>
      <c r="E623" t="s">
        <v>161</v>
      </c>
      <c r="G623" t="s">
        <v>639</v>
      </c>
      <c r="H623" t="s">
        <v>399</v>
      </c>
      <c r="K623">
        <v>1977</v>
      </c>
      <c r="O623">
        <v>-4.67</v>
      </c>
      <c r="P623" t="s">
        <v>397</v>
      </c>
      <c r="Q623" t="s">
        <v>398</v>
      </c>
    </row>
    <row r="624" spans="1:17">
      <c r="A624" t="s">
        <v>553</v>
      </c>
      <c r="C624" t="s">
        <v>393</v>
      </c>
      <c r="D624" t="s">
        <v>554</v>
      </c>
      <c r="E624" t="s">
        <v>161</v>
      </c>
      <c r="G624" t="s">
        <v>640</v>
      </c>
      <c r="H624" t="s">
        <v>399</v>
      </c>
      <c r="K624">
        <v>1977</v>
      </c>
      <c r="O624">
        <v>-4.37</v>
      </c>
      <c r="P624" t="s">
        <v>397</v>
      </c>
      <c r="Q624" t="s">
        <v>398</v>
      </c>
    </row>
    <row r="625" spans="1:18">
      <c r="A625" t="s">
        <v>553</v>
      </c>
      <c r="C625" t="s">
        <v>393</v>
      </c>
      <c r="D625" t="s">
        <v>554</v>
      </c>
      <c r="E625" t="s">
        <v>161</v>
      </c>
      <c r="G625" t="s">
        <v>236</v>
      </c>
      <c r="H625" t="s">
        <v>399</v>
      </c>
      <c r="K625">
        <v>1968</v>
      </c>
      <c r="O625">
        <v>-4.0600000000000005</v>
      </c>
      <c r="P625" t="s">
        <v>397</v>
      </c>
      <c r="Q625" t="s">
        <v>398</v>
      </c>
    </row>
    <row r="626" spans="1:18">
      <c r="A626" t="s">
        <v>553</v>
      </c>
      <c r="C626" t="s">
        <v>393</v>
      </c>
      <c r="D626" t="s">
        <v>554</v>
      </c>
      <c r="E626" t="s">
        <v>161</v>
      </c>
      <c r="G626" t="s">
        <v>624</v>
      </c>
      <c r="H626" t="s">
        <v>399</v>
      </c>
      <c r="K626">
        <v>1984</v>
      </c>
      <c r="O626">
        <v>-3.9000000000000004</v>
      </c>
      <c r="P626" t="s">
        <v>397</v>
      </c>
      <c r="Q626" t="s">
        <v>398</v>
      </c>
    </row>
    <row r="627" spans="1:18">
      <c r="A627" t="s">
        <v>553</v>
      </c>
      <c r="C627" t="s">
        <v>393</v>
      </c>
      <c r="D627" t="s">
        <v>554</v>
      </c>
      <c r="E627" t="s">
        <v>161</v>
      </c>
      <c r="G627" t="s">
        <v>641</v>
      </c>
      <c r="H627" t="s">
        <v>399</v>
      </c>
      <c r="K627">
        <v>1984</v>
      </c>
      <c r="O627">
        <v>-3.15</v>
      </c>
      <c r="P627" t="s">
        <v>397</v>
      </c>
      <c r="Q627" t="s">
        <v>398</v>
      </c>
    </row>
    <row r="628" spans="1:18">
      <c r="A628" t="s">
        <v>553</v>
      </c>
      <c r="C628" t="s">
        <v>393</v>
      </c>
      <c r="D628" t="s">
        <v>554</v>
      </c>
      <c r="E628" t="s">
        <v>161</v>
      </c>
      <c r="G628" t="s">
        <v>620</v>
      </c>
      <c r="H628" t="s">
        <v>399</v>
      </c>
      <c r="K628">
        <v>1980</v>
      </c>
      <c r="O628">
        <v>-3</v>
      </c>
      <c r="P628" t="s">
        <v>397</v>
      </c>
      <c r="Q628" t="s">
        <v>398</v>
      </c>
    </row>
    <row r="629" spans="1:18">
      <c r="A629" t="s">
        <v>553</v>
      </c>
      <c r="C629" t="s">
        <v>393</v>
      </c>
      <c r="D629" t="s">
        <v>554</v>
      </c>
      <c r="E629" t="s">
        <v>161</v>
      </c>
      <c r="G629" t="s">
        <v>203</v>
      </c>
      <c r="H629" t="s">
        <v>399</v>
      </c>
      <c r="K629">
        <v>1980</v>
      </c>
      <c r="O629">
        <v>-1.96</v>
      </c>
      <c r="P629" t="s">
        <v>397</v>
      </c>
      <c r="Q629" t="s">
        <v>398</v>
      </c>
    </row>
    <row r="630" spans="1:18">
      <c r="A630" t="s">
        <v>553</v>
      </c>
      <c r="C630" t="s">
        <v>393</v>
      </c>
      <c r="D630" t="s">
        <v>554</v>
      </c>
      <c r="E630" t="s">
        <v>161</v>
      </c>
      <c r="G630" t="s">
        <v>607</v>
      </c>
      <c r="H630" t="s">
        <v>399</v>
      </c>
      <c r="K630">
        <v>1982</v>
      </c>
      <c r="O630">
        <v>-1.6800000000000002</v>
      </c>
      <c r="P630" t="s">
        <v>397</v>
      </c>
      <c r="Q630" t="s">
        <v>398</v>
      </c>
    </row>
    <row r="631" spans="1:18">
      <c r="A631" t="s">
        <v>553</v>
      </c>
      <c r="C631" t="s">
        <v>393</v>
      </c>
      <c r="D631" t="s">
        <v>554</v>
      </c>
      <c r="E631" t="s">
        <v>161</v>
      </c>
      <c r="G631" t="s">
        <v>305</v>
      </c>
      <c r="H631" t="s">
        <v>399</v>
      </c>
      <c r="K631">
        <v>1970</v>
      </c>
      <c r="O631">
        <v>-1.59</v>
      </c>
      <c r="P631" t="s">
        <v>397</v>
      </c>
      <c r="Q631" t="s">
        <v>398</v>
      </c>
    </row>
    <row r="632" spans="1:18">
      <c r="A632" t="s">
        <v>553</v>
      </c>
      <c r="C632" t="s">
        <v>393</v>
      </c>
      <c r="D632" t="s">
        <v>554</v>
      </c>
      <c r="E632" t="s">
        <v>161</v>
      </c>
      <c r="G632" t="s">
        <v>228</v>
      </c>
      <c r="H632" t="s">
        <v>399</v>
      </c>
      <c r="K632">
        <v>1970</v>
      </c>
      <c r="O632">
        <v>-1.58</v>
      </c>
      <c r="P632" t="s">
        <v>397</v>
      </c>
      <c r="Q632" t="s">
        <v>398</v>
      </c>
    </row>
    <row r="633" spans="1:18">
      <c r="A633" t="s">
        <v>553</v>
      </c>
      <c r="C633" t="s">
        <v>393</v>
      </c>
      <c r="D633" t="s">
        <v>554</v>
      </c>
      <c r="E633" t="s">
        <v>161</v>
      </c>
      <c r="G633" t="s">
        <v>305</v>
      </c>
      <c r="H633" t="s">
        <v>399</v>
      </c>
      <c r="K633">
        <v>1968</v>
      </c>
      <c r="O633">
        <v>-1.31</v>
      </c>
      <c r="P633" t="s">
        <v>397</v>
      </c>
      <c r="Q633" t="s">
        <v>398</v>
      </c>
    </row>
    <row r="634" spans="1:18">
      <c r="A634" t="s">
        <v>553</v>
      </c>
      <c r="C634" t="s">
        <v>393</v>
      </c>
      <c r="D634" t="s">
        <v>554</v>
      </c>
      <c r="E634" t="s">
        <v>161</v>
      </c>
      <c r="G634" t="s">
        <v>579</v>
      </c>
      <c r="H634" t="s">
        <v>399</v>
      </c>
      <c r="K634">
        <v>1980</v>
      </c>
      <c r="O634">
        <v>-1.3</v>
      </c>
      <c r="P634" t="s">
        <v>397</v>
      </c>
      <c r="Q634" t="s">
        <v>398</v>
      </c>
    </row>
    <row r="635" spans="1:18">
      <c r="A635" t="s">
        <v>553</v>
      </c>
      <c r="C635" t="s">
        <v>393</v>
      </c>
      <c r="D635" t="s">
        <v>554</v>
      </c>
      <c r="E635" t="s">
        <v>161</v>
      </c>
      <c r="G635" t="s">
        <v>225</v>
      </c>
      <c r="H635" t="s">
        <v>399</v>
      </c>
      <c r="K635">
        <v>1970</v>
      </c>
      <c r="O635">
        <v>-1</v>
      </c>
      <c r="P635" t="s">
        <v>397</v>
      </c>
      <c r="Q635" t="s">
        <v>398</v>
      </c>
    </row>
    <row r="636" spans="1:18">
      <c r="A636" t="s">
        <v>553</v>
      </c>
      <c r="C636" t="s">
        <v>393</v>
      </c>
      <c r="D636" t="s">
        <v>554</v>
      </c>
      <c r="E636" t="s">
        <v>161</v>
      </c>
      <c r="G636" t="s">
        <v>642</v>
      </c>
      <c r="H636" t="s">
        <v>399</v>
      </c>
      <c r="K636">
        <v>1987</v>
      </c>
      <c r="O636">
        <v>-0.94</v>
      </c>
      <c r="P636" t="s">
        <v>397</v>
      </c>
      <c r="Q636" t="s">
        <v>398</v>
      </c>
    </row>
    <row r="637" spans="1:18">
      <c r="A637" t="s">
        <v>630</v>
      </c>
      <c r="C637" t="s">
        <v>393</v>
      </c>
      <c r="D637" t="s">
        <v>631</v>
      </c>
      <c r="E637" t="s">
        <v>394</v>
      </c>
      <c r="F637" t="s">
        <v>394</v>
      </c>
      <c r="G637" t="s">
        <v>447</v>
      </c>
      <c r="H637" t="s">
        <v>539</v>
      </c>
      <c r="K637" t="s">
        <v>163</v>
      </c>
      <c r="M637" t="s">
        <v>163</v>
      </c>
      <c r="O637" t="s">
        <v>163</v>
      </c>
      <c r="P637" t="s">
        <v>15</v>
      </c>
      <c r="Q637" t="s">
        <v>528</v>
      </c>
      <c r="R637" t="s">
        <v>529</v>
      </c>
    </row>
    <row r="638" spans="1:18">
      <c r="A638" t="s">
        <v>643</v>
      </c>
      <c r="C638" t="s">
        <v>393</v>
      </c>
      <c r="D638" t="s">
        <v>644</v>
      </c>
      <c r="E638" t="s">
        <v>394</v>
      </c>
      <c r="F638" t="s">
        <v>394</v>
      </c>
      <c r="G638" t="s">
        <v>645</v>
      </c>
      <c r="H638" t="s">
        <v>539</v>
      </c>
      <c r="K638">
        <v>1960</v>
      </c>
      <c r="M638">
        <v>31</v>
      </c>
      <c r="O638">
        <v>0.967741935483871</v>
      </c>
      <c r="P638" t="s">
        <v>15</v>
      </c>
      <c r="Q638" t="s">
        <v>528</v>
      </c>
      <c r="R638" t="s">
        <v>529</v>
      </c>
    </row>
    <row r="639" spans="1:18">
      <c r="A639" t="s">
        <v>643</v>
      </c>
      <c r="C639" t="s">
        <v>393</v>
      </c>
      <c r="D639" t="s">
        <v>644</v>
      </c>
      <c r="E639" t="s">
        <v>394</v>
      </c>
      <c r="F639" t="s">
        <v>394</v>
      </c>
      <c r="G639" t="s">
        <v>645</v>
      </c>
      <c r="H639" t="s">
        <v>539</v>
      </c>
      <c r="K639">
        <v>1960</v>
      </c>
      <c r="M639">
        <v>31</v>
      </c>
      <c r="O639" t="s">
        <v>163</v>
      </c>
      <c r="P639" t="s">
        <v>15</v>
      </c>
      <c r="Q639" t="s">
        <v>528</v>
      </c>
      <c r="R639" t="s">
        <v>529</v>
      </c>
    </row>
    <row r="640" spans="1:18">
      <c r="A640" t="s">
        <v>553</v>
      </c>
      <c r="C640" t="s">
        <v>393</v>
      </c>
      <c r="D640" t="s">
        <v>554</v>
      </c>
      <c r="E640" t="s">
        <v>161</v>
      </c>
      <c r="G640" t="s">
        <v>63</v>
      </c>
      <c r="H640" t="s">
        <v>399</v>
      </c>
      <c r="K640">
        <v>1984</v>
      </c>
      <c r="O640">
        <v>-0.68</v>
      </c>
      <c r="P640" t="s">
        <v>397</v>
      </c>
      <c r="Q640" t="s">
        <v>398</v>
      </c>
    </row>
    <row r="641" spans="1:18">
      <c r="A641" t="s">
        <v>646</v>
      </c>
      <c r="C641" t="s">
        <v>19</v>
      </c>
      <c r="D641" t="s">
        <v>44</v>
      </c>
      <c r="E641" t="s">
        <v>394</v>
      </c>
      <c r="F641" t="s">
        <v>394</v>
      </c>
      <c r="G641" t="s">
        <v>647</v>
      </c>
      <c r="H641" t="s">
        <v>29</v>
      </c>
      <c r="I641">
        <v>-48</v>
      </c>
      <c r="J641">
        <v>50</v>
      </c>
      <c r="K641">
        <v>1989</v>
      </c>
      <c r="M641">
        <v>22</v>
      </c>
      <c r="N641" t="s">
        <v>24</v>
      </c>
      <c r="O641">
        <v>300</v>
      </c>
      <c r="P641" t="s">
        <v>15</v>
      </c>
    </row>
    <row r="642" spans="1:18">
      <c r="A642" t="s">
        <v>648</v>
      </c>
      <c r="C642" t="s">
        <v>393</v>
      </c>
      <c r="D642" t="s">
        <v>649</v>
      </c>
      <c r="E642" t="s">
        <v>394</v>
      </c>
      <c r="F642" t="s">
        <v>394</v>
      </c>
      <c r="G642" t="s">
        <v>650</v>
      </c>
      <c r="H642" t="s">
        <v>539</v>
      </c>
      <c r="K642">
        <v>1980</v>
      </c>
      <c r="M642">
        <v>24</v>
      </c>
      <c r="O642" t="s">
        <v>163</v>
      </c>
      <c r="P642" t="s">
        <v>15</v>
      </c>
      <c r="Q642" t="s">
        <v>528</v>
      </c>
      <c r="R642" t="s">
        <v>529</v>
      </c>
    </row>
    <row r="643" spans="1:18">
      <c r="A643" t="s">
        <v>553</v>
      </c>
      <c r="C643" t="s">
        <v>393</v>
      </c>
      <c r="D643" t="s">
        <v>554</v>
      </c>
      <c r="E643" t="s">
        <v>161</v>
      </c>
      <c r="G643" t="s">
        <v>586</v>
      </c>
      <c r="H643" t="s">
        <v>399</v>
      </c>
      <c r="K643">
        <v>1982</v>
      </c>
      <c r="O643">
        <v>-0.15</v>
      </c>
      <c r="P643" t="s">
        <v>397</v>
      </c>
      <c r="Q643" t="s">
        <v>398</v>
      </c>
    </row>
    <row r="644" spans="1:18">
      <c r="A644" t="s">
        <v>651</v>
      </c>
      <c r="C644" t="s">
        <v>393</v>
      </c>
      <c r="D644" t="s">
        <v>554</v>
      </c>
      <c r="E644" t="s">
        <v>161</v>
      </c>
      <c r="G644" t="s">
        <v>652</v>
      </c>
      <c r="H644" t="s">
        <v>399</v>
      </c>
      <c r="K644">
        <v>1968</v>
      </c>
      <c r="O644">
        <v>-74.47</v>
      </c>
      <c r="P644" t="s">
        <v>397</v>
      </c>
      <c r="Q644" t="s">
        <v>398</v>
      </c>
    </row>
    <row r="645" spans="1:18">
      <c r="A645" t="s">
        <v>651</v>
      </c>
      <c r="C645" t="s">
        <v>393</v>
      </c>
      <c r="D645" t="s">
        <v>554</v>
      </c>
      <c r="E645" t="s">
        <v>161</v>
      </c>
      <c r="G645" t="s">
        <v>653</v>
      </c>
      <c r="H645" t="s">
        <v>399</v>
      </c>
      <c r="K645">
        <v>1968</v>
      </c>
      <c r="O645">
        <v>-44.1</v>
      </c>
      <c r="P645" t="s">
        <v>397</v>
      </c>
      <c r="Q645" t="s">
        <v>398</v>
      </c>
    </row>
    <row r="646" spans="1:18">
      <c r="A646" t="s">
        <v>651</v>
      </c>
      <c r="C646" t="s">
        <v>393</v>
      </c>
      <c r="D646" t="s">
        <v>554</v>
      </c>
      <c r="E646" t="s">
        <v>161</v>
      </c>
      <c r="G646" t="s">
        <v>217</v>
      </c>
      <c r="H646" t="s">
        <v>399</v>
      </c>
      <c r="K646">
        <v>1968</v>
      </c>
      <c r="O646">
        <v>-43.05</v>
      </c>
      <c r="P646" t="s">
        <v>397</v>
      </c>
      <c r="Q646" t="s">
        <v>398</v>
      </c>
    </row>
    <row r="647" spans="1:18">
      <c r="A647" t="s">
        <v>651</v>
      </c>
      <c r="C647" t="s">
        <v>393</v>
      </c>
      <c r="D647" t="s">
        <v>554</v>
      </c>
      <c r="E647" t="s">
        <v>161</v>
      </c>
      <c r="G647" t="s">
        <v>211</v>
      </c>
      <c r="H647" t="s">
        <v>399</v>
      </c>
      <c r="K647">
        <v>1968</v>
      </c>
      <c r="O647">
        <v>-42.019999999999996</v>
      </c>
      <c r="P647" t="s">
        <v>397</v>
      </c>
      <c r="Q647" t="s">
        <v>398</v>
      </c>
    </row>
    <row r="648" spans="1:18">
      <c r="A648" t="s">
        <v>651</v>
      </c>
      <c r="C648" t="s">
        <v>393</v>
      </c>
      <c r="D648" t="s">
        <v>554</v>
      </c>
      <c r="E648" t="s">
        <v>161</v>
      </c>
      <c r="G648" t="s">
        <v>219</v>
      </c>
      <c r="H648" t="s">
        <v>399</v>
      </c>
      <c r="K648">
        <v>1968</v>
      </c>
      <c r="O648">
        <v>-34.54</v>
      </c>
      <c r="P648" t="s">
        <v>397</v>
      </c>
      <c r="Q648" t="s">
        <v>398</v>
      </c>
    </row>
    <row r="649" spans="1:18">
      <c r="A649" t="s">
        <v>651</v>
      </c>
      <c r="C649" t="s">
        <v>393</v>
      </c>
      <c r="D649" t="s">
        <v>554</v>
      </c>
      <c r="E649" t="s">
        <v>161</v>
      </c>
      <c r="G649" t="s">
        <v>235</v>
      </c>
      <c r="H649" t="s">
        <v>399</v>
      </c>
      <c r="K649">
        <v>1968</v>
      </c>
      <c r="O649">
        <v>-31.95</v>
      </c>
      <c r="P649" t="s">
        <v>397</v>
      </c>
      <c r="Q649" t="s">
        <v>398</v>
      </c>
    </row>
    <row r="650" spans="1:18">
      <c r="A650" t="s">
        <v>651</v>
      </c>
      <c r="C650" t="s">
        <v>393</v>
      </c>
      <c r="D650" t="s">
        <v>554</v>
      </c>
      <c r="E650" t="s">
        <v>161</v>
      </c>
      <c r="G650" t="s">
        <v>654</v>
      </c>
      <c r="H650" t="s">
        <v>399</v>
      </c>
      <c r="K650">
        <v>1968</v>
      </c>
      <c r="O650">
        <v>-31.44</v>
      </c>
      <c r="P650" t="s">
        <v>397</v>
      </c>
      <c r="Q650" t="s">
        <v>398</v>
      </c>
    </row>
    <row r="651" spans="1:18">
      <c r="A651" t="s">
        <v>651</v>
      </c>
      <c r="C651" t="s">
        <v>393</v>
      </c>
      <c r="D651" t="s">
        <v>554</v>
      </c>
      <c r="E651" t="s">
        <v>161</v>
      </c>
      <c r="G651" t="s">
        <v>653</v>
      </c>
      <c r="H651" t="s">
        <v>399</v>
      </c>
      <c r="K651">
        <v>1968</v>
      </c>
      <c r="O651">
        <v>-31.200000000000003</v>
      </c>
      <c r="P651" t="s">
        <v>397</v>
      </c>
      <c r="Q651" t="s">
        <v>398</v>
      </c>
    </row>
    <row r="652" spans="1:18">
      <c r="A652" t="s">
        <v>651</v>
      </c>
      <c r="C652" t="s">
        <v>393</v>
      </c>
      <c r="D652" t="s">
        <v>554</v>
      </c>
      <c r="E652" t="s">
        <v>161</v>
      </c>
      <c r="G652" t="s">
        <v>655</v>
      </c>
      <c r="H652" t="s">
        <v>399</v>
      </c>
      <c r="K652">
        <v>1968</v>
      </c>
      <c r="O652">
        <v>-28.67</v>
      </c>
      <c r="P652" t="s">
        <v>397</v>
      </c>
      <c r="Q652" t="s">
        <v>398</v>
      </c>
    </row>
    <row r="653" spans="1:18">
      <c r="A653" t="s">
        <v>651</v>
      </c>
      <c r="C653" t="s">
        <v>393</v>
      </c>
      <c r="D653" t="s">
        <v>554</v>
      </c>
      <c r="E653" t="s">
        <v>161</v>
      </c>
      <c r="G653" t="s">
        <v>217</v>
      </c>
      <c r="H653" t="s">
        <v>399</v>
      </c>
      <c r="K653">
        <v>1968</v>
      </c>
      <c r="O653">
        <v>-28.1</v>
      </c>
      <c r="P653" t="s">
        <v>397</v>
      </c>
      <c r="Q653" t="s">
        <v>398</v>
      </c>
    </row>
    <row r="654" spans="1:18">
      <c r="A654" t="s">
        <v>651</v>
      </c>
      <c r="C654" t="s">
        <v>393</v>
      </c>
      <c r="D654" t="s">
        <v>554</v>
      </c>
      <c r="E654" t="s">
        <v>161</v>
      </c>
      <c r="G654" t="s">
        <v>652</v>
      </c>
      <c r="H654" t="s">
        <v>399</v>
      </c>
      <c r="K654">
        <v>1968</v>
      </c>
      <c r="O654">
        <v>-28.01</v>
      </c>
      <c r="P654" t="s">
        <v>397</v>
      </c>
      <c r="Q654" t="s">
        <v>398</v>
      </c>
    </row>
    <row r="655" spans="1:18">
      <c r="A655" t="s">
        <v>651</v>
      </c>
      <c r="C655" t="s">
        <v>393</v>
      </c>
      <c r="D655" t="s">
        <v>554</v>
      </c>
      <c r="E655" t="s">
        <v>161</v>
      </c>
      <c r="G655" t="s">
        <v>231</v>
      </c>
      <c r="H655" t="s">
        <v>399</v>
      </c>
      <c r="K655">
        <v>1968</v>
      </c>
      <c r="O655">
        <v>-24.35</v>
      </c>
      <c r="P655" t="s">
        <v>397</v>
      </c>
      <c r="Q655" t="s">
        <v>398</v>
      </c>
    </row>
    <row r="656" spans="1:18">
      <c r="A656" t="s">
        <v>651</v>
      </c>
      <c r="C656" t="s">
        <v>393</v>
      </c>
      <c r="D656" t="s">
        <v>554</v>
      </c>
      <c r="E656" t="s">
        <v>161</v>
      </c>
      <c r="G656" t="s">
        <v>656</v>
      </c>
      <c r="H656" t="s">
        <v>399</v>
      </c>
      <c r="K656">
        <v>1968</v>
      </c>
      <c r="O656">
        <v>-22.259999999999998</v>
      </c>
      <c r="P656" t="s">
        <v>397</v>
      </c>
      <c r="Q656" t="s">
        <v>398</v>
      </c>
    </row>
    <row r="657" spans="1:17">
      <c r="A657" t="s">
        <v>651</v>
      </c>
      <c r="C657" t="s">
        <v>393</v>
      </c>
      <c r="D657" t="s">
        <v>554</v>
      </c>
      <c r="E657" t="s">
        <v>161</v>
      </c>
      <c r="G657" t="s">
        <v>237</v>
      </c>
      <c r="H657" t="s">
        <v>399</v>
      </c>
      <c r="K657">
        <v>1968</v>
      </c>
      <c r="O657">
        <v>-19.899999999999999</v>
      </c>
      <c r="P657" t="s">
        <v>397</v>
      </c>
      <c r="Q657" t="s">
        <v>398</v>
      </c>
    </row>
    <row r="658" spans="1:17">
      <c r="A658" t="s">
        <v>651</v>
      </c>
      <c r="C658" t="s">
        <v>393</v>
      </c>
      <c r="D658" t="s">
        <v>554</v>
      </c>
      <c r="E658" t="s">
        <v>161</v>
      </c>
      <c r="G658" t="s">
        <v>618</v>
      </c>
      <c r="H658" t="s">
        <v>399</v>
      </c>
      <c r="K658">
        <v>1968</v>
      </c>
      <c r="O658">
        <v>-18.309999999999999</v>
      </c>
      <c r="P658" t="s">
        <v>397</v>
      </c>
      <c r="Q658" t="s">
        <v>398</v>
      </c>
    </row>
    <row r="659" spans="1:17">
      <c r="A659" t="s">
        <v>420</v>
      </c>
      <c r="C659" t="s">
        <v>19</v>
      </c>
      <c r="D659" t="s">
        <v>20</v>
      </c>
      <c r="E659" t="s">
        <v>161</v>
      </c>
      <c r="F659" t="s">
        <v>162</v>
      </c>
      <c r="G659" t="s">
        <v>657</v>
      </c>
      <c r="H659" t="s">
        <v>23</v>
      </c>
      <c r="I659">
        <v>52</v>
      </c>
      <c r="J659">
        <v>-11</v>
      </c>
      <c r="K659">
        <v>1963</v>
      </c>
      <c r="M659">
        <v>33</v>
      </c>
      <c r="N659" t="s">
        <v>24</v>
      </c>
      <c r="O659">
        <v>472</v>
      </c>
      <c r="P659" t="s">
        <v>15</v>
      </c>
    </row>
    <row r="660" spans="1:17">
      <c r="A660" t="s">
        <v>420</v>
      </c>
      <c r="C660" t="s">
        <v>19</v>
      </c>
      <c r="D660" t="s">
        <v>20</v>
      </c>
      <c r="E660" t="s">
        <v>161</v>
      </c>
      <c r="F660" t="s">
        <v>162</v>
      </c>
      <c r="G660" t="s">
        <v>658</v>
      </c>
      <c r="H660" t="s">
        <v>23</v>
      </c>
      <c r="I660">
        <v>56</v>
      </c>
      <c r="J660">
        <v>-13</v>
      </c>
      <c r="K660">
        <v>1960</v>
      </c>
      <c r="M660">
        <v>36</v>
      </c>
      <c r="N660" t="s">
        <v>24</v>
      </c>
      <c r="O660">
        <v>432</v>
      </c>
      <c r="P660" t="s">
        <v>15</v>
      </c>
    </row>
    <row r="661" spans="1:17">
      <c r="A661" t="s">
        <v>651</v>
      </c>
      <c r="C661" t="s">
        <v>393</v>
      </c>
      <c r="D661" t="s">
        <v>554</v>
      </c>
      <c r="E661" t="s">
        <v>161</v>
      </c>
      <c r="G661" t="s">
        <v>305</v>
      </c>
      <c r="H661" t="s">
        <v>399</v>
      </c>
      <c r="K661">
        <v>1968</v>
      </c>
      <c r="O661">
        <v>-17.22</v>
      </c>
      <c r="P661" t="s">
        <v>397</v>
      </c>
      <c r="Q661" t="s">
        <v>398</v>
      </c>
    </row>
    <row r="662" spans="1:17">
      <c r="A662" t="s">
        <v>651</v>
      </c>
      <c r="C662" t="s">
        <v>393</v>
      </c>
      <c r="D662" t="s">
        <v>554</v>
      </c>
      <c r="E662" t="s">
        <v>161</v>
      </c>
      <c r="G662" t="s">
        <v>211</v>
      </c>
      <c r="H662" t="s">
        <v>399</v>
      </c>
      <c r="K662">
        <v>1968</v>
      </c>
      <c r="O662">
        <v>-16.36</v>
      </c>
      <c r="P662" t="s">
        <v>397</v>
      </c>
      <c r="Q662" t="s">
        <v>398</v>
      </c>
    </row>
    <row r="663" spans="1:17">
      <c r="A663" t="s">
        <v>651</v>
      </c>
      <c r="C663" t="s">
        <v>393</v>
      </c>
      <c r="D663" t="s">
        <v>554</v>
      </c>
      <c r="E663" t="s">
        <v>161</v>
      </c>
      <c r="G663" t="s">
        <v>236</v>
      </c>
      <c r="H663" t="s">
        <v>399</v>
      </c>
      <c r="K663">
        <v>1968</v>
      </c>
      <c r="O663">
        <v>-15.069999999999999</v>
      </c>
      <c r="P663" t="s">
        <v>397</v>
      </c>
      <c r="Q663" t="s">
        <v>398</v>
      </c>
    </row>
    <row r="664" spans="1:17">
      <c r="A664" t="s">
        <v>651</v>
      </c>
      <c r="C664" t="s">
        <v>393</v>
      </c>
      <c r="D664" t="s">
        <v>554</v>
      </c>
      <c r="E664" t="s">
        <v>161</v>
      </c>
      <c r="G664" t="s">
        <v>237</v>
      </c>
      <c r="H664" t="s">
        <v>399</v>
      </c>
      <c r="K664">
        <v>1968</v>
      </c>
      <c r="O664">
        <v>-14.07</v>
      </c>
      <c r="P664" t="s">
        <v>397</v>
      </c>
      <c r="Q664" t="s">
        <v>398</v>
      </c>
    </row>
    <row r="665" spans="1:17">
      <c r="A665" t="s">
        <v>651</v>
      </c>
      <c r="C665" t="s">
        <v>393</v>
      </c>
      <c r="D665" t="s">
        <v>554</v>
      </c>
      <c r="E665" t="s">
        <v>161</v>
      </c>
      <c r="G665" t="s">
        <v>659</v>
      </c>
      <c r="H665" t="s">
        <v>399</v>
      </c>
      <c r="K665">
        <v>1968</v>
      </c>
      <c r="O665">
        <v>-13.94</v>
      </c>
      <c r="P665" t="s">
        <v>397</v>
      </c>
      <c r="Q665" t="s">
        <v>398</v>
      </c>
    </row>
    <row r="666" spans="1:17">
      <c r="A666" t="s">
        <v>651</v>
      </c>
      <c r="C666" t="s">
        <v>393</v>
      </c>
      <c r="D666" t="s">
        <v>554</v>
      </c>
      <c r="E666" t="s">
        <v>161</v>
      </c>
      <c r="G666" t="s">
        <v>660</v>
      </c>
      <c r="H666" t="s">
        <v>399</v>
      </c>
      <c r="K666">
        <v>1968</v>
      </c>
      <c r="O666">
        <v>-13.71</v>
      </c>
      <c r="P666" t="s">
        <v>397</v>
      </c>
      <c r="Q666" t="s">
        <v>398</v>
      </c>
    </row>
    <row r="667" spans="1:17">
      <c r="A667" t="s">
        <v>651</v>
      </c>
      <c r="C667" t="s">
        <v>393</v>
      </c>
      <c r="D667" t="s">
        <v>554</v>
      </c>
      <c r="E667" t="s">
        <v>161</v>
      </c>
      <c r="G667" t="s">
        <v>221</v>
      </c>
      <c r="H667" t="s">
        <v>399</v>
      </c>
      <c r="K667">
        <v>1968</v>
      </c>
      <c r="O667">
        <v>-12.110000000000001</v>
      </c>
      <c r="P667" t="s">
        <v>397</v>
      </c>
      <c r="Q667" t="s">
        <v>398</v>
      </c>
    </row>
    <row r="668" spans="1:17">
      <c r="A668" t="s">
        <v>651</v>
      </c>
      <c r="C668" t="s">
        <v>393</v>
      </c>
      <c r="D668" t="s">
        <v>554</v>
      </c>
      <c r="E668" t="s">
        <v>161</v>
      </c>
      <c r="G668" t="s">
        <v>661</v>
      </c>
      <c r="H668" t="s">
        <v>399</v>
      </c>
      <c r="K668">
        <v>1968</v>
      </c>
      <c r="O668">
        <v>-11.299999999999999</v>
      </c>
      <c r="P668" t="s">
        <v>397</v>
      </c>
      <c r="Q668" t="s">
        <v>398</v>
      </c>
    </row>
    <row r="669" spans="1:17">
      <c r="A669" t="s">
        <v>651</v>
      </c>
      <c r="C669" t="s">
        <v>393</v>
      </c>
      <c r="D669" t="s">
        <v>554</v>
      </c>
      <c r="E669" t="s">
        <v>161</v>
      </c>
      <c r="G669" t="s">
        <v>305</v>
      </c>
      <c r="H669" t="s">
        <v>399</v>
      </c>
      <c r="K669">
        <v>1968</v>
      </c>
      <c r="O669">
        <v>-9.68</v>
      </c>
      <c r="P669" t="s">
        <v>397</v>
      </c>
      <c r="Q669" t="s">
        <v>398</v>
      </c>
    </row>
    <row r="670" spans="1:17">
      <c r="A670" t="s">
        <v>651</v>
      </c>
      <c r="C670" t="s">
        <v>393</v>
      </c>
      <c r="D670" t="s">
        <v>554</v>
      </c>
      <c r="E670" t="s">
        <v>161</v>
      </c>
      <c r="G670" t="s">
        <v>662</v>
      </c>
      <c r="H670" t="s">
        <v>399</v>
      </c>
      <c r="K670">
        <v>1968</v>
      </c>
      <c r="O670">
        <v>-9.26</v>
      </c>
      <c r="P670" t="s">
        <v>397</v>
      </c>
      <c r="Q670" t="s">
        <v>398</v>
      </c>
    </row>
    <row r="671" spans="1:17">
      <c r="A671" t="s">
        <v>651</v>
      </c>
      <c r="C671" t="s">
        <v>393</v>
      </c>
      <c r="D671" t="s">
        <v>554</v>
      </c>
      <c r="E671" t="s">
        <v>161</v>
      </c>
      <c r="G671" t="s">
        <v>225</v>
      </c>
      <c r="H671" t="s">
        <v>399</v>
      </c>
      <c r="K671">
        <v>1968</v>
      </c>
      <c r="O671">
        <v>-9.1</v>
      </c>
      <c r="P671" t="s">
        <v>397</v>
      </c>
      <c r="Q671" t="s">
        <v>398</v>
      </c>
    </row>
    <row r="672" spans="1:17">
      <c r="A672" t="s">
        <v>651</v>
      </c>
      <c r="C672" t="s">
        <v>393</v>
      </c>
      <c r="D672" t="s">
        <v>554</v>
      </c>
      <c r="E672" t="s">
        <v>161</v>
      </c>
      <c r="G672" t="s">
        <v>219</v>
      </c>
      <c r="H672" t="s">
        <v>399</v>
      </c>
      <c r="K672">
        <v>1968</v>
      </c>
      <c r="O672">
        <v>-8.2999999999999989</v>
      </c>
      <c r="P672" t="s">
        <v>397</v>
      </c>
      <c r="Q672" t="s">
        <v>398</v>
      </c>
    </row>
    <row r="673" spans="1:17">
      <c r="A673" t="s">
        <v>651</v>
      </c>
      <c r="C673" t="s">
        <v>393</v>
      </c>
      <c r="D673" t="s">
        <v>554</v>
      </c>
      <c r="E673" t="s">
        <v>161</v>
      </c>
      <c r="G673" t="s">
        <v>236</v>
      </c>
      <c r="H673" t="s">
        <v>399</v>
      </c>
      <c r="K673">
        <v>1968</v>
      </c>
      <c r="O673">
        <v>-7.4</v>
      </c>
      <c r="P673" t="s">
        <v>397</v>
      </c>
      <c r="Q673" t="s">
        <v>398</v>
      </c>
    </row>
    <row r="674" spans="1:17">
      <c r="A674" t="s">
        <v>651</v>
      </c>
      <c r="C674" t="s">
        <v>393</v>
      </c>
      <c r="D674" t="s">
        <v>554</v>
      </c>
      <c r="E674" t="s">
        <v>161</v>
      </c>
      <c r="G674" t="s">
        <v>232</v>
      </c>
      <c r="H674" t="s">
        <v>399</v>
      </c>
      <c r="K674">
        <v>1968</v>
      </c>
      <c r="O674">
        <v>-6.93</v>
      </c>
      <c r="P674" t="s">
        <v>397</v>
      </c>
      <c r="Q674" t="s">
        <v>398</v>
      </c>
    </row>
    <row r="675" spans="1:17">
      <c r="A675" t="s">
        <v>651</v>
      </c>
      <c r="C675" t="s">
        <v>393</v>
      </c>
      <c r="D675" t="s">
        <v>554</v>
      </c>
      <c r="E675" t="s">
        <v>161</v>
      </c>
      <c r="G675" t="s">
        <v>227</v>
      </c>
      <c r="H675" t="s">
        <v>399</v>
      </c>
      <c r="K675">
        <v>1968</v>
      </c>
      <c r="O675">
        <v>-6.7700000000000005</v>
      </c>
      <c r="P675" t="s">
        <v>397</v>
      </c>
      <c r="Q675" t="s">
        <v>398</v>
      </c>
    </row>
    <row r="676" spans="1:17">
      <c r="A676" t="s">
        <v>663</v>
      </c>
      <c r="C676" t="s">
        <v>393</v>
      </c>
      <c r="D676" t="s">
        <v>664</v>
      </c>
      <c r="E676" t="s">
        <v>368</v>
      </c>
      <c r="F676" t="s">
        <v>368</v>
      </c>
      <c r="G676" t="s">
        <v>665</v>
      </c>
      <c r="H676" t="s">
        <v>666</v>
      </c>
      <c r="K676">
        <v>1950</v>
      </c>
      <c r="L676">
        <v>2019</v>
      </c>
      <c r="M676">
        <f>L676-K676+1</f>
        <v>70</v>
      </c>
      <c r="O676">
        <v>107</v>
      </c>
      <c r="P676" t="str">
        <f>(IF(O676&gt;0,"Consistent","Not consistent"))</f>
        <v>Consistent</v>
      </c>
      <c r="Q676" t="s">
        <v>667</v>
      </c>
    </row>
    <row r="677" spans="1:17">
      <c r="A677" t="s">
        <v>651</v>
      </c>
      <c r="C677" t="s">
        <v>393</v>
      </c>
      <c r="D677" t="s">
        <v>554</v>
      </c>
      <c r="E677" t="s">
        <v>161</v>
      </c>
      <c r="G677" t="s">
        <v>223</v>
      </c>
      <c r="H677" t="s">
        <v>399</v>
      </c>
      <c r="K677">
        <v>1968</v>
      </c>
      <c r="O677">
        <v>-6.59</v>
      </c>
      <c r="P677" t="s">
        <v>397</v>
      </c>
      <c r="Q677" t="s">
        <v>398</v>
      </c>
    </row>
    <row r="678" spans="1:17">
      <c r="A678" t="s">
        <v>651</v>
      </c>
      <c r="C678" t="s">
        <v>393</v>
      </c>
      <c r="D678" t="s">
        <v>554</v>
      </c>
      <c r="E678" t="s">
        <v>161</v>
      </c>
      <c r="G678" t="s">
        <v>235</v>
      </c>
      <c r="H678" t="s">
        <v>399</v>
      </c>
      <c r="K678">
        <v>1968</v>
      </c>
      <c r="O678">
        <v>-6.04</v>
      </c>
      <c r="P678" t="s">
        <v>397</v>
      </c>
      <c r="Q678" t="s">
        <v>398</v>
      </c>
    </row>
    <row r="679" spans="1:17">
      <c r="A679" s="2" t="s">
        <v>668</v>
      </c>
      <c r="C679" t="s">
        <v>669</v>
      </c>
      <c r="E679" t="s">
        <v>368</v>
      </c>
      <c r="F679" t="s">
        <v>368</v>
      </c>
    </row>
    <row r="680" spans="1:17">
      <c r="A680" s="2" t="s">
        <v>670</v>
      </c>
      <c r="C680" t="s">
        <v>671</v>
      </c>
      <c r="E680" t="s">
        <v>368</v>
      </c>
      <c r="F680" t="s">
        <v>368</v>
      </c>
    </row>
    <row r="681" spans="1:17">
      <c r="A681" t="s">
        <v>420</v>
      </c>
      <c r="C681" t="s">
        <v>19</v>
      </c>
      <c r="D681" t="s">
        <v>20</v>
      </c>
      <c r="E681" t="s">
        <v>161</v>
      </c>
      <c r="F681" t="s">
        <v>162</v>
      </c>
      <c r="G681" t="s">
        <v>672</v>
      </c>
      <c r="H681" t="s">
        <v>23</v>
      </c>
      <c r="I681">
        <v>56</v>
      </c>
      <c r="J681">
        <v>-13</v>
      </c>
      <c r="K681">
        <v>1960</v>
      </c>
      <c r="M681">
        <v>36</v>
      </c>
      <c r="N681" t="s">
        <v>24</v>
      </c>
      <c r="O681">
        <v>541</v>
      </c>
      <c r="P681" t="s">
        <v>15</v>
      </c>
    </row>
    <row r="682" spans="1:17">
      <c r="A682" t="s">
        <v>673</v>
      </c>
      <c r="C682" t="s">
        <v>19</v>
      </c>
      <c r="D682" t="s">
        <v>160</v>
      </c>
      <c r="E682" t="s">
        <v>161</v>
      </c>
      <c r="F682" t="s">
        <v>162</v>
      </c>
      <c r="G682" t="s">
        <v>674</v>
      </c>
      <c r="H682" t="s">
        <v>23</v>
      </c>
      <c r="I682">
        <v>40</v>
      </c>
      <c r="J682">
        <v>1</v>
      </c>
      <c r="K682">
        <v>1950</v>
      </c>
      <c r="M682">
        <v>55</v>
      </c>
      <c r="N682" t="s">
        <v>24</v>
      </c>
      <c r="O682">
        <v>40</v>
      </c>
      <c r="P682" t="s">
        <v>15</v>
      </c>
    </row>
    <row r="683" spans="1:17">
      <c r="A683" t="s">
        <v>675</v>
      </c>
      <c r="C683" t="s">
        <v>19</v>
      </c>
      <c r="D683" t="s">
        <v>20</v>
      </c>
      <c r="E683" t="s">
        <v>161</v>
      </c>
      <c r="F683" t="s">
        <v>162</v>
      </c>
      <c r="G683" t="s">
        <v>421</v>
      </c>
      <c r="H683" t="s">
        <v>23</v>
      </c>
      <c r="I683">
        <v>49.67</v>
      </c>
      <c r="J683">
        <v>-4.33</v>
      </c>
      <c r="K683">
        <v>1966</v>
      </c>
      <c r="M683">
        <v>30</v>
      </c>
      <c r="N683" t="s">
        <v>24</v>
      </c>
      <c r="O683">
        <v>536.07000000000005</v>
      </c>
      <c r="P683" t="s">
        <v>15</v>
      </c>
    </row>
    <row r="684" spans="1:17">
      <c r="A684" t="s">
        <v>676</v>
      </c>
      <c r="C684" t="s">
        <v>19</v>
      </c>
      <c r="D684" t="s">
        <v>20</v>
      </c>
      <c r="E684" t="s">
        <v>161</v>
      </c>
      <c r="F684" t="s">
        <v>162</v>
      </c>
      <c r="G684" t="s">
        <v>210</v>
      </c>
      <c r="H684" t="s">
        <v>29</v>
      </c>
      <c r="I684">
        <v>57.1</v>
      </c>
      <c r="J684">
        <v>2.5</v>
      </c>
      <c r="K684">
        <v>1913</v>
      </c>
      <c r="M684">
        <v>100</v>
      </c>
      <c r="N684" t="s">
        <v>30</v>
      </c>
      <c r="O684">
        <v>-10.1</v>
      </c>
      <c r="P684" t="s">
        <v>15</v>
      </c>
    </row>
    <row r="685" spans="1:17">
      <c r="A685" t="s">
        <v>677</v>
      </c>
      <c r="C685" t="s">
        <v>19</v>
      </c>
      <c r="D685" t="s">
        <v>20</v>
      </c>
      <c r="E685" t="s">
        <v>161</v>
      </c>
      <c r="F685" t="s">
        <v>162</v>
      </c>
      <c r="G685" t="s">
        <v>225</v>
      </c>
      <c r="H685" t="s">
        <v>23</v>
      </c>
      <c r="I685">
        <v>72</v>
      </c>
      <c r="J685">
        <v>25</v>
      </c>
      <c r="K685">
        <v>1981</v>
      </c>
      <c r="M685">
        <v>28</v>
      </c>
      <c r="N685" t="s">
        <v>24</v>
      </c>
      <c r="O685">
        <v>100</v>
      </c>
      <c r="P685" t="s">
        <v>15</v>
      </c>
      <c r="Q685" t="s">
        <v>678</v>
      </c>
    </row>
    <row r="686" spans="1:17">
      <c r="A686" t="s">
        <v>679</v>
      </c>
      <c r="C686" t="s">
        <v>19</v>
      </c>
      <c r="D686" t="s">
        <v>20</v>
      </c>
      <c r="E686" t="s">
        <v>161</v>
      </c>
      <c r="F686" t="s">
        <v>162</v>
      </c>
      <c r="G686" t="s">
        <v>680</v>
      </c>
      <c r="H686" t="s">
        <v>38</v>
      </c>
      <c r="I686">
        <v>48.65</v>
      </c>
      <c r="J686">
        <v>-4.26</v>
      </c>
      <c r="K686">
        <v>1978</v>
      </c>
      <c r="M686">
        <v>30</v>
      </c>
      <c r="N686" t="s">
        <v>24</v>
      </c>
      <c r="O686">
        <v>62.9</v>
      </c>
      <c r="P686" t="s">
        <v>15</v>
      </c>
    </row>
    <row r="687" spans="1:17">
      <c r="A687" t="s">
        <v>679</v>
      </c>
      <c r="C687" t="s">
        <v>19</v>
      </c>
      <c r="D687" t="s">
        <v>20</v>
      </c>
      <c r="E687" t="s">
        <v>161</v>
      </c>
      <c r="F687" t="s">
        <v>162</v>
      </c>
      <c r="G687" t="s">
        <v>681</v>
      </c>
      <c r="H687" t="s">
        <v>38</v>
      </c>
      <c r="I687">
        <v>48.65</v>
      </c>
      <c r="J687">
        <v>-4.26</v>
      </c>
      <c r="K687">
        <v>1978</v>
      </c>
      <c r="M687">
        <v>30</v>
      </c>
      <c r="N687" t="s">
        <v>24</v>
      </c>
      <c r="O687">
        <v>262.7</v>
      </c>
      <c r="P687" t="s">
        <v>15</v>
      </c>
    </row>
    <row r="688" spans="1:17">
      <c r="A688" t="s">
        <v>679</v>
      </c>
      <c r="C688" t="s">
        <v>19</v>
      </c>
      <c r="D688" t="s">
        <v>20</v>
      </c>
      <c r="E688" t="s">
        <v>161</v>
      </c>
      <c r="F688" t="s">
        <v>162</v>
      </c>
      <c r="G688" t="s">
        <v>682</v>
      </c>
      <c r="H688" t="s">
        <v>38</v>
      </c>
      <c r="I688">
        <v>48.65</v>
      </c>
      <c r="J688">
        <v>-4.26</v>
      </c>
      <c r="K688">
        <v>1978</v>
      </c>
      <c r="M688">
        <v>30</v>
      </c>
      <c r="N688" t="s">
        <v>24</v>
      </c>
      <c r="O688">
        <v>410.7</v>
      </c>
      <c r="P688" t="s">
        <v>15</v>
      </c>
    </row>
    <row r="689" spans="1:17">
      <c r="A689" t="s">
        <v>679</v>
      </c>
      <c r="C689" t="s">
        <v>19</v>
      </c>
      <c r="D689" t="s">
        <v>20</v>
      </c>
      <c r="E689" t="s">
        <v>161</v>
      </c>
      <c r="F689" t="s">
        <v>162</v>
      </c>
      <c r="G689" t="s">
        <v>683</v>
      </c>
      <c r="H689" t="s">
        <v>38</v>
      </c>
      <c r="I689">
        <v>48.65</v>
      </c>
      <c r="J689">
        <v>-4.26</v>
      </c>
      <c r="K689">
        <v>1978</v>
      </c>
      <c r="M689">
        <v>30</v>
      </c>
      <c r="N689" t="s">
        <v>24</v>
      </c>
      <c r="O689">
        <v>225.7</v>
      </c>
      <c r="P689" t="s">
        <v>15</v>
      </c>
    </row>
    <row r="690" spans="1:17">
      <c r="A690" t="s">
        <v>679</v>
      </c>
      <c r="C690" t="s">
        <v>19</v>
      </c>
      <c r="D690" t="s">
        <v>20</v>
      </c>
      <c r="E690" t="s">
        <v>161</v>
      </c>
      <c r="F690" t="s">
        <v>162</v>
      </c>
      <c r="G690" t="s">
        <v>684</v>
      </c>
      <c r="H690" t="s">
        <v>38</v>
      </c>
      <c r="I690">
        <v>48.65</v>
      </c>
      <c r="J690">
        <v>-4.26</v>
      </c>
      <c r="K690">
        <v>1978</v>
      </c>
      <c r="M690">
        <v>30</v>
      </c>
      <c r="N690" t="s">
        <v>84</v>
      </c>
      <c r="O690">
        <v>0</v>
      </c>
      <c r="P690" t="s">
        <v>85</v>
      </c>
    </row>
    <row r="691" spans="1:17">
      <c r="A691" t="s">
        <v>679</v>
      </c>
      <c r="C691" t="s">
        <v>19</v>
      </c>
      <c r="D691" t="s">
        <v>20</v>
      </c>
      <c r="E691" t="s">
        <v>161</v>
      </c>
      <c r="F691" t="s">
        <v>162</v>
      </c>
      <c r="G691" t="s">
        <v>685</v>
      </c>
      <c r="H691" t="s">
        <v>38</v>
      </c>
      <c r="I691">
        <v>48.65</v>
      </c>
      <c r="J691">
        <v>-4.26</v>
      </c>
      <c r="K691">
        <v>1978</v>
      </c>
      <c r="M691">
        <v>30</v>
      </c>
      <c r="N691" t="s">
        <v>24</v>
      </c>
      <c r="O691">
        <v>51.8</v>
      </c>
      <c r="P691" t="s">
        <v>15</v>
      </c>
    </row>
    <row r="692" spans="1:17">
      <c r="A692" t="s">
        <v>679</v>
      </c>
      <c r="C692" t="s">
        <v>19</v>
      </c>
      <c r="D692" t="s">
        <v>20</v>
      </c>
      <c r="E692" t="s">
        <v>161</v>
      </c>
      <c r="F692" t="s">
        <v>162</v>
      </c>
      <c r="G692" t="s">
        <v>166</v>
      </c>
      <c r="H692" t="s">
        <v>38</v>
      </c>
      <c r="I692">
        <v>48.65</v>
      </c>
      <c r="J692">
        <v>-4.26</v>
      </c>
      <c r="K692">
        <v>1978</v>
      </c>
      <c r="M692">
        <v>30</v>
      </c>
      <c r="N692" t="s">
        <v>24</v>
      </c>
      <c r="O692">
        <v>55.5</v>
      </c>
      <c r="P692" t="s">
        <v>15</v>
      </c>
    </row>
    <row r="693" spans="1:17">
      <c r="A693" t="s">
        <v>679</v>
      </c>
      <c r="C693" t="s">
        <v>19</v>
      </c>
      <c r="D693" t="s">
        <v>20</v>
      </c>
      <c r="E693" t="s">
        <v>161</v>
      </c>
      <c r="F693" t="s">
        <v>162</v>
      </c>
      <c r="G693" t="s">
        <v>686</v>
      </c>
      <c r="H693" t="s">
        <v>38</v>
      </c>
      <c r="I693">
        <v>48.65</v>
      </c>
      <c r="J693">
        <v>-4.26</v>
      </c>
      <c r="K693">
        <v>1978</v>
      </c>
      <c r="M693">
        <v>30</v>
      </c>
      <c r="N693" t="s">
        <v>84</v>
      </c>
      <c r="O693">
        <v>0</v>
      </c>
      <c r="P693" t="s">
        <v>85</v>
      </c>
    </row>
    <row r="694" spans="1:17">
      <c r="A694" t="s">
        <v>679</v>
      </c>
      <c r="C694" t="s">
        <v>19</v>
      </c>
      <c r="D694" t="s">
        <v>20</v>
      </c>
      <c r="E694" t="s">
        <v>161</v>
      </c>
      <c r="F694" t="s">
        <v>162</v>
      </c>
      <c r="G694" t="s">
        <v>165</v>
      </c>
      <c r="H694" t="s">
        <v>38</v>
      </c>
      <c r="I694">
        <v>48.65</v>
      </c>
      <c r="J694">
        <v>-4.26</v>
      </c>
      <c r="K694">
        <v>1978</v>
      </c>
      <c r="M694">
        <v>30</v>
      </c>
      <c r="N694" t="s">
        <v>24</v>
      </c>
      <c r="O694">
        <v>33.299999999999997</v>
      </c>
      <c r="P694" t="s">
        <v>15</v>
      </c>
    </row>
    <row r="695" spans="1:17">
      <c r="A695" t="s">
        <v>679</v>
      </c>
      <c r="C695" t="s">
        <v>19</v>
      </c>
      <c r="D695" t="s">
        <v>20</v>
      </c>
      <c r="E695" t="s">
        <v>161</v>
      </c>
      <c r="F695" t="s">
        <v>162</v>
      </c>
      <c r="G695" t="s">
        <v>687</v>
      </c>
      <c r="H695" t="s">
        <v>38</v>
      </c>
      <c r="I695">
        <v>48.65</v>
      </c>
      <c r="J695">
        <v>-4.26</v>
      </c>
      <c r="K695">
        <v>1978</v>
      </c>
      <c r="M695">
        <v>30</v>
      </c>
      <c r="N695" t="s">
        <v>24</v>
      </c>
      <c r="O695">
        <v>22.2</v>
      </c>
      <c r="P695" t="s">
        <v>15</v>
      </c>
    </row>
    <row r="696" spans="1:17">
      <c r="A696" t="s">
        <v>679</v>
      </c>
      <c r="C696" t="s">
        <v>19</v>
      </c>
      <c r="D696" t="s">
        <v>20</v>
      </c>
      <c r="E696" t="s">
        <v>161</v>
      </c>
      <c r="F696" t="s">
        <v>162</v>
      </c>
      <c r="G696" t="s">
        <v>688</v>
      </c>
      <c r="H696" t="s">
        <v>38</v>
      </c>
      <c r="I696">
        <v>48.65</v>
      </c>
      <c r="J696">
        <v>-4.26</v>
      </c>
      <c r="K696">
        <v>1978</v>
      </c>
      <c r="M696">
        <v>30</v>
      </c>
      <c r="N696" t="s">
        <v>24</v>
      </c>
      <c r="O696">
        <v>236.8</v>
      </c>
      <c r="P696" t="s">
        <v>15</v>
      </c>
    </row>
    <row r="697" spans="1:17">
      <c r="A697" t="s">
        <v>679</v>
      </c>
      <c r="C697" t="s">
        <v>19</v>
      </c>
      <c r="D697" t="s">
        <v>20</v>
      </c>
      <c r="E697" t="s">
        <v>161</v>
      </c>
      <c r="F697" t="s">
        <v>162</v>
      </c>
      <c r="G697" t="s">
        <v>248</v>
      </c>
      <c r="H697" t="s">
        <v>38</v>
      </c>
      <c r="I697">
        <v>48.65</v>
      </c>
      <c r="J697">
        <v>-4.26</v>
      </c>
      <c r="K697">
        <v>1978</v>
      </c>
      <c r="M697">
        <v>30</v>
      </c>
      <c r="N697" t="s">
        <v>24</v>
      </c>
      <c r="O697">
        <v>166.5</v>
      </c>
      <c r="P697" t="s">
        <v>15</v>
      </c>
    </row>
    <row r="698" spans="1:17">
      <c r="A698" t="s">
        <v>689</v>
      </c>
      <c r="C698" t="s">
        <v>19</v>
      </c>
      <c r="D698" t="s">
        <v>371</v>
      </c>
      <c r="E698" t="s">
        <v>161</v>
      </c>
      <c r="F698" t="s">
        <v>162</v>
      </c>
      <c r="G698" t="s">
        <v>690</v>
      </c>
      <c r="H698" t="s">
        <v>23</v>
      </c>
      <c r="I698">
        <v>40</v>
      </c>
      <c r="J698">
        <v>-71</v>
      </c>
      <c r="K698">
        <v>1972</v>
      </c>
      <c r="M698">
        <v>37</v>
      </c>
      <c r="N698" t="s">
        <v>24</v>
      </c>
      <c r="O698">
        <v>55</v>
      </c>
      <c r="P698" t="s">
        <v>15</v>
      </c>
      <c r="Q698" t="s">
        <v>691</v>
      </c>
    </row>
    <row r="699" spans="1:17">
      <c r="A699" t="s">
        <v>689</v>
      </c>
      <c r="C699" t="s">
        <v>19</v>
      </c>
      <c r="D699" t="s">
        <v>371</v>
      </c>
      <c r="E699" t="s">
        <v>161</v>
      </c>
      <c r="F699" t="s">
        <v>162</v>
      </c>
      <c r="G699" t="s">
        <v>652</v>
      </c>
      <c r="H699" t="s">
        <v>23</v>
      </c>
      <c r="I699">
        <v>40</v>
      </c>
      <c r="J699">
        <v>-71</v>
      </c>
      <c r="K699">
        <v>1972</v>
      </c>
      <c r="M699">
        <v>37</v>
      </c>
      <c r="N699" t="s">
        <v>24</v>
      </c>
      <c r="O699">
        <v>45</v>
      </c>
      <c r="P699" t="s">
        <v>15</v>
      </c>
      <c r="Q699" t="s">
        <v>691</v>
      </c>
    </row>
    <row r="700" spans="1:17">
      <c r="A700" t="s">
        <v>689</v>
      </c>
      <c r="C700" t="s">
        <v>19</v>
      </c>
      <c r="D700" t="s">
        <v>371</v>
      </c>
      <c r="E700" t="s">
        <v>161</v>
      </c>
      <c r="F700" t="s">
        <v>162</v>
      </c>
      <c r="G700" t="s">
        <v>211</v>
      </c>
      <c r="H700" t="s">
        <v>38</v>
      </c>
      <c r="I700">
        <v>40</v>
      </c>
      <c r="J700">
        <v>-71</v>
      </c>
      <c r="K700">
        <v>1972</v>
      </c>
      <c r="M700">
        <v>37</v>
      </c>
      <c r="N700" t="s">
        <v>84</v>
      </c>
      <c r="O700">
        <v>0</v>
      </c>
      <c r="P700" t="s">
        <v>85</v>
      </c>
    </row>
    <row r="701" spans="1:17">
      <c r="A701" t="s">
        <v>692</v>
      </c>
      <c r="C701" t="s">
        <v>393</v>
      </c>
      <c r="D701" t="s">
        <v>693</v>
      </c>
      <c r="E701" t="s">
        <v>161</v>
      </c>
      <c r="F701" t="s">
        <v>161</v>
      </c>
      <c r="G701" t="s">
        <v>694</v>
      </c>
      <c r="H701" t="s">
        <v>38</v>
      </c>
      <c r="K701">
        <v>1992</v>
      </c>
      <c r="L701">
        <v>2016</v>
      </c>
      <c r="M701">
        <v>37</v>
      </c>
      <c r="O701">
        <v>73</v>
      </c>
      <c r="P701" t="s">
        <v>15</v>
      </c>
      <c r="Q701" t="s">
        <v>695</v>
      </c>
    </row>
    <row r="702" spans="1:17">
      <c r="A702" t="s">
        <v>692</v>
      </c>
      <c r="C702" t="s">
        <v>393</v>
      </c>
      <c r="D702" t="s">
        <v>693</v>
      </c>
      <c r="E702" t="s">
        <v>161</v>
      </c>
      <c r="F702" t="s">
        <v>161</v>
      </c>
      <c r="G702" t="s">
        <v>696</v>
      </c>
      <c r="H702" t="s">
        <v>38</v>
      </c>
      <c r="K702">
        <v>1992</v>
      </c>
      <c r="L702">
        <v>2016</v>
      </c>
      <c r="M702">
        <v>37</v>
      </c>
      <c r="O702">
        <v>19</v>
      </c>
      <c r="P702" t="s">
        <v>15</v>
      </c>
      <c r="Q702" t="s">
        <v>695</v>
      </c>
    </row>
    <row r="703" spans="1:17">
      <c r="A703" t="s">
        <v>697</v>
      </c>
      <c r="C703" t="s">
        <v>393</v>
      </c>
      <c r="D703" t="s">
        <v>698</v>
      </c>
      <c r="E703" t="s">
        <v>161</v>
      </c>
      <c r="G703" t="s">
        <v>699</v>
      </c>
      <c r="H703" t="s">
        <v>700</v>
      </c>
      <c r="K703">
        <v>1981</v>
      </c>
      <c r="L703">
        <v>2017</v>
      </c>
      <c r="M703">
        <v>36</v>
      </c>
      <c r="O703" t="s">
        <v>163</v>
      </c>
      <c r="P703" t="s">
        <v>397</v>
      </c>
      <c r="Q703" t="s">
        <v>701</v>
      </c>
    </row>
    <row r="704" spans="1:17">
      <c r="A704" t="s">
        <v>697</v>
      </c>
      <c r="C704" t="s">
        <v>393</v>
      </c>
      <c r="D704" t="s">
        <v>698</v>
      </c>
      <c r="E704" t="s">
        <v>161</v>
      </c>
      <c r="G704" t="s">
        <v>699</v>
      </c>
      <c r="H704" t="s">
        <v>406</v>
      </c>
      <c r="K704">
        <v>1981</v>
      </c>
      <c r="L704">
        <v>2017</v>
      </c>
      <c r="M704">
        <v>36</v>
      </c>
      <c r="O704" t="s">
        <v>163</v>
      </c>
      <c r="P704" t="s">
        <v>397</v>
      </c>
      <c r="Q704" t="s">
        <v>701</v>
      </c>
    </row>
    <row r="705" spans="1:17">
      <c r="A705" t="s">
        <v>702</v>
      </c>
      <c r="C705" t="s">
        <v>393</v>
      </c>
      <c r="D705" t="s">
        <v>703</v>
      </c>
      <c r="E705" t="s">
        <v>161</v>
      </c>
      <c r="G705" t="s">
        <v>704</v>
      </c>
      <c r="H705" t="s">
        <v>406</v>
      </c>
      <c r="K705">
        <v>1968</v>
      </c>
      <c r="L705">
        <v>2017</v>
      </c>
      <c r="M705">
        <v>49</v>
      </c>
      <c r="O705">
        <v>-62.300000000000004</v>
      </c>
      <c r="P705" t="s">
        <v>397</v>
      </c>
      <c r="Q705" t="s">
        <v>701</v>
      </c>
    </row>
    <row r="706" spans="1:17">
      <c r="A706" t="s">
        <v>702</v>
      </c>
      <c r="C706" t="s">
        <v>393</v>
      </c>
      <c r="D706" t="s">
        <v>703</v>
      </c>
      <c r="E706" t="s">
        <v>161</v>
      </c>
      <c r="G706" t="s">
        <v>705</v>
      </c>
      <c r="H706" t="s">
        <v>706</v>
      </c>
      <c r="K706">
        <v>1968</v>
      </c>
      <c r="L706">
        <v>2017</v>
      </c>
      <c r="M706">
        <v>49</v>
      </c>
      <c r="O706">
        <v>-73.600000000000009</v>
      </c>
      <c r="P706" t="s">
        <v>397</v>
      </c>
      <c r="Q706" t="s">
        <v>701</v>
      </c>
    </row>
    <row r="707" spans="1:17">
      <c r="A707" t="s">
        <v>702</v>
      </c>
      <c r="C707" t="s">
        <v>393</v>
      </c>
      <c r="D707" t="s">
        <v>703</v>
      </c>
      <c r="E707" t="s">
        <v>161</v>
      </c>
      <c r="G707" t="s">
        <v>707</v>
      </c>
      <c r="H707" t="s">
        <v>406</v>
      </c>
      <c r="K707">
        <v>1968</v>
      </c>
      <c r="L707">
        <v>2017</v>
      </c>
      <c r="M707">
        <v>49</v>
      </c>
      <c r="O707">
        <v>-135.80000000000001</v>
      </c>
      <c r="P707" t="s">
        <v>397</v>
      </c>
      <c r="Q707" t="s">
        <v>701</v>
      </c>
    </row>
    <row r="708" spans="1:17">
      <c r="A708" t="s">
        <v>708</v>
      </c>
      <c r="C708" t="s">
        <v>393</v>
      </c>
      <c r="D708" t="s">
        <v>709</v>
      </c>
      <c r="E708" t="s">
        <v>161</v>
      </c>
      <c r="G708" t="s">
        <v>710</v>
      </c>
      <c r="H708" t="s">
        <v>700</v>
      </c>
      <c r="K708">
        <v>1982</v>
      </c>
      <c r="L708">
        <v>2011</v>
      </c>
      <c r="M708">
        <v>29</v>
      </c>
      <c r="O708">
        <v>-2.0689655199999999</v>
      </c>
      <c r="P708" t="s">
        <v>397</v>
      </c>
      <c r="Q708" t="s">
        <v>701</v>
      </c>
    </row>
    <row r="709" spans="1:17">
      <c r="A709" t="s">
        <v>708</v>
      </c>
      <c r="C709" t="s">
        <v>393</v>
      </c>
      <c r="D709" t="s">
        <v>709</v>
      </c>
      <c r="E709" t="s">
        <v>161</v>
      </c>
      <c r="G709" t="s">
        <v>711</v>
      </c>
      <c r="H709" t="s">
        <v>700</v>
      </c>
      <c r="K709">
        <v>1982</v>
      </c>
      <c r="L709">
        <v>2011</v>
      </c>
      <c r="M709">
        <v>29</v>
      </c>
      <c r="O709">
        <v>-5.5172413799999998</v>
      </c>
      <c r="P709" t="s">
        <v>397</v>
      </c>
      <c r="Q709" t="s">
        <v>701</v>
      </c>
    </row>
    <row r="710" spans="1:17">
      <c r="A710" t="s">
        <v>708</v>
      </c>
      <c r="C710" t="s">
        <v>393</v>
      </c>
      <c r="D710" t="s">
        <v>709</v>
      </c>
      <c r="E710" t="s">
        <v>161</v>
      </c>
      <c r="G710" t="s">
        <v>712</v>
      </c>
      <c r="H710" t="s">
        <v>700</v>
      </c>
      <c r="K710">
        <v>1982</v>
      </c>
      <c r="L710">
        <v>2011</v>
      </c>
      <c r="M710">
        <v>29</v>
      </c>
      <c r="O710">
        <v>-6.5517241400000001</v>
      </c>
      <c r="P710" t="s">
        <v>397</v>
      </c>
      <c r="Q710" t="s">
        <v>701</v>
      </c>
    </row>
    <row r="711" spans="1:17">
      <c r="A711" t="s">
        <v>708</v>
      </c>
      <c r="C711" t="s">
        <v>393</v>
      </c>
      <c r="D711" t="s">
        <v>709</v>
      </c>
      <c r="E711" t="s">
        <v>161</v>
      </c>
      <c r="G711" t="s">
        <v>713</v>
      </c>
      <c r="H711" t="s">
        <v>700</v>
      </c>
      <c r="K711">
        <v>1982</v>
      </c>
      <c r="L711">
        <v>2011</v>
      </c>
      <c r="M711">
        <v>29</v>
      </c>
      <c r="O711">
        <v>-14.48275862</v>
      </c>
      <c r="P711" t="s">
        <v>397</v>
      </c>
      <c r="Q711" t="s">
        <v>701</v>
      </c>
    </row>
    <row r="712" spans="1:17">
      <c r="A712" t="s">
        <v>714</v>
      </c>
      <c r="C712" t="s">
        <v>393</v>
      </c>
      <c r="D712" t="s">
        <v>715</v>
      </c>
      <c r="E712" t="s">
        <v>161</v>
      </c>
      <c r="G712" t="s">
        <v>716</v>
      </c>
      <c r="H712" t="s">
        <v>700</v>
      </c>
      <c r="K712">
        <v>1967</v>
      </c>
      <c r="L712">
        <v>2013</v>
      </c>
      <c r="M712">
        <v>46</v>
      </c>
      <c r="O712">
        <v>-0.4</v>
      </c>
      <c r="P712" t="s">
        <v>397</v>
      </c>
      <c r="Q712" t="s">
        <v>701</v>
      </c>
    </row>
    <row r="713" spans="1:17">
      <c r="A713" t="s">
        <v>717</v>
      </c>
      <c r="C713" t="s">
        <v>393</v>
      </c>
      <c r="D713" t="s">
        <v>718</v>
      </c>
      <c r="E713" t="s">
        <v>161</v>
      </c>
      <c r="G713" t="s">
        <v>719</v>
      </c>
      <c r="H713" t="s">
        <v>700</v>
      </c>
      <c r="K713">
        <v>1995</v>
      </c>
      <c r="L713">
        <v>2015</v>
      </c>
      <c r="M713">
        <v>20</v>
      </c>
      <c r="O713" t="s">
        <v>163</v>
      </c>
      <c r="P713" t="s">
        <v>397</v>
      </c>
      <c r="Q713" t="s">
        <v>701</v>
      </c>
    </row>
    <row r="714" spans="1:17">
      <c r="A714" t="s">
        <v>717</v>
      </c>
      <c r="C714" t="s">
        <v>393</v>
      </c>
      <c r="D714" t="s">
        <v>720</v>
      </c>
      <c r="E714" t="s">
        <v>161</v>
      </c>
      <c r="G714" t="s">
        <v>719</v>
      </c>
      <c r="H714" t="s">
        <v>700</v>
      </c>
      <c r="K714">
        <v>1995</v>
      </c>
      <c r="L714">
        <v>2015</v>
      </c>
      <c r="M714">
        <v>20</v>
      </c>
      <c r="O714" t="s">
        <v>163</v>
      </c>
      <c r="P714" t="s">
        <v>397</v>
      </c>
      <c r="Q714" t="s">
        <v>701</v>
      </c>
    </row>
    <row r="715" spans="1:17">
      <c r="A715" t="s">
        <v>717</v>
      </c>
      <c r="C715" t="s">
        <v>393</v>
      </c>
      <c r="D715" t="s">
        <v>718</v>
      </c>
      <c r="E715" t="s">
        <v>161</v>
      </c>
      <c r="G715" t="s">
        <v>713</v>
      </c>
      <c r="H715" t="s">
        <v>700</v>
      </c>
      <c r="K715">
        <v>1995</v>
      </c>
      <c r="L715">
        <v>2015</v>
      </c>
      <c r="M715">
        <v>20</v>
      </c>
      <c r="O715" t="s">
        <v>163</v>
      </c>
      <c r="P715" t="s">
        <v>397</v>
      </c>
      <c r="Q715" t="s">
        <v>701</v>
      </c>
    </row>
    <row r="716" spans="1:17">
      <c r="A716" t="s">
        <v>717</v>
      </c>
      <c r="C716" t="s">
        <v>393</v>
      </c>
      <c r="D716" t="s">
        <v>718</v>
      </c>
      <c r="E716" t="s">
        <v>161</v>
      </c>
      <c r="G716" t="s">
        <v>721</v>
      </c>
      <c r="H716" t="s">
        <v>700</v>
      </c>
      <c r="K716">
        <v>1995</v>
      </c>
      <c r="L716">
        <v>2015</v>
      </c>
      <c r="M716">
        <v>20</v>
      </c>
      <c r="O716" t="s">
        <v>163</v>
      </c>
      <c r="P716" t="s">
        <v>397</v>
      </c>
      <c r="Q716" t="s">
        <v>701</v>
      </c>
    </row>
    <row r="717" spans="1:17">
      <c r="A717" t="s">
        <v>717</v>
      </c>
      <c r="C717" t="s">
        <v>393</v>
      </c>
      <c r="D717" t="s">
        <v>718</v>
      </c>
      <c r="E717" t="s">
        <v>161</v>
      </c>
      <c r="G717" t="s">
        <v>722</v>
      </c>
      <c r="H717" t="s">
        <v>700</v>
      </c>
      <c r="K717">
        <v>1995</v>
      </c>
      <c r="L717">
        <v>2015</v>
      </c>
      <c r="M717">
        <v>20</v>
      </c>
      <c r="O717" t="s">
        <v>163</v>
      </c>
      <c r="P717" t="s">
        <v>397</v>
      </c>
      <c r="Q717" t="s">
        <v>701</v>
      </c>
    </row>
    <row r="718" spans="1:17">
      <c r="A718" t="s">
        <v>717</v>
      </c>
      <c r="C718" t="s">
        <v>393</v>
      </c>
      <c r="D718" t="s">
        <v>718</v>
      </c>
      <c r="E718" t="s">
        <v>161</v>
      </c>
      <c r="G718" t="s">
        <v>723</v>
      </c>
      <c r="H718" t="s">
        <v>700</v>
      </c>
      <c r="K718">
        <v>1995</v>
      </c>
      <c r="L718">
        <v>2015</v>
      </c>
      <c r="M718">
        <v>20</v>
      </c>
      <c r="O718" t="s">
        <v>163</v>
      </c>
      <c r="P718" t="s">
        <v>397</v>
      </c>
      <c r="Q718" t="s">
        <v>701</v>
      </c>
    </row>
    <row r="719" spans="1:17">
      <c r="A719" t="s">
        <v>717</v>
      </c>
      <c r="C719" t="s">
        <v>393</v>
      </c>
      <c r="D719" t="s">
        <v>718</v>
      </c>
      <c r="E719" t="s">
        <v>161</v>
      </c>
      <c r="G719" t="s">
        <v>724</v>
      </c>
      <c r="H719" t="s">
        <v>700</v>
      </c>
      <c r="K719">
        <v>1995</v>
      </c>
      <c r="L719">
        <v>2015</v>
      </c>
      <c r="M719">
        <v>20</v>
      </c>
      <c r="O719" t="s">
        <v>163</v>
      </c>
      <c r="P719" t="s">
        <v>397</v>
      </c>
      <c r="Q719" t="s">
        <v>701</v>
      </c>
    </row>
    <row r="720" spans="1:17">
      <c r="A720" t="s">
        <v>717</v>
      </c>
      <c r="C720" t="s">
        <v>393</v>
      </c>
      <c r="D720" t="s">
        <v>720</v>
      </c>
      <c r="E720" t="s">
        <v>161</v>
      </c>
      <c r="G720" t="s">
        <v>724</v>
      </c>
      <c r="H720" t="s">
        <v>700</v>
      </c>
      <c r="K720">
        <v>1995</v>
      </c>
      <c r="L720">
        <v>2015</v>
      </c>
      <c r="M720">
        <v>20</v>
      </c>
      <c r="O720" t="s">
        <v>163</v>
      </c>
      <c r="P720" t="s">
        <v>397</v>
      </c>
      <c r="Q720" t="s">
        <v>701</v>
      </c>
    </row>
    <row r="721" spans="1:17">
      <c r="A721" t="s">
        <v>717</v>
      </c>
      <c r="C721" t="s">
        <v>393</v>
      </c>
      <c r="D721" t="s">
        <v>718</v>
      </c>
      <c r="E721" t="s">
        <v>161</v>
      </c>
      <c r="G721" t="s">
        <v>725</v>
      </c>
      <c r="H721" t="s">
        <v>700</v>
      </c>
      <c r="K721">
        <v>1995</v>
      </c>
      <c r="L721">
        <v>2015</v>
      </c>
      <c r="M721">
        <v>20</v>
      </c>
      <c r="O721" t="s">
        <v>163</v>
      </c>
      <c r="P721" t="s">
        <v>397</v>
      </c>
      <c r="Q721" t="s">
        <v>701</v>
      </c>
    </row>
    <row r="722" spans="1:17">
      <c r="A722" t="s">
        <v>717</v>
      </c>
      <c r="C722" t="s">
        <v>393</v>
      </c>
      <c r="D722" t="s">
        <v>720</v>
      </c>
      <c r="E722" t="s">
        <v>161</v>
      </c>
      <c r="G722" t="s">
        <v>725</v>
      </c>
      <c r="H722" t="s">
        <v>700</v>
      </c>
      <c r="K722">
        <v>1995</v>
      </c>
      <c r="L722">
        <v>2015</v>
      </c>
      <c r="M722">
        <v>20</v>
      </c>
      <c r="O722" t="s">
        <v>163</v>
      </c>
      <c r="P722" t="s">
        <v>397</v>
      </c>
      <c r="Q722" t="s">
        <v>701</v>
      </c>
    </row>
    <row r="723" spans="1:17">
      <c r="A723" t="s">
        <v>726</v>
      </c>
      <c r="C723" t="s">
        <v>393</v>
      </c>
      <c r="D723" t="s">
        <v>703</v>
      </c>
      <c r="E723" t="s">
        <v>161</v>
      </c>
      <c r="G723" t="s">
        <v>727</v>
      </c>
      <c r="H723" t="s">
        <v>700</v>
      </c>
      <c r="K723">
        <v>1968</v>
      </c>
      <c r="L723">
        <v>2011</v>
      </c>
      <c r="M723">
        <v>43</v>
      </c>
      <c r="O723">
        <v>-15.480359999999999</v>
      </c>
      <c r="P723" t="s">
        <v>397</v>
      </c>
      <c r="Q723" t="s">
        <v>701</v>
      </c>
    </row>
    <row r="724" spans="1:17">
      <c r="A724" t="s">
        <v>728</v>
      </c>
      <c r="C724" t="s">
        <v>393</v>
      </c>
      <c r="D724" t="s">
        <v>729</v>
      </c>
      <c r="E724" t="s">
        <v>161</v>
      </c>
      <c r="G724" t="s">
        <v>730</v>
      </c>
      <c r="H724" t="s">
        <v>706</v>
      </c>
      <c r="K724">
        <v>1969</v>
      </c>
      <c r="L724">
        <v>2008</v>
      </c>
      <c r="M724">
        <v>40</v>
      </c>
      <c r="O724">
        <v>96</v>
      </c>
      <c r="P724" t="s">
        <v>397</v>
      </c>
      <c r="Q724" t="s">
        <v>701</v>
      </c>
    </row>
    <row r="725" spans="1:17">
      <c r="A725" t="s">
        <v>728</v>
      </c>
      <c r="C725" t="s">
        <v>393</v>
      </c>
      <c r="D725" t="s">
        <v>729</v>
      </c>
      <c r="E725" t="s">
        <v>161</v>
      </c>
      <c r="G725" t="s">
        <v>731</v>
      </c>
      <c r="H725" t="s">
        <v>706</v>
      </c>
      <c r="K725">
        <v>1969</v>
      </c>
      <c r="L725">
        <v>2008</v>
      </c>
      <c r="M725">
        <v>40</v>
      </c>
      <c r="O725">
        <v>65.5</v>
      </c>
      <c r="P725" t="s">
        <v>397</v>
      </c>
      <c r="Q725" t="s">
        <v>701</v>
      </c>
    </row>
    <row r="726" spans="1:17">
      <c r="A726" t="s">
        <v>732</v>
      </c>
      <c r="C726" t="s">
        <v>393</v>
      </c>
      <c r="D726" t="s">
        <v>733</v>
      </c>
      <c r="E726" t="s">
        <v>161</v>
      </c>
      <c r="G726" t="s">
        <v>734</v>
      </c>
      <c r="H726" t="s">
        <v>700</v>
      </c>
      <c r="K726">
        <v>1960</v>
      </c>
      <c r="L726">
        <v>1999</v>
      </c>
      <c r="M726">
        <v>39</v>
      </c>
      <c r="O726">
        <v>-9.6807691799999986</v>
      </c>
      <c r="P726" t="s">
        <v>397</v>
      </c>
      <c r="Q726" t="s">
        <v>701</v>
      </c>
    </row>
    <row r="727" spans="1:17">
      <c r="A727" t="s">
        <v>732</v>
      </c>
      <c r="C727" t="s">
        <v>393</v>
      </c>
      <c r="D727" t="s">
        <v>735</v>
      </c>
      <c r="E727" t="s">
        <v>161</v>
      </c>
      <c r="G727" t="s">
        <v>736</v>
      </c>
      <c r="H727" t="s">
        <v>700</v>
      </c>
      <c r="K727">
        <v>1960</v>
      </c>
      <c r="L727">
        <v>1999</v>
      </c>
      <c r="M727">
        <v>39</v>
      </c>
      <c r="O727">
        <v>-17.616090579999998</v>
      </c>
      <c r="P727" t="s">
        <v>397</v>
      </c>
      <c r="Q727" t="s">
        <v>701</v>
      </c>
    </row>
    <row r="728" spans="1:17">
      <c r="A728" t="s">
        <v>732</v>
      </c>
      <c r="C728" t="s">
        <v>393</v>
      </c>
      <c r="D728" t="s">
        <v>735</v>
      </c>
      <c r="E728" t="s">
        <v>161</v>
      </c>
      <c r="G728" t="s">
        <v>734</v>
      </c>
      <c r="H728" t="s">
        <v>700</v>
      </c>
      <c r="K728">
        <v>1960</v>
      </c>
      <c r="L728">
        <v>1999</v>
      </c>
      <c r="M728">
        <v>39</v>
      </c>
      <c r="O728">
        <v>-23.07513247</v>
      </c>
      <c r="P728" t="s">
        <v>397</v>
      </c>
      <c r="Q728" t="s">
        <v>701</v>
      </c>
    </row>
    <row r="729" spans="1:17">
      <c r="A729" t="s">
        <v>732</v>
      </c>
      <c r="C729" t="s">
        <v>393</v>
      </c>
      <c r="D729" t="s">
        <v>733</v>
      </c>
      <c r="E729" t="s">
        <v>161</v>
      </c>
      <c r="G729" t="s">
        <v>737</v>
      </c>
      <c r="H729" t="s">
        <v>700</v>
      </c>
      <c r="K729">
        <v>1960</v>
      </c>
      <c r="L729">
        <v>1999</v>
      </c>
      <c r="M729">
        <v>39</v>
      </c>
      <c r="O729">
        <v>-32.83302329</v>
      </c>
      <c r="P729" t="s">
        <v>397</v>
      </c>
      <c r="Q729" t="s">
        <v>701</v>
      </c>
    </row>
    <row r="730" spans="1:17">
      <c r="A730" t="s">
        <v>738</v>
      </c>
      <c r="C730" t="s">
        <v>393</v>
      </c>
      <c r="D730" t="s">
        <v>739</v>
      </c>
      <c r="E730" t="s">
        <v>161</v>
      </c>
      <c r="G730" t="s">
        <v>740</v>
      </c>
      <c r="H730" t="s">
        <v>700</v>
      </c>
      <c r="K730">
        <v>1985</v>
      </c>
      <c r="L730">
        <v>2010</v>
      </c>
      <c r="M730">
        <v>25</v>
      </c>
      <c r="O730">
        <v>-20</v>
      </c>
      <c r="P730" t="s">
        <v>397</v>
      </c>
      <c r="Q730" t="s">
        <v>701</v>
      </c>
    </row>
    <row r="731" spans="1:17">
      <c r="A731" t="s">
        <v>738</v>
      </c>
      <c r="C731" t="s">
        <v>393</v>
      </c>
      <c r="D731" t="s">
        <v>739</v>
      </c>
      <c r="E731" t="s">
        <v>161</v>
      </c>
      <c r="G731" t="s">
        <v>741</v>
      </c>
      <c r="H731" t="s">
        <v>700</v>
      </c>
      <c r="K731">
        <v>1985</v>
      </c>
      <c r="L731">
        <v>2010</v>
      </c>
      <c r="M731">
        <v>25</v>
      </c>
      <c r="O731">
        <v>-27</v>
      </c>
      <c r="P731" t="s">
        <v>397</v>
      </c>
      <c r="Q731" t="s">
        <v>701</v>
      </c>
    </row>
    <row r="732" spans="1:17">
      <c r="A732" t="s">
        <v>738</v>
      </c>
      <c r="C732" t="s">
        <v>393</v>
      </c>
      <c r="D732" t="s">
        <v>739</v>
      </c>
      <c r="E732" t="s">
        <v>161</v>
      </c>
      <c r="G732" t="s">
        <v>742</v>
      </c>
      <c r="H732" t="s">
        <v>700</v>
      </c>
      <c r="K732">
        <v>1985</v>
      </c>
      <c r="L732">
        <v>2010</v>
      </c>
      <c r="M732">
        <v>25</v>
      </c>
      <c r="O732">
        <v>-30</v>
      </c>
      <c r="P732" t="s">
        <v>397</v>
      </c>
      <c r="Q732" t="s">
        <v>701</v>
      </c>
    </row>
    <row r="733" spans="1:17">
      <c r="A733" t="s">
        <v>738</v>
      </c>
      <c r="C733" t="s">
        <v>393</v>
      </c>
      <c r="D733" t="s">
        <v>739</v>
      </c>
      <c r="E733" t="s">
        <v>161</v>
      </c>
      <c r="G733" t="s">
        <v>743</v>
      </c>
      <c r="H733" t="s">
        <v>700</v>
      </c>
      <c r="K733">
        <v>1985</v>
      </c>
      <c r="L733">
        <v>2010</v>
      </c>
      <c r="M733">
        <v>25</v>
      </c>
      <c r="O733">
        <v>-38</v>
      </c>
      <c r="P733" t="s">
        <v>397</v>
      </c>
      <c r="Q733" t="s">
        <v>701</v>
      </c>
    </row>
    <row r="734" spans="1:17">
      <c r="A734" t="s">
        <v>738</v>
      </c>
      <c r="C734" t="s">
        <v>393</v>
      </c>
      <c r="D734" t="s">
        <v>739</v>
      </c>
      <c r="E734" t="s">
        <v>161</v>
      </c>
      <c r="G734" t="s">
        <v>744</v>
      </c>
      <c r="H734" t="s">
        <v>700</v>
      </c>
      <c r="K734">
        <v>1985</v>
      </c>
      <c r="L734">
        <v>2010</v>
      </c>
      <c r="M734">
        <v>25</v>
      </c>
      <c r="O734">
        <v>-42</v>
      </c>
      <c r="P734" t="s">
        <v>397</v>
      </c>
      <c r="Q734" t="s">
        <v>701</v>
      </c>
    </row>
    <row r="735" spans="1:17">
      <c r="A735" t="s">
        <v>738</v>
      </c>
      <c r="C735" t="s">
        <v>393</v>
      </c>
      <c r="D735" t="s">
        <v>739</v>
      </c>
      <c r="E735" t="s">
        <v>161</v>
      </c>
      <c r="G735" t="s">
        <v>745</v>
      </c>
      <c r="H735" t="s">
        <v>700</v>
      </c>
      <c r="K735">
        <v>1985</v>
      </c>
      <c r="L735">
        <v>2010</v>
      </c>
      <c r="M735">
        <v>25</v>
      </c>
      <c r="O735">
        <v>-50</v>
      </c>
      <c r="P735" t="s">
        <v>397</v>
      </c>
      <c r="Q735" t="s">
        <v>701</v>
      </c>
    </row>
    <row r="736" spans="1:17">
      <c r="A736" t="s">
        <v>738</v>
      </c>
      <c r="C736" t="s">
        <v>393</v>
      </c>
      <c r="D736" t="s">
        <v>739</v>
      </c>
      <c r="E736" t="s">
        <v>161</v>
      </c>
      <c r="G736" t="s">
        <v>746</v>
      </c>
      <c r="H736" t="s">
        <v>700</v>
      </c>
      <c r="K736">
        <v>1985</v>
      </c>
      <c r="L736">
        <v>2010</v>
      </c>
      <c r="M736">
        <v>25</v>
      </c>
      <c r="O736">
        <v>-56</v>
      </c>
      <c r="P736" t="s">
        <v>397</v>
      </c>
      <c r="Q736" t="s">
        <v>701</v>
      </c>
    </row>
    <row r="737" spans="1:17">
      <c r="A737" t="s">
        <v>738</v>
      </c>
      <c r="C737" t="s">
        <v>393</v>
      </c>
      <c r="D737" t="s">
        <v>739</v>
      </c>
      <c r="E737" t="s">
        <v>161</v>
      </c>
      <c r="G737" t="s">
        <v>747</v>
      </c>
      <c r="H737" t="s">
        <v>700</v>
      </c>
      <c r="K737">
        <v>1985</v>
      </c>
      <c r="L737">
        <v>2010</v>
      </c>
      <c r="M737">
        <v>25</v>
      </c>
      <c r="O737">
        <v>-60</v>
      </c>
      <c r="P737" t="s">
        <v>397</v>
      </c>
      <c r="Q737" t="s">
        <v>701</v>
      </c>
    </row>
    <row r="738" spans="1:17">
      <c r="A738" t="s">
        <v>738</v>
      </c>
      <c r="C738" t="s">
        <v>393</v>
      </c>
      <c r="D738" t="s">
        <v>739</v>
      </c>
      <c r="E738" t="s">
        <v>161</v>
      </c>
      <c r="G738" t="s">
        <v>748</v>
      </c>
      <c r="H738" t="s">
        <v>700</v>
      </c>
      <c r="K738">
        <v>1985</v>
      </c>
      <c r="L738">
        <v>2010</v>
      </c>
      <c r="M738">
        <v>25</v>
      </c>
      <c r="O738">
        <v>-70</v>
      </c>
      <c r="P738" t="s">
        <v>397</v>
      </c>
      <c r="Q738" t="s">
        <v>701</v>
      </c>
    </row>
    <row r="739" spans="1:17">
      <c r="A739" t="s">
        <v>738</v>
      </c>
      <c r="C739" t="s">
        <v>393</v>
      </c>
      <c r="D739" t="s">
        <v>739</v>
      </c>
      <c r="E739" t="s">
        <v>161</v>
      </c>
      <c r="G739" t="s">
        <v>749</v>
      </c>
      <c r="H739" t="s">
        <v>700</v>
      </c>
      <c r="K739">
        <v>1985</v>
      </c>
      <c r="L739">
        <v>2010</v>
      </c>
      <c r="M739">
        <v>25</v>
      </c>
      <c r="O739">
        <v>-107.8</v>
      </c>
      <c r="P739" t="s">
        <v>397</v>
      </c>
      <c r="Q739" t="s">
        <v>701</v>
      </c>
    </row>
    <row r="740" spans="1:17">
      <c r="A740" t="s">
        <v>738</v>
      </c>
      <c r="C740" t="s">
        <v>393</v>
      </c>
      <c r="D740" t="s">
        <v>739</v>
      </c>
      <c r="E740" t="s">
        <v>161</v>
      </c>
      <c r="G740" t="s">
        <v>750</v>
      </c>
      <c r="H740" t="s">
        <v>700</v>
      </c>
      <c r="K740">
        <v>1985</v>
      </c>
      <c r="L740">
        <v>2010</v>
      </c>
      <c r="M740">
        <v>25</v>
      </c>
      <c r="O740">
        <v>-150</v>
      </c>
      <c r="P740" t="s">
        <v>397</v>
      </c>
      <c r="Q740" t="s">
        <v>701</v>
      </c>
    </row>
    <row r="741" spans="1:17">
      <c r="A741" t="s">
        <v>738</v>
      </c>
      <c r="C741" t="s">
        <v>393</v>
      </c>
      <c r="D741" t="s">
        <v>739</v>
      </c>
      <c r="E741" t="s">
        <v>161</v>
      </c>
      <c r="G741" t="s">
        <v>751</v>
      </c>
      <c r="H741" t="s">
        <v>700</v>
      </c>
      <c r="K741">
        <v>1985</v>
      </c>
      <c r="L741">
        <v>2010</v>
      </c>
      <c r="M741">
        <v>25</v>
      </c>
      <c r="O741">
        <v>-170</v>
      </c>
      <c r="P741" t="s">
        <v>397</v>
      </c>
      <c r="Q741" t="s">
        <v>701</v>
      </c>
    </row>
    <row r="742" spans="1:17">
      <c r="A742" t="s">
        <v>738</v>
      </c>
      <c r="C742" t="s">
        <v>393</v>
      </c>
      <c r="D742" t="s">
        <v>739</v>
      </c>
      <c r="E742" t="s">
        <v>161</v>
      </c>
      <c r="G742" t="s">
        <v>752</v>
      </c>
      <c r="H742" t="s">
        <v>700</v>
      </c>
      <c r="K742">
        <v>1985</v>
      </c>
      <c r="L742">
        <v>2010</v>
      </c>
      <c r="M742">
        <v>25</v>
      </c>
      <c r="O742">
        <v>-207</v>
      </c>
      <c r="P742" t="s">
        <v>397</v>
      </c>
      <c r="Q742" t="s">
        <v>701</v>
      </c>
    </row>
    <row r="743" spans="1:17">
      <c r="A743" t="s">
        <v>753</v>
      </c>
      <c r="C743" t="s">
        <v>393</v>
      </c>
      <c r="D743" t="s">
        <v>754</v>
      </c>
      <c r="E743" t="s">
        <v>161</v>
      </c>
      <c r="G743" t="s">
        <v>755</v>
      </c>
      <c r="H743" t="s">
        <v>700</v>
      </c>
      <c r="K743">
        <v>1978</v>
      </c>
      <c r="L743">
        <v>2020</v>
      </c>
      <c r="M743">
        <v>42</v>
      </c>
      <c r="O743">
        <v>33.172199999999997</v>
      </c>
      <c r="P743" t="s">
        <v>15</v>
      </c>
      <c r="Q743" t="s">
        <v>701</v>
      </c>
    </row>
    <row r="744" spans="1:17">
      <c r="A744" t="s">
        <v>756</v>
      </c>
      <c r="C744" t="s">
        <v>393</v>
      </c>
      <c r="D744" t="s">
        <v>757</v>
      </c>
      <c r="E744" t="s">
        <v>161</v>
      </c>
      <c r="G744" t="s">
        <v>758</v>
      </c>
      <c r="H744" t="s">
        <v>700</v>
      </c>
      <c r="K744">
        <v>1998</v>
      </c>
      <c r="L744">
        <v>2018</v>
      </c>
      <c r="M744">
        <v>20</v>
      </c>
      <c r="O744">
        <v>269.7</v>
      </c>
      <c r="P744" t="s">
        <v>15</v>
      </c>
      <c r="Q744" t="s">
        <v>701</v>
      </c>
    </row>
    <row r="745" spans="1:17">
      <c r="A745" t="s">
        <v>756</v>
      </c>
      <c r="C745" t="s">
        <v>393</v>
      </c>
      <c r="D745" t="s">
        <v>757</v>
      </c>
      <c r="E745" t="s">
        <v>161</v>
      </c>
      <c r="G745" t="s">
        <v>759</v>
      </c>
      <c r="H745" t="s">
        <v>700</v>
      </c>
      <c r="K745">
        <v>1998</v>
      </c>
      <c r="L745">
        <v>2018</v>
      </c>
      <c r="M745">
        <v>20</v>
      </c>
      <c r="O745">
        <v>269.7</v>
      </c>
      <c r="P745" t="s">
        <v>15</v>
      </c>
      <c r="Q745" t="s">
        <v>701</v>
      </c>
    </row>
    <row r="746" spans="1:17">
      <c r="A746" t="s">
        <v>756</v>
      </c>
      <c r="C746" t="s">
        <v>393</v>
      </c>
      <c r="D746" t="s">
        <v>757</v>
      </c>
      <c r="E746" t="s">
        <v>161</v>
      </c>
      <c r="G746" t="s">
        <v>760</v>
      </c>
      <c r="H746" t="s">
        <v>700</v>
      </c>
      <c r="K746">
        <v>1998</v>
      </c>
      <c r="L746">
        <v>2018</v>
      </c>
      <c r="M746">
        <v>20</v>
      </c>
      <c r="O746">
        <v>244.20000000000002</v>
      </c>
      <c r="P746" t="s">
        <v>15</v>
      </c>
      <c r="Q746" t="s">
        <v>701</v>
      </c>
    </row>
    <row r="747" spans="1:17">
      <c r="A747" t="s">
        <v>756</v>
      </c>
      <c r="C747" t="s">
        <v>393</v>
      </c>
      <c r="D747" t="s">
        <v>757</v>
      </c>
      <c r="E747" t="s">
        <v>161</v>
      </c>
      <c r="G747" t="s">
        <v>761</v>
      </c>
      <c r="H747" t="s">
        <v>700</v>
      </c>
      <c r="K747">
        <v>1998</v>
      </c>
      <c r="L747">
        <v>2018</v>
      </c>
      <c r="M747">
        <v>20</v>
      </c>
      <c r="O747">
        <v>148.69999999999999</v>
      </c>
      <c r="P747" t="s">
        <v>15</v>
      </c>
      <c r="Q747" t="s">
        <v>701</v>
      </c>
    </row>
    <row r="748" spans="1:17">
      <c r="A748" t="s">
        <v>697</v>
      </c>
      <c r="C748" t="s">
        <v>393</v>
      </c>
      <c r="D748" t="s">
        <v>698</v>
      </c>
      <c r="E748" t="s">
        <v>161</v>
      </c>
      <c r="G748" t="s">
        <v>699</v>
      </c>
      <c r="H748" t="s">
        <v>706</v>
      </c>
      <c r="K748">
        <v>1981</v>
      </c>
      <c r="L748">
        <v>2017</v>
      </c>
      <c r="M748">
        <v>36</v>
      </c>
      <c r="O748">
        <v>73.600000000000009</v>
      </c>
      <c r="P748" t="s">
        <v>15</v>
      </c>
      <c r="Q748" t="s">
        <v>701</v>
      </c>
    </row>
    <row r="749" spans="1:17">
      <c r="A749" t="s">
        <v>762</v>
      </c>
      <c r="C749" t="s">
        <v>393</v>
      </c>
      <c r="D749" t="s">
        <v>729</v>
      </c>
      <c r="E749" t="s">
        <v>161</v>
      </c>
      <c r="G749" t="s">
        <v>763</v>
      </c>
      <c r="H749" t="s">
        <v>700</v>
      </c>
      <c r="K749">
        <v>1980</v>
      </c>
      <c r="L749">
        <v>2004</v>
      </c>
      <c r="M749">
        <v>24</v>
      </c>
      <c r="O749">
        <v>3</v>
      </c>
      <c r="P749" t="s">
        <v>15</v>
      </c>
      <c r="Q749" t="s">
        <v>701</v>
      </c>
    </row>
    <row r="750" spans="1:17">
      <c r="A750" t="s">
        <v>762</v>
      </c>
      <c r="C750" t="s">
        <v>393</v>
      </c>
      <c r="D750" t="s">
        <v>729</v>
      </c>
      <c r="E750" t="s">
        <v>161</v>
      </c>
      <c r="G750" t="s">
        <v>764</v>
      </c>
      <c r="H750" t="s">
        <v>700</v>
      </c>
      <c r="K750">
        <v>1980</v>
      </c>
      <c r="L750">
        <v>2004</v>
      </c>
      <c r="M750">
        <v>24</v>
      </c>
      <c r="O750">
        <v>3</v>
      </c>
      <c r="P750" t="s">
        <v>15</v>
      </c>
      <c r="Q750" t="s">
        <v>701</v>
      </c>
    </row>
    <row r="751" spans="1:17">
      <c r="A751" t="s">
        <v>762</v>
      </c>
      <c r="C751" t="s">
        <v>393</v>
      </c>
      <c r="D751" t="s">
        <v>729</v>
      </c>
      <c r="E751" t="s">
        <v>161</v>
      </c>
      <c r="G751" t="s">
        <v>765</v>
      </c>
      <c r="H751" t="s">
        <v>700</v>
      </c>
      <c r="K751">
        <v>1980</v>
      </c>
      <c r="L751">
        <v>2004</v>
      </c>
      <c r="M751">
        <v>24</v>
      </c>
      <c r="O751">
        <v>3</v>
      </c>
      <c r="P751" t="s">
        <v>15</v>
      </c>
      <c r="Q751" t="s">
        <v>701</v>
      </c>
    </row>
    <row r="752" spans="1:17">
      <c r="A752" t="s">
        <v>762</v>
      </c>
      <c r="C752" t="s">
        <v>393</v>
      </c>
      <c r="D752" t="s">
        <v>729</v>
      </c>
      <c r="E752" t="s">
        <v>161</v>
      </c>
      <c r="G752" t="s">
        <v>730</v>
      </c>
      <c r="H752" t="s">
        <v>700</v>
      </c>
      <c r="K752">
        <v>1980</v>
      </c>
      <c r="L752">
        <v>2004</v>
      </c>
      <c r="M752">
        <v>24</v>
      </c>
      <c r="O752">
        <v>3</v>
      </c>
      <c r="P752" t="s">
        <v>15</v>
      </c>
      <c r="Q752" t="s">
        <v>701</v>
      </c>
    </row>
    <row r="753" spans="1:17">
      <c r="A753" t="s">
        <v>762</v>
      </c>
      <c r="C753" t="s">
        <v>393</v>
      </c>
      <c r="D753" t="s">
        <v>729</v>
      </c>
      <c r="E753" t="s">
        <v>161</v>
      </c>
      <c r="G753" t="s">
        <v>731</v>
      </c>
      <c r="H753" t="s">
        <v>700</v>
      </c>
      <c r="K753">
        <v>1980</v>
      </c>
      <c r="L753">
        <v>2004</v>
      </c>
      <c r="M753">
        <v>24</v>
      </c>
      <c r="O753">
        <v>3</v>
      </c>
      <c r="P753" t="s">
        <v>15</v>
      </c>
      <c r="Q753" t="s">
        <v>701</v>
      </c>
    </row>
    <row r="754" spans="1:17">
      <c r="A754" t="s">
        <v>762</v>
      </c>
      <c r="C754" t="s">
        <v>393</v>
      </c>
      <c r="D754" t="s">
        <v>729</v>
      </c>
      <c r="E754" t="s">
        <v>161</v>
      </c>
      <c r="G754" t="s">
        <v>766</v>
      </c>
      <c r="H754" t="s">
        <v>700</v>
      </c>
      <c r="K754">
        <v>1980</v>
      </c>
      <c r="L754">
        <v>2004</v>
      </c>
      <c r="M754">
        <v>24</v>
      </c>
      <c r="O754">
        <v>3</v>
      </c>
      <c r="P754" t="s">
        <v>15</v>
      </c>
      <c r="Q754" t="s">
        <v>701</v>
      </c>
    </row>
    <row r="755" spans="1:17">
      <c r="A755" t="s">
        <v>762</v>
      </c>
      <c r="C755" t="s">
        <v>393</v>
      </c>
      <c r="D755" t="s">
        <v>729</v>
      </c>
      <c r="E755" t="s">
        <v>161</v>
      </c>
      <c r="G755" t="s">
        <v>767</v>
      </c>
      <c r="H755" t="s">
        <v>700</v>
      </c>
      <c r="K755">
        <v>1980</v>
      </c>
      <c r="L755">
        <v>2004</v>
      </c>
      <c r="M755">
        <v>24</v>
      </c>
      <c r="O755">
        <v>3</v>
      </c>
      <c r="P755" t="s">
        <v>15</v>
      </c>
      <c r="Q755" t="s">
        <v>701</v>
      </c>
    </row>
    <row r="756" spans="1:17">
      <c r="A756" t="s">
        <v>762</v>
      </c>
      <c r="C756" t="s">
        <v>393</v>
      </c>
      <c r="D756" t="s">
        <v>729</v>
      </c>
      <c r="E756" t="s">
        <v>161</v>
      </c>
      <c r="G756" t="s">
        <v>768</v>
      </c>
      <c r="H756" t="s">
        <v>700</v>
      </c>
      <c r="K756">
        <v>1980</v>
      </c>
      <c r="L756">
        <v>2004</v>
      </c>
      <c r="M756">
        <v>24</v>
      </c>
      <c r="O756">
        <v>3</v>
      </c>
      <c r="P756" t="s">
        <v>15</v>
      </c>
      <c r="Q756" t="s">
        <v>701</v>
      </c>
    </row>
    <row r="757" spans="1:17">
      <c r="A757" t="s">
        <v>762</v>
      </c>
      <c r="C757" t="s">
        <v>393</v>
      </c>
      <c r="D757" t="s">
        <v>729</v>
      </c>
      <c r="E757" t="s">
        <v>161</v>
      </c>
      <c r="G757" t="s">
        <v>769</v>
      </c>
      <c r="H757" t="s">
        <v>700</v>
      </c>
      <c r="K757">
        <v>1980</v>
      </c>
      <c r="L757">
        <v>2004</v>
      </c>
      <c r="M757">
        <v>24</v>
      </c>
      <c r="O757">
        <v>3</v>
      </c>
      <c r="P757" t="s">
        <v>15</v>
      </c>
      <c r="Q757" t="s">
        <v>701</v>
      </c>
    </row>
    <row r="758" spans="1:17">
      <c r="A758" t="s">
        <v>762</v>
      </c>
      <c r="C758" t="s">
        <v>393</v>
      </c>
      <c r="D758" t="s">
        <v>729</v>
      </c>
      <c r="E758" t="s">
        <v>161</v>
      </c>
      <c r="G758" t="s">
        <v>770</v>
      </c>
      <c r="H758" t="s">
        <v>700</v>
      </c>
      <c r="K758">
        <v>1980</v>
      </c>
      <c r="L758">
        <v>2004</v>
      </c>
      <c r="M758">
        <v>24</v>
      </c>
      <c r="O758">
        <v>3</v>
      </c>
      <c r="P758" t="s">
        <v>15</v>
      </c>
      <c r="Q758" t="s">
        <v>701</v>
      </c>
    </row>
    <row r="759" spans="1:17">
      <c r="A759" t="s">
        <v>762</v>
      </c>
      <c r="C759" t="s">
        <v>393</v>
      </c>
      <c r="D759" t="s">
        <v>729</v>
      </c>
      <c r="E759" t="s">
        <v>161</v>
      </c>
      <c r="G759" t="s">
        <v>771</v>
      </c>
      <c r="H759" t="s">
        <v>700</v>
      </c>
      <c r="K759">
        <v>1980</v>
      </c>
      <c r="L759">
        <v>2004</v>
      </c>
      <c r="M759">
        <v>24</v>
      </c>
      <c r="O759">
        <v>3</v>
      </c>
      <c r="P759" t="s">
        <v>15</v>
      </c>
      <c r="Q759" t="s">
        <v>701</v>
      </c>
    </row>
    <row r="760" spans="1:17">
      <c r="A760" t="s">
        <v>762</v>
      </c>
      <c r="C760" t="s">
        <v>393</v>
      </c>
      <c r="D760" t="s">
        <v>729</v>
      </c>
      <c r="E760" t="s">
        <v>161</v>
      </c>
      <c r="G760" t="s">
        <v>772</v>
      </c>
      <c r="H760" t="s">
        <v>700</v>
      </c>
      <c r="K760">
        <v>1980</v>
      </c>
      <c r="L760">
        <v>2004</v>
      </c>
      <c r="M760">
        <v>24</v>
      </c>
      <c r="O760">
        <v>3</v>
      </c>
      <c r="P760" t="s">
        <v>15</v>
      </c>
      <c r="Q760" t="s">
        <v>701</v>
      </c>
    </row>
    <row r="761" spans="1:17">
      <c r="A761" t="s">
        <v>762</v>
      </c>
      <c r="C761" t="s">
        <v>393</v>
      </c>
      <c r="D761" t="s">
        <v>729</v>
      </c>
      <c r="E761" t="s">
        <v>161</v>
      </c>
      <c r="G761" t="s">
        <v>773</v>
      </c>
      <c r="H761" t="s">
        <v>700</v>
      </c>
      <c r="K761">
        <v>1980</v>
      </c>
      <c r="L761">
        <v>2004</v>
      </c>
      <c r="M761">
        <v>24</v>
      </c>
      <c r="O761">
        <v>3</v>
      </c>
      <c r="P761" t="s">
        <v>15</v>
      </c>
      <c r="Q761" t="s">
        <v>701</v>
      </c>
    </row>
    <row r="762" spans="1:17">
      <c r="A762" t="s">
        <v>762</v>
      </c>
      <c r="C762" t="s">
        <v>393</v>
      </c>
      <c r="D762" t="s">
        <v>729</v>
      </c>
      <c r="E762" t="s">
        <v>161</v>
      </c>
      <c r="G762" t="s">
        <v>774</v>
      </c>
      <c r="H762" t="s">
        <v>700</v>
      </c>
      <c r="K762">
        <v>1980</v>
      </c>
      <c r="L762">
        <v>2004</v>
      </c>
      <c r="M762">
        <v>24</v>
      </c>
      <c r="O762">
        <v>3</v>
      </c>
      <c r="P762" t="s">
        <v>15</v>
      </c>
      <c r="Q762" t="s">
        <v>701</v>
      </c>
    </row>
    <row r="763" spans="1:17">
      <c r="A763" t="s">
        <v>762</v>
      </c>
      <c r="C763" t="s">
        <v>393</v>
      </c>
      <c r="D763" t="s">
        <v>729</v>
      </c>
      <c r="E763" t="s">
        <v>161</v>
      </c>
      <c r="G763" t="s">
        <v>775</v>
      </c>
      <c r="H763" t="s">
        <v>700</v>
      </c>
      <c r="K763">
        <v>1980</v>
      </c>
      <c r="L763">
        <v>2004</v>
      </c>
      <c r="M763">
        <v>24</v>
      </c>
      <c r="O763">
        <v>3</v>
      </c>
      <c r="P763" t="s">
        <v>15</v>
      </c>
      <c r="Q763" t="s">
        <v>701</v>
      </c>
    </row>
    <row r="764" spans="1:17">
      <c r="A764" t="s">
        <v>762</v>
      </c>
      <c r="C764" t="s">
        <v>393</v>
      </c>
      <c r="D764" t="s">
        <v>729</v>
      </c>
      <c r="E764" t="s">
        <v>161</v>
      </c>
      <c r="G764" t="s">
        <v>776</v>
      </c>
      <c r="H764" t="s">
        <v>700</v>
      </c>
      <c r="K764">
        <v>1980</v>
      </c>
      <c r="L764">
        <v>2004</v>
      </c>
      <c r="M764">
        <v>24</v>
      </c>
      <c r="O764">
        <v>3</v>
      </c>
      <c r="P764" t="s">
        <v>15</v>
      </c>
      <c r="Q764" t="s">
        <v>701</v>
      </c>
    </row>
    <row r="765" spans="1:17">
      <c r="A765" t="s">
        <v>762</v>
      </c>
      <c r="C765" t="s">
        <v>393</v>
      </c>
      <c r="D765" t="s">
        <v>729</v>
      </c>
      <c r="E765" t="s">
        <v>161</v>
      </c>
      <c r="G765" t="s">
        <v>777</v>
      </c>
      <c r="H765" t="s">
        <v>700</v>
      </c>
      <c r="K765">
        <v>1980</v>
      </c>
      <c r="L765">
        <v>2004</v>
      </c>
      <c r="M765">
        <v>24</v>
      </c>
      <c r="O765">
        <v>3</v>
      </c>
      <c r="P765" t="s">
        <v>15</v>
      </c>
      <c r="Q765" t="s">
        <v>701</v>
      </c>
    </row>
    <row r="766" spans="1:17">
      <c r="A766" t="s">
        <v>762</v>
      </c>
      <c r="C766" t="s">
        <v>393</v>
      </c>
      <c r="D766" t="s">
        <v>729</v>
      </c>
      <c r="E766" t="s">
        <v>161</v>
      </c>
      <c r="G766" t="s">
        <v>778</v>
      </c>
      <c r="H766" t="s">
        <v>700</v>
      </c>
      <c r="K766">
        <v>1980</v>
      </c>
      <c r="L766">
        <v>2004</v>
      </c>
      <c r="M766">
        <v>24</v>
      </c>
      <c r="O766">
        <v>3</v>
      </c>
      <c r="P766" t="s">
        <v>15</v>
      </c>
      <c r="Q766" t="s">
        <v>701</v>
      </c>
    </row>
    <row r="767" spans="1:17">
      <c r="A767" t="s">
        <v>762</v>
      </c>
      <c r="C767" t="s">
        <v>393</v>
      </c>
      <c r="D767" t="s">
        <v>729</v>
      </c>
      <c r="E767" t="s">
        <v>161</v>
      </c>
      <c r="G767" t="s">
        <v>779</v>
      </c>
      <c r="H767" t="s">
        <v>700</v>
      </c>
      <c r="K767">
        <v>1980</v>
      </c>
      <c r="L767">
        <v>2004</v>
      </c>
      <c r="M767">
        <v>24</v>
      </c>
      <c r="O767">
        <v>3</v>
      </c>
      <c r="P767" t="s">
        <v>15</v>
      </c>
      <c r="Q767" t="s">
        <v>701</v>
      </c>
    </row>
    <row r="768" spans="1:17">
      <c r="A768" t="s">
        <v>762</v>
      </c>
      <c r="C768" t="s">
        <v>393</v>
      </c>
      <c r="D768" t="s">
        <v>729</v>
      </c>
      <c r="E768" t="s">
        <v>161</v>
      </c>
      <c r="G768" t="s">
        <v>780</v>
      </c>
      <c r="H768" t="s">
        <v>700</v>
      </c>
      <c r="K768">
        <v>1980</v>
      </c>
      <c r="L768">
        <v>2004</v>
      </c>
      <c r="M768">
        <v>24</v>
      </c>
      <c r="O768">
        <v>3</v>
      </c>
      <c r="P768" t="s">
        <v>15</v>
      </c>
      <c r="Q768" t="s">
        <v>701</v>
      </c>
    </row>
    <row r="769" spans="1:17">
      <c r="A769" t="s">
        <v>762</v>
      </c>
      <c r="C769" t="s">
        <v>393</v>
      </c>
      <c r="D769" t="s">
        <v>729</v>
      </c>
      <c r="E769" t="s">
        <v>161</v>
      </c>
      <c r="G769" t="s">
        <v>781</v>
      </c>
      <c r="H769" t="s">
        <v>700</v>
      </c>
      <c r="K769">
        <v>1980</v>
      </c>
      <c r="L769">
        <v>2004</v>
      </c>
      <c r="M769">
        <v>24</v>
      </c>
      <c r="O769">
        <v>3</v>
      </c>
      <c r="P769" t="s">
        <v>15</v>
      </c>
      <c r="Q769" t="s">
        <v>701</v>
      </c>
    </row>
    <row r="770" spans="1:17">
      <c r="A770" t="s">
        <v>762</v>
      </c>
      <c r="C770" t="s">
        <v>393</v>
      </c>
      <c r="D770" t="s">
        <v>729</v>
      </c>
      <c r="E770" t="s">
        <v>161</v>
      </c>
      <c r="G770" t="s">
        <v>782</v>
      </c>
      <c r="H770" t="s">
        <v>700</v>
      </c>
      <c r="K770">
        <v>1980</v>
      </c>
      <c r="L770">
        <v>2004</v>
      </c>
      <c r="M770">
        <v>24</v>
      </c>
      <c r="O770">
        <v>3</v>
      </c>
      <c r="P770" t="s">
        <v>15</v>
      </c>
      <c r="Q770" t="s">
        <v>701</v>
      </c>
    </row>
    <row r="771" spans="1:17">
      <c r="A771" t="s">
        <v>762</v>
      </c>
      <c r="C771" t="s">
        <v>393</v>
      </c>
      <c r="D771" t="s">
        <v>729</v>
      </c>
      <c r="E771" t="s">
        <v>161</v>
      </c>
      <c r="G771" t="s">
        <v>783</v>
      </c>
      <c r="H771" t="s">
        <v>700</v>
      </c>
      <c r="K771">
        <v>1980</v>
      </c>
      <c r="L771">
        <v>2004</v>
      </c>
      <c r="M771">
        <v>24</v>
      </c>
      <c r="O771">
        <v>3</v>
      </c>
      <c r="P771" t="s">
        <v>15</v>
      </c>
      <c r="Q771" t="s">
        <v>701</v>
      </c>
    </row>
    <row r="772" spans="1:17">
      <c r="A772" t="s">
        <v>762</v>
      </c>
      <c r="C772" t="s">
        <v>393</v>
      </c>
      <c r="D772" t="s">
        <v>729</v>
      </c>
      <c r="E772" t="s">
        <v>161</v>
      </c>
      <c r="G772" t="s">
        <v>784</v>
      </c>
      <c r="H772" t="s">
        <v>700</v>
      </c>
      <c r="K772">
        <v>1980</v>
      </c>
      <c r="L772">
        <v>2004</v>
      </c>
      <c r="M772">
        <v>24</v>
      </c>
      <c r="O772">
        <v>3</v>
      </c>
      <c r="P772" t="s">
        <v>15</v>
      </c>
      <c r="Q772" t="s">
        <v>701</v>
      </c>
    </row>
    <row r="773" spans="1:17">
      <c r="A773" t="s">
        <v>762</v>
      </c>
      <c r="C773" t="s">
        <v>393</v>
      </c>
      <c r="D773" t="s">
        <v>729</v>
      </c>
      <c r="E773" t="s">
        <v>161</v>
      </c>
      <c r="G773" t="s">
        <v>785</v>
      </c>
      <c r="H773" t="s">
        <v>700</v>
      </c>
      <c r="K773">
        <v>1980</v>
      </c>
      <c r="L773">
        <v>2004</v>
      </c>
      <c r="M773">
        <v>24</v>
      </c>
      <c r="O773">
        <v>3</v>
      </c>
      <c r="P773" t="s">
        <v>15</v>
      </c>
      <c r="Q773" t="s">
        <v>701</v>
      </c>
    </row>
    <row r="774" spans="1:17">
      <c r="A774" t="s">
        <v>762</v>
      </c>
      <c r="C774" t="s">
        <v>393</v>
      </c>
      <c r="D774" t="s">
        <v>729</v>
      </c>
      <c r="E774" t="s">
        <v>161</v>
      </c>
      <c r="G774" t="s">
        <v>786</v>
      </c>
      <c r="H774" t="s">
        <v>700</v>
      </c>
      <c r="K774">
        <v>1980</v>
      </c>
      <c r="L774">
        <v>2004</v>
      </c>
      <c r="M774">
        <v>24</v>
      </c>
      <c r="O774">
        <v>3</v>
      </c>
      <c r="P774" t="s">
        <v>15</v>
      </c>
      <c r="Q774" t="s">
        <v>701</v>
      </c>
    </row>
    <row r="775" spans="1:17">
      <c r="A775" t="s">
        <v>762</v>
      </c>
      <c r="C775" t="s">
        <v>393</v>
      </c>
      <c r="D775" t="s">
        <v>729</v>
      </c>
      <c r="E775" t="s">
        <v>161</v>
      </c>
      <c r="G775" t="s">
        <v>787</v>
      </c>
      <c r="H775" t="s">
        <v>700</v>
      </c>
      <c r="K775">
        <v>1980</v>
      </c>
      <c r="L775">
        <v>2004</v>
      </c>
      <c r="M775">
        <v>24</v>
      </c>
      <c r="O775">
        <v>3</v>
      </c>
      <c r="P775" t="s">
        <v>15</v>
      </c>
      <c r="Q775" t="s">
        <v>701</v>
      </c>
    </row>
    <row r="776" spans="1:17">
      <c r="A776" t="s">
        <v>762</v>
      </c>
      <c r="C776" t="s">
        <v>393</v>
      </c>
      <c r="D776" t="s">
        <v>729</v>
      </c>
      <c r="E776" t="s">
        <v>161</v>
      </c>
      <c r="G776" t="s">
        <v>788</v>
      </c>
      <c r="H776" t="s">
        <v>700</v>
      </c>
      <c r="K776">
        <v>1980</v>
      </c>
      <c r="L776">
        <v>2004</v>
      </c>
      <c r="M776">
        <v>24</v>
      </c>
      <c r="O776">
        <v>3</v>
      </c>
      <c r="P776" t="s">
        <v>15</v>
      </c>
      <c r="Q776" t="s">
        <v>701</v>
      </c>
    </row>
    <row r="777" spans="1:17">
      <c r="A777" t="s">
        <v>702</v>
      </c>
      <c r="C777" t="s">
        <v>393</v>
      </c>
      <c r="D777" t="s">
        <v>703</v>
      </c>
      <c r="E777" t="s">
        <v>161</v>
      </c>
      <c r="G777" t="s">
        <v>789</v>
      </c>
      <c r="H777" t="s">
        <v>706</v>
      </c>
      <c r="K777">
        <v>1968</v>
      </c>
      <c r="L777">
        <v>2017</v>
      </c>
      <c r="M777">
        <v>49</v>
      </c>
      <c r="O777">
        <v>130.9</v>
      </c>
      <c r="P777" t="s">
        <v>15</v>
      </c>
      <c r="Q777" t="s">
        <v>701</v>
      </c>
    </row>
    <row r="778" spans="1:17">
      <c r="A778" t="s">
        <v>702</v>
      </c>
      <c r="C778" t="s">
        <v>393</v>
      </c>
      <c r="D778" t="s">
        <v>703</v>
      </c>
      <c r="E778" t="s">
        <v>161</v>
      </c>
      <c r="G778" t="s">
        <v>790</v>
      </c>
      <c r="H778" t="s">
        <v>406</v>
      </c>
      <c r="K778">
        <v>1968</v>
      </c>
      <c r="L778">
        <v>2017</v>
      </c>
      <c r="M778">
        <v>49</v>
      </c>
      <c r="O778">
        <v>110.1</v>
      </c>
      <c r="P778" t="s">
        <v>15</v>
      </c>
      <c r="Q778" t="s">
        <v>701</v>
      </c>
    </row>
    <row r="779" spans="1:17">
      <c r="A779" t="s">
        <v>702</v>
      </c>
      <c r="C779" t="s">
        <v>393</v>
      </c>
      <c r="D779" t="s">
        <v>703</v>
      </c>
      <c r="E779" t="s">
        <v>161</v>
      </c>
      <c r="G779" t="s">
        <v>791</v>
      </c>
      <c r="H779" t="s">
        <v>706</v>
      </c>
      <c r="K779">
        <v>1968</v>
      </c>
      <c r="L779">
        <v>2017</v>
      </c>
      <c r="M779">
        <v>49</v>
      </c>
      <c r="O779">
        <v>109.2</v>
      </c>
      <c r="P779" t="s">
        <v>15</v>
      </c>
      <c r="Q779" t="s">
        <v>701</v>
      </c>
    </row>
    <row r="780" spans="1:17">
      <c r="A780" t="s">
        <v>702</v>
      </c>
      <c r="C780" t="s">
        <v>393</v>
      </c>
      <c r="D780" t="s">
        <v>703</v>
      </c>
      <c r="E780" t="s">
        <v>161</v>
      </c>
      <c r="G780" t="s">
        <v>792</v>
      </c>
      <c r="H780" t="s">
        <v>706</v>
      </c>
      <c r="K780">
        <v>1968</v>
      </c>
      <c r="L780">
        <v>2017</v>
      </c>
      <c r="M780">
        <v>49</v>
      </c>
      <c r="O780">
        <v>97</v>
      </c>
      <c r="P780" t="s">
        <v>15</v>
      </c>
      <c r="Q780" t="s">
        <v>701</v>
      </c>
    </row>
    <row r="781" spans="1:17">
      <c r="A781" t="s">
        <v>702</v>
      </c>
      <c r="C781" t="s">
        <v>393</v>
      </c>
      <c r="D781" t="s">
        <v>703</v>
      </c>
      <c r="E781" t="s">
        <v>161</v>
      </c>
      <c r="G781" t="s">
        <v>793</v>
      </c>
      <c r="H781" t="s">
        <v>706</v>
      </c>
      <c r="K781">
        <v>1968</v>
      </c>
      <c r="L781">
        <v>2017</v>
      </c>
      <c r="M781">
        <v>49</v>
      </c>
      <c r="O781">
        <v>71</v>
      </c>
      <c r="P781" t="s">
        <v>15</v>
      </c>
      <c r="Q781" t="s">
        <v>701</v>
      </c>
    </row>
    <row r="782" spans="1:17">
      <c r="A782" t="s">
        <v>702</v>
      </c>
      <c r="C782" t="s">
        <v>393</v>
      </c>
      <c r="D782" t="s">
        <v>703</v>
      </c>
      <c r="E782" t="s">
        <v>161</v>
      </c>
      <c r="G782" t="s">
        <v>794</v>
      </c>
      <c r="H782" t="s">
        <v>706</v>
      </c>
      <c r="K782">
        <v>1968</v>
      </c>
      <c r="L782">
        <v>2017</v>
      </c>
      <c r="M782">
        <v>49</v>
      </c>
      <c r="O782">
        <v>68.8</v>
      </c>
      <c r="P782" t="s">
        <v>15</v>
      </c>
      <c r="Q782" t="s">
        <v>701</v>
      </c>
    </row>
    <row r="783" spans="1:17">
      <c r="A783" t="s">
        <v>702</v>
      </c>
      <c r="C783" t="s">
        <v>393</v>
      </c>
      <c r="D783" t="s">
        <v>703</v>
      </c>
      <c r="E783" t="s">
        <v>161</v>
      </c>
      <c r="G783" t="s">
        <v>795</v>
      </c>
      <c r="H783" t="s">
        <v>406</v>
      </c>
      <c r="K783">
        <v>1968</v>
      </c>
      <c r="L783">
        <v>2017</v>
      </c>
      <c r="M783">
        <v>49</v>
      </c>
      <c r="O783">
        <v>63.4</v>
      </c>
      <c r="P783" t="s">
        <v>15</v>
      </c>
      <c r="Q783" t="s">
        <v>701</v>
      </c>
    </row>
    <row r="784" spans="1:17">
      <c r="A784" t="s">
        <v>702</v>
      </c>
      <c r="C784" t="s">
        <v>393</v>
      </c>
      <c r="D784" t="s">
        <v>703</v>
      </c>
      <c r="E784" t="s">
        <v>161</v>
      </c>
      <c r="G784" t="s">
        <v>796</v>
      </c>
      <c r="H784" t="s">
        <v>406</v>
      </c>
      <c r="K784">
        <v>1968</v>
      </c>
      <c r="L784">
        <v>2017</v>
      </c>
      <c r="M784">
        <v>49</v>
      </c>
      <c r="O784">
        <v>60.300000000000004</v>
      </c>
      <c r="P784" t="s">
        <v>15</v>
      </c>
      <c r="Q784" t="s">
        <v>701</v>
      </c>
    </row>
    <row r="785" spans="1:17">
      <c r="A785" t="s">
        <v>702</v>
      </c>
      <c r="C785" t="s">
        <v>393</v>
      </c>
      <c r="D785" t="s">
        <v>703</v>
      </c>
      <c r="E785" t="s">
        <v>161</v>
      </c>
      <c r="G785" t="s">
        <v>797</v>
      </c>
      <c r="H785" t="s">
        <v>706</v>
      </c>
      <c r="K785">
        <v>1968</v>
      </c>
      <c r="L785">
        <v>2017</v>
      </c>
      <c r="M785">
        <v>49</v>
      </c>
      <c r="O785">
        <v>59.699999999999996</v>
      </c>
      <c r="P785" t="s">
        <v>15</v>
      </c>
      <c r="Q785" t="s">
        <v>701</v>
      </c>
    </row>
    <row r="786" spans="1:17">
      <c r="A786" t="s">
        <v>702</v>
      </c>
      <c r="C786" t="s">
        <v>393</v>
      </c>
      <c r="D786" t="s">
        <v>703</v>
      </c>
      <c r="E786" t="s">
        <v>161</v>
      </c>
      <c r="G786" t="s">
        <v>798</v>
      </c>
      <c r="H786" t="s">
        <v>406</v>
      </c>
      <c r="K786">
        <v>1968</v>
      </c>
      <c r="L786">
        <v>2017</v>
      </c>
      <c r="M786">
        <v>49</v>
      </c>
      <c r="O786">
        <v>54.2</v>
      </c>
      <c r="P786" t="s">
        <v>15</v>
      </c>
      <c r="Q786" t="s">
        <v>701</v>
      </c>
    </row>
    <row r="787" spans="1:17">
      <c r="A787" t="s">
        <v>702</v>
      </c>
      <c r="C787" t="s">
        <v>393</v>
      </c>
      <c r="D787" t="s">
        <v>703</v>
      </c>
      <c r="E787" t="s">
        <v>161</v>
      </c>
      <c r="G787" t="s">
        <v>799</v>
      </c>
      <c r="H787" t="s">
        <v>406</v>
      </c>
      <c r="K787">
        <v>1968</v>
      </c>
      <c r="L787">
        <v>2017</v>
      </c>
      <c r="M787">
        <v>49</v>
      </c>
      <c r="O787">
        <v>51.1</v>
      </c>
      <c r="P787" t="s">
        <v>15</v>
      </c>
      <c r="Q787" t="s">
        <v>701</v>
      </c>
    </row>
    <row r="788" spans="1:17">
      <c r="A788" t="s">
        <v>702</v>
      </c>
      <c r="C788" t="s">
        <v>393</v>
      </c>
      <c r="D788" t="s">
        <v>703</v>
      </c>
      <c r="E788" t="s">
        <v>161</v>
      </c>
      <c r="G788" t="s">
        <v>800</v>
      </c>
      <c r="H788" t="s">
        <v>406</v>
      </c>
      <c r="K788">
        <v>1968</v>
      </c>
      <c r="L788">
        <v>2017</v>
      </c>
      <c r="M788">
        <v>49</v>
      </c>
      <c r="O788">
        <v>45.7</v>
      </c>
      <c r="P788" t="s">
        <v>15</v>
      </c>
      <c r="Q788" t="s">
        <v>701</v>
      </c>
    </row>
    <row r="789" spans="1:17">
      <c r="A789" t="s">
        <v>702</v>
      </c>
      <c r="C789" t="s">
        <v>393</v>
      </c>
      <c r="D789" t="s">
        <v>703</v>
      </c>
      <c r="E789" t="s">
        <v>161</v>
      </c>
      <c r="G789" t="s">
        <v>801</v>
      </c>
      <c r="H789" t="s">
        <v>406</v>
      </c>
      <c r="K789">
        <v>1968</v>
      </c>
      <c r="L789">
        <v>2017</v>
      </c>
      <c r="M789">
        <v>49</v>
      </c>
      <c r="O789">
        <v>42</v>
      </c>
      <c r="P789" t="s">
        <v>15</v>
      </c>
      <c r="Q789" t="s">
        <v>701</v>
      </c>
    </row>
    <row r="790" spans="1:17">
      <c r="A790" t="s">
        <v>702</v>
      </c>
      <c r="C790" t="s">
        <v>393</v>
      </c>
      <c r="D790" t="s">
        <v>703</v>
      </c>
      <c r="E790" t="s">
        <v>161</v>
      </c>
      <c r="G790" t="s">
        <v>802</v>
      </c>
      <c r="H790" t="s">
        <v>406</v>
      </c>
      <c r="K790">
        <v>1968</v>
      </c>
      <c r="L790">
        <v>2017</v>
      </c>
      <c r="M790">
        <v>49</v>
      </c>
      <c r="O790">
        <v>41.2</v>
      </c>
      <c r="P790" t="s">
        <v>15</v>
      </c>
      <c r="Q790" t="s">
        <v>701</v>
      </c>
    </row>
    <row r="791" spans="1:17">
      <c r="A791" t="s">
        <v>702</v>
      </c>
      <c r="C791" t="s">
        <v>393</v>
      </c>
      <c r="D791" t="s">
        <v>703</v>
      </c>
      <c r="E791" t="s">
        <v>161</v>
      </c>
      <c r="G791" t="s">
        <v>803</v>
      </c>
      <c r="H791" t="s">
        <v>406</v>
      </c>
      <c r="K791">
        <v>1968</v>
      </c>
      <c r="L791">
        <v>2017</v>
      </c>
      <c r="M791">
        <v>49</v>
      </c>
      <c r="O791">
        <v>30.299999999999997</v>
      </c>
      <c r="P791" t="s">
        <v>15</v>
      </c>
      <c r="Q791" t="s">
        <v>701</v>
      </c>
    </row>
    <row r="792" spans="1:17">
      <c r="A792" t="s">
        <v>702</v>
      </c>
      <c r="C792" t="s">
        <v>393</v>
      </c>
      <c r="D792" t="s">
        <v>703</v>
      </c>
      <c r="E792" t="s">
        <v>161</v>
      </c>
      <c r="G792" t="s">
        <v>804</v>
      </c>
      <c r="H792" t="s">
        <v>406</v>
      </c>
      <c r="K792">
        <v>1968</v>
      </c>
      <c r="L792">
        <v>2017</v>
      </c>
      <c r="M792">
        <v>49</v>
      </c>
      <c r="O792">
        <v>27</v>
      </c>
      <c r="P792" t="s">
        <v>15</v>
      </c>
      <c r="Q792" t="s">
        <v>701</v>
      </c>
    </row>
    <row r="793" spans="1:17">
      <c r="A793" t="s">
        <v>702</v>
      </c>
      <c r="C793" t="s">
        <v>393</v>
      </c>
      <c r="D793" t="s">
        <v>703</v>
      </c>
      <c r="E793" t="s">
        <v>161</v>
      </c>
      <c r="G793" t="s">
        <v>805</v>
      </c>
      <c r="H793" t="s">
        <v>706</v>
      </c>
      <c r="K793">
        <v>1968</v>
      </c>
      <c r="L793">
        <v>2017</v>
      </c>
      <c r="M793">
        <v>49</v>
      </c>
      <c r="O793">
        <v>26.8</v>
      </c>
      <c r="P793" t="s">
        <v>15</v>
      </c>
      <c r="Q793" t="s">
        <v>701</v>
      </c>
    </row>
    <row r="794" spans="1:17">
      <c r="A794" t="s">
        <v>702</v>
      </c>
      <c r="C794" t="s">
        <v>393</v>
      </c>
      <c r="D794" t="s">
        <v>703</v>
      </c>
      <c r="E794" t="s">
        <v>161</v>
      </c>
      <c r="G794" t="s">
        <v>806</v>
      </c>
      <c r="H794" t="s">
        <v>406</v>
      </c>
      <c r="K794">
        <v>1968</v>
      </c>
      <c r="L794">
        <v>2017</v>
      </c>
      <c r="M794">
        <v>49</v>
      </c>
      <c r="O794">
        <v>24.1</v>
      </c>
      <c r="P794" t="s">
        <v>15</v>
      </c>
      <c r="Q794" t="s">
        <v>701</v>
      </c>
    </row>
    <row r="795" spans="1:17">
      <c r="A795" t="s">
        <v>702</v>
      </c>
      <c r="C795" t="s">
        <v>393</v>
      </c>
      <c r="D795" t="s">
        <v>703</v>
      </c>
      <c r="E795" t="s">
        <v>161</v>
      </c>
      <c r="G795" t="s">
        <v>807</v>
      </c>
      <c r="H795" t="s">
        <v>406</v>
      </c>
      <c r="K795">
        <v>1968</v>
      </c>
      <c r="L795">
        <v>2017</v>
      </c>
      <c r="M795">
        <v>49</v>
      </c>
      <c r="O795">
        <v>23.1</v>
      </c>
      <c r="P795" t="s">
        <v>15</v>
      </c>
      <c r="Q795" t="s">
        <v>701</v>
      </c>
    </row>
    <row r="796" spans="1:17">
      <c r="A796" t="s">
        <v>702</v>
      </c>
      <c r="C796" t="s">
        <v>393</v>
      </c>
      <c r="D796" t="s">
        <v>703</v>
      </c>
      <c r="E796" t="s">
        <v>161</v>
      </c>
      <c r="G796" t="s">
        <v>808</v>
      </c>
      <c r="H796" t="s">
        <v>706</v>
      </c>
      <c r="K796">
        <v>1968</v>
      </c>
      <c r="L796">
        <v>2017</v>
      </c>
      <c r="M796">
        <v>49</v>
      </c>
      <c r="O796">
        <v>19.899999999999999</v>
      </c>
      <c r="P796" t="s">
        <v>15</v>
      </c>
      <c r="Q796" t="s">
        <v>701</v>
      </c>
    </row>
    <row r="797" spans="1:17">
      <c r="A797" t="s">
        <v>702</v>
      </c>
      <c r="C797" t="s">
        <v>393</v>
      </c>
      <c r="D797" t="s">
        <v>703</v>
      </c>
      <c r="E797" t="s">
        <v>161</v>
      </c>
      <c r="G797" t="s">
        <v>769</v>
      </c>
      <c r="H797" t="s">
        <v>406</v>
      </c>
      <c r="K797">
        <v>1968</v>
      </c>
      <c r="L797">
        <v>2017</v>
      </c>
      <c r="M797">
        <v>49</v>
      </c>
      <c r="O797">
        <v>2.3000000000000003</v>
      </c>
      <c r="P797" t="s">
        <v>15</v>
      </c>
      <c r="Q797" t="s">
        <v>701</v>
      </c>
    </row>
    <row r="798" spans="1:17">
      <c r="A798" t="s">
        <v>809</v>
      </c>
      <c r="C798" t="s">
        <v>393</v>
      </c>
      <c r="D798" t="s">
        <v>703</v>
      </c>
      <c r="E798" t="s">
        <v>161</v>
      </c>
      <c r="G798" t="s">
        <v>810</v>
      </c>
      <c r="H798" t="s">
        <v>700</v>
      </c>
      <c r="K798">
        <v>1980</v>
      </c>
      <c r="L798">
        <v>2018</v>
      </c>
      <c r="M798">
        <v>38</v>
      </c>
      <c r="O798" t="s">
        <v>163</v>
      </c>
      <c r="P798" t="s">
        <v>15</v>
      </c>
      <c r="Q798" t="s">
        <v>701</v>
      </c>
    </row>
    <row r="799" spans="1:17">
      <c r="A799" t="s">
        <v>708</v>
      </c>
      <c r="C799" t="s">
        <v>393</v>
      </c>
      <c r="D799" t="s">
        <v>709</v>
      </c>
      <c r="E799" t="s">
        <v>161</v>
      </c>
      <c r="G799" t="s">
        <v>811</v>
      </c>
      <c r="H799" t="s">
        <v>700</v>
      </c>
      <c r="K799">
        <v>1982</v>
      </c>
      <c r="L799">
        <v>2011</v>
      </c>
      <c r="M799">
        <v>29</v>
      </c>
      <c r="O799">
        <v>31.03448276</v>
      </c>
      <c r="P799" t="s">
        <v>15</v>
      </c>
      <c r="Q799" t="s">
        <v>701</v>
      </c>
    </row>
    <row r="800" spans="1:17">
      <c r="A800" t="s">
        <v>708</v>
      </c>
      <c r="C800" t="s">
        <v>393</v>
      </c>
      <c r="D800" t="s">
        <v>709</v>
      </c>
      <c r="E800" t="s">
        <v>161</v>
      </c>
      <c r="G800" t="s">
        <v>812</v>
      </c>
      <c r="H800" t="s">
        <v>700</v>
      </c>
      <c r="K800">
        <v>1982</v>
      </c>
      <c r="L800">
        <v>2011</v>
      </c>
      <c r="M800">
        <v>29</v>
      </c>
      <c r="O800">
        <v>27.241379309999999</v>
      </c>
      <c r="P800" t="s">
        <v>15</v>
      </c>
      <c r="Q800" t="s">
        <v>701</v>
      </c>
    </row>
    <row r="801" spans="1:17">
      <c r="A801" t="s">
        <v>708</v>
      </c>
      <c r="C801" t="s">
        <v>393</v>
      </c>
      <c r="D801" t="s">
        <v>709</v>
      </c>
      <c r="E801" t="s">
        <v>161</v>
      </c>
      <c r="G801" t="s">
        <v>721</v>
      </c>
      <c r="H801" t="s">
        <v>700</v>
      </c>
      <c r="K801">
        <v>1982</v>
      </c>
      <c r="L801">
        <v>2011</v>
      </c>
      <c r="M801">
        <v>29</v>
      </c>
      <c r="O801">
        <v>13.79310345</v>
      </c>
      <c r="P801" t="s">
        <v>15</v>
      </c>
      <c r="Q801" t="s">
        <v>701</v>
      </c>
    </row>
    <row r="802" spans="1:17">
      <c r="A802" t="s">
        <v>708</v>
      </c>
      <c r="C802" t="s">
        <v>393</v>
      </c>
      <c r="D802" t="s">
        <v>709</v>
      </c>
      <c r="E802" t="s">
        <v>161</v>
      </c>
      <c r="G802" t="s">
        <v>813</v>
      </c>
      <c r="H802" t="s">
        <v>700</v>
      </c>
      <c r="K802">
        <v>1982</v>
      </c>
      <c r="L802">
        <v>2011</v>
      </c>
      <c r="M802">
        <v>29</v>
      </c>
      <c r="O802">
        <v>12.758620690000001</v>
      </c>
      <c r="P802" t="s">
        <v>15</v>
      </c>
      <c r="Q802" t="s">
        <v>701</v>
      </c>
    </row>
    <row r="803" spans="1:17">
      <c r="A803" t="s">
        <v>708</v>
      </c>
      <c r="C803" t="s">
        <v>393</v>
      </c>
      <c r="D803" t="s">
        <v>709</v>
      </c>
      <c r="E803" t="s">
        <v>161</v>
      </c>
      <c r="G803" t="s">
        <v>711</v>
      </c>
      <c r="H803" t="s">
        <v>700</v>
      </c>
      <c r="K803">
        <v>1982</v>
      </c>
      <c r="L803">
        <v>2011</v>
      </c>
      <c r="M803">
        <v>29</v>
      </c>
      <c r="O803">
        <v>12.413793099999999</v>
      </c>
      <c r="P803" t="s">
        <v>15</v>
      </c>
      <c r="Q803" t="s">
        <v>701</v>
      </c>
    </row>
    <row r="804" spans="1:17">
      <c r="A804" t="s">
        <v>708</v>
      </c>
      <c r="C804" t="s">
        <v>393</v>
      </c>
      <c r="D804" t="s">
        <v>709</v>
      </c>
      <c r="E804" t="s">
        <v>161</v>
      </c>
      <c r="G804" t="s">
        <v>814</v>
      </c>
      <c r="H804" t="s">
        <v>700</v>
      </c>
      <c r="K804">
        <v>1982</v>
      </c>
      <c r="L804">
        <v>2011</v>
      </c>
      <c r="M804">
        <v>29</v>
      </c>
      <c r="O804">
        <v>12.068965519999999</v>
      </c>
      <c r="P804" t="s">
        <v>15</v>
      </c>
      <c r="Q804" t="s">
        <v>701</v>
      </c>
    </row>
    <row r="805" spans="1:17">
      <c r="A805" t="s">
        <v>708</v>
      </c>
      <c r="C805" t="s">
        <v>393</v>
      </c>
      <c r="D805" t="s">
        <v>709</v>
      </c>
      <c r="E805" t="s">
        <v>161</v>
      </c>
      <c r="G805" t="s">
        <v>721</v>
      </c>
      <c r="H805" t="s">
        <v>700</v>
      </c>
      <c r="K805">
        <v>1982</v>
      </c>
      <c r="L805">
        <v>2011</v>
      </c>
      <c r="M805">
        <v>29</v>
      </c>
      <c r="O805">
        <v>11.03448276</v>
      </c>
      <c r="P805" t="s">
        <v>15</v>
      </c>
      <c r="Q805" t="s">
        <v>701</v>
      </c>
    </row>
    <row r="806" spans="1:17">
      <c r="A806" t="s">
        <v>708</v>
      </c>
      <c r="C806" t="s">
        <v>393</v>
      </c>
      <c r="D806" t="s">
        <v>709</v>
      </c>
      <c r="E806" t="s">
        <v>161</v>
      </c>
      <c r="G806" t="s">
        <v>815</v>
      </c>
      <c r="H806" t="s">
        <v>700</v>
      </c>
      <c r="K806">
        <v>1982</v>
      </c>
      <c r="L806">
        <v>2011</v>
      </c>
      <c r="M806">
        <v>29</v>
      </c>
      <c r="O806">
        <v>10.689655170000002</v>
      </c>
      <c r="P806" t="s">
        <v>15</v>
      </c>
      <c r="Q806" t="s">
        <v>701</v>
      </c>
    </row>
    <row r="807" spans="1:17">
      <c r="A807" t="s">
        <v>708</v>
      </c>
      <c r="C807" t="s">
        <v>393</v>
      </c>
      <c r="D807" t="s">
        <v>709</v>
      </c>
      <c r="E807" t="s">
        <v>161</v>
      </c>
      <c r="G807" t="s">
        <v>816</v>
      </c>
      <c r="H807" t="s">
        <v>700</v>
      </c>
      <c r="K807">
        <v>1982</v>
      </c>
      <c r="L807">
        <v>2011</v>
      </c>
      <c r="M807">
        <v>29</v>
      </c>
      <c r="O807">
        <v>10.344827590000001</v>
      </c>
      <c r="P807" t="s">
        <v>15</v>
      </c>
      <c r="Q807" t="s">
        <v>701</v>
      </c>
    </row>
    <row r="808" spans="1:17">
      <c r="A808" t="s">
        <v>708</v>
      </c>
      <c r="C808" t="s">
        <v>393</v>
      </c>
      <c r="D808" t="s">
        <v>709</v>
      </c>
      <c r="E808" t="s">
        <v>161</v>
      </c>
      <c r="G808" t="s">
        <v>811</v>
      </c>
      <c r="H808" t="s">
        <v>700</v>
      </c>
      <c r="K808">
        <v>1982</v>
      </c>
      <c r="L808">
        <v>2011</v>
      </c>
      <c r="M808">
        <v>29</v>
      </c>
      <c r="O808">
        <v>10.344827590000001</v>
      </c>
      <c r="P808" t="s">
        <v>15</v>
      </c>
      <c r="Q808" t="s">
        <v>701</v>
      </c>
    </row>
    <row r="809" spans="1:17">
      <c r="A809" t="s">
        <v>708</v>
      </c>
      <c r="C809" t="s">
        <v>393</v>
      </c>
      <c r="D809" t="s">
        <v>709</v>
      </c>
      <c r="E809" t="s">
        <v>161</v>
      </c>
      <c r="G809" t="s">
        <v>711</v>
      </c>
      <c r="H809" t="s">
        <v>700</v>
      </c>
      <c r="K809">
        <v>1982</v>
      </c>
      <c r="L809">
        <v>2011</v>
      </c>
      <c r="M809">
        <v>29</v>
      </c>
      <c r="O809">
        <v>8.2758620699999987</v>
      </c>
      <c r="P809" t="s">
        <v>15</v>
      </c>
      <c r="Q809" t="s">
        <v>701</v>
      </c>
    </row>
    <row r="810" spans="1:17">
      <c r="A810" t="s">
        <v>708</v>
      </c>
      <c r="C810" t="s">
        <v>393</v>
      </c>
      <c r="D810" t="s">
        <v>709</v>
      </c>
      <c r="E810" t="s">
        <v>161</v>
      </c>
      <c r="G810" t="s">
        <v>817</v>
      </c>
      <c r="H810" t="s">
        <v>700</v>
      </c>
      <c r="K810">
        <v>1982</v>
      </c>
      <c r="L810">
        <v>2011</v>
      </c>
      <c r="M810">
        <v>29</v>
      </c>
      <c r="O810">
        <v>7.2413793100000001</v>
      </c>
      <c r="P810" t="s">
        <v>15</v>
      </c>
      <c r="Q810" t="s">
        <v>701</v>
      </c>
    </row>
    <row r="811" spans="1:17">
      <c r="A811" t="s">
        <v>708</v>
      </c>
      <c r="C811" t="s">
        <v>393</v>
      </c>
      <c r="D811" t="s">
        <v>709</v>
      </c>
      <c r="E811" t="s">
        <v>161</v>
      </c>
      <c r="G811" t="s">
        <v>818</v>
      </c>
      <c r="H811" t="s">
        <v>700</v>
      </c>
      <c r="K811">
        <v>1982</v>
      </c>
      <c r="L811">
        <v>2011</v>
      </c>
      <c r="M811">
        <v>29</v>
      </c>
      <c r="O811">
        <v>7.2413793100000001</v>
      </c>
      <c r="P811" t="s">
        <v>15</v>
      </c>
      <c r="Q811" t="s">
        <v>701</v>
      </c>
    </row>
    <row r="812" spans="1:17">
      <c r="A812" t="s">
        <v>708</v>
      </c>
      <c r="C812" t="s">
        <v>393</v>
      </c>
      <c r="D812" t="s">
        <v>709</v>
      </c>
      <c r="E812" t="s">
        <v>161</v>
      </c>
      <c r="G812" t="s">
        <v>819</v>
      </c>
      <c r="H812" t="s">
        <v>700</v>
      </c>
      <c r="K812">
        <v>1982</v>
      </c>
      <c r="L812">
        <v>2011</v>
      </c>
      <c r="M812">
        <v>29</v>
      </c>
      <c r="O812">
        <v>4.4827586200000002</v>
      </c>
      <c r="P812" t="s">
        <v>15</v>
      </c>
      <c r="Q812" t="s">
        <v>701</v>
      </c>
    </row>
    <row r="813" spans="1:17">
      <c r="A813" t="s">
        <v>708</v>
      </c>
      <c r="C813" t="s">
        <v>393</v>
      </c>
      <c r="D813" t="s">
        <v>709</v>
      </c>
      <c r="E813" t="s">
        <v>161</v>
      </c>
      <c r="G813" t="s">
        <v>820</v>
      </c>
      <c r="H813" t="s">
        <v>700</v>
      </c>
      <c r="K813">
        <v>1982</v>
      </c>
      <c r="L813">
        <v>2011</v>
      </c>
      <c r="M813">
        <v>29</v>
      </c>
      <c r="O813">
        <v>4.4827586200000002</v>
      </c>
      <c r="P813" t="s">
        <v>15</v>
      </c>
      <c r="Q813" t="s">
        <v>701</v>
      </c>
    </row>
    <row r="814" spans="1:17">
      <c r="A814" t="s">
        <v>708</v>
      </c>
      <c r="C814" t="s">
        <v>393</v>
      </c>
      <c r="D814" t="s">
        <v>709</v>
      </c>
      <c r="E814" t="s">
        <v>161</v>
      </c>
      <c r="G814" t="s">
        <v>821</v>
      </c>
      <c r="H814" t="s">
        <v>700</v>
      </c>
      <c r="K814">
        <v>1982</v>
      </c>
      <c r="L814">
        <v>2011</v>
      </c>
      <c r="M814">
        <v>29</v>
      </c>
      <c r="O814">
        <v>1.7241379300000002</v>
      </c>
      <c r="P814" t="s">
        <v>15</v>
      </c>
      <c r="Q814" t="s">
        <v>701</v>
      </c>
    </row>
    <row r="815" spans="1:17">
      <c r="A815" t="s">
        <v>714</v>
      </c>
      <c r="C815" t="s">
        <v>393</v>
      </c>
      <c r="D815" t="s">
        <v>715</v>
      </c>
      <c r="E815" t="s">
        <v>161</v>
      </c>
      <c r="G815" t="s">
        <v>822</v>
      </c>
      <c r="H815" t="s">
        <v>700</v>
      </c>
      <c r="K815">
        <v>1967</v>
      </c>
      <c r="L815">
        <v>2013</v>
      </c>
      <c r="M815">
        <v>46</v>
      </c>
      <c r="O815">
        <v>115.19999999999999</v>
      </c>
      <c r="P815" t="s">
        <v>15</v>
      </c>
      <c r="Q815" t="s">
        <v>701</v>
      </c>
    </row>
    <row r="816" spans="1:17">
      <c r="A816" t="s">
        <v>714</v>
      </c>
      <c r="C816" t="s">
        <v>393</v>
      </c>
      <c r="D816" t="s">
        <v>715</v>
      </c>
      <c r="E816" t="s">
        <v>161</v>
      </c>
      <c r="G816" t="s">
        <v>823</v>
      </c>
      <c r="H816" t="s">
        <v>700</v>
      </c>
      <c r="K816">
        <v>1978</v>
      </c>
      <c r="L816">
        <v>2013</v>
      </c>
      <c r="M816">
        <v>29</v>
      </c>
      <c r="O816">
        <v>48.5</v>
      </c>
      <c r="P816" t="s">
        <v>15</v>
      </c>
      <c r="Q816" t="s">
        <v>701</v>
      </c>
    </row>
    <row r="817" spans="1:17">
      <c r="A817" t="s">
        <v>824</v>
      </c>
      <c r="C817" t="s">
        <v>393</v>
      </c>
      <c r="D817" t="s">
        <v>757</v>
      </c>
      <c r="E817" t="s">
        <v>161</v>
      </c>
      <c r="G817" t="s">
        <v>825</v>
      </c>
      <c r="H817" t="s">
        <v>700</v>
      </c>
      <c r="K817">
        <v>1800</v>
      </c>
      <c r="L817">
        <v>2009</v>
      </c>
      <c r="M817">
        <v>209</v>
      </c>
      <c r="O817" t="s">
        <v>163</v>
      </c>
      <c r="P817" t="s">
        <v>15</v>
      </c>
      <c r="Q817" t="s">
        <v>701</v>
      </c>
    </row>
    <row r="818" spans="1:17">
      <c r="A818" t="s">
        <v>824</v>
      </c>
      <c r="C818" t="s">
        <v>393</v>
      </c>
      <c r="D818" t="s">
        <v>757</v>
      </c>
      <c r="E818" t="s">
        <v>161</v>
      </c>
      <c r="G818" t="s">
        <v>826</v>
      </c>
      <c r="H818" t="s">
        <v>700</v>
      </c>
      <c r="K818">
        <v>1800</v>
      </c>
      <c r="L818">
        <v>2009</v>
      </c>
      <c r="M818">
        <v>209</v>
      </c>
      <c r="O818" t="s">
        <v>163</v>
      </c>
      <c r="P818" t="s">
        <v>15</v>
      </c>
      <c r="Q818" t="s">
        <v>701</v>
      </c>
    </row>
    <row r="819" spans="1:17">
      <c r="A819" t="s">
        <v>824</v>
      </c>
      <c r="C819" t="s">
        <v>393</v>
      </c>
      <c r="D819" t="s">
        <v>757</v>
      </c>
      <c r="E819" t="s">
        <v>161</v>
      </c>
      <c r="G819" t="s">
        <v>827</v>
      </c>
      <c r="H819" t="s">
        <v>700</v>
      </c>
      <c r="K819">
        <v>1800</v>
      </c>
      <c r="L819">
        <v>2009</v>
      </c>
      <c r="M819">
        <v>209</v>
      </c>
      <c r="O819" t="s">
        <v>163</v>
      </c>
      <c r="P819" t="s">
        <v>15</v>
      </c>
      <c r="Q819" t="s">
        <v>701</v>
      </c>
    </row>
    <row r="820" spans="1:17">
      <c r="A820" t="s">
        <v>824</v>
      </c>
      <c r="C820" t="s">
        <v>393</v>
      </c>
      <c r="D820" t="s">
        <v>757</v>
      </c>
      <c r="E820" t="s">
        <v>161</v>
      </c>
      <c r="G820" t="s">
        <v>828</v>
      </c>
      <c r="H820" t="s">
        <v>700</v>
      </c>
      <c r="K820">
        <v>1800</v>
      </c>
      <c r="L820">
        <v>2009</v>
      </c>
      <c r="M820">
        <v>209</v>
      </c>
      <c r="O820" t="s">
        <v>163</v>
      </c>
      <c r="P820" t="s">
        <v>15</v>
      </c>
      <c r="Q820" t="s">
        <v>701</v>
      </c>
    </row>
    <row r="821" spans="1:17">
      <c r="A821" t="s">
        <v>824</v>
      </c>
      <c r="C821" t="s">
        <v>393</v>
      </c>
      <c r="D821" t="s">
        <v>757</v>
      </c>
      <c r="E821" t="s">
        <v>161</v>
      </c>
      <c r="G821" t="s">
        <v>829</v>
      </c>
      <c r="H821" t="s">
        <v>700</v>
      </c>
      <c r="K821">
        <v>1800</v>
      </c>
      <c r="L821">
        <v>2009</v>
      </c>
      <c r="M821">
        <v>209</v>
      </c>
      <c r="O821" t="s">
        <v>163</v>
      </c>
      <c r="P821" t="s">
        <v>15</v>
      </c>
      <c r="Q821" t="s">
        <v>701</v>
      </c>
    </row>
    <row r="822" spans="1:17">
      <c r="A822" t="s">
        <v>824</v>
      </c>
      <c r="C822" t="s">
        <v>393</v>
      </c>
      <c r="D822" t="s">
        <v>757</v>
      </c>
      <c r="E822" t="s">
        <v>161</v>
      </c>
      <c r="G822" t="s">
        <v>830</v>
      </c>
      <c r="H822" t="s">
        <v>700</v>
      </c>
      <c r="K822">
        <v>1800</v>
      </c>
      <c r="L822">
        <v>2009</v>
      </c>
      <c r="M822">
        <v>209</v>
      </c>
      <c r="O822" t="s">
        <v>163</v>
      </c>
      <c r="P822" t="s">
        <v>15</v>
      </c>
      <c r="Q822" t="s">
        <v>701</v>
      </c>
    </row>
    <row r="823" spans="1:17">
      <c r="A823" t="s">
        <v>824</v>
      </c>
      <c r="C823" t="s">
        <v>393</v>
      </c>
      <c r="D823" t="s">
        <v>757</v>
      </c>
      <c r="E823" t="s">
        <v>161</v>
      </c>
      <c r="G823" t="s">
        <v>831</v>
      </c>
      <c r="H823" t="s">
        <v>700</v>
      </c>
      <c r="K823">
        <v>1800</v>
      </c>
      <c r="L823">
        <v>2009</v>
      </c>
      <c r="M823">
        <v>209</v>
      </c>
      <c r="O823" t="s">
        <v>163</v>
      </c>
      <c r="P823" t="s">
        <v>15</v>
      </c>
      <c r="Q823" t="s">
        <v>701</v>
      </c>
    </row>
    <row r="824" spans="1:17">
      <c r="A824" t="s">
        <v>824</v>
      </c>
      <c r="C824" t="s">
        <v>393</v>
      </c>
      <c r="D824" t="s">
        <v>757</v>
      </c>
      <c r="E824" t="s">
        <v>161</v>
      </c>
      <c r="G824" t="s">
        <v>832</v>
      </c>
      <c r="H824" t="s">
        <v>700</v>
      </c>
      <c r="K824">
        <v>1800</v>
      </c>
      <c r="L824">
        <v>2009</v>
      </c>
      <c r="M824">
        <v>209</v>
      </c>
      <c r="O824" t="s">
        <v>163</v>
      </c>
      <c r="P824" t="s">
        <v>15</v>
      </c>
      <c r="Q824" t="s">
        <v>701</v>
      </c>
    </row>
    <row r="825" spans="1:17">
      <c r="A825" t="s">
        <v>824</v>
      </c>
      <c r="C825" t="s">
        <v>393</v>
      </c>
      <c r="D825" t="s">
        <v>757</v>
      </c>
      <c r="E825" t="s">
        <v>161</v>
      </c>
      <c r="G825" t="s">
        <v>833</v>
      </c>
      <c r="H825" t="s">
        <v>700</v>
      </c>
      <c r="K825">
        <v>1800</v>
      </c>
      <c r="L825">
        <v>2009</v>
      </c>
      <c r="M825">
        <v>209</v>
      </c>
      <c r="O825" t="s">
        <v>163</v>
      </c>
      <c r="P825" t="s">
        <v>15</v>
      </c>
      <c r="Q825" t="s">
        <v>701</v>
      </c>
    </row>
    <row r="826" spans="1:17">
      <c r="A826" t="s">
        <v>824</v>
      </c>
      <c r="C826" t="s">
        <v>393</v>
      </c>
      <c r="D826" t="s">
        <v>757</v>
      </c>
      <c r="E826" t="s">
        <v>161</v>
      </c>
      <c r="G826" t="s">
        <v>834</v>
      </c>
      <c r="H826" t="s">
        <v>700</v>
      </c>
      <c r="K826">
        <v>1800</v>
      </c>
      <c r="L826">
        <v>2009</v>
      </c>
      <c r="M826">
        <v>209</v>
      </c>
      <c r="O826" t="s">
        <v>163</v>
      </c>
      <c r="P826" t="s">
        <v>15</v>
      </c>
      <c r="Q826" t="s">
        <v>701</v>
      </c>
    </row>
    <row r="827" spans="1:17">
      <c r="A827" t="s">
        <v>824</v>
      </c>
      <c r="C827" t="s">
        <v>393</v>
      </c>
      <c r="D827" t="s">
        <v>757</v>
      </c>
      <c r="E827" t="s">
        <v>161</v>
      </c>
      <c r="G827" t="s">
        <v>835</v>
      </c>
      <c r="H827" t="s">
        <v>700</v>
      </c>
      <c r="K827">
        <v>1800</v>
      </c>
      <c r="L827">
        <v>2009</v>
      </c>
      <c r="M827">
        <v>209</v>
      </c>
      <c r="O827" t="s">
        <v>163</v>
      </c>
      <c r="P827" t="s">
        <v>15</v>
      </c>
      <c r="Q827" t="s">
        <v>701</v>
      </c>
    </row>
    <row r="828" spans="1:17">
      <c r="A828" t="s">
        <v>824</v>
      </c>
      <c r="C828" t="s">
        <v>393</v>
      </c>
      <c r="D828" t="s">
        <v>757</v>
      </c>
      <c r="E828" t="s">
        <v>161</v>
      </c>
      <c r="G828" t="s">
        <v>836</v>
      </c>
      <c r="H828" t="s">
        <v>700</v>
      </c>
      <c r="K828">
        <v>1800</v>
      </c>
      <c r="L828">
        <v>2009</v>
      </c>
      <c r="M828">
        <v>209</v>
      </c>
      <c r="O828" t="s">
        <v>163</v>
      </c>
      <c r="P828" t="s">
        <v>15</v>
      </c>
      <c r="Q828" t="s">
        <v>701</v>
      </c>
    </row>
    <row r="829" spans="1:17">
      <c r="A829" t="s">
        <v>824</v>
      </c>
      <c r="C829" t="s">
        <v>393</v>
      </c>
      <c r="D829" t="s">
        <v>757</v>
      </c>
      <c r="E829" t="s">
        <v>161</v>
      </c>
      <c r="G829" t="s">
        <v>837</v>
      </c>
      <c r="H829" t="s">
        <v>700</v>
      </c>
      <c r="K829">
        <v>1800</v>
      </c>
      <c r="L829">
        <v>2009</v>
      </c>
      <c r="M829">
        <v>209</v>
      </c>
      <c r="O829" t="s">
        <v>163</v>
      </c>
      <c r="P829" t="s">
        <v>15</v>
      </c>
      <c r="Q829" t="s">
        <v>701</v>
      </c>
    </row>
    <row r="830" spans="1:17">
      <c r="A830" t="s">
        <v>824</v>
      </c>
      <c r="C830" t="s">
        <v>393</v>
      </c>
      <c r="D830" t="s">
        <v>757</v>
      </c>
      <c r="E830" t="s">
        <v>161</v>
      </c>
      <c r="G830" t="s">
        <v>838</v>
      </c>
      <c r="H830" t="s">
        <v>700</v>
      </c>
      <c r="K830">
        <v>1800</v>
      </c>
      <c r="L830">
        <v>2009</v>
      </c>
      <c r="M830">
        <v>209</v>
      </c>
      <c r="O830" t="s">
        <v>163</v>
      </c>
      <c r="P830" t="s">
        <v>15</v>
      </c>
      <c r="Q830" t="s">
        <v>701</v>
      </c>
    </row>
    <row r="831" spans="1:17">
      <c r="A831" t="s">
        <v>824</v>
      </c>
      <c r="C831" t="s">
        <v>393</v>
      </c>
      <c r="D831" t="s">
        <v>757</v>
      </c>
      <c r="E831" t="s">
        <v>161</v>
      </c>
      <c r="G831" t="s">
        <v>839</v>
      </c>
      <c r="H831" t="s">
        <v>700</v>
      </c>
      <c r="K831">
        <v>1800</v>
      </c>
      <c r="L831">
        <v>2009</v>
      </c>
      <c r="M831">
        <v>209</v>
      </c>
      <c r="O831" t="s">
        <v>163</v>
      </c>
      <c r="P831" t="s">
        <v>15</v>
      </c>
      <c r="Q831" t="s">
        <v>701</v>
      </c>
    </row>
    <row r="832" spans="1:17">
      <c r="A832" t="s">
        <v>824</v>
      </c>
      <c r="C832" t="s">
        <v>393</v>
      </c>
      <c r="D832" t="s">
        <v>757</v>
      </c>
      <c r="E832" t="s">
        <v>161</v>
      </c>
      <c r="G832" t="s">
        <v>840</v>
      </c>
      <c r="H832" t="s">
        <v>700</v>
      </c>
      <c r="K832">
        <v>1800</v>
      </c>
      <c r="L832">
        <v>2009</v>
      </c>
      <c r="M832">
        <v>209</v>
      </c>
      <c r="O832" t="s">
        <v>163</v>
      </c>
      <c r="P832" t="s">
        <v>15</v>
      </c>
      <c r="Q832" t="s">
        <v>701</v>
      </c>
    </row>
    <row r="833" spans="1:17">
      <c r="A833" t="s">
        <v>824</v>
      </c>
      <c r="C833" t="s">
        <v>393</v>
      </c>
      <c r="D833" t="s">
        <v>757</v>
      </c>
      <c r="E833" t="s">
        <v>161</v>
      </c>
      <c r="G833" t="s">
        <v>841</v>
      </c>
      <c r="H833" t="s">
        <v>700</v>
      </c>
      <c r="K833">
        <v>1800</v>
      </c>
      <c r="L833">
        <v>2009</v>
      </c>
      <c r="M833">
        <v>209</v>
      </c>
      <c r="O833" t="s">
        <v>163</v>
      </c>
      <c r="P833" t="s">
        <v>15</v>
      </c>
      <c r="Q833" t="s">
        <v>701</v>
      </c>
    </row>
    <row r="834" spans="1:17">
      <c r="A834" t="s">
        <v>824</v>
      </c>
      <c r="C834" t="s">
        <v>393</v>
      </c>
      <c r="D834" t="s">
        <v>757</v>
      </c>
      <c r="E834" t="s">
        <v>161</v>
      </c>
      <c r="G834" t="s">
        <v>842</v>
      </c>
      <c r="H834" t="s">
        <v>700</v>
      </c>
      <c r="K834">
        <v>1800</v>
      </c>
      <c r="L834">
        <v>2009</v>
      </c>
      <c r="M834">
        <v>209</v>
      </c>
      <c r="O834" t="s">
        <v>163</v>
      </c>
      <c r="P834" t="s">
        <v>15</v>
      </c>
      <c r="Q834" t="s">
        <v>701</v>
      </c>
    </row>
    <row r="835" spans="1:17">
      <c r="A835" t="s">
        <v>824</v>
      </c>
      <c r="C835" t="s">
        <v>393</v>
      </c>
      <c r="D835" t="s">
        <v>757</v>
      </c>
      <c r="E835" t="s">
        <v>161</v>
      </c>
      <c r="G835" t="s">
        <v>843</v>
      </c>
      <c r="H835" t="s">
        <v>700</v>
      </c>
      <c r="K835">
        <v>1800</v>
      </c>
      <c r="L835">
        <v>2009</v>
      </c>
      <c r="M835">
        <v>209</v>
      </c>
      <c r="O835" t="s">
        <v>163</v>
      </c>
      <c r="P835" t="s">
        <v>15</v>
      </c>
      <c r="Q835" t="s">
        <v>701</v>
      </c>
    </row>
    <row r="836" spans="1:17">
      <c r="A836" t="s">
        <v>824</v>
      </c>
      <c r="C836" t="s">
        <v>393</v>
      </c>
      <c r="D836" t="s">
        <v>757</v>
      </c>
      <c r="E836" t="s">
        <v>161</v>
      </c>
      <c r="G836" t="s">
        <v>844</v>
      </c>
      <c r="H836" t="s">
        <v>700</v>
      </c>
      <c r="K836">
        <v>1800</v>
      </c>
      <c r="L836">
        <v>2009</v>
      </c>
      <c r="M836">
        <v>209</v>
      </c>
      <c r="O836" t="s">
        <v>163</v>
      </c>
      <c r="P836" t="s">
        <v>15</v>
      </c>
      <c r="Q836" t="s">
        <v>701</v>
      </c>
    </row>
    <row r="837" spans="1:17">
      <c r="A837" t="s">
        <v>824</v>
      </c>
      <c r="C837" t="s">
        <v>393</v>
      </c>
      <c r="D837" t="s">
        <v>757</v>
      </c>
      <c r="E837" t="s">
        <v>161</v>
      </c>
      <c r="G837" t="s">
        <v>845</v>
      </c>
      <c r="H837" t="s">
        <v>700</v>
      </c>
      <c r="K837">
        <v>1800</v>
      </c>
      <c r="L837">
        <v>2009</v>
      </c>
      <c r="M837">
        <v>209</v>
      </c>
      <c r="O837" t="s">
        <v>163</v>
      </c>
      <c r="P837" t="s">
        <v>15</v>
      </c>
      <c r="Q837" t="s">
        <v>701</v>
      </c>
    </row>
    <row r="838" spans="1:17">
      <c r="A838" t="s">
        <v>824</v>
      </c>
      <c r="C838" t="s">
        <v>393</v>
      </c>
      <c r="D838" t="s">
        <v>757</v>
      </c>
      <c r="E838" t="s">
        <v>161</v>
      </c>
      <c r="G838" t="s">
        <v>846</v>
      </c>
      <c r="H838" t="s">
        <v>700</v>
      </c>
      <c r="K838">
        <v>1800</v>
      </c>
      <c r="L838">
        <v>2009</v>
      </c>
      <c r="M838">
        <v>209</v>
      </c>
      <c r="O838" t="s">
        <v>163</v>
      </c>
      <c r="P838" t="s">
        <v>15</v>
      </c>
      <c r="Q838" t="s">
        <v>701</v>
      </c>
    </row>
    <row r="839" spans="1:17">
      <c r="A839" t="s">
        <v>824</v>
      </c>
      <c r="C839" t="s">
        <v>393</v>
      </c>
      <c r="D839" t="s">
        <v>757</v>
      </c>
      <c r="E839" t="s">
        <v>161</v>
      </c>
      <c r="G839" t="s">
        <v>847</v>
      </c>
      <c r="H839" t="s">
        <v>700</v>
      </c>
      <c r="K839">
        <v>1800</v>
      </c>
      <c r="L839">
        <v>2009</v>
      </c>
      <c r="M839">
        <v>209</v>
      </c>
      <c r="O839" t="s">
        <v>163</v>
      </c>
      <c r="P839" t="s">
        <v>15</v>
      </c>
      <c r="Q839" t="s">
        <v>701</v>
      </c>
    </row>
    <row r="840" spans="1:17">
      <c r="A840" t="s">
        <v>824</v>
      </c>
      <c r="C840" t="s">
        <v>393</v>
      </c>
      <c r="D840" t="s">
        <v>757</v>
      </c>
      <c r="E840" t="s">
        <v>161</v>
      </c>
      <c r="G840" t="s">
        <v>848</v>
      </c>
      <c r="H840" t="s">
        <v>700</v>
      </c>
      <c r="K840">
        <v>1800</v>
      </c>
      <c r="L840">
        <v>2009</v>
      </c>
      <c r="M840">
        <v>209</v>
      </c>
      <c r="O840" t="s">
        <v>163</v>
      </c>
      <c r="P840" t="s">
        <v>15</v>
      </c>
      <c r="Q840" t="s">
        <v>701</v>
      </c>
    </row>
    <row r="841" spans="1:17">
      <c r="A841" t="s">
        <v>824</v>
      </c>
      <c r="C841" t="s">
        <v>393</v>
      </c>
      <c r="D841" t="s">
        <v>757</v>
      </c>
      <c r="E841" t="s">
        <v>161</v>
      </c>
      <c r="G841" t="s">
        <v>849</v>
      </c>
      <c r="H841" t="s">
        <v>700</v>
      </c>
      <c r="K841">
        <v>1800</v>
      </c>
      <c r="L841">
        <v>2009</v>
      </c>
      <c r="M841">
        <v>209</v>
      </c>
      <c r="O841" t="s">
        <v>163</v>
      </c>
      <c r="P841" t="s">
        <v>15</v>
      </c>
      <c r="Q841" t="s">
        <v>701</v>
      </c>
    </row>
    <row r="842" spans="1:17">
      <c r="A842" t="s">
        <v>824</v>
      </c>
      <c r="C842" t="s">
        <v>393</v>
      </c>
      <c r="D842" t="s">
        <v>757</v>
      </c>
      <c r="E842" t="s">
        <v>161</v>
      </c>
      <c r="G842" t="s">
        <v>850</v>
      </c>
      <c r="H842" t="s">
        <v>700</v>
      </c>
      <c r="K842">
        <v>1800</v>
      </c>
      <c r="L842">
        <v>2009</v>
      </c>
      <c r="M842">
        <v>209</v>
      </c>
      <c r="O842" t="s">
        <v>163</v>
      </c>
      <c r="P842" t="s">
        <v>15</v>
      </c>
      <c r="Q842" t="s">
        <v>701</v>
      </c>
    </row>
    <row r="843" spans="1:17">
      <c r="A843" t="s">
        <v>824</v>
      </c>
      <c r="C843" t="s">
        <v>393</v>
      </c>
      <c r="D843" t="s">
        <v>757</v>
      </c>
      <c r="E843" t="s">
        <v>161</v>
      </c>
      <c r="G843" t="s">
        <v>851</v>
      </c>
      <c r="H843" t="s">
        <v>700</v>
      </c>
      <c r="K843">
        <v>1800</v>
      </c>
      <c r="L843">
        <v>2009</v>
      </c>
      <c r="M843">
        <v>209</v>
      </c>
      <c r="O843" t="s">
        <v>163</v>
      </c>
      <c r="P843" t="s">
        <v>15</v>
      </c>
      <c r="Q843" t="s">
        <v>701</v>
      </c>
    </row>
    <row r="844" spans="1:17">
      <c r="A844" t="s">
        <v>824</v>
      </c>
      <c r="C844" t="s">
        <v>393</v>
      </c>
      <c r="D844" t="s">
        <v>757</v>
      </c>
      <c r="E844" t="s">
        <v>161</v>
      </c>
      <c r="G844" t="s">
        <v>852</v>
      </c>
      <c r="H844" t="s">
        <v>700</v>
      </c>
      <c r="K844">
        <v>1800</v>
      </c>
      <c r="L844">
        <v>2009</v>
      </c>
      <c r="M844">
        <v>209</v>
      </c>
      <c r="O844" t="s">
        <v>163</v>
      </c>
      <c r="P844" t="s">
        <v>15</v>
      </c>
      <c r="Q844" t="s">
        <v>701</v>
      </c>
    </row>
    <row r="845" spans="1:17">
      <c r="A845" t="s">
        <v>824</v>
      </c>
      <c r="C845" t="s">
        <v>393</v>
      </c>
      <c r="D845" t="s">
        <v>757</v>
      </c>
      <c r="E845" t="s">
        <v>161</v>
      </c>
      <c r="G845" t="s">
        <v>853</v>
      </c>
      <c r="H845" t="s">
        <v>700</v>
      </c>
      <c r="K845">
        <v>1800</v>
      </c>
      <c r="L845">
        <v>2009</v>
      </c>
      <c r="M845">
        <v>209</v>
      </c>
      <c r="O845" t="s">
        <v>163</v>
      </c>
      <c r="P845" t="s">
        <v>15</v>
      </c>
      <c r="Q845" t="s">
        <v>701</v>
      </c>
    </row>
    <row r="846" spans="1:17">
      <c r="A846" t="s">
        <v>824</v>
      </c>
      <c r="C846" t="s">
        <v>393</v>
      </c>
      <c r="D846" t="s">
        <v>757</v>
      </c>
      <c r="E846" t="s">
        <v>161</v>
      </c>
      <c r="G846" t="s">
        <v>854</v>
      </c>
      <c r="H846" t="s">
        <v>700</v>
      </c>
      <c r="K846">
        <v>1800</v>
      </c>
      <c r="L846">
        <v>2009</v>
      </c>
      <c r="M846">
        <v>209</v>
      </c>
      <c r="O846" t="s">
        <v>163</v>
      </c>
      <c r="P846" t="s">
        <v>15</v>
      </c>
      <c r="Q846" t="s">
        <v>701</v>
      </c>
    </row>
    <row r="847" spans="1:17">
      <c r="A847" t="s">
        <v>824</v>
      </c>
      <c r="C847" t="s">
        <v>393</v>
      </c>
      <c r="D847" t="s">
        <v>757</v>
      </c>
      <c r="E847" t="s">
        <v>161</v>
      </c>
      <c r="G847" t="s">
        <v>855</v>
      </c>
      <c r="H847" t="s">
        <v>700</v>
      </c>
      <c r="K847">
        <v>1800</v>
      </c>
      <c r="L847">
        <v>2009</v>
      </c>
      <c r="M847">
        <v>209</v>
      </c>
      <c r="O847" t="s">
        <v>163</v>
      </c>
      <c r="P847" t="s">
        <v>15</v>
      </c>
      <c r="Q847" t="s">
        <v>701</v>
      </c>
    </row>
    <row r="848" spans="1:17">
      <c r="A848" t="s">
        <v>824</v>
      </c>
      <c r="C848" t="s">
        <v>393</v>
      </c>
      <c r="D848" t="s">
        <v>757</v>
      </c>
      <c r="E848" t="s">
        <v>161</v>
      </c>
      <c r="G848" t="s">
        <v>856</v>
      </c>
      <c r="H848" t="s">
        <v>700</v>
      </c>
      <c r="K848">
        <v>1800</v>
      </c>
      <c r="L848">
        <v>2009</v>
      </c>
      <c r="M848">
        <v>209</v>
      </c>
      <c r="O848" t="s">
        <v>163</v>
      </c>
      <c r="P848" t="s">
        <v>15</v>
      </c>
      <c r="Q848" t="s">
        <v>701</v>
      </c>
    </row>
    <row r="849" spans="1:17">
      <c r="A849" t="s">
        <v>824</v>
      </c>
      <c r="C849" t="s">
        <v>393</v>
      </c>
      <c r="D849" t="s">
        <v>757</v>
      </c>
      <c r="E849" t="s">
        <v>161</v>
      </c>
      <c r="G849" t="s">
        <v>857</v>
      </c>
      <c r="H849" t="s">
        <v>700</v>
      </c>
      <c r="K849">
        <v>1800</v>
      </c>
      <c r="L849">
        <v>2009</v>
      </c>
      <c r="M849">
        <v>209</v>
      </c>
      <c r="O849" t="s">
        <v>163</v>
      </c>
      <c r="P849" t="s">
        <v>15</v>
      </c>
      <c r="Q849" t="s">
        <v>701</v>
      </c>
    </row>
    <row r="850" spans="1:17">
      <c r="A850" t="s">
        <v>824</v>
      </c>
      <c r="C850" t="s">
        <v>393</v>
      </c>
      <c r="D850" t="s">
        <v>757</v>
      </c>
      <c r="E850" t="s">
        <v>161</v>
      </c>
      <c r="G850" t="s">
        <v>858</v>
      </c>
      <c r="H850" t="s">
        <v>700</v>
      </c>
      <c r="K850">
        <v>1800</v>
      </c>
      <c r="L850">
        <v>2009</v>
      </c>
      <c r="M850">
        <v>209</v>
      </c>
      <c r="O850" t="s">
        <v>163</v>
      </c>
      <c r="P850" t="s">
        <v>15</v>
      </c>
      <c r="Q850" t="s">
        <v>701</v>
      </c>
    </row>
    <row r="851" spans="1:17">
      <c r="A851" t="s">
        <v>824</v>
      </c>
      <c r="C851" t="s">
        <v>393</v>
      </c>
      <c r="D851" t="s">
        <v>757</v>
      </c>
      <c r="E851" t="s">
        <v>161</v>
      </c>
      <c r="G851" t="s">
        <v>859</v>
      </c>
      <c r="H851" t="s">
        <v>700</v>
      </c>
      <c r="K851">
        <v>1800</v>
      </c>
      <c r="L851">
        <v>2009</v>
      </c>
      <c r="M851">
        <v>209</v>
      </c>
      <c r="O851" t="s">
        <v>163</v>
      </c>
      <c r="P851" t="s">
        <v>15</v>
      </c>
      <c r="Q851" t="s">
        <v>701</v>
      </c>
    </row>
    <row r="852" spans="1:17">
      <c r="A852" t="s">
        <v>824</v>
      </c>
      <c r="C852" t="s">
        <v>393</v>
      </c>
      <c r="D852" t="s">
        <v>757</v>
      </c>
      <c r="E852" t="s">
        <v>161</v>
      </c>
      <c r="G852" t="s">
        <v>860</v>
      </c>
      <c r="H852" t="s">
        <v>700</v>
      </c>
      <c r="K852">
        <v>1800</v>
      </c>
      <c r="L852">
        <v>2009</v>
      </c>
      <c r="M852">
        <v>209</v>
      </c>
      <c r="O852" t="s">
        <v>163</v>
      </c>
      <c r="P852" t="s">
        <v>15</v>
      </c>
      <c r="Q852" t="s">
        <v>701</v>
      </c>
    </row>
    <row r="853" spans="1:17">
      <c r="A853" t="s">
        <v>824</v>
      </c>
      <c r="C853" t="s">
        <v>393</v>
      </c>
      <c r="D853" t="s">
        <v>757</v>
      </c>
      <c r="E853" t="s">
        <v>161</v>
      </c>
      <c r="G853" t="s">
        <v>861</v>
      </c>
      <c r="H853" t="s">
        <v>700</v>
      </c>
      <c r="K853">
        <v>1800</v>
      </c>
      <c r="L853">
        <v>2009</v>
      </c>
      <c r="M853">
        <v>209</v>
      </c>
      <c r="O853" t="s">
        <v>163</v>
      </c>
      <c r="P853" t="s">
        <v>15</v>
      </c>
      <c r="Q853" t="s">
        <v>701</v>
      </c>
    </row>
    <row r="854" spans="1:17">
      <c r="A854" t="s">
        <v>717</v>
      </c>
      <c r="C854" t="s">
        <v>393</v>
      </c>
      <c r="D854" t="s">
        <v>862</v>
      </c>
      <c r="E854" t="s">
        <v>161</v>
      </c>
      <c r="G854" t="s">
        <v>719</v>
      </c>
      <c r="H854" t="s">
        <v>700</v>
      </c>
      <c r="K854">
        <v>1995</v>
      </c>
      <c r="L854">
        <v>2015</v>
      </c>
      <c r="M854">
        <v>20</v>
      </c>
      <c r="O854" t="s">
        <v>163</v>
      </c>
      <c r="P854" t="s">
        <v>15</v>
      </c>
      <c r="Q854" t="s">
        <v>701</v>
      </c>
    </row>
    <row r="855" spans="1:17">
      <c r="A855" t="s">
        <v>717</v>
      </c>
      <c r="C855" t="s">
        <v>393</v>
      </c>
      <c r="D855" t="s">
        <v>862</v>
      </c>
      <c r="E855" t="s">
        <v>161</v>
      </c>
      <c r="G855" t="s">
        <v>713</v>
      </c>
      <c r="H855" t="s">
        <v>700</v>
      </c>
      <c r="K855">
        <v>1995</v>
      </c>
      <c r="L855">
        <v>2015</v>
      </c>
      <c r="M855">
        <v>20</v>
      </c>
      <c r="O855" t="s">
        <v>163</v>
      </c>
      <c r="P855" t="s">
        <v>15</v>
      </c>
      <c r="Q855" t="s">
        <v>701</v>
      </c>
    </row>
    <row r="856" spans="1:17">
      <c r="A856" t="s">
        <v>717</v>
      </c>
      <c r="C856" t="s">
        <v>393</v>
      </c>
      <c r="D856" t="s">
        <v>862</v>
      </c>
      <c r="E856" t="s">
        <v>161</v>
      </c>
      <c r="G856" t="s">
        <v>721</v>
      </c>
      <c r="H856" t="s">
        <v>700</v>
      </c>
      <c r="K856">
        <v>1995</v>
      </c>
      <c r="L856">
        <v>2015</v>
      </c>
      <c r="M856">
        <v>20</v>
      </c>
      <c r="O856" t="s">
        <v>163</v>
      </c>
      <c r="P856" t="s">
        <v>15</v>
      </c>
      <c r="Q856" t="s">
        <v>701</v>
      </c>
    </row>
    <row r="857" spans="1:17">
      <c r="A857" t="s">
        <v>717</v>
      </c>
      <c r="C857" t="s">
        <v>393</v>
      </c>
      <c r="D857" t="s">
        <v>862</v>
      </c>
      <c r="E857" t="s">
        <v>161</v>
      </c>
      <c r="G857" t="s">
        <v>722</v>
      </c>
      <c r="H857" t="s">
        <v>700</v>
      </c>
      <c r="K857">
        <v>1995</v>
      </c>
      <c r="L857">
        <v>2015</v>
      </c>
      <c r="M857">
        <v>20</v>
      </c>
      <c r="O857" t="s">
        <v>163</v>
      </c>
      <c r="P857" t="s">
        <v>15</v>
      </c>
      <c r="Q857" t="s">
        <v>701</v>
      </c>
    </row>
    <row r="858" spans="1:17">
      <c r="A858" t="s">
        <v>717</v>
      </c>
      <c r="C858" t="s">
        <v>393</v>
      </c>
      <c r="D858" t="s">
        <v>862</v>
      </c>
      <c r="E858" t="s">
        <v>161</v>
      </c>
      <c r="G858" t="s">
        <v>723</v>
      </c>
      <c r="H858" t="s">
        <v>700</v>
      </c>
      <c r="K858">
        <v>1995</v>
      </c>
      <c r="L858">
        <v>2015</v>
      </c>
      <c r="M858">
        <v>20</v>
      </c>
      <c r="O858" t="s">
        <v>163</v>
      </c>
      <c r="P858" t="s">
        <v>15</v>
      </c>
      <c r="Q858" t="s">
        <v>701</v>
      </c>
    </row>
    <row r="859" spans="1:17">
      <c r="A859" t="s">
        <v>717</v>
      </c>
      <c r="C859" t="s">
        <v>393</v>
      </c>
      <c r="D859" t="s">
        <v>862</v>
      </c>
      <c r="E859" t="s">
        <v>161</v>
      </c>
      <c r="G859" t="s">
        <v>724</v>
      </c>
      <c r="H859" t="s">
        <v>700</v>
      </c>
      <c r="K859">
        <v>1995</v>
      </c>
      <c r="L859">
        <v>2015</v>
      </c>
      <c r="M859">
        <v>20</v>
      </c>
      <c r="O859" t="s">
        <v>163</v>
      </c>
      <c r="P859" t="s">
        <v>15</v>
      </c>
      <c r="Q859" t="s">
        <v>701</v>
      </c>
    </row>
    <row r="860" spans="1:17">
      <c r="A860" t="s">
        <v>717</v>
      </c>
      <c r="C860" t="s">
        <v>393</v>
      </c>
      <c r="D860" t="s">
        <v>862</v>
      </c>
      <c r="E860" t="s">
        <v>161</v>
      </c>
      <c r="G860" t="s">
        <v>725</v>
      </c>
      <c r="H860" t="s">
        <v>700</v>
      </c>
      <c r="K860">
        <v>1995</v>
      </c>
      <c r="L860">
        <v>2015</v>
      </c>
      <c r="M860">
        <v>20</v>
      </c>
      <c r="O860" t="s">
        <v>163</v>
      </c>
      <c r="P860" t="s">
        <v>15</v>
      </c>
      <c r="Q860" t="s">
        <v>701</v>
      </c>
    </row>
    <row r="861" spans="1:17">
      <c r="A861" t="s">
        <v>863</v>
      </c>
      <c r="C861" t="s">
        <v>393</v>
      </c>
      <c r="D861" t="s">
        <v>698</v>
      </c>
      <c r="E861" t="s">
        <v>161</v>
      </c>
      <c r="G861" t="s">
        <v>803</v>
      </c>
      <c r="H861" t="s">
        <v>700</v>
      </c>
      <c r="K861">
        <v>1997</v>
      </c>
      <c r="L861">
        <v>2006</v>
      </c>
      <c r="M861">
        <v>19</v>
      </c>
      <c r="O861">
        <v>210.52631579999999</v>
      </c>
      <c r="P861" t="s">
        <v>15</v>
      </c>
      <c r="Q861" t="s">
        <v>701</v>
      </c>
    </row>
    <row r="862" spans="1:17">
      <c r="A862" t="s">
        <v>864</v>
      </c>
      <c r="C862" t="s">
        <v>393</v>
      </c>
      <c r="D862" t="s">
        <v>703</v>
      </c>
      <c r="E862" t="s">
        <v>161</v>
      </c>
      <c r="G862" t="s">
        <v>803</v>
      </c>
      <c r="H862" t="s">
        <v>700</v>
      </c>
      <c r="K862">
        <v>1968</v>
      </c>
      <c r="L862">
        <v>2008</v>
      </c>
      <c r="M862">
        <v>40</v>
      </c>
      <c r="O862">
        <v>29.11486365</v>
      </c>
      <c r="P862" t="s">
        <v>15</v>
      </c>
      <c r="Q862" t="s">
        <v>701</v>
      </c>
    </row>
    <row r="863" spans="1:17">
      <c r="A863" t="s">
        <v>865</v>
      </c>
      <c r="C863" t="s">
        <v>393</v>
      </c>
      <c r="D863" t="s">
        <v>866</v>
      </c>
      <c r="E863" t="s">
        <v>161</v>
      </c>
      <c r="G863" t="s">
        <v>764</v>
      </c>
      <c r="H863" t="s">
        <v>700</v>
      </c>
      <c r="K863">
        <v>1971</v>
      </c>
      <c r="L863">
        <v>2003</v>
      </c>
      <c r="M863">
        <v>32</v>
      </c>
      <c r="O863" t="s">
        <v>163</v>
      </c>
      <c r="P863" t="s">
        <v>15</v>
      </c>
      <c r="Q863" t="s">
        <v>701</v>
      </c>
    </row>
    <row r="864" spans="1:17">
      <c r="A864" t="s">
        <v>867</v>
      </c>
      <c r="C864" t="s">
        <v>393</v>
      </c>
      <c r="D864" t="s">
        <v>709</v>
      </c>
      <c r="E864" t="s">
        <v>161</v>
      </c>
      <c r="G864" t="s">
        <v>814</v>
      </c>
      <c r="H864" t="s">
        <v>706</v>
      </c>
      <c r="K864">
        <v>1982</v>
      </c>
      <c r="L864">
        <v>2013</v>
      </c>
      <c r="M864">
        <v>31</v>
      </c>
      <c r="O864" t="s">
        <v>163</v>
      </c>
      <c r="P864" t="s">
        <v>15</v>
      </c>
      <c r="Q864" t="s">
        <v>701</v>
      </c>
    </row>
    <row r="865" spans="1:17">
      <c r="A865" t="s">
        <v>732</v>
      </c>
      <c r="C865" t="s">
        <v>393</v>
      </c>
      <c r="D865" t="s">
        <v>868</v>
      </c>
      <c r="E865" t="s">
        <v>161</v>
      </c>
      <c r="G865" t="s">
        <v>869</v>
      </c>
      <c r="H865" t="s">
        <v>700</v>
      </c>
      <c r="K865">
        <v>1960</v>
      </c>
      <c r="L865">
        <v>1999</v>
      </c>
      <c r="M865">
        <v>39</v>
      </c>
      <c r="O865">
        <v>395.45242770000004</v>
      </c>
      <c r="P865" t="s">
        <v>15</v>
      </c>
      <c r="Q865" t="s">
        <v>701</v>
      </c>
    </row>
    <row r="866" spans="1:17">
      <c r="A866" t="s">
        <v>732</v>
      </c>
      <c r="C866" t="s">
        <v>393</v>
      </c>
      <c r="D866" t="s">
        <v>870</v>
      </c>
      <c r="E866" t="s">
        <v>161</v>
      </c>
      <c r="G866" t="s">
        <v>734</v>
      </c>
      <c r="H866" t="s">
        <v>700</v>
      </c>
      <c r="K866">
        <v>1960</v>
      </c>
      <c r="L866">
        <v>1999</v>
      </c>
      <c r="M866">
        <v>39</v>
      </c>
      <c r="O866">
        <v>195.38054529999999</v>
      </c>
      <c r="P866" t="s">
        <v>15</v>
      </c>
      <c r="Q866" t="s">
        <v>701</v>
      </c>
    </row>
    <row r="867" spans="1:17">
      <c r="A867" t="s">
        <v>732</v>
      </c>
      <c r="C867" t="s">
        <v>393</v>
      </c>
      <c r="D867" t="s">
        <v>735</v>
      </c>
      <c r="E867" t="s">
        <v>161</v>
      </c>
      <c r="G867" t="s">
        <v>871</v>
      </c>
      <c r="H867" t="s">
        <v>700</v>
      </c>
      <c r="K867">
        <v>1960</v>
      </c>
      <c r="L867">
        <v>1999</v>
      </c>
      <c r="M867">
        <v>39</v>
      </c>
      <c r="O867">
        <v>111.57931140000001</v>
      </c>
      <c r="P867" t="s">
        <v>15</v>
      </c>
      <c r="Q867" t="s">
        <v>701</v>
      </c>
    </row>
    <row r="868" spans="1:17">
      <c r="A868" t="s">
        <v>732</v>
      </c>
      <c r="C868" t="s">
        <v>393</v>
      </c>
      <c r="D868" t="s">
        <v>733</v>
      </c>
      <c r="E868" t="s">
        <v>161</v>
      </c>
      <c r="G868" t="s">
        <v>871</v>
      </c>
      <c r="H868" t="s">
        <v>700</v>
      </c>
      <c r="K868">
        <v>1960</v>
      </c>
      <c r="L868">
        <v>1999</v>
      </c>
      <c r="M868">
        <v>39</v>
      </c>
      <c r="O868">
        <v>99.815613880000001</v>
      </c>
      <c r="P868" t="s">
        <v>15</v>
      </c>
      <c r="Q868" t="s">
        <v>701</v>
      </c>
    </row>
    <row r="869" spans="1:17">
      <c r="A869" t="s">
        <v>732</v>
      </c>
      <c r="C869" t="s">
        <v>393</v>
      </c>
      <c r="D869" t="s">
        <v>733</v>
      </c>
      <c r="E869" t="s">
        <v>161</v>
      </c>
      <c r="G869" t="s">
        <v>872</v>
      </c>
      <c r="H869" t="s">
        <v>700</v>
      </c>
      <c r="K869">
        <v>1960</v>
      </c>
      <c r="L869">
        <v>1999</v>
      </c>
      <c r="M869">
        <v>39</v>
      </c>
      <c r="O869">
        <v>99.815613880000001</v>
      </c>
      <c r="P869" t="s">
        <v>15</v>
      </c>
      <c r="Q869" t="s">
        <v>701</v>
      </c>
    </row>
    <row r="870" spans="1:17">
      <c r="A870" t="s">
        <v>732</v>
      </c>
      <c r="C870" t="s">
        <v>393</v>
      </c>
      <c r="D870" t="s">
        <v>735</v>
      </c>
      <c r="E870" t="s">
        <v>161</v>
      </c>
      <c r="G870" t="s">
        <v>872</v>
      </c>
      <c r="H870" t="s">
        <v>700</v>
      </c>
      <c r="K870">
        <v>1960</v>
      </c>
      <c r="L870">
        <v>1999</v>
      </c>
      <c r="M870">
        <v>39</v>
      </c>
      <c r="O870">
        <v>95.723493650000009</v>
      </c>
      <c r="P870" t="s">
        <v>15</v>
      </c>
      <c r="Q870" t="s">
        <v>701</v>
      </c>
    </row>
    <row r="871" spans="1:17">
      <c r="A871" t="s">
        <v>732</v>
      </c>
      <c r="C871" t="s">
        <v>393</v>
      </c>
      <c r="D871" t="s">
        <v>733</v>
      </c>
      <c r="E871" t="s">
        <v>161</v>
      </c>
      <c r="G871" t="s">
        <v>873</v>
      </c>
      <c r="H871" t="s">
        <v>700</v>
      </c>
      <c r="K871">
        <v>1960</v>
      </c>
      <c r="L871">
        <v>1999</v>
      </c>
      <c r="M871">
        <v>39</v>
      </c>
      <c r="O871">
        <v>43.696124149999996</v>
      </c>
      <c r="P871" t="s">
        <v>15</v>
      </c>
      <c r="Q871" t="s">
        <v>701</v>
      </c>
    </row>
    <row r="872" spans="1:17">
      <c r="A872" t="s">
        <v>732</v>
      </c>
      <c r="C872" t="s">
        <v>393</v>
      </c>
      <c r="D872" t="s">
        <v>870</v>
      </c>
      <c r="E872" t="s">
        <v>161</v>
      </c>
      <c r="G872" t="s">
        <v>874</v>
      </c>
      <c r="H872" t="s">
        <v>700</v>
      </c>
      <c r="K872">
        <v>1960</v>
      </c>
      <c r="L872">
        <v>1999</v>
      </c>
      <c r="M872">
        <v>39</v>
      </c>
      <c r="O872">
        <v>39.508300169999998</v>
      </c>
      <c r="P872" t="s">
        <v>15</v>
      </c>
      <c r="Q872" t="s">
        <v>701</v>
      </c>
    </row>
    <row r="873" spans="1:17">
      <c r="A873" t="s">
        <v>732</v>
      </c>
      <c r="C873" t="s">
        <v>393</v>
      </c>
      <c r="D873" t="s">
        <v>735</v>
      </c>
      <c r="E873" t="s">
        <v>161</v>
      </c>
      <c r="G873" t="s">
        <v>737</v>
      </c>
      <c r="H873" t="s">
        <v>700</v>
      </c>
      <c r="K873">
        <v>1960</v>
      </c>
      <c r="L873">
        <v>1999</v>
      </c>
      <c r="M873">
        <v>39</v>
      </c>
      <c r="O873">
        <v>30.516706930000002</v>
      </c>
      <c r="P873" t="s">
        <v>15</v>
      </c>
      <c r="Q873" t="s">
        <v>701</v>
      </c>
    </row>
    <row r="874" spans="1:17">
      <c r="A874" t="s">
        <v>732</v>
      </c>
      <c r="C874" t="s">
        <v>393</v>
      </c>
      <c r="D874" t="s">
        <v>870</v>
      </c>
      <c r="E874" t="s">
        <v>161</v>
      </c>
      <c r="G874" t="s">
        <v>737</v>
      </c>
      <c r="H874" t="s">
        <v>700</v>
      </c>
      <c r="K874">
        <v>1960</v>
      </c>
      <c r="L874">
        <v>1999</v>
      </c>
      <c r="M874">
        <v>39</v>
      </c>
      <c r="O874">
        <v>5.7825228900000001</v>
      </c>
      <c r="P874" t="s">
        <v>15</v>
      </c>
      <c r="Q874" t="s">
        <v>701</v>
      </c>
    </row>
    <row r="875" spans="1:17">
      <c r="A875" t="s">
        <v>732</v>
      </c>
      <c r="C875" t="s">
        <v>393</v>
      </c>
      <c r="D875" t="s">
        <v>733</v>
      </c>
      <c r="E875" t="s">
        <v>161</v>
      </c>
      <c r="G875" t="s">
        <v>875</v>
      </c>
      <c r="H875" t="s">
        <v>700</v>
      </c>
      <c r="K875">
        <v>1960</v>
      </c>
      <c r="L875">
        <v>1999</v>
      </c>
      <c r="M875">
        <v>39</v>
      </c>
      <c r="O875">
        <v>1.9937455400000001</v>
      </c>
      <c r="P875" t="s">
        <v>15</v>
      </c>
      <c r="Q875" t="s">
        <v>701</v>
      </c>
    </row>
    <row r="876" spans="1:17">
      <c r="A876" t="s">
        <v>738</v>
      </c>
      <c r="C876" t="s">
        <v>393</v>
      </c>
      <c r="D876" t="s">
        <v>739</v>
      </c>
      <c r="E876" t="s">
        <v>161</v>
      </c>
      <c r="G876" t="s">
        <v>876</v>
      </c>
      <c r="H876" t="s">
        <v>700</v>
      </c>
      <c r="K876">
        <v>1985</v>
      </c>
      <c r="L876">
        <v>2010</v>
      </c>
      <c r="M876">
        <v>25</v>
      </c>
      <c r="O876">
        <v>862.4</v>
      </c>
      <c r="P876" t="s">
        <v>15</v>
      </c>
      <c r="Q876" t="s">
        <v>701</v>
      </c>
    </row>
    <row r="877" spans="1:17">
      <c r="A877" t="s">
        <v>738</v>
      </c>
      <c r="C877" t="s">
        <v>393</v>
      </c>
      <c r="D877" t="s">
        <v>739</v>
      </c>
      <c r="E877" t="s">
        <v>161</v>
      </c>
      <c r="G877" t="s">
        <v>877</v>
      </c>
      <c r="H877" t="s">
        <v>700</v>
      </c>
      <c r="K877">
        <v>1985</v>
      </c>
      <c r="L877">
        <v>2010</v>
      </c>
      <c r="M877">
        <v>25</v>
      </c>
      <c r="O877">
        <v>374.5</v>
      </c>
      <c r="P877" t="s">
        <v>15</v>
      </c>
      <c r="Q877" t="s">
        <v>701</v>
      </c>
    </row>
    <row r="878" spans="1:17">
      <c r="A878" t="s">
        <v>738</v>
      </c>
      <c r="C878" t="s">
        <v>393</v>
      </c>
      <c r="D878" t="s">
        <v>739</v>
      </c>
      <c r="E878" t="s">
        <v>161</v>
      </c>
      <c r="G878" t="s">
        <v>878</v>
      </c>
      <c r="H878" t="s">
        <v>700</v>
      </c>
      <c r="K878">
        <v>1985</v>
      </c>
      <c r="L878">
        <v>2010</v>
      </c>
      <c r="M878">
        <v>25</v>
      </c>
      <c r="O878">
        <v>334.7</v>
      </c>
      <c r="P878" t="s">
        <v>15</v>
      </c>
      <c r="Q878" t="s">
        <v>701</v>
      </c>
    </row>
    <row r="879" spans="1:17">
      <c r="A879" t="s">
        <v>738</v>
      </c>
      <c r="C879" t="s">
        <v>393</v>
      </c>
      <c r="D879" t="s">
        <v>739</v>
      </c>
      <c r="E879" t="s">
        <v>161</v>
      </c>
      <c r="G879" t="s">
        <v>879</v>
      </c>
      <c r="H879" t="s">
        <v>700</v>
      </c>
      <c r="K879">
        <v>1985</v>
      </c>
      <c r="L879">
        <v>2010</v>
      </c>
      <c r="M879">
        <v>25</v>
      </c>
      <c r="O879">
        <v>266.60000000000002</v>
      </c>
      <c r="P879" t="s">
        <v>15</v>
      </c>
      <c r="Q879" t="s">
        <v>701</v>
      </c>
    </row>
    <row r="880" spans="1:17">
      <c r="A880" t="s">
        <v>738</v>
      </c>
      <c r="C880" t="s">
        <v>393</v>
      </c>
      <c r="D880" t="s">
        <v>739</v>
      </c>
      <c r="E880" t="s">
        <v>161</v>
      </c>
      <c r="G880" t="s">
        <v>880</v>
      </c>
      <c r="H880" t="s">
        <v>700</v>
      </c>
      <c r="K880">
        <v>1985</v>
      </c>
      <c r="L880">
        <v>2010</v>
      </c>
      <c r="M880">
        <v>25</v>
      </c>
      <c r="O880">
        <v>242.60000000000002</v>
      </c>
      <c r="P880" t="s">
        <v>15</v>
      </c>
      <c r="Q880" t="s">
        <v>701</v>
      </c>
    </row>
    <row r="881" spans="1:17">
      <c r="A881" t="s">
        <v>738</v>
      </c>
      <c r="C881" t="s">
        <v>393</v>
      </c>
      <c r="D881" t="s">
        <v>739</v>
      </c>
      <c r="E881" t="s">
        <v>161</v>
      </c>
      <c r="G881" t="s">
        <v>881</v>
      </c>
      <c r="H881" t="s">
        <v>700</v>
      </c>
      <c r="K881">
        <v>1985</v>
      </c>
      <c r="L881">
        <v>2010</v>
      </c>
      <c r="M881">
        <v>25</v>
      </c>
      <c r="O881">
        <v>220</v>
      </c>
      <c r="P881" t="s">
        <v>15</v>
      </c>
      <c r="Q881" t="s">
        <v>701</v>
      </c>
    </row>
    <row r="882" spans="1:17">
      <c r="A882" t="s">
        <v>738</v>
      </c>
      <c r="C882" t="s">
        <v>393</v>
      </c>
      <c r="D882" t="s">
        <v>739</v>
      </c>
      <c r="E882" t="s">
        <v>161</v>
      </c>
      <c r="G882" t="s">
        <v>751</v>
      </c>
      <c r="H882" t="s">
        <v>700</v>
      </c>
      <c r="K882">
        <v>1985</v>
      </c>
      <c r="L882">
        <v>2010</v>
      </c>
      <c r="M882">
        <v>25</v>
      </c>
      <c r="O882">
        <v>180</v>
      </c>
      <c r="P882" t="s">
        <v>15</v>
      </c>
      <c r="Q882" t="s">
        <v>701</v>
      </c>
    </row>
    <row r="883" spans="1:17">
      <c r="A883" t="s">
        <v>738</v>
      </c>
      <c r="C883" t="s">
        <v>393</v>
      </c>
      <c r="D883" t="s">
        <v>739</v>
      </c>
      <c r="E883" t="s">
        <v>161</v>
      </c>
      <c r="G883" t="s">
        <v>882</v>
      </c>
      <c r="H883" t="s">
        <v>700</v>
      </c>
      <c r="K883">
        <v>1985</v>
      </c>
      <c r="L883">
        <v>2010</v>
      </c>
      <c r="M883">
        <v>25</v>
      </c>
      <c r="O883">
        <v>164</v>
      </c>
      <c r="P883" t="s">
        <v>15</v>
      </c>
      <c r="Q883" t="s">
        <v>701</v>
      </c>
    </row>
    <row r="884" spans="1:17">
      <c r="A884" t="s">
        <v>738</v>
      </c>
      <c r="C884" t="s">
        <v>393</v>
      </c>
      <c r="D884" t="s">
        <v>739</v>
      </c>
      <c r="E884" t="s">
        <v>161</v>
      </c>
      <c r="G884" t="s">
        <v>883</v>
      </c>
      <c r="H884" t="s">
        <v>700</v>
      </c>
      <c r="K884">
        <v>1985</v>
      </c>
      <c r="L884">
        <v>2010</v>
      </c>
      <c r="M884">
        <v>25</v>
      </c>
      <c r="O884">
        <v>158.80000000000001</v>
      </c>
      <c r="P884" t="s">
        <v>15</v>
      </c>
      <c r="Q884" t="s">
        <v>701</v>
      </c>
    </row>
    <row r="885" spans="1:17">
      <c r="A885" t="s">
        <v>738</v>
      </c>
      <c r="C885" t="s">
        <v>393</v>
      </c>
      <c r="D885" t="s">
        <v>739</v>
      </c>
      <c r="E885" t="s">
        <v>161</v>
      </c>
      <c r="G885" t="s">
        <v>884</v>
      </c>
      <c r="H885" t="s">
        <v>700</v>
      </c>
      <c r="K885">
        <v>1985</v>
      </c>
      <c r="L885">
        <v>2010</v>
      </c>
      <c r="M885">
        <v>25</v>
      </c>
      <c r="O885">
        <v>155</v>
      </c>
      <c r="P885" t="s">
        <v>15</v>
      </c>
      <c r="Q885" t="s">
        <v>701</v>
      </c>
    </row>
    <row r="886" spans="1:17">
      <c r="A886" t="s">
        <v>738</v>
      </c>
      <c r="C886" t="s">
        <v>393</v>
      </c>
      <c r="D886" t="s">
        <v>739</v>
      </c>
      <c r="E886" t="s">
        <v>161</v>
      </c>
      <c r="G886" t="s">
        <v>885</v>
      </c>
      <c r="H886" t="s">
        <v>700</v>
      </c>
      <c r="K886">
        <v>1985</v>
      </c>
      <c r="L886">
        <v>2010</v>
      </c>
      <c r="M886">
        <v>25</v>
      </c>
      <c r="O886">
        <v>133</v>
      </c>
      <c r="P886" t="s">
        <v>15</v>
      </c>
      <c r="Q886" t="s">
        <v>701</v>
      </c>
    </row>
    <row r="887" spans="1:17">
      <c r="A887" t="s">
        <v>738</v>
      </c>
      <c r="C887" t="s">
        <v>393</v>
      </c>
      <c r="D887" t="s">
        <v>739</v>
      </c>
      <c r="E887" t="s">
        <v>161</v>
      </c>
      <c r="G887" t="s">
        <v>886</v>
      </c>
      <c r="H887" t="s">
        <v>700</v>
      </c>
      <c r="K887">
        <v>1985</v>
      </c>
      <c r="L887">
        <v>2010</v>
      </c>
      <c r="M887">
        <v>25</v>
      </c>
      <c r="O887">
        <v>130</v>
      </c>
      <c r="P887" t="s">
        <v>15</v>
      </c>
      <c r="Q887" t="s">
        <v>701</v>
      </c>
    </row>
    <row r="888" spans="1:17">
      <c r="A888" t="s">
        <v>738</v>
      </c>
      <c r="C888" t="s">
        <v>393</v>
      </c>
      <c r="D888" t="s">
        <v>739</v>
      </c>
      <c r="E888" t="s">
        <v>161</v>
      </c>
      <c r="G888" t="s">
        <v>887</v>
      </c>
      <c r="H888" t="s">
        <v>700</v>
      </c>
      <c r="K888">
        <v>1985</v>
      </c>
      <c r="L888">
        <v>2010</v>
      </c>
      <c r="M888">
        <v>25</v>
      </c>
      <c r="O888">
        <v>129</v>
      </c>
      <c r="P888" t="s">
        <v>15</v>
      </c>
      <c r="Q888" t="s">
        <v>701</v>
      </c>
    </row>
    <row r="889" spans="1:17">
      <c r="A889" t="s">
        <v>738</v>
      </c>
      <c r="C889" t="s">
        <v>393</v>
      </c>
      <c r="D889" t="s">
        <v>739</v>
      </c>
      <c r="E889" t="s">
        <v>161</v>
      </c>
      <c r="G889" t="s">
        <v>888</v>
      </c>
      <c r="H889" t="s">
        <v>700</v>
      </c>
      <c r="K889">
        <v>1985</v>
      </c>
      <c r="L889">
        <v>2010</v>
      </c>
      <c r="M889">
        <v>25</v>
      </c>
      <c r="O889">
        <v>124.80000000000001</v>
      </c>
      <c r="P889" t="s">
        <v>15</v>
      </c>
      <c r="Q889" t="s">
        <v>701</v>
      </c>
    </row>
    <row r="890" spans="1:17">
      <c r="A890" t="s">
        <v>738</v>
      </c>
      <c r="C890" t="s">
        <v>393</v>
      </c>
      <c r="D890" t="s">
        <v>739</v>
      </c>
      <c r="E890" t="s">
        <v>161</v>
      </c>
      <c r="G890" t="s">
        <v>889</v>
      </c>
      <c r="H890" t="s">
        <v>700</v>
      </c>
      <c r="K890">
        <v>1985</v>
      </c>
      <c r="L890">
        <v>2010</v>
      </c>
      <c r="M890">
        <v>25</v>
      </c>
      <c r="O890">
        <v>107.8</v>
      </c>
      <c r="P890" t="s">
        <v>15</v>
      </c>
      <c r="Q890" t="s">
        <v>701</v>
      </c>
    </row>
    <row r="891" spans="1:17">
      <c r="A891" t="s">
        <v>738</v>
      </c>
      <c r="C891" t="s">
        <v>393</v>
      </c>
      <c r="D891" t="s">
        <v>739</v>
      </c>
      <c r="E891" t="s">
        <v>161</v>
      </c>
      <c r="G891" t="s">
        <v>890</v>
      </c>
      <c r="H891" t="s">
        <v>700</v>
      </c>
      <c r="K891">
        <v>1985</v>
      </c>
      <c r="L891">
        <v>2010</v>
      </c>
      <c r="M891">
        <v>25</v>
      </c>
      <c r="O891">
        <v>96.453900709999999</v>
      </c>
      <c r="P891" t="s">
        <v>15</v>
      </c>
      <c r="Q891" t="s">
        <v>701</v>
      </c>
    </row>
    <row r="892" spans="1:17">
      <c r="A892" t="s">
        <v>738</v>
      </c>
      <c r="C892" t="s">
        <v>393</v>
      </c>
      <c r="D892" t="s">
        <v>739</v>
      </c>
      <c r="E892" t="s">
        <v>161</v>
      </c>
      <c r="G892" t="s">
        <v>891</v>
      </c>
      <c r="H892" t="s">
        <v>700</v>
      </c>
      <c r="K892">
        <v>1985</v>
      </c>
      <c r="L892">
        <v>2010</v>
      </c>
      <c r="M892">
        <v>25</v>
      </c>
      <c r="O892">
        <v>90</v>
      </c>
      <c r="P892" t="s">
        <v>15</v>
      </c>
      <c r="Q892" t="s">
        <v>701</v>
      </c>
    </row>
    <row r="893" spans="1:17">
      <c r="A893" t="s">
        <v>738</v>
      </c>
      <c r="C893" t="s">
        <v>393</v>
      </c>
      <c r="D893" t="s">
        <v>739</v>
      </c>
      <c r="E893" t="s">
        <v>161</v>
      </c>
      <c r="G893" t="s">
        <v>892</v>
      </c>
      <c r="H893" t="s">
        <v>700</v>
      </c>
      <c r="K893">
        <v>1985</v>
      </c>
      <c r="L893">
        <v>2010</v>
      </c>
      <c r="M893">
        <v>25</v>
      </c>
      <c r="O893">
        <v>88</v>
      </c>
      <c r="P893" t="s">
        <v>15</v>
      </c>
      <c r="Q893" t="s">
        <v>701</v>
      </c>
    </row>
    <row r="894" spans="1:17">
      <c r="A894" t="s">
        <v>738</v>
      </c>
      <c r="C894" t="s">
        <v>393</v>
      </c>
      <c r="D894" t="s">
        <v>739</v>
      </c>
      <c r="E894" t="s">
        <v>161</v>
      </c>
      <c r="G894" t="s">
        <v>893</v>
      </c>
      <c r="H894" t="s">
        <v>700</v>
      </c>
      <c r="K894">
        <v>1985</v>
      </c>
      <c r="L894">
        <v>2010</v>
      </c>
      <c r="M894">
        <v>25</v>
      </c>
      <c r="O894">
        <v>85</v>
      </c>
      <c r="P894" t="s">
        <v>15</v>
      </c>
      <c r="Q894" t="s">
        <v>701</v>
      </c>
    </row>
    <row r="895" spans="1:17">
      <c r="A895" t="s">
        <v>738</v>
      </c>
      <c r="C895" t="s">
        <v>393</v>
      </c>
      <c r="D895" t="s">
        <v>739</v>
      </c>
      <c r="E895" t="s">
        <v>161</v>
      </c>
      <c r="G895" t="s">
        <v>876</v>
      </c>
      <c r="H895" t="s">
        <v>700</v>
      </c>
      <c r="K895">
        <v>1985</v>
      </c>
      <c r="L895">
        <v>2010</v>
      </c>
      <c r="M895">
        <v>25</v>
      </c>
      <c r="O895">
        <v>78</v>
      </c>
      <c r="P895" t="s">
        <v>15</v>
      </c>
      <c r="Q895" t="s">
        <v>701</v>
      </c>
    </row>
    <row r="896" spans="1:17">
      <c r="A896" t="s">
        <v>738</v>
      </c>
      <c r="C896" t="s">
        <v>393</v>
      </c>
      <c r="D896" t="s">
        <v>739</v>
      </c>
      <c r="E896" t="s">
        <v>161</v>
      </c>
      <c r="G896" t="s">
        <v>894</v>
      </c>
      <c r="H896" t="s">
        <v>700</v>
      </c>
      <c r="K896">
        <v>1985</v>
      </c>
      <c r="L896">
        <v>2010</v>
      </c>
      <c r="M896">
        <v>25</v>
      </c>
      <c r="O896">
        <v>74</v>
      </c>
      <c r="P896" t="s">
        <v>15</v>
      </c>
      <c r="Q896" t="s">
        <v>701</v>
      </c>
    </row>
    <row r="897" spans="1:17">
      <c r="A897" t="s">
        <v>738</v>
      </c>
      <c r="C897" t="s">
        <v>393</v>
      </c>
      <c r="D897" t="s">
        <v>739</v>
      </c>
      <c r="E897" t="s">
        <v>161</v>
      </c>
      <c r="G897" t="s">
        <v>895</v>
      </c>
      <c r="H897" t="s">
        <v>700</v>
      </c>
      <c r="K897">
        <v>1985</v>
      </c>
      <c r="L897">
        <v>2010</v>
      </c>
      <c r="M897">
        <v>25</v>
      </c>
      <c r="O897">
        <v>72</v>
      </c>
      <c r="P897" t="s">
        <v>15</v>
      </c>
      <c r="Q897" t="s">
        <v>701</v>
      </c>
    </row>
    <row r="898" spans="1:17">
      <c r="A898" t="s">
        <v>738</v>
      </c>
      <c r="C898" t="s">
        <v>393</v>
      </c>
      <c r="D898" t="s">
        <v>739</v>
      </c>
      <c r="E898" t="s">
        <v>161</v>
      </c>
      <c r="G898" t="s">
        <v>896</v>
      </c>
      <c r="H898" t="s">
        <v>700</v>
      </c>
      <c r="K898">
        <v>1985</v>
      </c>
      <c r="L898">
        <v>2010</v>
      </c>
      <c r="M898">
        <v>25</v>
      </c>
      <c r="O898">
        <v>70</v>
      </c>
      <c r="P898" t="s">
        <v>15</v>
      </c>
      <c r="Q898" t="s">
        <v>701</v>
      </c>
    </row>
    <row r="899" spans="1:17">
      <c r="A899" t="s">
        <v>738</v>
      </c>
      <c r="C899" t="s">
        <v>393</v>
      </c>
      <c r="D899" t="s">
        <v>739</v>
      </c>
      <c r="E899" t="s">
        <v>161</v>
      </c>
      <c r="G899" t="s">
        <v>897</v>
      </c>
      <c r="H899" t="s">
        <v>700</v>
      </c>
      <c r="K899">
        <v>1985</v>
      </c>
      <c r="L899">
        <v>2010</v>
      </c>
      <c r="M899">
        <v>25</v>
      </c>
      <c r="O899">
        <v>62</v>
      </c>
      <c r="P899" t="s">
        <v>15</v>
      </c>
      <c r="Q899" t="s">
        <v>701</v>
      </c>
    </row>
    <row r="900" spans="1:17">
      <c r="A900" t="s">
        <v>738</v>
      </c>
      <c r="C900" t="s">
        <v>393</v>
      </c>
      <c r="D900" t="s">
        <v>739</v>
      </c>
      <c r="E900" t="s">
        <v>161</v>
      </c>
      <c r="G900" t="s">
        <v>898</v>
      </c>
      <c r="H900" t="s">
        <v>700</v>
      </c>
      <c r="K900">
        <v>1985</v>
      </c>
      <c r="L900">
        <v>2010</v>
      </c>
      <c r="M900">
        <v>25</v>
      </c>
      <c r="O900">
        <v>56</v>
      </c>
      <c r="P900" t="s">
        <v>15</v>
      </c>
      <c r="Q900" t="s">
        <v>701</v>
      </c>
    </row>
    <row r="901" spans="1:17">
      <c r="A901" t="s">
        <v>738</v>
      </c>
      <c r="C901" t="s">
        <v>393</v>
      </c>
      <c r="D901" t="s">
        <v>739</v>
      </c>
      <c r="E901" t="s">
        <v>161</v>
      </c>
      <c r="G901" t="s">
        <v>899</v>
      </c>
      <c r="H901" t="s">
        <v>700</v>
      </c>
      <c r="K901">
        <v>1985</v>
      </c>
      <c r="L901">
        <v>2010</v>
      </c>
      <c r="M901">
        <v>25</v>
      </c>
      <c r="O901">
        <v>50</v>
      </c>
      <c r="P901" t="s">
        <v>15</v>
      </c>
      <c r="Q901" t="s">
        <v>701</v>
      </c>
    </row>
    <row r="902" spans="1:17">
      <c r="A902" t="s">
        <v>738</v>
      </c>
      <c r="C902" t="s">
        <v>393</v>
      </c>
      <c r="D902" t="s">
        <v>739</v>
      </c>
      <c r="E902" t="s">
        <v>161</v>
      </c>
      <c r="G902" t="s">
        <v>900</v>
      </c>
      <c r="H902" t="s">
        <v>700</v>
      </c>
      <c r="K902">
        <v>1985</v>
      </c>
      <c r="L902">
        <v>2010</v>
      </c>
      <c r="M902">
        <v>25</v>
      </c>
      <c r="O902">
        <v>50</v>
      </c>
      <c r="P902" t="s">
        <v>15</v>
      </c>
      <c r="Q902" t="s">
        <v>701</v>
      </c>
    </row>
    <row r="903" spans="1:17">
      <c r="A903" t="s">
        <v>651</v>
      </c>
      <c r="C903" t="s">
        <v>393</v>
      </c>
      <c r="D903" t="s">
        <v>554</v>
      </c>
      <c r="E903" t="s">
        <v>161</v>
      </c>
      <c r="G903" t="s">
        <v>228</v>
      </c>
      <c r="H903" t="s">
        <v>399</v>
      </c>
      <c r="K903">
        <v>1968</v>
      </c>
      <c r="O903">
        <v>-5.4</v>
      </c>
      <c r="P903" t="s">
        <v>397</v>
      </c>
      <c r="Q903" t="s">
        <v>398</v>
      </c>
    </row>
    <row r="904" spans="1:17">
      <c r="A904" t="s">
        <v>651</v>
      </c>
      <c r="C904" t="s">
        <v>393</v>
      </c>
      <c r="D904" t="s">
        <v>554</v>
      </c>
      <c r="E904" t="s">
        <v>161</v>
      </c>
      <c r="G904" t="s">
        <v>219</v>
      </c>
      <c r="H904" t="s">
        <v>399</v>
      </c>
      <c r="K904">
        <v>1968</v>
      </c>
      <c r="O904">
        <v>-4.4400000000000004</v>
      </c>
      <c r="P904" t="s">
        <v>397</v>
      </c>
      <c r="Q904" t="s">
        <v>398</v>
      </c>
    </row>
    <row r="905" spans="1:17">
      <c r="A905" t="s">
        <v>651</v>
      </c>
      <c r="C905" t="s">
        <v>393</v>
      </c>
      <c r="D905" t="s">
        <v>554</v>
      </c>
      <c r="E905" t="s">
        <v>161</v>
      </c>
      <c r="G905" t="s">
        <v>305</v>
      </c>
      <c r="H905" t="s">
        <v>399</v>
      </c>
      <c r="K905">
        <v>1968</v>
      </c>
      <c r="O905">
        <v>-4.12</v>
      </c>
      <c r="P905" t="s">
        <v>397</v>
      </c>
      <c r="Q905" t="s">
        <v>398</v>
      </c>
    </row>
    <row r="906" spans="1:17">
      <c r="A906" t="s">
        <v>651</v>
      </c>
      <c r="C906" t="s">
        <v>393</v>
      </c>
      <c r="D906" t="s">
        <v>554</v>
      </c>
      <c r="E906" t="s">
        <v>161</v>
      </c>
      <c r="G906" t="s">
        <v>234</v>
      </c>
      <c r="H906" t="s">
        <v>399</v>
      </c>
      <c r="K906">
        <v>1968</v>
      </c>
      <c r="O906">
        <v>-3.77</v>
      </c>
      <c r="P906" t="s">
        <v>397</v>
      </c>
      <c r="Q906" t="s">
        <v>398</v>
      </c>
    </row>
    <row r="907" spans="1:17">
      <c r="A907" t="s">
        <v>651</v>
      </c>
      <c r="C907" t="s">
        <v>393</v>
      </c>
      <c r="D907" t="s">
        <v>554</v>
      </c>
      <c r="E907" t="s">
        <v>161</v>
      </c>
      <c r="G907" t="s">
        <v>222</v>
      </c>
      <c r="H907" t="s">
        <v>399</v>
      </c>
      <c r="K907">
        <v>1968</v>
      </c>
      <c r="O907">
        <v>-3.4200000000000004</v>
      </c>
      <c r="P907" t="s">
        <v>397</v>
      </c>
      <c r="Q907" t="s">
        <v>398</v>
      </c>
    </row>
    <row r="908" spans="1:17">
      <c r="A908" t="s">
        <v>651</v>
      </c>
      <c r="C908" t="s">
        <v>393</v>
      </c>
      <c r="D908" t="s">
        <v>554</v>
      </c>
      <c r="E908" t="s">
        <v>161</v>
      </c>
      <c r="G908" t="s">
        <v>228</v>
      </c>
      <c r="H908" t="s">
        <v>399</v>
      </c>
      <c r="K908">
        <v>1968</v>
      </c>
      <c r="O908">
        <v>-3.41</v>
      </c>
      <c r="P908" t="s">
        <v>397</v>
      </c>
      <c r="Q908" t="s">
        <v>398</v>
      </c>
    </row>
    <row r="909" spans="1:17">
      <c r="A909" t="s">
        <v>651</v>
      </c>
      <c r="C909" t="s">
        <v>393</v>
      </c>
      <c r="D909" t="s">
        <v>554</v>
      </c>
      <c r="E909" t="s">
        <v>161</v>
      </c>
      <c r="G909" t="s">
        <v>214</v>
      </c>
      <c r="H909" t="s">
        <v>399</v>
      </c>
      <c r="K909">
        <v>1968</v>
      </c>
      <c r="O909">
        <v>-3.31</v>
      </c>
      <c r="P909" t="s">
        <v>397</v>
      </c>
      <c r="Q909" t="s">
        <v>398</v>
      </c>
    </row>
    <row r="910" spans="1:17">
      <c r="A910" t="s">
        <v>651</v>
      </c>
      <c r="C910" t="s">
        <v>393</v>
      </c>
      <c r="D910" t="s">
        <v>554</v>
      </c>
      <c r="E910" t="s">
        <v>161</v>
      </c>
      <c r="G910" t="s">
        <v>218</v>
      </c>
      <c r="H910" t="s">
        <v>399</v>
      </c>
      <c r="K910">
        <v>1968</v>
      </c>
      <c r="O910">
        <v>-3.2600000000000002</v>
      </c>
      <c r="P910" t="s">
        <v>397</v>
      </c>
      <c r="Q910" t="s">
        <v>398</v>
      </c>
    </row>
    <row r="911" spans="1:17">
      <c r="A911" t="s">
        <v>651</v>
      </c>
      <c r="C911" t="s">
        <v>393</v>
      </c>
      <c r="D911" t="s">
        <v>554</v>
      </c>
      <c r="E911" t="s">
        <v>161</v>
      </c>
      <c r="G911" t="s">
        <v>228</v>
      </c>
      <c r="H911" t="s">
        <v>399</v>
      </c>
      <c r="K911">
        <v>1968</v>
      </c>
      <c r="O911">
        <v>-2.9299999999999997</v>
      </c>
      <c r="P911" t="s">
        <v>397</v>
      </c>
      <c r="Q911" t="s">
        <v>398</v>
      </c>
    </row>
    <row r="912" spans="1:17">
      <c r="A912" t="s">
        <v>651</v>
      </c>
      <c r="C912" t="s">
        <v>393</v>
      </c>
      <c r="D912" t="s">
        <v>554</v>
      </c>
      <c r="E912" t="s">
        <v>161</v>
      </c>
      <c r="G912" t="s">
        <v>233</v>
      </c>
      <c r="H912" t="s">
        <v>399</v>
      </c>
      <c r="K912">
        <v>1968</v>
      </c>
      <c r="O912">
        <v>-2.82</v>
      </c>
      <c r="P912" t="s">
        <v>397</v>
      </c>
      <c r="Q912" t="s">
        <v>398</v>
      </c>
    </row>
    <row r="913" spans="1:17">
      <c r="A913" t="s">
        <v>651</v>
      </c>
      <c r="C913" t="s">
        <v>393</v>
      </c>
      <c r="D913" t="s">
        <v>554</v>
      </c>
      <c r="E913" t="s">
        <v>161</v>
      </c>
      <c r="G913" t="s">
        <v>212</v>
      </c>
      <c r="H913" t="s">
        <v>399</v>
      </c>
      <c r="K913">
        <v>1968</v>
      </c>
      <c r="O913">
        <v>-2.79</v>
      </c>
      <c r="P913" t="s">
        <v>397</v>
      </c>
      <c r="Q913" t="s">
        <v>398</v>
      </c>
    </row>
    <row r="914" spans="1:17">
      <c r="A914" t="s">
        <v>651</v>
      </c>
      <c r="C914" t="s">
        <v>393</v>
      </c>
      <c r="D914" t="s">
        <v>554</v>
      </c>
      <c r="E914" t="s">
        <v>161</v>
      </c>
      <c r="G914" t="s">
        <v>214</v>
      </c>
      <c r="H914" t="s">
        <v>399</v>
      </c>
      <c r="K914">
        <v>1968</v>
      </c>
      <c r="O914">
        <v>-2.48</v>
      </c>
      <c r="P914" t="s">
        <v>397</v>
      </c>
      <c r="Q914" t="s">
        <v>398</v>
      </c>
    </row>
    <row r="915" spans="1:17">
      <c r="A915" t="s">
        <v>651</v>
      </c>
      <c r="C915" t="s">
        <v>393</v>
      </c>
      <c r="D915" t="s">
        <v>554</v>
      </c>
      <c r="E915" t="s">
        <v>161</v>
      </c>
      <c r="G915" t="s">
        <v>901</v>
      </c>
      <c r="H915" t="s">
        <v>399</v>
      </c>
      <c r="K915">
        <v>1968</v>
      </c>
      <c r="O915">
        <v>-2.16</v>
      </c>
      <c r="P915" t="s">
        <v>397</v>
      </c>
      <c r="Q915" t="s">
        <v>398</v>
      </c>
    </row>
    <row r="916" spans="1:17">
      <c r="A916" t="s">
        <v>651</v>
      </c>
      <c r="C916" t="s">
        <v>393</v>
      </c>
      <c r="D916" t="s">
        <v>554</v>
      </c>
      <c r="E916" t="s">
        <v>161</v>
      </c>
      <c r="G916" t="s">
        <v>234</v>
      </c>
      <c r="H916" t="s">
        <v>399</v>
      </c>
      <c r="K916">
        <v>1968</v>
      </c>
      <c r="O916">
        <v>-2.04</v>
      </c>
      <c r="P916" t="s">
        <v>397</v>
      </c>
      <c r="Q916" t="s">
        <v>398</v>
      </c>
    </row>
    <row r="917" spans="1:17">
      <c r="A917" t="s">
        <v>651</v>
      </c>
      <c r="C917" t="s">
        <v>393</v>
      </c>
      <c r="D917" t="s">
        <v>554</v>
      </c>
      <c r="E917" t="s">
        <v>161</v>
      </c>
      <c r="G917" t="s">
        <v>217</v>
      </c>
      <c r="H917" t="s">
        <v>399</v>
      </c>
      <c r="K917">
        <v>1968</v>
      </c>
      <c r="O917">
        <v>-1.9900000000000002</v>
      </c>
      <c r="P917" t="s">
        <v>397</v>
      </c>
      <c r="Q917" t="s">
        <v>398</v>
      </c>
    </row>
    <row r="918" spans="1:17">
      <c r="A918" t="s">
        <v>651</v>
      </c>
      <c r="C918" t="s">
        <v>393</v>
      </c>
      <c r="D918" t="s">
        <v>554</v>
      </c>
      <c r="E918" t="s">
        <v>161</v>
      </c>
      <c r="G918" t="s">
        <v>659</v>
      </c>
      <c r="H918" t="s">
        <v>399</v>
      </c>
      <c r="K918">
        <v>1968</v>
      </c>
      <c r="O918">
        <v>-1.28</v>
      </c>
      <c r="P918" t="s">
        <v>397</v>
      </c>
      <c r="Q918" t="s">
        <v>398</v>
      </c>
    </row>
    <row r="919" spans="1:17">
      <c r="A919" t="s">
        <v>902</v>
      </c>
      <c r="C919" t="s">
        <v>393</v>
      </c>
      <c r="D919" t="s">
        <v>554</v>
      </c>
      <c r="E919" t="s">
        <v>161</v>
      </c>
      <c r="G919" t="s">
        <v>246</v>
      </c>
      <c r="H919" t="s">
        <v>399</v>
      </c>
      <c r="K919">
        <v>1923</v>
      </c>
      <c r="O919">
        <v>0</v>
      </c>
      <c r="P919" t="s">
        <v>397</v>
      </c>
      <c r="Q919" t="s">
        <v>398</v>
      </c>
    </row>
    <row r="920" spans="1:17">
      <c r="A920" t="s">
        <v>903</v>
      </c>
      <c r="C920" t="s">
        <v>393</v>
      </c>
      <c r="D920" t="s">
        <v>554</v>
      </c>
      <c r="E920" t="s">
        <v>161</v>
      </c>
      <c r="G920" t="s">
        <v>904</v>
      </c>
      <c r="H920" t="s">
        <v>399</v>
      </c>
      <c r="K920">
        <v>1972</v>
      </c>
      <c r="O920">
        <v>-64.41</v>
      </c>
      <c r="P920" t="s">
        <v>397</v>
      </c>
      <c r="Q920" t="s">
        <v>398</v>
      </c>
    </row>
    <row r="921" spans="1:17">
      <c r="A921" t="s">
        <v>903</v>
      </c>
      <c r="C921" t="s">
        <v>393</v>
      </c>
      <c r="D921" t="s">
        <v>554</v>
      </c>
      <c r="E921" t="s">
        <v>161</v>
      </c>
      <c r="G921" t="s">
        <v>905</v>
      </c>
      <c r="H921" t="s">
        <v>399</v>
      </c>
      <c r="K921">
        <v>1972</v>
      </c>
      <c r="O921">
        <v>-56.46</v>
      </c>
      <c r="P921" t="s">
        <v>397</v>
      </c>
      <c r="Q921" t="s">
        <v>398</v>
      </c>
    </row>
    <row r="922" spans="1:17">
      <c r="A922" t="s">
        <v>903</v>
      </c>
      <c r="C922" t="s">
        <v>393</v>
      </c>
      <c r="D922" t="s">
        <v>554</v>
      </c>
      <c r="E922" t="s">
        <v>161</v>
      </c>
      <c r="G922" t="s">
        <v>906</v>
      </c>
      <c r="H922" t="s">
        <v>399</v>
      </c>
      <c r="K922">
        <v>1972</v>
      </c>
      <c r="O922">
        <v>-50.89</v>
      </c>
      <c r="P922" t="s">
        <v>397</v>
      </c>
      <c r="Q922" t="s">
        <v>398</v>
      </c>
    </row>
    <row r="923" spans="1:17">
      <c r="A923" t="s">
        <v>903</v>
      </c>
      <c r="C923" t="s">
        <v>393</v>
      </c>
      <c r="D923" t="s">
        <v>554</v>
      </c>
      <c r="E923" t="s">
        <v>161</v>
      </c>
      <c r="G923" t="s">
        <v>907</v>
      </c>
      <c r="H923" t="s">
        <v>399</v>
      </c>
      <c r="K923">
        <v>1972</v>
      </c>
      <c r="O923">
        <v>-44.53</v>
      </c>
      <c r="P923" t="s">
        <v>397</v>
      </c>
      <c r="Q923" t="s">
        <v>398</v>
      </c>
    </row>
    <row r="924" spans="1:17">
      <c r="A924" t="s">
        <v>903</v>
      </c>
      <c r="C924" t="s">
        <v>393</v>
      </c>
      <c r="D924" t="s">
        <v>554</v>
      </c>
      <c r="E924" t="s">
        <v>161</v>
      </c>
      <c r="G924" t="s">
        <v>908</v>
      </c>
      <c r="H924" t="s">
        <v>399</v>
      </c>
      <c r="K924">
        <v>1972</v>
      </c>
      <c r="O924">
        <v>-37.370000000000005</v>
      </c>
      <c r="P924" t="s">
        <v>397</v>
      </c>
      <c r="Q924" t="s">
        <v>398</v>
      </c>
    </row>
    <row r="925" spans="1:17">
      <c r="A925" t="s">
        <v>903</v>
      </c>
      <c r="C925" t="s">
        <v>393</v>
      </c>
      <c r="D925" t="s">
        <v>554</v>
      </c>
      <c r="E925" t="s">
        <v>161</v>
      </c>
      <c r="G925" t="s">
        <v>909</v>
      </c>
      <c r="H925" t="s">
        <v>399</v>
      </c>
      <c r="K925">
        <v>1972</v>
      </c>
      <c r="O925">
        <v>-32.599999999999994</v>
      </c>
      <c r="P925" t="s">
        <v>397</v>
      </c>
      <c r="Q925" t="s">
        <v>398</v>
      </c>
    </row>
    <row r="926" spans="1:17">
      <c r="A926" t="s">
        <v>903</v>
      </c>
      <c r="C926" t="s">
        <v>393</v>
      </c>
      <c r="D926" t="s">
        <v>554</v>
      </c>
      <c r="E926" t="s">
        <v>161</v>
      </c>
      <c r="G926" t="s">
        <v>910</v>
      </c>
      <c r="H926" t="s">
        <v>399</v>
      </c>
      <c r="K926">
        <v>1972</v>
      </c>
      <c r="O926">
        <v>-19.079999999999998</v>
      </c>
      <c r="P926" t="s">
        <v>397</v>
      </c>
      <c r="Q926" t="s">
        <v>398</v>
      </c>
    </row>
    <row r="927" spans="1:17">
      <c r="A927" t="s">
        <v>903</v>
      </c>
      <c r="C927" t="s">
        <v>393</v>
      </c>
      <c r="D927" t="s">
        <v>554</v>
      </c>
      <c r="E927" t="s">
        <v>161</v>
      </c>
      <c r="G927" t="s">
        <v>911</v>
      </c>
      <c r="H927" t="s">
        <v>399</v>
      </c>
      <c r="K927">
        <v>1972</v>
      </c>
      <c r="O927">
        <v>-15.9</v>
      </c>
      <c r="P927" t="s">
        <v>397</v>
      </c>
      <c r="Q927" t="s">
        <v>398</v>
      </c>
    </row>
    <row r="928" spans="1:17">
      <c r="A928" t="s">
        <v>912</v>
      </c>
      <c r="C928" t="s">
        <v>393</v>
      </c>
      <c r="D928" t="s">
        <v>554</v>
      </c>
      <c r="E928" t="s">
        <v>161</v>
      </c>
      <c r="G928" t="s">
        <v>210</v>
      </c>
      <c r="H928" t="s">
        <v>399</v>
      </c>
      <c r="K928">
        <v>1994</v>
      </c>
      <c r="O928">
        <v>0</v>
      </c>
      <c r="P928" t="s">
        <v>85</v>
      </c>
      <c r="Q928" t="s">
        <v>398</v>
      </c>
    </row>
    <row r="929" spans="1:17">
      <c r="A929" t="s">
        <v>913</v>
      </c>
      <c r="C929" t="s">
        <v>393</v>
      </c>
      <c r="D929" t="s">
        <v>505</v>
      </c>
      <c r="E929" t="s">
        <v>36</v>
      </c>
      <c r="G929" t="s">
        <v>914</v>
      </c>
      <c r="H929" t="s">
        <v>399</v>
      </c>
      <c r="K929">
        <v>1985</v>
      </c>
      <c r="O929">
        <v>0</v>
      </c>
      <c r="P929" t="s">
        <v>85</v>
      </c>
      <c r="Q929" t="s">
        <v>398</v>
      </c>
    </row>
    <row r="930" spans="1:17">
      <c r="A930" t="s">
        <v>913</v>
      </c>
      <c r="C930" t="s">
        <v>393</v>
      </c>
      <c r="D930" t="s">
        <v>505</v>
      </c>
      <c r="E930" t="s">
        <v>36</v>
      </c>
      <c r="G930" t="s">
        <v>915</v>
      </c>
      <c r="H930" t="s">
        <v>399</v>
      </c>
      <c r="K930">
        <v>1985</v>
      </c>
      <c r="O930">
        <v>0</v>
      </c>
      <c r="P930" t="s">
        <v>85</v>
      </c>
      <c r="Q930" t="s">
        <v>398</v>
      </c>
    </row>
    <row r="931" spans="1:17">
      <c r="A931" t="s">
        <v>913</v>
      </c>
      <c r="C931" t="s">
        <v>393</v>
      </c>
      <c r="D931" t="s">
        <v>505</v>
      </c>
      <c r="E931" t="s">
        <v>36</v>
      </c>
      <c r="G931" t="s">
        <v>916</v>
      </c>
      <c r="H931" t="s">
        <v>399</v>
      </c>
      <c r="K931">
        <v>1985</v>
      </c>
      <c r="O931">
        <v>0</v>
      </c>
      <c r="P931" t="s">
        <v>85</v>
      </c>
      <c r="Q931" t="s">
        <v>398</v>
      </c>
    </row>
    <row r="932" spans="1:17">
      <c r="A932" t="s">
        <v>913</v>
      </c>
      <c r="C932" t="s">
        <v>393</v>
      </c>
      <c r="D932" t="s">
        <v>505</v>
      </c>
      <c r="E932" t="s">
        <v>36</v>
      </c>
      <c r="G932" t="s">
        <v>917</v>
      </c>
      <c r="H932" t="s">
        <v>399</v>
      </c>
      <c r="K932">
        <v>1985</v>
      </c>
      <c r="O932">
        <v>0</v>
      </c>
      <c r="P932" t="s">
        <v>85</v>
      </c>
      <c r="Q932" t="s">
        <v>398</v>
      </c>
    </row>
    <row r="933" spans="1:17">
      <c r="A933" t="s">
        <v>913</v>
      </c>
      <c r="C933" t="s">
        <v>393</v>
      </c>
      <c r="D933" t="s">
        <v>505</v>
      </c>
      <c r="E933" t="s">
        <v>36</v>
      </c>
      <c r="G933" t="s">
        <v>918</v>
      </c>
      <c r="H933" t="s">
        <v>399</v>
      </c>
      <c r="K933">
        <v>1985</v>
      </c>
      <c r="O933">
        <v>0</v>
      </c>
      <c r="P933" t="s">
        <v>85</v>
      </c>
      <c r="Q933" t="s">
        <v>398</v>
      </c>
    </row>
    <row r="934" spans="1:17">
      <c r="A934" t="s">
        <v>913</v>
      </c>
      <c r="C934" t="s">
        <v>393</v>
      </c>
      <c r="D934" t="s">
        <v>505</v>
      </c>
      <c r="E934" t="s">
        <v>36</v>
      </c>
      <c r="G934" t="s">
        <v>919</v>
      </c>
      <c r="H934" t="s">
        <v>399</v>
      </c>
      <c r="K934">
        <v>1985</v>
      </c>
      <c r="O934">
        <v>0</v>
      </c>
      <c r="P934" t="s">
        <v>85</v>
      </c>
      <c r="Q934" t="s">
        <v>398</v>
      </c>
    </row>
    <row r="935" spans="1:17">
      <c r="A935" t="s">
        <v>913</v>
      </c>
      <c r="C935" t="s">
        <v>393</v>
      </c>
      <c r="D935" t="s">
        <v>505</v>
      </c>
      <c r="E935" t="s">
        <v>36</v>
      </c>
      <c r="G935" t="s">
        <v>920</v>
      </c>
      <c r="H935" t="s">
        <v>399</v>
      </c>
      <c r="K935">
        <v>1985</v>
      </c>
      <c r="O935">
        <v>0</v>
      </c>
      <c r="P935" t="s">
        <v>85</v>
      </c>
      <c r="Q935" t="s">
        <v>398</v>
      </c>
    </row>
    <row r="936" spans="1:17">
      <c r="A936" t="s">
        <v>921</v>
      </c>
      <c r="C936" t="s">
        <v>393</v>
      </c>
      <c r="D936" t="s">
        <v>554</v>
      </c>
      <c r="E936" t="s">
        <v>36</v>
      </c>
      <c r="G936" t="s">
        <v>922</v>
      </c>
      <c r="H936" t="s">
        <v>396</v>
      </c>
      <c r="K936">
        <v>1986</v>
      </c>
      <c r="O936">
        <v>-96.389999999999986</v>
      </c>
      <c r="P936" t="s">
        <v>397</v>
      </c>
      <c r="Q936" t="s">
        <v>398</v>
      </c>
    </row>
    <row r="937" spans="1:17">
      <c r="A937" t="s">
        <v>921</v>
      </c>
      <c r="C937" t="s">
        <v>393</v>
      </c>
      <c r="D937" t="s">
        <v>554</v>
      </c>
      <c r="E937" t="s">
        <v>36</v>
      </c>
      <c r="G937" t="s">
        <v>923</v>
      </c>
      <c r="H937" t="s">
        <v>396</v>
      </c>
      <c r="K937">
        <v>1986</v>
      </c>
      <c r="O937">
        <v>-44.94</v>
      </c>
      <c r="P937" t="s">
        <v>397</v>
      </c>
      <c r="Q937" t="s">
        <v>398</v>
      </c>
    </row>
    <row r="938" spans="1:17">
      <c r="A938" t="s">
        <v>921</v>
      </c>
      <c r="C938" t="s">
        <v>393</v>
      </c>
      <c r="D938" t="s">
        <v>554</v>
      </c>
      <c r="E938" t="s">
        <v>36</v>
      </c>
      <c r="G938" t="s">
        <v>924</v>
      </c>
      <c r="H938" t="s">
        <v>396</v>
      </c>
      <c r="K938">
        <v>1986</v>
      </c>
      <c r="O938">
        <v>-39</v>
      </c>
      <c r="P938" t="s">
        <v>397</v>
      </c>
      <c r="Q938" t="s">
        <v>398</v>
      </c>
    </row>
    <row r="939" spans="1:17">
      <c r="A939" t="s">
        <v>921</v>
      </c>
      <c r="C939" t="s">
        <v>393</v>
      </c>
      <c r="D939" t="s">
        <v>554</v>
      </c>
      <c r="E939" t="s">
        <v>36</v>
      </c>
      <c r="G939" t="s">
        <v>923</v>
      </c>
      <c r="H939" t="s">
        <v>399</v>
      </c>
      <c r="K939">
        <v>1986</v>
      </c>
      <c r="O939">
        <v>-11.39</v>
      </c>
      <c r="P939" t="s">
        <v>397</v>
      </c>
      <c r="Q939" t="s">
        <v>398</v>
      </c>
    </row>
    <row r="940" spans="1:17">
      <c r="A940" t="s">
        <v>921</v>
      </c>
      <c r="C940" t="s">
        <v>393</v>
      </c>
      <c r="D940" t="s">
        <v>554</v>
      </c>
      <c r="E940" t="s">
        <v>36</v>
      </c>
      <c r="G940" t="s">
        <v>923</v>
      </c>
      <c r="H940" t="s">
        <v>457</v>
      </c>
      <c r="K940">
        <v>1986</v>
      </c>
      <c r="O940">
        <v>-10.780000000000001</v>
      </c>
      <c r="P940" t="s">
        <v>397</v>
      </c>
      <c r="Q940" t="s">
        <v>398</v>
      </c>
    </row>
    <row r="941" spans="1:17">
      <c r="A941" t="s">
        <v>921</v>
      </c>
      <c r="C941" t="s">
        <v>393</v>
      </c>
      <c r="D941" t="s">
        <v>554</v>
      </c>
      <c r="E941" t="s">
        <v>36</v>
      </c>
      <c r="G941" t="s">
        <v>925</v>
      </c>
      <c r="H941" t="s">
        <v>399</v>
      </c>
      <c r="K941">
        <v>1986</v>
      </c>
      <c r="O941">
        <v>-7.1099999999999994</v>
      </c>
      <c r="P941" t="s">
        <v>397</v>
      </c>
      <c r="Q941" t="s">
        <v>398</v>
      </c>
    </row>
    <row r="942" spans="1:17">
      <c r="A942" t="s">
        <v>921</v>
      </c>
      <c r="C942" t="s">
        <v>393</v>
      </c>
      <c r="D942" t="s">
        <v>554</v>
      </c>
      <c r="E942" t="s">
        <v>36</v>
      </c>
      <c r="G942" t="s">
        <v>925</v>
      </c>
      <c r="H942" t="s">
        <v>457</v>
      </c>
      <c r="K942">
        <v>1986</v>
      </c>
      <c r="O942">
        <v>-6.28</v>
      </c>
      <c r="P942" t="s">
        <v>397</v>
      </c>
      <c r="Q942" t="s">
        <v>398</v>
      </c>
    </row>
    <row r="943" spans="1:17">
      <c r="A943" t="s">
        <v>921</v>
      </c>
      <c r="C943" t="s">
        <v>393</v>
      </c>
      <c r="D943" t="s">
        <v>554</v>
      </c>
      <c r="E943" t="s">
        <v>36</v>
      </c>
      <c r="G943" t="s">
        <v>926</v>
      </c>
      <c r="H943" t="s">
        <v>396</v>
      </c>
      <c r="K943">
        <v>1986</v>
      </c>
      <c r="O943">
        <v>-6.12</v>
      </c>
      <c r="P943" t="s">
        <v>397</v>
      </c>
      <c r="Q943" t="s">
        <v>398</v>
      </c>
    </row>
    <row r="944" spans="1:17">
      <c r="A944" t="s">
        <v>921</v>
      </c>
      <c r="C944" t="s">
        <v>393</v>
      </c>
      <c r="D944" t="s">
        <v>554</v>
      </c>
      <c r="E944" t="s">
        <v>36</v>
      </c>
      <c r="G944" t="s">
        <v>926</v>
      </c>
      <c r="H944" t="s">
        <v>399</v>
      </c>
      <c r="K944">
        <v>1986</v>
      </c>
      <c r="O944">
        <v>-4.6000000000000005</v>
      </c>
      <c r="P944" t="s">
        <v>397</v>
      </c>
      <c r="Q944" t="s">
        <v>398</v>
      </c>
    </row>
    <row r="945" spans="1:17">
      <c r="A945" t="s">
        <v>651</v>
      </c>
      <c r="C945" t="s">
        <v>393</v>
      </c>
      <c r="D945" t="s">
        <v>554</v>
      </c>
      <c r="E945" t="s">
        <v>36</v>
      </c>
      <c r="G945" t="s">
        <v>927</v>
      </c>
      <c r="H945" t="s">
        <v>399</v>
      </c>
      <c r="K945">
        <v>1968</v>
      </c>
      <c r="O945">
        <v>-8.7100000000000009</v>
      </c>
      <c r="P945" t="s">
        <v>397</v>
      </c>
      <c r="Q945" t="s">
        <v>398</v>
      </c>
    </row>
    <row r="946" spans="1:17">
      <c r="A946" t="s">
        <v>651</v>
      </c>
      <c r="C946" t="s">
        <v>393</v>
      </c>
      <c r="D946" t="s">
        <v>554</v>
      </c>
      <c r="E946" t="s">
        <v>36</v>
      </c>
      <c r="G946" t="s">
        <v>928</v>
      </c>
      <c r="H946" t="s">
        <v>399</v>
      </c>
      <c r="K946">
        <v>1968</v>
      </c>
      <c r="O946">
        <v>-7.59</v>
      </c>
      <c r="P946" t="s">
        <v>397</v>
      </c>
      <c r="Q946" t="s">
        <v>398</v>
      </c>
    </row>
    <row r="947" spans="1:17">
      <c r="A947" t="s">
        <v>651</v>
      </c>
      <c r="C947" t="s">
        <v>393</v>
      </c>
      <c r="D947" t="s">
        <v>554</v>
      </c>
      <c r="E947" t="s">
        <v>36</v>
      </c>
      <c r="G947" t="s">
        <v>927</v>
      </c>
      <c r="H947" t="s">
        <v>399</v>
      </c>
      <c r="K947">
        <v>1968</v>
      </c>
      <c r="O947">
        <v>-7.4</v>
      </c>
      <c r="P947" t="s">
        <v>397</v>
      </c>
      <c r="Q947" t="s">
        <v>398</v>
      </c>
    </row>
    <row r="948" spans="1:17">
      <c r="A948" t="s">
        <v>553</v>
      </c>
      <c r="C948" t="s">
        <v>393</v>
      </c>
      <c r="D948" t="s">
        <v>554</v>
      </c>
      <c r="E948" t="s">
        <v>36</v>
      </c>
      <c r="G948" t="s">
        <v>927</v>
      </c>
      <c r="H948" t="s">
        <v>399</v>
      </c>
      <c r="K948">
        <v>1987</v>
      </c>
      <c r="O948">
        <v>-53.070000000000007</v>
      </c>
      <c r="P948" t="s">
        <v>397</v>
      </c>
      <c r="Q948" t="s">
        <v>398</v>
      </c>
    </row>
    <row r="949" spans="1:17">
      <c r="A949" t="s">
        <v>553</v>
      </c>
      <c r="C949" t="s">
        <v>393</v>
      </c>
      <c r="D949" t="s">
        <v>554</v>
      </c>
      <c r="E949" t="s">
        <v>36</v>
      </c>
      <c r="G949" t="s">
        <v>929</v>
      </c>
      <c r="H949" t="s">
        <v>399</v>
      </c>
      <c r="K949">
        <v>1977</v>
      </c>
      <c r="O949">
        <v>-44.489999999999995</v>
      </c>
      <c r="P949" t="s">
        <v>397</v>
      </c>
      <c r="Q949" t="s">
        <v>398</v>
      </c>
    </row>
    <row r="950" spans="1:17">
      <c r="A950" t="s">
        <v>553</v>
      </c>
      <c r="C950" t="s">
        <v>393</v>
      </c>
      <c r="D950" t="s">
        <v>554</v>
      </c>
      <c r="E950" t="s">
        <v>36</v>
      </c>
      <c r="G950" t="s">
        <v>927</v>
      </c>
      <c r="H950" t="s">
        <v>399</v>
      </c>
      <c r="K950">
        <v>1968</v>
      </c>
      <c r="O950">
        <v>-18.53</v>
      </c>
      <c r="P950" t="s">
        <v>397</v>
      </c>
      <c r="Q950" t="s">
        <v>398</v>
      </c>
    </row>
    <row r="951" spans="1:17">
      <c r="A951" t="s">
        <v>553</v>
      </c>
      <c r="C951" t="s">
        <v>393</v>
      </c>
      <c r="D951" t="s">
        <v>554</v>
      </c>
      <c r="E951" t="s">
        <v>36</v>
      </c>
      <c r="G951" t="s">
        <v>930</v>
      </c>
      <c r="H951" t="s">
        <v>399</v>
      </c>
      <c r="K951">
        <v>1970</v>
      </c>
      <c r="O951">
        <v>-16.84</v>
      </c>
      <c r="P951" t="s">
        <v>397</v>
      </c>
      <c r="Q951" t="s">
        <v>398</v>
      </c>
    </row>
    <row r="952" spans="1:17">
      <c r="A952" t="s">
        <v>553</v>
      </c>
      <c r="C952" t="s">
        <v>393</v>
      </c>
      <c r="D952" t="s">
        <v>554</v>
      </c>
      <c r="E952" t="s">
        <v>36</v>
      </c>
      <c r="G952" t="s">
        <v>931</v>
      </c>
      <c r="H952" t="s">
        <v>399</v>
      </c>
      <c r="K952">
        <v>1987</v>
      </c>
      <c r="O952">
        <v>-16.329999999999998</v>
      </c>
      <c r="P952" t="s">
        <v>397</v>
      </c>
      <c r="Q952" t="s">
        <v>398</v>
      </c>
    </row>
    <row r="953" spans="1:17">
      <c r="A953" t="s">
        <v>553</v>
      </c>
      <c r="C953" t="s">
        <v>393</v>
      </c>
      <c r="D953" t="s">
        <v>554</v>
      </c>
      <c r="E953" t="s">
        <v>36</v>
      </c>
      <c r="G953" t="s">
        <v>932</v>
      </c>
      <c r="H953" t="s">
        <v>399</v>
      </c>
      <c r="K953">
        <v>1984</v>
      </c>
      <c r="O953">
        <v>-15.5</v>
      </c>
      <c r="P953" t="s">
        <v>397</v>
      </c>
      <c r="Q953" t="s">
        <v>398</v>
      </c>
    </row>
    <row r="954" spans="1:17">
      <c r="A954" t="s">
        <v>553</v>
      </c>
      <c r="C954" t="s">
        <v>393</v>
      </c>
      <c r="D954" t="s">
        <v>554</v>
      </c>
      <c r="E954" t="s">
        <v>36</v>
      </c>
      <c r="G954" t="s">
        <v>933</v>
      </c>
      <c r="H954" t="s">
        <v>399</v>
      </c>
      <c r="K954">
        <v>1982</v>
      </c>
      <c r="O954">
        <v>-12.26</v>
      </c>
      <c r="P954" t="s">
        <v>397</v>
      </c>
      <c r="Q954" t="s">
        <v>398</v>
      </c>
    </row>
    <row r="955" spans="1:17">
      <c r="A955" t="s">
        <v>553</v>
      </c>
      <c r="C955" t="s">
        <v>393</v>
      </c>
      <c r="D955" t="s">
        <v>554</v>
      </c>
      <c r="E955" t="s">
        <v>36</v>
      </c>
      <c r="G955" t="s">
        <v>933</v>
      </c>
      <c r="H955" t="s">
        <v>399</v>
      </c>
      <c r="K955">
        <v>1984</v>
      </c>
      <c r="O955">
        <v>-3.62</v>
      </c>
      <c r="P955" t="s">
        <v>397</v>
      </c>
      <c r="Q955" t="s">
        <v>398</v>
      </c>
    </row>
    <row r="956" spans="1:17">
      <c r="A956" t="s">
        <v>934</v>
      </c>
      <c r="C956" t="s">
        <v>393</v>
      </c>
      <c r="D956" t="s">
        <v>554</v>
      </c>
      <c r="E956" t="s">
        <v>36</v>
      </c>
      <c r="G956" t="s">
        <v>935</v>
      </c>
      <c r="H956" t="s">
        <v>396</v>
      </c>
      <c r="K956">
        <v>1949</v>
      </c>
      <c r="O956">
        <v>0</v>
      </c>
      <c r="P956" t="s">
        <v>397</v>
      </c>
      <c r="Q956" t="s">
        <v>398</v>
      </c>
    </row>
    <row r="957" spans="1:17">
      <c r="A957" t="s">
        <v>504</v>
      </c>
      <c r="C957" t="s">
        <v>393</v>
      </c>
      <c r="D957" t="s">
        <v>505</v>
      </c>
      <c r="E957" t="s">
        <v>36</v>
      </c>
      <c r="G957" t="s">
        <v>936</v>
      </c>
      <c r="H957" t="s">
        <v>457</v>
      </c>
      <c r="K957">
        <v>1993</v>
      </c>
      <c r="O957">
        <v>-59.059999999999995</v>
      </c>
      <c r="P957" t="s">
        <v>397</v>
      </c>
      <c r="Q957" t="s">
        <v>398</v>
      </c>
    </row>
    <row r="958" spans="1:17">
      <c r="A958" t="s">
        <v>504</v>
      </c>
      <c r="C958" t="s">
        <v>393</v>
      </c>
      <c r="D958" t="s">
        <v>505</v>
      </c>
      <c r="E958" t="s">
        <v>36</v>
      </c>
      <c r="G958" t="s">
        <v>937</v>
      </c>
      <c r="H958" t="s">
        <v>457</v>
      </c>
      <c r="K958">
        <v>1993</v>
      </c>
      <c r="O958">
        <v>-45.22</v>
      </c>
      <c r="P958" t="s">
        <v>397</v>
      </c>
      <c r="Q958" t="s">
        <v>398</v>
      </c>
    </row>
    <row r="959" spans="1:17">
      <c r="A959" t="s">
        <v>504</v>
      </c>
      <c r="C959" t="s">
        <v>393</v>
      </c>
      <c r="D959" t="s">
        <v>505</v>
      </c>
      <c r="E959" t="s">
        <v>36</v>
      </c>
      <c r="G959" t="s">
        <v>938</v>
      </c>
      <c r="H959" t="s">
        <v>457</v>
      </c>
      <c r="K959">
        <v>1993</v>
      </c>
      <c r="O959">
        <v>-22.080000000000002</v>
      </c>
      <c r="P959" t="s">
        <v>397</v>
      </c>
      <c r="Q959" t="s">
        <v>398</v>
      </c>
    </row>
    <row r="960" spans="1:17">
      <c r="A960" t="s">
        <v>504</v>
      </c>
      <c r="C960" t="s">
        <v>393</v>
      </c>
      <c r="D960" t="s">
        <v>505</v>
      </c>
      <c r="E960" t="s">
        <v>36</v>
      </c>
      <c r="G960" t="s">
        <v>939</v>
      </c>
      <c r="H960" t="s">
        <v>457</v>
      </c>
      <c r="K960">
        <v>1993</v>
      </c>
      <c r="O960">
        <v>0</v>
      </c>
      <c r="P960" t="s">
        <v>397</v>
      </c>
      <c r="Q960" t="s">
        <v>398</v>
      </c>
    </row>
    <row r="961" spans="1:17">
      <c r="A961" t="s">
        <v>940</v>
      </c>
      <c r="C961" t="s">
        <v>393</v>
      </c>
      <c r="D961" t="s">
        <v>554</v>
      </c>
      <c r="E961" t="s">
        <v>36</v>
      </c>
      <c r="G961" t="s">
        <v>941</v>
      </c>
      <c r="H961" t="s">
        <v>396</v>
      </c>
      <c r="K961">
        <v>1993</v>
      </c>
      <c r="O961">
        <v>-215.15</v>
      </c>
      <c r="P961" t="s">
        <v>397</v>
      </c>
      <c r="Q961" t="s">
        <v>398</v>
      </c>
    </row>
    <row r="962" spans="1:17">
      <c r="A962" t="s">
        <v>940</v>
      </c>
      <c r="C962" t="s">
        <v>393</v>
      </c>
      <c r="D962" t="s">
        <v>554</v>
      </c>
      <c r="E962" t="s">
        <v>36</v>
      </c>
      <c r="G962" t="s">
        <v>942</v>
      </c>
      <c r="H962" t="s">
        <v>399</v>
      </c>
      <c r="K962">
        <v>1993</v>
      </c>
      <c r="O962">
        <v>-37.17</v>
      </c>
      <c r="P962" t="s">
        <v>397</v>
      </c>
      <c r="Q962" t="s">
        <v>398</v>
      </c>
    </row>
    <row r="963" spans="1:17">
      <c r="A963" t="s">
        <v>940</v>
      </c>
      <c r="C963" t="s">
        <v>393</v>
      </c>
      <c r="D963" t="s">
        <v>554</v>
      </c>
      <c r="E963" t="s">
        <v>36</v>
      </c>
      <c r="G963" t="s">
        <v>942</v>
      </c>
      <c r="H963" t="s">
        <v>396</v>
      </c>
      <c r="K963">
        <v>1993</v>
      </c>
      <c r="O963">
        <v>-16.78</v>
      </c>
      <c r="P963" t="s">
        <v>397</v>
      </c>
      <c r="Q963" t="s">
        <v>398</v>
      </c>
    </row>
    <row r="964" spans="1:17">
      <c r="A964" t="s">
        <v>940</v>
      </c>
      <c r="C964" t="s">
        <v>393</v>
      </c>
      <c r="D964" t="s">
        <v>554</v>
      </c>
      <c r="E964" t="s">
        <v>36</v>
      </c>
      <c r="G964" t="s">
        <v>942</v>
      </c>
      <c r="H964" t="s">
        <v>457</v>
      </c>
      <c r="K964">
        <v>1993</v>
      </c>
      <c r="O964">
        <v>-5.15</v>
      </c>
      <c r="P964" t="s">
        <v>397</v>
      </c>
      <c r="Q964" t="s">
        <v>398</v>
      </c>
    </row>
    <row r="965" spans="1:17">
      <c r="A965" t="s">
        <v>940</v>
      </c>
      <c r="C965" t="s">
        <v>393</v>
      </c>
      <c r="D965" t="s">
        <v>554</v>
      </c>
      <c r="E965" t="s">
        <v>36</v>
      </c>
      <c r="G965" t="s">
        <v>943</v>
      </c>
      <c r="H965" t="s">
        <v>457</v>
      </c>
      <c r="K965">
        <v>1993</v>
      </c>
      <c r="O965">
        <v>-2.84</v>
      </c>
      <c r="P965" t="s">
        <v>397</v>
      </c>
      <c r="Q965" t="s">
        <v>398</v>
      </c>
    </row>
    <row r="966" spans="1:17">
      <c r="A966" t="s">
        <v>940</v>
      </c>
      <c r="C966" t="s">
        <v>393</v>
      </c>
      <c r="D966" t="s">
        <v>554</v>
      </c>
      <c r="E966" t="s">
        <v>36</v>
      </c>
      <c r="G966" t="s">
        <v>944</v>
      </c>
      <c r="H966" t="s">
        <v>457</v>
      </c>
      <c r="K966">
        <v>1993</v>
      </c>
      <c r="O966">
        <v>-0.67</v>
      </c>
      <c r="P966" t="s">
        <v>397</v>
      </c>
      <c r="Q966" t="s">
        <v>398</v>
      </c>
    </row>
    <row r="967" spans="1:17">
      <c r="A967" t="s">
        <v>945</v>
      </c>
      <c r="C967" t="s">
        <v>393</v>
      </c>
      <c r="D967" t="s">
        <v>554</v>
      </c>
      <c r="E967" t="s">
        <v>36</v>
      </c>
      <c r="G967" t="s">
        <v>946</v>
      </c>
      <c r="H967" t="s">
        <v>399</v>
      </c>
      <c r="K967">
        <v>1978</v>
      </c>
      <c r="O967">
        <v>-85.990000000000009</v>
      </c>
      <c r="P967" t="s">
        <v>397</v>
      </c>
      <c r="Q967" t="s">
        <v>398</v>
      </c>
    </row>
    <row r="968" spans="1:17">
      <c r="A968" t="s">
        <v>945</v>
      </c>
      <c r="C968" t="s">
        <v>393</v>
      </c>
      <c r="D968" t="s">
        <v>554</v>
      </c>
      <c r="E968" t="s">
        <v>36</v>
      </c>
      <c r="G968" t="s">
        <v>947</v>
      </c>
      <c r="H968" t="s">
        <v>457</v>
      </c>
      <c r="K968">
        <v>1978</v>
      </c>
      <c r="O968">
        <v>-76.39</v>
      </c>
      <c r="P968" t="s">
        <v>397</v>
      </c>
      <c r="Q968" t="s">
        <v>398</v>
      </c>
    </row>
    <row r="969" spans="1:17">
      <c r="A969" t="s">
        <v>945</v>
      </c>
      <c r="C969" t="s">
        <v>393</v>
      </c>
      <c r="D969" t="s">
        <v>554</v>
      </c>
      <c r="E969" t="s">
        <v>36</v>
      </c>
      <c r="G969" t="s">
        <v>948</v>
      </c>
      <c r="H969" t="s">
        <v>457</v>
      </c>
      <c r="K969">
        <v>1978</v>
      </c>
      <c r="O969">
        <v>-67.95</v>
      </c>
      <c r="P969" t="s">
        <v>397</v>
      </c>
      <c r="Q969" t="s">
        <v>398</v>
      </c>
    </row>
    <row r="970" spans="1:17">
      <c r="A970" t="s">
        <v>945</v>
      </c>
      <c r="C970" t="s">
        <v>393</v>
      </c>
      <c r="D970" t="s">
        <v>554</v>
      </c>
      <c r="E970" t="s">
        <v>36</v>
      </c>
      <c r="G970" t="s">
        <v>949</v>
      </c>
      <c r="H970" t="s">
        <v>399</v>
      </c>
      <c r="K970">
        <v>1978</v>
      </c>
      <c r="O970">
        <v>-42.61</v>
      </c>
      <c r="P970" t="s">
        <v>397</v>
      </c>
      <c r="Q970" t="s">
        <v>398</v>
      </c>
    </row>
    <row r="971" spans="1:17">
      <c r="A971" t="s">
        <v>945</v>
      </c>
      <c r="C971" t="s">
        <v>393</v>
      </c>
      <c r="D971" t="s">
        <v>554</v>
      </c>
      <c r="E971" t="s">
        <v>36</v>
      </c>
      <c r="G971" t="s">
        <v>950</v>
      </c>
      <c r="H971" t="s">
        <v>399</v>
      </c>
      <c r="K971">
        <v>1978</v>
      </c>
      <c r="O971">
        <v>-39.54</v>
      </c>
      <c r="P971" t="s">
        <v>397</v>
      </c>
      <c r="Q971" t="s">
        <v>398</v>
      </c>
    </row>
    <row r="972" spans="1:17">
      <c r="A972" t="s">
        <v>945</v>
      </c>
      <c r="C972" t="s">
        <v>393</v>
      </c>
      <c r="D972" t="s">
        <v>554</v>
      </c>
      <c r="E972" t="s">
        <v>36</v>
      </c>
      <c r="G972" t="s">
        <v>951</v>
      </c>
      <c r="H972" t="s">
        <v>399</v>
      </c>
      <c r="K972">
        <v>1978</v>
      </c>
      <c r="O972">
        <v>-36.47</v>
      </c>
      <c r="P972" t="s">
        <v>397</v>
      </c>
      <c r="Q972" t="s">
        <v>398</v>
      </c>
    </row>
    <row r="973" spans="1:17">
      <c r="A973" t="s">
        <v>945</v>
      </c>
      <c r="C973" t="s">
        <v>393</v>
      </c>
      <c r="D973" t="s">
        <v>554</v>
      </c>
      <c r="E973" t="s">
        <v>36</v>
      </c>
      <c r="G973" t="s">
        <v>947</v>
      </c>
      <c r="H973" t="s">
        <v>399</v>
      </c>
      <c r="K973">
        <v>1978</v>
      </c>
      <c r="O973">
        <v>-33.4</v>
      </c>
      <c r="P973" t="s">
        <v>397</v>
      </c>
      <c r="Q973" t="s">
        <v>398</v>
      </c>
    </row>
    <row r="974" spans="1:17">
      <c r="A974" t="s">
        <v>945</v>
      </c>
      <c r="C974" t="s">
        <v>393</v>
      </c>
      <c r="D974" t="s">
        <v>554</v>
      </c>
      <c r="E974" t="s">
        <v>36</v>
      </c>
      <c r="G974" t="s">
        <v>948</v>
      </c>
      <c r="H974" t="s">
        <v>399</v>
      </c>
      <c r="K974">
        <v>1978</v>
      </c>
      <c r="O974">
        <v>-31.86</v>
      </c>
      <c r="P974" t="s">
        <v>397</v>
      </c>
      <c r="Q974" t="s">
        <v>398</v>
      </c>
    </row>
    <row r="975" spans="1:17">
      <c r="A975" t="s">
        <v>945</v>
      </c>
      <c r="C975" t="s">
        <v>393</v>
      </c>
      <c r="D975" t="s">
        <v>554</v>
      </c>
      <c r="E975" t="s">
        <v>36</v>
      </c>
      <c r="G975" t="s">
        <v>952</v>
      </c>
      <c r="H975" t="s">
        <v>399</v>
      </c>
      <c r="K975">
        <v>1978</v>
      </c>
      <c r="O975">
        <v>-26.490000000000002</v>
      </c>
      <c r="P975" t="s">
        <v>397</v>
      </c>
      <c r="Q975" t="s">
        <v>398</v>
      </c>
    </row>
    <row r="976" spans="1:17">
      <c r="A976" t="s">
        <v>945</v>
      </c>
      <c r="C976" t="s">
        <v>393</v>
      </c>
      <c r="D976" t="s">
        <v>554</v>
      </c>
      <c r="E976" t="s">
        <v>36</v>
      </c>
      <c r="G976" t="s">
        <v>953</v>
      </c>
      <c r="H976" t="s">
        <v>399</v>
      </c>
      <c r="K976">
        <v>1978</v>
      </c>
      <c r="O976">
        <v>-24.950000000000003</v>
      </c>
      <c r="P976" t="s">
        <v>397</v>
      </c>
      <c r="Q976" t="s">
        <v>398</v>
      </c>
    </row>
    <row r="977" spans="1:17">
      <c r="A977" t="s">
        <v>945</v>
      </c>
      <c r="C977" t="s">
        <v>393</v>
      </c>
      <c r="D977" t="s">
        <v>554</v>
      </c>
      <c r="E977" t="s">
        <v>36</v>
      </c>
      <c r="G977" t="s">
        <v>954</v>
      </c>
      <c r="H977" t="s">
        <v>399</v>
      </c>
      <c r="K977">
        <v>1978</v>
      </c>
      <c r="O977">
        <v>-11.129999999999999</v>
      </c>
      <c r="P977" t="s">
        <v>397</v>
      </c>
      <c r="Q977" t="s">
        <v>398</v>
      </c>
    </row>
    <row r="978" spans="1:17">
      <c r="A978" t="s">
        <v>945</v>
      </c>
      <c r="C978" t="s">
        <v>393</v>
      </c>
      <c r="D978" t="s">
        <v>554</v>
      </c>
      <c r="E978" t="s">
        <v>36</v>
      </c>
      <c r="G978" t="s">
        <v>955</v>
      </c>
      <c r="H978" t="s">
        <v>457</v>
      </c>
      <c r="K978">
        <v>1978</v>
      </c>
      <c r="O978">
        <v>-8.4499999999999993</v>
      </c>
      <c r="P978" t="s">
        <v>397</v>
      </c>
      <c r="Q978" t="s">
        <v>398</v>
      </c>
    </row>
    <row r="979" spans="1:17">
      <c r="A979" t="s">
        <v>945</v>
      </c>
      <c r="C979" t="s">
        <v>393</v>
      </c>
      <c r="D979" t="s">
        <v>554</v>
      </c>
      <c r="E979" t="s">
        <v>36</v>
      </c>
      <c r="G979" t="s">
        <v>956</v>
      </c>
      <c r="H979" t="s">
        <v>399</v>
      </c>
      <c r="K979">
        <v>1978</v>
      </c>
      <c r="O979">
        <v>-7.68</v>
      </c>
      <c r="P979" t="s">
        <v>397</v>
      </c>
      <c r="Q979" t="s">
        <v>398</v>
      </c>
    </row>
    <row r="980" spans="1:17">
      <c r="A980" t="s">
        <v>945</v>
      </c>
      <c r="C980" t="s">
        <v>393</v>
      </c>
      <c r="D980" t="s">
        <v>554</v>
      </c>
      <c r="E980" t="s">
        <v>36</v>
      </c>
      <c r="G980" t="s">
        <v>957</v>
      </c>
      <c r="H980" t="s">
        <v>399</v>
      </c>
      <c r="K980">
        <v>1978</v>
      </c>
      <c r="O980">
        <v>-0.77</v>
      </c>
      <c r="P980" t="s">
        <v>397</v>
      </c>
      <c r="Q980" t="s">
        <v>398</v>
      </c>
    </row>
    <row r="981" spans="1:17">
      <c r="A981" t="s">
        <v>945</v>
      </c>
      <c r="C981" t="s">
        <v>393</v>
      </c>
      <c r="D981" t="s">
        <v>554</v>
      </c>
      <c r="E981" t="s">
        <v>36</v>
      </c>
      <c r="G981" t="s">
        <v>958</v>
      </c>
      <c r="H981" t="s">
        <v>457</v>
      </c>
      <c r="K981">
        <v>1978</v>
      </c>
      <c r="O981">
        <v>0</v>
      </c>
      <c r="P981" t="s">
        <v>397</v>
      </c>
      <c r="Q981" t="s">
        <v>398</v>
      </c>
    </row>
    <row r="982" spans="1:17">
      <c r="A982" t="s">
        <v>945</v>
      </c>
      <c r="C982" t="s">
        <v>393</v>
      </c>
      <c r="D982" t="s">
        <v>554</v>
      </c>
      <c r="E982" t="s">
        <v>36</v>
      </c>
      <c r="G982" t="s">
        <v>958</v>
      </c>
      <c r="H982" t="s">
        <v>399</v>
      </c>
      <c r="K982">
        <v>1978</v>
      </c>
      <c r="O982">
        <v>0</v>
      </c>
      <c r="P982" t="s">
        <v>397</v>
      </c>
      <c r="Q982" t="s">
        <v>398</v>
      </c>
    </row>
    <row r="983" spans="1:17">
      <c r="A983" t="s">
        <v>945</v>
      </c>
      <c r="C983" t="s">
        <v>393</v>
      </c>
      <c r="D983" t="s">
        <v>554</v>
      </c>
      <c r="E983" t="s">
        <v>36</v>
      </c>
      <c r="G983" t="s">
        <v>959</v>
      </c>
      <c r="H983" t="s">
        <v>457</v>
      </c>
      <c r="K983">
        <v>1978</v>
      </c>
      <c r="O983">
        <v>0</v>
      </c>
      <c r="P983" t="s">
        <v>397</v>
      </c>
      <c r="Q983" t="s">
        <v>398</v>
      </c>
    </row>
    <row r="984" spans="1:17">
      <c r="A984" t="s">
        <v>945</v>
      </c>
      <c r="C984" t="s">
        <v>393</v>
      </c>
      <c r="D984" t="s">
        <v>554</v>
      </c>
      <c r="E984" t="s">
        <v>36</v>
      </c>
      <c r="G984" t="s">
        <v>949</v>
      </c>
      <c r="H984" t="s">
        <v>457</v>
      </c>
      <c r="K984">
        <v>1978</v>
      </c>
      <c r="O984">
        <v>0</v>
      </c>
      <c r="P984" t="s">
        <v>397</v>
      </c>
      <c r="Q984" t="s">
        <v>398</v>
      </c>
    </row>
    <row r="985" spans="1:17">
      <c r="A985" t="s">
        <v>945</v>
      </c>
      <c r="C985" t="s">
        <v>393</v>
      </c>
      <c r="D985" t="s">
        <v>554</v>
      </c>
      <c r="E985" t="s">
        <v>36</v>
      </c>
      <c r="G985" t="s">
        <v>960</v>
      </c>
      <c r="H985" t="s">
        <v>399</v>
      </c>
      <c r="K985">
        <v>1978</v>
      </c>
      <c r="O985">
        <v>0</v>
      </c>
      <c r="P985" t="s">
        <v>397</v>
      </c>
      <c r="Q985" t="s">
        <v>398</v>
      </c>
    </row>
    <row r="986" spans="1:17">
      <c r="A986" t="s">
        <v>945</v>
      </c>
      <c r="C986" t="s">
        <v>393</v>
      </c>
      <c r="D986" t="s">
        <v>554</v>
      </c>
      <c r="E986" t="s">
        <v>36</v>
      </c>
      <c r="G986" t="s">
        <v>961</v>
      </c>
      <c r="H986" t="s">
        <v>457</v>
      </c>
      <c r="K986">
        <v>1978</v>
      </c>
      <c r="O986">
        <v>0</v>
      </c>
      <c r="P986" t="s">
        <v>397</v>
      </c>
      <c r="Q986" t="s">
        <v>398</v>
      </c>
    </row>
    <row r="987" spans="1:17">
      <c r="A987" t="s">
        <v>945</v>
      </c>
      <c r="C987" t="s">
        <v>393</v>
      </c>
      <c r="D987" t="s">
        <v>554</v>
      </c>
      <c r="E987" t="s">
        <v>36</v>
      </c>
      <c r="G987" t="s">
        <v>962</v>
      </c>
      <c r="H987" t="s">
        <v>457</v>
      </c>
      <c r="K987">
        <v>1978</v>
      </c>
      <c r="O987">
        <v>0</v>
      </c>
      <c r="P987" t="s">
        <v>397</v>
      </c>
      <c r="Q987" t="s">
        <v>398</v>
      </c>
    </row>
    <row r="988" spans="1:17">
      <c r="A988" t="s">
        <v>945</v>
      </c>
      <c r="C988" t="s">
        <v>393</v>
      </c>
      <c r="D988" t="s">
        <v>554</v>
      </c>
      <c r="E988" t="s">
        <v>36</v>
      </c>
      <c r="G988" t="s">
        <v>960</v>
      </c>
      <c r="H988" t="s">
        <v>457</v>
      </c>
      <c r="K988">
        <v>1978</v>
      </c>
      <c r="O988">
        <v>0</v>
      </c>
      <c r="P988" t="s">
        <v>397</v>
      </c>
      <c r="Q988" t="s">
        <v>398</v>
      </c>
    </row>
    <row r="989" spans="1:17">
      <c r="A989" t="s">
        <v>945</v>
      </c>
      <c r="C989" t="s">
        <v>393</v>
      </c>
      <c r="D989" t="s">
        <v>554</v>
      </c>
      <c r="E989" t="s">
        <v>36</v>
      </c>
      <c r="G989" t="s">
        <v>963</v>
      </c>
      <c r="H989" t="s">
        <v>399</v>
      </c>
      <c r="K989">
        <v>1978</v>
      </c>
      <c r="O989">
        <v>0</v>
      </c>
      <c r="P989" t="s">
        <v>397</v>
      </c>
      <c r="Q989" t="s">
        <v>398</v>
      </c>
    </row>
    <row r="990" spans="1:17">
      <c r="A990" t="s">
        <v>945</v>
      </c>
      <c r="C990" t="s">
        <v>393</v>
      </c>
      <c r="D990" t="s">
        <v>554</v>
      </c>
      <c r="E990" t="s">
        <v>36</v>
      </c>
      <c r="G990" t="s">
        <v>964</v>
      </c>
      <c r="H990" t="s">
        <v>399</v>
      </c>
      <c r="K990">
        <v>1978</v>
      </c>
      <c r="O990">
        <v>0</v>
      </c>
      <c r="P990" t="s">
        <v>397</v>
      </c>
      <c r="Q990" t="s">
        <v>398</v>
      </c>
    </row>
    <row r="991" spans="1:17">
      <c r="A991" t="s">
        <v>945</v>
      </c>
      <c r="C991" t="s">
        <v>393</v>
      </c>
      <c r="D991" t="s">
        <v>554</v>
      </c>
      <c r="E991" t="s">
        <v>36</v>
      </c>
      <c r="G991" t="s">
        <v>965</v>
      </c>
      <c r="H991" t="s">
        <v>399</v>
      </c>
      <c r="K991">
        <v>1978</v>
      </c>
      <c r="O991">
        <v>0</v>
      </c>
      <c r="P991" t="s">
        <v>397</v>
      </c>
      <c r="Q991" t="s">
        <v>398</v>
      </c>
    </row>
    <row r="992" spans="1:17">
      <c r="A992" t="s">
        <v>945</v>
      </c>
      <c r="C992" t="s">
        <v>393</v>
      </c>
      <c r="D992" t="s">
        <v>554</v>
      </c>
      <c r="E992" t="s">
        <v>36</v>
      </c>
      <c r="G992" t="s">
        <v>962</v>
      </c>
      <c r="H992" t="s">
        <v>399</v>
      </c>
      <c r="K992">
        <v>1978</v>
      </c>
      <c r="O992">
        <v>0</v>
      </c>
      <c r="P992" t="s">
        <v>397</v>
      </c>
      <c r="Q992" t="s">
        <v>398</v>
      </c>
    </row>
    <row r="993" spans="1:17">
      <c r="A993" t="s">
        <v>945</v>
      </c>
      <c r="C993" t="s">
        <v>393</v>
      </c>
      <c r="D993" t="s">
        <v>554</v>
      </c>
      <c r="E993" t="s">
        <v>36</v>
      </c>
      <c r="G993" t="s">
        <v>950</v>
      </c>
      <c r="H993" t="s">
        <v>457</v>
      </c>
      <c r="K993">
        <v>1978</v>
      </c>
      <c r="O993">
        <v>0</v>
      </c>
      <c r="P993" t="s">
        <v>397</v>
      </c>
      <c r="Q993" t="s">
        <v>398</v>
      </c>
    </row>
    <row r="994" spans="1:17">
      <c r="A994" t="s">
        <v>945</v>
      </c>
      <c r="C994" t="s">
        <v>393</v>
      </c>
      <c r="D994" t="s">
        <v>554</v>
      </c>
      <c r="E994" t="s">
        <v>36</v>
      </c>
      <c r="G994" t="s">
        <v>963</v>
      </c>
      <c r="H994" t="s">
        <v>457</v>
      </c>
      <c r="K994">
        <v>1978</v>
      </c>
      <c r="O994">
        <v>0</v>
      </c>
      <c r="P994" t="s">
        <v>397</v>
      </c>
      <c r="Q994" t="s">
        <v>398</v>
      </c>
    </row>
    <row r="995" spans="1:17">
      <c r="A995" t="s">
        <v>945</v>
      </c>
      <c r="C995" t="s">
        <v>393</v>
      </c>
      <c r="D995" t="s">
        <v>554</v>
      </c>
      <c r="E995" t="s">
        <v>36</v>
      </c>
      <c r="G995" t="s">
        <v>966</v>
      </c>
      <c r="H995" t="s">
        <v>457</v>
      </c>
      <c r="K995">
        <v>1978</v>
      </c>
      <c r="O995">
        <v>0</v>
      </c>
      <c r="P995" t="s">
        <v>397</v>
      </c>
      <c r="Q995" t="s">
        <v>398</v>
      </c>
    </row>
    <row r="996" spans="1:17">
      <c r="A996" t="s">
        <v>945</v>
      </c>
      <c r="C996" t="s">
        <v>393</v>
      </c>
      <c r="D996" t="s">
        <v>554</v>
      </c>
      <c r="E996" t="s">
        <v>36</v>
      </c>
      <c r="G996" t="s">
        <v>966</v>
      </c>
      <c r="H996" t="s">
        <v>399</v>
      </c>
      <c r="K996">
        <v>1978</v>
      </c>
      <c r="O996">
        <v>0</v>
      </c>
      <c r="P996" t="s">
        <v>397</v>
      </c>
      <c r="Q996" t="s">
        <v>398</v>
      </c>
    </row>
    <row r="997" spans="1:17">
      <c r="A997" t="s">
        <v>945</v>
      </c>
      <c r="C997" t="s">
        <v>393</v>
      </c>
      <c r="D997" t="s">
        <v>554</v>
      </c>
      <c r="E997" t="s">
        <v>36</v>
      </c>
      <c r="G997" t="s">
        <v>967</v>
      </c>
      <c r="H997" t="s">
        <v>399</v>
      </c>
      <c r="K997">
        <v>1978</v>
      </c>
      <c r="O997">
        <v>0</v>
      </c>
      <c r="P997" t="s">
        <v>397</v>
      </c>
      <c r="Q997" t="s">
        <v>398</v>
      </c>
    </row>
    <row r="998" spans="1:17">
      <c r="A998" t="s">
        <v>945</v>
      </c>
      <c r="C998" t="s">
        <v>393</v>
      </c>
      <c r="D998" t="s">
        <v>554</v>
      </c>
      <c r="E998" t="s">
        <v>36</v>
      </c>
      <c r="G998" t="s">
        <v>967</v>
      </c>
      <c r="H998" t="s">
        <v>457</v>
      </c>
      <c r="K998">
        <v>1978</v>
      </c>
      <c r="O998">
        <v>0</v>
      </c>
      <c r="P998" t="s">
        <v>397</v>
      </c>
      <c r="Q998" t="s">
        <v>398</v>
      </c>
    </row>
    <row r="999" spans="1:17">
      <c r="A999" t="s">
        <v>945</v>
      </c>
      <c r="C999" t="s">
        <v>393</v>
      </c>
      <c r="D999" t="s">
        <v>554</v>
      </c>
      <c r="E999" t="s">
        <v>36</v>
      </c>
      <c r="G999" t="s">
        <v>968</v>
      </c>
      <c r="H999" t="s">
        <v>457</v>
      </c>
      <c r="K999">
        <v>1978</v>
      </c>
      <c r="O999">
        <v>0</v>
      </c>
      <c r="P999" t="s">
        <v>397</v>
      </c>
      <c r="Q999" t="s">
        <v>398</v>
      </c>
    </row>
    <row r="1000" spans="1:17">
      <c r="A1000" t="s">
        <v>945</v>
      </c>
      <c r="C1000" t="s">
        <v>393</v>
      </c>
      <c r="D1000" t="s">
        <v>554</v>
      </c>
      <c r="E1000" t="s">
        <v>36</v>
      </c>
      <c r="G1000" t="s">
        <v>968</v>
      </c>
      <c r="H1000" t="s">
        <v>399</v>
      </c>
      <c r="K1000">
        <v>1978</v>
      </c>
      <c r="O1000">
        <v>0</v>
      </c>
      <c r="P1000" t="s">
        <v>397</v>
      </c>
      <c r="Q1000" t="s">
        <v>398</v>
      </c>
    </row>
    <row r="1001" spans="1:17">
      <c r="A1001" t="s">
        <v>945</v>
      </c>
      <c r="C1001" t="s">
        <v>393</v>
      </c>
      <c r="D1001" t="s">
        <v>554</v>
      </c>
      <c r="E1001" t="s">
        <v>36</v>
      </c>
      <c r="G1001" t="s">
        <v>959</v>
      </c>
      <c r="H1001" t="s">
        <v>399</v>
      </c>
      <c r="K1001">
        <v>1978</v>
      </c>
      <c r="O1001">
        <v>0</v>
      </c>
      <c r="P1001" t="s">
        <v>397</v>
      </c>
      <c r="Q1001" t="s">
        <v>398</v>
      </c>
    </row>
    <row r="1002" spans="1:17">
      <c r="A1002" t="s">
        <v>945</v>
      </c>
      <c r="C1002" t="s">
        <v>393</v>
      </c>
      <c r="D1002" t="s">
        <v>554</v>
      </c>
      <c r="E1002" t="s">
        <v>36</v>
      </c>
      <c r="G1002" t="s">
        <v>961</v>
      </c>
      <c r="H1002" t="s">
        <v>399</v>
      </c>
      <c r="K1002">
        <v>1978</v>
      </c>
      <c r="O1002">
        <v>0</v>
      </c>
      <c r="P1002" t="s">
        <v>397</v>
      </c>
      <c r="Q1002" t="s">
        <v>398</v>
      </c>
    </row>
    <row r="1003" spans="1:17">
      <c r="A1003" t="s">
        <v>945</v>
      </c>
      <c r="C1003" t="s">
        <v>393</v>
      </c>
      <c r="D1003" t="s">
        <v>554</v>
      </c>
      <c r="E1003" t="s">
        <v>36</v>
      </c>
      <c r="G1003" t="s">
        <v>964</v>
      </c>
      <c r="H1003" t="s">
        <v>457</v>
      </c>
      <c r="K1003">
        <v>1978</v>
      </c>
      <c r="O1003">
        <v>0</v>
      </c>
      <c r="P1003" t="s">
        <v>397</v>
      </c>
      <c r="Q1003" t="s">
        <v>398</v>
      </c>
    </row>
    <row r="1004" spans="1:17">
      <c r="A1004" t="s">
        <v>692</v>
      </c>
      <c r="C1004" t="s">
        <v>393</v>
      </c>
      <c r="D1004" t="s">
        <v>693</v>
      </c>
      <c r="E1004" t="s">
        <v>36</v>
      </c>
      <c r="F1004" t="s">
        <v>36</v>
      </c>
      <c r="G1004" t="s">
        <v>969</v>
      </c>
      <c r="H1004" t="s">
        <v>38</v>
      </c>
      <c r="K1004">
        <v>1992</v>
      </c>
      <c r="L1004">
        <v>2016</v>
      </c>
      <c r="M1004">
        <f>L1004-K1004+1</f>
        <v>25</v>
      </c>
      <c r="N1004">
        <f>M1004-L1004+1</f>
        <v>-1990</v>
      </c>
      <c r="O1004">
        <v>-25</v>
      </c>
      <c r="P1004" t="s">
        <v>397</v>
      </c>
      <c r="Q1004" t="s">
        <v>970</v>
      </c>
    </row>
    <row r="1005" spans="1:17">
      <c r="A1005" t="s">
        <v>692</v>
      </c>
      <c r="C1005" t="s">
        <v>393</v>
      </c>
      <c r="D1005" t="s">
        <v>693</v>
      </c>
      <c r="E1005" t="s">
        <v>36</v>
      </c>
      <c r="F1005" t="s">
        <v>36</v>
      </c>
      <c r="G1005" t="s">
        <v>971</v>
      </c>
      <c r="H1005" t="s">
        <v>38</v>
      </c>
      <c r="K1005">
        <v>1992</v>
      </c>
      <c r="L1005">
        <v>2016</v>
      </c>
      <c r="M1005">
        <f>L1005-K1005+1</f>
        <v>25</v>
      </c>
      <c r="O1005">
        <v>-21</v>
      </c>
      <c r="P1005" t="s">
        <v>397</v>
      </c>
      <c r="Q1005" t="s">
        <v>970</v>
      </c>
    </row>
    <row r="1006" spans="1:17">
      <c r="A1006" t="s">
        <v>972</v>
      </c>
      <c r="C1006" t="s">
        <v>393</v>
      </c>
      <c r="D1006" t="s">
        <v>505</v>
      </c>
      <c r="E1006" t="s">
        <v>265</v>
      </c>
      <c r="G1006" t="s">
        <v>266</v>
      </c>
      <c r="H1006" t="s">
        <v>457</v>
      </c>
      <c r="K1006">
        <v>1950</v>
      </c>
      <c r="O1006">
        <v>0</v>
      </c>
      <c r="P1006" t="s">
        <v>397</v>
      </c>
      <c r="Q1006" t="s">
        <v>398</v>
      </c>
    </row>
    <row r="1007" spans="1:17">
      <c r="A1007" t="s">
        <v>973</v>
      </c>
      <c r="C1007" t="s">
        <v>393</v>
      </c>
      <c r="E1007" t="s">
        <v>394</v>
      </c>
      <c r="F1007" t="s">
        <v>394</v>
      </c>
      <c r="G1007" t="s">
        <v>471</v>
      </c>
      <c r="H1007" t="s">
        <v>399</v>
      </c>
      <c r="K1007">
        <v>1970</v>
      </c>
      <c r="O1007">
        <v>11.530000000000001</v>
      </c>
      <c r="P1007" t="s">
        <v>15</v>
      </c>
      <c r="Q1007" t="s">
        <v>398</v>
      </c>
    </row>
    <row r="1008" spans="1:17">
      <c r="A1008" t="s">
        <v>973</v>
      </c>
      <c r="C1008" t="s">
        <v>393</v>
      </c>
      <c r="E1008" t="s">
        <v>394</v>
      </c>
      <c r="F1008" t="s">
        <v>394</v>
      </c>
      <c r="G1008" t="s">
        <v>474</v>
      </c>
      <c r="H1008" t="s">
        <v>399</v>
      </c>
      <c r="K1008">
        <v>1970</v>
      </c>
      <c r="O1008">
        <v>22.650000000000002</v>
      </c>
      <c r="P1008" t="s">
        <v>15</v>
      </c>
      <c r="Q1008" t="s">
        <v>398</v>
      </c>
    </row>
    <row r="1009" spans="1:17">
      <c r="A1009" t="s">
        <v>974</v>
      </c>
      <c r="C1009" t="s">
        <v>393</v>
      </c>
      <c r="E1009" t="s">
        <v>394</v>
      </c>
      <c r="F1009" t="s">
        <v>394</v>
      </c>
      <c r="G1009" t="s">
        <v>975</v>
      </c>
      <c r="H1009" t="s">
        <v>163</v>
      </c>
      <c r="K1009" t="s">
        <v>163</v>
      </c>
      <c r="O1009" t="s">
        <v>163</v>
      </c>
      <c r="P1009" t="s">
        <v>15</v>
      </c>
      <c r="Q1009" t="s">
        <v>976</v>
      </c>
    </row>
    <row r="1010" spans="1:17">
      <c r="A1010" t="s">
        <v>977</v>
      </c>
      <c r="C1010" t="s">
        <v>393</v>
      </c>
      <c r="D1010" t="s">
        <v>978</v>
      </c>
      <c r="E1010" t="s">
        <v>394</v>
      </c>
      <c r="F1010" t="s">
        <v>394</v>
      </c>
      <c r="G1010" t="s">
        <v>979</v>
      </c>
      <c r="I1010">
        <v>-34.475490000000001</v>
      </c>
      <c r="J1010">
        <v>129.767989</v>
      </c>
      <c r="K1010">
        <v>1936</v>
      </c>
      <c r="M1010">
        <v>76</v>
      </c>
      <c r="O1010" t="s">
        <v>163</v>
      </c>
      <c r="P1010" t="s">
        <v>15</v>
      </c>
      <c r="Q1010" t="s">
        <v>403</v>
      </c>
    </row>
    <row r="1011" spans="1:17">
      <c r="A1011" t="s">
        <v>416</v>
      </c>
      <c r="C1011" t="s">
        <v>393</v>
      </c>
      <c r="E1011" t="s">
        <v>394</v>
      </c>
      <c r="F1011" t="s">
        <v>394</v>
      </c>
      <c r="G1011" t="s">
        <v>980</v>
      </c>
      <c r="H1011" t="s">
        <v>399</v>
      </c>
      <c r="K1011">
        <v>1981</v>
      </c>
      <c r="O1011">
        <v>52.27</v>
      </c>
      <c r="P1011" t="s">
        <v>15</v>
      </c>
      <c r="Q1011" t="s">
        <v>398</v>
      </c>
    </row>
    <row r="1012" spans="1:17">
      <c r="A1012" t="s">
        <v>416</v>
      </c>
      <c r="C1012" t="s">
        <v>393</v>
      </c>
      <c r="E1012" t="s">
        <v>394</v>
      </c>
      <c r="F1012" t="s">
        <v>394</v>
      </c>
      <c r="G1012" t="s">
        <v>981</v>
      </c>
      <c r="H1012" t="s">
        <v>399</v>
      </c>
      <c r="K1012">
        <v>1981</v>
      </c>
      <c r="O1012">
        <v>128.27000000000001</v>
      </c>
      <c r="P1012" t="s">
        <v>15</v>
      </c>
      <c r="Q1012" t="s">
        <v>398</v>
      </c>
    </row>
    <row r="1013" spans="1:17">
      <c r="A1013" t="s">
        <v>416</v>
      </c>
      <c r="C1013" t="s">
        <v>393</v>
      </c>
      <c r="E1013" t="s">
        <v>394</v>
      </c>
      <c r="F1013" t="s">
        <v>394</v>
      </c>
      <c r="G1013" t="s">
        <v>982</v>
      </c>
      <c r="H1013" t="s">
        <v>399</v>
      </c>
      <c r="K1013">
        <v>1981</v>
      </c>
      <c r="O1013">
        <v>144.72</v>
      </c>
      <c r="P1013" t="s">
        <v>15</v>
      </c>
      <c r="Q1013" t="s">
        <v>398</v>
      </c>
    </row>
    <row r="1014" spans="1:17">
      <c r="A1014" t="s">
        <v>416</v>
      </c>
      <c r="C1014" t="s">
        <v>393</v>
      </c>
      <c r="E1014" t="s">
        <v>394</v>
      </c>
      <c r="F1014" t="s">
        <v>394</v>
      </c>
      <c r="G1014" t="s">
        <v>647</v>
      </c>
      <c r="H1014" t="s">
        <v>399</v>
      </c>
      <c r="K1014">
        <v>1981</v>
      </c>
      <c r="O1014">
        <v>213.94</v>
      </c>
      <c r="P1014" t="s">
        <v>15</v>
      </c>
      <c r="Q1014" t="s">
        <v>398</v>
      </c>
    </row>
    <row r="1015" spans="1:17">
      <c r="A1015" t="s">
        <v>416</v>
      </c>
      <c r="C1015" t="s">
        <v>393</v>
      </c>
      <c r="E1015" t="s">
        <v>394</v>
      </c>
      <c r="F1015" t="s">
        <v>394</v>
      </c>
      <c r="G1015" t="s">
        <v>983</v>
      </c>
      <c r="H1015" t="s">
        <v>399</v>
      </c>
      <c r="K1015">
        <v>1981</v>
      </c>
      <c r="O1015">
        <v>218.29000000000002</v>
      </c>
      <c r="P1015" t="s">
        <v>15</v>
      </c>
      <c r="Q1015" t="s">
        <v>398</v>
      </c>
    </row>
    <row r="1016" spans="1:17">
      <c r="A1016" t="s">
        <v>430</v>
      </c>
      <c r="C1016" t="s">
        <v>393</v>
      </c>
      <c r="E1016" t="s">
        <v>394</v>
      </c>
      <c r="F1016" t="s">
        <v>394</v>
      </c>
      <c r="G1016" t="s">
        <v>459</v>
      </c>
      <c r="H1016" t="s">
        <v>399</v>
      </c>
      <c r="K1016">
        <v>2000</v>
      </c>
      <c r="O1016">
        <v>21.299999999999997</v>
      </c>
      <c r="P1016" t="s">
        <v>15</v>
      </c>
      <c r="Q1016" t="s">
        <v>398</v>
      </c>
    </row>
    <row r="1017" spans="1:17">
      <c r="A1017" t="s">
        <v>434</v>
      </c>
      <c r="C1017" t="s">
        <v>393</v>
      </c>
      <c r="E1017" t="s">
        <v>394</v>
      </c>
      <c r="F1017" t="s">
        <v>394</v>
      </c>
      <c r="G1017" t="s">
        <v>438</v>
      </c>
      <c r="H1017" t="s">
        <v>399</v>
      </c>
      <c r="K1017">
        <v>1960</v>
      </c>
      <c r="O1017">
        <v>10</v>
      </c>
      <c r="P1017" t="s">
        <v>15</v>
      </c>
      <c r="Q1017" t="s">
        <v>398</v>
      </c>
    </row>
    <row r="1018" spans="1:17">
      <c r="A1018" t="s">
        <v>434</v>
      </c>
      <c r="C1018" t="s">
        <v>393</v>
      </c>
      <c r="E1018" t="s">
        <v>394</v>
      </c>
      <c r="F1018" t="s">
        <v>394</v>
      </c>
      <c r="G1018" t="s">
        <v>433</v>
      </c>
      <c r="H1018" t="s">
        <v>399</v>
      </c>
      <c r="K1018">
        <v>1974</v>
      </c>
      <c r="O1018">
        <v>11</v>
      </c>
      <c r="P1018" t="s">
        <v>15</v>
      </c>
      <c r="Q1018" t="s">
        <v>398</v>
      </c>
    </row>
    <row r="1019" spans="1:17">
      <c r="A1019" t="s">
        <v>434</v>
      </c>
      <c r="C1019" t="s">
        <v>393</v>
      </c>
      <c r="E1019" t="s">
        <v>394</v>
      </c>
      <c r="F1019" t="s">
        <v>394</v>
      </c>
      <c r="G1019" t="s">
        <v>431</v>
      </c>
      <c r="H1019" t="s">
        <v>399</v>
      </c>
      <c r="K1019">
        <v>1974</v>
      </c>
      <c r="O1019">
        <v>11</v>
      </c>
      <c r="P1019" t="s">
        <v>15</v>
      </c>
      <c r="Q1019" t="s">
        <v>398</v>
      </c>
    </row>
    <row r="1020" spans="1:17">
      <c r="A1020" t="s">
        <v>434</v>
      </c>
      <c r="C1020" t="s">
        <v>393</v>
      </c>
      <c r="E1020" t="s">
        <v>394</v>
      </c>
      <c r="F1020" t="s">
        <v>394</v>
      </c>
      <c r="G1020" t="s">
        <v>439</v>
      </c>
      <c r="H1020" t="s">
        <v>399</v>
      </c>
      <c r="K1020">
        <v>1960</v>
      </c>
      <c r="O1020">
        <v>12</v>
      </c>
      <c r="P1020" t="s">
        <v>15</v>
      </c>
      <c r="Q1020" t="s">
        <v>398</v>
      </c>
    </row>
    <row r="1021" spans="1:17">
      <c r="A1021" t="s">
        <v>434</v>
      </c>
      <c r="C1021" t="s">
        <v>393</v>
      </c>
      <c r="E1021" t="s">
        <v>394</v>
      </c>
      <c r="F1021" t="s">
        <v>394</v>
      </c>
      <c r="G1021" t="s">
        <v>436</v>
      </c>
      <c r="H1021" t="s">
        <v>399</v>
      </c>
      <c r="K1021">
        <v>1960</v>
      </c>
      <c r="O1021">
        <v>14</v>
      </c>
      <c r="P1021" t="s">
        <v>15</v>
      </c>
      <c r="Q1021" t="s">
        <v>398</v>
      </c>
    </row>
    <row r="1022" spans="1:17">
      <c r="A1022" t="s">
        <v>434</v>
      </c>
      <c r="C1022" t="s">
        <v>393</v>
      </c>
      <c r="E1022" t="s">
        <v>394</v>
      </c>
      <c r="F1022" t="s">
        <v>394</v>
      </c>
      <c r="G1022" t="s">
        <v>433</v>
      </c>
      <c r="H1022" t="s">
        <v>399</v>
      </c>
      <c r="K1022">
        <v>1960</v>
      </c>
      <c r="O1022">
        <v>15</v>
      </c>
      <c r="P1022" t="s">
        <v>15</v>
      </c>
      <c r="Q1022" t="s">
        <v>398</v>
      </c>
    </row>
    <row r="1023" spans="1:17">
      <c r="A1023" t="s">
        <v>434</v>
      </c>
      <c r="C1023" t="s">
        <v>393</v>
      </c>
      <c r="E1023" t="s">
        <v>394</v>
      </c>
      <c r="F1023" t="s">
        <v>394</v>
      </c>
      <c r="G1023" t="s">
        <v>437</v>
      </c>
      <c r="H1023" t="s">
        <v>399</v>
      </c>
      <c r="K1023">
        <v>1960</v>
      </c>
      <c r="O1023">
        <v>18</v>
      </c>
      <c r="P1023" t="s">
        <v>15</v>
      </c>
      <c r="Q1023" t="s">
        <v>398</v>
      </c>
    </row>
    <row r="1024" spans="1:17">
      <c r="A1024" t="s">
        <v>434</v>
      </c>
      <c r="C1024" t="s">
        <v>393</v>
      </c>
      <c r="E1024" t="s">
        <v>394</v>
      </c>
      <c r="F1024" t="s">
        <v>394</v>
      </c>
      <c r="G1024" t="s">
        <v>435</v>
      </c>
      <c r="H1024" t="s">
        <v>399</v>
      </c>
      <c r="K1024">
        <v>1960</v>
      </c>
      <c r="O1024">
        <v>21</v>
      </c>
      <c r="P1024" t="s">
        <v>15</v>
      </c>
      <c r="Q1024" t="s">
        <v>398</v>
      </c>
    </row>
    <row r="1025" spans="1:18">
      <c r="A1025" t="s">
        <v>434</v>
      </c>
      <c r="C1025" t="s">
        <v>393</v>
      </c>
      <c r="E1025" t="s">
        <v>394</v>
      </c>
      <c r="F1025" t="s">
        <v>394</v>
      </c>
      <c r="G1025" t="s">
        <v>432</v>
      </c>
      <c r="H1025" t="s">
        <v>399</v>
      </c>
      <c r="K1025">
        <v>1960</v>
      </c>
      <c r="O1025">
        <v>23</v>
      </c>
      <c r="P1025" t="s">
        <v>15</v>
      </c>
      <c r="Q1025" t="s">
        <v>398</v>
      </c>
    </row>
    <row r="1026" spans="1:18">
      <c r="A1026" t="s">
        <v>440</v>
      </c>
      <c r="C1026" t="s">
        <v>393</v>
      </c>
      <c r="E1026" t="s">
        <v>394</v>
      </c>
      <c r="F1026" t="s">
        <v>394</v>
      </c>
      <c r="G1026" t="s">
        <v>462</v>
      </c>
      <c r="H1026" t="s">
        <v>399</v>
      </c>
      <c r="K1026">
        <v>1966</v>
      </c>
      <c r="O1026">
        <v>0.15</v>
      </c>
      <c r="P1026" t="s">
        <v>15</v>
      </c>
      <c r="Q1026" t="s">
        <v>398</v>
      </c>
    </row>
    <row r="1027" spans="1:18">
      <c r="A1027" t="s">
        <v>440</v>
      </c>
      <c r="C1027" t="s">
        <v>393</v>
      </c>
      <c r="E1027" t="s">
        <v>394</v>
      </c>
      <c r="F1027" t="s">
        <v>394</v>
      </c>
      <c r="G1027" t="s">
        <v>984</v>
      </c>
      <c r="H1027" t="s">
        <v>399</v>
      </c>
      <c r="K1027">
        <v>1966</v>
      </c>
      <c r="O1027">
        <v>9</v>
      </c>
      <c r="P1027" t="s">
        <v>15</v>
      </c>
      <c r="Q1027" t="s">
        <v>398</v>
      </c>
    </row>
    <row r="1028" spans="1:18">
      <c r="A1028" t="s">
        <v>440</v>
      </c>
      <c r="C1028" t="s">
        <v>393</v>
      </c>
      <c r="E1028" t="s">
        <v>394</v>
      </c>
      <c r="F1028" t="s">
        <v>394</v>
      </c>
      <c r="G1028" t="s">
        <v>985</v>
      </c>
      <c r="H1028" t="s">
        <v>399</v>
      </c>
      <c r="K1028">
        <v>1966</v>
      </c>
      <c r="O1028">
        <v>27.75</v>
      </c>
      <c r="P1028" t="s">
        <v>15</v>
      </c>
      <c r="Q1028" t="s">
        <v>398</v>
      </c>
    </row>
    <row r="1029" spans="1:18">
      <c r="A1029" t="s">
        <v>440</v>
      </c>
      <c r="C1029" t="s">
        <v>393</v>
      </c>
      <c r="E1029" t="s">
        <v>394</v>
      </c>
      <c r="F1029" t="s">
        <v>394</v>
      </c>
      <c r="G1029" t="s">
        <v>986</v>
      </c>
      <c r="H1029" t="s">
        <v>399</v>
      </c>
      <c r="K1029">
        <v>1966</v>
      </c>
      <c r="O1029">
        <v>47.23</v>
      </c>
      <c r="P1029" t="s">
        <v>15</v>
      </c>
      <c r="Q1029" t="s">
        <v>398</v>
      </c>
    </row>
    <row r="1030" spans="1:18">
      <c r="A1030" t="s">
        <v>440</v>
      </c>
      <c r="C1030" t="s">
        <v>393</v>
      </c>
      <c r="E1030" t="s">
        <v>394</v>
      </c>
      <c r="F1030" t="s">
        <v>394</v>
      </c>
      <c r="G1030" t="s">
        <v>632</v>
      </c>
      <c r="H1030" t="s">
        <v>399</v>
      </c>
      <c r="K1030">
        <v>1966</v>
      </c>
      <c r="O1030">
        <v>52.430000000000007</v>
      </c>
      <c r="P1030" t="s">
        <v>15</v>
      </c>
      <c r="Q1030" t="s">
        <v>398</v>
      </c>
    </row>
    <row r="1031" spans="1:18">
      <c r="A1031" t="s">
        <v>440</v>
      </c>
      <c r="C1031" t="s">
        <v>393</v>
      </c>
      <c r="E1031" t="s">
        <v>394</v>
      </c>
      <c r="F1031" t="s">
        <v>394</v>
      </c>
      <c r="G1031" t="s">
        <v>456</v>
      </c>
      <c r="H1031" t="s">
        <v>399</v>
      </c>
      <c r="K1031">
        <v>1966</v>
      </c>
      <c r="O1031">
        <v>143.15</v>
      </c>
      <c r="P1031" t="s">
        <v>15</v>
      </c>
      <c r="Q1031" t="s">
        <v>398</v>
      </c>
    </row>
    <row r="1032" spans="1:18">
      <c r="A1032" t="s">
        <v>449</v>
      </c>
      <c r="C1032" t="s">
        <v>393</v>
      </c>
      <c r="E1032" t="s">
        <v>394</v>
      </c>
      <c r="F1032" t="s">
        <v>394</v>
      </c>
      <c r="G1032" t="s">
        <v>987</v>
      </c>
      <c r="H1032" t="s">
        <v>399</v>
      </c>
      <c r="K1032">
        <v>1966</v>
      </c>
      <c r="O1032">
        <v>0.48</v>
      </c>
      <c r="P1032" t="s">
        <v>15</v>
      </c>
      <c r="Q1032" t="s">
        <v>398</v>
      </c>
    </row>
    <row r="1033" spans="1:18">
      <c r="A1033" t="s">
        <v>449</v>
      </c>
      <c r="C1033" t="s">
        <v>393</v>
      </c>
      <c r="E1033" t="s">
        <v>394</v>
      </c>
      <c r="F1033" t="s">
        <v>394</v>
      </c>
      <c r="G1033" t="s">
        <v>432</v>
      </c>
      <c r="H1033" t="s">
        <v>399</v>
      </c>
      <c r="K1033">
        <v>1966</v>
      </c>
      <c r="O1033">
        <v>9.58</v>
      </c>
      <c r="P1033" t="s">
        <v>15</v>
      </c>
      <c r="Q1033" t="s">
        <v>398</v>
      </c>
    </row>
    <row r="1034" spans="1:18">
      <c r="A1034" t="s">
        <v>449</v>
      </c>
      <c r="C1034" t="s">
        <v>393</v>
      </c>
      <c r="E1034" t="s">
        <v>394</v>
      </c>
      <c r="F1034" t="s">
        <v>394</v>
      </c>
      <c r="G1034" t="s">
        <v>431</v>
      </c>
      <c r="H1034" t="s">
        <v>399</v>
      </c>
      <c r="K1034">
        <v>1966</v>
      </c>
      <c r="O1034">
        <v>13.45</v>
      </c>
      <c r="P1034" t="s">
        <v>15</v>
      </c>
      <c r="Q1034" t="s">
        <v>398</v>
      </c>
    </row>
    <row r="1035" spans="1:18">
      <c r="A1035" t="s">
        <v>454</v>
      </c>
      <c r="C1035" t="s">
        <v>393</v>
      </c>
      <c r="E1035" t="s">
        <v>394</v>
      </c>
      <c r="F1035" t="s">
        <v>394</v>
      </c>
      <c r="G1035" t="s">
        <v>395</v>
      </c>
      <c r="H1035" t="s">
        <v>396</v>
      </c>
      <c r="K1035">
        <v>1981</v>
      </c>
      <c r="O1035">
        <v>7.1099999999999994</v>
      </c>
      <c r="P1035" t="s">
        <v>15</v>
      </c>
      <c r="Q1035" t="s">
        <v>398</v>
      </c>
      <c r="R1035" t="s">
        <v>455</v>
      </c>
    </row>
    <row r="1036" spans="1:18">
      <c r="A1036" t="s">
        <v>454</v>
      </c>
      <c r="C1036" t="s">
        <v>393</v>
      </c>
      <c r="E1036" t="s">
        <v>394</v>
      </c>
      <c r="F1036" t="s">
        <v>394</v>
      </c>
      <c r="G1036" t="s">
        <v>395</v>
      </c>
      <c r="H1036" t="s">
        <v>399</v>
      </c>
      <c r="K1036">
        <v>1981</v>
      </c>
      <c r="O1036">
        <v>38.020000000000003</v>
      </c>
      <c r="P1036" t="s">
        <v>15</v>
      </c>
      <c r="Q1036" t="s">
        <v>398</v>
      </c>
    </row>
    <row r="1037" spans="1:18">
      <c r="A1037" t="s">
        <v>454</v>
      </c>
      <c r="C1037" t="s">
        <v>393</v>
      </c>
      <c r="E1037" t="s">
        <v>394</v>
      </c>
      <c r="F1037" t="s">
        <v>394</v>
      </c>
      <c r="G1037" t="s">
        <v>456</v>
      </c>
      <c r="H1037" t="s">
        <v>457</v>
      </c>
      <c r="K1037">
        <v>1981</v>
      </c>
      <c r="O1037">
        <v>7.68</v>
      </c>
      <c r="P1037" t="s">
        <v>15</v>
      </c>
      <c r="Q1037" t="s">
        <v>398</v>
      </c>
    </row>
    <row r="1038" spans="1:18">
      <c r="A1038" t="s">
        <v>454</v>
      </c>
      <c r="C1038" t="s">
        <v>393</v>
      </c>
      <c r="E1038" t="s">
        <v>394</v>
      </c>
      <c r="F1038" t="s">
        <v>394</v>
      </c>
      <c r="G1038" t="s">
        <v>456</v>
      </c>
      <c r="H1038" t="s">
        <v>399</v>
      </c>
      <c r="K1038">
        <v>1981</v>
      </c>
      <c r="O1038">
        <v>32.700000000000003</v>
      </c>
      <c r="P1038" t="s">
        <v>15</v>
      </c>
      <c r="Q1038" t="s">
        <v>398</v>
      </c>
    </row>
    <row r="1039" spans="1:18">
      <c r="A1039" t="s">
        <v>454</v>
      </c>
      <c r="C1039" t="s">
        <v>393</v>
      </c>
      <c r="E1039" t="s">
        <v>394</v>
      </c>
      <c r="F1039" t="s">
        <v>394</v>
      </c>
      <c r="G1039" t="s">
        <v>458</v>
      </c>
      <c r="H1039" t="s">
        <v>457</v>
      </c>
      <c r="K1039">
        <v>1981</v>
      </c>
      <c r="O1039">
        <v>24.759999999999998</v>
      </c>
      <c r="P1039" t="s">
        <v>15</v>
      </c>
      <c r="Q1039" t="s">
        <v>398</v>
      </c>
    </row>
    <row r="1040" spans="1:18">
      <c r="A1040" t="s">
        <v>454</v>
      </c>
      <c r="C1040" t="s">
        <v>393</v>
      </c>
      <c r="E1040" t="s">
        <v>394</v>
      </c>
      <c r="F1040" t="s">
        <v>394</v>
      </c>
      <c r="G1040" t="s">
        <v>458</v>
      </c>
      <c r="H1040" t="s">
        <v>457</v>
      </c>
      <c r="K1040">
        <v>1981</v>
      </c>
      <c r="O1040">
        <v>97.87</v>
      </c>
      <c r="P1040" t="s">
        <v>15</v>
      </c>
      <c r="Q1040" t="s">
        <v>398</v>
      </c>
    </row>
    <row r="1041" spans="1:18">
      <c r="A1041" t="s">
        <v>454</v>
      </c>
      <c r="C1041" t="s">
        <v>393</v>
      </c>
      <c r="E1041" t="s">
        <v>394</v>
      </c>
      <c r="F1041" t="s">
        <v>394</v>
      </c>
      <c r="G1041" t="s">
        <v>459</v>
      </c>
      <c r="H1041" t="s">
        <v>396</v>
      </c>
      <c r="K1041">
        <v>1981</v>
      </c>
      <c r="O1041">
        <v>9.3000000000000007</v>
      </c>
      <c r="P1041" t="s">
        <v>15</v>
      </c>
      <c r="Q1041" t="s">
        <v>398</v>
      </c>
      <c r="R1041" t="s">
        <v>455</v>
      </c>
    </row>
    <row r="1042" spans="1:18">
      <c r="A1042" t="s">
        <v>454</v>
      </c>
      <c r="C1042" t="s">
        <v>393</v>
      </c>
      <c r="E1042" t="s">
        <v>394</v>
      </c>
      <c r="F1042" t="s">
        <v>394</v>
      </c>
      <c r="G1042" t="s">
        <v>459</v>
      </c>
      <c r="H1042" t="s">
        <v>399</v>
      </c>
      <c r="K1042">
        <v>1981</v>
      </c>
      <c r="O1042">
        <v>46</v>
      </c>
      <c r="P1042" t="s">
        <v>15</v>
      </c>
      <c r="Q1042" t="s">
        <v>398</v>
      </c>
    </row>
    <row r="1043" spans="1:18">
      <c r="A1043" t="s">
        <v>460</v>
      </c>
      <c r="C1043" t="s">
        <v>393</v>
      </c>
      <c r="E1043" t="s">
        <v>394</v>
      </c>
      <c r="F1043" t="s">
        <v>394</v>
      </c>
      <c r="G1043" t="s">
        <v>452</v>
      </c>
      <c r="H1043" t="s">
        <v>399</v>
      </c>
      <c r="K1043">
        <v>1975</v>
      </c>
      <c r="O1043">
        <v>6.4</v>
      </c>
      <c r="P1043" t="s">
        <v>15</v>
      </c>
      <c r="Q1043" t="s">
        <v>398</v>
      </c>
    </row>
    <row r="1044" spans="1:18">
      <c r="A1044" t="s">
        <v>460</v>
      </c>
      <c r="C1044" t="s">
        <v>393</v>
      </c>
      <c r="E1044" t="s">
        <v>394</v>
      </c>
      <c r="F1044" t="s">
        <v>394</v>
      </c>
      <c r="G1044" t="s">
        <v>452</v>
      </c>
      <c r="H1044" t="s">
        <v>457</v>
      </c>
      <c r="K1044">
        <v>1975</v>
      </c>
      <c r="O1044">
        <v>10.1</v>
      </c>
      <c r="P1044" t="s">
        <v>15</v>
      </c>
      <c r="Q1044" t="s">
        <v>398</v>
      </c>
    </row>
    <row r="1045" spans="1:18">
      <c r="A1045" t="s">
        <v>461</v>
      </c>
      <c r="C1045" t="s">
        <v>393</v>
      </c>
      <c r="E1045" t="s">
        <v>394</v>
      </c>
      <c r="F1045" t="s">
        <v>394</v>
      </c>
      <c r="G1045" t="s">
        <v>456</v>
      </c>
      <c r="H1045" t="s">
        <v>399</v>
      </c>
      <c r="K1045">
        <v>1975</v>
      </c>
      <c r="O1045">
        <v>4.9000000000000004</v>
      </c>
      <c r="P1045" t="s">
        <v>15</v>
      </c>
      <c r="Q1045" t="s">
        <v>398</v>
      </c>
    </row>
    <row r="1046" spans="1:18">
      <c r="A1046" t="s">
        <v>461</v>
      </c>
      <c r="C1046" t="s">
        <v>393</v>
      </c>
      <c r="E1046" t="s">
        <v>394</v>
      </c>
      <c r="F1046" t="s">
        <v>394</v>
      </c>
      <c r="G1046" t="s">
        <v>456</v>
      </c>
      <c r="H1046" t="s">
        <v>457</v>
      </c>
      <c r="K1046">
        <v>1975</v>
      </c>
      <c r="O1046">
        <v>59.5</v>
      </c>
      <c r="P1046" t="s">
        <v>15</v>
      </c>
      <c r="Q1046" t="s">
        <v>398</v>
      </c>
    </row>
    <row r="1047" spans="1:18">
      <c r="A1047" t="s">
        <v>461</v>
      </c>
      <c r="C1047" t="s">
        <v>393</v>
      </c>
      <c r="E1047" t="s">
        <v>394</v>
      </c>
      <c r="F1047" t="s">
        <v>394</v>
      </c>
      <c r="G1047" t="s">
        <v>462</v>
      </c>
      <c r="H1047" t="s">
        <v>457</v>
      </c>
      <c r="K1047">
        <v>1975</v>
      </c>
      <c r="O1047">
        <v>0.2</v>
      </c>
      <c r="P1047" t="s">
        <v>15</v>
      </c>
      <c r="Q1047" t="s">
        <v>398</v>
      </c>
    </row>
    <row r="1048" spans="1:18">
      <c r="A1048" t="s">
        <v>461</v>
      </c>
      <c r="C1048" t="s">
        <v>393</v>
      </c>
      <c r="E1048" t="s">
        <v>394</v>
      </c>
      <c r="F1048" t="s">
        <v>394</v>
      </c>
      <c r="G1048" t="s">
        <v>462</v>
      </c>
      <c r="H1048" t="s">
        <v>399</v>
      </c>
      <c r="K1048">
        <v>1975</v>
      </c>
      <c r="O1048">
        <v>155.29999999999998</v>
      </c>
      <c r="P1048" t="s">
        <v>15</v>
      </c>
      <c r="Q1048" t="s">
        <v>398</v>
      </c>
    </row>
    <row r="1049" spans="1:18">
      <c r="A1049" t="s">
        <v>463</v>
      </c>
      <c r="C1049" t="s">
        <v>393</v>
      </c>
      <c r="D1049" t="s">
        <v>464</v>
      </c>
      <c r="E1049" t="s">
        <v>394</v>
      </c>
      <c r="F1049" t="s">
        <v>394</v>
      </c>
      <c r="G1049" t="s">
        <v>465</v>
      </c>
      <c r="I1049">
        <v>69.590556000000007</v>
      </c>
      <c r="J1049">
        <v>-165.33397199999999</v>
      </c>
      <c r="K1049">
        <v>1975</v>
      </c>
      <c r="M1049">
        <v>38</v>
      </c>
      <c r="O1049" t="s">
        <v>163</v>
      </c>
      <c r="P1049" t="s">
        <v>15</v>
      </c>
      <c r="Q1049" t="s">
        <v>403</v>
      </c>
    </row>
    <row r="1050" spans="1:18">
      <c r="A1050" t="s">
        <v>463</v>
      </c>
      <c r="C1050" t="s">
        <v>393</v>
      </c>
      <c r="D1050" t="s">
        <v>464</v>
      </c>
      <c r="E1050" t="s">
        <v>394</v>
      </c>
      <c r="F1050" t="s">
        <v>394</v>
      </c>
      <c r="G1050" t="s">
        <v>466</v>
      </c>
      <c r="I1050">
        <v>69.590556000000007</v>
      </c>
      <c r="J1050">
        <v>-165.33397199999999</v>
      </c>
      <c r="K1050">
        <v>1975</v>
      </c>
      <c r="M1050">
        <v>38</v>
      </c>
      <c r="O1050" t="s">
        <v>163</v>
      </c>
      <c r="P1050" t="s">
        <v>15</v>
      </c>
      <c r="Q1050" t="s">
        <v>403</v>
      </c>
    </row>
    <row r="1051" spans="1:18">
      <c r="A1051" t="s">
        <v>463</v>
      </c>
      <c r="C1051" t="s">
        <v>393</v>
      </c>
      <c r="D1051" t="s">
        <v>464</v>
      </c>
      <c r="E1051" t="s">
        <v>394</v>
      </c>
      <c r="F1051" t="s">
        <v>394</v>
      </c>
      <c r="G1051" t="s">
        <v>443</v>
      </c>
      <c r="I1051">
        <v>69.590556000000007</v>
      </c>
      <c r="J1051">
        <v>-165.33397199999999</v>
      </c>
      <c r="K1051">
        <v>1975</v>
      </c>
      <c r="M1051">
        <v>38</v>
      </c>
      <c r="O1051" t="s">
        <v>163</v>
      </c>
      <c r="P1051" t="s">
        <v>15</v>
      </c>
      <c r="Q1051" t="s">
        <v>403</v>
      </c>
    </row>
    <row r="1052" spans="1:18">
      <c r="A1052" t="s">
        <v>463</v>
      </c>
      <c r="C1052" t="s">
        <v>393</v>
      </c>
      <c r="D1052" t="s">
        <v>464</v>
      </c>
      <c r="E1052" t="s">
        <v>394</v>
      </c>
      <c r="F1052" t="s">
        <v>394</v>
      </c>
      <c r="G1052" t="s">
        <v>988</v>
      </c>
      <c r="I1052">
        <v>69.590556000000007</v>
      </c>
      <c r="J1052">
        <v>-165.33397199999999</v>
      </c>
      <c r="K1052">
        <v>1975</v>
      </c>
      <c r="M1052">
        <v>38</v>
      </c>
      <c r="O1052" t="s">
        <v>163</v>
      </c>
      <c r="P1052" t="s">
        <v>15</v>
      </c>
      <c r="Q1052" t="s">
        <v>403</v>
      </c>
    </row>
    <row r="1053" spans="1:18">
      <c r="A1053" t="s">
        <v>463</v>
      </c>
      <c r="C1053" t="s">
        <v>393</v>
      </c>
      <c r="D1053" t="s">
        <v>464</v>
      </c>
      <c r="E1053" t="s">
        <v>394</v>
      </c>
      <c r="F1053" t="s">
        <v>394</v>
      </c>
      <c r="G1053" t="s">
        <v>989</v>
      </c>
      <c r="I1053">
        <v>69.590556000000007</v>
      </c>
      <c r="J1053">
        <v>-165.33397199999999</v>
      </c>
      <c r="K1053">
        <v>1975</v>
      </c>
      <c r="M1053">
        <v>38</v>
      </c>
      <c r="O1053" t="s">
        <v>163</v>
      </c>
      <c r="P1053" t="s">
        <v>15</v>
      </c>
      <c r="Q1053" t="s">
        <v>403</v>
      </c>
    </row>
    <row r="1054" spans="1:18">
      <c r="A1054" t="s">
        <v>463</v>
      </c>
      <c r="C1054" t="s">
        <v>393</v>
      </c>
      <c r="D1054" t="s">
        <v>464</v>
      </c>
      <c r="E1054" t="s">
        <v>394</v>
      </c>
      <c r="F1054" t="s">
        <v>394</v>
      </c>
      <c r="G1054" t="s">
        <v>465</v>
      </c>
      <c r="I1054">
        <v>69.590556000000007</v>
      </c>
      <c r="J1054">
        <v>-165.33397199999999</v>
      </c>
      <c r="K1054">
        <v>1975</v>
      </c>
      <c r="M1054">
        <v>38</v>
      </c>
      <c r="O1054" t="s">
        <v>163</v>
      </c>
      <c r="P1054" t="s">
        <v>15</v>
      </c>
      <c r="Q1054" t="s">
        <v>403</v>
      </c>
    </row>
    <row r="1055" spans="1:18">
      <c r="A1055" t="s">
        <v>463</v>
      </c>
      <c r="C1055" t="s">
        <v>393</v>
      </c>
      <c r="D1055" t="s">
        <v>464</v>
      </c>
      <c r="E1055" t="s">
        <v>394</v>
      </c>
      <c r="F1055" t="s">
        <v>394</v>
      </c>
      <c r="G1055" t="s">
        <v>466</v>
      </c>
      <c r="I1055">
        <v>69.590556000000007</v>
      </c>
      <c r="J1055">
        <v>-165.33397199999999</v>
      </c>
      <c r="K1055">
        <v>1975</v>
      </c>
      <c r="M1055">
        <v>38</v>
      </c>
      <c r="O1055" t="s">
        <v>163</v>
      </c>
      <c r="P1055" t="s">
        <v>15</v>
      </c>
      <c r="Q1055" t="s">
        <v>403</v>
      </c>
    </row>
    <row r="1056" spans="1:18">
      <c r="A1056" t="s">
        <v>463</v>
      </c>
      <c r="C1056" t="s">
        <v>393</v>
      </c>
      <c r="D1056" t="s">
        <v>464</v>
      </c>
      <c r="E1056" t="s">
        <v>394</v>
      </c>
      <c r="F1056" t="s">
        <v>394</v>
      </c>
      <c r="G1056" t="s">
        <v>443</v>
      </c>
      <c r="I1056">
        <v>69.590556000000007</v>
      </c>
      <c r="J1056">
        <v>-165.33397199999999</v>
      </c>
      <c r="K1056">
        <v>1975</v>
      </c>
      <c r="M1056">
        <v>38</v>
      </c>
      <c r="O1056" t="s">
        <v>163</v>
      </c>
      <c r="P1056" t="s">
        <v>15</v>
      </c>
      <c r="Q1056" t="s">
        <v>403</v>
      </c>
    </row>
    <row r="1057" spans="1:17">
      <c r="A1057" t="s">
        <v>463</v>
      </c>
      <c r="C1057" t="s">
        <v>393</v>
      </c>
      <c r="D1057" t="s">
        <v>464</v>
      </c>
      <c r="E1057" t="s">
        <v>394</v>
      </c>
      <c r="F1057" t="s">
        <v>394</v>
      </c>
      <c r="G1057" t="s">
        <v>988</v>
      </c>
      <c r="I1057">
        <v>69.590556000000007</v>
      </c>
      <c r="J1057">
        <v>-165.33397199999999</v>
      </c>
      <c r="K1057">
        <v>1975</v>
      </c>
      <c r="M1057">
        <v>38</v>
      </c>
      <c r="O1057" t="s">
        <v>163</v>
      </c>
      <c r="P1057" t="s">
        <v>15</v>
      </c>
      <c r="Q1057" t="s">
        <v>403</v>
      </c>
    </row>
    <row r="1058" spans="1:17">
      <c r="A1058" t="s">
        <v>463</v>
      </c>
      <c r="C1058" t="s">
        <v>393</v>
      </c>
      <c r="D1058" t="s">
        <v>464</v>
      </c>
      <c r="E1058" t="s">
        <v>394</v>
      </c>
      <c r="F1058" t="s">
        <v>394</v>
      </c>
      <c r="G1058" t="s">
        <v>989</v>
      </c>
      <c r="I1058">
        <v>69.590556000000007</v>
      </c>
      <c r="J1058">
        <v>-165.33397199999999</v>
      </c>
      <c r="K1058">
        <v>1975</v>
      </c>
      <c r="M1058">
        <v>38</v>
      </c>
      <c r="O1058" t="s">
        <v>163</v>
      </c>
      <c r="P1058" t="s">
        <v>15</v>
      </c>
      <c r="Q1058" t="s">
        <v>403</v>
      </c>
    </row>
    <row r="1059" spans="1:17">
      <c r="A1059" t="s">
        <v>463</v>
      </c>
      <c r="C1059" t="s">
        <v>393</v>
      </c>
      <c r="D1059" t="s">
        <v>464</v>
      </c>
      <c r="E1059" t="s">
        <v>394</v>
      </c>
      <c r="F1059" t="s">
        <v>394</v>
      </c>
      <c r="G1059" t="s">
        <v>465</v>
      </c>
      <c r="I1059">
        <v>69.590556000000007</v>
      </c>
      <c r="J1059">
        <v>-165.33397199999999</v>
      </c>
      <c r="K1059">
        <v>1975</v>
      </c>
      <c r="M1059">
        <v>38</v>
      </c>
      <c r="O1059" t="s">
        <v>163</v>
      </c>
      <c r="P1059" t="s">
        <v>15</v>
      </c>
      <c r="Q1059" t="s">
        <v>403</v>
      </c>
    </row>
    <row r="1060" spans="1:17">
      <c r="A1060" t="s">
        <v>463</v>
      </c>
      <c r="C1060" t="s">
        <v>393</v>
      </c>
      <c r="D1060" t="s">
        <v>464</v>
      </c>
      <c r="E1060" t="s">
        <v>394</v>
      </c>
      <c r="F1060" t="s">
        <v>394</v>
      </c>
      <c r="G1060" t="s">
        <v>466</v>
      </c>
      <c r="I1060">
        <v>69.590556000000007</v>
      </c>
      <c r="J1060">
        <v>-165.33397199999999</v>
      </c>
      <c r="K1060">
        <v>1975</v>
      </c>
      <c r="M1060">
        <v>38</v>
      </c>
      <c r="O1060" t="s">
        <v>163</v>
      </c>
      <c r="P1060" t="s">
        <v>15</v>
      </c>
      <c r="Q1060" t="s">
        <v>403</v>
      </c>
    </row>
    <row r="1061" spans="1:17">
      <c r="A1061" t="s">
        <v>463</v>
      </c>
      <c r="C1061" t="s">
        <v>393</v>
      </c>
      <c r="D1061" t="s">
        <v>464</v>
      </c>
      <c r="E1061" t="s">
        <v>394</v>
      </c>
      <c r="F1061" t="s">
        <v>394</v>
      </c>
      <c r="G1061" t="s">
        <v>443</v>
      </c>
      <c r="I1061">
        <v>69.590556000000007</v>
      </c>
      <c r="J1061">
        <v>-165.33397199999999</v>
      </c>
      <c r="K1061">
        <v>1975</v>
      </c>
      <c r="M1061">
        <v>38</v>
      </c>
      <c r="O1061" t="s">
        <v>163</v>
      </c>
      <c r="P1061" t="s">
        <v>15</v>
      </c>
      <c r="Q1061" t="s">
        <v>403</v>
      </c>
    </row>
    <row r="1062" spans="1:17">
      <c r="A1062" t="s">
        <v>463</v>
      </c>
      <c r="C1062" t="s">
        <v>393</v>
      </c>
      <c r="D1062" t="s">
        <v>464</v>
      </c>
      <c r="E1062" t="s">
        <v>394</v>
      </c>
      <c r="F1062" t="s">
        <v>394</v>
      </c>
      <c r="G1062" t="s">
        <v>988</v>
      </c>
      <c r="I1062">
        <v>69.590556000000007</v>
      </c>
      <c r="J1062">
        <v>-165.33397199999999</v>
      </c>
      <c r="K1062">
        <v>1975</v>
      </c>
      <c r="M1062">
        <v>38</v>
      </c>
      <c r="O1062" t="s">
        <v>163</v>
      </c>
      <c r="P1062" t="s">
        <v>15</v>
      </c>
      <c r="Q1062" t="s">
        <v>403</v>
      </c>
    </row>
    <row r="1063" spans="1:17">
      <c r="A1063" t="s">
        <v>463</v>
      </c>
      <c r="C1063" t="s">
        <v>393</v>
      </c>
      <c r="D1063" t="s">
        <v>464</v>
      </c>
      <c r="E1063" t="s">
        <v>394</v>
      </c>
      <c r="F1063" t="s">
        <v>394</v>
      </c>
      <c r="G1063" t="s">
        <v>989</v>
      </c>
      <c r="I1063">
        <v>69.590556000000007</v>
      </c>
      <c r="J1063">
        <v>-165.33397199999999</v>
      </c>
      <c r="K1063">
        <v>1975</v>
      </c>
      <c r="M1063">
        <v>38</v>
      </c>
      <c r="O1063" t="s">
        <v>163</v>
      </c>
      <c r="P1063" t="s">
        <v>15</v>
      </c>
      <c r="Q1063" t="s">
        <v>403</v>
      </c>
    </row>
    <row r="1064" spans="1:17">
      <c r="A1064" t="s">
        <v>463</v>
      </c>
      <c r="C1064" t="s">
        <v>393</v>
      </c>
      <c r="D1064" t="s">
        <v>464</v>
      </c>
      <c r="E1064" t="s">
        <v>394</v>
      </c>
      <c r="F1064" t="s">
        <v>394</v>
      </c>
      <c r="G1064" t="s">
        <v>443</v>
      </c>
      <c r="I1064">
        <v>69.590556000000007</v>
      </c>
      <c r="J1064">
        <v>-165.33397199999999</v>
      </c>
      <c r="K1064">
        <v>1975</v>
      </c>
      <c r="M1064">
        <v>38</v>
      </c>
      <c r="O1064" t="s">
        <v>163</v>
      </c>
      <c r="P1064" t="s">
        <v>15</v>
      </c>
      <c r="Q1064" t="s">
        <v>403</v>
      </c>
    </row>
    <row r="1065" spans="1:17">
      <c r="A1065" t="s">
        <v>463</v>
      </c>
      <c r="C1065" t="s">
        <v>393</v>
      </c>
      <c r="D1065" t="s">
        <v>464</v>
      </c>
      <c r="E1065" t="s">
        <v>394</v>
      </c>
      <c r="F1065" t="s">
        <v>394</v>
      </c>
      <c r="G1065" t="s">
        <v>988</v>
      </c>
      <c r="I1065">
        <v>69.590556000000007</v>
      </c>
      <c r="J1065">
        <v>-165.33397199999999</v>
      </c>
      <c r="K1065">
        <v>1975</v>
      </c>
      <c r="M1065">
        <v>38</v>
      </c>
      <c r="O1065" t="s">
        <v>163</v>
      </c>
      <c r="P1065" t="s">
        <v>15</v>
      </c>
      <c r="Q1065" t="s">
        <v>403</v>
      </c>
    </row>
    <row r="1066" spans="1:17">
      <c r="A1066" t="s">
        <v>463</v>
      </c>
      <c r="C1066" t="s">
        <v>393</v>
      </c>
      <c r="D1066" t="s">
        <v>464</v>
      </c>
      <c r="E1066" t="s">
        <v>394</v>
      </c>
      <c r="F1066" t="s">
        <v>394</v>
      </c>
      <c r="G1066" t="s">
        <v>989</v>
      </c>
      <c r="I1066">
        <v>69.590556000000007</v>
      </c>
      <c r="J1066">
        <v>-165.33397199999999</v>
      </c>
      <c r="K1066">
        <v>1975</v>
      </c>
      <c r="M1066">
        <v>38</v>
      </c>
      <c r="O1066" t="s">
        <v>163</v>
      </c>
      <c r="P1066" t="s">
        <v>15</v>
      </c>
      <c r="Q1066" t="s">
        <v>403</v>
      </c>
    </row>
    <row r="1067" spans="1:17">
      <c r="A1067" t="s">
        <v>467</v>
      </c>
      <c r="C1067" t="s">
        <v>393</v>
      </c>
      <c r="D1067" t="s">
        <v>468</v>
      </c>
      <c r="E1067" t="s">
        <v>394</v>
      </c>
      <c r="F1067" t="s">
        <v>394</v>
      </c>
      <c r="G1067" t="s">
        <v>469</v>
      </c>
      <c r="I1067">
        <v>62.95</v>
      </c>
      <c r="J1067">
        <v>-82</v>
      </c>
      <c r="K1067">
        <v>1984</v>
      </c>
      <c r="M1067">
        <v>23</v>
      </c>
      <c r="O1067" t="s">
        <v>163</v>
      </c>
      <c r="P1067" t="s">
        <v>15</v>
      </c>
      <c r="Q1067" t="s">
        <v>403</v>
      </c>
    </row>
    <row r="1068" spans="1:17">
      <c r="A1068" t="s">
        <v>467</v>
      </c>
      <c r="C1068" t="s">
        <v>393</v>
      </c>
      <c r="D1068" t="s">
        <v>468</v>
      </c>
      <c r="E1068" t="s">
        <v>394</v>
      </c>
      <c r="F1068" t="s">
        <v>394</v>
      </c>
      <c r="G1068" t="s">
        <v>469</v>
      </c>
      <c r="I1068">
        <v>62.95</v>
      </c>
      <c r="J1068">
        <v>-82</v>
      </c>
      <c r="K1068">
        <v>1984</v>
      </c>
      <c r="M1068">
        <v>23</v>
      </c>
      <c r="O1068" t="s">
        <v>163</v>
      </c>
      <c r="P1068" t="s">
        <v>15</v>
      </c>
      <c r="Q1068" t="s">
        <v>403</v>
      </c>
    </row>
    <row r="1069" spans="1:17">
      <c r="A1069" t="s">
        <v>470</v>
      </c>
      <c r="C1069" t="s">
        <v>393</v>
      </c>
      <c r="E1069" t="s">
        <v>394</v>
      </c>
      <c r="F1069" t="s">
        <v>394</v>
      </c>
      <c r="G1069" t="s">
        <v>471</v>
      </c>
      <c r="H1069" t="s">
        <v>399</v>
      </c>
      <c r="K1069">
        <v>1974</v>
      </c>
      <c r="O1069">
        <v>10.43</v>
      </c>
      <c r="P1069" t="s">
        <v>15</v>
      </c>
      <c r="Q1069" t="s">
        <v>398</v>
      </c>
    </row>
    <row r="1070" spans="1:17">
      <c r="A1070" t="s">
        <v>470</v>
      </c>
      <c r="C1070" t="s">
        <v>393</v>
      </c>
      <c r="E1070" t="s">
        <v>394</v>
      </c>
      <c r="F1070" t="s">
        <v>394</v>
      </c>
      <c r="G1070" t="s">
        <v>476</v>
      </c>
      <c r="H1070" t="s">
        <v>399</v>
      </c>
      <c r="K1070">
        <v>1974</v>
      </c>
      <c r="O1070">
        <v>17.079999999999998</v>
      </c>
      <c r="P1070" t="s">
        <v>15</v>
      </c>
      <c r="Q1070" t="s">
        <v>398</v>
      </c>
    </row>
    <row r="1071" spans="1:17">
      <c r="A1071" t="s">
        <v>470</v>
      </c>
      <c r="C1071" t="s">
        <v>393</v>
      </c>
      <c r="E1071" t="s">
        <v>394</v>
      </c>
      <c r="F1071" t="s">
        <v>394</v>
      </c>
      <c r="G1071" t="s">
        <v>471</v>
      </c>
      <c r="H1071" t="s">
        <v>399</v>
      </c>
      <c r="K1071">
        <v>1986</v>
      </c>
      <c r="O1071">
        <v>20.84</v>
      </c>
      <c r="P1071" t="s">
        <v>15</v>
      </c>
      <c r="Q1071" t="s">
        <v>398</v>
      </c>
    </row>
    <row r="1072" spans="1:17">
      <c r="A1072" t="s">
        <v>470</v>
      </c>
      <c r="C1072" t="s">
        <v>393</v>
      </c>
      <c r="E1072" t="s">
        <v>394</v>
      </c>
      <c r="F1072" t="s">
        <v>394</v>
      </c>
      <c r="G1072" t="s">
        <v>990</v>
      </c>
      <c r="H1072" t="s">
        <v>399</v>
      </c>
      <c r="K1072">
        <v>1986</v>
      </c>
      <c r="O1072">
        <v>24.88</v>
      </c>
      <c r="P1072" t="s">
        <v>15</v>
      </c>
      <c r="Q1072" t="s">
        <v>398</v>
      </c>
    </row>
    <row r="1073" spans="1:17">
      <c r="A1073" t="s">
        <v>470</v>
      </c>
      <c r="C1073" t="s">
        <v>393</v>
      </c>
      <c r="E1073" t="s">
        <v>394</v>
      </c>
      <c r="F1073" t="s">
        <v>394</v>
      </c>
      <c r="G1073" t="s">
        <v>990</v>
      </c>
      <c r="H1073" t="s">
        <v>399</v>
      </c>
      <c r="K1073">
        <v>1974</v>
      </c>
      <c r="O1073">
        <v>25</v>
      </c>
      <c r="P1073" t="s">
        <v>15</v>
      </c>
      <c r="Q1073" t="s">
        <v>398</v>
      </c>
    </row>
    <row r="1074" spans="1:17">
      <c r="A1074" t="s">
        <v>470</v>
      </c>
      <c r="C1074" t="s">
        <v>393</v>
      </c>
      <c r="E1074" t="s">
        <v>394</v>
      </c>
      <c r="F1074" t="s">
        <v>394</v>
      </c>
      <c r="G1074" t="s">
        <v>990</v>
      </c>
      <c r="H1074" t="s">
        <v>399</v>
      </c>
      <c r="K1074">
        <v>1974</v>
      </c>
      <c r="O1074">
        <v>25.689999999999998</v>
      </c>
      <c r="P1074" t="s">
        <v>15</v>
      </c>
      <c r="Q1074" t="s">
        <v>398</v>
      </c>
    </row>
    <row r="1075" spans="1:17">
      <c r="A1075" t="s">
        <v>470</v>
      </c>
      <c r="C1075" t="s">
        <v>393</v>
      </c>
      <c r="E1075" t="s">
        <v>394</v>
      </c>
      <c r="F1075" t="s">
        <v>394</v>
      </c>
      <c r="G1075" t="s">
        <v>476</v>
      </c>
      <c r="H1075" t="s">
        <v>399</v>
      </c>
      <c r="K1075">
        <v>1974</v>
      </c>
      <c r="O1075">
        <v>41.54</v>
      </c>
      <c r="P1075" t="s">
        <v>15</v>
      </c>
      <c r="Q1075" t="s">
        <v>398</v>
      </c>
    </row>
    <row r="1076" spans="1:17">
      <c r="A1076" t="s">
        <v>470</v>
      </c>
      <c r="C1076" t="s">
        <v>393</v>
      </c>
      <c r="E1076" t="s">
        <v>394</v>
      </c>
      <c r="F1076" t="s">
        <v>394</v>
      </c>
      <c r="G1076" t="s">
        <v>476</v>
      </c>
      <c r="H1076" t="s">
        <v>399</v>
      </c>
      <c r="K1076">
        <v>1986</v>
      </c>
      <c r="O1076">
        <v>53.26</v>
      </c>
      <c r="P1076" t="s">
        <v>15</v>
      </c>
      <c r="Q1076" t="s">
        <v>398</v>
      </c>
    </row>
    <row r="1077" spans="1:17">
      <c r="A1077" t="s">
        <v>472</v>
      </c>
      <c r="C1077" t="s">
        <v>393</v>
      </c>
      <c r="E1077" t="s">
        <v>394</v>
      </c>
      <c r="F1077" t="s">
        <v>394</v>
      </c>
      <c r="G1077" t="s">
        <v>474</v>
      </c>
      <c r="H1077" t="s">
        <v>399</v>
      </c>
      <c r="K1077">
        <v>1974</v>
      </c>
      <c r="O1077">
        <v>2.06</v>
      </c>
      <c r="P1077" t="s">
        <v>15</v>
      </c>
      <c r="Q1077" t="s">
        <v>398</v>
      </c>
    </row>
    <row r="1078" spans="1:17">
      <c r="A1078" t="s">
        <v>472</v>
      </c>
      <c r="C1078" t="s">
        <v>393</v>
      </c>
      <c r="E1078" t="s">
        <v>394</v>
      </c>
      <c r="F1078" t="s">
        <v>394</v>
      </c>
      <c r="G1078" t="s">
        <v>474</v>
      </c>
      <c r="H1078" t="s">
        <v>399</v>
      </c>
      <c r="K1078">
        <v>1986</v>
      </c>
      <c r="O1078">
        <v>3.12</v>
      </c>
      <c r="P1078" t="s">
        <v>15</v>
      </c>
      <c r="Q1078" t="s">
        <v>398</v>
      </c>
    </row>
    <row r="1079" spans="1:17">
      <c r="A1079" t="s">
        <v>472</v>
      </c>
      <c r="C1079" t="s">
        <v>393</v>
      </c>
      <c r="E1079" t="s">
        <v>394</v>
      </c>
      <c r="F1079" t="s">
        <v>394</v>
      </c>
      <c r="G1079" t="s">
        <v>473</v>
      </c>
      <c r="H1079" t="s">
        <v>399</v>
      </c>
      <c r="K1079">
        <v>1974</v>
      </c>
      <c r="O1079">
        <v>7.1099999999999994</v>
      </c>
      <c r="P1079" t="s">
        <v>15</v>
      </c>
      <c r="Q1079" t="s">
        <v>398</v>
      </c>
    </row>
    <row r="1080" spans="1:17">
      <c r="A1080" t="s">
        <v>472</v>
      </c>
      <c r="C1080" t="s">
        <v>393</v>
      </c>
      <c r="E1080" t="s">
        <v>394</v>
      </c>
      <c r="F1080" t="s">
        <v>394</v>
      </c>
      <c r="G1080" t="s">
        <v>433</v>
      </c>
      <c r="H1080" t="s">
        <v>399</v>
      </c>
      <c r="K1080">
        <v>1986</v>
      </c>
      <c r="O1080">
        <v>7.3</v>
      </c>
      <c r="P1080" t="s">
        <v>15</v>
      </c>
      <c r="Q1080" t="s">
        <v>398</v>
      </c>
    </row>
    <row r="1081" spans="1:17">
      <c r="A1081" t="s">
        <v>472</v>
      </c>
      <c r="C1081" t="s">
        <v>393</v>
      </c>
      <c r="E1081" t="s">
        <v>394</v>
      </c>
      <c r="F1081" t="s">
        <v>394</v>
      </c>
      <c r="G1081" t="s">
        <v>431</v>
      </c>
      <c r="H1081" t="s">
        <v>399</v>
      </c>
      <c r="K1081">
        <v>1974</v>
      </c>
      <c r="O1081">
        <v>8.25</v>
      </c>
      <c r="P1081" t="s">
        <v>15</v>
      </c>
      <c r="Q1081" t="s">
        <v>398</v>
      </c>
    </row>
    <row r="1082" spans="1:17">
      <c r="A1082" t="s">
        <v>472</v>
      </c>
      <c r="C1082" t="s">
        <v>393</v>
      </c>
      <c r="E1082" t="s">
        <v>394</v>
      </c>
      <c r="F1082" t="s">
        <v>394</v>
      </c>
      <c r="G1082" t="s">
        <v>459</v>
      </c>
      <c r="H1082" t="s">
        <v>399</v>
      </c>
      <c r="K1082">
        <v>1986</v>
      </c>
      <c r="O1082">
        <v>10.049999999999999</v>
      </c>
      <c r="P1082" t="s">
        <v>15</v>
      </c>
      <c r="Q1082" t="s">
        <v>398</v>
      </c>
    </row>
    <row r="1083" spans="1:17">
      <c r="A1083" t="s">
        <v>472</v>
      </c>
      <c r="C1083" t="s">
        <v>393</v>
      </c>
      <c r="E1083" t="s">
        <v>394</v>
      </c>
      <c r="F1083" t="s">
        <v>394</v>
      </c>
      <c r="G1083" t="s">
        <v>473</v>
      </c>
      <c r="H1083" t="s">
        <v>399</v>
      </c>
      <c r="K1083">
        <v>1986</v>
      </c>
      <c r="O1083">
        <v>13.260000000000002</v>
      </c>
      <c r="P1083" t="s">
        <v>15</v>
      </c>
      <c r="Q1083" t="s">
        <v>398</v>
      </c>
    </row>
    <row r="1084" spans="1:17">
      <c r="A1084" t="s">
        <v>472</v>
      </c>
      <c r="C1084" t="s">
        <v>393</v>
      </c>
      <c r="E1084" t="s">
        <v>394</v>
      </c>
      <c r="F1084" t="s">
        <v>394</v>
      </c>
      <c r="G1084" t="s">
        <v>433</v>
      </c>
      <c r="H1084" t="s">
        <v>399</v>
      </c>
      <c r="K1084">
        <v>1974</v>
      </c>
      <c r="O1084">
        <v>14.770000000000001</v>
      </c>
      <c r="P1084" t="s">
        <v>15</v>
      </c>
      <c r="Q1084" t="s">
        <v>398</v>
      </c>
    </row>
    <row r="1085" spans="1:17">
      <c r="A1085" t="s">
        <v>472</v>
      </c>
      <c r="C1085" t="s">
        <v>393</v>
      </c>
      <c r="E1085" t="s">
        <v>394</v>
      </c>
      <c r="F1085" t="s">
        <v>394</v>
      </c>
      <c r="G1085" t="s">
        <v>459</v>
      </c>
      <c r="H1085" t="s">
        <v>399</v>
      </c>
      <c r="K1085">
        <v>1974</v>
      </c>
      <c r="O1085">
        <v>15.229999999999999</v>
      </c>
      <c r="P1085" t="s">
        <v>15</v>
      </c>
      <c r="Q1085" t="s">
        <v>398</v>
      </c>
    </row>
    <row r="1086" spans="1:17">
      <c r="A1086" t="s">
        <v>472</v>
      </c>
      <c r="C1086" t="s">
        <v>393</v>
      </c>
      <c r="E1086" t="s">
        <v>394</v>
      </c>
      <c r="F1086" t="s">
        <v>394</v>
      </c>
      <c r="G1086" t="s">
        <v>432</v>
      </c>
      <c r="H1086" t="s">
        <v>399</v>
      </c>
      <c r="K1086">
        <v>1974</v>
      </c>
      <c r="O1086">
        <v>20.830000000000002</v>
      </c>
      <c r="P1086" t="s">
        <v>15</v>
      </c>
      <c r="Q1086" t="s">
        <v>398</v>
      </c>
    </row>
    <row r="1087" spans="1:17">
      <c r="A1087" t="s">
        <v>472</v>
      </c>
      <c r="C1087" t="s">
        <v>393</v>
      </c>
      <c r="E1087" t="s">
        <v>394</v>
      </c>
      <c r="F1087" t="s">
        <v>394</v>
      </c>
      <c r="G1087" t="s">
        <v>432</v>
      </c>
      <c r="H1087" t="s">
        <v>399</v>
      </c>
      <c r="K1087">
        <v>1986</v>
      </c>
      <c r="O1087">
        <v>22.330000000000002</v>
      </c>
      <c r="P1087" t="s">
        <v>15</v>
      </c>
      <c r="Q1087" t="s">
        <v>398</v>
      </c>
    </row>
    <row r="1088" spans="1:17">
      <c r="A1088" t="s">
        <v>472</v>
      </c>
      <c r="C1088" t="s">
        <v>393</v>
      </c>
      <c r="E1088" t="s">
        <v>394</v>
      </c>
      <c r="F1088" t="s">
        <v>394</v>
      </c>
      <c r="G1088" t="s">
        <v>432</v>
      </c>
      <c r="H1088" t="s">
        <v>399</v>
      </c>
      <c r="K1088">
        <v>1974</v>
      </c>
      <c r="O1088">
        <v>22.46</v>
      </c>
      <c r="P1088" t="s">
        <v>15</v>
      </c>
      <c r="Q1088" t="s">
        <v>398</v>
      </c>
    </row>
    <row r="1089" spans="1:17">
      <c r="A1089" t="s">
        <v>472</v>
      </c>
      <c r="C1089" t="s">
        <v>393</v>
      </c>
      <c r="E1089" t="s">
        <v>394</v>
      </c>
      <c r="F1089" t="s">
        <v>394</v>
      </c>
      <c r="G1089" t="s">
        <v>459</v>
      </c>
      <c r="H1089" t="s">
        <v>399</v>
      </c>
      <c r="K1089">
        <v>1974</v>
      </c>
      <c r="O1089">
        <v>23.25</v>
      </c>
      <c r="P1089" t="s">
        <v>15</v>
      </c>
      <c r="Q1089" t="s">
        <v>398</v>
      </c>
    </row>
    <row r="1090" spans="1:17">
      <c r="A1090" t="s">
        <v>472</v>
      </c>
      <c r="C1090" t="s">
        <v>393</v>
      </c>
      <c r="E1090" t="s">
        <v>394</v>
      </c>
      <c r="F1090" t="s">
        <v>394</v>
      </c>
      <c r="G1090" t="s">
        <v>433</v>
      </c>
      <c r="H1090" t="s">
        <v>399</v>
      </c>
      <c r="K1090">
        <v>1974</v>
      </c>
      <c r="O1090">
        <v>26.92</v>
      </c>
      <c r="P1090" t="s">
        <v>15</v>
      </c>
      <c r="Q1090" t="s">
        <v>398</v>
      </c>
    </row>
    <row r="1091" spans="1:17">
      <c r="A1091" t="s">
        <v>477</v>
      </c>
      <c r="C1091" t="s">
        <v>393</v>
      </c>
      <c r="E1091" t="s">
        <v>394</v>
      </c>
      <c r="F1091" t="s">
        <v>394</v>
      </c>
      <c r="G1091" t="s">
        <v>431</v>
      </c>
      <c r="H1091" t="s">
        <v>457</v>
      </c>
      <c r="K1091">
        <v>1974</v>
      </c>
      <c r="O1091">
        <v>4.17</v>
      </c>
      <c r="P1091" t="s">
        <v>15</v>
      </c>
      <c r="Q1091" t="s">
        <v>398</v>
      </c>
    </row>
    <row r="1092" spans="1:17">
      <c r="A1092" t="s">
        <v>475</v>
      </c>
      <c r="C1092" t="s">
        <v>393</v>
      </c>
      <c r="E1092" t="s">
        <v>394</v>
      </c>
      <c r="F1092" t="s">
        <v>394</v>
      </c>
      <c r="G1092" t="s">
        <v>990</v>
      </c>
      <c r="H1092" t="s">
        <v>457</v>
      </c>
      <c r="K1092">
        <v>1974</v>
      </c>
      <c r="O1092">
        <v>125</v>
      </c>
      <c r="P1092" t="s">
        <v>15</v>
      </c>
      <c r="Q1092" t="s">
        <v>398</v>
      </c>
    </row>
    <row r="1093" spans="1:17">
      <c r="A1093" t="s">
        <v>477</v>
      </c>
      <c r="C1093" t="s">
        <v>393</v>
      </c>
      <c r="E1093" t="s">
        <v>394</v>
      </c>
      <c r="F1093" t="s">
        <v>394</v>
      </c>
      <c r="G1093" t="s">
        <v>433</v>
      </c>
      <c r="H1093" t="s">
        <v>457</v>
      </c>
      <c r="K1093">
        <v>1974</v>
      </c>
      <c r="O1093">
        <v>4.17</v>
      </c>
      <c r="P1093" t="s">
        <v>15</v>
      </c>
      <c r="Q1093" t="s">
        <v>398</v>
      </c>
    </row>
    <row r="1094" spans="1:17">
      <c r="A1094" t="s">
        <v>477</v>
      </c>
      <c r="C1094" t="s">
        <v>393</v>
      </c>
      <c r="E1094" t="s">
        <v>394</v>
      </c>
      <c r="F1094" t="s">
        <v>394</v>
      </c>
      <c r="G1094" t="s">
        <v>474</v>
      </c>
      <c r="H1094" t="s">
        <v>396</v>
      </c>
      <c r="K1094">
        <v>1974</v>
      </c>
      <c r="O1094">
        <v>33.33</v>
      </c>
      <c r="P1094" t="s">
        <v>15</v>
      </c>
      <c r="Q1094" t="s">
        <v>398</v>
      </c>
    </row>
    <row r="1095" spans="1:17">
      <c r="A1095" t="s">
        <v>477</v>
      </c>
      <c r="C1095" t="s">
        <v>393</v>
      </c>
      <c r="E1095" t="s">
        <v>394</v>
      </c>
      <c r="F1095" t="s">
        <v>394</v>
      </c>
      <c r="G1095" t="s">
        <v>459</v>
      </c>
      <c r="H1095" t="s">
        <v>457</v>
      </c>
      <c r="K1095">
        <v>1974</v>
      </c>
      <c r="O1095">
        <v>91.67</v>
      </c>
      <c r="P1095" t="s">
        <v>15</v>
      </c>
      <c r="Q1095" t="s">
        <v>398</v>
      </c>
    </row>
    <row r="1096" spans="1:17">
      <c r="A1096" t="s">
        <v>991</v>
      </c>
      <c r="C1096" t="s">
        <v>393</v>
      </c>
      <c r="E1096" t="s">
        <v>394</v>
      </c>
      <c r="F1096" t="s">
        <v>394</v>
      </c>
      <c r="G1096" t="s">
        <v>992</v>
      </c>
      <c r="H1096" t="s">
        <v>457</v>
      </c>
      <c r="K1096">
        <v>1973</v>
      </c>
      <c r="O1096">
        <v>43.209999999999994</v>
      </c>
      <c r="P1096" t="s">
        <v>15</v>
      </c>
      <c r="Q1096" t="s">
        <v>398</v>
      </c>
    </row>
    <row r="1097" spans="1:17">
      <c r="A1097" t="s">
        <v>478</v>
      </c>
      <c r="C1097" t="s">
        <v>393</v>
      </c>
      <c r="E1097" t="s">
        <v>394</v>
      </c>
      <c r="F1097" t="s">
        <v>394</v>
      </c>
      <c r="G1097" t="s">
        <v>395</v>
      </c>
      <c r="H1097" t="s">
        <v>396</v>
      </c>
      <c r="K1097">
        <v>1983</v>
      </c>
      <c r="O1097">
        <v>17.649999999999999</v>
      </c>
      <c r="P1097" t="s">
        <v>15</v>
      </c>
      <c r="Q1097" t="s">
        <v>398</v>
      </c>
    </row>
    <row r="1098" spans="1:17">
      <c r="A1098" t="s">
        <v>993</v>
      </c>
      <c r="C1098" t="s">
        <v>393</v>
      </c>
      <c r="E1098" t="s">
        <v>394</v>
      </c>
      <c r="F1098" t="s">
        <v>394</v>
      </c>
      <c r="G1098" t="s">
        <v>988</v>
      </c>
      <c r="H1098" t="s">
        <v>399</v>
      </c>
      <c r="K1098">
        <v>1975</v>
      </c>
      <c r="O1098">
        <v>24.3</v>
      </c>
      <c r="P1098" t="s">
        <v>15</v>
      </c>
      <c r="Q1098" t="s">
        <v>398</v>
      </c>
    </row>
    <row r="1099" spans="1:17">
      <c r="A1099" t="s">
        <v>994</v>
      </c>
      <c r="C1099" t="s">
        <v>393</v>
      </c>
      <c r="D1099" t="s">
        <v>995</v>
      </c>
      <c r="E1099" t="s">
        <v>394</v>
      </c>
      <c r="F1099" t="s">
        <v>394</v>
      </c>
      <c r="G1099" t="s">
        <v>483</v>
      </c>
      <c r="I1099">
        <v>55.915556000000002</v>
      </c>
      <c r="J1099">
        <v>10.352398000000001</v>
      </c>
      <c r="K1099">
        <v>1931</v>
      </c>
      <c r="M1099">
        <v>70</v>
      </c>
      <c r="O1099" t="s">
        <v>163</v>
      </c>
      <c r="P1099" t="s">
        <v>15</v>
      </c>
      <c r="Q1099" t="s">
        <v>403</v>
      </c>
    </row>
    <row r="1100" spans="1:17">
      <c r="A1100" t="s">
        <v>994</v>
      </c>
      <c r="C1100" t="s">
        <v>393</v>
      </c>
      <c r="D1100" t="s">
        <v>995</v>
      </c>
      <c r="E1100" t="s">
        <v>394</v>
      </c>
      <c r="F1100" t="s">
        <v>394</v>
      </c>
      <c r="G1100" t="s">
        <v>483</v>
      </c>
      <c r="I1100">
        <v>55.915556000000002</v>
      </c>
      <c r="J1100">
        <v>10.352398000000001</v>
      </c>
      <c r="K1100">
        <v>1931</v>
      </c>
      <c r="M1100">
        <v>70</v>
      </c>
      <c r="O1100" t="s">
        <v>163</v>
      </c>
      <c r="P1100" t="s">
        <v>15</v>
      </c>
      <c r="Q1100" t="s">
        <v>403</v>
      </c>
    </row>
    <row r="1101" spans="1:17">
      <c r="A1101" t="s">
        <v>996</v>
      </c>
      <c r="C1101" t="s">
        <v>393</v>
      </c>
      <c r="E1101" t="s">
        <v>394</v>
      </c>
      <c r="F1101" t="s">
        <v>394</v>
      </c>
      <c r="G1101" t="s">
        <v>984</v>
      </c>
      <c r="H1101" t="s">
        <v>399</v>
      </c>
      <c r="K1101">
        <v>1984</v>
      </c>
      <c r="O1101">
        <v>14.9</v>
      </c>
      <c r="P1101" t="s">
        <v>15</v>
      </c>
      <c r="Q1101" t="s">
        <v>398</v>
      </c>
    </row>
    <row r="1102" spans="1:17">
      <c r="A1102" t="s">
        <v>996</v>
      </c>
      <c r="C1102" t="s">
        <v>393</v>
      </c>
      <c r="E1102" t="s">
        <v>394</v>
      </c>
      <c r="F1102" t="s">
        <v>394</v>
      </c>
      <c r="G1102" t="s">
        <v>988</v>
      </c>
      <c r="H1102" t="s">
        <v>399</v>
      </c>
      <c r="K1102">
        <v>1984</v>
      </c>
      <c r="O1102">
        <v>30.48</v>
      </c>
      <c r="P1102" t="s">
        <v>15</v>
      </c>
      <c r="Q1102" t="s">
        <v>398</v>
      </c>
    </row>
    <row r="1103" spans="1:17">
      <c r="A1103" t="s">
        <v>996</v>
      </c>
      <c r="C1103" t="s">
        <v>393</v>
      </c>
      <c r="E1103" t="s">
        <v>394</v>
      </c>
      <c r="F1103" t="s">
        <v>394</v>
      </c>
      <c r="G1103" t="s">
        <v>483</v>
      </c>
      <c r="H1103" t="s">
        <v>399</v>
      </c>
      <c r="K1103">
        <v>1984</v>
      </c>
      <c r="O1103">
        <v>48.760000000000005</v>
      </c>
      <c r="P1103" t="s">
        <v>15</v>
      </c>
      <c r="Q1103" t="s">
        <v>398</v>
      </c>
    </row>
    <row r="1104" spans="1:17">
      <c r="A1104" t="s">
        <v>480</v>
      </c>
      <c r="C1104" t="s">
        <v>393</v>
      </c>
      <c r="E1104" t="s">
        <v>394</v>
      </c>
      <c r="F1104" t="s">
        <v>394</v>
      </c>
      <c r="G1104" t="s">
        <v>437</v>
      </c>
      <c r="H1104" t="s">
        <v>399</v>
      </c>
      <c r="K1104">
        <v>1984</v>
      </c>
      <c r="O1104">
        <v>7.0000000000000007E-2</v>
      </c>
      <c r="P1104" t="s">
        <v>15</v>
      </c>
      <c r="Q1104" t="s">
        <v>398</v>
      </c>
    </row>
    <row r="1105" spans="1:17">
      <c r="A1105" t="s">
        <v>480</v>
      </c>
      <c r="C1105" t="s">
        <v>393</v>
      </c>
      <c r="E1105" t="s">
        <v>394</v>
      </c>
      <c r="F1105" t="s">
        <v>394</v>
      </c>
      <c r="G1105" t="s">
        <v>431</v>
      </c>
      <c r="H1105" t="s">
        <v>399</v>
      </c>
      <c r="K1105">
        <v>1984</v>
      </c>
      <c r="O1105">
        <v>0.97</v>
      </c>
      <c r="P1105" t="s">
        <v>15</v>
      </c>
      <c r="Q1105" t="s">
        <v>398</v>
      </c>
    </row>
    <row r="1106" spans="1:17">
      <c r="A1106" t="s">
        <v>480</v>
      </c>
      <c r="C1106" t="s">
        <v>393</v>
      </c>
      <c r="E1106" t="s">
        <v>394</v>
      </c>
      <c r="F1106" t="s">
        <v>394</v>
      </c>
      <c r="G1106" t="s">
        <v>997</v>
      </c>
      <c r="H1106" t="s">
        <v>399</v>
      </c>
      <c r="K1106">
        <v>1984</v>
      </c>
      <c r="O1106">
        <v>5.0999999999999996</v>
      </c>
      <c r="P1106" t="s">
        <v>15</v>
      </c>
      <c r="Q1106" t="s">
        <v>398</v>
      </c>
    </row>
    <row r="1107" spans="1:17">
      <c r="A1107" t="s">
        <v>480</v>
      </c>
      <c r="C1107" t="s">
        <v>393</v>
      </c>
      <c r="E1107" t="s">
        <v>394</v>
      </c>
      <c r="F1107" t="s">
        <v>394</v>
      </c>
      <c r="G1107" t="s">
        <v>459</v>
      </c>
      <c r="H1107" t="s">
        <v>399</v>
      </c>
      <c r="K1107">
        <v>1984</v>
      </c>
      <c r="O1107">
        <v>5.5200000000000005</v>
      </c>
      <c r="P1107" t="s">
        <v>15</v>
      </c>
      <c r="Q1107" t="s">
        <v>398</v>
      </c>
    </row>
    <row r="1108" spans="1:17">
      <c r="A1108" t="s">
        <v>480</v>
      </c>
      <c r="C1108" t="s">
        <v>393</v>
      </c>
      <c r="E1108" t="s">
        <v>394</v>
      </c>
      <c r="F1108" t="s">
        <v>394</v>
      </c>
      <c r="G1108" t="s">
        <v>465</v>
      </c>
      <c r="H1108" t="s">
        <v>399</v>
      </c>
      <c r="K1108">
        <v>1984</v>
      </c>
      <c r="O1108">
        <v>5.93</v>
      </c>
      <c r="P1108" t="s">
        <v>15</v>
      </c>
      <c r="Q1108" t="s">
        <v>398</v>
      </c>
    </row>
    <row r="1109" spans="1:17">
      <c r="A1109" t="s">
        <v>480</v>
      </c>
      <c r="C1109" t="s">
        <v>393</v>
      </c>
      <c r="E1109" t="s">
        <v>394</v>
      </c>
      <c r="F1109" t="s">
        <v>394</v>
      </c>
      <c r="G1109" t="s">
        <v>433</v>
      </c>
      <c r="H1109" t="s">
        <v>399</v>
      </c>
      <c r="K1109">
        <v>1984</v>
      </c>
      <c r="O1109">
        <v>19.170000000000002</v>
      </c>
      <c r="P1109" t="s">
        <v>15</v>
      </c>
      <c r="Q1109" t="s">
        <v>398</v>
      </c>
    </row>
    <row r="1110" spans="1:17">
      <c r="A1110" t="s">
        <v>480</v>
      </c>
      <c r="C1110" t="s">
        <v>393</v>
      </c>
      <c r="E1110" t="s">
        <v>394</v>
      </c>
      <c r="F1110" t="s">
        <v>394</v>
      </c>
      <c r="G1110" t="s">
        <v>436</v>
      </c>
      <c r="H1110" t="s">
        <v>399</v>
      </c>
      <c r="K1110">
        <v>1984</v>
      </c>
      <c r="O1110">
        <v>24.340000000000003</v>
      </c>
      <c r="P1110" t="s">
        <v>15</v>
      </c>
      <c r="Q1110" t="s">
        <v>398</v>
      </c>
    </row>
    <row r="1111" spans="1:17">
      <c r="A1111" t="s">
        <v>480</v>
      </c>
      <c r="C1111" t="s">
        <v>393</v>
      </c>
      <c r="E1111" t="s">
        <v>394</v>
      </c>
      <c r="F1111" t="s">
        <v>394</v>
      </c>
      <c r="G1111" t="s">
        <v>438</v>
      </c>
      <c r="H1111" t="s">
        <v>399</v>
      </c>
      <c r="K1111">
        <v>1984</v>
      </c>
      <c r="O1111">
        <v>32.28</v>
      </c>
      <c r="P1111" t="s">
        <v>15</v>
      </c>
      <c r="Q1111" t="s">
        <v>398</v>
      </c>
    </row>
    <row r="1112" spans="1:17">
      <c r="A1112" t="s">
        <v>480</v>
      </c>
      <c r="C1112" t="s">
        <v>393</v>
      </c>
      <c r="E1112" t="s">
        <v>394</v>
      </c>
      <c r="F1112" t="s">
        <v>394</v>
      </c>
      <c r="G1112" t="s">
        <v>998</v>
      </c>
      <c r="H1112" t="s">
        <v>399</v>
      </c>
      <c r="K1112">
        <v>1984</v>
      </c>
      <c r="O1112">
        <v>40.339999999999996</v>
      </c>
      <c r="P1112" t="s">
        <v>15</v>
      </c>
      <c r="Q1112" t="s">
        <v>398</v>
      </c>
    </row>
    <row r="1113" spans="1:17">
      <c r="A1113" t="s">
        <v>482</v>
      </c>
      <c r="C1113" t="s">
        <v>393</v>
      </c>
      <c r="E1113" t="s">
        <v>394</v>
      </c>
      <c r="F1113" t="s">
        <v>394</v>
      </c>
      <c r="G1113" t="s">
        <v>439</v>
      </c>
      <c r="H1113" t="s">
        <v>399</v>
      </c>
      <c r="K1113">
        <v>1974</v>
      </c>
      <c r="O1113">
        <v>1.8199999999999998</v>
      </c>
      <c r="P1113" t="s">
        <v>15</v>
      </c>
      <c r="Q1113" t="s">
        <v>398</v>
      </c>
    </row>
    <row r="1114" spans="1:17">
      <c r="A1114" t="s">
        <v>482</v>
      </c>
      <c r="C1114" t="s">
        <v>393</v>
      </c>
      <c r="E1114" t="s">
        <v>394</v>
      </c>
      <c r="F1114" t="s">
        <v>394</v>
      </c>
      <c r="G1114" t="s">
        <v>632</v>
      </c>
      <c r="H1114" t="s">
        <v>399</v>
      </c>
      <c r="K1114">
        <v>1974</v>
      </c>
      <c r="O1114">
        <v>1.8199999999999998</v>
      </c>
      <c r="P1114" t="s">
        <v>15</v>
      </c>
      <c r="Q1114" t="s">
        <v>398</v>
      </c>
    </row>
    <row r="1115" spans="1:17">
      <c r="A1115" t="s">
        <v>482</v>
      </c>
      <c r="C1115" t="s">
        <v>393</v>
      </c>
      <c r="E1115" t="s">
        <v>394</v>
      </c>
      <c r="F1115" t="s">
        <v>394</v>
      </c>
      <c r="G1115" t="s">
        <v>429</v>
      </c>
      <c r="H1115" t="s">
        <v>399</v>
      </c>
      <c r="K1115">
        <v>1974</v>
      </c>
      <c r="O1115">
        <v>3.6399999999999997</v>
      </c>
      <c r="P1115" t="s">
        <v>15</v>
      </c>
      <c r="Q1115" t="s">
        <v>398</v>
      </c>
    </row>
    <row r="1116" spans="1:17">
      <c r="A1116" t="s">
        <v>482</v>
      </c>
      <c r="C1116" t="s">
        <v>393</v>
      </c>
      <c r="E1116" t="s">
        <v>394</v>
      </c>
      <c r="F1116" t="s">
        <v>394</v>
      </c>
      <c r="G1116" t="s">
        <v>447</v>
      </c>
      <c r="H1116" t="s">
        <v>399</v>
      </c>
      <c r="K1116">
        <v>1974</v>
      </c>
      <c r="O1116">
        <v>7.27</v>
      </c>
      <c r="P1116" t="s">
        <v>15</v>
      </c>
      <c r="Q1116" t="s">
        <v>398</v>
      </c>
    </row>
    <row r="1117" spans="1:17">
      <c r="A1117" t="s">
        <v>482</v>
      </c>
      <c r="C1117" t="s">
        <v>393</v>
      </c>
      <c r="E1117" t="s">
        <v>394</v>
      </c>
      <c r="F1117" t="s">
        <v>394</v>
      </c>
      <c r="G1117" t="s">
        <v>990</v>
      </c>
      <c r="H1117" t="s">
        <v>399</v>
      </c>
      <c r="K1117">
        <v>1974</v>
      </c>
      <c r="O1117">
        <v>14.55</v>
      </c>
      <c r="P1117" t="s">
        <v>15</v>
      </c>
      <c r="Q1117" t="s">
        <v>398</v>
      </c>
    </row>
    <row r="1118" spans="1:17">
      <c r="A1118" t="s">
        <v>482</v>
      </c>
      <c r="C1118" t="s">
        <v>393</v>
      </c>
      <c r="E1118" t="s">
        <v>394</v>
      </c>
      <c r="F1118" t="s">
        <v>394</v>
      </c>
      <c r="G1118" t="s">
        <v>471</v>
      </c>
      <c r="H1118" t="s">
        <v>399</v>
      </c>
      <c r="K1118">
        <v>1974</v>
      </c>
      <c r="O1118">
        <v>27.27</v>
      </c>
      <c r="P1118" t="s">
        <v>15</v>
      </c>
      <c r="Q1118" t="s">
        <v>398</v>
      </c>
    </row>
    <row r="1119" spans="1:17">
      <c r="A1119" t="s">
        <v>482</v>
      </c>
      <c r="C1119" t="s">
        <v>393</v>
      </c>
      <c r="E1119" t="s">
        <v>394</v>
      </c>
      <c r="F1119" t="s">
        <v>394</v>
      </c>
      <c r="G1119" t="s">
        <v>476</v>
      </c>
      <c r="H1119" t="s">
        <v>399</v>
      </c>
      <c r="K1119">
        <v>1974</v>
      </c>
      <c r="O1119">
        <v>43.64</v>
      </c>
      <c r="P1119" t="s">
        <v>15</v>
      </c>
      <c r="Q1119" t="s">
        <v>398</v>
      </c>
    </row>
    <row r="1120" spans="1:17">
      <c r="A1120" t="s">
        <v>484</v>
      </c>
      <c r="C1120" t="s">
        <v>393</v>
      </c>
      <c r="E1120" t="s">
        <v>394</v>
      </c>
      <c r="F1120" t="s">
        <v>394</v>
      </c>
      <c r="G1120" t="s">
        <v>999</v>
      </c>
      <c r="H1120" t="s">
        <v>399</v>
      </c>
      <c r="K1120">
        <v>1974</v>
      </c>
      <c r="O1120">
        <v>1.8199999999999998</v>
      </c>
      <c r="P1120" t="s">
        <v>15</v>
      </c>
      <c r="Q1120" t="s">
        <v>398</v>
      </c>
    </row>
    <row r="1121" spans="1:18">
      <c r="A1121" t="s">
        <v>484</v>
      </c>
      <c r="C1121" t="s">
        <v>393</v>
      </c>
      <c r="E1121" t="s">
        <v>394</v>
      </c>
      <c r="F1121" t="s">
        <v>394</v>
      </c>
      <c r="G1121" t="s">
        <v>474</v>
      </c>
      <c r="H1121" t="s">
        <v>399</v>
      </c>
      <c r="K1121">
        <v>1974</v>
      </c>
      <c r="O1121">
        <v>3.6399999999999997</v>
      </c>
      <c r="P1121" t="s">
        <v>15</v>
      </c>
      <c r="Q1121" t="s">
        <v>398</v>
      </c>
    </row>
    <row r="1122" spans="1:18">
      <c r="A1122" t="s">
        <v>484</v>
      </c>
      <c r="C1122" t="s">
        <v>393</v>
      </c>
      <c r="E1122" t="s">
        <v>394</v>
      </c>
      <c r="F1122" t="s">
        <v>394</v>
      </c>
      <c r="G1122" t="s">
        <v>433</v>
      </c>
      <c r="H1122" t="s">
        <v>399</v>
      </c>
      <c r="K1122">
        <v>1974</v>
      </c>
      <c r="O1122">
        <v>7.27</v>
      </c>
      <c r="P1122" t="s">
        <v>15</v>
      </c>
      <c r="Q1122" t="s">
        <v>398</v>
      </c>
    </row>
    <row r="1123" spans="1:18">
      <c r="A1123" t="s">
        <v>484</v>
      </c>
      <c r="C1123" t="s">
        <v>393</v>
      </c>
      <c r="E1123" t="s">
        <v>394</v>
      </c>
      <c r="F1123" t="s">
        <v>394</v>
      </c>
      <c r="G1123" t="s">
        <v>432</v>
      </c>
      <c r="H1123" t="s">
        <v>399</v>
      </c>
      <c r="K1123">
        <v>1974</v>
      </c>
      <c r="O1123">
        <v>9.09</v>
      </c>
      <c r="P1123" t="s">
        <v>15</v>
      </c>
      <c r="Q1123" t="s">
        <v>398</v>
      </c>
    </row>
    <row r="1124" spans="1:18">
      <c r="A1124" t="s">
        <v>484</v>
      </c>
      <c r="C1124" t="s">
        <v>393</v>
      </c>
      <c r="E1124" t="s">
        <v>394</v>
      </c>
      <c r="F1124" t="s">
        <v>394</v>
      </c>
      <c r="G1124" t="s">
        <v>998</v>
      </c>
      <c r="H1124" t="s">
        <v>399</v>
      </c>
      <c r="K1124">
        <v>1974</v>
      </c>
      <c r="O1124">
        <v>10.91</v>
      </c>
      <c r="P1124" t="s">
        <v>15</v>
      </c>
      <c r="Q1124" t="s">
        <v>398</v>
      </c>
    </row>
    <row r="1125" spans="1:18">
      <c r="A1125" t="s">
        <v>484</v>
      </c>
      <c r="C1125" t="s">
        <v>393</v>
      </c>
      <c r="E1125" t="s">
        <v>394</v>
      </c>
      <c r="F1125" t="s">
        <v>394</v>
      </c>
      <c r="G1125" t="s">
        <v>435</v>
      </c>
      <c r="H1125" t="s">
        <v>399</v>
      </c>
      <c r="K1125">
        <v>1974</v>
      </c>
      <c r="O1125">
        <v>10.91</v>
      </c>
      <c r="P1125" t="s">
        <v>15</v>
      </c>
      <c r="Q1125" t="s">
        <v>398</v>
      </c>
    </row>
    <row r="1126" spans="1:18">
      <c r="A1126" t="s">
        <v>485</v>
      </c>
      <c r="C1126" t="s">
        <v>393</v>
      </c>
      <c r="E1126" t="s">
        <v>394</v>
      </c>
      <c r="F1126" t="s">
        <v>394</v>
      </c>
      <c r="G1126" t="s">
        <v>471</v>
      </c>
      <c r="H1126" t="s">
        <v>399</v>
      </c>
      <c r="K1126">
        <v>1974</v>
      </c>
      <c r="O1126">
        <v>27.27</v>
      </c>
      <c r="P1126" t="s">
        <v>15</v>
      </c>
      <c r="Q1126" t="s">
        <v>398</v>
      </c>
    </row>
    <row r="1127" spans="1:18">
      <c r="A1127" t="s">
        <v>1000</v>
      </c>
      <c r="C1127" t="s">
        <v>393</v>
      </c>
      <c r="D1127" t="s">
        <v>1001</v>
      </c>
      <c r="E1127" t="s">
        <v>394</v>
      </c>
      <c r="F1127" t="s">
        <v>394</v>
      </c>
      <c r="G1127" t="s">
        <v>1002</v>
      </c>
      <c r="H1127" t="s">
        <v>457</v>
      </c>
      <c r="K1127">
        <v>2002</v>
      </c>
      <c r="M1127">
        <v>21</v>
      </c>
      <c r="O1127">
        <v>294</v>
      </c>
      <c r="P1127" t="s">
        <v>15</v>
      </c>
      <c r="Q1127" t="s">
        <v>1003</v>
      </c>
    </row>
    <row r="1128" spans="1:18">
      <c r="A1128" t="s">
        <v>1000</v>
      </c>
      <c r="C1128" t="s">
        <v>393</v>
      </c>
      <c r="D1128" t="s">
        <v>1001</v>
      </c>
      <c r="E1128" t="s">
        <v>394</v>
      </c>
      <c r="F1128" t="s">
        <v>394</v>
      </c>
      <c r="G1128" t="s">
        <v>1004</v>
      </c>
      <c r="H1128" t="s">
        <v>457</v>
      </c>
      <c r="K1128">
        <v>2002</v>
      </c>
      <c r="M1128">
        <v>21</v>
      </c>
      <c r="O1128">
        <v>367</v>
      </c>
      <c r="P1128" t="s">
        <v>15</v>
      </c>
      <c r="Q1128" t="s">
        <v>1005</v>
      </c>
    </row>
    <row r="1129" spans="1:18">
      <c r="A1129" t="s">
        <v>1000</v>
      </c>
      <c r="C1129" t="s">
        <v>393</v>
      </c>
      <c r="D1129" t="s">
        <v>1001</v>
      </c>
      <c r="E1129" t="s">
        <v>394</v>
      </c>
      <c r="F1129" t="s">
        <v>394</v>
      </c>
      <c r="G1129" s="3" t="s">
        <v>1006</v>
      </c>
      <c r="H1129" t="s">
        <v>457</v>
      </c>
      <c r="K1129">
        <v>2002</v>
      </c>
      <c r="M1129">
        <v>21</v>
      </c>
      <c r="O1129">
        <v>398</v>
      </c>
      <c r="P1129" t="s">
        <v>15</v>
      </c>
      <c r="Q1129" t="s">
        <v>1005</v>
      </c>
    </row>
    <row r="1130" spans="1:18">
      <c r="A1130" t="s">
        <v>1000</v>
      </c>
      <c r="C1130" t="s">
        <v>393</v>
      </c>
      <c r="D1130" t="s">
        <v>1001</v>
      </c>
      <c r="E1130" t="s">
        <v>394</v>
      </c>
      <c r="F1130" t="s">
        <v>394</v>
      </c>
      <c r="G1130" t="s">
        <v>1007</v>
      </c>
      <c r="H1130" t="s">
        <v>457</v>
      </c>
      <c r="K1130">
        <v>2002</v>
      </c>
      <c r="M1130">
        <v>21</v>
      </c>
      <c r="O1130">
        <v>560</v>
      </c>
      <c r="P1130" t="s">
        <v>15</v>
      </c>
      <c r="Q1130" t="s">
        <v>1005</v>
      </c>
    </row>
    <row r="1131" spans="1:18">
      <c r="A1131" t="s">
        <v>486</v>
      </c>
      <c r="C1131" t="s">
        <v>393</v>
      </c>
      <c r="D1131" t="s">
        <v>487</v>
      </c>
      <c r="E1131" t="s">
        <v>394</v>
      </c>
      <c r="F1131" t="s">
        <v>394</v>
      </c>
      <c r="G1131" t="s">
        <v>1008</v>
      </c>
      <c r="H1131" t="s">
        <v>399</v>
      </c>
      <c r="I1131">
        <v>-46.5</v>
      </c>
      <c r="J1131">
        <v>-152</v>
      </c>
      <c r="K1131">
        <v>1953</v>
      </c>
      <c r="M1131">
        <f>2002-K1131+1</f>
        <v>50</v>
      </c>
      <c r="O1131">
        <v>92</v>
      </c>
      <c r="P1131" t="s">
        <v>15</v>
      </c>
      <c r="Q1131" t="s">
        <v>1009</v>
      </c>
    </row>
    <row r="1132" spans="1:18">
      <c r="A1132" t="s">
        <v>490</v>
      </c>
      <c r="C1132" t="s">
        <v>393</v>
      </c>
      <c r="D1132" t="s">
        <v>491</v>
      </c>
      <c r="E1132" t="s">
        <v>394</v>
      </c>
      <c r="F1132" t="s">
        <v>394</v>
      </c>
      <c r="G1132" t="s">
        <v>496</v>
      </c>
      <c r="H1132" t="s">
        <v>457</v>
      </c>
      <c r="K1132">
        <v>1975</v>
      </c>
      <c r="M1132">
        <f t="shared" ref="M1132:M1140" si="1">2021-K1132+1</f>
        <v>47</v>
      </c>
      <c r="O1132">
        <v>57.5</v>
      </c>
      <c r="P1132" t="s">
        <v>15</v>
      </c>
      <c r="Q1132" t="s">
        <v>493</v>
      </c>
      <c r="R1132" t="s">
        <v>494</v>
      </c>
    </row>
    <row r="1133" spans="1:18">
      <c r="A1133" t="s">
        <v>490</v>
      </c>
      <c r="C1133" t="s">
        <v>393</v>
      </c>
      <c r="D1133" t="s">
        <v>491</v>
      </c>
      <c r="E1133" t="s">
        <v>394</v>
      </c>
      <c r="F1133" t="s">
        <v>394</v>
      </c>
      <c r="G1133" t="s">
        <v>1010</v>
      </c>
      <c r="H1133" t="s">
        <v>457</v>
      </c>
      <c r="K1133">
        <v>1975</v>
      </c>
      <c r="M1133">
        <f t="shared" si="1"/>
        <v>47</v>
      </c>
      <c r="O1133">
        <v>18.600000000000001</v>
      </c>
      <c r="P1133" t="s">
        <v>15</v>
      </c>
      <c r="Q1133" t="s">
        <v>493</v>
      </c>
      <c r="R1133" t="s">
        <v>494</v>
      </c>
    </row>
    <row r="1134" spans="1:18">
      <c r="A1134" t="s">
        <v>490</v>
      </c>
      <c r="C1134" t="s">
        <v>393</v>
      </c>
      <c r="D1134" t="s">
        <v>491</v>
      </c>
      <c r="E1134" t="s">
        <v>394</v>
      </c>
      <c r="F1134" t="s">
        <v>394</v>
      </c>
      <c r="G1134" t="s">
        <v>1010</v>
      </c>
      <c r="H1134" t="s">
        <v>495</v>
      </c>
      <c r="K1134">
        <v>1975</v>
      </c>
      <c r="M1134">
        <f t="shared" si="1"/>
        <v>47</v>
      </c>
      <c r="O1134">
        <v>161.5</v>
      </c>
      <c r="P1134" t="s">
        <v>15</v>
      </c>
      <c r="Q1134" t="s">
        <v>493</v>
      </c>
      <c r="R1134" t="s">
        <v>494</v>
      </c>
    </row>
    <row r="1135" spans="1:18">
      <c r="A1135" t="s">
        <v>490</v>
      </c>
      <c r="C1135" t="s">
        <v>393</v>
      </c>
      <c r="D1135" t="s">
        <v>491</v>
      </c>
      <c r="E1135" t="s">
        <v>394</v>
      </c>
      <c r="F1135" t="s">
        <v>394</v>
      </c>
      <c r="G1135" t="s">
        <v>1011</v>
      </c>
      <c r="H1135" t="s">
        <v>495</v>
      </c>
      <c r="K1135">
        <v>1975</v>
      </c>
      <c r="M1135">
        <f t="shared" si="1"/>
        <v>47</v>
      </c>
      <c r="O1135">
        <v>1.5</v>
      </c>
      <c r="P1135" t="s">
        <v>15</v>
      </c>
      <c r="Q1135" t="s">
        <v>493</v>
      </c>
      <c r="R1135" t="s">
        <v>494</v>
      </c>
    </row>
    <row r="1136" spans="1:18">
      <c r="A1136" t="s">
        <v>490</v>
      </c>
      <c r="C1136" t="s">
        <v>393</v>
      </c>
      <c r="D1136" t="s">
        <v>491</v>
      </c>
      <c r="E1136" t="s">
        <v>394</v>
      </c>
      <c r="F1136" t="s">
        <v>394</v>
      </c>
      <c r="G1136" t="s">
        <v>1011</v>
      </c>
      <c r="H1136" t="s">
        <v>457</v>
      </c>
      <c r="K1136">
        <v>1975</v>
      </c>
      <c r="M1136">
        <f t="shared" si="1"/>
        <v>47</v>
      </c>
      <c r="O1136">
        <v>57.3</v>
      </c>
      <c r="P1136" t="s">
        <v>15</v>
      </c>
      <c r="Q1136" t="s">
        <v>493</v>
      </c>
      <c r="R1136" t="s">
        <v>494</v>
      </c>
    </row>
    <row r="1137" spans="1:18">
      <c r="A1137" t="s">
        <v>490</v>
      </c>
      <c r="C1137" t="s">
        <v>393</v>
      </c>
      <c r="D1137" t="s">
        <v>491</v>
      </c>
      <c r="E1137" t="s">
        <v>394</v>
      </c>
      <c r="F1137" t="s">
        <v>394</v>
      </c>
      <c r="G1137" t="s">
        <v>1012</v>
      </c>
      <c r="H1137" t="s">
        <v>495</v>
      </c>
      <c r="K1137">
        <v>1975</v>
      </c>
      <c r="M1137">
        <f t="shared" si="1"/>
        <v>47</v>
      </c>
      <c r="O1137">
        <v>0.2</v>
      </c>
      <c r="P1137" t="s">
        <v>15</v>
      </c>
      <c r="Q1137" t="s">
        <v>493</v>
      </c>
      <c r="R1137" t="s">
        <v>494</v>
      </c>
    </row>
    <row r="1138" spans="1:18">
      <c r="A1138" t="s">
        <v>490</v>
      </c>
      <c r="C1138" t="s">
        <v>393</v>
      </c>
      <c r="D1138" t="s">
        <v>491</v>
      </c>
      <c r="E1138" t="s">
        <v>394</v>
      </c>
      <c r="F1138" t="s">
        <v>394</v>
      </c>
      <c r="G1138" t="s">
        <v>1012</v>
      </c>
      <c r="H1138" t="s">
        <v>457</v>
      </c>
      <c r="K1138">
        <v>1975</v>
      </c>
      <c r="M1138">
        <f t="shared" si="1"/>
        <v>47</v>
      </c>
      <c r="O1138">
        <v>99.2</v>
      </c>
      <c r="P1138" t="s">
        <v>15</v>
      </c>
      <c r="Q1138" t="s">
        <v>493</v>
      </c>
      <c r="R1138" t="s">
        <v>494</v>
      </c>
    </row>
    <row r="1139" spans="1:18">
      <c r="A1139" t="s">
        <v>490</v>
      </c>
      <c r="C1139" t="s">
        <v>393</v>
      </c>
      <c r="D1139" t="s">
        <v>491</v>
      </c>
      <c r="E1139" t="s">
        <v>394</v>
      </c>
      <c r="F1139" t="s">
        <v>394</v>
      </c>
      <c r="G1139" t="s">
        <v>1013</v>
      </c>
      <c r="H1139" t="s">
        <v>495</v>
      </c>
      <c r="K1139">
        <v>1975</v>
      </c>
      <c r="M1139">
        <f t="shared" si="1"/>
        <v>47</v>
      </c>
      <c r="O1139">
        <v>33.9</v>
      </c>
      <c r="P1139" t="s">
        <v>15</v>
      </c>
      <c r="Q1139" t="s">
        <v>493</v>
      </c>
      <c r="R1139" t="s">
        <v>494</v>
      </c>
    </row>
    <row r="1140" spans="1:18">
      <c r="A1140" t="s">
        <v>490</v>
      </c>
      <c r="C1140" t="s">
        <v>393</v>
      </c>
      <c r="D1140" t="s">
        <v>491</v>
      </c>
      <c r="E1140" t="s">
        <v>394</v>
      </c>
      <c r="F1140" t="s">
        <v>394</v>
      </c>
      <c r="G1140" t="s">
        <v>1013</v>
      </c>
      <c r="H1140" t="s">
        <v>457</v>
      </c>
      <c r="K1140">
        <v>1975</v>
      </c>
      <c r="M1140">
        <f t="shared" si="1"/>
        <v>47</v>
      </c>
      <c r="O1140">
        <v>147.4</v>
      </c>
      <c r="P1140" t="s">
        <v>15</v>
      </c>
      <c r="Q1140" t="s">
        <v>493</v>
      </c>
      <c r="R1140" t="s">
        <v>494</v>
      </c>
    </row>
    <row r="1141" spans="1:18">
      <c r="A1141" t="s">
        <v>1014</v>
      </c>
      <c r="C1141" t="s">
        <v>393</v>
      </c>
      <c r="E1141" t="s">
        <v>394</v>
      </c>
      <c r="F1141" t="s">
        <v>394</v>
      </c>
      <c r="G1141" t="s">
        <v>476</v>
      </c>
      <c r="H1141" t="s">
        <v>399</v>
      </c>
      <c r="K1141">
        <v>1967</v>
      </c>
      <c r="O1141">
        <v>1.45</v>
      </c>
      <c r="P1141" t="s">
        <v>15</v>
      </c>
      <c r="Q1141" t="s">
        <v>398</v>
      </c>
    </row>
    <row r="1142" spans="1:18">
      <c r="A1142" t="s">
        <v>1014</v>
      </c>
      <c r="C1142" t="s">
        <v>393</v>
      </c>
      <c r="E1142" t="s">
        <v>394</v>
      </c>
      <c r="F1142" t="s">
        <v>394</v>
      </c>
      <c r="G1142" t="s">
        <v>532</v>
      </c>
      <c r="H1142" t="s">
        <v>399</v>
      </c>
      <c r="K1142">
        <v>1967</v>
      </c>
      <c r="O1142">
        <v>1.94</v>
      </c>
      <c r="P1142" t="s">
        <v>15</v>
      </c>
      <c r="Q1142" t="s">
        <v>398</v>
      </c>
    </row>
    <row r="1143" spans="1:18">
      <c r="A1143" t="s">
        <v>1014</v>
      </c>
      <c r="C1143" t="s">
        <v>393</v>
      </c>
      <c r="E1143" t="s">
        <v>394</v>
      </c>
      <c r="F1143" t="s">
        <v>394</v>
      </c>
      <c r="G1143" t="s">
        <v>456</v>
      </c>
      <c r="H1143" t="s">
        <v>399</v>
      </c>
      <c r="K1143">
        <v>1967</v>
      </c>
      <c r="O1143">
        <v>19.36</v>
      </c>
      <c r="P1143" t="s">
        <v>15</v>
      </c>
      <c r="Q1143" t="s">
        <v>398</v>
      </c>
    </row>
    <row r="1144" spans="1:18">
      <c r="A1144" t="s">
        <v>1014</v>
      </c>
      <c r="C1144" t="s">
        <v>393</v>
      </c>
      <c r="E1144" t="s">
        <v>394</v>
      </c>
      <c r="F1144" t="s">
        <v>394</v>
      </c>
      <c r="G1144" t="s">
        <v>458</v>
      </c>
      <c r="H1144" t="s">
        <v>399</v>
      </c>
      <c r="K1144">
        <v>1967</v>
      </c>
      <c r="O1144">
        <v>20.329999999999998</v>
      </c>
      <c r="P1144" t="s">
        <v>15</v>
      </c>
      <c r="Q1144" t="s">
        <v>398</v>
      </c>
    </row>
    <row r="1145" spans="1:18">
      <c r="A1145" t="s">
        <v>1014</v>
      </c>
      <c r="C1145" t="s">
        <v>393</v>
      </c>
      <c r="E1145" t="s">
        <v>394</v>
      </c>
      <c r="F1145" t="s">
        <v>394</v>
      </c>
      <c r="G1145" t="s">
        <v>395</v>
      </c>
      <c r="H1145" t="s">
        <v>399</v>
      </c>
      <c r="K1145">
        <v>1967</v>
      </c>
      <c r="O1145">
        <v>22.27</v>
      </c>
      <c r="P1145" t="s">
        <v>15</v>
      </c>
      <c r="Q1145" t="s">
        <v>398</v>
      </c>
    </row>
    <row r="1146" spans="1:18">
      <c r="A1146" t="s">
        <v>1014</v>
      </c>
      <c r="C1146" t="s">
        <v>393</v>
      </c>
      <c r="E1146" t="s">
        <v>394</v>
      </c>
      <c r="F1146" t="s">
        <v>394</v>
      </c>
      <c r="G1146" t="s">
        <v>986</v>
      </c>
      <c r="H1146" t="s">
        <v>399</v>
      </c>
      <c r="K1146">
        <v>1967</v>
      </c>
      <c r="O1146">
        <v>43.56</v>
      </c>
      <c r="P1146" t="s">
        <v>15</v>
      </c>
      <c r="Q1146" t="s">
        <v>398</v>
      </c>
    </row>
    <row r="1147" spans="1:18">
      <c r="A1147" t="s">
        <v>1014</v>
      </c>
      <c r="C1147" t="s">
        <v>393</v>
      </c>
      <c r="E1147" t="s">
        <v>394</v>
      </c>
      <c r="F1147" t="s">
        <v>394</v>
      </c>
      <c r="G1147" t="s">
        <v>462</v>
      </c>
      <c r="H1147" t="s">
        <v>399</v>
      </c>
      <c r="K1147">
        <v>1967</v>
      </c>
      <c r="O1147">
        <v>196.03000000000003</v>
      </c>
      <c r="P1147" t="s">
        <v>15</v>
      </c>
      <c r="Q1147" t="s">
        <v>398</v>
      </c>
    </row>
    <row r="1148" spans="1:18">
      <c r="A1148" t="s">
        <v>500</v>
      </c>
      <c r="C1148" t="s">
        <v>393</v>
      </c>
      <c r="E1148" t="s">
        <v>394</v>
      </c>
      <c r="F1148" t="s">
        <v>394</v>
      </c>
      <c r="G1148" t="s">
        <v>432</v>
      </c>
      <c r="H1148" t="s">
        <v>399</v>
      </c>
      <c r="K1148">
        <v>1967</v>
      </c>
      <c r="O1148">
        <v>59.53</v>
      </c>
      <c r="P1148" t="s">
        <v>15</v>
      </c>
      <c r="Q1148" t="s">
        <v>398</v>
      </c>
    </row>
    <row r="1149" spans="1:18">
      <c r="A1149" t="s">
        <v>1015</v>
      </c>
      <c r="C1149" t="s">
        <v>393</v>
      </c>
      <c r="D1149" t="s">
        <v>1016</v>
      </c>
      <c r="E1149" t="s">
        <v>368</v>
      </c>
      <c r="F1149" t="s">
        <v>368</v>
      </c>
      <c r="G1149" t="s">
        <v>1017</v>
      </c>
      <c r="I1149">
        <v>47.692368999999999</v>
      </c>
      <c r="J1149">
        <v>-62.597459000000001</v>
      </c>
      <c r="K1149">
        <v>1977</v>
      </c>
      <c r="M1149">
        <v>35</v>
      </c>
      <c r="O1149" t="s">
        <v>163</v>
      </c>
      <c r="P1149" t="s">
        <v>15</v>
      </c>
      <c r="Q1149" t="s">
        <v>403</v>
      </c>
      <c r="R1149" t="s">
        <v>1018</v>
      </c>
    </row>
    <row r="1150" spans="1:18">
      <c r="A1150" t="s">
        <v>1019</v>
      </c>
      <c r="C1150" t="s">
        <v>393</v>
      </c>
      <c r="D1150" t="s">
        <v>502</v>
      </c>
      <c r="E1150" t="s">
        <v>368</v>
      </c>
      <c r="F1150" t="s">
        <v>368</v>
      </c>
      <c r="G1150" t="s">
        <v>1020</v>
      </c>
      <c r="I1150">
        <v>38.054302</v>
      </c>
      <c r="J1150">
        <v>-126.506135</v>
      </c>
      <c r="K1150">
        <v>1991</v>
      </c>
      <c r="M1150">
        <v>24</v>
      </c>
      <c r="O1150" t="s">
        <v>163</v>
      </c>
      <c r="P1150" t="s">
        <v>15</v>
      </c>
      <c r="Q1150" t="s">
        <v>403</v>
      </c>
      <c r="R1150" t="s">
        <v>1021</v>
      </c>
    </row>
    <row r="1151" spans="1:18">
      <c r="A1151" t="s">
        <v>1019</v>
      </c>
      <c r="C1151" t="s">
        <v>393</v>
      </c>
      <c r="D1151" t="s">
        <v>502</v>
      </c>
      <c r="E1151" t="s">
        <v>368</v>
      </c>
      <c r="F1151" t="s">
        <v>368</v>
      </c>
      <c r="G1151" t="s">
        <v>1022</v>
      </c>
      <c r="I1151">
        <v>38.054302</v>
      </c>
      <c r="J1151">
        <v>-126.506135</v>
      </c>
      <c r="K1151">
        <v>1991</v>
      </c>
      <c r="M1151">
        <v>24</v>
      </c>
      <c r="O1151" t="s">
        <v>163</v>
      </c>
      <c r="P1151" t="s">
        <v>15</v>
      </c>
      <c r="Q1151" t="s">
        <v>403</v>
      </c>
      <c r="R1151" t="s">
        <v>1021</v>
      </c>
    </row>
    <row r="1152" spans="1:18">
      <c r="A1152" t="s">
        <v>1019</v>
      </c>
      <c r="C1152" t="s">
        <v>393</v>
      </c>
      <c r="D1152" t="s">
        <v>502</v>
      </c>
      <c r="E1152" t="s">
        <v>368</v>
      </c>
      <c r="F1152" t="s">
        <v>368</v>
      </c>
      <c r="G1152" t="s">
        <v>1023</v>
      </c>
      <c r="I1152">
        <v>38.054302</v>
      </c>
      <c r="J1152">
        <v>-126.506135</v>
      </c>
      <c r="K1152">
        <v>1991</v>
      </c>
      <c r="M1152">
        <v>24</v>
      </c>
      <c r="O1152" t="s">
        <v>163</v>
      </c>
      <c r="P1152" t="s">
        <v>15</v>
      </c>
      <c r="Q1152" t="s">
        <v>403</v>
      </c>
      <c r="R1152" t="s">
        <v>1021</v>
      </c>
    </row>
    <row r="1153" spans="1:18">
      <c r="A1153" t="s">
        <v>1019</v>
      </c>
      <c r="C1153" t="s">
        <v>393</v>
      </c>
      <c r="D1153" t="s">
        <v>502</v>
      </c>
      <c r="E1153" t="s">
        <v>368</v>
      </c>
      <c r="F1153" t="s">
        <v>368</v>
      </c>
      <c r="G1153" t="s">
        <v>1024</v>
      </c>
      <c r="I1153">
        <v>38.054302</v>
      </c>
      <c r="J1153">
        <v>-126.506135</v>
      </c>
      <c r="K1153">
        <v>1991</v>
      </c>
      <c r="M1153">
        <v>24</v>
      </c>
      <c r="O1153" t="s">
        <v>163</v>
      </c>
      <c r="P1153" t="s">
        <v>15</v>
      </c>
      <c r="Q1153" t="s">
        <v>403</v>
      </c>
      <c r="R1153" t="s">
        <v>1021</v>
      </c>
    </row>
    <row r="1154" spans="1:18">
      <c r="A1154" t="s">
        <v>1019</v>
      </c>
      <c r="C1154" t="s">
        <v>393</v>
      </c>
      <c r="D1154" t="s">
        <v>502</v>
      </c>
      <c r="E1154" t="s">
        <v>368</v>
      </c>
      <c r="F1154" t="s">
        <v>368</v>
      </c>
      <c r="G1154" t="s">
        <v>1025</v>
      </c>
      <c r="I1154">
        <v>38.054302</v>
      </c>
      <c r="J1154">
        <v>-126.506135</v>
      </c>
      <c r="K1154">
        <v>1991</v>
      </c>
      <c r="M1154">
        <v>24</v>
      </c>
      <c r="O1154" t="s">
        <v>163</v>
      </c>
      <c r="P1154" t="s">
        <v>15</v>
      </c>
      <c r="Q1154" t="s">
        <v>403</v>
      </c>
      <c r="R1154" t="s">
        <v>1021</v>
      </c>
    </row>
    <row r="1155" spans="1:18">
      <c r="A1155" t="s">
        <v>1019</v>
      </c>
      <c r="C1155" t="s">
        <v>393</v>
      </c>
      <c r="D1155" t="s">
        <v>502</v>
      </c>
      <c r="E1155" t="s">
        <v>368</v>
      </c>
      <c r="F1155" t="s">
        <v>368</v>
      </c>
      <c r="G1155" t="s">
        <v>1026</v>
      </c>
      <c r="I1155">
        <v>38.054302</v>
      </c>
      <c r="J1155">
        <v>-126.506135</v>
      </c>
      <c r="K1155">
        <v>1991</v>
      </c>
      <c r="M1155">
        <v>24</v>
      </c>
      <c r="O1155" t="s">
        <v>163</v>
      </c>
      <c r="P1155" t="s">
        <v>15</v>
      </c>
      <c r="Q1155" t="s">
        <v>403</v>
      </c>
      <c r="R1155" t="s">
        <v>1021</v>
      </c>
    </row>
    <row r="1156" spans="1:18">
      <c r="A1156" t="s">
        <v>1019</v>
      </c>
      <c r="C1156" t="s">
        <v>393</v>
      </c>
      <c r="D1156" t="s">
        <v>502</v>
      </c>
      <c r="E1156" t="s">
        <v>368</v>
      </c>
      <c r="F1156" t="s">
        <v>368</v>
      </c>
      <c r="G1156" t="s">
        <v>1027</v>
      </c>
      <c r="I1156">
        <v>38.054302</v>
      </c>
      <c r="J1156">
        <v>-126.506135</v>
      </c>
      <c r="K1156">
        <v>1991</v>
      </c>
      <c r="M1156">
        <v>24</v>
      </c>
      <c r="O1156" t="s">
        <v>163</v>
      </c>
      <c r="P1156" t="s">
        <v>15</v>
      </c>
      <c r="Q1156" t="s">
        <v>403</v>
      </c>
      <c r="R1156" t="s">
        <v>1021</v>
      </c>
    </row>
    <row r="1157" spans="1:18">
      <c r="A1157" t="s">
        <v>1019</v>
      </c>
      <c r="C1157" t="s">
        <v>393</v>
      </c>
      <c r="D1157" t="s">
        <v>502</v>
      </c>
      <c r="E1157" t="s">
        <v>368</v>
      </c>
      <c r="F1157" t="s">
        <v>368</v>
      </c>
      <c r="G1157" t="s">
        <v>1028</v>
      </c>
      <c r="I1157">
        <v>38.054302</v>
      </c>
      <c r="J1157">
        <v>-126.506135</v>
      </c>
      <c r="K1157">
        <v>1991</v>
      </c>
      <c r="M1157">
        <v>24</v>
      </c>
      <c r="O1157" t="s">
        <v>163</v>
      </c>
      <c r="P1157" t="s">
        <v>15</v>
      </c>
      <c r="Q1157" t="s">
        <v>403</v>
      </c>
      <c r="R1157" t="s">
        <v>1021</v>
      </c>
    </row>
    <row r="1158" spans="1:18">
      <c r="A1158" t="s">
        <v>1029</v>
      </c>
      <c r="C1158" t="s">
        <v>393</v>
      </c>
      <c r="D1158" t="s">
        <v>1030</v>
      </c>
      <c r="E1158" t="s">
        <v>368</v>
      </c>
      <c r="F1158" t="s">
        <v>368</v>
      </c>
      <c r="G1158" t="s">
        <v>369</v>
      </c>
      <c r="I1158">
        <v>77.578756999999996</v>
      </c>
      <c r="J1158">
        <v>-151.86659800000001</v>
      </c>
      <c r="K1158">
        <v>1985</v>
      </c>
      <c r="M1158">
        <v>32</v>
      </c>
      <c r="O1158" t="s">
        <v>163</v>
      </c>
      <c r="P1158" t="s">
        <v>15</v>
      </c>
      <c r="Q1158" t="s">
        <v>403</v>
      </c>
      <c r="R1158" t="s">
        <v>1031</v>
      </c>
    </row>
    <row r="1159" spans="1:18">
      <c r="A1159" t="s">
        <v>1032</v>
      </c>
      <c r="C1159" t="s">
        <v>393</v>
      </c>
      <c r="D1159" t="s">
        <v>1033</v>
      </c>
      <c r="E1159" t="s">
        <v>368</v>
      </c>
      <c r="F1159" t="s">
        <v>368</v>
      </c>
      <c r="G1159" t="s">
        <v>369</v>
      </c>
      <c r="I1159">
        <v>70.5</v>
      </c>
      <c r="J1159">
        <v>-148</v>
      </c>
      <c r="K1159">
        <v>1979</v>
      </c>
      <c r="M1159">
        <v>27</v>
      </c>
      <c r="O1159" t="s">
        <v>163</v>
      </c>
      <c r="P1159" t="s">
        <v>15</v>
      </c>
      <c r="Q1159" t="s">
        <v>403</v>
      </c>
      <c r="R1159" t="s">
        <v>1034</v>
      </c>
    </row>
    <row r="1160" spans="1:18">
      <c r="A1160" t="s">
        <v>1035</v>
      </c>
      <c r="C1160" t="s">
        <v>393</v>
      </c>
      <c r="D1160" t="s">
        <v>1036</v>
      </c>
      <c r="E1160" t="s">
        <v>368</v>
      </c>
      <c r="F1160" t="s">
        <v>368</v>
      </c>
      <c r="G1160" t="s">
        <v>1037</v>
      </c>
      <c r="I1160">
        <v>69</v>
      </c>
      <c r="J1160">
        <v>-56</v>
      </c>
      <c r="K1160">
        <v>1981</v>
      </c>
      <c r="M1160">
        <v>22</v>
      </c>
      <c r="O1160" t="s">
        <v>163</v>
      </c>
      <c r="P1160" t="s">
        <v>15</v>
      </c>
      <c r="Q1160" t="s">
        <v>403</v>
      </c>
      <c r="R1160" t="s">
        <v>1038</v>
      </c>
    </row>
    <row r="1161" spans="1:18">
      <c r="A1161" t="s">
        <v>1039</v>
      </c>
      <c r="C1161" t="s">
        <v>393</v>
      </c>
      <c r="D1161" t="s">
        <v>1040</v>
      </c>
      <c r="E1161" t="s">
        <v>368</v>
      </c>
      <c r="F1161" t="s">
        <v>368</v>
      </c>
      <c r="G1161" t="s">
        <v>369</v>
      </c>
      <c r="I1161">
        <v>70</v>
      </c>
      <c r="J1161">
        <v>-60</v>
      </c>
      <c r="K1161">
        <v>1991</v>
      </c>
      <c r="M1161">
        <v>25</v>
      </c>
      <c r="O1161">
        <v>46.6</v>
      </c>
      <c r="P1161" t="s">
        <v>15</v>
      </c>
      <c r="Q1161" t="s">
        <v>403</v>
      </c>
      <c r="R1161" t="s">
        <v>1041</v>
      </c>
    </row>
    <row r="1162" spans="1:18">
      <c r="A1162" t="s">
        <v>1042</v>
      </c>
      <c r="C1162" t="s">
        <v>393</v>
      </c>
      <c r="D1162" t="s">
        <v>1030</v>
      </c>
      <c r="E1162" t="s">
        <v>368</v>
      </c>
      <c r="F1162" t="s">
        <v>368</v>
      </c>
      <c r="G1162" t="s">
        <v>369</v>
      </c>
      <c r="I1162">
        <v>74</v>
      </c>
      <c r="J1162">
        <v>-152</v>
      </c>
      <c r="K1162">
        <v>1985</v>
      </c>
      <c r="M1162">
        <v>29</v>
      </c>
      <c r="O1162">
        <v>220</v>
      </c>
      <c r="P1162" t="s">
        <v>15</v>
      </c>
      <c r="Q1162" t="s">
        <v>403</v>
      </c>
      <c r="R1162" t="s">
        <v>1043</v>
      </c>
    </row>
    <row r="1163" spans="1:18">
      <c r="A1163" t="s">
        <v>1044</v>
      </c>
      <c r="C1163" t="s">
        <v>393</v>
      </c>
      <c r="D1163" t="s">
        <v>1045</v>
      </c>
      <c r="E1163" t="s">
        <v>368</v>
      </c>
      <c r="F1163" t="s">
        <v>368</v>
      </c>
      <c r="G1163" t="s">
        <v>1037</v>
      </c>
      <c r="I1163">
        <v>78.897749000000005</v>
      </c>
      <c r="J1163">
        <v>13.011514</v>
      </c>
      <c r="K1163">
        <v>1995</v>
      </c>
      <c r="M1163">
        <v>22</v>
      </c>
      <c r="O1163" t="s">
        <v>163</v>
      </c>
      <c r="P1163" t="s">
        <v>15</v>
      </c>
      <c r="Q1163" t="s">
        <v>403</v>
      </c>
      <c r="R1163" t="s">
        <v>1046</v>
      </c>
    </row>
    <row r="1164" spans="1:18">
      <c r="A1164" t="s">
        <v>692</v>
      </c>
      <c r="C1164" t="s">
        <v>393</v>
      </c>
      <c r="D1164" t="s">
        <v>693</v>
      </c>
      <c r="E1164" t="s">
        <v>368</v>
      </c>
      <c r="F1164" t="s">
        <v>368</v>
      </c>
      <c r="G1164" t="s">
        <v>1047</v>
      </c>
      <c r="H1164" t="s">
        <v>399</v>
      </c>
      <c r="K1164">
        <v>1992</v>
      </c>
      <c r="L1164">
        <v>2016</v>
      </c>
      <c r="M1164">
        <f>L1164-K1164+1</f>
        <v>25</v>
      </c>
      <c r="O1164">
        <v>225</v>
      </c>
      <c r="P1164" t="s">
        <v>15</v>
      </c>
      <c r="Q1164" t="s">
        <v>1048</v>
      </c>
    </row>
    <row r="1165" spans="1:18">
      <c r="A1165" t="s">
        <v>1049</v>
      </c>
      <c r="C1165" t="s">
        <v>393</v>
      </c>
      <c r="D1165" t="s">
        <v>554</v>
      </c>
      <c r="E1165" t="s">
        <v>36</v>
      </c>
      <c r="G1165" t="s">
        <v>1050</v>
      </c>
      <c r="H1165" t="s">
        <v>457</v>
      </c>
      <c r="K1165">
        <v>1950</v>
      </c>
      <c r="O1165">
        <v>10.26</v>
      </c>
      <c r="P1165" t="s">
        <v>15</v>
      </c>
      <c r="Q1165" t="s">
        <v>398</v>
      </c>
    </row>
    <row r="1166" spans="1:18">
      <c r="A1166" t="s">
        <v>1049</v>
      </c>
      <c r="C1166" t="s">
        <v>393</v>
      </c>
      <c r="D1166" t="s">
        <v>554</v>
      </c>
      <c r="E1166" t="s">
        <v>36</v>
      </c>
      <c r="G1166" t="s">
        <v>1051</v>
      </c>
      <c r="H1166" t="s">
        <v>457</v>
      </c>
      <c r="K1166">
        <v>1950</v>
      </c>
      <c r="O1166">
        <v>30.560000000000002</v>
      </c>
      <c r="P1166" t="s">
        <v>15</v>
      </c>
      <c r="Q1166" t="s">
        <v>398</v>
      </c>
    </row>
    <row r="1167" spans="1:18">
      <c r="A1167" t="s">
        <v>1052</v>
      </c>
      <c r="C1167" t="s">
        <v>393</v>
      </c>
      <c r="D1167" t="s">
        <v>693</v>
      </c>
      <c r="E1167" t="s">
        <v>368</v>
      </c>
      <c r="F1167" t="s">
        <v>368</v>
      </c>
      <c r="G1167" t="s">
        <v>1053</v>
      </c>
      <c r="H1167" t="s">
        <v>666</v>
      </c>
      <c r="K1167">
        <v>1996</v>
      </c>
      <c r="L1167">
        <v>2020</v>
      </c>
      <c r="M1167">
        <f t="shared" ref="M1167:M1181" si="2">L1167-K1167+1</f>
        <v>25</v>
      </c>
      <c r="O1167">
        <v>52</v>
      </c>
      <c r="P1167" t="s">
        <v>15</v>
      </c>
      <c r="Q1167" t="s">
        <v>1054</v>
      </c>
    </row>
    <row r="1168" spans="1:18">
      <c r="A1168" t="s">
        <v>1052</v>
      </c>
      <c r="C1168" t="s">
        <v>393</v>
      </c>
      <c r="D1168" t="s">
        <v>693</v>
      </c>
      <c r="E1168" t="s">
        <v>368</v>
      </c>
      <c r="F1168" t="s">
        <v>368</v>
      </c>
      <c r="G1168" t="s">
        <v>1053</v>
      </c>
      <c r="H1168" t="s">
        <v>396</v>
      </c>
      <c r="K1168">
        <v>1996</v>
      </c>
      <c r="L1168">
        <v>2020</v>
      </c>
      <c r="M1168">
        <f t="shared" si="2"/>
        <v>25</v>
      </c>
      <c r="O1168">
        <v>266</v>
      </c>
      <c r="P1168" t="s">
        <v>15</v>
      </c>
      <c r="Q1168" t="s">
        <v>1054</v>
      </c>
    </row>
    <row r="1169" spans="1:17">
      <c r="A1169" t="s">
        <v>1052</v>
      </c>
      <c r="C1169" t="s">
        <v>393</v>
      </c>
      <c r="D1169" t="s">
        <v>693</v>
      </c>
      <c r="E1169" t="s">
        <v>368</v>
      </c>
      <c r="F1169" t="s">
        <v>368</v>
      </c>
      <c r="G1169" t="s">
        <v>1047</v>
      </c>
      <c r="H1169" t="s">
        <v>666</v>
      </c>
      <c r="K1169">
        <v>1996</v>
      </c>
      <c r="L1169">
        <v>2020</v>
      </c>
      <c r="M1169">
        <f t="shared" si="2"/>
        <v>25</v>
      </c>
      <c r="O1169">
        <v>131</v>
      </c>
      <c r="P1169" t="s">
        <v>15</v>
      </c>
      <c r="Q1169" t="s">
        <v>1054</v>
      </c>
    </row>
    <row r="1170" spans="1:17">
      <c r="A1170" t="s">
        <v>1052</v>
      </c>
      <c r="C1170" t="s">
        <v>393</v>
      </c>
      <c r="D1170" t="s">
        <v>693</v>
      </c>
      <c r="E1170" t="s">
        <v>368</v>
      </c>
      <c r="F1170" t="s">
        <v>368</v>
      </c>
      <c r="G1170" t="s">
        <v>1047</v>
      </c>
      <c r="H1170" t="s">
        <v>396</v>
      </c>
      <c r="K1170">
        <v>1996</v>
      </c>
      <c r="L1170">
        <v>2020</v>
      </c>
      <c r="M1170">
        <f t="shared" si="2"/>
        <v>25</v>
      </c>
      <c r="O1170">
        <v>406</v>
      </c>
      <c r="P1170" t="s">
        <v>15</v>
      </c>
      <c r="Q1170" t="s">
        <v>1054</v>
      </c>
    </row>
    <row r="1171" spans="1:17">
      <c r="A1171" t="s">
        <v>1052</v>
      </c>
      <c r="C1171" t="s">
        <v>393</v>
      </c>
      <c r="D1171" t="s">
        <v>693</v>
      </c>
      <c r="E1171" t="s">
        <v>368</v>
      </c>
      <c r="F1171" t="s">
        <v>368</v>
      </c>
      <c r="G1171" t="s">
        <v>1055</v>
      </c>
      <c r="H1171" t="s">
        <v>666</v>
      </c>
      <c r="K1171">
        <v>1996</v>
      </c>
      <c r="L1171">
        <v>2020</v>
      </c>
      <c r="M1171">
        <f t="shared" si="2"/>
        <v>25</v>
      </c>
      <c r="O1171">
        <v>140</v>
      </c>
      <c r="P1171" t="s">
        <v>15</v>
      </c>
      <c r="Q1171" t="s">
        <v>1054</v>
      </c>
    </row>
    <row r="1172" spans="1:17">
      <c r="A1172" t="s">
        <v>1052</v>
      </c>
      <c r="C1172" t="s">
        <v>393</v>
      </c>
      <c r="D1172" t="s">
        <v>693</v>
      </c>
      <c r="E1172" t="s">
        <v>368</v>
      </c>
      <c r="F1172" t="s">
        <v>368</v>
      </c>
      <c r="G1172" t="s">
        <v>1055</v>
      </c>
      <c r="H1172" t="s">
        <v>396</v>
      </c>
      <c r="K1172">
        <v>1996</v>
      </c>
      <c r="L1172">
        <v>2020</v>
      </c>
      <c r="M1172">
        <f t="shared" si="2"/>
        <v>25</v>
      </c>
      <c r="O1172">
        <v>112</v>
      </c>
      <c r="P1172" t="s">
        <v>15</v>
      </c>
      <c r="Q1172" t="s">
        <v>1054</v>
      </c>
    </row>
    <row r="1173" spans="1:17">
      <c r="A1173" t="s">
        <v>1052</v>
      </c>
      <c r="C1173" t="s">
        <v>393</v>
      </c>
      <c r="D1173" t="s">
        <v>693</v>
      </c>
      <c r="E1173" t="s">
        <v>368</v>
      </c>
      <c r="F1173" t="s">
        <v>368</v>
      </c>
      <c r="G1173" t="s">
        <v>1056</v>
      </c>
      <c r="H1173" t="s">
        <v>666</v>
      </c>
      <c r="K1173">
        <v>1996</v>
      </c>
      <c r="L1173">
        <v>2020</v>
      </c>
      <c r="M1173">
        <f t="shared" si="2"/>
        <v>25</v>
      </c>
      <c r="O1173">
        <v>87</v>
      </c>
      <c r="P1173" t="s">
        <v>15</v>
      </c>
      <c r="Q1173" t="s">
        <v>1054</v>
      </c>
    </row>
    <row r="1174" spans="1:17">
      <c r="A1174" t="s">
        <v>1052</v>
      </c>
      <c r="C1174" t="s">
        <v>393</v>
      </c>
      <c r="D1174" t="s">
        <v>693</v>
      </c>
      <c r="E1174" t="s">
        <v>368</v>
      </c>
      <c r="F1174" t="s">
        <v>368</v>
      </c>
      <c r="G1174" t="s">
        <v>1057</v>
      </c>
      <c r="H1174" t="s">
        <v>666</v>
      </c>
      <c r="K1174">
        <v>1996</v>
      </c>
      <c r="L1174">
        <v>2020</v>
      </c>
      <c r="M1174">
        <f t="shared" si="2"/>
        <v>25</v>
      </c>
      <c r="O1174" t="s">
        <v>163</v>
      </c>
      <c r="P1174" t="s">
        <v>15</v>
      </c>
      <c r="Q1174" t="s">
        <v>1054</v>
      </c>
    </row>
    <row r="1175" spans="1:17">
      <c r="A1175" t="s">
        <v>1052</v>
      </c>
      <c r="C1175" t="s">
        <v>393</v>
      </c>
      <c r="D1175" t="s">
        <v>693</v>
      </c>
      <c r="E1175" t="s">
        <v>368</v>
      </c>
      <c r="F1175" t="s">
        <v>368</v>
      </c>
      <c r="G1175" t="s">
        <v>1058</v>
      </c>
      <c r="H1175" t="s">
        <v>666</v>
      </c>
      <c r="K1175">
        <v>1996</v>
      </c>
      <c r="L1175">
        <v>2020</v>
      </c>
      <c r="M1175">
        <f t="shared" si="2"/>
        <v>25</v>
      </c>
      <c r="O1175" t="s">
        <v>163</v>
      </c>
      <c r="P1175" t="s">
        <v>15</v>
      </c>
      <c r="Q1175" t="s">
        <v>1054</v>
      </c>
    </row>
    <row r="1176" spans="1:17">
      <c r="A1176" t="s">
        <v>1052</v>
      </c>
      <c r="C1176" t="s">
        <v>393</v>
      </c>
      <c r="D1176" t="s">
        <v>693</v>
      </c>
      <c r="E1176" t="s">
        <v>368</v>
      </c>
      <c r="F1176" t="s">
        <v>368</v>
      </c>
      <c r="G1176" t="s">
        <v>1059</v>
      </c>
      <c r="H1176" t="s">
        <v>666</v>
      </c>
      <c r="K1176">
        <v>1996</v>
      </c>
      <c r="L1176">
        <v>2020</v>
      </c>
      <c r="M1176">
        <f t="shared" si="2"/>
        <v>25</v>
      </c>
      <c r="O1176">
        <v>93</v>
      </c>
      <c r="P1176" t="s">
        <v>15</v>
      </c>
      <c r="Q1176" t="s">
        <v>1054</v>
      </c>
    </row>
    <row r="1177" spans="1:17">
      <c r="A1177" t="s">
        <v>1052</v>
      </c>
      <c r="C1177" t="s">
        <v>393</v>
      </c>
      <c r="D1177" t="s">
        <v>693</v>
      </c>
      <c r="E1177" t="s">
        <v>368</v>
      </c>
      <c r="F1177" t="s">
        <v>368</v>
      </c>
      <c r="G1177" t="s">
        <v>1060</v>
      </c>
      <c r="H1177" t="s">
        <v>666</v>
      </c>
      <c r="K1177">
        <v>1996</v>
      </c>
      <c r="L1177">
        <v>2020</v>
      </c>
      <c r="M1177">
        <f t="shared" si="2"/>
        <v>25</v>
      </c>
      <c r="O1177" t="s">
        <v>163</v>
      </c>
      <c r="P1177" t="s">
        <v>15</v>
      </c>
      <c r="Q1177" t="s">
        <v>1054</v>
      </c>
    </row>
    <row r="1178" spans="1:17">
      <c r="A1178" t="s">
        <v>1052</v>
      </c>
      <c r="C1178" t="s">
        <v>393</v>
      </c>
      <c r="D1178" t="s">
        <v>693</v>
      </c>
      <c r="E1178" t="s">
        <v>368</v>
      </c>
      <c r="F1178" t="s">
        <v>368</v>
      </c>
      <c r="G1178" t="s">
        <v>1061</v>
      </c>
      <c r="H1178" t="s">
        <v>666</v>
      </c>
      <c r="K1178">
        <v>1996</v>
      </c>
      <c r="L1178">
        <v>2020</v>
      </c>
      <c r="M1178">
        <f t="shared" si="2"/>
        <v>25</v>
      </c>
      <c r="O1178">
        <v>278</v>
      </c>
      <c r="P1178" t="s">
        <v>15</v>
      </c>
      <c r="Q1178" t="s">
        <v>1054</v>
      </c>
    </row>
    <row r="1179" spans="1:17">
      <c r="A1179" t="s">
        <v>1062</v>
      </c>
      <c r="C1179" t="s">
        <v>393</v>
      </c>
      <c r="D1179" t="s">
        <v>1063</v>
      </c>
      <c r="E1179" t="s">
        <v>368</v>
      </c>
      <c r="F1179" t="s">
        <v>368</v>
      </c>
      <c r="G1179" t="s">
        <v>1064</v>
      </c>
      <c r="H1179" t="s">
        <v>666</v>
      </c>
      <c r="K1179">
        <v>1980</v>
      </c>
      <c r="L1179">
        <v>2009</v>
      </c>
      <c r="M1179">
        <f t="shared" si="2"/>
        <v>30</v>
      </c>
      <c r="O1179" t="s">
        <v>163</v>
      </c>
      <c r="P1179" t="s">
        <v>15</v>
      </c>
      <c r="Q1179" t="s">
        <v>1065</v>
      </c>
    </row>
    <row r="1180" spans="1:17">
      <c r="A1180" t="s">
        <v>1066</v>
      </c>
      <c r="C1180" t="s">
        <v>393</v>
      </c>
      <c r="D1180" t="s">
        <v>1067</v>
      </c>
      <c r="E1180" t="s">
        <v>1068</v>
      </c>
      <c r="F1180" t="s">
        <v>368</v>
      </c>
      <c r="G1180" t="s">
        <v>1069</v>
      </c>
      <c r="H1180" t="s">
        <v>666</v>
      </c>
      <c r="K1180">
        <v>1980</v>
      </c>
      <c r="L1180">
        <v>2010</v>
      </c>
      <c r="M1180">
        <f t="shared" si="2"/>
        <v>31</v>
      </c>
      <c r="O1180" t="s">
        <v>163</v>
      </c>
      <c r="P1180" t="s">
        <v>15</v>
      </c>
      <c r="Q1180" t="s">
        <v>1048</v>
      </c>
    </row>
    <row r="1181" spans="1:17">
      <c r="A1181" t="s">
        <v>1070</v>
      </c>
      <c r="C1181" t="s">
        <v>393</v>
      </c>
      <c r="D1181" t="s">
        <v>1071</v>
      </c>
      <c r="E1181" t="s">
        <v>368</v>
      </c>
      <c r="F1181" t="s">
        <v>368</v>
      </c>
      <c r="G1181" t="s">
        <v>665</v>
      </c>
      <c r="H1181" t="s">
        <v>163</v>
      </c>
      <c r="K1181">
        <v>2002</v>
      </c>
      <c r="L1181">
        <v>2023</v>
      </c>
      <c r="M1181">
        <f t="shared" si="2"/>
        <v>22</v>
      </c>
      <c r="O1181" t="s">
        <v>163</v>
      </c>
      <c r="P1181" t="s">
        <v>15</v>
      </c>
      <c r="Q1181" t="s">
        <v>1072</v>
      </c>
    </row>
    <row r="1182" spans="1:17">
      <c r="A1182" t="s">
        <v>504</v>
      </c>
      <c r="C1182" t="s">
        <v>393</v>
      </c>
      <c r="D1182" t="s">
        <v>505</v>
      </c>
      <c r="E1182" t="s">
        <v>161</v>
      </c>
      <c r="G1182" t="s">
        <v>1073</v>
      </c>
      <c r="H1182" t="s">
        <v>457</v>
      </c>
      <c r="K1182">
        <v>1993</v>
      </c>
      <c r="O1182">
        <v>0.76</v>
      </c>
      <c r="P1182" t="s">
        <v>15</v>
      </c>
      <c r="Q1182" t="s">
        <v>398</v>
      </c>
    </row>
    <row r="1183" spans="1:17">
      <c r="A1183" t="s">
        <v>504</v>
      </c>
      <c r="C1183" t="s">
        <v>393</v>
      </c>
      <c r="D1183" t="s">
        <v>505</v>
      </c>
      <c r="E1183" t="s">
        <v>161</v>
      </c>
      <c r="G1183" t="s">
        <v>1074</v>
      </c>
      <c r="H1183" t="s">
        <v>457</v>
      </c>
      <c r="K1183">
        <v>1993</v>
      </c>
      <c r="O1183">
        <v>1.2</v>
      </c>
      <c r="P1183" t="s">
        <v>15</v>
      </c>
      <c r="Q1183" t="s">
        <v>398</v>
      </c>
    </row>
    <row r="1184" spans="1:17">
      <c r="A1184" t="s">
        <v>504</v>
      </c>
      <c r="C1184" t="s">
        <v>393</v>
      </c>
      <c r="D1184" t="s">
        <v>505</v>
      </c>
      <c r="E1184" t="s">
        <v>161</v>
      </c>
      <c r="G1184" t="s">
        <v>1075</v>
      </c>
      <c r="H1184" t="s">
        <v>457</v>
      </c>
      <c r="K1184">
        <v>1993</v>
      </c>
      <c r="O1184">
        <v>1.2</v>
      </c>
      <c r="P1184" t="s">
        <v>15</v>
      </c>
      <c r="Q1184" t="s">
        <v>398</v>
      </c>
    </row>
    <row r="1185" spans="1:17">
      <c r="A1185" t="s">
        <v>504</v>
      </c>
      <c r="C1185" t="s">
        <v>393</v>
      </c>
      <c r="D1185" t="s">
        <v>505</v>
      </c>
      <c r="E1185" t="s">
        <v>161</v>
      </c>
      <c r="G1185" t="s">
        <v>1076</v>
      </c>
      <c r="H1185" t="s">
        <v>457</v>
      </c>
      <c r="K1185">
        <v>1993</v>
      </c>
      <c r="O1185">
        <v>1.49</v>
      </c>
      <c r="P1185" t="s">
        <v>15</v>
      </c>
      <c r="Q1185" t="s">
        <v>398</v>
      </c>
    </row>
    <row r="1186" spans="1:17">
      <c r="A1186" t="s">
        <v>504</v>
      </c>
      <c r="C1186" t="s">
        <v>393</v>
      </c>
      <c r="D1186" t="s">
        <v>505</v>
      </c>
      <c r="E1186" t="s">
        <v>161</v>
      </c>
      <c r="G1186" t="s">
        <v>1077</v>
      </c>
      <c r="H1186" t="s">
        <v>457</v>
      </c>
      <c r="K1186">
        <v>1993</v>
      </c>
      <c r="O1186">
        <v>1.6300000000000001</v>
      </c>
      <c r="P1186" t="s">
        <v>15</v>
      </c>
      <c r="Q1186" t="s">
        <v>398</v>
      </c>
    </row>
    <row r="1187" spans="1:17">
      <c r="A1187" t="s">
        <v>504</v>
      </c>
      <c r="C1187" t="s">
        <v>393</v>
      </c>
      <c r="D1187" t="s">
        <v>505</v>
      </c>
      <c r="E1187" t="s">
        <v>161</v>
      </c>
      <c r="G1187" t="s">
        <v>1078</v>
      </c>
      <c r="H1187" t="s">
        <v>457</v>
      </c>
      <c r="K1187">
        <v>1993</v>
      </c>
      <c r="O1187">
        <v>3.25</v>
      </c>
      <c r="P1187" t="s">
        <v>15</v>
      </c>
      <c r="Q1187" t="s">
        <v>398</v>
      </c>
    </row>
    <row r="1188" spans="1:17">
      <c r="A1188" t="s">
        <v>504</v>
      </c>
      <c r="C1188" t="s">
        <v>393</v>
      </c>
      <c r="D1188" t="s">
        <v>505</v>
      </c>
      <c r="E1188" t="s">
        <v>161</v>
      </c>
      <c r="G1188" t="s">
        <v>1079</v>
      </c>
      <c r="H1188" t="s">
        <v>457</v>
      </c>
      <c r="K1188">
        <v>1993</v>
      </c>
      <c r="O1188">
        <v>5.17</v>
      </c>
      <c r="P1188" t="s">
        <v>15</v>
      </c>
      <c r="Q1188" t="s">
        <v>398</v>
      </c>
    </row>
    <row r="1189" spans="1:17">
      <c r="A1189" t="s">
        <v>504</v>
      </c>
      <c r="C1189" t="s">
        <v>393</v>
      </c>
      <c r="D1189" t="s">
        <v>505</v>
      </c>
      <c r="E1189" t="s">
        <v>161</v>
      </c>
      <c r="G1189" t="s">
        <v>1080</v>
      </c>
      <c r="H1189" t="s">
        <v>457</v>
      </c>
      <c r="K1189">
        <v>1993</v>
      </c>
      <c r="O1189">
        <v>11.719999999999999</v>
      </c>
      <c r="P1189" t="s">
        <v>15</v>
      </c>
      <c r="Q1189" t="s">
        <v>398</v>
      </c>
    </row>
    <row r="1190" spans="1:17">
      <c r="A1190" t="s">
        <v>504</v>
      </c>
      <c r="C1190" t="s">
        <v>393</v>
      </c>
      <c r="D1190" t="s">
        <v>505</v>
      </c>
      <c r="E1190" t="s">
        <v>161</v>
      </c>
      <c r="G1190" t="s">
        <v>1081</v>
      </c>
      <c r="H1190" t="s">
        <v>457</v>
      </c>
      <c r="K1190">
        <v>1993</v>
      </c>
      <c r="O1190">
        <v>12.450000000000001</v>
      </c>
      <c r="P1190" t="s">
        <v>15</v>
      </c>
      <c r="Q1190" t="s">
        <v>398</v>
      </c>
    </row>
    <row r="1191" spans="1:17">
      <c r="A1191" t="s">
        <v>504</v>
      </c>
      <c r="C1191" t="s">
        <v>393</v>
      </c>
      <c r="D1191" t="s">
        <v>505</v>
      </c>
      <c r="E1191" t="s">
        <v>161</v>
      </c>
      <c r="G1191" t="s">
        <v>1082</v>
      </c>
      <c r="H1191" t="s">
        <v>457</v>
      </c>
      <c r="K1191">
        <v>1993</v>
      </c>
      <c r="O1191">
        <v>14.64</v>
      </c>
      <c r="P1191" t="s">
        <v>15</v>
      </c>
      <c r="Q1191" t="s">
        <v>398</v>
      </c>
    </row>
    <row r="1192" spans="1:17">
      <c r="A1192" t="s">
        <v>504</v>
      </c>
      <c r="C1192" t="s">
        <v>393</v>
      </c>
      <c r="D1192" t="s">
        <v>505</v>
      </c>
      <c r="E1192" t="s">
        <v>161</v>
      </c>
      <c r="G1192" t="s">
        <v>1083</v>
      </c>
      <c r="H1192" t="s">
        <v>457</v>
      </c>
      <c r="K1192">
        <v>1993</v>
      </c>
      <c r="O1192">
        <v>20.689999999999998</v>
      </c>
      <c r="P1192" t="s">
        <v>15</v>
      </c>
      <c r="Q1192" t="s">
        <v>398</v>
      </c>
    </row>
    <row r="1193" spans="1:17">
      <c r="A1193" t="s">
        <v>504</v>
      </c>
      <c r="C1193" t="s">
        <v>393</v>
      </c>
      <c r="D1193" t="s">
        <v>505</v>
      </c>
      <c r="E1193" t="s">
        <v>161</v>
      </c>
      <c r="G1193" t="s">
        <v>1084</v>
      </c>
      <c r="H1193" t="s">
        <v>457</v>
      </c>
      <c r="K1193">
        <v>1993</v>
      </c>
      <c r="O1193">
        <v>21.02</v>
      </c>
      <c r="P1193" t="s">
        <v>15</v>
      </c>
      <c r="Q1193" t="s">
        <v>398</v>
      </c>
    </row>
    <row r="1194" spans="1:17">
      <c r="A1194" t="s">
        <v>504</v>
      </c>
      <c r="C1194" t="s">
        <v>393</v>
      </c>
      <c r="D1194" t="s">
        <v>505</v>
      </c>
      <c r="E1194" t="s">
        <v>161</v>
      </c>
      <c r="G1194" t="s">
        <v>1085</v>
      </c>
      <c r="H1194" t="s">
        <v>457</v>
      </c>
      <c r="K1194">
        <v>1993</v>
      </c>
      <c r="O1194">
        <v>23.21</v>
      </c>
      <c r="P1194" t="s">
        <v>15</v>
      </c>
      <c r="Q1194" t="s">
        <v>398</v>
      </c>
    </row>
    <row r="1195" spans="1:17">
      <c r="A1195" t="s">
        <v>504</v>
      </c>
      <c r="C1195" t="s">
        <v>393</v>
      </c>
      <c r="D1195" t="s">
        <v>505</v>
      </c>
      <c r="E1195" t="s">
        <v>161</v>
      </c>
      <c r="G1195" t="s">
        <v>1086</v>
      </c>
      <c r="H1195" t="s">
        <v>457</v>
      </c>
      <c r="K1195">
        <v>1993</v>
      </c>
      <c r="O1195">
        <v>35.61</v>
      </c>
      <c r="P1195" t="s">
        <v>15</v>
      </c>
      <c r="Q1195" t="s">
        <v>398</v>
      </c>
    </row>
    <row r="1196" spans="1:17">
      <c r="A1196" t="s">
        <v>504</v>
      </c>
      <c r="C1196" t="s">
        <v>393</v>
      </c>
      <c r="D1196" t="s">
        <v>505</v>
      </c>
      <c r="E1196" t="s">
        <v>161</v>
      </c>
      <c r="G1196" t="s">
        <v>1087</v>
      </c>
      <c r="H1196" t="s">
        <v>457</v>
      </c>
      <c r="K1196">
        <v>1993</v>
      </c>
      <c r="O1196">
        <v>37.19</v>
      </c>
      <c r="P1196" t="s">
        <v>15</v>
      </c>
      <c r="Q1196" t="s">
        <v>398</v>
      </c>
    </row>
    <row r="1197" spans="1:17">
      <c r="A1197" t="s">
        <v>504</v>
      </c>
      <c r="C1197" t="s">
        <v>393</v>
      </c>
      <c r="D1197" t="s">
        <v>505</v>
      </c>
      <c r="E1197" t="s">
        <v>161</v>
      </c>
      <c r="G1197" t="s">
        <v>1088</v>
      </c>
      <c r="H1197" t="s">
        <v>457</v>
      </c>
      <c r="K1197">
        <v>1993</v>
      </c>
      <c r="O1197">
        <v>41.47</v>
      </c>
      <c r="P1197" t="s">
        <v>15</v>
      </c>
      <c r="Q1197" t="s">
        <v>398</v>
      </c>
    </row>
    <row r="1198" spans="1:17">
      <c r="A1198" t="s">
        <v>504</v>
      </c>
      <c r="C1198" t="s">
        <v>393</v>
      </c>
      <c r="D1198" t="s">
        <v>505</v>
      </c>
      <c r="E1198" t="s">
        <v>161</v>
      </c>
      <c r="G1198" t="s">
        <v>1089</v>
      </c>
      <c r="H1198" t="s">
        <v>457</v>
      </c>
      <c r="K1198">
        <v>1993</v>
      </c>
      <c r="O1198">
        <v>48.3</v>
      </c>
      <c r="P1198" t="s">
        <v>15</v>
      </c>
      <c r="Q1198" t="s">
        <v>398</v>
      </c>
    </row>
    <row r="1199" spans="1:17">
      <c r="A1199" t="s">
        <v>504</v>
      </c>
      <c r="C1199" t="s">
        <v>393</v>
      </c>
      <c r="D1199" t="s">
        <v>505</v>
      </c>
      <c r="E1199" t="s">
        <v>161</v>
      </c>
      <c r="G1199" t="s">
        <v>1090</v>
      </c>
      <c r="H1199" t="s">
        <v>457</v>
      </c>
      <c r="K1199">
        <v>1993</v>
      </c>
      <c r="O1199">
        <v>54.379999999999995</v>
      </c>
      <c r="P1199" t="s">
        <v>15</v>
      </c>
      <c r="Q1199" t="s">
        <v>398</v>
      </c>
    </row>
    <row r="1200" spans="1:17">
      <c r="A1200" t="s">
        <v>504</v>
      </c>
      <c r="C1200" t="s">
        <v>393</v>
      </c>
      <c r="D1200" t="s">
        <v>505</v>
      </c>
      <c r="E1200" t="s">
        <v>161</v>
      </c>
      <c r="G1200" t="s">
        <v>1091</v>
      </c>
      <c r="H1200" t="s">
        <v>457</v>
      </c>
      <c r="K1200">
        <v>1993</v>
      </c>
      <c r="O1200">
        <v>60.21</v>
      </c>
      <c r="P1200" t="s">
        <v>15</v>
      </c>
      <c r="Q1200" t="s">
        <v>398</v>
      </c>
    </row>
    <row r="1201" spans="1:17">
      <c r="A1201" t="s">
        <v>504</v>
      </c>
      <c r="C1201" t="s">
        <v>393</v>
      </c>
      <c r="D1201" t="s">
        <v>505</v>
      </c>
      <c r="E1201" t="s">
        <v>161</v>
      </c>
      <c r="G1201" t="s">
        <v>1092</v>
      </c>
      <c r="H1201" t="s">
        <v>457</v>
      </c>
      <c r="K1201">
        <v>1993</v>
      </c>
      <c r="O1201">
        <v>122.65</v>
      </c>
      <c r="P1201" t="s">
        <v>15</v>
      </c>
      <c r="Q1201" t="s">
        <v>398</v>
      </c>
    </row>
    <row r="1202" spans="1:17">
      <c r="A1202" t="s">
        <v>504</v>
      </c>
      <c r="C1202" t="s">
        <v>393</v>
      </c>
      <c r="D1202" t="s">
        <v>505</v>
      </c>
      <c r="E1202" t="s">
        <v>161</v>
      </c>
      <c r="G1202" t="s">
        <v>1093</v>
      </c>
      <c r="H1202" t="s">
        <v>457</v>
      </c>
      <c r="K1202">
        <v>1993</v>
      </c>
      <c r="O1202">
        <v>152.14000000000001</v>
      </c>
      <c r="P1202" t="s">
        <v>15</v>
      </c>
      <c r="Q1202" t="s">
        <v>398</v>
      </c>
    </row>
    <row r="1203" spans="1:17">
      <c r="A1203" t="s">
        <v>504</v>
      </c>
      <c r="C1203" t="s">
        <v>393</v>
      </c>
      <c r="D1203" t="s">
        <v>505</v>
      </c>
      <c r="E1203" t="s">
        <v>161</v>
      </c>
      <c r="G1203" t="s">
        <v>1094</v>
      </c>
      <c r="H1203" t="s">
        <v>457</v>
      </c>
      <c r="K1203">
        <v>1993</v>
      </c>
      <c r="O1203">
        <v>190.41</v>
      </c>
      <c r="P1203" t="s">
        <v>15</v>
      </c>
      <c r="Q1203" t="s">
        <v>398</v>
      </c>
    </row>
    <row r="1204" spans="1:17">
      <c r="A1204" t="s">
        <v>504</v>
      </c>
      <c r="C1204" t="s">
        <v>393</v>
      </c>
      <c r="D1204" t="s">
        <v>505</v>
      </c>
      <c r="E1204" t="s">
        <v>161</v>
      </c>
      <c r="G1204" t="s">
        <v>1095</v>
      </c>
      <c r="H1204" t="s">
        <v>457</v>
      </c>
      <c r="K1204">
        <v>1993</v>
      </c>
      <c r="O1204">
        <v>193.35999999999999</v>
      </c>
      <c r="P1204" t="s">
        <v>15</v>
      </c>
      <c r="Q1204" t="s">
        <v>398</v>
      </c>
    </row>
    <row r="1205" spans="1:17">
      <c r="A1205" t="s">
        <v>553</v>
      </c>
      <c r="C1205" t="s">
        <v>393</v>
      </c>
      <c r="D1205" t="s">
        <v>554</v>
      </c>
      <c r="E1205" t="s">
        <v>161</v>
      </c>
      <c r="G1205" t="s">
        <v>232</v>
      </c>
      <c r="H1205" t="s">
        <v>399</v>
      </c>
      <c r="K1205">
        <v>1968</v>
      </c>
      <c r="O1205">
        <v>0.13</v>
      </c>
      <c r="P1205" t="s">
        <v>15</v>
      </c>
      <c r="Q1205" t="s">
        <v>398</v>
      </c>
    </row>
    <row r="1206" spans="1:17">
      <c r="A1206" t="s">
        <v>553</v>
      </c>
      <c r="C1206" t="s">
        <v>393</v>
      </c>
      <c r="D1206" t="s">
        <v>554</v>
      </c>
      <c r="E1206" t="s">
        <v>161</v>
      </c>
      <c r="G1206" t="s">
        <v>225</v>
      </c>
      <c r="H1206" t="s">
        <v>399</v>
      </c>
      <c r="K1206">
        <v>1968</v>
      </c>
      <c r="O1206">
        <v>0.76</v>
      </c>
      <c r="P1206" t="s">
        <v>15</v>
      </c>
      <c r="Q1206" t="s">
        <v>398</v>
      </c>
    </row>
    <row r="1207" spans="1:17">
      <c r="A1207" t="s">
        <v>553</v>
      </c>
      <c r="C1207" t="s">
        <v>393</v>
      </c>
      <c r="D1207" t="s">
        <v>554</v>
      </c>
      <c r="E1207" t="s">
        <v>161</v>
      </c>
      <c r="G1207" t="s">
        <v>1096</v>
      </c>
      <c r="H1207" t="s">
        <v>399</v>
      </c>
      <c r="K1207">
        <v>1980</v>
      </c>
      <c r="O1207">
        <v>0.83000000000000007</v>
      </c>
      <c r="P1207" t="s">
        <v>15</v>
      </c>
      <c r="Q1207" t="s">
        <v>398</v>
      </c>
    </row>
    <row r="1208" spans="1:17">
      <c r="A1208" t="s">
        <v>553</v>
      </c>
      <c r="C1208" t="s">
        <v>393</v>
      </c>
      <c r="D1208" t="s">
        <v>554</v>
      </c>
      <c r="E1208" t="s">
        <v>161</v>
      </c>
      <c r="G1208" t="s">
        <v>1097</v>
      </c>
      <c r="H1208" t="s">
        <v>399</v>
      </c>
      <c r="K1208">
        <v>1987</v>
      </c>
      <c r="O1208">
        <v>1.08</v>
      </c>
      <c r="P1208" t="s">
        <v>15</v>
      </c>
      <c r="Q1208" t="s">
        <v>398</v>
      </c>
    </row>
    <row r="1209" spans="1:17">
      <c r="A1209" t="s">
        <v>553</v>
      </c>
      <c r="C1209" t="s">
        <v>393</v>
      </c>
      <c r="D1209" t="s">
        <v>554</v>
      </c>
      <c r="E1209" t="s">
        <v>161</v>
      </c>
      <c r="G1209" t="s">
        <v>1098</v>
      </c>
      <c r="H1209" t="s">
        <v>399</v>
      </c>
      <c r="K1209">
        <v>1980</v>
      </c>
      <c r="O1209">
        <v>1.3900000000000001</v>
      </c>
      <c r="P1209" t="s">
        <v>15</v>
      </c>
      <c r="Q1209" t="s">
        <v>398</v>
      </c>
    </row>
    <row r="1210" spans="1:17">
      <c r="A1210" t="s">
        <v>553</v>
      </c>
      <c r="C1210" t="s">
        <v>393</v>
      </c>
      <c r="D1210" t="s">
        <v>554</v>
      </c>
      <c r="E1210" t="s">
        <v>161</v>
      </c>
      <c r="G1210" t="s">
        <v>69</v>
      </c>
      <c r="H1210" t="s">
        <v>399</v>
      </c>
      <c r="K1210">
        <v>1980</v>
      </c>
      <c r="O1210">
        <v>1.48</v>
      </c>
      <c r="P1210" t="s">
        <v>15</v>
      </c>
      <c r="Q1210" t="s">
        <v>398</v>
      </c>
    </row>
    <row r="1211" spans="1:17">
      <c r="A1211" t="s">
        <v>553</v>
      </c>
      <c r="C1211" t="s">
        <v>393</v>
      </c>
      <c r="D1211" t="s">
        <v>554</v>
      </c>
      <c r="E1211" t="s">
        <v>161</v>
      </c>
      <c r="G1211" t="s">
        <v>557</v>
      </c>
      <c r="H1211" t="s">
        <v>399</v>
      </c>
      <c r="K1211">
        <v>1980</v>
      </c>
      <c r="O1211">
        <v>1.73</v>
      </c>
      <c r="P1211" t="s">
        <v>15</v>
      </c>
      <c r="Q1211" t="s">
        <v>398</v>
      </c>
    </row>
    <row r="1212" spans="1:17">
      <c r="A1212" t="s">
        <v>553</v>
      </c>
      <c r="C1212" t="s">
        <v>393</v>
      </c>
      <c r="D1212" t="s">
        <v>554</v>
      </c>
      <c r="E1212" t="s">
        <v>161</v>
      </c>
      <c r="G1212" t="s">
        <v>639</v>
      </c>
      <c r="H1212" t="s">
        <v>399</v>
      </c>
      <c r="K1212">
        <v>1984</v>
      </c>
      <c r="O1212">
        <v>1.75</v>
      </c>
      <c r="P1212" t="s">
        <v>15</v>
      </c>
      <c r="Q1212" t="s">
        <v>398</v>
      </c>
    </row>
    <row r="1213" spans="1:17">
      <c r="A1213" t="s">
        <v>553</v>
      </c>
      <c r="C1213" t="s">
        <v>393</v>
      </c>
      <c r="D1213" t="s">
        <v>554</v>
      </c>
      <c r="E1213" t="s">
        <v>161</v>
      </c>
      <c r="G1213" t="s">
        <v>1099</v>
      </c>
      <c r="H1213" t="s">
        <v>399</v>
      </c>
      <c r="K1213">
        <v>1984</v>
      </c>
      <c r="O1213">
        <v>2.02</v>
      </c>
      <c r="P1213" t="s">
        <v>15</v>
      </c>
      <c r="Q1213" t="s">
        <v>398</v>
      </c>
    </row>
    <row r="1214" spans="1:17">
      <c r="A1214" t="s">
        <v>553</v>
      </c>
      <c r="C1214" t="s">
        <v>393</v>
      </c>
      <c r="D1214" t="s">
        <v>554</v>
      </c>
      <c r="E1214" t="s">
        <v>161</v>
      </c>
      <c r="G1214" t="s">
        <v>1100</v>
      </c>
      <c r="H1214" t="s">
        <v>399</v>
      </c>
      <c r="K1214">
        <v>1987</v>
      </c>
      <c r="O1214">
        <v>2.21</v>
      </c>
      <c r="P1214" t="s">
        <v>15</v>
      </c>
      <c r="Q1214" t="s">
        <v>398</v>
      </c>
    </row>
    <row r="1215" spans="1:17">
      <c r="A1215" t="s">
        <v>553</v>
      </c>
      <c r="C1215" t="s">
        <v>393</v>
      </c>
      <c r="D1215" t="s">
        <v>554</v>
      </c>
      <c r="E1215" t="s">
        <v>161</v>
      </c>
      <c r="G1215" t="s">
        <v>1101</v>
      </c>
      <c r="H1215" t="s">
        <v>399</v>
      </c>
      <c r="K1215">
        <v>1987</v>
      </c>
      <c r="O1215">
        <v>2.44</v>
      </c>
      <c r="P1215" t="s">
        <v>15</v>
      </c>
      <c r="Q1215" t="s">
        <v>398</v>
      </c>
    </row>
    <row r="1216" spans="1:17">
      <c r="A1216" t="s">
        <v>553</v>
      </c>
      <c r="C1216" t="s">
        <v>393</v>
      </c>
      <c r="D1216" t="s">
        <v>554</v>
      </c>
      <c r="E1216" t="s">
        <v>161</v>
      </c>
      <c r="G1216" t="s">
        <v>637</v>
      </c>
      <c r="H1216" t="s">
        <v>399</v>
      </c>
      <c r="K1216">
        <v>1982</v>
      </c>
      <c r="O1216">
        <v>2.5700000000000003</v>
      </c>
      <c r="P1216" t="s">
        <v>15</v>
      </c>
      <c r="Q1216" t="s">
        <v>398</v>
      </c>
    </row>
    <row r="1217" spans="1:17">
      <c r="A1217" t="s">
        <v>553</v>
      </c>
      <c r="C1217" t="s">
        <v>393</v>
      </c>
      <c r="D1217" t="s">
        <v>554</v>
      </c>
      <c r="E1217" t="s">
        <v>161</v>
      </c>
      <c r="G1217" t="s">
        <v>223</v>
      </c>
      <c r="H1217" t="s">
        <v>399</v>
      </c>
      <c r="K1217">
        <v>1970</v>
      </c>
      <c r="O1217">
        <v>2.59</v>
      </c>
      <c r="P1217" t="s">
        <v>15</v>
      </c>
      <c r="Q1217" t="s">
        <v>398</v>
      </c>
    </row>
    <row r="1218" spans="1:17">
      <c r="A1218" t="s">
        <v>553</v>
      </c>
      <c r="C1218" t="s">
        <v>393</v>
      </c>
      <c r="D1218" t="s">
        <v>554</v>
      </c>
      <c r="E1218" t="s">
        <v>161</v>
      </c>
      <c r="G1218" t="s">
        <v>1102</v>
      </c>
      <c r="H1218" t="s">
        <v>399</v>
      </c>
      <c r="K1218">
        <v>1995</v>
      </c>
      <c r="O1218">
        <v>2.6</v>
      </c>
      <c r="P1218" t="s">
        <v>15</v>
      </c>
      <c r="Q1218" t="s">
        <v>398</v>
      </c>
    </row>
    <row r="1219" spans="1:17">
      <c r="A1219" t="s">
        <v>553</v>
      </c>
      <c r="C1219" t="s">
        <v>393</v>
      </c>
      <c r="D1219" t="s">
        <v>554</v>
      </c>
      <c r="E1219" t="s">
        <v>161</v>
      </c>
      <c r="G1219" t="s">
        <v>228</v>
      </c>
      <c r="H1219" t="s">
        <v>399</v>
      </c>
      <c r="K1219">
        <v>1968</v>
      </c>
      <c r="O1219">
        <v>3.51</v>
      </c>
      <c r="P1219" t="s">
        <v>15</v>
      </c>
      <c r="Q1219" t="s">
        <v>398</v>
      </c>
    </row>
    <row r="1220" spans="1:17">
      <c r="A1220" t="s">
        <v>553</v>
      </c>
      <c r="C1220" t="s">
        <v>393</v>
      </c>
      <c r="D1220" t="s">
        <v>554</v>
      </c>
      <c r="E1220" t="s">
        <v>161</v>
      </c>
      <c r="G1220" t="s">
        <v>213</v>
      </c>
      <c r="H1220" t="s">
        <v>399</v>
      </c>
      <c r="K1220">
        <v>1971</v>
      </c>
      <c r="O1220">
        <v>3.66</v>
      </c>
      <c r="P1220" t="s">
        <v>15</v>
      </c>
      <c r="Q1220" t="s">
        <v>398</v>
      </c>
    </row>
    <row r="1221" spans="1:17">
      <c r="A1221" t="s">
        <v>553</v>
      </c>
      <c r="C1221" t="s">
        <v>393</v>
      </c>
      <c r="D1221" t="s">
        <v>554</v>
      </c>
      <c r="E1221" t="s">
        <v>161</v>
      </c>
      <c r="G1221" t="s">
        <v>215</v>
      </c>
      <c r="H1221" t="s">
        <v>399</v>
      </c>
      <c r="K1221">
        <v>1970</v>
      </c>
      <c r="O1221">
        <v>3.8200000000000003</v>
      </c>
      <c r="P1221" t="s">
        <v>15</v>
      </c>
      <c r="Q1221" t="s">
        <v>398</v>
      </c>
    </row>
    <row r="1222" spans="1:17">
      <c r="A1222" t="s">
        <v>553</v>
      </c>
      <c r="C1222" t="s">
        <v>393</v>
      </c>
      <c r="D1222" t="s">
        <v>554</v>
      </c>
      <c r="E1222" t="s">
        <v>161</v>
      </c>
      <c r="G1222" t="s">
        <v>235</v>
      </c>
      <c r="H1222" t="s">
        <v>399</v>
      </c>
      <c r="K1222">
        <v>1970</v>
      </c>
      <c r="O1222">
        <v>3.95</v>
      </c>
      <c r="P1222" t="s">
        <v>15</v>
      </c>
      <c r="Q1222" t="s">
        <v>398</v>
      </c>
    </row>
    <row r="1223" spans="1:17">
      <c r="A1223" t="s">
        <v>553</v>
      </c>
      <c r="C1223" t="s">
        <v>393</v>
      </c>
      <c r="D1223" t="s">
        <v>554</v>
      </c>
      <c r="E1223" t="s">
        <v>161</v>
      </c>
      <c r="G1223" t="s">
        <v>184</v>
      </c>
      <c r="H1223" t="s">
        <v>399</v>
      </c>
      <c r="K1223">
        <v>1982</v>
      </c>
      <c r="O1223">
        <v>4.38</v>
      </c>
      <c r="P1223" t="s">
        <v>15</v>
      </c>
      <c r="Q1223" t="s">
        <v>398</v>
      </c>
    </row>
    <row r="1224" spans="1:17">
      <c r="A1224" t="s">
        <v>553</v>
      </c>
      <c r="C1224" t="s">
        <v>393</v>
      </c>
      <c r="D1224" t="s">
        <v>554</v>
      </c>
      <c r="E1224" t="s">
        <v>161</v>
      </c>
      <c r="G1224" t="s">
        <v>627</v>
      </c>
      <c r="H1224" t="s">
        <v>399</v>
      </c>
      <c r="K1224">
        <v>1982</v>
      </c>
      <c r="O1224">
        <v>4.6400000000000006</v>
      </c>
      <c r="P1224" t="s">
        <v>15</v>
      </c>
      <c r="Q1224" t="s">
        <v>398</v>
      </c>
    </row>
    <row r="1225" spans="1:17">
      <c r="A1225" t="s">
        <v>553</v>
      </c>
      <c r="C1225" t="s">
        <v>393</v>
      </c>
      <c r="D1225" t="s">
        <v>554</v>
      </c>
      <c r="E1225" t="s">
        <v>161</v>
      </c>
      <c r="G1225" t="s">
        <v>245</v>
      </c>
      <c r="H1225" t="s">
        <v>399</v>
      </c>
      <c r="K1225">
        <v>1995</v>
      </c>
      <c r="O1225">
        <v>4.82</v>
      </c>
      <c r="P1225" t="s">
        <v>15</v>
      </c>
      <c r="Q1225" t="s">
        <v>398</v>
      </c>
    </row>
    <row r="1226" spans="1:17">
      <c r="A1226" t="s">
        <v>553</v>
      </c>
      <c r="C1226" t="s">
        <v>393</v>
      </c>
      <c r="D1226" t="s">
        <v>554</v>
      </c>
      <c r="E1226" t="s">
        <v>161</v>
      </c>
      <c r="G1226" t="s">
        <v>1103</v>
      </c>
      <c r="H1226" t="s">
        <v>399</v>
      </c>
      <c r="K1226">
        <v>1987</v>
      </c>
      <c r="O1226">
        <v>4.88</v>
      </c>
      <c r="P1226" t="s">
        <v>15</v>
      </c>
      <c r="Q1226" t="s">
        <v>398</v>
      </c>
    </row>
    <row r="1227" spans="1:17">
      <c r="A1227" t="s">
        <v>553</v>
      </c>
      <c r="C1227" t="s">
        <v>393</v>
      </c>
      <c r="D1227" t="s">
        <v>554</v>
      </c>
      <c r="E1227" t="s">
        <v>161</v>
      </c>
      <c r="G1227" t="s">
        <v>1104</v>
      </c>
      <c r="H1227" t="s">
        <v>399</v>
      </c>
      <c r="K1227">
        <v>1980</v>
      </c>
      <c r="O1227">
        <v>4.9800000000000004</v>
      </c>
      <c r="P1227" t="s">
        <v>15</v>
      </c>
      <c r="Q1227" t="s">
        <v>398</v>
      </c>
    </row>
    <row r="1228" spans="1:17">
      <c r="A1228" t="s">
        <v>553</v>
      </c>
      <c r="C1228" t="s">
        <v>393</v>
      </c>
      <c r="D1228" t="s">
        <v>554</v>
      </c>
      <c r="E1228" t="s">
        <v>161</v>
      </c>
      <c r="G1228" t="s">
        <v>1105</v>
      </c>
      <c r="H1228" t="s">
        <v>399</v>
      </c>
      <c r="K1228">
        <v>1987</v>
      </c>
      <c r="O1228">
        <v>5.09</v>
      </c>
      <c r="P1228" t="s">
        <v>15</v>
      </c>
      <c r="Q1228" t="s">
        <v>398</v>
      </c>
    </row>
    <row r="1229" spans="1:17">
      <c r="A1229" t="s">
        <v>553</v>
      </c>
      <c r="C1229" t="s">
        <v>393</v>
      </c>
      <c r="D1229" t="s">
        <v>554</v>
      </c>
      <c r="E1229" t="s">
        <v>161</v>
      </c>
      <c r="G1229" t="s">
        <v>1106</v>
      </c>
      <c r="H1229" t="s">
        <v>399</v>
      </c>
      <c r="K1229">
        <v>1987</v>
      </c>
      <c r="O1229">
        <v>5.2</v>
      </c>
      <c r="P1229" t="s">
        <v>15</v>
      </c>
      <c r="Q1229" t="s">
        <v>398</v>
      </c>
    </row>
    <row r="1230" spans="1:17">
      <c r="A1230" t="s">
        <v>553</v>
      </c>
      <c r="C1230" t="s">
        <v>393</v>
      </c>
      <c r="D1230" t="s">
        <v>554</v>
      </c>
      <c r="E1230" t="s">
        <v>161</v>
      </c>
      <c r="G1230" t="s">
        <v>214</v>
      </c>
      <c r="H1230" t="s">
        <v>399</v>
      </c>
      <c r="K1230">
        <v>1970</v>
      </c>
      <c r="O1230">
        <v>5.3800000000000008</v>
      </c>
      <c r="P1230" t="s">
        <v>15</v>
      </c>
      <c r="Q1230" t="s">
        <v>398</v>
      </c>
    </row>
    <row r="1231" spans="1:17">
      <c r="A1231" t="s">
        <v>553</v>
      </c>
      <c r="C1231" t="s">
        <v>393</v>
      </c>
      <c r="D1231" t="s">
        <v>554</v>
      </c>
      <c r="E1231" t="s">
        <v>161</v>
      </c>
      <c r="G1231" t="s">
        <v>223</v>
      </c>
      <c r="H1231" t="s">
        <v>399</v>
      </c>
      <c r="K1231">
        <v>1968</v>
      </c>
      <c r="O1231">
        <v>5.4600000000000009</v>
      </c>
      <c r="P1231" t="s">
        <v>15</v>
      </c>
      <c r="Q1231" t="s">
        <v>398</v>
      </c>
    </row>
    <row r="1232" spans="1:17">
      <c r="A1232" t="s">
        <v>553</v>
      </c>
      <c r="C1232" t="s">
        <v>393</v>
      </c>
      <c r="D1232" t="s">
        <v>554</v>
      </c>
      <c r="E1232" t="s">
        <v>161</v>
      </c>
      <c r="G1232" t="s">
        <v>207</v>
      </c>
      <c r="H1232" t="s">
        <v>399</v>
      </c>
      <c r="K1232">
        <v>1970</v>
      </c>
      <c r="O1232">
        <v>6.45</v>
      </c>
      <c r="P1232" t="s">
        <v>15</v>
      </c>
      <c r="Q1232" t="s">
        <v>398</v>
      </c>
    </row>
    <row r="1233" spans="1:17">
      <c r="A1233" t="s">
        <v>553</v>
      </c>
      <c r="C1233" t="s">
        <v>393</v>
      </c>
      <c r="D1233" t="s">
        <v>554</v>
      </c>
      <c r="E1233" t="s">
        <v>161</v>
      </c>
      <c r="G1233" t="s">
        <v>1107</v>
      </c>
      <c r="H1233" t="s">
        <v>399</v>
      </c>
      <c r="K1233">
        <v>1987</v>
      </c>
      <c r="O1233">
        <v>6.6800000000000006</v>
      </c>
      <c r="P1233" t="s">
        <v>15</v>
      </c>
      <c r="Q1233" t="s">
        <v>398</v>
      </c>
    </row>
    <row r="1234" spans="1:17">
      <c r="A1234" t="s">
        <v>553</v>
      </c>
      <c r="C1234" t="s">
        <v>393</v>
      </c>
      <c r="D1234" t="s">
        <v>554</v>
      </c>
      <c r="E1234" t="s">
        <v>161</v>
      </c>
      <c r="G1234" t="s">
        <v>573</v>
      </c>
      <c r="H1234" t="s">
        <v>399</v>
      </c>
      <c r="K1234">
        <v>1980</v>
      </c>
      <c r="O1234">
        <v>6.8400000000000007</v>
      </c>
      <c r="P1234" t="s">
        <v>15</v>
      </c>
      <c r="Q1234" t="s">
        <v>398</v>
      </c>
    </row>
    <row r="1235" spans="1:17">
      <c r="A1235" t="s">
        <v>553</v>
      </c>
      <c r="C1235" t="s">
        <v>393</v>
      </c>
      <c r="D1235" t="s">
        <v>554</v>
      </c>
      <c r="E1235" t="s">
        <v>161</v>
      </c>
      <c r="G1235" t="s">
        <v>901</v>
      </c>
      <c r="H1235" t="s">
        <v>399</v>
      </c>
      <c r="K1235">
        <v>1968</v>
      </c>
      <c r="O1235">
        <v>6.9499999999999993</v>
      </c>
      <c r="P1235" t="s">
        <v>15</v>
      </c>
      <c r="Q1235" t="s">
        <v>398</v>
      </c>
    </row>
    <row r="1236" spans="1:17">
      <c r="A1236" t="s">
        <v>553</v>
      </c>
      <c r="C1236" t="s">
        <v>393</v>
      </c>
      <c r="D1236" t="s">
        <v>554</v>
      </c>
      <c r="E1236" t="s">
        <v>161</v>
      </c>
      <c r="G1236" t="s">
        <v>223</v>
      </c>
      <c r="H1236" t="s">
        <v>399</v>
      </c>
      <c r="K1236">
        <v>1971</v>
      </c>
      <c r="O1236">
        <v>7.32</v>
      </c>
      <c r="P1236" t="s">
        <v>15</v>
      </c>
      <c r="Q1236" t="s">
        <v>398</v>
      </c>
    </row>
    <row r="1237" spans="1:17">
      <c r="A1237" t="s">
        <v>553</v>
      </c>
      <c r="C1237" t="s">
        <v>393</v>
      </c>
      <c r="D1237" t="s">
        <v>554</v>
      </c>
      <c r="E1237" t="s">
        <v>161</v>
      </c>
      <c r="G1237" t="s">
        <v>1108</v>
      </c>
      <c r="H1237" t="s">
        <v>399</v>
      </c>
      <c r="K1237">
        <v>1995</v>
      </c>
      <c r="O1237">
        <v>8.77</v>
      </c>
      <c r="P1237" t="s">
        <v>15</v>
      </c>
      <c r="Q1237" t="s">
        <v>398</v>
      </c>
    </row>
    <row r="1238" spans="1:17">
      <c r="A1238" t="s">
        <v>553</v>
      </c>
      <c r="C1238" t="s">
        <v>393</v>
      </c>
      <c r="D1238" t="s">
        <v>554</v>
      </c>
      <c r="E1238" t="s">
        <v>161</v>
      </c>
      <c r="G1238" t="s">
        <v>604</v>
      </c>
      <c r="H1238" t="s">
        <v>399</v>
      </c>
      <c r="K1238">
        <v>1980</v>
      </c>
      <c r="O1238">
        <v>8.8000000000000007</v>
      </c>
      <c r="P1238" t="s">
        <v>15</v>
      </c>
      <c r="Q1238" t="s">
        <v>398</v>
      </c>
    </row>
    <row r="1239" spans="1:17">
      <c r="A1239" t="s">
        <v>553</v>
      </c>
      <c r="C1239" t="s">
        <v>393</v>
      </c>
      <c r="D1239" t="s">
        <v>554</v>
      </c>
      <c r="E1239" t="s">
        <v>161</v>
      </c>
      <c r="G1239" t="s">
        <v>213</v>
      </c>
      <c r="H1239" t="s">
        <v>399</v>
      </c>
      <c r="K1239">
        <v>1968</v>
      </c>
      <c r="O1239">
        <v>8.870000000000001</v>
      </c>
      <c r="P1239" t="s">
        <v>15</v>
      </c>
      <c r="Q1239" t="s">
        <v>398</v>
      </c>
    </row>
    <row r="1240" spans="1:17">
      <c r="A1240" t="s">
        <v>553</v>
      </c>
      <c r="C1240" t="s">
        <v>393</v>
      </c>
      <c r="D1240" t="s">
        <v>554</v>
      </c>
      <c r="E1240" t="s">
        <v>161</v>
      </c>
      <c r="G1240" t="s">
        <v>209</v>
      </c>
      <c r="H1240" t="s">
        <v>399</v>
      </c>
      <c r="K1240">
        <v>1968</v>
      </c>
      <c r="O1240">
        <v>8.9700000000000006</v>
      </c>
      <c r="P1240" t="s">
        <v>15</v>
      </c>
      <c r="Q1240" t="s">
        <v>398</v>
      </c>
    </row>
    <row r="1241" spans="1:17">
      <c r="A1241" t="s">
        <v>553</v>
      </c>
      <c r="C1241" t="s">
        <v>393</v>
      </c>
      <c r="D1241" t="s">
        <v>554</v>
      </c>
      <c r="E1241" t="s">
        <v>161</v>
      </c>
      <c r="G1241" t="s">
        <v>1109</v>
      </c>
      <c r="H1241" t="s">
        <v>399</v>
      </c>
      <c r="K1241">
        <v>1980</v>
      </c>
      <c r="O1241">
        <v>9.17</v>
      </c>
      <c r="P1241" t="s">
        <v>15</v>
      </c>
      <c r="Q1241" t="s">
        <v>398</v>
      </c>
    </row>
    <row r="1242" spans="1:17">
      <c r="A1242" t="s">
        <v>553</v>
      </c>
      <c r="C1242" t="s">
        <v>393</v>
      </c>
      <c r="D1242" t="s">
        <v>554</v>
      </c>
      <c r="E1242" t="s">
        <v>161</v>
      </c>
      <c r="G1242" t="s">
        <v>1110</v>
      </c>
      <c r="H1242" t="s">
        <v>399</v>
      </c>
      <c r="K1242">
        <v>1995</v>
      </c>
      <c r="O1242">
        <v>9.31</v>
      </c>
      <c r="P1242" t="s">
        <v>15</v>
      </c>
      <c r="Q1242" t="s">
        <v>398</v>
      </c>
    </row>
    <row r="1243" spans="1:17">
      <c r="A1243" t="s">
        <v>553</v>
      </c>
      <c r="C1243" t="s">
        <v>393</v>
      </c>
      <c r="D1243" t="s">
        <v>554</v>
      </c>
      <c r="E1243" t="s">
        <v>161</v>
      </c>
      <c r="G1243" t="s">
        <v>614</v>
      </c>
      <c r="H1243" t="s">
        <v>399</v>
      </c>
      <c r="K1243">
        <v>1982</v>
      </c>
      <c r="O1243">
        <v>9.4499999999999993</v>
      </c>
      <c r="P1243" t="s">
        <v>15</v>
      </c>
      <c r="Q1243" t="s">
        <v>398</v>
      </c>
    </row>
    <row r="1244" spans="1:17">
      <c r="A1244" t="s">
        <v>553</v>
      </c>
      <c r="C1244" t="s">
        <v>393</v>
      </c>
      <c r="D1244" t="s">
        <v>554</v>
      </c>
      <c r="E1244" t="s">
        <v>161</v>
      </c>
      <c r="G1244" t="s">
        <v>226</v>
      </c>
      <c r="H1244" t="s">
        <v>399</v>
      </c>
      <c r="K1244">
        <v>1968</v>
      </c>
      <c r="O1244">
        <v>9.629999999999999</v>
      </c>
      <c r="P1244" t="s">
        <v>15</v>
      </c>
      <c r="Q1244" t="s">
        <v>398</v>
      </c>
    </row>
    <row r="1245" spans="1:17">
      <c r="A1245" t="s">
        <v>553</v>
      </c>
      <c r="C1245" t="s">
        <v>393</v>
      </c>
      <c r="D1245" t="s">
        <v>554</v>
      </c>
      <c r="E1245" t="s">
        <v>161</v>
      </c>
      <c r="G1245" t="s">
        <v>235</v>
      </c>
      <c r="H1245" t="s">
        <v>399</v>
      </c>
      <c r="K1245">
        <v>1984</v>
      </c>
      <c r="O1245">
        <v>9.98</v>
      </c>
      <c r="P1245" t="s">
        <v>15</v>
      </c>
      <c r="Q1245" t="s">
        <v>398</v>
      </c>
    </row>
    <row r="1246" spans="1:17">
      <c r="A1246" t="s">
        <v>553</v>
      </c>
      <c r="C1246" t="s">
        <v>393</v>
      </c>
      <c r="D1246" t="s">
        <v>554</v>
      </c>
      <c r="E1246" t="s">
        <v>161</v>
      </c>
      <c r="G1246" t="s">
        <v>214</v>
      </c>
      <c r="H1246" t="s">
        <v>399</v>
      </c>
      <c r="K1246">
        <v>1971</v>
      </c>
      <c r="O1246">
        <v>10.19</v>
      </c>
      <c r="P1246" t="s">
        <v>15</v>
      </c>
      <c r="Q1246" t="s">
        <v>398</v>
      </c>
    </row>
    <row r="1247" spans="1:17">
      <c r="A1247" t="s">
        <v>553</v>
      </c>
      <c r="C1247" t="s">
        <v>393</v>
      </c>
      <c r="D1247" t="s">
        <v>554</v>
      </c>
      <c r="E1247" t="s">
        <v>161</v>
      </c>
      <c r="G1247" t="s">
        <v>1111</v>
      </c>
      <c r="H1247" t="s">
        <v>399</v>
      </c>
      <c r="K1247">
        <v>1980</v>
      </c>
      <c r="O1247">
        <v>10.24</v>
      </c>
      <c r="P1247" t="s">
        <v>15</v>
      </c>
      <c r="Q1247" t="s">
        <v>398</v>
      </c>
    </row>
    <row r="1248" spans="1:17">
      <c r="A1248" t="s">
        <v>553</v>
      </c>
      <c r="C1248" t="s">
        <v>393</v>
      </c>
      <c r="D1248" t="s">
        <v>554</v>
      </c>
      <c r="E1248" t="s">
        <v>161</v>
      </c>
      <c r="G1248" t="s">
        <v>233</v>
      </c>
      <c r="H1248" t="s">
        <v>399</v>
      </c>
      <c r="K1248">
        <v>1968</v>
      </c>
      <c r="O1248">
        <v>10.37</v>
      </c>
      <c r="P1248" t="s">
        <v>15</v>
      </c>
      <c r="Q1248" t="s">
        <v>398</v>
      </c>
    </row>
    <row r="1249" spans="1:17">
      <c r="A1249" t="s">
        <v>553</v>
      </c>
      <c r="C1249" t="s">
        <v>393</v>
      </c>
      <c r="D1249" t="s">
        <v>554</v>
      </c>
      <c r="E1249" t="s">
        <v>161</v>
      </c>
      <c r="G1249" t="s">
        <v>184</v>
      </c>
      <c r="H1249" t="s">
        <v>399</v>
      </c>
      <c r="K1249">
        <v>1980</v>
      </c>
      <c r="O1249">
        <v>10.48</v>
      </c>
      <c r="P1249" t="s">
        <v>15</v>
      </c>
      <c r="Q1249" t="s">
        <v>398</v>
      </c>
    </row>
    <row r="1250" spans="1:17">
      <c r="A1250" t="s">
        <v>553</v>
      </c>
      <c r="C1250" t="s">
        <v>393</v>
      </c>
      <c r="D1250" t="s">
        <v>554</v>
      </c>
      <c r="E1250" t="s">
        <v>161</v>
      </c>
      <c r="G1250" t="s">
        <v>223</v>
      </c>
      <c r="H1250" t="s">
        <v>399</v>
      </c>
      <c r="K1250">
        <v>1995</v>
      </c>
      <c r="O1250">
        <v>10.700000000000001</v>
      </c>
      <c r="P1250" t="s">
        <v>15</v>
      </c>
      <c r="Q1250" t="s">
        <v>398</v>
      </c>
    </row>
    <row r="1251" spans="1:17">
      <c r="A1251" t="s">
        <v>553</v>
      </c>
      <c r="C1251" t="s">
        <v>393</v>
      </c>
      <c r="D1251" t="s">
        <v>554</v>
      </c>
      <c r="E1251" t="s">
        <v>161</v>
      </c>
      <c r="G1251" t="s">
        <v>1112</v>
      </c>
      <c r="H1251" t="s">
        <v>399</v>
      </c>
      <c r="K1251">
        <v>1984</v>
      </c>
      <c r="O1251">
        <v>11.09</v>
      </c>
      <c r="P1251" t="s">
        <v>15</v>
      </c>
      <c r="Q1251" t="s">
        <v>398</v>
      </c>
    </row>
    <row r="1252" spans="1:17">
      <c r="A1252" t="s">
        <v>553</v>
      </c>
      <c r="C1252" t="s">
        <v>393</v>
      </c>
      <c r="D1252" t="s">
        <v>554</v>
      </c>
      <c r="E1252" t="s">
        <v>161</v>
      </c>
      <c r="G1252" t="s">
        <v>214</v>
      </c>
      <c r="H1252" t="s">
        <v>399</v>
      </c>
      <c r="K1252">
        <v>1968</v>
      </c>
      <c r="O1252">
        <v>11.6</v>
      </c>
      <c r="P1252" t="s">
        <v>15</v>
      </c>
      <c r="Q1252" t="s">
        <v>398</v>
      </c>
    </row>
    <row r="1253" spans="1:17">
      <c r="A1253" t="s">
        <v>553</v>
      </c>
      <c r="C1253" t="s">
        <v>393</v>
      </c>
      <c r="D1253" t="s">
        <v>554</v>
      </c>
      <c r="E1253" t="s">
        <v>161</v>
      </c>
      <c r="G1253" t="s">
        <v>1104</v>
      </c>
      <c r="H1253" t="s">
        <v>399</v>
      </c>
      <c r="K1253">
        <v>1982</v>
      </c>
      <c r="O1253">
        <v>11.84</v>
      </c>
      <c r="P1253" t="s">
        <v>15</v>
      </c>
      <c r="Q1253" t="s">
        <v>398</v>
      </c>
    </row>
    <row r="1254" spans="1:17">
      <c r="A1254" t="s">
        <v>553</v>
      </c>
      <c r="C1254" t="s">
        <v>393</v>
      </c>
      <c r="D1254" t="s">
        <v>554</v>
      </c>
      <c r="E1254" t="s">
        <v>161</v>
      </c>
      <c r="G1254" t="s">
        <v>1113</v>
      </c>
      <c r="H1254" t="s">
        <v>399</v>
      </c>
      <c r="K1254">
        <v>1982</v>
      </c>
      <c r="O1254">
        <v>13.129999999999999</v>
      </c>
      <c r="P1254" t="s">
        <v>15</v>
      </c>
      <c r="Q1254" t="s">
        <v>398</v>
      </c>
    </row>
    <row r="1255" spans="1:17">
      <c r="A1255" t="s">
        <v>553</v>
      </c>
      <c r="C1255" t="s">
        <v>393</v>
      </c>
      <c r="D1255" t="s">
        <v>554</v>
      </c>
      <c r="E1255" t="s">
        <v>161</v>
      </c>
      <c r="G1255" t="s">
        <v>655</v>
      </c>
      <c r="H1255" t="s">
        <v>399</v>
      </c>
      <c r="K1255">
        <v>1968</v>
      </c>
      <c r="O1255">
        <v>13.149999999999999</v>
      </c>
      <c r="P1255" t="s">
        <v>15</v>
      </c>
      <c r="Q1255" t="s">
        <v>398</v>
      </c>
    </row>
    <row r="1256" spans="1:17">
      <c r="A1256" t="s">
        <v>553</v>
      </c>
      <c r="C1256" t="s">
        <v>393</v>
      </c>
      <c r="D1256" t="s">
        <v>554</v>
      </c>
      <c r="E1256" t="s">
        <v>161</v>
      </c>
      <c r="G1256" t="s">
        <v>622</v>
      </c>
      <c r="H1256" t="s">
        <v>399</v>
      </c>
      <c r="K1256">
        <v>1980</v>
      </c>
      <c r="O1256">
        <v>13.27</v>
      </c>
      <c r="P1256" t="s">
        <v>15</v>
      </c>
      <c r="Q1256" t="s">
        <v>398</v>
      </c>
    </row>
    <row r="1257" spans="1:17">
      <c r="A1257" t="s">
        <v>553</v>
      </c>
      <c r="C1257" t="s">
        <v>393</v>
      </c>
      <c r="D1257" t="s">
        <v>554</v>
      </c>
      <c r="E1257" t="s">
        <v>161</v>
      </c>
      <c r="G1257" t="s">
        <v>1114</v>
      </c>
      <c r="H1257" t="s">
        <v>399</v>
      </c>
      <c r="K1257">
        <v>1987</v>
      </c>
      <c r="O1257">
        <v>13.65</v>
      </c>
      <c r="P1257" t="s">
        <v>15</v>
      </c>
      <c r="Q1257" t="s">
        <v>398</v>
      </c>
    </row>
    <row r="1258" spans="1:17">
      <c r="A1258" t="s">
        <v>553</v>
      </c>
      <c r="C1258" t="s">
        <v>393</v>
      </c>
      <c r="D1258" t="s">
        <v>554</v>
      </c>
      <c r="E1258" t="s">
        <v>161</v>
      </c>
      <c r="G1258" t="s">
        <v>1115</v>
      </c>
      <c r="H1258" t="s">
        <v>399</v>
      </c>
      <c r="K1258">
        <v>1982</v>
      </c>
      <c r="O1258">
        <v>13.919999999999998</v>
      </c>
      <c r="P1258" t="s">
        <v>15</v>
      </c>
      <c r="Q1258" t="s">
        <v>398</v>
      </c>
    </row>
    <row r="1259" spans="1:17">
      <c r="A1259" t="s">
        <v>553</v>
      </c>
      <c r="C1259" t="s">
        <v>393</v>
      </c>
      <c r="D1259" t="s">
        <v>554</v>
      </c>
      <c r="E1259" t="s">
        <v>161</v>
      </c>
      <c r="G1259" t="s">
        <v>210</v>
      </c>
      <c r="H1259" t="s">
        <v>399</v>
      </c>
      <c r="K1259">
        <v>1968</v>
      </c>
      <c r="O1259">
        <v>13.979999999999999</v>
      </c>
      <c r="P1259" t="s">
        <v>15</v>
      </c>
      <c r="Q1259" t="s">
        <v>398</v>
      </c>
    </row>
    <row r="1260" spans="1:17">
      <c r="A1260" t="s">
        <v>553</v>
      </c>
      <c r="C1260" t="s">
        <v>393</v>
      </c>
      <c r="D1260" t="s">
        <v>554</v>
      </c>
      <c r="E1260" t="s">
        <v>161</v>
      </c>
      <c r="G1260" t="s">
        <v>605</v>
      </c>
      <c r="H1260" t="s">
        <v>399</v>
      </c>
      <c r="K1260">
        <v>1982</v>
      </c>
      <c r="O1260">
        <v>14.139999999999999</v>
      </c>
      <c r="P1260" t="s">
        <v>15</v>
      </c>
      <c r="Q1260" t="s">
        <v>398</v>
      </c>
    </row>
    <row r="1261" spans="1:17">
      <c r="A1261" t="s">
        <v>553</v>
      </c>
      <c r="C1261" t="s">
        <v>393</v>
      </c>
      <c r="D1261" t="s">
        <v>554</v>
      </c>
      <c r="E1261" t="s">
        <v>161</v>
      </c>
      <c r="G1261" t="s">
        <v>1116</v>
      </c>
      <c r="H1261" t="s">
        <v>399</v>
      </c>
      <c r="K1261">
        <v>1984</v>
      </c>
      <c r="O1261">
        <v>14.350000000000001</v>
      </c>
      <c r="P1261" t="s">
        <v>15</v>
      </c>
      <c r="Q1261" t="s">
        <v>398</v>
      </c>
    </row>
    <row r="1262" spans="1:17">
      <c r="A1262" t="s">
        <v>553</v>
      </c>
      <c r="C1262" t="s">
        <v>393</v>
      </c>
      <c r="D1262" t="s">
        <v>554</v>
      </c>
      <c r="E1262" t="s">
        <v>161</v>
      </c>
      <c r="G1262" t="s">
        <v>571</v>
      </c>
      <c r="H1262" t="s">
        <v>399</v>
      </c>
      <c r="K1262">
        <v>1980</v>
      </c>
      <c r="O1262">
        <v>14.510000000000002</v>
      </c>
      <c r="P1262" t="s">
        <v>15</v>
      </c>
      <c r="Q1262" t="s">
        <v>398</v>
      </c>
    </row>
    <row r="1263" spans="1:17">
      <c r="A1263" t="s">
        <v>553</v>
      </c>
      <c r="C1263" t="s">
        <v>393</v>
      </c>
      <c r="D1263" t="s">
        <v>554</v>
      </c>
      <c r="E1263" t="s">
        <v>161</v>
      </c>
      <c r="G1263" t="s">
        <v>1099</v>
      </c>
      <c r="H1263" t="s">
        <v>399</v>
      </c>
      <c r="K1263">
        <v>1980</v>
      </c>
      <c r="O1263">
        <v>14.850000000000001</v>
      </c>
      <c r="P1263" t="s">
        <v>15</v>
      </c>
      <c r="Q1263" t="s">
        <v>398</v>
      </c>
    </row>
    <row r="1264" spans="1:17">
      <c r="A1264" t="s">
        <v>553</v>
      </c>
      <c r="C1264" t="s">
        <v>393</v>
      </c>
      <c r="D1264" t="s">
        <v>554</v>
      </c>
      <c r="E1264" t="s">
        <v>161</v>
      </c>
      <c r="G1264" t="s">
        <v>634</v>
      </c>
      <c r="H1264" t="s">
        <v>399</v>
      </c>
      <c r="K1264">
        <v>1980</v>
      </c>
      <c r="O1264">
        <v>15.229999999999999</v>
      </c>
      <c r="P1264" t="s">
        <v>15</v>
      </c>
      <c r="Q1264" t="s">
        <v>398</v>
      </c>
    </row>
    <row r="1265" spans="1:17">
      <c r="A1265" t="s">
        <v>553</v>
      </c>
      <c r="C1265" t="s">
        <v>393</v>
      </c>
      <c r="D1265" t="s">
        <v>554</v>
      </c>
      <c r="E1265" t="s">
        <v>161</v>
      </c>
      <c r="G1265" t="s">
        <v>583</v>
      </c>
      <c r="H1265" t="s">
        <v>399</v>
      </c>
      <c r="K1265">
        <v>1982</v>
      </c>
      <c r="O1265">
        <v>15.32</v>
      </c>
      <c r="P1265" t="s">
        <v>15</v>
      </c>
      <c r="Q1265" t="s">
        <v>398</v>
      </c>
    </row>
    <row r="1266" spans="1:17">
      <c r="A1266" t="s">
        <v>553</v>
      </c>
      <c r="C1266" t="s">
        <v>393</v>
      </c>
      <c r="D1266" t="s">
        <v>554</v>
      </c>
      <c r="E1266" t="s">
        <v>161</v>
      </c>
      <c r="G1266" t="s">
        <v>1117</v>
      </c>
      <c r="H1266" t="s">
        <v>399</v>
      </c>
      <c r="K1266">
        <v>1995</v>
      </c>
      <c r="O1266">
        <v>15.61</v>
      </c>
      <c r="P1266" t="s">
        <v>15</v>
      </c>
      <c r="Q1266" t="s">
        <v>398</v>
      </c>
    </row>
    <row r="1267" spans="1:17">
      <c r="A1267" t="s">
        <v>553</v>
      </c>
      <c r="C1267" t="s">
        <v>393</v>
      </c>
      <c r="D1267" t="s">
        <v>554</v>
      </c>
      <c r="E1267" t="s">
        <v>161</v>
      </c>
      <c r="G1267" t="s">
        <v>1118</v>
      </c>
      <c r="H1267" t="s">
        <v>399</v>
      </c>
      <c r="K1267">
        <v>1980</v>
      </c>
      <c r="O1267">
        <v>15.940000000000001</v>
      </c>
      <c r="P1267" t="s">
        <v>15</v>
      </c>
      <c r="Q1267" t="s">
        <v>398</v>
      </c>
    </row>
    <row r="1268" spans="1:17">
      <c r="A1268" t="s">
        <v>553</v>
      </c>
      <c r="C1268" t="s">
        <v>393</v>
      </c>
      <c r="D1268" t="s">
        <v>554</v>
      </c>
      <c r="E1268" t="s">
        <v>161</v>
      </c>
      <c r="G1268" t="s">
        <v>170</v>
      </c>
      <c r="H1268" t="s">
        <v>399</v>
      </c>
      <c r="K1268">
        <v>1984</v>
      </c>
      <c r="O1268">
        <v>16.14</v>
      </c>
      <c r="P1268" t="s">
        <v>15</v>
      </c>
      <c r="Q1268" t="s">
        <v>398</v>
      </c>
    </row>
    <row r="1269" spans="1:17">
      <c r="A1269" t="s">
        <v>553</v>
      </c>
      <c r="C1269" t="s">
        <v>393</v>
      </c>
      <c r="D1269" t="s">
        <v>554</v>
      </c>
      <c r="E1269" t="s">
        <v>161</v>
      </c>
      <c r="G1269" t="s">
        <v>605</v>
      </c>
      <c r="H1269" t="s">
        <v>399</v>
      </c>
      <c r="K1269">
        <v>1980</v>
      </c>
      <c r="O1269">
        <v>16.32</v>
      </c>
      <c r="P1269" t="s">
        <v>15</v>
      </c>
      <c r="Q1269" t="s">
        <v>398</v>
      </c>
    </row>
    <row r="1270" spans="1:17">
      <c r="A1270" t="s">
        <v>553</v>
      </c>
      <c r="C1270" t="s">
        <v>393</v>
      </c>
      <c r="D1270" t="s">
        <v>554</v>
      </c>
      <c r="E1270" t="s">
        <v>161</v>
      </c>
      <c r="G1270" t="s">
        <v>638</v>
      </c>
      <c r="H1270" t="s">
        <v>399</v>
      </c>
      <c r="K1270">
        <v>1984</v>
      </c>
      <c r="O1270">
        <v>16.39</v>
      </c>
      <c r="P1270" t="s">
        <v>15</v>
      </c>
      <c r="Q1270" t="s">
        <v>398</v>
      </c>
    </row>
    <row r="1271" spans="1:17">
      <c r="A1271" t="s">
        <v>553</v>
      </c>
      <c r="C1271" t="s">
        <v>393</v>
      </c>
      <c r="D1271" t="s">
        <v>554</v>
      </c>
      <c r="E1271" t="s">
        <v>161</v>
      </c>
      <c r="G1271" t="s">
        <v>1119</v>
      </c>
      <c r="H1271" t="s">
        <v>399</v>
      </c>
      <c r="K1271">
        <v>1987</v>
      </c>
      <c r="O1271">
        <v>16.399999999999999</v>
      </c>
      <c r="P1271" t="s">
        <v>15</v>
      </c>
      <c r="Q1271" t="s">
        <v>398</v>
      </c>
    </row>
    <row r="1272" spans="1:17">
      <c r="A1272" t="s">
        <v>553</v>
      </c>
      <c r="C1272" t="s">
        <v>393</v>
      </c>
      <c r="D1272" t="s">
        <v>554</v>
      </c>
      <c r="E1272" t="s">
        <v>161</v>
      </c>
      <c r="G1272" t="s">
        <v>1120</v>
      </c>
      <c r="H1272" t="s">
        <v>399</v>
      </c>
      <c r="K1272">
        <v>1987</v>
      </c>
      <c r="O1272">
        <v>16.52</v>
      </c>
      <c r="P1272" t="s">
        <v>15</v>
      </c>
      <c r="Q1272" t="s">
        <v>398</v>
      </c>
    </row>
    <row r="1273" spans="1:17">
      <c r="A1273" t="s">
        <v>553</v>
      </c>
      <c r="C1273" t="s">
        <v>393</v>
      </c>
      <c r="D1273" t="s">
        <v>554</v>
      </c>
      <c r="E1273" t="s">
        <v>161</v>
      </c>
      <c r="G1273" t="s">
        <v>217</v>
      </c>
      <c r="H1273" t="s">
        <v>399</v>
      </c>
      <c r="K1273">
        <v>1968</v>
      </c>
      <c r="O1273">
        <v>16.68</v>
      </c>
      <c r="P1273" t="s">
        <v>15</v>
      </c>
      <c r="Q1273" t="s">
        <v>398</v>
      </c>
    </row>
    <row r="1274" spans="1:17">
      <c r="A1274" t="s">
        <v>553</v>
      </c>
      <c r="C1274" t="s">
        <v>393</v>
      </c>
      <c r="D1274" t="s">
        <v>554</v>
      </c>
      <c r="E1274" t="s">
        <v>161</v>
      </c>
      <c r="G1274" t="s">
        <v>212</v>
      </c>
      <c r="H1274" t="s">
        <v>399</v>
      </c>
      <c r="K1274">
        <v>1968</v>
      </c>
      <c r="O1274">
        <v>17.509999999999998</v>
      </c>
      <c r="P1274" t="s">
        <v>15</v>
      </c>
      <c r="Q1274" t="s">
        <v>398</v>
      </c>
    </row>
    <row r="1275" spans="1:17">
      <c r="A1275" t="s">
        <v>553</v>
      </c>
      <c r="C1275" t="s">
        <v>393</v>
      </c>
      <c r="D1275" t="s">
        <v>554</v>
      </c>
      <c r="E1275" t="s">
        <v>161</v>
      </c>
      <c r="G1275" t="s">
        <v>607</v>
      </c>
      <c r="H1275" t="s">
        <v>399</v>
      </c>
      <c r="K1275">
        <v>1980</v>
      </c>
      <c r="O1275">
        <v>17.77</v>
      </c>
      <c r="P1275" t="s">
        <v>15</v>
      </c>
      <c r="Q1275" t="s">
        <v>398</v>
      </c>
    </row>
    <row r="1276" spans="1:17">
      <c r="A1276" t="s">
        <v>553</v>
      </c>
      <c r="C1276" t="s">
        <v>393</v>
      </c>
      <c r="D1276" t="s">
        <v>554</v>
      </c>
      <c r="E1276" t="s">
        <v>161</v>
      </c>
      <c r="G1276" t="s">
        <v>214</v>
      </c>
      <c r="H1276" t="s">
        <v>399</v>
      </c>
      <c r="K1276">
        <v>1995</v>
      </c>
      <c r="O1276">
        <v>18.440000000000001</v>
      </c>
      <c r="P1276" t="s">
        <v>15</v>
      </c>
      <c r="Q1276" t="s">
        <v>398</v>
      </c>
    </row>
    <row r="1277" spans="1:17">
      <c r="A1277" t="s">
        <v>553</v>
      </c>
      <c r="C1277" t="s">
        <v>393</v>
      </c>
      <c r="D1277" t="s">
        <v>554</v>
      </c>
      <c r="E1277" t="s">
        <v>161</v>
      </c>
      <c r="G1277" t="s">
        <v>585</v>
      </c>
      <c r="H1277" t="s">
        <v>399</v>
      </c>
      <c r="K1277">
        <v>1982</v>
      </c>
      <c r="O1277">
        <v>18.62</v>
      </c>
      <c r="P1277" t="s">
        <v>15</v>
      </c>
      <c r="Q1277" t="s">
        <v>398</v>
      </c>
    </row>
    <row r="1278" spans="1:17">
      <c r="A1278" t="s">
        <v>553</v>
      </c>
      <c r="C1278" t="s">
        <v>393</v>
      </c>
      <c r="D1278" t="s">
        <v>554</v>
      </c>
      <c r="E1278" t="s">
        <v>161</v>
      </c>
      <c r="G1278" t="s">
        <v>203</v>
      </c>
      <c r="H1278" t="s">
        <v>399</v>
      </c>
      <c r="K1278">
        <v>1982</v>
      </c>
      <c r="O1278">
        <v>19.170000000000002</v>
      </c>
      <c r="P1278" t="s">
        <v>15</v>
      </c>
      <c r="Q1278" t="s">
        <v>398</v>
      </c>
    </row>
    <row r="1279" spans="1:17">
      <c r="A1279" t="s">
        <v>553</v>
      </c>
      <c r="C1279" t="s">
        <v>393</v>
      </c>
      <c r="D1279" t="s">
        <v>554</v>
      </c>
      <c r="E1279" t="s">
        <v>161</v>
      </c>
      <c r="G1279" t="s">
        <v>584</v>
      </c>
      <c r="H1279" t="s">
        <v>399</v>
      </c>
      <c r="K1279">
        <v>1982</v>
      </c>
      <c r="O1279">
        <v>19.28</v>
      </c>
      <c r="P1279" t="s">
        <v>15</v>
      </c>
      <c r="Q1279" t="s">
        <v>398</v>
      </c>
    </row>
    <row r="1280" spans="1:17">
      <c r="A1280" t="s">
        <v>553</v>
      </c>
      <c r="C1280" t="s">
        <v>393</v>
      </c>
      <c r="D1280" t="s">
        <v>554</v>
      </c>
      <c r="E1280" t="s">
        <v>161</v>
      </c>
      <c r="G1280" t="s">
        <v>578</v>
      </c>
      <c r="H1280" t="s">
        <v>399</v>
      </c>
      <c r="K1280">
        <v>1980</v>
      </c>
      <c r="O1280">
        <v>19.66</v>
      </c>
      <c r="P1280" t="s">
        <v>15</v>
      </c>
      <c r="Q1280" t="s">
        <v>398</v>
      </c>
    </row>
    <row r="1281" spans="1:17">
      <c r="A1281" t="s">
        <v>553</v>
      </c>
      <c r="C1281" t="s">
        <v>393</v>
      </c>
      <c r="D1281" t="s">
        <v>554</v>
      </c>
      <c r="E1281" t="s">
        <v>161</v>
      </c>
      <c r="G1281" t="s">
        <v>211</v>
      </c>
      <c r="H1281" t="s">
        <v>399</v>
      </c>
      <c r="K1281">
        <v>1968</v>
      </c>
      <c r="O1281">
        <v>20.18</v>
      </c>
      <c r="P1281" t="s">
        <v>15</v>
      </c>
      <c r="Q1281" t="s">
        <v>398</v>
      </c>
    </row>
    <row r="1282" spans="1:17">
      <c r="A1282" t="s">
        <v>553</v>
      </c>
      <c r="C1282" t="s">
        <v>393</v>
      </c>
      <c r="D1282" t="s">
        <v>554</v>
      </c>
      <c r="E1282" t="s">
        <v>161</v>
      </c>
      <c r="G1282" t="s">
        <v>1121</v>
      </c>
      <c r="H1282" t="s">
        <v>399</v>
      </c>
      <c r="K1282">
        <v>1987</v>
      </c>
      <c r="O1282">
        <v>20.22</v>
      </c>
      <c r="P1282" t="s">
        <v>15</v>
      </c>
      <c r="Q1282" t="s">
        <v>398</v>
      </c>
    </row>
    <row r="1283" spans="1:17">
      <c r="A1283" t="s">
        <v>553</v>
      </c>
      <c r="C1283" t="s">
        <v>393</v>
      </c>
      <c r="D1283" t="s">
        <v>554</v>
      </c>
      <c r="E1283" t="s">
        <v>161</v>
      </c>
      <c r="G1283" t="s">
        <v>218</v>
      </c>
      <c r="H1283" t="s">
        <v>399</v>
      </c>
      <c r="K1283">
        <v>1995</v>
      </c>
      <c r="O1283">
        <v>20.64</v>
      </c>
      <c r="P1283" t="s">
        <v>15</v>
      </c>
      <c r="Q1283" t="s">
        <v>398</v>
      </c>
    </row>
    <row r="1284" spans="1:17">
      <c r="A1284" t="s">
        <v>553</v>
      </c>
      <c r="C1284" t="s">
        <v>393</v>
      </c>
      <c r="D1284" t="s">
        <v>554</v>
      </c>
      <c r="E1284" t="s">
        <v>161</v>
      </c>
      <c r="G1284" t="s">
        <v>638</v>
      </c>
      <c r="H1284" t="s">
        <v>399</v>
      </c>
      <c r="K1284">
        <v>1982</v>
      </c>
      <c r="O1284">
        <v>20.89</v>
      </c>
      <c r="P1284" t="s">
        <v>15</v>
      </c>
      <c r="Q1284" t="s">
        <v>398</v>
      </c>
    </row>
    <row r="1285" spans="1:17">
      <c r="A1285" t="s">
        <v>553</v>
      </c>
      <c r="C1285" t="s">
        <v>393</v>
      </c>
      <c r="D1285" t="s">
        <v>554</v>
      </c>
      <c r="E1285" t="s">
        <v>161</v>
      </c>
      <c r="G1285" t="s">
        <v>1122</v>
      </c>
      <c r="H1285" t="s">
        <v>399</v>
      </c>
      <c r="K1285">
        <v>1977</v>
      </c>
      <c r="O1285">
        <v>21.22</v>
      </c>
      <c r="P1285" t="s">
        <v>15</v>
      </c>
      <c r="Q1285" t="s">
        <v>398</v>
      </c>
    </row>
    <row r="1286" spans="1:17">
      <c r="A1286" t="s">
        <v>553</v>
      </c>
      <c r="C1286" t="s">
        <v>393</v>
      </c>
      <c r="D1286" t="s">
        <v>554</v>
      </c>
      <c r="E1286" t="s">
        <v>161</v>
      </c>
      <c r="G1286" t="s">
        <v>622</v>
      </c>
      <c r="H1286" t="s">
        <v>399</v>
      </c>
      <c r="K1286">
        <v>1982</v>
      </c>
      <c r="O1286">
        <v>22.54</v>
      </c>
      <c r="P1286" t="s">
        <v>15</v>
      </c>
      <c r="Q1286" t="s">
        <v>398</v>
      </c>
    </row>
    <row r="1287" spans="1:17">
      <c r="A1287" t="s">
        <v>553</v>
      </c>
      <c r="C1287" t="s">
        <v>393</v>
      </c>
      <c r="D1287" t="s">
        <v>554</v>
      </c>
      <c r="E1287" t="s">
        <v>161</v>
      </c>
      <c r="G1287" t="s">
        <v>1123</v>
      </c>
      <c r="H1287" t="s">
        <v>399</v>
      </c>
      <c r="K1287">
        <v>1984</v>
      </c>
      <c r="O1287">
        <v>22.770000000000003</v>
      </c>
      <c r="P1287" t="s">
        <v>15</v>
      </c>
      <c r="Q1287" t="s">
        <v>398</v>
      </c>
    </row>
    <row r="1288" spans="1:17">
      <c r="A1288" t="s">
        <v>553</v>
      </c>
      <c r="C1288" t="s">
        <v>393</v>
      </c>
      <c r="D1288" t="s">
        <v>554</v>
      </c>
      <c r="E1288" t="s">
        <v>161</v>
      </c>
      <c r="G1288" t="s">
        <v>1124</v>
      </c>
      <c r="H1288" t="s">
        <v>399</v>
      </c>
      <c r="K1288">
        <v>1987</v>
      </c>
      <c r="O1288">
        <v>24.950000000000003</v>
      </c>
      <c r="P1288" t="s">
        <v>15</v>
      </c>
      <c r="Q1288" t="s">
        <v>398</v>
      </c>
    </row>
    <row r="1289" spans="1:17">
      <c r="A1289" t="s">
        <v>553</v>
      </c>
      <c r="C1289" t="s">
        <v>393</v>
      </c>
      <c r="D1289" t="s">
        <v>554</v>
      </c>
      <c r="E1289" t="s">
        <v>161</v>
      </c>
      <c r="G1289" t="s">
        <v>1125</v>
      </c>
      <c r="H1289" t="s">
        <v>399</v>
      </c>
      <c r="K1289">
        <v>1977</v>
      </c>
      <c r="O1289">
        <v>25.43</v>
      </c>
      <c r="P1289" t="s">
        <v>15</v>
      </c>
      <c r="Q1289" t="s">
        <v>398</v>
      </c>
    </row>
    <row r="1290" spans="1:17">
      <c r="A1290" t="s">
        <v>553</v>
      </c>
      <c r="C1290" t="s">
        <v>393</v>
      </c>
      <c r="D1290" t="s">
        <v>554</v>
      </c>
      <c r="E1290" t="s">
        <v>161</v>
      </c>
      <c r="G1290" t="s">
        <v>1126</v>
      </c>
      <c r="H1290" t="s">
        <v>399</v>
      </c>
      <c r="K1290">
        <v>1995</v>
      </c>
      <c r="O1290">
        <v>25.92</v>
      </c>
      <c r="P1290" t="s">
        <v>15</v>
      </c>
      <c r="Q1290" t="s">
        <v>398</v>
      </c>
    </row>
    <row r="1291" spans="1:17">
      <c r="A1291" t="s">
        <v>553</v>
      </c>
      <c r="C1291" t="s">
        <v>393</v>
      </c>
      <c r="D1291" t="s">
        <v>554</v>
      </c>
      <c r="E1291" t="s">
        <v>161</v>
      </c>
      <c r="G1291" t="s">
        <v>1127</v>
      </c>
      <c r="H1291" t="s">
        <v>399</v>
      </c>
      <c r="K1291">
        <v>1995</v>
      </c>
      <c r="O1291">
        <v>26.14</v>
      </c>
      <c r="P1291" t="s">
        <v>15</v>
      </c>
      <c r="Q1291" t="s">
        <v>398</v>
      </c>
    </row>
    <row r="1292" spans="1:17">
      <c r="A1292" t="s">
        <v>553</v>
      </c>
      <c r="C1292" t="s">
        <v>393</v>
      </c>
      <c r="D1292" t="s">
        <v>554</v>
      </c>
      <c r="E1292" t="s">
        <v>161</v>
      </c>
      <c r="G1292" t="s">
        <v>564</v>
      </c>
      <c r="H1292" t="s">
        <v>399</v>
      </c>
      <c r="K1292">
        <v>1982</v>
      </c>
      <c r="O1292">
        <v>26.490000000000002</v>
      </c>
      <c r="P1292" t="s">
        <v>15</v>
      </c>
      <c r="Q1292" t="s">
        <v>398</v>
      </c>
    </row>
    <row r="1293" spans="1:17">
      <c r="A1293" t="s">
        <v>553</v>
      </c>
      <c r="C1293" t="s">
        <v>393</v>
      </c>
      <c r="D1293" t="s">
        <v>554</v>
      </c>
      <c r="E1293" t="s">
        <v>161</v>
      </c>
      <c r="G1293" t="s">
        <v>584</v>
      </c>
      <c r="H1293" t="s">
        <v>399</v>
      </c>
      <c r="K1293">
        <v>1977</v>
      </c>
      <c r="O1293">
        <v>27.9</v>
      </c>
      <c r="P1293" t="s">
        <v>15</v>
      </c>
      <c r="Q1293" t="s">
        <v>398</v>
      </c>
    </row>
    <row r="1294" spans="1:17">
      <c r="A1294" t="s">
        <v>553</v>
      </c>
      <c r="C1294" t="s">
        <v>393</v>
      </c>
      <c r="D1294" t="s">
        <v>554</v>
      </c>
      <c r="E1294" t="s">
        <v>161</v>
      </c>
      <c r="G1294" t="s">
        <v>608</v>
      </c>
      <c r="H1294" t="s">
        <v>399</v>
      </c>
      <c r="K1294">
        <v>1980</v>
      </c>
      <c r="O1294">
        <v>30.779999999999998</v>
      </c>
      <c r="P1294" t="s">
        <v>15</v>
      </c>
      <c r="Q1294" t="s">
        <v>398</v>
      </c>
    </row>
    <row r="1295" spans="1:17">
      <c r="A1295" t="s">
        <v>553</v>
      </c>
      <c r="C1295" t="s">
        <v>393</v>
      </c>
      <c r="D1295" t="s">
        <v>554</v>
      </c>
      <c r="E1295" t="s">
        <v>161</v>
      </c>
      <c r="G1295" t="s">
        <v>1128</v>
      </c>
      <c r="H1295" t="s">
        <v>399</v>
      </c>
      <c r="K1295">
        <v>1995</v>
      </c>
      <c r="O1295">
        <v>30.92</v>
      </c>
      <c r="P1295" t="s">
        <v>15</v>
      </c>
      <c r="Q1295" t="s">
        <v>398</v>
      </c>
    </row>
    <row r="1296" spans="1:17">
      <c r="A1296" t="s">
        <v>553</v>
      </c>
      <c r="C1296" t="s">
        <v>393</v>
      </c>
      <c r="D1296" t="s">
        <v>554</v>
      </c>
      <c r="E1296" t="s">
        <v>161</v>
      </c>
      <c r="G1296" t="s">
        <v>1129</v>
      </c>
      <c r="H1296" t="s">
        <v>399</v>
      </c>
      <c r="K1296">
        <v>1977</v>
      </c>
      <c r="O1296">
        <v>31.46</v>
      </c>
      <c r="P1296" t="s">
        <v>15</v>
      </c>
      <c r="Q1296" t="s">
        <v>398</v>
      </c>
    </row>
    <row r="1297" spans="1:17">
      <c r="A1297" t="s">
        <v>553</v>
      </c>
      <c r="C1297" t="s">
        <v>393</v>
      </c>
      <c r="D1297" t="s">
        <v>554</v>
      </c>
      <c r="E1297" t="s">
        <v>161</v>
      </c>
      <c r="G1297" t="s">
        <v>1130</v>
      </c>
      <c r="H1297" t="s">
        <v>399</v>
      </c>
      <c r="K1297">
        <v>1977</v>
      </c>
      <c r="O1297">
        <v>32.700000000000003</v>
      </c>
      <c r="P1297" t="s">
        <v>15</v>
      </c>
      <c r="Q1297" t="s">
        <v>398</v>
      </c>
    </row>
    <row r="1298" spans="1:17">
      <c r="A1298" t="s">
        <v>553</v>
      </c>
      <c r="C1298" t="s">
        <v>393</v>
      </c>
      <c r="D1298" t="s">
        <v>554</v>
      </c>
      <c r="E1298" t="s">
        <v>161</v>
      </c>
      <c r="G1298" t="s">
        <v>218</v>
      </c>
      <c r="H1298" t="s">
        <v>399</v>
      </c>
      <c r="K1298">
        <v>1968</v>
      </c>
      <c r="O1298">
        <v>32.78</v>
      </c>
      <c r="P1298" t="s">
        <v>15</v>
      </c>
      <c r="Q1298" t="s">
        <v>398</v>
      </c>
    </row>
    <row r="1299" spans="1:17">
      <c r="A1299" t="s">
        <v>553</v>
      </c>
      <c r="C1299" t="s">
        <v>393</v>
      </c>
      <c r="D1299" t="s">
        <v>554</v>
      </c>
      <c r="E1299" t="s">
        <v>161</v>
      </c>
      <c r="G1299" t="s">
        <v>1098</v>
      </c>
      <c r="H1299" t="s">
        <v>399</v>
      </c>
      <c r="K1299">
        <v>1984</v>
      </c>
      <c r="O1299">
        <v>33.28</v>
      </c>
      <c r="P1299" t="s">
        <v>15</v>
      </c>
      <c r="Q1299" t="s">
        <v>398</v>
      </c>
    </row>
    <row r="1300" spans="1:17">
      <c r="A1300" t="s">
        <v>553</v>
      </c>
      <c r="C1300" t="s">
        <v>393</v>
      </c>
      <c r="D1300" t="s">
        <v>554</v>
      </c>
      <c r="E1300" t="s">
        <v>161</v>
      </c>
      <c r="G1300" t="s">
        <v>1131</v>
      </c>
      <c r="H1300" t="s">
        <v>399</v>
      </c>
      <c r="K1300">
        <v>1995</v>
      </c>
      <c r="O1300">
        <v>37.57</v>
      </c>
      <c r="P1300" t="s">
        <v>15</v>
      </c>
      <c r="Q1300" t="s">
        <v>398</v>
      </c>
    </row>
    <row r="1301" spans="1:17">
      <c r="A1301" t="s">
        <v>553</v>
      </c>
      <c r="C1301" t="s">
        <v>393</v>
      </c>
      <c r="D1301" t="s">
        <v>554</v>
      </c>
      <c r="E1301" t="s">
        <v>161</v>
      </c>
      <c r="G1301" t="s">
        <v>80</v>
      </c>
      <c r="H1301" t="s">
        <v>399</v>
      </c>
      <c r="K1301">
        <v>1977</v>
      </c>
      <c r="O1301">
        <v>38.909999999999997</v>
      </c>
      <c r="P1301" t="s">
        <v>15</v>
      </c>
      <c r="Q1301" t="s">
        <v>398</v>
      </c>
    </row>
    <row r="1302" spans="1:17">
      <c r="A1302" t="s">
        <v>553</v>
      </c>
      <c r="C1302" t="s">
        <v>393</v>
      </c>
      <c r="D1302" t="s">
        <v>554</v>
      </c>
      <c r="E1302" t="s">
        <v>161</v>
      </c>
      <c r="G1302" t="s">
        <v>583</v>
      </c>
      <c r="H1302" t="s">
        <v>399</v>
      </c>
      <c r="K1302">
        <v>1980</v>
      </c>
      <c r="O1302">
        <v>39.4</v>
      </c>
      <c r="P1302" t="s">
        <v>15</v>
      </c>
      <c r="Q1302" t="s">
        <v>398</v>
      </c>
    </row>
    <row r="1303" spans="1:17">
      <c r="A1303" t="s">
        <v>553</v>
      </c>
      <c r="C1303" t="s">
        <v>393</v>
      </c>
      <c r="D1303" t="s">
        <v>554</v>
      </c>
      <c r="E1303" t="s">
        <v>161</v>
      </c>
      <c r="G1303" t="s">
        <v>219</v>
      </c>
      <c r="H1303" t="s">
        <v>399</v>
      </c>
      <c r="K1303">
        <v>1968</v>
      </c>
      <c r="O1303">
        <v>41.900000000000006</v>
      </c>
      <c r="P1303" t="s">
        <v>15</v>
      </c>
      <c r="Q1303" t="s">
        <v>398</v>
      </c>
    </row>
    <row r="1304" spans="1:17">
      <c r="A1304" t="s">
        <v>553</v>
      </c>
      <c r="C1304" t="s">
        <v>393</v>
      </c>
      <c r="D1304" t="s">
        <v>554</v>
      </c>
      <c r="E1304" t="s">
        <v>161</v>
      </c>
      <c r="G1304" t="s">
        <v>640</v>
      </c>
      <c r="H1304" t="s">
        <v>399</v>
      </c>
      <c r="K1304">
        <v>1984</v>
      </c>
      <c r="O1304">
        <v>42.169999999999995</v>
      </c>
      <c r="P1304" t="s">
        <v>15</v>
      </c>
      <c r="Q1304" t="s">
        <v>398</v>
      </c>
    </row>
    <row r="1305" spans="1:17">
      <c r="A1305" t="s">
        <v>553</v>
      </c>
      <c r="C1305" t="s">
        <v>393</v>
      </c>
      <c r="D1305" t="s">
        <v>554</v>
      </c>
      <c r="E1305" t="s">
        <v>161</v>
      </c>
      <c r="G1305" t="s">
        <v>1132</v>
      </c>
      <c r="H1305" t="s">
        <v>399</v>
      </c>
      <c r="K1305">
        <v>1995</v>
      </c>
      <c r="O1305">
        <v>42.75</v>
      </c>
      <c r="P1305" t="s">
        <v>15</v>
      </c>
      <c r="Q1305" t="s">
        <v>398</v>
      </c>
    </row>
    <row r="1306" spans="1:17">
      <c r="A1306" t="s">
        <v>553</v>
      </c>
      <c r="C1306" t="s">
        <v>393</v>
      </c>
      <c r="D1306" t="s">
        <v>554</v>
      </c>
      <c r="E1306" t="s">
        <v>161</v>
      </c>
      <c r="G1306" t="s">
        <v>208</v>
      </c>
      <c r="H1306" t="s">
        <v>399</v>
      </c>
      <c r="K1306">
        <v>1968</v>
      </c>
      <c r="O1306">
        <v>48.710000000000008</v>
      </c>
      <c r="P1306" t="s">
        <v>15</v>
      </c>
      <c r="Q1306" t="s">
        <v>398</v>
      </c>
    </row>
    <row r="1307" spans="1:17">
      <c r="A1307" t="s">
        <v>553</v>
      </c>
      <c r="C1307" t="s">
        <v>393</v>
      </c>
      <c r="D1307" t="s">
        <v>554</v>
      </c>
      <c r="E1307" t="s">
        <v>161</v>
      </c>
      <c r="G1307" t="s">
        <v>207</v>
      </c>
      <c r="H1307" t="s">
        <v>399</v>
      </c>
      <c r="K1307">
        <v>1968</v>
      </c>
      <c r="O1307">
        <v>49.089999999999996</v>
      </c>
      <c r="P1307" t="s">
        <v>15</v>
      </c>
      <c r="Q1307" t="s">
        <v>398</v>
      </c>
    </row>
    <row r="1308" spans="1:17">
      <c r="A1308" t="s">
        <v>553</v>
      </c>
      <c r="C1308" t="s">
        <v>393</v>
      </c>
      <c r="D1308" t="s">
        <v>554</v>
      </c>
      <c r="E1308" t="s">
        <v>161</v>
      </c>
      <c r="G1308" t="s">
        <v>1133</v>
      </c>
      <c r="H1308" t="s">
        <v>399</v>
      </c>
      <c r="K1308">
        <v>1995</v>
      </c>
      <c r="O1308">
        <v>49.800000000000004</v>
      </c>
      <c r="P1308" t="s">
        <v>15</v>
      </c>
      <c r="Q1308" t="s">
        <v>398</v>
      </c>
    </row>
    <row r="1309" spans="1:17">
      <c r="A1309" t="s">
        <v>553</v>
      </c>
      <c r="C1309" t="s">
        <v>393</v>
      </c>
      <c r="D1309" t="s">
        <v>554</v>
      </c>
      <c r="E1309" t="s">
        <v>161</v>
      </c>
      <c r="G1309" t="s">
        <v>203</v>
      </c>
      <c r="H1309" t="s">
        <v>399</v>
      </c>
      <c r="K1309">
        <v>1995</v>
      </c>
      <c r="O1309">
        <v>51.7</v>
      </c>
      <c r="P1309" t="s">
        <v>15</v>
      </c>
      <c r="Q1309" t="s">
        <v>398</v>
      </c>
    </row>
    <row r="1310" spans="1:17">
      <c r="A1310" t="s">
        <v>553</v>
      </c>
      <c r="C1310" t="s">
        <v>393</v>
      </c>
      <c r="D1310" t="s">
        <v>554</v>
      </c>
      <c r="E1310" t="s">
        <v>161</v>
      </c>
      <c r="G1310" t="s">
        <v>605</v>
      </c>
      <c r="H1310" t="s">
        <v>399</v>
      </c>
      <c r="K1310">
        <v>1977</v>
      </c>
      <c r="O1310">
        <v>52.15</v>
      </c>
      <c r="P1310" t="s">
        <v>15</v>
      </c>
      <c r="Q1310" t="s">
        <v>398</v>
      </c>
    </row>
    <row r="1311" spans="1:17">
      <c r="A1311" t="s">
        <v>553</v>
      </c>
      <c r="C1311" t="s">
        <v>393</v>
      </c>
      <c r="D1311" t="s">
        <v>554</v>
      </c>
      <c r="E1311" t="s">
        <v>161</v>
      </c>
      <c r="G1311" t="s">
        <v>1134</v>
      </c>
      <c r="H1311" t="s">
        <v>399</v>
      </c>
      <c r="K1311">
        <v>1984</v>
      </c>
      <c r="O1311">
        <v>53.620000000000005</v>
      </c>
      <c r="P1311" t="s">
        <v>15</v>
      </c>
      <c r="Q1311" t="s">
        <v>398</v>
      </c>
    </row>
    <row r="1312" spans="1:17">
      <c r="A1312" t="s">
        <v>553</v>
      </c>
      <c r="C1312" t="s">
        <v>393</v>
      </c>
      <c r="D1312" t="s">
        <v>554</v>
      </c>
      <c r="E1312" t="s">
        <v>161</v>
      </c>
      <c r="G1312" t="s">
        <v>1112</v>
      </c>
      <c r="H1312" t="s">
        <v>399</v>
      </c>
      <c r="K1312">
        <v>1982</v>
      </c>
      <c r="O1312">
        <v>57.08</v>
      </c>
      <c r="P1312" t="s">
        <v>15</v>
      </c>
      <c r="Q1312" t="s">
        <v>398</v>
      </c>
    </row>
    <row r="1313" spans="1:17">
      <c r="A1313" t="s">
        <v>553</v>
      </c>
      <c r="C1313" t="s">
        <v>393</v>
      </c>
      <c r="D1313" t="s">
        <v>554</v>
      </c>
      <c r="E1313" t="s">
        <v>161</v>
      </c>
      <c r="G1313" t="s">
        <v>1135</v>
      </c>
      <c r="H1313" t="s">
        <v>399</v>
      </c>
      <c r="K1313">
        <v>1977</v>
      </c>
      <c r="O1313">
        <v>57.599999999999994</v>
      </c>
      <c r="P1313" t="s">
        <v>15</v>
      </c>
      <c r="Q1313" t="s">
        <v>398</v>
      </c>
    </row>
    <row r="1314" spans="1:17">
      <c r="A1314" t="s">
        <v>553</v>
      </c>
      <c r="C1314" t="s">
        <v>393</v>
      </c>
      <c r="D1314" t="s">
        <v>554</v>
      </c>
      <c r="E1314" t="s">
        <v>161</v>
      </c>
      <c r="G1314" t="s">
        <v>210</v>
      </c>
      <c r="H1314" t="s">
        <v>399</v>
      </c>
      <c r="K1314">
        <v>1995</v>
      </c>
      <c r="O1314">
        <v>59.33</v>
      </c>
      <c r="P1314" t="s">
        <v>15</v>
      </c>
      <c r="Q1314" t="s">
        <v>398</v>
      </c>
    </row>
    <row r="1315" spans="1:17">
      <c r="A1315" t="s">
        <v>553</v>
      </c>
      <c r="C1315" t="s">
        <v>393</v>
      </c>
      <c r="D1315" t="s">
        <v>554</v>
      </c>
      <c r="E1315" t="s">
        <v>161</v>
      </c>
      <c r="G1315" t="s">
        <v>1136</v>
      </c>
      <c r="H1315" t="s">
        <v>399</v>
      </c>
      <c r="K1315">
        <v>1977</v>
      </c>
      <c r="O1315">
        <v>62.42</v>
      </c>
      <c r="P1315" t="s">
        <v>15</v>
      </c>
      <c r="Q1315" t="s">
        <v>398</v>
      </c>
    </row>
    <row r="1316" spans="1:17">
      <c r="A1316" t="s">
        <v>553</v>
      </c>
      <c r="C1316" t="s">
        <v>393</v>
      </c>
      <c r="D1316" t="s">
        <v>554</v>
      </c>
      <c r="E1316" t="s">
        <v>161</v>
      </c>
      <c r="G1316" t="s">
        <v>1137</v>
      </c>
      <c r="H1316" t="s">
        <v>399</v>
      </c>
      <c r="K1316">
        <v>1995</v>
      </c>
      <c r="O1316">
        <v>63.54</v>
      </c>
      <c r="P1316" t="s">
        <v>15</v>
      </c>
      <c r="Q1316" t="s">
        <v>398</v>
      </c>
    </row>
    <row r="1317" spans="1:17">
      <c r="A1317" t="s">
        <v>553</v>
      </c>
      <c r="C1317" t="s">
        <v>393</v>
      </c>
      <c r="D1317" t="s">
        <v>554</v>
      </c>
      <c r="E1317" t="s">
        <v>161</v>
      </c>
      <c r="G1317" t="s">
        <v>1138</v>
      </c>
      <c r="H1317" t="s">
        <v>399</v>
      </c>
      <c r="K1317">
        <v>1977</v>
      </c>
      <c r="O1317">
        <v>64.740000000000009</v>
      </c>
      <c r="P1317" t="s">
        <v>15</v>
      </c>
      <c r="Q1317" t="s">
        <v>398</v>
      </c>
    </row>
    <row r="1318" spans="1:17">
      <c r="A1318" t="s">
        <v>553</v>
      </c>
      <c r="C1318" t="s">
        <v>393</v>
      </c>
      <c r="D1318" t="s">
        <v>554</v>
      </c>
      <c r="E1318" t="s">
        <v>161</v>
      </c>
      <c r="G1318" t="s">
        <v>634</v>
      </c>
      <c r="H1318" t="s">
        <v>399</v>
      </c>
      <c r="K1318">
        <v>1977</v>
      </c>
      <c r="O1318">
        <v>65.239999999999995</v>
      </c>
      <c r="P1318" t="s">
        <v>15</v>
      </c>
      <c r="Q1318" t="s">
        <v>398</v>
      </c>
    </row>
    <row r="1319" spans="1:17">
      <c r="A1319" t="s">
        <v>553</v>
      </c>
      <c r="C1319" t="s">
        <v>393</v>
      </c>
      <c r="D1319" t="s">
        <v>554</v>
      </c>
      <c r="E1319" t="s">
        <v>161</v>
      </c>
      <c r="G1319" t="s">
        <v>582</v>
      </c>
      <c r="H1319" t="s">
        <v>399</v>
      </c>
      <c r="K1319">
        <v>1977</v>
      </c>
      <c r="O1319">
        <v>65.53</v>
      </c>
      <c r="P1319" t="s">
        <v>15</v>
      </c>
      <c r="Q1319" t="s">
        <v>398</v>
      </c>
    </row>
    <row r="1320" spans="1:17">
      <c r="A1320" t="s">
        <v>553</v>
      </c>
      <c r="C1320" t="s">
        <v>393</v>
      </c>
      <c r="D1320" t="s">
        <v>554</v>
      </c>
      <c r="E1320" t="s">
        <v>161</v>
      </c>
      <c r="G1320" t="s">
        <v>1139</v>
      </c>
      <c r="H1320" t="s">
        <v>399</v>
      </c>
      <c r="K1320">
        <v>1977</v>
      </c>
      <c r="O1320">
        <v>72.31</v>
      </c>
      <c r="P1320" t="s">
        <v>15</v>
      </c>
      <c r="Q1320" t="s">
        <v>398</v>
      </c>
    </row>
    <row r="1321" spans="1:17">
      <c r="A1321" t="s">
        <v>553</v>
      </c>
      <c r="C1321" t="s">
        <v>393</v>
      </c>
      <c r="D1321" t="s">
        <v>554</v>
      </c>
      <c r="E1321" t="s">
        <v>161</v>
      </c>
      <c r="G1321" t="s">
        <v>1099</v>
      </c>
      <c r="H1321" t="s">
        <v>399</v>
      </c>
      <c r="K1321">
        <v>1977</v>
      </c>
      <c r="O1321">
        <v>72.81</v>
      </c>
      <c r="P1321" t="s">
        <v>15</v>
      </c>
      <c r="Q1321" t="s">
        <v>398</v>
      </c>
    </row>
    <row r="1322" spans="1:17">
      <c r="A1322" t="s">
        <v>553</v>
      </c>
      <c r="C1322" t="s">
        <v>393</v>
      </c>
      <c r="D1322" t="s">
        <v>554</v>
      </c>
      <c r="E1322" t="s">
        <v>161</v>
      </c>
      <c r="G1322" t="s">
        <v>305</v>
      </c>
      <c r="H1322" t="s">
        <v>399</v>
      </c>
      <c r="K1322">
        <v>1995</v>
      </c>
      <c r="O1322">
        <v>73.099999999999994</v>
      </c>
      <c r="P1322" t="s">
        <v>15</v>
      </c>
      <c r="Q1322" t="s">
        <v>398</v>
      </c>
    </row>
    <row r="1323" spans="1:17">
      <c r="A1323" t="s">
        <v>553</v>
      </c>
      <c r="C1323" t="s">
        <v>393</v>
      </c>
      <c r="D1323" t="s">
        <v>554</v>
      </c>
      <c r="E1323" t="s">
        <v>161</v>
      </c>
      <c r="G1323" t="s">
        <v>573</v>
      </c>
      <c r="H1323" t="s">
        <v>399</v>
      </c>
      <c r="K1323">
        <v>1977</v>
      </c>
      <c r="O1323">
        <v>74.39</v>
      </c>
      <c r="P1323" t="s">
        <v>15</v>
      </c>
      <c r="Q1323" t="s">
        <v>398</v>
      </c>
    </row>
    <row r="1324" spans="1:17">
      <c r="A1324" t="s">
        <v>553</v>
      </c>
      <c r="C1324" t="s">
        <v>393</v>
      </c>
      <c r="D1324" t="s">
        <v>554</v>
      </c>
      <c r="E1324" t="s">
        <v>161</v>
      </c>
      <c r="G1324" t="s">
        <v>1140</v>
      </c>
      <c r="H1324" t="s">
        <v>399</v>
      </c>
      <c r="K1324">
        <v>1977</v>
      </c>
      <c r="O1324">
        <v>77.34</v>
      </c>
      <c r="P1324" t="s">
        <v>15</v>
      </c>
      <c r="Q1324" t="s">
        <v>398</v>
      </c>
    </row>
    <row r="1325" spans="1:17">
      <c r="A1325" t="s">
        <v>553</v>
      </c>
      <c r="C1325" t="s">
        <v>393</v>
      </c>
      <c r="D1325" t="s">
        <v>554</v>
      </c>
      <c r="E1325" t="s">
        <v>161</v>
      </c>
      <c r="G1325" t="s">
        <v>578</v>
      </c>
      <c r="H1325" t="s">
        <v>399</v>
      </c>
      <c r="K1325">
        <v>1977</v>
      </c>
      <c r="O1325">
        <v>77.45</v>
      </c>
      <c r="P1325" t="s">
        <v>15</v>
      </c>
      <c r="Q1325" t="s">
        <v>398</v>
      </c>
    </row>
    <row r="1326" spans="1:17">
      <c r="A1326" t="s">
        <v>553</v>
      </c>
      <c r="C1326" t="s">
        <v>393</v>
      </c>
      <c r="D1326" t="s">
        <v>554</v>
      </c>
      <c r="E1326" t="s">
        <v>161</v>
      </c>
      <c r="G1326" t="s">
        <v>89</v>
      </c>
      <c r="H1326" t="s">
        <v>399</v>
      </c>
      <c r="K1326">
        <v>1977</v>
      </c>
      <c r="O1326">
        <v>80.89</v>
      </c>
      <c r="P1326" t="s">
        <v>15</v>
      </c>
      <c r="Q1326" t="s">
        <v>398</v>
      </c>
    </row>
    <row r="1327" spans="1:17">
      <c r="A1327" t="s">
        <v>553</v>
      </c>
      <c r="C1327" t="s">
        <v>393</v>
      </c>
      <c r="D1327" t="s">
        <v>554</v>
      </c>
      <c r="E1327" t="s">
        <v>161</v>
      </c>
      <c r="G1327" t="s">
        <v>620</v>
      </c>
      <c r="H1327" t="s">
        <v>399</v>
      </c>
      <c r="K1327">
        <v>1977</v>
      </c>
      <c r="O1327">
        <v>88.84</v>
      </c>
      <c r="P1327" t="s">
        <v>15</v>
      </c>
      <c r="Q1327" t="s">
        <v>398</v>
      </c>
    </row>
    <row r="1328" spans="1:17">
      <c r="A1328" t="s">
        <v>553</v>
      </c>
      <c r="C1328" t="s">
        <v>393</v>
      </c>
      <c r="D1328" t="s">
        <v>554</v>
      </c>
      <c r="E1328" t="s">
        <v>161</v>
      </c>
      <c r="G1328" t="s">
        <v>170</v>
      </c>
      <c r="H1328" t="s">
        <v>399</v>
      </c>
      <c r="K1328">
        <v>1995</v>
      </c>
      <c r="O1328">
        <v>91.63</v>
      </c>
      <c r="P1328" t="s">
        <v>15</v>
      </c>
      <c r="Q1328" t="s">
        <v>398</v>
      </c>
    </row>
    <row r="1329" spans="1:17">
      <c r="A1329" t="s">
        <v>553</v>
      </c>
      <c r="C1329" t="s">
        <v>393</v>
      </c>
      <c r="D1329" t="s">
        <v>554</v>
      </c>
      <c r="E1329" t="s">
        <v>161</v>
      </c>
      <c r="G1329" t="s">
        <v>624</v>
      </c>
      <c r="H1329" t="s">
        <v>399</v>
      </c>
      <c r="K1329">
        <v>1977</v>
      </c>
      <c r="O1329">
        <v>91.839999999999989</v>
      </c>
      <c r="P1329" t="s">
        <v>15</v>
      </c>
      <c r="Q1329" t="s">
        <v>398</v>
      </c>
    </row>
    <row r="1330" spans="1:17">
      <c r="A1330" t="s">
        <v>553</v>
      </c>
      <c r="C1330" t="s">
        <v>393</v>
      </c>
      <c r="D1330" t="s">
        <v>554</v>
      </c>
      <c r="E1330" t="s">
        <v>161</v>
      </c>
      <c r="G1330" t="s">
        <v>572</v>
      </c>
      <c r="H1330" t="s">
        <v>399</v>
      </c>
      <c r="K1330">
        <v>1977</v>
      </c>
      <c r="O1330">
        <v>91.910000000000011</v>
      </c>
      <c r="P1330" t="s">
        <v>15</v>
      </c>
      <c r="Q1330" t="s">
        <v>398</v>
      </c>
    </row>
    <row r="1331" spans="1:17">
      <c r="A1331" t="s">
        <v>553</v>
      </c>
      <c r="C1331" t="s">
        <v>393</v>
      </c>
      <c r="D1331" t="s">
        <v>554</v>
      </c>
      <c r="E1331" t="s">
        <v>161</v>
      </c>
      <c r="G1331" t="s">
        <v>1141</v>
      </c>
      <c r="H1331" t="s">
        <v>399</v>
      </c>
      <c r="K1331">
        <v>1995</v>
      </c>
      <c r="O1331">
        <v>92.02</v>
      </c>
      <c r="P1331" t="s">
        <v>15</v>
      </c>
      <c r="Q1331" t="s">
        <v>398</v>
      </c>
    </row>
    <row r="1332" spans="1:17">
      <c r="A1332" t="s">
        <v>553</v>
      </c>
      <c r="C1332" t="s">
        <v>393</v>
      </c>
      <c r="D1332" t="s">
        <v>554</v>
      </c>
      <c r="E1332" t="s">
        <v>161</v>
      </c>
      <c r="G1332" t="s">
        <v>1123</v>
      </c>
      <c r="H1332" t="s">
        <v>399</v>
      </c>
      <c r="K1332">
        <v>1977</v>
      </c>
      <c r="O1332">
        <v>93.160000000000011</v>
      </c>
      <c r="P1332" t="s">
        <v>15</v>
      </c>
      <c r="Q1332" t="s">
        <v>398</v>
      </c>
    </row>
    <row r="1333" spans="1:17">
      <c r="A1333" t="s">
        <v>553</v>
      </c>
      <c r="C1333" t="s">
        <v>393</v>
      </c>
      <c r="D1333" t="s">
        <v>554</v>
      </c>
      <c r="E1333" t="s">
        <v>161</v>
      </c>
      <c r="G1333" t="s">
        <v>82</v>
      </c>
      <c r="H1333" t="s">
        <v>399</v>
      </c>
      <c r="K1333">
        <v>1977</v>
      </c>
      <c r="O1333">
        <v>93.460000000000008</v>
      </c>
      <c r="P1333" t="s">
        <v>15</v>
      </c>
      <c r="Q1333" t="s">
        <v>398</v>
      </c>
    </row>
    <row r="1334" spans="1:17">
      <c r="A1334" t="s">
        <v>553</v>
      </c>
      <c r="C1334" t="s">
        <v>393</v>
      </c>
      <c r="D1334" t="s">
        <v>554</v>
      </c>
      <c r="E1334" t="s">
        <v>161</v>
      </c>
      <c r="G1334" t="s">
        <v>629</v>
      </c>
      <c r="H1334" t="s">
        <v>399</v>
      </c>
      <c r="K1334">
        <v>1977</v>
      </c>
      <c r="O1334">
        <v>98.02</v>
      </c>
      <c r="P1334" t="s">
        <v>15</v>
      </c>
      <c r="Q1334" t="s">
        <v>398</v>
      </c>
    </row>
    <row r="1335" spans="1:17">
      <c r="A1335" t="s">
        <v>553</v>
      </c>
      <c r="C1335" t="s">
        <v>393</v>
      </c>
      <c r="D1335" t="s">
        <v>554</v>
      </c>
      <c r="E1335" t="s">
        <v>161</v>
      </c>
      <c r="G1335" t="s">
        <v>1142</v>
      </c>
      <c r="H1335" t="s">
        <v>399</v>
      </c>
      <c r="K1335">
        <v>1995</v>
      </c>
      <c r="O1335">
        <v>98.75</v>
      </c>
      <c r="P1335" t="s">
        <v>15</v>
      </c>
      <c r="Q1335" t="s">
        <v>398</v>
      </c>
    </row>
    <row r="1336" spans="1:17">
      <c r="A1336" t="s">
        <v>553</v>
      </c>
      <c r="C1336" t="s">
        <v>393</v>
      </c>
      <c r="D1336" t="s">
        <v>554</v>
      </c>
      <c r="E1336" t="s">
        <v>161</v>
      </c>
      <c r="G1336" t="s">
        <v>234</v>
      </c>
      <c r="H1336" t="s">
        <v>399</v>
      </c>
      <c r="K1336">
        <v>1995</v>
      </c>
      <c r="O1336">
        <v>107.37</v>
      </c>
      <c r="P1336" t="s">
        <v>15</v>
      </c>
      <c r="Q1336" t="s">
        <v>398</v>
      </c>
    </row>
    <row r="1337" spans="1:17">
      <c r="A1337" t="s">
        <v>553</v>
      </c>
      <c r="C1337" t="s">
        <v>393</v>
      </c>
      <c r="D1337" t="s">
        <v>554</v>
      </c>
      <c r="E1337" t="s">
        <v>161</v>
      </c>
      <c r="G1337" t="s">
        <v>1143</v>
      </c>
      <c r="H1337" t="s">
        <v>399</v>
      </c>
      <c r="K1337">
        <v>1995</v>
      </c>
      <c r="O1337">
        <v>111.86</v>
      </c>
      <c r="P1337" t="s">
        <v>15</v>
      </c>
      <c r="Q1337" t="s">
        <v>398</v>
      </c>
    </row>
    <row r="1338" spans="1:17">
      <c r="A1338" t="s">
        <v>553</v>
      </c>
      <c r="C1338" t="s">
        <v>393</v>
      </c>
      <c r="D1338" t="s">
        <v>554</v>
      </c>
      <c r="E1338" t="s">
        <v>161</v>
      </c>
      <c r="G1338" t="s">
        <v>1144</v>
      </c>
      <c r="H1338" t="s">
        <v>399</v>
      </c>
      <c r="K1338">
        <v>1977</v>
      </c>
      <c r="O1338">
        <v>113.27</v>
      </c>
      <c r="P1338" t="s">
        <v>15</v>
      </c>
      <c r="Q1338" t="s">
        <v>398</v>
      </c>
    </row>
    <row r="1339" spans="1:17">
      <c r="A1339" t="s">
        <v>553</v>
      </c>
      <c r="C1339" t="s">
        <v>393</v>
      </c>
      <c r="D1339" t="s">
        <v>554</v>
      </c>
      <c r="E1339" t="s">
        <v>161</v>
      </c>
      <c r="G1339" t="s">
        <v>69</v>
      </c>
      <c r="H1339" t="s">
        <v>399</v>
      </c>
      <c r="K1339">
        <v>1977</v>
      </c>
      <c r="O1339">
        <v>113.88999999999999</v>
      </c>
      <c r="P1339" t="s">
        <v>15</v>
      </c>
      <c r="Q1339" t="s">
        <v>398</v>
      </c>
    </row>
    <row r="1340" spans="1:17">
      <c r="A1340" t="s">
        <v>553</v>
      </c>
      <c r="C1340" t="s">
        <v>393</v>
      </c>
      <c r="D1340" t="s">
        <v>554</v>
      </c>
      <c r="E1340" t="s">
        <v>161</v>
      </c>
      <c r="G1340" t="s">
        <v>1145</v>
      </c>
      <c r="H1340" t="s">
        <v>399</v>
      </c>
      <c r="K1340">
        <v>1995</v>
      </c>
      <c r="O1340">
        <v>117.4</v>
      </c>
      <c r="P1340" t="s">
        <v>15</v>
      </c>
      <c r="Q1340" t="s">
        <v>398</v>
      </c>
    </row>
    <row r="1341" spans="1:17">
      <c r="A1341" t="s">
        <v>553</v>
      </c>
      <c r="C1341" t="s">
        <v>393</v>
      </c>
      <c r="D1341" t="s">
        <v>554</v>
      </c>
      <c r="E1341" t="s">
        <v>161</v>
      </c>
      <c r="G1341" t="s">
        <v>1146</v>
      </c>
      <c r="H1341" t="s">
        <v>399</v>
      </c>
      <c r="K1341">
        <v>1977</v>
      </c>
      <c r="O1341">
        <v>117.47999999999999</v>
      </c>
      <c r="P1341" t="s">
        <v>15</v>
      </c>
      <c r="Q1341" t="s">
        <v>398</v>
      </c>
    </row>
    <row r="1342" spans="1:17">
      <c r="A1342" t="s">
        <v>553</v>
      </c>
      <c r="C1342" t="s">
        <v>393</v>
      </c>
      <c r="D1342" t="s">
        <v>554</v>
      </c>
      <c r="E1342" t="s">
        <v>161</v>
      </c>
      <c r="G1342" t="s">
        <v>1147</v>
      </c>
      <c r="H1342" t="s">
        <v>399</v>
      </c>
      <c r="K1342">
        <v>1995</v>
      </c>
      <c r="O1342">
        <v>119.60000000000001</v>
      </c>
      <c r="P1342" t="s">
        <v>15</v>
      </c>
      <c r="Q1342" t="s">
        <v>398</v>
      </c>
    </row>
    <row r="1343" spans="1:17">
      <c r="A1343" t="s">
        <v>553</v>
      </c>
      <c r="C1343" t="s">
        <v>393</v>
      </c>
      <c r="D1343" t="s">
        <v>554</v>
      </c>
      <c r="E1343" t="s">
        <v>161</v>
      </c>
      <c r="G1343" t="s">
        <v>63</v>
      </c>
      <c r="H1343" t="s">
        <v>399</v>
      </c>
      <c r="K1343">
        <v>1977</v>
      </c>
      <c r="O1343">
        <v>120.53</v>
      </c>
      <c r="P1343" t="s">
        <v>15</v>
      </c>
      <c r="Q1343" t="s">
        <v>398</v>
      </c>
    </row>
    <row r="1344" spans="1:17">
      <c r="A1344" t="s">
        <v>553</v>
      </c>
      <c r="C1344" t="s">
        <v>393</v>
      </c>
      <c r="D1344" t="s">
        <v>554</v>
      </c>
      <c r="E1344" t="s">
        <v>161</v>
      </c>
      <c r="G1344" t="s">
        <v>1148</v>
      </c>
      <c r="H1344" t="s">
        <v>399</v>
      </c>
      <c r="K1344">
        <v>1977</v>
      </c>
      <c r="O1344">
        <v>125.7</v>
      </c>
      <c r="P1344" t="s">
        <v>15</v>
      </c>
      <c r="Q1344" t="s">
        <v>398</v>
      </c>
    </row>
    <row r="1345" spans="1:17">
      <c r="A1345" t="s">
        <v>553</v>
      </c>
      <c r="C1345" t="s">
        <v>393</v>
      </c>
      <c r="D1345" t="s">
        <v>554</v>
      </c>
      <c r="E1345" t="s">
        <v>161</v>
      </c>
      <c r="G1345" t="s">
        <v>1149</v>
      </c>
      <c r="H1345" t="s">
        <v>399</v>
      </c>
      <c r="K1345">
        <v>1995</v>
      </c>
      <c r="O1345">
        <v>130.76</v>
      </c>
      <c r="P1345" t="s">
        <v>15</v>
      </c>
      <c r="Q1345" t="s">
        <v>398</v>
      </c>
    </row>
    <row r="1346" spans="1:17">
      <c r="A1346" t="s">
        <v>553</v>
      </c>
      <c r="C1346" t="s">
        <v>393</v>
      </c>
      <c r="D1346" t="s">
        <v>554</v>
      </c>
      <c r="E1346" t="s">
        <v>161</v>
      </c>
      <c r="G1346" t="s">
        <v>609</v>
      </c>
      <c r="H1346" t="s">
        <v>399</v>
      </c>
      <c r="K1346">
        <v>1977</v>
      </c>
      <c r="O1346">
        <v>149.38</v>
      </c>
      <c r="P1346" t="s">
        <v>15</v>
      </c>
      <c r="Q1346" t="s">
        <v>398</v>
      </c>
    </row>
    <row r="1347" spans="1:17">
      <c r="A1347" t="s">
        <v>553</v>
      </c>
      <c r="C1347" t="s">
        <v>393</v>
      </c>
      <c r="D1347" t="s">
        <v>554</v>
      </c>
      <c r="E1347" t="s">
        <v>161</v>
      </c>
      <c r="G1347" t="s">
        <v>221</v>
      </c>
      <c r="H1347" t="s">
        <v>399</v>
      </c>
      <c r="K1347">
        <v>1977</v>
      </c>
      <c r="O1347">
        <v>154.22</v>
      </c>
      <c r="P1347" t="s">
        <v>15</v>
      </c>
      <c r="Q1347" t="s">
        <v>398</v>
      </c>
    </row>
    <row r="1348" spans="1:17">
      <c r="A1348" t="s">
        <v>553</v>
      </c>
      <c r="C1348" t="s">
        <v>393</v>
      </c>
      <c r="D1348" t="s">
        <v>554</v>
      </c>
      <c r="E1348" t="s">
        <v>161</v>
      </c>
      <c r="G1348" t="s">
        <v>1150</v>
      </c>
      <c r="H1348" t="s">
        <v>399</v>
      </c>
      <c r="K1348">
        <v>1977</v>
      </c>
      <c r="O1348">
        <v>161.72</v>
      </c>
      <c r="P1348" t="s">
        <v>15</v>
      </c>
      <c r="Q1348" t="s">
        <v>398</v>
      </c>
    </row>
    <row r="1349" spans="1:17">
      <c r="A1349" t="s">
        <v>553</v>
      </c>
      <c r="C1349" t="s">
        <v>393</v>
      </c>
      <c r="D1349" t="s">
        <v>554</v>
      </c>
      <c r="E1349" t="s">
        <v>161</v>
      </c>
      <c r="G1349" t="s">
        <v>614</v>
      </c>
      <c r="H1349" t="s">
        <v>399</v>
      </c>
      <c r="K1349">
        <v>1977</v>
      </c>
      <c r="O1349">
        <v>185.91000000000003</v>
      </c>
      <c r="P1349" t="s">
        <v>15</v>
      </c>
      <c r="Q1349" t="s">
        <v>398</v>
      </c>
    </row>
    <row r="1350" spans="1:17">
      <c r="A1350" t="s">
        <v>553</v>
      </c>
      <c r="C1350" t="s">
        <v>393</v>
      </c>
      <c r="D1350" t="s">
        <v>554</v>
      </c>
      <c r="E1350" t="s">
        <v>161</v>
      </c>
      <c r="G1350" t="s">
        <v>235</v>
      </c>
      <c r="H1350" t="s">
        <v>399</v>
      </c>
      <c r="K1350">
        <v>1977</v>
      </c>
      <c r="O1350">
        <v>188.84</v>
      </c>
      <c r="P1350" t="s">
        <v>15</v>
      </c>
      <c r="Q1350" t="s">
        <v>398</v>
      </c>
    </row>
    <row r="1351" spans="1:17">
      <c r="A1351" t="s">
        <v>553</v>
      </c>
      <c r="C1351" t="s">
        <v>393</v>
      </c>
      <c r="D1351" t="s">
        <v>554</v>
      </c>
      <c r="E1351" t="s">
        <v>161</v>
      </c>
      <c r="G1351" t="s">
        <v>1151</v>
      </c>
      <c r="H1351" t="s">
        <v>399</v>
      </c>
      <c r="K1351">
        <v>1995</v>
      </c>
      <c r="O1351">
        <v>309.14999999999998</v>
      </c>
      <c r="P1351" t="s">
        <v>15</v>
      </c>
      <c r="Q1351" t="s">
        <v>398</v>
      </c>
    </row>
    <row r="1352" spans="1:17">
      <c r="A1352" t="s">
        <v>1152</v>
      </c>
      <c r="C1352" t="s">
        <v>393</v>
      </c>
      <c r="D1352" t="s">
        <v>505</v>
      </c>
      <c r="E1352" t="s">
        <v>161</v>
      </c>
      <c r="G1352" t="s">
        <v>1153</v>
      </c>
      <c r="H1352" t="s">
        <v>399</v>
      </c>
      <c r="K1352">
        <v>1998</v>
      </c>
      <c r="O1352">
        <v>88.2</v>
      </c>
      <c r="P1352" t="s">
        <v>15</v>
      </c>
      <c r="Q1352" t="s">
        <v>398</v>
      </c>
    </row>
    <row r="1353" spans="1:17">
      <c r="A1353" t="s">
        <v>1154</v>
      </c>
      <c r="C1353" t="s">
        <v>393</v>
      </c>
      <c r="D1353" t="s">
        <v>554</v>
      </c>
      <c r="E1353" t="s">
        <v>161</v>
      </c>
      <c r="G1353" t="s">
        <v>1155</v>
      </c>
      <c r="H1353" t="s">
        <v>457</v>
      </c>
      <c r="K1353">
        <v>1963</v>
      </c>
      <c r="O1353">
        <v>472</v>
      </c>
      <c r="P1353" t="s">
        <v>15</v>
      </c>
      <c r="Q1353" t="s">
        <v>398</v>
      </c>
    </row>
    <row r="1354" spans="1:17">
      <c r="A1354" t="s">
        <v>1154</v>
      </c>
      <c r="C1354" t="s">
        <v>393</v>
      </c>
      <c r="D1354" t="s">
        <v>554</v>
      </c>
      <c r="E1354" t="s">
        <v>161</v>
      </c>
      <c r="G1354" t="s">
        <v>1156</v>
      </c>
      <c r="H1354" t="s">
        <v>457</v>
      </c>
      <c r="K1354">
        <v>1966</v>
      </c>
      <c r="O1354">
        <v>685</v>
      </c>
      <c r="P1354" t="s">
        <v>15</v>
      </c>
      <c r="Q1354" t="s">
        <v>398</v>
      </c>
    </row>
    <row r="1355" spans="1:17">
      <c r="A1355" t="s">
        <v>651</v>
      </c>
      <c r="C1355" t="s">
        <v>393</v>
      </c>
      <c r="D1355" t="s">
        <v>554</v>
      </c>
      <c r="E1355" t="s">
        <v>161</v>
      </c>
      <c r="G1355" t="s">
        <v>1157</v>
      </c>
      <c r="H1355" t="s">
        <v>399</v>
      </c>
      <c r="K1355">
        <v>1968</v>
      </c>
      <c r="O1355">
        <v>0.10999999999999999</v>
      </c>
      <c r="P1355" t="s">
        <v>15</v>
      </c>
      <c r="Q1355" t="s">
        <v>398</v>
      </c>
    </row>
    <row r="1356" spans="1:17">
      <c r="A1356" t="s">
        <v>651</v>
      </c>
      <c r="C1356" t="s">
        <v>393</v>
      </c>
      <c r="D1356" t="s">
        <v>554</v>
      </c>
      <c r="E1356" t="s">
        <v>161</v>
      </c>
      <c r="G1356" t="s">
        <v>901</v>
      </c>
      <c r="H1356" t="s">
        <v>399</v>
      </c>
      <c r="K1356">
        <v>1968</v>
      </c>
      <c r="O1356">
        <v>0.31</v>
      </c>
      <c r="P1356" t="s">
        <v>15</v>
      </c>
      <c r="Q1356" t="s">
        <v>398</v>
      </c>
    </row>
    <row r="1357" spans="1:17">
      <c r="A1357" t="s">
        <v>651</v>
      </c>
      <c r="C1357" t="s">
        <v>393</v>
      </c>
      <c r="D1357" t="s">
        <v>554</v>
      </c>
      <c r="E1357" t="s">
        <v>161</v>
      </c>
      <c r="G1357" t="s">
        <v>235</v>
      </c>
      <c r="H1357" t="s">
        <v>399</v>
      </c>
      <c r="K1357">
        <v>1968</v>
      </c>
      <c r="O1357">
        <v>0.5</v>
      </c>
      <c r="P1357" t="s">
        <v>15</v>
      </c>
      <c r="Q1357" t="s">
        <v>398</v>
      </c>
    </row>
    <row r="1358" spans="1:17">
      <c r="A1358" t="s">
        <v>651</v>
      </c>
      <c r="C1358" t="s">
        <v>393</v>
      </c>
      <c r="D1358" t="s">
        <v>554</v>
      </c>
      <c r="E1358" t="s">
        <v>161</v>
      </c>
      <c r="G1358" t="s">
        <v>1158</v>
      </c>
      <c r="H1358" t="s">
        <v>399</v>
      </c>
      <c r="K1358">
        <v>1968</v>
      </c>
      <c r="O1358">
        <v>1.8599999999999999</v>
      </c>
      <c r="P1358" t="s">
        <v>15</v>
      </c>
      <c r="Q1358" t="s">
        <v>398</v>
      </c>
    </row>
    <row r="1359" spans="1:17">
      <c r="A1359" t="s">
        <v>1049</v>
      </c>
      <c r="B1359" t="s">
        <v>593</v>
      </c>
      <c r="C1359" t="s">
        <v>393</v>
      </c>
      <c r="D1359" t="s">
        <v>554</v>
      </c>
      <c r="E1359" t="s">
        <v>161</v>
      </c>
      <c r="G1359" t="s">
        <v>415</v>
      </c>
      <c r="H1359" t="s">
        <v>399</v>
      </c>
      <c r="K1359">
        <v>1977</v>
      </c>
      <c r="O1359">
        <v>-85.72</v>
      </c>
      <c r="P1359" t="str">
        <f t="shared" ref="P1359:P1378" si="3">IF(O1359&gt;0,"Yes","No")</f>
        <v>No</v>
      </c>
      <c r="Q1359" t="s">
        <v>398</v>
      </c>
    </row>
    <row r="1360" spans="1:17">
      <c r="A1360" t="s">
        <v>1049</v>
      </c>
      <c r="B1360" t="s">
        <v>593</v>
      </c>
      <c r="C1360" t="s">
        <v>393</v>
      </c>
      <c r="D1360" t="s">
        <v>554</v>
      </c>
      <c r="E1360" t="s">
        <v>161</v>
      </c>
      <c r="G1360" t="s">
        <v>414</v>
      </c>
      <c r="H1360" t="s">
        <v>399</v>
      </c>
      <c r="K1360">
        <v>1977</v>
      </c>
      <c r="O1360">
        <v>-82.38</v>
      </c>
      <c r="P1360" t="str">
        <f t="shared" si="3"/>
        <v>No</v>
      </c>
      <c r="Q1360" t="s">
        <v>398</v>
      </c>
    </row>
    <row r="1361" spans="1:17">
      <c r="A1361" t="s">
        <v>1049</v>
      </c>
      <c r="B1361" t="s">
        <v>593</v>
      </c>
      <c r="C1361" t="s">
        <v>393</v>
      </c>
      <c r="D1361" t="s">
        <v>554</v>
      </c>
      <c r="E1361" t="s">
        <v>161</v>
      </c>
      <c r="G1361" t="s">
        <v>165</v>
      </c>
      <c r="H1361" t="s">
        <v>399</v>
      </c>
      <c r="K1361">
        <v>1977</v>
      </c>
      <c r="O1361">
        <v>-54.55</v>
      </c>
      <c r="P1361" t="str">
        <f t="shared" si="3"/>
        <v>No</v>
      </c>
      <c r="Q1361" t="s">
        <v>398</v>
      </c>
    </row>
    <row r="1362" spans="1:17">
      <c r="A1362" t="s">
        <v>1049</v>
      </c>
      <c r="B1362" t="s">
        <v>593</v>
      </c>
      <c r="C1362" t="s">
        <v>393</v>
      </c>
      <c r="D1362" t="s">
        <v>554</v>
      </c>
      <c r="E1362" t="s">
        <v>161</v>
      </c>
      <c r="G1362" t="s">
        <v>419</v>
      </c>
      <c r="H1362" t="s">
        <v>399</v>
      </c>
      <c r="K1362">
        <v>1977</v>
      </c>
      <c r="O1362">
        <v>-21.150000000000002</v>
      </c>
      <c r="P1362" t="str">
        <f t="shared" si="3"/>
        <v>No</v>
      </c>
      <c r="Q1362" t="s">
        <v>398</v>
      </c>
    </row>
    <row r="1363" spans="1:17">
      <c r="A1363" t="s">
        <v>1049</v>
      </c>
      <c r="B1363" t="s">
        <v>593</v>
      </c>
      <c r="C1363" t="s">
        <v>393</v>
      </c>
      <c r="D1363" t="s">
        <v>554</v>
      </c>
      <c r="E1363" t="s">
        <v>161</v>
      </c>
      <c r="G1363" t="s">
        <v>243</v>
      </c>
      <c r="H1363" t="s">
        <v>399</v>
      </c>
      <c r="K1363">
        <v>1977</v>
      </c>
      <c r="O1363">
        <v>23.380000000000003</v>
      </c>
      <c r="P1363" t="str">
        <f t="shared" si="3"/>
        <v>Yes</v>
      </c>
      <c r="Q1363" t="s">
        <v>398</v>
      </c>
    </row>
    <row r="1364" spans="1:17">
      <c r="A1364" t="s">
        <v>1049</v>
      </c>
      <c r="B1364" t="s">
        <v>593</v>
      </c>
      <c r="C1364" t="s">
        <v>393</v>
      </c>
      <c r="D1364" t="s">
        <v>554</v>
      </c>
      <c r="E1364" t="s">
        <v>161</v>
      </c>
      <c r="G1364" t="s">
        <v>210</v>
      </c>
      <c r="H1364" t="s">
        <v>399</v>
      </c>
      <c r="K1364">
        <v>1977</v>
      </c>
      <c r="O1364">
        <v>38.96</v>
      </c>
      <c r="P1364" t="str">
        <f t="shared" si="3"/>
        <v>Yes</v>
      </c>
      <c r="Q1364" t="s">
        <v>398</v>
      </c>
    </row>
    <row r="1365" spans="1:17">
      <c r="A1365" t="s">
        <v>1049</v>
      </c>
      <c r="B1365" t="s">
        <v>593</v>
      </c>
      <c r="C1365" t="s">
        <v>393</v>
      </c>
      <c r="D1365" t="s">
        <v>554</v>
      </c>
      <c r="E1365" t="s">
        <v>161</v>
      </c>
      <c r="G1365" t="s">
        <v>241</v>
      </c>
      <c r="H1365" t="s">
        <v>457</v>
      </c>
      <c r="K1365">
        <v>1977</v>
      </c>
      <c r="O1365">
        <v>38.96</v>
      </c>
      <c r="P1365" t="str">
        <f t="shared" si="3"/>
        <v>Yes</v>
      </c>
      <c r="Q1365" t="s">
        <v>398</v>
      </c>
    </row>
    <row r="1366" spans="1:17">
      <c r="A1366" t="s">
        <v>1049</v>
      </c>
      <c r="B1366" t="s">
        <v>593</v>
      </c>
      <c r="C1366" t="s">
        <v>393</v>
      </c>
      <c r="D1366" t="s">
        <v>554</v>
      </c>
      <c r="E1366" t="s">
        <v>161</v>
      </c>
      <c r="G1366" t="s">
        <v>242</v>
      </c>
      <c r="H1366" t="s">
        <v>399</v>
      </c>
      <c r="K1366">
        <v>1977</v>
      </c>
      <c r="O1366">
        <v>40.08</v>
      </c>
      <c r="P1366" t="str">
        <f t="shared" si="3"/>
        <v>Yes</v>
      </c>
      <c r="Q1366" t="s">
        <v>398</v>
      </c>
    </row>
    <row r="1367" spans="1:17">
      <c r="A1367" t="s">
        <v>1049</v>
      </c>
      <c r="B1367" t="s">
        <v>593</v>
      </c>
      <c r="C1367" t="s">
        <v>393</v>
      </c>
      <c r="D1367" t="s">
        <v>554</v>
      </c>
      <c r="E1367" t="s">
        <v>161</v>
      </c>
      <c r="G1367" t="s">
        <v>419</v>
      </c>
      <c r="H1367" t="s">
        <v>396</v>
      </c>
      <c r="K1367">
        <v>1977</v>
      </c>
      <c r="O1367">
        <v>45.64</v>
      </c>
      <c r="P1367" t="str">
        <f t="shared" si="3"/>
        <v>Yes</v>
      </c>
      <c r="Q1367" t="s">
        <v>398</v>
      </c>
    </row>
    <row r="1368" spans="1:17">
      <c r="A1368" t="s">
        <v>1049</v>
      </c>
      <c r="B1368" t="s">
        <v>593</v>
      </c>
      <c r="C1368" t="s">
        <v>393</v>
      </c>
      <c r="D1368" t="s">
        <v>554</v>
      </c>
      <c r="E1368" t="s">
        <v>161</v>
      </c>
      <c r="G1368" t="s">
        <v>239</v>
      </c>
      <c r="H1368" t="s">
        <v>457</v>
      </c>
      <c r="K1368">
        <v>1977</v>
      </c>
      <c r="O1368">
        <v>57.89</v>
      </c>
      <c r="P1368" t="str">
        <f t="shared" si="3"/>
        <v>Yes</v>
      </c>
      <c r="Q1368" t="s">
        <v>398</v>
      </c>
    </row>
    <row r="1369" spans="1:17">
      <c r="A1369" t="s">
        <v>1049</v>
      </c>
      <c r="B1369" t="s">
        <v>593</v>
      </c>
      <c r="C1369" t="s">
        <v>393</v>
      </c>
      <c r="D1369" t="s">
        <v>554</v>
      </c>
      <c r="E1369" t="s">
        <v>161</v>
      </c>
      <c r="G1369" t="s">
        <v>1143</v>
      </c>
      <c r="H1369" t="s">
        <v>399</v>
      </c>
      <c r="K1369">
        <v>1977</v>
      </c>
      <c r="O1369">
        <v>61.230000000000004</v>
      </c>
      <c r="P1369" t="str">
        <f t="shared" si="3"/>
        <v>Yes</v>
      </c>
      <c r="Q1369" t="s">
        <v>398</v>
      </c>
    </row>
    <row r="1370" spans="1:17">
      <c r="A1370" t="s">
        <v>1049</v>
      </c>
      <c r="B1370" t="s">
        <v>593</v>
      </c>
      <c r="C1370" t="s">
        <v>393</v>
      </c>
      <c r="D1370" t="s">
        <v>554</v>
      </c>
      <c r="E1370" t="s">
        <v>161</v>
      </c>
      <c r="G1370" t="s">
        <v>240</v>
      </c>
      <c r="H1370" t="s">
        <v>399</v>
      </c>
      <c r="K1370">
        <v>1977</v>
      </c>
      <c r="O1370">
        <v>70.13</v>
      </c>
      <c r="P1370" t="str">
        <f t="shared" si="3"/>
        <v>Yes</v>
      </c>
      <c r="Q1370" t="s">
        <v>398</v>
      </c>
    </row>
    <row r="1371" spans="1:17">
      <c r="A1371" t="s">
        <v>1049</v>
      </c>
      <c r="B1371" t="s">
        <v>593</v>
      </c>
      <c r="C1371" t="s">
        <v>393</v>
      </c>
      <c r="D1371" t="s">
        <v>554</v>
      </c>
      <c r="E1371" t="s">
        <v>161</v>
      </c>
      <c r="G1371" t="s">
        <v>409</v>
      </c>
      <c r="H1371" t="s">
        <v>396</v>
      </c>
      <c r="K1371">
        <v>1977</v>
      </c>
      <c r="O1371">
        <v>75.7</v>
      </c>
      <c r="P1371" t="str">
        <f t="shared" si="3"/>
        <v>Yes</v>
      </c>
      <c r="Q1371" t="s">
        <v>398</v>
      </c>
    </row>
    <row r="1372" spans="1:17">
      <c r="A1372" t="s">
        <v>1049</v>
      </c>
      <c r="B1372" t="s">
        <v>593</v>
      </c>
      <c r="C1372" t="s">
        <v>393</v>
      </c>
      <c r="D1372" t="s">
        <v>554</v>
      </c>
      <c r="E1372" t="s">
        <v>161</v>
      </c>
      <c r="G1372" t="s">
        <v>305</v>
      </c>
      <c r="H1372" t="s">
        <v>396</v>
      </c>
      <c r="K1372">
        <v>1977</v>
      </c>
      <c r="O1372">
        <v>75.7</v>
      </c>
      <c r="P1372" t="str">
        <f t="shared" si="3"/>
        <v>Yes</v>
      </c>
      <c r="Q1372" t="s">
        <v>398</v>
      </c>
    </row>
    <row r="1373" spans="1:17">
      <c r="A1373" t="s">
        <v>1049</v>
      </c>
      <c r="B1373" t="s">
        <v>593</v>
      </c>
      <c r="C1373" t="s">
        <v>393</v>
      </c>
      <c r="D1373" t="s">
        <v>554</v>
      </c>
      <c r="E1373" t="s">
        <v>161</v>
      </c>
      <c r="G1373" t="s">
        <v>243</v>
      </c>
      <c r="H1373" t="s">
        <v>396</v>
      </c>
      <c r="K1373">
        <v>1977</v>
      </c>
      <c r="O1373">
        <v>84.61</v>
      </c>
      <c r="P1373" t="str">
        <f t="shared" si="3"/>
        <v>Yes</v>
      </c>
      <c r="Q1373" t="s">
        <v>398</v>
      </c>
    </row>
    <row r="1374" spans="1:17">
      <c r="A1374" t="s">
        <v>1049</v>
      </c>
      <c r="B1374" t="s">
        <v>593</v>
      </c>
      <c r="C1374" t="s">
        <v>393</v>
      </c>
      <c r="D1374" t="s">
        <v>554</v>
      </c>
      <c r="E1374" t="s">
        <v>161</v>
      </c>
      <c r="G1374" t="s">
        <v>234</v>
      </c>
      <c r="H1374" t="s">
        <v>396</v>
      </c>
      <c r="K1374">
        <v>1977</v>
      </c>
      <c r="O1374">
        <v>87.95</v>
      </c>
      <c r="P1374" t="str">
        <f t="shared" si="3"/>
        <v>Yes</v>
      </c>
      <c r="Q1374" t="s">
        <v>398</v>
      </c>
    </row>
    <row r="1375" spans="1:17">
      <c r="A1375" t="s">
        <v>1049</v>
      </c>
      <c r="B1375" t="s">
        <v>593</v>
      </c>
      <c r="C1375" t="s">
        <v>393</v>
      </c>
      <c r="D1375" t="s">
        <v>554</v>
      </c>
      <c r="E1375" t="s">
        <v>161</v>
      </c>
      <c r="G1375" t="s">
        <v>248</v>
      </c>
      <c r="H1375" t="s">
        <v>457</v>
      </c>
      <c r="K1375">
        <v>1977</v>
      </c>
      <c r="O1375">
        <v>103.53</v>
      </c>
      <c r="P1375" t="str">
        <f t="shared" si="3"/>
        <v>Yes</v>
      </c>
      <c r="Q1375" t="s">
        <v>398</v>
      </c>
    </row>
    <row r="1376" spans="1:17">
      <c r="A1376" t="s">
        <v>1049</v>
      </c>
      <c r="B1376" t="s">
        <v>593</v>
      </c>
      <c r="C1376" t="s">
        <v>393</v>
      </c>
      <c r="D1376" t="s">
        <v>554</v>
      </c>
      <c r="E1376" t="s">
        <v>161</v>
      </c>
      <c r="G1376" t="s">
        <v>245</v>
      </c>
      <c r="H1376" t="s">
        <v>399</v>
      </c>
      <c r="K1376">
        <v>1977</v>
      </c>
      <c r="O1376">
        <v>119.12</v>
      </c>
      <c r="P1376" t="str">
        <f t="shared" si="3"/>
        <v>Yes</v>
      </c>
      <c r="Q1376" t="s">
        <v>398</v>
      </c>
    </row>
    <row r="1377" spans="1:18">
      <c r="A1377" t="s">
        <v>1049</v>
      </c>
      <c r="B1377" t="s">
        <v>593</v>
      </c>
      <c r="C1377" t="s">
        <v>393</v>
      </c>
      <c r="D1377" t="s">
        <v>554</v>
      </c>
      <c r="E1377" t="s">
        <v>161</v>
      </c>
      <c r="G1377" t="s">
        <v>407</v>
      </c>
      <c r="H1377" t="s">
        <v>396</v>
      </c>
      <c r="K1377">
        <v>1977</v>
      </c>
      <c r="O1377">
        <v>123.57</v>
      </c>
      <c r="P1377" t="str">
        <f t="shared" si="3"/>
        <v>Yes</v>
      </c>
      <c r="Q1377" t="s">
        <v>398</v>
      </c>
    </row>
    <row r="1378" spans="1:18">
      <c r="A1378" t="s">
        <v>1159</v>
      </c>
      <c r="B1378" t="s">
        <v>593</v>
      </c>
      <c r="C1378" t="s">
        <v>393</v>
      </c>
      <c r="D1378" t="s">
        <v>554</v>
      </c>
      <c r="E1378" t="s">
        <v>161</v>
      </c>
      <c r="G1378" t="s">
        <v>674</v>
      </c>
      <c r="H1378" t="s">
        <v>457</v>
      </c>
      <c r="K1378">
        <v>1950</v>
      </c>
      <c r="O1378">
        <v>40</v>
      </c>
      <c r="P1378" t="str">
        <f t="shared" si="3"/>
        <v>Yes</v>
      </c>
      <c r="Q1378" t="s">
        <v>398</v>
      </c>
    </row>
    <row r="1379" spans="1:18">
      <c r="A1379" t="s">
        <v>1160</v>
      </c>
      <c r="B1379" t="s">
        <v>593</v>
      </c>
      <c r="C1379" t="s">
        <v>393</v>
      </c>
      <c r="D1379" t="s">
        <v>1161</v>
      </c>
      <c r="E1379" t="s">
        <v>368</v>
      </c>
      <c r="F1379" t="s">
        <v>368</v>
      </c>
      <c r="G1379" t="s">
        <v>1162</v>
      </c>
      <c r="I1379">
        <v>-22.869564</v>
      </c>
      <c r="J1379">
        <v>14.488661</v>
      </c>
      <c r="K1379">
        <v>1850</v>
      </c>
      <c r="M1379">
        <v>164</v>
      </c>
      <c r="P1379" t="s">
        <v>595</v>
      </c>
      <c r="Q1379" t="s">
        <v>403</v>
      </c>
      <c r="R1379" t="s">
        <v>1163</v>
      </c>
    </row>
    <row r="1380" spans="1:18">
      <c r="A1380" t="s">
        <v>1160</v>
      </c>
      <c r="B1380" t="s">
        <v>593</v>
      </c>
      <c r="C1380" t="s">
        <v>393</v>
      </c>
      <c r="D1380" t="s">
        <v>160</v>
      </c>
      <c r="E1380" t="s">
        <v>368</v>
      </c>
      <c r="F1380" t="s">
        <v>368</v>
      </c>
      <c r="G1380" t="s">
        <v>1162</v>
      </c>
      <c r="I1380">
        <v>36.449632999999999</v>
      </c>
      <c r="J1380">
        <v>17.913218000000001</v>
      </c>
      <c r="K1380">
        <v>1850</v>
      </c>
      <c r="M1380">
        <v>161</v>
      </c>
      <c r="P1380" t="s">
        <v>595</v>
      </c>
      <c r="Q1380" t="s">
        <v>403</v>
      </c>
      <c r="R1380" t="s">
        <v>1163</v>
      </c>
    </row>
    <row r="1381" spans="1:18">
      <c r="A1381" t="s">
        <v>1164</v>
      </c>
      <c r="B1381" t="s">
        <v>593</v>
      </c>
      <c r="C1381" t="s">
        <v>393</v>
      </c>
      <c r="D1381" t="s">
        <v>1165</v>
      </c>
      <c r="E1381" t="s">
        <v>368</v>
      </c>
      <c r="F1381" t="s">
        <v>368</v>
      </c>
      <c r="G1381" t="s">
        <v>1166</v>
      </c>
      <c r="I1381">
        <v>-68.269084000000007</v>
      </c>
      <c r="J1381">
        <v>-4.8403869999999998</v>
      </c>
      <c r="K1381">
        <v>1993</v>
      </c>
      <c r="M1381">
        <v>21</v>
      </c>
      <c r="P1381" t="s">
        <v>595</v>
      </c>
      <c r="Q1381" t="s">
        <v>403</v>
      </c>
      <c r="R1381" t="s">
        <v>1167</v>
      </c>
    </row>
    <row r="1382" spans="1:18">
      <c r="A1382" t="s">
        <v>1164</v>
      </c>
      <c r="B1382" t="s">
        <v>593</v>
      </c>
      <c r="C1382" t="s">
        <v>393</v>
      </c>
      <c r="D1382" t="s">
        <v>1165</v>
      </c>
      <c r="E1382" t="s">
        <v>368</v>
      </c>
      <c r="F1382" t="s">
        <v>368</v>
      </c>
      <c r="G1382" t="s">
        <v>1166</v>
      </c>
      <c r="I1382">
        <v>-68.269084000000007</v>
      </c>
      <c r="J1382">
        <v>-4.8403869999999998</v>
      </c>
      <c r="K1382">
        <v>1993</v>
      </c>
      <c r="M1382">
        <v>19</v>
      </c>
      <c r="P1382" t="s">
        <v>595</v>
      </c>
      <c r="Q1382" t="s">
        <v>403</v>
      </c>
      <c r="R1382" t="s">
        <v>1167</v>
      </c>
    </row>
    <row r="1383" spans="1:18">
      <c r="A1383" t="s">
        <v>1168</v>
      </c>
      <c r="B1383" t="s">
        <v>593</v>
      </c>
      <c r="C1383" t="s">
        <v>393</v>
      </c>
      <c r="D1383" t="s">
        <v>703</v>
      </c>
      <c r="E1383" t="s">
        <v>161</v>
      </c>
      <c r="G1383" t="s">
        <v>804</v>
      </c>
      <c r="H1383" t="s">
        <v>700</v>
      </c>
      <c r="K1383">
        <v>1972</v>
      </c>
      <c r="L1383">
        <v>2008</v>
      </c>
      <c r="M1383">
        <v>36</v>
      </c>
      <c r="O1383" t="s">
        <v>1169</v>
      </c>
      <c r="P1383" t="s">
        <v>1169</v>
      </c>
      <c r="Q1383" t="s">
        <v>701</v>
      </c>
    </row>
    <row r="1384" spans="1:18">
      <c r="A1384" t="s">
        <v>1168</v>
      </c>
      <c r="B1384" t="s">
        <v>593</v>
      </c>
      <c r="C1384" t="s">
        <v>393</v>
      </c>
      <c r="D1384" t="s">
        <v>703</v>
      </c>
      <c r="E1384" t="s">
        <v>161</v>
      </c>
      <c r="G1384" t="s">
        <v>794</v>
      </c>
      <c r="H1384" t="s">
        <v>700</v>
      </c>
      <c r="K1384">
        <v>1972</v>
      </c>
      <c r="L1384">
        <v>2008</v>
      </c>
      <c r="M1384">
        <v>36</v>
      </c>
      <c r="O1384">
        <v>50</v>
      </c>
      <c r="P1384">
        <v>1</v>
      </c>
      <c r="Q1384" t="s">
        <v>701</v>
      </c>
    </row>
    <row r="1385" spans="1:18">
      <c r="A1385" t="s">
        <v>1168</v>
      </c>
      <c r="B1385" t="s">
        <v>593</v>
      </c>
      <c r="C1385" t="s">
        <v>393</v>
      </c>
      <c r="D1385" t="s">
        <v>703</v>
      </c>
      <c r="E1385" t="s">
        <v>161</v>
      </c>
      <c r="G1385" t="s">
        <v>808</v>
      </c>
      <c r="H1385" t="s">
        <v>700</v>
      </c>
      <c r="K1385">
        <v>1972</v>
      </c>
      <c r="L1385">
        <v>2008</v>
      </c>
      <c r="M1385">
        <v>36</v>
      </c>
      <c r="O1385">
        <v>49</v>
      </c>
      <c r="P1385">
        <v>1</v>
      </c>
      <c r="Q1385" t="s">
        <v>701</v>
      </c>
    </row>
    <row r="1386" spans="1:18">
      <c r="A1386" t="s">
        <v>1168</v>
      </c>
      <c r="B1386" t="s">
        <v>593</v>
      </c>
      <c r="C1386" t="s">
        <v>393</v>
      </c>
      <c r="D1386" t="s">
        <v>703</v>
      </c>
      <c r="E1386" t="s">
        <v>161</v>
      </c>
      <c r="G1386" t="s">
        <v>1170</v>
      </c>
      <c r="H1386" t="s">
        <v>700</v>
      </c>
      <c r="K1386">
        <v>1972</v>
      </c>
      <c r="L1386">
        <v>2008</v>
      </c>
      <c r="M1386">
        <v>36</v>
      </c>
      <c r="O1386">
        <v>49</v>
      </c>
      <c r="P1386">
        <v>1</v>
      </c>
      <c r="Q1386" t="s">
        <v>701</v>
      </c>
    </row>
    <row r="1387" spans="1:18">
      <c r="A1387" t="s">
        <v>1171</v>
      </c>
      <c r="B1387" t="s">
        <v>593</v>
      </c>
      <c r="C1387" t="s">
        <v>393</v>
      </c>
      <c r="D1387" t="s">
        <v>554</v>
      </c>
      <c r="E1387" t="s">
        <v>161</v>
      </c>
      <c r="G1387" t="s">
        <v>87</v>
      </c>
      <c r="H1387" t="s">
        <v>399</v>
      </c>
      <c r="K1387">
        <v>1951</v>
      </c>
      <c r="O1387">
        <v>-6.15</v>
      </c>
      <c r="P1387" t="str">
        <f t="shared" ref="P1387:P1431" si="4">IF(O1387&gt;0,"Yes","No")</f>
        <v>No</v>
      </c>
      <c r="Q1387" t="s">
        <v>398</v>
      </c>
    </row>
    <row r="1388" spans="1:18">
      <c r="A1388" t="s">
        <v>1171</v>
      </c>
      <c r="B1388" t="s">
        <v>593</v>
      </c>
      <c r="C1388" t="s">
        <v>393</v>
      </c>
      <c r="D1388" t="s">
        <v>554</v>
      </c>
      <c r="E1388" t="s">
        <v>161</v>
      </c>
      <c r="G1388" t="s">
        <v>64</v>
      </c>
      <c r="H1388" t="s">
        <v>399</v>
      </c>
      <c r="K1388">
        <v>1951</v>
      </c>
      <c r="O1388">
        <v>-2.96</v>
      </c>
      <c r="P1388" t="str">
        <f t="shared" si="4"/>
        <v>No</v>
      </c>
      <c r="Q1388" t="s">
        <v>398</v>
      </c>
    </row>
    <row r="1389" spans="1:18">
      <c r="A1389" t="s">
        <v>1171</v>
      </c>
      <c r="B1389" t="s">
        <v>593</v>
      </c>
      <c r="C1389" t="s">
        <v>393</v>
      </c>
      <c r="D1389" t="s">
        <v>554</v>
      </c>
      <c r="E1389" t="s">
        <v>161</v>
      </c>
      <c r="G1389" t="s">
        <v>86</v>
      </c>
      <c r="H1389" t="s">
        <v>399</v>
      </c>
      <c r="K1389">
        <v>1951</v>
      </c>
      <c r="O1389">
        <v>0.44999999999999996</v>
      </c>
      <c r="P1389" t="str">
        <f t="shared" si="4"/>
        <v>Yes</v>
      </c>
      <c r="Q1389" t="s">
        <v>398</v>
      </c>
    </row>
    <row r="1390" spans="1:18">
      <c r="A1390" t="s">
        <v>1171</v>
      </c>
      <c r="B1390" t="s">
        <v>593</v>
      </c>
      <c r="C1390" t="s">
        <v>393</v>
      </c>
      <c r="D1390" t="s">
        <v>554</v>
      </c>
      <c r="E1390" t="s">
        <v>161</v>
      </c>
      <c r="G1390" t="s">
        <v>63</v>
      </c>
      <c r="H1390" t="s">
        <v>399</v>
      </c>
      <c r="K1390">
        <v>1951</v>
      </c>
      <c r="O1390">
        <v>0.74</v>
      </c>
      <c r="P1390" t="str">
        <f t="shared" si="4"/>
        <v>Yes</v>
      </c>
      <c r="Q1390" t="s">
        <v>398</v>
      </c>
    </row>
    <row r="1391" spans="1:18">
      <c r="A1391" t="s">
        <v>1171</v>
      </c>
      <c r="B1391" t="s">
        <v>593</v>
      </c>
      <c r="C1391" t="s">
        <v>393</v>
      </c>
      <c r="D1391" t="s">
        <v>554</v>
      </c>
      <c r="E1391" t="s">
        <v>161</v>
      </c>
      <c r="G1391" t="s">
        <v>1172</v>
      </c>
      <c r="H1391" t="s">
        <v>399</v>
      </c>
      <c r="K1391">
        <v>1951</v>
      </c>
      <c r="O1391">
        <v>5.0600000000000005</v>
      </c>
      <c r="P1391" t="str">
        <f t="shared" si="4"/>
        <v>Yes</v>
      </c>
      <c r="Q1391" t="s">
        <v>398</v>
      </c>
    </row>
    <row r="1392" spans="1:18">
      <c r="A1392" t="s">
        <v>1171</v>
      </c>
      <c r="B1392" t="s">
        <v>593</v>
      </c>
      <c r="C1392" t="s">
        <v>393</v>
      </c>
      <c r="D1392" t="s">
        <v>554</v>
      </c>
      <c r="E1392" t="s">
        <v>161</v>
      </c>
      <c r="G1392" t="s">
        <v>61</v>
      </c>
      <c r="H1392" t="s">
        <v>399</v>
      </c>
      <c r="K1392">
        <v>1951</v>
      </c>
      <c r="O1392">
        <v>5.8999999999999995</v>
      </c>
      <c r="P1392" t="str">
        <f t="shared" si="4"/>
        <v>Yes</v>
      </c>
      <c r="Q1392" t="s">
        <v>398</v>
      </c>
    </row>
    <row r="1393" spans="1:17">
      <c r="A1393" t="s">
        <v>1171</v>
      </c>
      <c r="B1393" t="s">
        <v>593</v>
      </c>
      <c r="C1393" t="s">
        <v>393</v>
      </c>
      <c r="D1393" t="s">
        <v>554</v>
      </c>
      <c r="E1393" t="s">
        <v>161</v>
      </c>
      <c r="G1393" t="s">
        <v>81</v>
      </c>
      <c r="H1393" t="s">
        <v>399</v>
      </c>
      <c r="K1393">
        <v>1951</v>
      </c>
      <c r="O1393">
        <v>6.02</v>
      </c>
      <c r="P1393" t="str">
        <f t="shared" si="4"/>
        <v>Yes</v>
      </c>
      <c r="Q1393" t="s">
        <v>398</v>
      </c>
    </row>
    <row r="1394" spans="1:17">
      <c r="A1394" t="s">
        <v>1171</v>
      </c>
      <c r="B1394" t="s">
        <v>593</v>
      </c>
      <c r="C1394" t="s">
        <v>393</v>
      </c>
      <c r="D1394" t="s">
        <v>554</v>
      </c>
      <c r="E1394" t="s">
        <v>161</v>
      </c>
      <c r="G1394" t="s">
        <v>69</v>
      </c>
      <c r="H1394" t="s">
        <v>399</v>
      </c>
      <c r="K1394">
        <v>1951</v>
      </c>
      <c r="O1394">
        <v>6.09</v>
      </c>
      <c r="P1394" t="str">
        <f t="shared" si="4"/>
        <v>Yes</v>
      </c>
      <c r="Q1394" t="s">
        <v>398</v>
      </c>
    </row>
    <row r="1395" spans="1:17">
      <c r="A1395" t="s">
        <v>1171</v>
      </c>
      <c r="B1395" t="s">
        <v>593</v>
      </c>
      <c r="C1395" t="s">
        <v>393</v>
      </c>
      <c r="D1395" t="s">
        <v>554</v>
      </c>
      <c r="E1395" t="s">
        <v>161</v>
      </c>
      <c r="G1395" t="s">
        <v>91</v>
      </c>
      <c r="H1395" t="s">
        <v>399</v>
      </c>
      <c r="K1395">
        <v>1951</v>
      </c>
      <c r="O1395">
        <v>6.9499999999999993</v>
      </c>
      <c r="P1395" t="str">
        <f t="shared" si="4"/>
        <v>Yes</v>
      </c>
      <c r="Q1395" t="s">
        <v>398</v>
      </c>
    </row>
    <row r="1396" spans="1:17">
      <c r="A1396" t="s">
        <v>1171</v>
      </c>
      <c r="B1396" t="s">
        <v>593</v>
      </c>
      <c r="C1396" t="s">
        <v>393</v>
      </c>
      <c r="D1396" t="s">
        <v>554</v>
      </c>
      <c r="E1396" t="s">
        <v>161</v>
      </c>
      <c r="G1396" t="s">
        <v>68</v>
      </c>
      <c r="H1396" t="s">
        <v>399</v>
      </c>
      <c r="K1396">
        <v>1951</v>
      </c>
      <c r="O1396">
        <v>7.76</v>
      </c>
      <c r="P1396" t="str">
        <f t="shared" si="4"/>
        <v>Yes</v>
      </c>
      <c r="Q1396" t="s">
        <v>398</v>
      </c>
    </row>
    <row r="1397" spans="1:17">
      <c r="A1397" t="s">
        <v>1171</v>
      </c>
      <c r="B1397" t="s">
        <v>593</v>
      </c>
      <c r="C1397" t="s">
        <v>393</v>
      </c>
      <c r="D1397" t="s">
        <v>554</v>
      </c>
      <c r="E1397" t="s">
        <v>161</v>
      </c>
      <c r="G1397" t="s">
        <v>92</v>
      </c>
      <c r="H1397" t="s">
        <v>399</v>
      </c>
      <c r="K1397">
        <v>1951</v>
      </c>
      <c r="O1397">
        <v>9.48</v>
      </c>
      <c r="P1397" t="str">
        <f t="shared" si="4"/>
        <v>Yes</v>
      </c>
      <c r="Q1397" t="s">
        <v>398</v>
      </c>
    </row>
    <row r="1398" spans="1:17">
      <c r="A1398" t="s">
        <v>1171</v>
      </c>
      <c r="B1398" t="s">
        <v>593</v>
      </c>
      <c r="C1398" t="s">
        <v>393</v>
      </c>
      <c r="D1398" t="s">
        <v>554</v>
      </c>
      <c r="E1398" t="s">
        <v>161</v>
      </c>
      <c r="G1398" t="s">
        <v>72</v>
      </c>
      <c r="H1398" t="s">
        <v>399</v>
      </c>
      <c r="K1398">
        <v>1951</v>
      </c>
      <c r="O1398">
        <v>11.29</v>
      </c>
      <c r="P1398" t="str">
        <f t="shared" si="4"/>
        <v>Yes</v>
      </c>
      <c r="Q1398" t="s">
        <v>398</v>
      </c>
    </row>
    <row r="1399" spans="1:17">
      <c r="A1399" t="s">
        <v>1171</v>
      </c>
      <c r="B1399" t="s">
        <v>593</v>
      </c>
      <c r="C1399" t="s">
        <v>393</v>
      </c>
      <c r="D1399" t="s">
        <v>554</v>
      </c>
      <c r="E1399" t="s">
        <v>161</v>
      </c>
      <c r="G1399" t="s">
        <v>66</v>
      </c>
      <c r="H1399" t="s">
        <v>399</v>
      </c>
      <c r="K1399">
        <v>1951</v>
      </c>
      <c r="O1399">
        <v>11.459999999999999</v>
      </c>
      <c r="P1399" t="str">
        <f t="shared" si="4"/>
        <v>Yes</v>
      </c>
      <c r="Q1399" t="s">
        <v>398</v>
      </c>
    </row>
    <row r="1400" spans="1:17">
      <c r="A1400" t="s">
        <v>1171</v>
      </c>
      <c r="B1400" t="s">
        <v>593</v>
      </c>
      <c r="C1400" t="s">
        <v>393</v>
      </c>
      <c r="D1400" t="s">
        <v>554</v>
      </c>
      <c r="E1400" t="s">
        <v>161</v>
      </c>
      <c r="G1400" t="s">
        <v>71</v>
      </c>
      <c r="H1400" t="s">
        <v>399</v>
      </c>
      <c r="K1400">
        <v>1951</v>
      </c>
      <c r="O1400">
        <v>13.97</v>
      </c>
      <c r="P1400" t="str">
        <f t="shared" si="4"/>
        <v>Yes</v>
      </c>
      <c r="Q1400" t="s">
        <v>398</v>
      </c>
    </row>
    <row r="1401" spans="1:17">
      <c r="A1401" t="s">
        <v>1171</v>
      </c>
      <c r="B1401" t="s">
        <v>593</v>
      </c>
      <c r="C1401" t="s">
        <v>393</v>
      </c>
      <c r="D1401" t="s">
        <v>554</v>
      </c>
      <c r="E1401" t="s">
        <v>161</v>
      </c>
      <c r="G1401" t="s">
        <v>89</v>
      </c>
      <c r="H1401" t="s">
        <v>399</v>
      </c>
      <c r="K1401">
        <v>1951</v>
      </c>
      <c r="O1401">
        <v>14.15</v>
      </c>
      <c r="P1401" t="str">
        <f t="shared" si="4"/>
        <v>Yes</v>
      </c>
      <c r="Q1401" t="s">
        <v>398</v>
      </c>
    </row>
    <row r="1402" spans="1:17">
      <c r="A1402" t="s">
        <v>1171</v>
      </c>
      <c r="B1402" t="s">
        <v>593</v>
      </c>
      <c r="C1402" t="s">
        <v>393</v>
      </c>
      <c r="D1402" t="s">
        <v>554</v>
      </c>
      <c r="E1402" t="s">
        <v>161</v>
      </c>
      <c r="G1402" t="s">
        <v>74</v>
      </c>
      <c r="H1402" t="s">
        <v>399</v>
      </c>
      <c r="K1402">
        <v>1951</v>
      </c>
      <c r="O1402">
        <v>14.299999999999999</v>
      </c>
      <c r="P1402" t="str">
        <f t="shared" si="4"/>
        <v>Yes</v>
      </c>
      <c r="Q1402" t="s">
        <v>398</v>
      </c>
    </row>
    <row r="1403" spans="1:17">
      <c r="A1403" t="s">
        <v>1171</v>
      </c>
      <c r="B1403" t="s">
        <v>593</v>
      </c>
      <c r="C1403" t="s">
        <v>393</v>
      </c>
      <c r="D1403" t="s">
        <v>554</v>
      </c>
      <c r="E1403" t="s">
        <v>161</v>
      </c>
      <c r="G1403" t="s">
        <v>1173</v>
      </c>
      <c r="H1403" t="s">
        <v>399</v>
      </c>
      <c r="K1403">
        <v>1951</v>
      </c>
      <c r="O1403">
        <v>14.39</v>
      </c>
      <c r="P1403" t="str">
        <f t="shared" si="4"/>
        <v>Yes</v>
      </c>
      <c r="Q1403" t="s">
        <v>398</v>
      </c>
    </row>
    <row r="1404" spans="1:17">
      <c r="A1404" t="s">
        <v>1171</v>
      </c>
      <c r="B1404" t="s">
        <v>593</v>
      </c>
      <c r="C1404" t="s">
        <v>393</v>
      </c>
      <c r="D1404" t="s">
        <v>554</v>
      </c>
      <c r="E1404" t="s">
        <v>161</v>
      </c>
      <c r="G1404" t="s">
        <v>70</v>
      </c>
      <c r="H1404" t="s">
        <v>399</v>
      </c>
      <c r="K1404">
        <v>1951</v>
      </c>
      <c r="O1404">
        <v>14.58</v>
      </c>
      <c r="P1404" t="str">
        <f t="shared" si="4"/>
        <v>Yes</v>
      </c>
      <c r="Q1404" t="s">
        <v>398</v>
      </c>
    </row>
    <row r="1405" spans="1:17">
      <c r="A1405" t="s">
        <v>1171</v>
      </c>
      <c r="B1405" t="s">
        <v>593</v>
      </c>
      <c r="C1405" t="s">
        <v>393</v>
      </c>
      <c r="D1405" t="s">
        <v>554</v>
      </c>
      <c r="E1405" t="s">
        <v>161</v>
      </c>
      <c r="G1405" t="s">
        <v>73</v>
      </c>
      <c r="H1405" t="s">
        <v>399</v>
      </c>
      <c r="K1405">
        <v>1951</v>
      </c>
      <c r="O1405">
        <v>15.149999999999999</v>
      </c>
      <c r="P1405" t="str">
        <f t="shared" si="4"/>
        <v>Yes</v>
      </c>
      <c r="Q1405" t="s">
        <v>398</v>
      </c>
    </row>
    <row r="1406" spans="1:17">
      <c r="A1406" t="s">
        <v>1171</v>
      </c>
      <c r="B1406" t="s">
        <v>593</v>
      </c>
      <c r="C1406" t="s">
        <v>393</v>
      </c>
      <c r="D1406" t="s">
        <v>554</v>
      </c>
      <c r="E1406" t="s">
        <v>161</v>
      </c>
      <c r="G1406" t="s">
        <v>75</v>
      </c>
      <c r="H1406" t="s">
        <v>399</v>
      </c>
      <c r="K1406">
        <v>1951</v>
      </c>
      <c r="O1406">
        <v>15.4</v>
      </c>
      <c r="P1406" t="str">
        <f t="shared" si="4"/>
        <v>Yes</v>
      </c>
      <c r="Q1406" t="s">
        <v>398</v>
      </c>
    </row>
    <row r="1407" spans="1:17">
      <c r="A1407" t="s">
        <v>1171</v>
      </c>
      <c r="B1407" t="s">
        <v>593</v>
      </c>
      <c r="C1407" t="s">
        <v>393</v>
      </c>
      <c r="D1407" t="s">
        <v>554</v>
      </c>
      <c r="E1407" t="s">
        <v>161</v>
      </c>
      <c r="G1407" t="s">
        <v>80</v>
      </c>
      <c r="H1407" t="s">
        <v>399</v>
      </c>
      <c r="K1407">
        <v>1951</v>
      </c>
      <c r="O1407">
        <v>15.809999999999999</v>
      </c>
      <c r="P1407" t="str">
        <f t="shared" si="4"/>
        <v>Yes</v>
      </c>
      <c r="Q1407" t="s">
        <v>398</v>
      </c>
    </row>
    <row r="1408" spans="1:17">
      <c r="A1408" t="s">
        <v>1171</v>
      </c>
      <c r="B1408" t="s">
        <v>593</v>
      </c>
      <c r="C1408" t="s">
        <v>393</v>
      </c>
      <c r="D1408" t="s">
        <v>554</v>
      </c>
      <c r="E1408" t="s">
        <v>161</v>
      </c>
      <c r="G1408" t="s">
        <v>77</v>
      </c>
      <c r="H1408" t="s">
        <v>399</v>
      </c>
      <c r="K1408">
        <v>1951</v>
      </c>
      <c r="O1408">
        <v>17.43</v>
      </c>
      <c r="P1408" t="str">
        <f t="shared" si="4"/>
        <v>Yes</v>
      </c>
      <c r="Q1408" t="s">
        <v>398</v>
      </c>
    </row>
    <row r="1409" spans="1:17">
      <c r="A1409" t="s">
        <v>1171</v>
      </c>
      <c r="B1409" t="s">
        <v>593</v>
      </c>
      <c r="C1409" t="s">
        <v>393</v>
      </c>
      <c r="D1409" t="s">
        <v>554</v>
      </c>
      <c r="E1409" t="s">
        <v>161</v>
      </c>
      <c r="G1409" t="s">
        <v>62</v>
      </c>
      <c r="H1409" t="s">
        <v>399</v>
      </c>
      <c r="K1409">
        <v>1951</v>
      </c>
      <c r="O1409">
        <v>18</v>
      </c>
      <c r="P1409" t="str">
        <f t="shared" si="4"/>
        <v>Yes</v>
      </c>
      <c r="Q1409" t="s">
        <v>398</v>
      </c>
    </row>
    <row r="1410" spans="1:17">
      <c r="A1410" t="s">
        <v>1171</v>
      </c>
      <c r="B1410" t="s">
        <v>593</v>
      </c>
      <c r="C1410" t="s">
        <v>393</v>
      </c>
      <c r="D1410" t="s">
        <v>554</v>
      </c>
      <c r="E1410" t="s">
        <v>161</v>
      </c>
      <c r="G1410" t="s">
        <v>78</v>
      </c>
      <c r="H1410" t="s">
        <v>399</v>
      </c>
      <c r="K1410">
        <v>1951</v>
      </c>
      <c r="O1410">
        <v>19.59</v>
      </c>
      <c r="P1410" t="str">
        <f t="shared" si="4"/>
        <v>Yes</v>
      </c>
      <c r="Q1410" t="s">
        <v>398</v>
      </c>
    </row>
    <row r="1411" spans="1:17">
      <c r="A1411" t="s">
        <v>1171</v>
      </c>
      <c r="B1411" t="s">
        <v>593</v>
      </c>
      <c r="C1411" t="s">
        <v>393</v>
      </c>
      <c r="D1411" t="s">
        <v>554</v>
      </c>
      <c r="E1411" t="s">
        <v>161</v>
      </c>
      <c r="G1411" t="s">
        <v>67</v>
      </c>
      <c r="H1411" t="s">
        <v>399</v>
      </c>
      <c r="K1411">
        <v>1951</v>
      </c>
      <c r="O1411">
        <v>19.96</v>
      </c>
      <c r="P1411" t="str">
        <f t="shared" si="4"/>
        <v>Yes</v>
      </c>
      <c r="Q1411" t="s">
        <v>398</v>
      </c>
    </row>
    <row r="1412" spans="1:17">
      <c r="A1412" t="s">
        <v>1171</v>
      </c>
      <c r="B1412" t="s">
        <v>593</v>
      </c>
      <c r="C1412" t="s">
        <v>393</v>
      </c>
      <c r="D1412" t="s">
        <v>554</v>
      </c>
      <c r="E1412" t="s">
        <v>161</v>
      </c>
      <c r="G1412" t="s">
        <v>82</v>
      </c>
      <c r="H1412" t="s">
        <v>399</v>
      </c>
      <c r="K1412">
        <v>1951</v>
      </c>
      <c r="O1412">
        <v>34.4</v>
      </c>
      <c r="P1412" t="str">
        <f t="shared" si="4"/>
        <v>Yes</v>
      </c>
      <c r="Q1412" t="s">
        <v>398</v>
      </c>
    </row>
    <row r="1413" spans="1:17">
      <c r="A1413" t="s">
        <v>1154</v>
      </c>
      <c r="B1413" t="s">
        <v>593</v>
      </c>
      <c r="C1413" t="s">
        <v>393</v>
      </c>
      <c r="D1413" t="s">
        <v>554</v>
      </c>
      <c r="E1413" t="s">
        <v>161</v>
      </c>
      <c r="G1413" t="s">
        <v>225</v>
      </c>
      <c r="H1413" t="s">
        <v>457</v>
      </c>
      <c r="K1413">
        <v>1981</v>
      </c>
      <c r="O1413">
        <v>56.2</v>
      </c>
      <c r="P1413" t="str">
        <f t="shared" si="4"/>
        <v>Yes</v>
      </c>
      <c r="Q1413" t="s">
        <v>398</v>
      </c>
    </row>
    <row r="1414" spans="1:17">
      <c r="A1414" t="s">
        <v>1174</v>
      </c>
      <c r="B1414" t="s">
        <v>593</v>
      </c>
      <c r="C1414" t="s">
        <v>393</v>
      </c>
      <c r="D1414" t="s">
        <v>554</v>
      </c>
      <c r="E1414" t="s">
        <v>161</v>
      </c>
      <c r="G1414" t="s">
        <v>1175</v>
      </c>
      <c r="H1414" t="s">
        <v>399</v>
      </c>
      <c r="K1414">
        <v>1951</v>
      </c>
      <c r="O1414">
        <v>-21.009999999999998</v>
      </c>
      <c r="P1414" t="str">
        <f t="shared" si="4"/>
        <v>No</v>
      </c>
      <c r="Q1414" t="s">
        <v>398</v>
      </c>
    </row>
    <row r="1415" spans="1:17">
      <c r="A1415" t="s">
        <v>1174</v>
      </c>
      <c r="B1415" t="s">
        <v>593</v>
      </c>
      <c r="C1415" t="s">
        <v>393</v>
      </c>
      <c r="D1415" t="s">
        <v>554</v>
      </c>
      <c r="E1415" t="s">
        <v>161</v>
      </c>
      <c r="G1415" t="s">
        <v>1176</v>
      </c>
      <c r="H1415" t="s">
        <v>399</v>
      </c>
      <c r="K1415">
        <v>1951</v>
      </c>
      <c r="O1415">
        <v>-10.61</v>
      </c>
      <c r="P1415" t="str">
        <f t="shared" si="4"/>
        <v>No</v>
      </c>
      <c r="Q1415" t="s">
        <v>398</v>
      </c>
    </row>
    <row r="1416" spans="1:17">
      <c r="A1416" t="s">
        <v>1174</v>
      </c>
      <c r="B1416" t="s">
        <v>593</v>
      </c>
      <c r="C1416" t="s">
        <v>393</v>
      </c>
      <c r="D1416" t="s">
        <v>554</v>
      </c>
      <c r="E1416" t="s">
        <v>161</v>
      </c>
      <c r="G1416" t="s">
        <v>1177</v>
      </c>
      <c r="H1416" t="s">
        <v>399</v>
      </c>
      <c r="K1416">
        <v>1951</v>
      </c>
      <c r="O1416">
        <v>-7.4</v>
      </c>
      <c r="P1416" t="str">
        <f t="shared" si="4"/>
        <v>No</v>
      </c>
      <c r="Q1416" t="s">
        <v>398</v>
      </c>
    </row>
    <row r="1417" spans="1:17">
      <c r="A1417" t="s">
        <v>1174</v>
      </c>
      <c r="B1417" t="s">
        <v>593</v>
      </c>
      <c r="C1417" t="s">
        <v>393</v>
      </c>
      <c r="D1417" t="s">
        <v>554</v>
      </c>
      <c r="E1417" t="s">
        <v>161</v>
      </c>
      <c r="G1417" t="s">
        <v>1178</v>
      </c>
      <c r="H1417" t="s">
        <v>399</v>
      </c>
      <c r="K1417">
        <v>1951</v>
      </c>
      <c r="O1417">
        <v>0.16</v>
      </c>
      <c r="P1417" t="str">
        <f t="shared" si="4"/>
        <v>Yes</v>
      </c>
      <c r="Q1417" t="s">
        <v>398</v>
      </c>
    </row>
    <row r="1418" spans="1:17">
      <c r="A1418" t="s">
        <v>1174</v>
      </c>
      <c r="B1418" t="s">
        <v>593</v>
      </c>
      <c r="C1418" t="s">
        <v>393</v>
      </c>
      <c r="D1418" t="s">
        <v>554</v>
      </c>
      <c r="E1418" t="s">
        <v>161</v>
      </c>
      <c r="G1418" t="s">
        <v>1179</v>
      </c>
      <c r="H1418" t="s">
        <v>399</v>
      </c>
      <c r="K1418">
        <v>1951</v>
      </c>
      <c r="O1418">
        <v>2.12</v>
      </c>
      <c r="P1418" t="str">
        <f t="shared" si="4"/>
        <v>Yes</v>
      </c>
      <c r="Q1418" t="s">
        <v>398</v>
      </c>
    </row>
    <row r="1419" spans="1:17">
      <c r="A1419" t="s">
        <v>1174</v>
      </c>
      <c r="B1419" t="s">
        <v>593</v>
      </c>
      <c r="C1419" t="s">
        <v>393</v>
      </c>
      <c r="D1419" t="s">
        <v>554</v>
      </c>
      <c r="E1419" t="s">
        <v>161</v>
      </c>
      <c r="G1419" t="s">
        <v>1180</v>
      </c>
      <c r="H1419" t="s">
        <v>399</v>
      </c>
      <c r="K1419">
        <v>1951</v>
      </c>
      <c r="O1419">
        <v>2.23</v>
      </c>
      <c r="P1419" t="str">
        <f t="shared" si="4"/>
        <v>Yes</v>
      </c>
      <c r="Q1419" t="s">
        <v>398</v>
      </c>
    </row>
    <row r="1420" spans="1:17">
      <c r="A1420" t="s">
        <v>1174</v>
      </c>
      <c r="B1420" t="s">
        <v>593</v>
      </c>
      <c r="C1420" t="s">
        <v>393</v>
      </c>
      <c r="D1420" t="s">
        <v>554</v>
      </c>
      <c r="E1420" t="s">
        <v>161</v>
      </c>
      <c r="G1420" t="s">
        <v>1181</v>
      </c>
      <c r="H1420" t="s">
        <v>399</v>
      </c>
      <c r="K1420">
        <v>1951</v>
      </c>
      <c r="O1420">
        <v>3.18</v>
      </c>
      <c r="P1420" t="str">
        <f t="shared" si="4"/>
        <v>Yes</v>
      </c>
      <c r="Q1420" t="s">
        <v>398</v>
      </c>
    </row>
    <row r="1421" spans="1:17">
      <c r="A1421" t="s">
        <v>1174</v>
      </c>
      <c r="B1421" t="s">
        <v>593</v>
      </c>
      <c r="C1421" t="s">
        <v>393</v>
      </c>
      <c r="D1421" t="s">
        <v>554</v>
      </c>
      <c r="E1421" t="s">
        <v>161</v>
      </c>
      <c r="G1421" t="s">
        <v>1182</v>
      </c>
      <c r="H1421" t="s">
        <v>399</v>
      </c>
      <c r="K1421">
        <v>1951</v>
      </c>
      <c r="O1421">
        <v>3.21</v>
      </c>
      <c r="P1421" t="str">
        <f t="shared" si="4"/>
        <v>Yes</v>
      </c>
      <c r="Q1421" t="s">
        <v>398</v>
      </c>
    </row>
    <row r="1422" spans="1:17">
      <c r="A1422" t="s">
        <v>1174</v>
      </c>
      <c r="B1422" t="s">
        <v>593</v>
      </c>
      <c r="C1422" t="s">
        <v>393</v>
      </c>
      <c r="D1422" t="s">
        <v>554</v>
      </c>
      <c r="E1422" t="s">
        <v>161</v>
      </c>
      <c r="G1422" t="s">
        <v>1183</v>
      </c>
      <c r="H1422" t="s">
        <v>399</v>
      </c>
      <c r="K1422">
        <v>1951</v>
      </c>
      <c r="O1422">
        <v>6.5500000000000007</v>
      </c>
      <c r="P1422" t="str">
        <f t="shared" si="4"/>
        <v>Yes</v>
      </c>
      <c r="Q1422" t="s">
        <v>398</v>
      </c>
    </row>
    <row r="1423" spans="1:17">
      <c r="A1423" t="s">
        <v>1174</v>
      </c>
      <c r="B1423" t="s">
        <v>593</v>
      </c>
      <c r="C1423" t="s">
        <v>393</v>
      </c>
      <c r="D1423" t="s">
        <v>554</v>
      </c>
      <c r="E1423" t="s">
        <v>161</v>
      </c>
      <c r="G1423" t="s">
        <v>1184</v>
      </c>
      <c r="H1423" t="s">
        <v>399</v>
      </c>
      <c r="K1423">
        <v>1951</v>
      </c>
      <c r="O1423">
        <v>6.9499999999999993</v>
      </c>
      <c r="P1423" t="str">
        <f t="shared" si="4"/>
        <v>Yes</v>
      </c>
      <c r="Q1423" t="s">
        <v>398</v>
      </c>
    </row>
    <row r="1424" spans="1:17">
      <c r="A1424" t="s">
        <v>1174</v>
      </c>
      <c r="B1424" t="s">
        <v>593</v>
      </c>
      <c r="C1424" t="s">
        <v>393</v>
      </c>
      <c r="D1424" t="s">
        <v>554</v>
      </c>
      <c r="E1424" t="s">
        <v>161</v>
      </c>
      <c r="G1424" t="s">
        <v>1185</v>
      </c>
      <c r="H1424" t="s">
        <v>399</v>
      </c>
      <c r="K1424">
        <v>1951</v>
      </c>
      <c r="O1424">
        <v>6.97</v>
      </c>
      <c r="P1424" t="str">
        <f t="shared" si="4"/>
        <v>Yes</v>
      </c>
      <c r="Q1424" t="s">
        <v>398</v>
      </c>
    </row>
    <row r="1425" spans="1:17">
      <c r="A1425" t="s">
        <v>1174</v>
      </c>
      <c r="B1425" t="s">
        <v>593</v>
      </c>
      <c r="C1425" t="s">
        <v>393</v>
      </c>
      <c r="D1425" t="s">
        <v>554</v>
      </c>
      <c r="E1425" t="s">
        <v>161</v>
      </c>
      <c r="G1425" t="s">
        <v>1186</v>
      </c>
      <c r="H1425" t="s">
        <v>399</v>
      </c>
      <c r="K1425">
        <v>1951</v>
      </c>
      <c r="O1425">
        <v>7.63</v>
      </c>
      <c r="P1425" t="str">
        <f t="shared" si="4"/>
        <v>Yes</v>
      </c>
      <c r="Q1425" t="s">
        <v>398</v>
      </c>
    </row>
    <row r="1426" spans="1:17">
      <c r="A1426" t="s">
        <v>1174</v>
      </c>
      <c r="B1426" t="s">
        <v>593</v>
      </c>
      <c r="C1426" t="s">
        <v>393</v>
      </c>
      <c r="D1426" t="s">
        <v>554</v>
      </c>
      <c r="E1426" t="s">
        <v>161</v>
      </c>
      <c r="G1426" t="s">
        <v>1187</v>
      </c>
      <c r="H1426" t="s">
        <v>399</v>
      </c>
      <c r="K1426">
        <v>1951</v>
      </c>
      <c r="O1426">
        <v>9.61</v>
      </c>
      <c r="P1426" t="str">
        <f t="shared" si="4"/>
        <v>Yes</v>
      </c>
      <c r="Q1426" t="s">
        <v>398</v>
      </c>
    </row>
    <row r="1427" spans="1:17">
      <c r="A1427" t="s">
        <v>1174</v>
      </c>
      <c r="B1427" t="s">
        <v>593</v>
      </c>
      <c r="C1427" t="s">
        <v>393</v>
      </c>
      <c r="D1427" t="s">
        <v>554</v>
      </c>
      <c r="E1427" t="s">
        <v>161</v>
      </c>
      <c r="G1427" t="s">
        <v>1188</v>
      </c>
      <c r="H1427" t="s">
        <v>399</v>
      </c>
      <c r="K1427">
        <v>1951</v>
      </c>
      <c r="O1427">
        <v>9.64</v>
      </c>
      <c r="P1427" t="str">
        <f t="shared" si="4"/>
        <v>Yes</v>
      </c>
      <c r="Q1427" t="s">
        <v>398</v>
      </c>
    </row>
    <row r="1428" spans="1:17">
      <c r="A1428" t="s">
        <v>1174</v>
      </c>
      <c r="B1428" t="s">
        <v>593</v>
      </c>
      <c r="C1428" t="s">
        <v>393</v>
      </c>
      <c r="D1428" t="s">
        <v>554</v>
      </c>
      <c r="E1428" t="s">
        <v>161</v>
      </c>
      <c r="G1428" t="s">
        <v>1189</v>
      </c>
      <c r="H1428" t="s">
        <v>399</v>
      </c>
      <c r="K1428">
        <v>1951</v>
      </c>
      <c r="O1428">
        <v>10.69</v>
      </c>
      <c r="P1428" t="str">
        <f t="shared" si="4"/>
        <v>Yes</v>
      </c>
      <c r="Q1428" t="s">
        <v>398</v>
      </c>
    </row>
    <row r="1429" spans="1:17">
      <c r="A1429" t="s">
        <v>1174</v>
      </c>
      <c r="B1429" t="s">
        <v>593</v>
      </c>
      <c r="C1429" t="s">
        <v>393</v>
      </c>
      <c r="D1429" t="s">
        <v>554</v>
      </c>
      <c r="E1429" t="s">
        <v>161</v>
      </c>
      <c r="G1429" t="s">
        <v>1190</v>
      </c>
      <c r="H1429" t="s">
        <v>399</v>
      </c>
      <c r="K1429">
        <v>1951</v>
      </c>
      <c r="O1429">
        <v>11.6</v>
      </c>
      <c r="P1429" t="str">
        <f t="shared" si="4"/>
        <v>Yes</v>
      </c>
      <c r="Q1429" t="s">
        <v>398</v>
      </c>
    </row>
    <row r="1430" spans="1:17">
      <c r="A1430" t="s">
        <v>1174</v>
      </c>
      <c r="B1430" t="s">
        <v>593</v>
      </c>
      <c r="C1430" t="s">
        <v>393</v>
      </c>
      <c r="D1430" t="s">
        <v>554</v>
      </c>
      <c r="E1430" t="s">
        <v>161</v>
      </c>
      <c r="G1430" t="s">
        <v>1191</v>
      </c>
      <c r="H1430" t="s">
        <v>399</v>
      </c>
      <c r="K1430">
        <v>1951</v>
      </c>
      <c r="O1430">
        <v>12.13</v>
      </c>
      <c r="P1430" t="str">
        <f t="shared" si="4"/>
        <v>Yes</v>
      </c>
      <c r="Q1430" t="s">
        <v>398</v>
      </c>
    </row>
    <row r="1431" spans="1:17">
      <c r="A1431" t="s">
        <v>1174</v>
      </c>
      <c r="B1431" t="s">
        <v>593</v>
      </c>
      <c r="C1431" t="s">
        <v>393</v>
      </c>
      <c r="D1431" t="s">
        <v>554</v>
      </c>
      <c r="E1431" t="s">
        <v>161</v>
      </c>
      <c r="G1431" t="s">
        <v>1192</v>
      </c>
      <c r="H1431" t="s">
        <v>399</v>
      </c>
      <c r="K1431">
        <v>1951</v>
      </c>
      <c r="O1431">
        <v>12.4</v>
      </c>
      <c r="P1431" t="str">
        <f t="shared" si="4"/>
        <v>Yes</v>
      </c>
      <c r="Q1431" t="s">
        <v>398</v>
      </c>
    </row>
    <row r="1432" spans="1:17">
      <c r="A1432" t="s">
        <v>1193</v>
      </c>
      <c r="D1432" t="s">
        <v>1194</v>
      </c>
      <c r="E1432" t="s">
        <v>161</v>
      </c>
      <c r="G1432" t="s">
        <v>1195</v>
      </c>
      <c r="H1432" t="s">
        <v>539</v>
      </c>
      <c r="K1432">
        <v>1960</v>
      </c>
      <c r="L1432">
        <v>2001</v>
      </c>
      <c r="M1432">
        <f t="shared" ref="M1432:M1461" si="5">L1432-K1432+1</f>
        <v>42</v>
      </c>
      <c r="O1432" t="s">
        <v>163</v>
      </c>
      <c r="P1432" t="s">
        <v>15</v>
      </c>
      <c r="Q1432" t="s">
        <v>1196</v>
      </c>
    </row>
    <row r="1433" spans="1:17">
      <c r="A1433" t="s">
        <v>1193</v>
      </c>
      <c r="D1433" t="s">
        <v>1194</v>
      </c>
      <c r="E1433" t="s">
        <v>161</v>
      </c>
      <c r="G1433" t="s">
        <v>1197</v>
      </c>
      <c r="H1433" t="s">
        <v>539</v>
      </c>
      <c r="K1433">
        <v>1960</v>
      </c>
      <c r="L1433">
        <v>2001</v>
      </c>
      <c r="M1433">
        <f t="shared" si="5"/>
        <v>42</v>
      </c>
      <c r="O1433" t="s">
        <v>163</v>
      </c>
      <c r="P1433" t="s">
        <v>15</v>
      </c>
      <c r="Q1433" t="s">
        <v>1196</v>
      </c>
    </row>
    <row r="1434" spans="1:17">
      <c r="A1434" t="s">
        <v>1193</v>
      </c>
      <c r="D1434" t="s">
        <v>1194</v>
      </c>
      <c r="E1434" t="s">
        <v>161</v>
      </c>
      <c r="G1434" t="s">
        <v>1198</v>
      </c>
      <c r="H1434" t="s">
        <v>539</v>
      </c>
      <c r="K1434">
        <v>1960</v>
      </c>
      <c r="L1434">
        <v>2001</v>
      </c>
      <c r="M1434">
        <f t="shared" si="5"/>
        <v>42</v>
      </c>
      <c r="O1434" t="s">
        <v>163</v>
      </c>
      <c r="P1434" t="s">
        <v>15</v>
      </c>
      <c r="Q1434" t="s">
        <v>1196</v>
      </c>
    </row>
    <row r="1435" spans="1:17">
      <c r="A1435" t="s">
        <v>1193</v>
      </c>
      <c r="D1435" t="s">
        <v>1194</v>
      </c>
      <c r="E1435" t="s">
        <v>161</v>
      </c>
      <c r="G1435" t="s">
        <v>1199</v>
      </c>
      <c r="H1435" t="s">
        <v>539</v>
      </c>
      <c r="K1435">
        <v>1960</v>
      </c>
      <c r="L1435">
        <v>2001</v>
      </c>
      <c r="M1435">
        <f t="shared" si="5"/>
        <v>42</v>
      </c>
      <c r="O1435" t="s">
        <v>163</v>
      </c>
      <c r="P1435" t="s">
        <v>15</v>
      </c>
      <c r="Q1435" t="s">
        <v>1196</v>
      </c>
    </row>
    <row r="1436" spans="1:17">
      <c r="A1436" t="s">
        <v>1193</v>
      </c>
      <c r="D1436" t="s">
        <v>1194</v>
      </c>
      <c r="E1436" t="s">
        <v>161</v>
      </c>
      <c r="G1436" t="s">
        <v>1200</v>
      </c>
      <c r="H1436" t="s">
        <v>539</v>
      </c>
      <c r="K1436">
        <v>1960</v>
      </c>
      <c r="L1436">
        <v>2001</v>
      </c>
      <c r="M1436">
        <f t="shared" si="5"/>
        <v>42</v>
      </c>
      <c r="O1436" t="s">
        <v>163</v>
      </c>
      <c r="P1436" t="s">
        <v>15</v>
      </c>
      <c r="Q1436" t="s">
        <v>1196</v>
      </c>
    </row>
    <row r="1437" spans="1:17">
      <c r="A1437" t="s">
        <v>1193</v>
      </c>
      <c r="D1437" t="s">
        <v>1194</v>
      </c>
      <c r="E1437" t="s">
        <v>161</v>
      </c>
      <c r="G1437" t="s">
        <v>1201</v>
      </c>
      <c r="H1437" t="s">
        <v>539</v>
      </c>
      <c r="K1437">
        <v>1960</v>
      </c>
      <c r="L1437">
        <v>2001</v>
      </c>
      <c r="M1437">
        <f t="shared" si="5"/>
        <v>42</v>
      </c>
      <c r="O1437" t="s">
        <v>163</v>
      </c>
      <c r="P1437" t="s">
        <v>15</v>
      </c>
      <c r="Q1437" t="s">
        <v>1196</v>
      </c>
    </row>
    <row r="1438" spans="1:17">
      <c r="A1438" t="s">
        <v>1193</v>
      </c>
      <c r="D1438" t="s">
        <v>1194</v>
      </c>
      <c r="E1438" t="s">
        <v>161</v>
      </c>
      <c r="G1438" t="s">
        <v>1202</v>
      </c>
      <c r="H1438" t="s">
        <v>539</v>
      </c>
      <c r="K1438">
        <v>1960</v>
      </c>
      <c r="L1438">
        <v>2001</v>
      </c>
      <c r="M1438">
        <f t="shared" si="5"/>
        <v>42</v>
      </c>
      <c r="O1438" t="s">
        <v>163</v>
      </c>
      <c r="P1438" t="s">
        <v>15</v>
      </c>
      <c r="Q1438" t="s">
        <v>1196</v>
      </c>
    </row>
    <row r="1439" spans="1:17">
      <c r="A1439" t="s">
        <v>1193</v>
      </c>
      <c r="D1439" t="s">
        <v>1194</v>
      </c>
      <c r="E1439" t="s">
        <v>161</v>
      </c>
      <c r="G1439" t="s">
        <v>1203</v>
      </c>
      <c r="H1439" t="s">
        <v>539</v>
      </c>
      <c r="K1439">
        <v>1960</v>
      </c>
      <c r="L1439">
        <v>2001</v>
      </c>
      <c r="M1439">
        <f t="shared" si="5"/>
        <v>42</v>
      </c>
      <c r="O1439" t="s">
        <v>163</v>
      </c>
      <c r="P1439" t="s">
        <v>15</v>
      </c>
      <c r="Q1439" t="s">
        <v>1196</v>
      </c>
    </row>
    <row r="1440" spans="1:17">
      <c r="A1440" t="s">
        <v>1193</v>
      </c>
      <c r="D1440" t="s">
        <v>1194</v>
      </c>
      <c r="E1440" t="s">
        <v>161</v>
      </c>
      <c r="G1440" t="s">
        <v>1156</v>
      </c>
      <c r="H1440" t="s">
        <v>539</v>
      </c>
      <c r="K1440">
        <v>1960</v>
      </c>
      <c r="L1440">
        <v>2001</v>
      </c>
      <c r="M1440">
        <f t="shared" si="5"/>
        <v>42</v>
      </c>
      <c r="O1440" t="s">
        <v>163</v>
      </c>
      <c r="P1440" t="s">
        <v>15</v>
      </c>
      <c r="Q1440" t="s">
        <v>1196</v>
      </c>
    </row>
    <row r="1441" spans="1:17">
      <c r="A1441" t="s">
        <v>1193</v>
      </c>
      <c r="D1441" t="s">
        <v>1194</v>
      </c>
      <c r="E1441" t="s">
        <v>161</v>
      </c>
      <c r="G1441" t="s">
        <v>1204</v>
      </c>
      <c r="H1441" t="s">
        <v>539</v>
      </c>
      <c r="K1441">
        <v>1960</v>
      </c>
      <c r="L1441">
        <v>2001</v>
      </c>
      <c r="M1441">
        <f t="shared" si="5"/>
        <v>42</v>
      </c>
      <c r="O1441" t="s">
        <v>163</v>
      </c>
      <c r="P1441" t="s">
        <v>15</v>
      </c>
      <c r="Q1441" t="s">
        <v>1196</v>
      </c>
    </row>
    <row r="1442" spans="1:17">
      <c r="A1442" t="s">
        <v>1193</v>
      </c>
      <c r="D1442" t="s">
        <v>1194</v>
      </c>
      <c r="E1442" t="s">
        <v>161</v>
      </c>
      <c r="G1442" t="s">
        <v>1205</v>
      </c>
      <c r="H1442" t="s">
        <v>539</v>
      </c>
      <c r="K1442">
        <v>1960</v>
      </c>
      <c r="L1442">
        <v>2001</v>
      </c>
      <c r="M1442">
        <f t="shared" si="5"/>
        <v>42</v>
      </c>
      <c r="O1442" t="s">
        <v>163</v>
      </c>
      <c r="P1442" t="s">
        <v>15</v>
      </c>
      <c r="Q1442" t="s">
        <v>1196</v>
      </c>
    </row>
    <row r="1443" spans="1:17">
      <c r="A1443" t="s">
        <v>1193</v>
      </c>
      <c r="D1443" t="s">
        <v>1194</v>
      </c>
      <c r="E1443" t="s">
        <v>161</v>
      </c>
      <c r="G1443" t="s">
        <v>1206</v>
      </c>
      <c r="H1443" t="s">
        <v>539</v>
      </c>
      <c r="K1443">
        <v>1960</v>
      </c>
      <c r="L1443">
        <v>2001</v>
      </c>
      <c r="M1443">
        <f t="shared" si="5"/>
        <v>42</v>
      </c>
      <c r="O1443" t="s">
        <v>163</v>
      </c>
      <c r="P1443" t="s">
        <v>15</v>
      </c>
      <c r="Q1443" t="s">
        <v>1196</v>
      </c>
    </row>
    <row r="1444" spans="1:17">
      <c r="A1444" t="s">
        <v>1193</v>
      </c>
      <c r="D1444" t="s">
        <v>1194</v>
      </c>
      <c r="E1444" t="s">
        <v>161</v>
      </c>
      <c r="G1444" t="s">
        <v>1207</v>
      </c>
      <c r="H1444" t="s">
        <v>539</v>
      </c>
      <c r="K1444">
        <v>1960</v>
      </c>
      <c r="L1444">
        <v>2001</v>
      </c>
      <c r="M1444">
        <f t="shared" si="5"/>
        <v>42</v>
      </c>
      <c r="O1444" t="s">
        <v>163</v>
      </c>
      <c r="P1444" t="s">
        <v>15</v>
      </c>
      <c r="Q1444" t="s">
        <v>1196</v>
      </c>
    </row>
    <row r="1445" spans="1:17">
      <c r="A1445" t="s">
        <v>1193</v>
      </c>
      <c r="D1445" t="s">
        <v>1194</v>
      </c>
      <c r="E1445" t="s">
        <v>161</v>
      </c>
      <c r="G1445" t="s">
        <v>1208</v>
      </c>
      <c r="H1445" t="s">
        <v>539</v>
      </c>
      <c r="K1445">
        <v>1960</v>
      </c>
      <c r="L1445">
        <v>2001</v>
      </c>
      <c r="M1445">
        <f t="shared" si="5"/>
        <v>42</v>
      </c>
      <c r="O1445" t="s">
        <v>163</v>
      </c>
      <c r="P1445" t="s">
        <v>15</v>
      </c>
      <c r="Q1445" t="s">
        <v>1196</v>
      </c>
    </row>
    <row r="1446" spans="1:17">
      <c r="A1446" t="s">
        <v>1193</v>
      </c>
      <c r="D1446" t="s">
        <v>1194</v>
      </c>
      <c r="E1446" t="s">
        <v>161</v>
      </c>
      <c r="G1446" t="s">
        <v>1209</v>
      </c>
      <c r="H1446" t="s">
        <v>539</v>
      </c>
      <c r="K1446">
        <v>1960</v>
      </c>
      <c r="L1446">
        <v>2001</v>
      </c>
      <c r="M1446">
        <f t="shared" si="5"/>
        <v>42</v>
      </c>
      <c r="O1446" t="s">
        <v>163</v>
      </c>
      <c r="P1446" t="s">
        <v>15</v>
      </c>
      <c r="Q1446" t="s">
        <v>1196</v>
      </c>
    </row>
    <row r="1447" spans="1:17">
      <c r="A1447" t="s">
        <v>1193</v>
      </c>
      <c r="D1447" t="s">
        <v>1194</v>
      </c>
      <c r="E1447" t="s">
        <v>161</v>
      </c>
      <c r="G1447" t="s">
        <v>1210</v>
      </c>
      <c r="H1447" t="s">
        <v>539</v>
      </c>
      <c r="K1447">
        <v>1960</v>
      </c>
      <c r="L1447">
        <v>2001</v>
      </c>
      <c r="M1447">
        <f t="shared" si="5"/>
        <v>42</v>
      </c>
      <c r="O1447" t="s">
        <v>163</v>
      </c>
      <c r="P1447" t="s">
        <v>15</v>
      </c>
      <c r="Q1447" t="s">
        <v>1196</v>
      </c>
    </row>
    <row r="1448" spans="1:17">
      <c r="A1448" t="s">
        <v>1193</v>
      </c>
      <c r="D1448" t="s">
        <v>1194</v>
      </c>
      <c r="E1448" t="s">
        <v>161</v>
      </c>
      <c r="G1448" t="s">
        <v>1211</v>
      </c>
      <c r="H1448" t="s">
        <v>539</v>
      </c>
      <c r="K1448">
        <v>1960</v>
      </c>
      <c r="L1448">
        <v>2001</v>
      </c>
      <c r="M1448">
        <f t="shared" si="5"/>
        <v>42</v>
      </c>
      <c r="O1448" t="s">
        <v>163</v>
      </c>
      <c r="P1448" t="s">
        <v>15</v>
      </c>
      <c r="Q1448" t="s">
        <v>1196</v>
      </c>
    </row>
    <row r="1449" spans="1:17">
      <c r="A1449" t="s">
        <v>1193</v>
      </c>
      <c r="D1449" t="s">
        <v>1194</v>
      </c>
      <c r="E1449" t="s">
        <v>161</v>
      </c>
      <c r="G1449" t="s">
        <v>1212</v>
      </c>
      <c r="H1449" t="s">
        <v>539</v>
      </c>
      <c r="K1449">
        <v>1960</v>
      </c>
      <c r="L1449">
        <v>2001</v>
      </c>
      <c r="M1449">
        <f t="shared" si="5"/>
        <v>42</v>
      </c>
      <c r="O1449" t="s">
        <v>163</v>
      </c>
      <c r="P1449" t="s">
        <v>15</v>
      </c>
      <c r="Q1449" t="s">
        <v>1196</v>
      </c>
    </row>
    <row r="1450" spans="1:17">
      <c r="A1450" t="s">
        <v>1213</v>
      </c>
      <c r="D1450" t="s">
        <v>1214</v>
      </c>
      <c r="E1450" t="s">
        <v>161</v>
      </c>
      <c r="G1450" t="s">
        <v>231</v>
      </c>
      <c r="H1450" t="s">
        <v>539</v>
      </c>
      <c r="K1450">
        <v>1925</v>
      </c>
      <c r="L1450">
        <v>2004</v>
      </c>
      <c r="M1450">
        <f t="shared" si="5"/>
        <v>80</v>
      </c>
      <c r="O1450" t="s">
        <v>163</v>
      </c>
      <c r="P1450" t="s">
        <v>15</v>
      </c>
      <c r="Q1450" t="s">
        <v>1196</v>
      </c>
    </row>
    <row r="1451" spans="1:17">
      <c r="A1451" t="s">
        <v>1213</v>
      </c>
      <c r="D1451" t="s">
        <v>1214</v>
      </c>
      <c r="E1451" t="s">
        <v>161</v>
      </c>
      <c r="G1451" t="s">
        <v>1215</v>
      </c>
      <c r="H1451" t="s">
        <v>539</v>
      </c>
      <c r="K1451">
        <v>1925</v>
      </c>
      <c r="L1451">
        <v>2004</v>
      </c>
      <c r="M1451">
        <f t="shared" si="5"/>
        <v>80</v>
      </c>
      <c r="O1451" t="s">
        <v>163</v>
      </c>
      <c r="P1451" t="s">
        <v>15</v>
      </c>
      <c r="Q1451" t="s">
        <v>1196</v>
      </c>
    </row>
    <row r="1452" spans="1:17">
      <c r="A1452" t="s">
        <v>1213</v>
      </c>
      <c r="D1452" t="s">
        <v>1214</v>
      </c>
      <c r="E1452" t="s">
        <v>161</v>
      </c>
      <c r="G1452" t="s">
        <v>222</v>
      </c>
      <c r="H1452" t="s">
        <v>539</v>
      </c>
      <c r="K1452">
        <v>1925</v>
      </c>
      <c r="L1452">
        <v>2004</v>
      </c>
      <c r="M1452">
        <f t="shared" si="5"/>
        <v>80</v>
      </c>
      <c r="O1452" t="s">
        <v>163</v>
      </c>
      <c r="P1452" t="s">
        <v>15</v>
      </c>
      <c r="Q1452" t="s">
        <v>1196</v>
      </c>
    </row>
    <row r="1453" spans="1:17">
      <c r="A1453" t="s">
        <v>1213</v>
      </c>
      <c r="D1453" t="s">
        <v>1214</v>
      </c>
      <c r="E1453" t="s">
        <v>161</v>
      </c>
      <c r="G1453" t="s">
        <v>1216</v>
      </c>
      <c r="H1453" t="s">
        <v>539</v>
      </c>
      <c r="K1453">
        <v>1925</v>
      </c>
      <c r="L1453">
        <v>2004</v>
      </c>
      <c r="M1453">
        <f t="shared" si="5"/>
        <v>80</v>
      </c>
      <c r="O1453" t="s">
        <v>163</v>
      </c>
      <c r="P1453" t="s">
        <v>15</v>
      </c>
      <c r="Q1453" t="s">
        <v>1196</v>
      </c>
    </row>
    <row r="1454" spans="1:17">
      <c r="A1454" t="s">
        <v>1213</v>
      </c>
      <c r="D1454" t="s">
        <v>1214</v>
      </c>
      <c r="E1454" t="s">
        <v>161</v>
      </c>
      <c r="G1454" t="s">
        <v>413</v>
      </c>
      <c r="H1454" t="s">
        <v>539</v>
      </c>
      <c r="K1454">
        <v>1925</v>
      </c>
      <c r="L1454">
        <v>2004</v>
      </c>
      <c r="M1454">
        <f t="shared" si="5"/>
        <v>80</v>
      </c>
      <c r="O1454" t="s">
        <v>163</v>
      </c>
      <c r="P1454" t="s">
        <v>15</v>
      </c>
      <c r="Q1454" t="s">
        <v>1196</v>
      </c>
    </row>
    <row r="1455" spans="1:17">
      <c r="A1455" t="s">
        <v>1213</v>
      </c>
      <c r="D1455" t="s">
        <v>1214</v>
      </c>
      <c r="E1455" t="s">
        <v>161</v>
      </c>
      <c r="G1455" t="s">
        <v>1217</v>
      </c>
      <c r="H1455" t="s">
        <v>539</v>
      </c>
      <c r="K1455">
        <v>1925</v>
      </c>
      <c r="L1455">
        <v>2004</v>
      </c>
      <c r="M1455">
        <f t="shared" si="5"/>
        <v>80</v>
      </c>
      <c r="O1455" t="s">
        <v>163</v>
      </c>
      <c r="P1455" t="s">
        <v>15</v>
      </c>
      <c r="Q1455" t="s">
        <v>1196</v>
      </c>
    </row>
    <row r="1456" spans="1:17">
      <c r="A1456" t="s">
        <v>1213</v>
      </c>
      <c r="D1456" t="s">
        <v>1214</v>
      </c>
      <c r="E1456" t="s">
        <v>161</v>
      </c>
      <c r="G1456" t="s">
        <v>248</v>
      </c>
      <c r="H1456" t="s">
        <v>539</v>
      </c>
      <c r="K1456">
        <v>1925</v>
      </c>
      <c r="L1456">
        <v>2004</v>
      </c>
      <c r="M1456">
        <f t="shared" si="5"/>
        <v>80</v>
      </c>
      <c r="O1456" t="s">
        <v>163</v>
      </c>
      <c r="P1456" t="s">
        <v>15</v>
      </c>
      <c r="Q1456" t="s">
        <v>1196</v>
      </c>
    </row>
    <row r="1457" spans="1:17">
      <c r="A1457" t="s">
        <v>1213</v>
      </c>
      <c r="D1457" t="s">
        <v>1214</v>
      </c>
      <c r="E1457" t="s">
        <v>161</v>
      </c>
      <c r="G1457" t="s">
        <v>1218</v>
      </c>
      <c r="H1457" t="s">
        <v>539</v>
      </c>
      <c r="K1457">
        <v>1925</v>
      </c>
      <c r="L1457">
        <v>2004</v>
      </c>
      <c r="M1457">
        <f t="shared" si="5"/>
        <v>80</v>
      </c>
      <c r="O1457" t="s">
        <v>163</v>
      </c>
      <c r="P1457" t="s">
        <v>15</v>
      </c>
      <c r="Q1457" t="s">
        <v>1196</v>
      </c>
    </row>
    <row r="1458" spans="1:17">
      <c r="A1458" t="s">
        <v>1213</v>
      </c>
      <c r="D1458" t="s">
        <v>1214</v>
      </c>
      <c r="E1458" t="s">
        <v>161</v>
      </c>
      <c r="G1458" t="s">
        <v>241</v>
      </c>
      <c r="H1458" t="s">
        <v>539</v>
      </c>
      <c r="K1458">
        <v>1925</v>
      </c>
      <c r="L1458">
        <v>2004</v>
      </c>
      <c r="M1458">
        <f t="shared" si="5"/>
        <v>80</v>
      </c>
      <c r="O1458" t="s">
        <v>163</v>
      </c>
      <c r="P1458" t="s">
        <v>15</v>
      </c>
      <c r="Q1458" t="s">
        <v>1196</v>
      </c>
    </row>
    <row r="1459" spans="1:17">
      <c r="A1459" t="s">
        <v>1213</v>
      </c>
      <c r="D1459" t="s">
        <v>1214</v>
      </c>
      <c r="E1459" t="s">
        <v>161</v>
      </c>
      <c r="G1459" t="s">
        <v>249</v>
      </c>
      <c r="H1459" t="s">
        <v>539</v>
      </c>
      <c r="K1459">
        <v>1925</v>
      </c>
      <c r="L1459">
        <v>2004</v>
      </c>
      <c r="M1459">
        <f t="shared" si="5"/>
        <v>80</v>
      </c>
      <c r="O1459" t="s">
        <v>163</v>
      </c>
      <c r="P1459" t="s">
        <v>15</v>
      </c>
      <c r="Q1459" t="s">
        <v>1196</v>
      </c>
    </row>
    <row r="1460" spans="1:17">
      <c r="A1460" t="s">
        <v>1213</v>
      </c>
      <c r="D1460" t="s">
        <v>1214</v>
      </c>
      <c r="E1460" t="s">
        <v>161</v>
      </c>
      <c r="G1460" t="s">
        <v>1219</v>
      </c>
      <c r="H1460" t="s">
        <v>539</v>
      </c>
      <c r="K1460">
        <v>1925</v>
      </c>
      <c r="L1460">
        <v>2004</v>
      </c>
      <c r="M1460">
        <f t="shared" si="5"/>
        <v>80</v>
      </c>
      <c r="O1460" t="s">
        <v>163</v>
      </c>
      <c r="P1460" t="s">
        <v>15</v>
      </c>
      <c r="Q1460" t="s">
        <v>1196</v>
      </c>
    </row>
    <row r="1461" spans="1:17">
      <c r="A1461" t="s">
        <v>1213</v>
      </c>
      <c r="D1461" t="s">
        <v>1214</v>
      </c>
      <c r="E1461" t="s">
        <v>161</v>
      </c>
      <c r="G1461" t="s">
        <v>1220</v>
      </c>
      <c r="H1461" t="s">
        <v>539</v>
      </c>
      <c r="K1461">
        <v>1925</v>
      </c>
      <c r="L1461">
        <v>2004</v>
      </c>
      <c r="M1461">
        <f t="shared" si="5"/>
        <v>80</v>
      </c>
      <c r="O1461" t="s">
        <v>163</v>
      </c>
      <c r="P1461" t="s">
        <v>15</v>
      </c>
      <c r="Q1461" t="s">
        <v>1196</v>
      </c>
    </row>
    <row r="1462" spans="1:17">
      <c r="A1462" t="s">
        <v>1174</v>
      </c>
      <c r="B1462" t="s">
        <v>593</v>
      </c>
      <c r="C1462" t="s">
        <v>393</v>
      </c>
      <c r="D1462" t="s">
        <v>554</v>
      </c>
      <c r="E1462" t="s">
        <v>161</v>
      </c>
      <c r="G1462" t="s">
        <v>1221</v>
      </c>
      <c r="H1462" t="s">
        <v>399</v>
      </c>
      <c r="K1462">
        <v>1951</v>
      </c>
      <c r="O1462">
        <v>14.58</v>
      </c>
      <c r="P1462" t="str">
        <f t="shared" ref="P1462:P1472" si="6">IF(O1462&gt;0,"Yes","No")</f>
        <v>Yes</v>
      </c>
      <c r="Q1462" t="s">
        <v>398</v>
      </c>
    </row>
    <row r="1463" spans="1:17">
      <c r="A1463" t="s">
        <v>1174</v>
      </c>
      <c r="B1463" t="s">
        <v>593</v>
      </c>
      <c r="C1463" t="s">
        <v>393</v>
      </c>
      <c r="D1463" t="s">
        <v>554</v>
      </c>
      <c r="E1463" t="s">
        <v>161</v>
      </c>
      <c r="G1463" t="s">
        <v>1222</v>
      </c>
      <c r="H1463" t="s">
        <v>399</v>
      </c>
      <c r="K1463">
        <v>1951</v>
      </c>
      <c r="O1463">
        <v>15.26</v>
      </c>
      <c r="P1463" t="str">
        <f t="shared" si="6"/>
        <v>Yes</v>
      </c>
      <c r="Q1463" t="s">
        <v>398</v>
      </c>
    </row>
    <row r="1464" spans="1:17">
      <c r="A1464" t="s">
        <v>1174</v>
      </c>
      <c r="B1464" t="s">
        <v>593</v>
      </c>
      <c r="C1464" t="s">
        <v>393</v>
      </c>
      <c r="D1464" t="s">
        <v>554</v>
      </c>
      <c r="E1464" t="s">
        <v>161</v>
      </c>
      <c r="G1464" t="s">
        <v>1223</v>
      </c>
      <c r="H1464" t="s">
        <v>399</v>
      </c>
      <c r="K1464">
        <v>1951</v>
      </c>
      <c r="O1464">
        <v>15.69</v>
      </c>
      <c r="P1464" t="str">
        <f t="shared" si="6"/>
        <v>Yes</v>
      </c>
      <c r="Q1464" t="s">
        <v>398</v>
      </c>
    </row>
    <row r="1465" spans="1:17">
      <c r="A1465" t="s">
        <v>1174</v>
      </c>
      <c r="B1465" t="s">
        <v>593</v>
      </c>
      <c r="C1465" t="s">
        <v>393</v>
      </c>
      <c r="D1465" t="s">
        <v>554</v>
      </c>
      <c r="E1465" t="s">
        <v>161</v>
      </c>
      <c r="G1465" t="s">
        <v>1224</v>
      </c>
      <c r="H1465" t="s">
        <v>399</v>
      </c>
      <c r="K1465">
        <v>1951</v>
      </c>
      <c r="O1465">
        <v>20.6</v>
      </c>
      <c r="P1465" t="str">
        <f t="shared" si="6"/>
        <v>Yes</v>
      </c>
      <c r="Q1465" t="s">
        <v>398</v>
      </c>
    </row>
    <row r="1466" spans="1:17">
      <c r="A1466" t="s">
        <v>1174</v>
      </c>
      <c r="B1466" t="s">
        <v>593</v>
      </c>
      <c r="C1466" t="s">
        <v>393</v>
      </c>
      <c r="D1466" t="s">
        <v>554</v>
      </c>
      <c r="E1466" t="s">
        <v>161</v>
      </c>
      <c r="G1466" t="s">
        <v>1225</v>
      </c>
      <c r="H1466" t="s">
        <v>399</v>
      </c>
      <c r="K1466">
        <v>1951</v>
      </c>
      <c r="O1466">
        <v>20.93</v>
      </c>
      <c r="P1466" t="str">
        <f t="shared" si="6"/>
        <v>Yes</v>
      </c>
      <c r="Q1466" t="s">
        <v>398</v>
      </c>
    </row>
    <row r="1467" spans="1:17">
      <c r="A1467" t="s">
        <v>1174</v>
      </c>
      <c r="B1467" t="s">
        <v>593</v>
      </c>
      <c r="C1467" t="s">
        <v>393</v>
      </c>
      <c r="D1467" t="s">
        <v>554</v>
      </c>
      <c r="E1467" t="s">
        <v>161</v>
      </c>
      <c r="G1467" t="s">
        <v>1226</v>
      </c>
      <c r="H1467" t="s">
        <v>399</v>
      </c>
      <c r="K1467">
        <v>1951</v>
      </c>
      <c r="O1467">
        <v>21.8</v>
      </c>
      <c r="P1467" t="str">
        <f t="shared" si="6"/>
        <v>Yes</v>
      </c>
      <c r="Q1467" t="s">
        <v>398</v>
      </c>
    </row>
    <row r="1468" spans="1:17">
      <c r="A1468" t="s">
        <v>1174</v>
      </c>
      <c r="B1468" t="s">
        <v>593</v>
      </c>
      <c r="C1468" t="s">
        <v>393</v>
      </c>
      <c r="D1468" t="s">
        <v>554</v>
      </c>
      <c r="E1468" t="s">
        <v>161</v>
      </c>
      <c r="G1468" t="s">
        <v>1227</v>
      </c>
      <c r="H1468" t="s">
        <v>399</v>
      </c>
      <c r="K1468">
        <v>1951</v>
      </c>
      <c r="O1468">
        <v>22.450000000000003</v>
      </c>
      <c r="P1468" t="str">
        <f t="shared" si="6"/>
        <v>Yes</v>
      </c>
      <c r="Q1468" t="s">
        <v>398</v>
      </c>
    </row>
    <row r="1469" spans="1:17">
      <c r="A1469" t="s">
        <v>1174</v>
      </c>
      <c r="B1469" t="s">
        <v>593</v>
      </c>
      <c r="C1469" t="s">
        <v>393</v>
      </c>
      <c r="D1469" t="s">
        <v>554</v>
      </c>
      <c r="E1469" t="s">
        <v>161</v>
      </c>
      <c r="G1469" t="s">
        <v>1228</v>
      </c>
      <c r="H1469" t="s">
        <v>399</v>
      </c>
      <c r="K1469">
        <v>1951</v>
      </c>
      <c r="O1469">
        <v>33.700000000000003</v>
      </c>
      <c r="P1469" t="str">
        <f t="shared" si="6"/>
        <v>Yes</v>
      </c>
      <c r="Q1469" t="s">
        <v>398</v>
      </c>
    </row>
    <row r="1470" spans="1:17">
      <c r="A1470" t="s">
        <v>1174</v>
      </c>
      <c r="B1470" t="s">
        <v>593</v>
      </c>
      <c r="C1470" t="s">
        <v>393</v>
      </c>
      <c r="D1470" t="s">
        <v>554</v>
      </c>
      <c r="E1470" t="s">
        <v>161</v>
      </c>
      <c r="G1470" t="s">
        <v>1229</v>
      </c>
      <c r="H1470" t="s">
        <v>399</v>
      </c>
      <c r="K1470">
        <v>1951</v>
      </c>
      <c r="O1470">
        <v>34.870000000000005</v>
      </c>
      <c r="P1470" t="str">
        <f t="shared" si="6"/>
        <v>Yes</v>
      </c>
      <c r="Q1470" t="s">
        <v>398</v>
      </c>
    </row>
    <row r="1471" spans="1:17">
      <c r="A1471" t="s">
        <v>1174</v>
      </c>
      <c r="B1471" t="s">
        <v>593</v>
      </c>
      <c r="C1471" t="s">
        <v>393</v>
      </c>
      <c r="D1471" t="s">
        <v>554</v>
      </c>
      <c r="E1471" t="s">
        <v>161</v>
      </c>
      <c r="G1471" t="s">
        <v>1230</v>
      </c>
      <c r="H1471" t="s">
        <v>399</v>
      </c>
      <c r="K1471">
        <v>1951</v>
      </c>
      <c r="O1471">
        <v>38.18</v>
      </c>
      <c r="P1471" t="str">
        <f t="shared" si="6"/>
        <v>Yes</v>
      </c>
      <c r="Q1471" t="s">
        <v>398</v>
      </c>
    </row>
    <row r="1472" spans="1:17">
      <c r="A1472" t="s">
        <v>1174</v>
      </c>
      <c r="B1472" t="s">
        <v>593</v>
      </c>
      <c r="C1472" t="s">
        <v>393</v>
      </c>
      <c r="D1472" t="s">
        <v>554</v>
      </c>
      <c r="E1472" t="s">
        <v>161</v>
      </c>
      <c r="G1472" t="s">
        <v>1231</v>
      </c>
      <c r="H1472" t="s">
        <v>399</v>
      </c>
      <c r="K1472">
        <v>1951</v>
      </c>
      <c r="O1472">
        <v>42.32</v>
      </c>
      <c r="P1472" t="str">
        <f t="shared" si="6"/>
        <v>Yes</v>
      </c>
      <c r="Q1472" t="s">
        <v>398</v>
      </c>
    </row>
    <row r="1473" spans="1:18">
      <c r="A1473" t="s">
        <v>1232</v>
      </c>
      <c r="B1473" t="s">
        <v>593</v>
      </c>
      <c r="C1473" t="s">
        <v>393</v>
      </c>
      <c r="D1473" t="s">
        <v>468</v>
      </c>
      <c r="E1473" t="s">
        <v>368</v>
      </c>
      <c r="F1473" t="s">
        <v>368</v>
      </c>
      <c r="G1473" t="s">
        <v>369</v>
      </c>
      <c r="I1473">
        <v>59.344155999999998</v>
      </c>
      <c r="J1473">
        <v>-89.158034999999998</v>
      </c>
      <c r="K1473">
        <v>1991</v>
      </c>
      <c r="M1473">
        <v>19</v>
      </c>
      <c r="P1473" t="s">
        <v>595</v>
      </c>
      <c r="Q1473" t="s">
        <v>403</v>
      </c>
      <c r="R1473" t="s">
        <v>1233</v>
      </c>
    </row>
    <row r="1474" spans="1:18">
      <c r="A1474" t="s">
        <v>1234</v>
      </c>
      <c r="B1474" t="s">
        <v>593</v>
      </c>
      <c r="C1474" t="s">
        <v>393</v>
      </c>
      <c r="D1474" t="s">
        <v>1235</v>
      </c>
      <c r="G1474" t="s">
        <v>1236</v>
      </c>
      <c r="H1474" t="s">
        <v>527</v>
      </c>
      <c r="K1474">
        <v>1961</v>
      </c>
      <c r="L1474">
        <v>1986</v>
      </c>
      <c r="M1474">
        <f t="shared" ref="M1474:M1493" si="7">L1474-K1474+1</f>
        <v>26</v>
      </c>
      <c r="O1474">
        <v>40.765384615384598</v>
      </c>
      <c r="P1474" t="s">
        <v>1237</v>
      </c>
      <c r="Q1474" t="s">
        <v>1238</v>
      </c>
    </row>
    <row r="1475" spans="1:18">
      <c r="A1475" t="s">
        <v>1234</v>
      </c>
      <c r="B1475" t="s">
        <v>593</v>
      </c>
      <c r="C1475" t="s">
        <v>393</v>
      </c>
      <c r="D1475" t="s">
        <v>1235</v>
      </c>
      <c r="G1475" t="s">
        <v>27</v>
      </c>
      <c r="H1475" t="s">
        <v>527</v>
      </c>
      <c r="K1475">
        <v>1961</v>
      </c>
      <c r="L1475">
        <v>1986</v>
      </c>
      <c r="M1475">
        <f t="shared" si="7"/>
        <v>26</v>
      </c>
      <c r="O1475">
        <v>-1.7384615384615401</v>
      </c>
      <c r="P1475" t="s">
        <v>1239</v>
      </c>
      <c r="Q1475" t="s">
        <v>1238</v>
      </c>
    </row>
    <row r="1476" spans="1:18">
      <c r="A1476" t="s">
        <v>1234</v>
      </c>
      <c r="B1476" t="s">
        <v>593</v>
      </c>
      <c r="C1476" t="s">
        <v>393</v>
      </c>
      <c r="D1476" t="s">
        <v>1235</v>
      </c>
      <c r="G1476" t="s">
        <v>25</v>
      </c>
      <c r="H1476" t="s">
        <v>527</v>
      </c>
      <c r="K1476">
        <v>1961</v>
      </c>
      <c r="L1476">
        <v>1986</v>
      </c>
      <c r="M1476">
        <f t="shared" si="7"/>
        <v>26</v>
      </c>
      <c r="O1476">
        <v>4.7538461538461503</v>
      </c>
      <c r="P1476" t="s">
        <v>1237</v>
      </c>
      <c r="Q1476" t="s">
        <v>1238</v>
      </c>
    </row>
    <row r="1477" spans="1:18">
      <c r="A1477" t="s">
        <v>1234</v>
      </c>
      <c r="B1477" t="s">
        <v>593</v>
      </c>
      <c r="C1477" t="s">
        <v>393</v>
      </c>
      <c r="D1477" t="s">
        <v>1235</v>
      </c>
      <c r="G1477" t="s">
        <v>1240</v>
      </c>
      <c r="H1477" t="s">
        <v>527</v>
      </c>
      <c r="K1477">
        <v>1961</v>
      </c>
      <c r="L1477">
        <v>1986</v>
      </c>
      <c r="M1477">
        <f t="shared" si="7"/>
        <v>26</v>
      </c>
      <c r="O1477">
        <v>-189.24615384615399</v>
      </c>
      <c r="P1477" t="s">
        <v>1239</v>
      </c>
      <c r="Q1477" t="s">
        <v>1238</v>
      </c>
    </row>
    <row r="1478" spans="1:18">
      <c r="A1478" t="s">
        <v>1234</v>
      </c>
      <c r="B1478" t="s">
        <v>593</v>
      </c>
      <c r="C1478" t="s">
        <v>393</v>
      </c>
      <c r="D1478" t="s">
        <v>1235</v>
      </c>
      <c r="G1478" t="s">
        <v>1241</v>
      </c>
      <c r="H1478" t="s">
        <v>527</v>
      </c>
      <c r="K1478">
        <v>1961</v>
      </c>
      <c r="L1478">
        <v>1986</v>
      </c>
      <c r="M1478">
        <f t="shared" si="7"/>
        <v>26</v>
      </c>
      <c r="O1478">
        <v>95.619230769230796</v>
      </c>
      <c r="P1478" t="s">
        <v>1237</v>
      </c>
      <c r="Q1478" t="s">
        <v>1238</v>
      </c>
    </row>
    <row r="1479" spans="1:18">
      <c r="A1479" t="s">
        <v>1234</v>
      </c>
      <c r="B1479" t="s">
        <v>593</v>
      </c>
      <c r="C1479" t="s">
        <v>393</v>
      </c>
      <c r="D1479" t="s">
        <v>1235</v>
      </c>
      <c r="G1479" t="s">
        <v>1242</v>
      </c>
      <c r="H1479" t="s">
        <v>527</v>
      </c>
      <c r="K1479">
        <v>1961</v>
      </c>
      <c r="L1479">
        <v>1986</v>
      </c>
      <c r="M1479">
        <f t="shared" si="7"/>
        <v>26</v>
      </c>
      <c r="O1479">
        <v>-27.353846153846199</v>
      </c>
      <c r="P1479" t="s">
        <v>1239</v>
      </c>
      <c r="Q1479" t="s">
        <v>1238</v>
      </c>
    </row>
    <row r="1480" spans="1:18">
      <c r="A1480" t="s">
        <v>1234</v>
      </c>
      <c r="B1480" t="s">
        <v>593</v>
      </c>
      <c r="C1480" t="s">
        <v>393</v>
      </c>
      <c r="D1480" t="s">
        <v>1235</v>
      </c>
      <c r="G1480" t="s">
        <v>1243</v>
      </c>
      <c r="H1480" t="s">
        <v>527</v>
      </c>
      <c r="K1480">
        <v>1961</v>
      </c>
      <c r="L1480">
        <v>1986</v>
      </c>
      <c r="M1480">
        <f t="shared" si="7"/>
        <v>26</v>
      </c>
      <c r="O1480">
        <v>14.4884615384615</v>
      </c>
      <c r="P1480" t="s">
        <v>1237</v>
      </c>
      <c r="Q1480" t="s">
        <v>1238</v>
      </c>
    </row>
    <row r="1481" spans="1:18">
      <c r="A1481" t="s">
        <v>1234</v>
      </c>
      <c r="B1481" t="s">
        <v>593</v>
      </c>
      <c r="C1481" t="s">
        <v>393</v>
      </c>
      <c r="D1481" t="s">
        <v>1235</v>
      </c>
      <c r="G1481" t="s">
        <v>1244</v>
      </c>
      <c r="H1481" t="s">
        <v>527</v>
      </c>
      <c r="K1481">
        <v>1961</v>
      </c>
      <c r="L1481">
        <v>1986</v>
      </c>
      <c r="M1481">
        <f t="shared" si="7"/>
        <v>26</v>
      </c>
      <c r="O1481">
        <v>-33.65</v>
      </c>
      <c r="P1481" t="s">
        <v>1239</v>
      </c>
      <c r="Q1481" t="s">
        <v>1238</v>
      </c>
    </row>
    <row r="1482" spans="1:18">
      <c r="A1482" t="s">
        <v>1234</v>
      </c>
      <c r="B1482" t="s">
        <v>593</v>
      </c>
      <c r="C1482" t="s">
        <v>393</v>
      </c>
      <c r="D1482" t="s">
        <v>1235</v>
      </c>
      <c r="G1482" t="s">
        <v>1245</v>
      </c>
      <c r="H1482" t="s">
        <v>527</v>
      </c>
      <c r="K1482">
        <v>1961</v>
      </c>
      <c r="L1482">
        <v>1986</v>
      </c>
      <c r="M1482">
        <f t="shared" si="7"/>
        <v>26</v>
      </c>
      <c r="O1482">
        <v>113.969230769231</v>
      </c>
      <c r="P1482" t="s">
        <v>1237</v>
      </c>
      <c r="Q1482" t="s">
        <v>1238</v>
      </c>
    </row>
    <row r="1483" spans="1:18">
      <c r="A1483" t="s">
        <v>1234</v>
      </c>
      <c r="B1483" t="s">
        <v>593</v>
      </c>
      <c r="C1483" t="s">
        <v>393</v>
      </c>
      <c r="D1483" t="s">
        <v>1235</v>
      </c>
      <c r="G1483" t="s">
        <v>1246</v>
      </c>
      <c r="H1483" t="s">
        <v>527</v>
      </c>
      <c r="K1483">
        <v>1961</v>
      </c>
      <c r="L1483">
        <v>1986</v>
      </c>
      <c r="M1483">
        <f t="shared" si="7"/>
        <v>26</v>
      </c>
      <c r="O1483">
        <v>86.342307692307699</v>
      </c>
      <c r="P1483" t="s">
        <v>1237</v>
      </c>
      <c r="Q1483" t="s">
        <v>1238</v>
      </c>
    </row>
    <row r="1484" spans="1:18">
      <c r="A1484" t="s">
        <v>1234</v>
      </c>
      <c r="B1484" t="s">
        <v>593</v>
      </c>
      <c r="C1484" t="s">
        <v>393</v>
      </c>
      <c r="D1484" t="s">
        <v>1235</v>
      </c>
      <c r="E1484" t="s">
        <v>47</v>
      </c>
      <c r="G1484" t="s">
        <v>1236</v>
      </c>
      <c r="H1484" t="s">
        <v>527</v>
      </c>
      <c r="K1484">
        <v>1986</v>
      </c>
      <c r="L1484">
        <v>2006</v>
      </c>
      <c r="M1484">
        <f t="shared" si="7"/>
        <v>21</v>
      </c>
      <c r="O1484">
        <v>-33.523809523809497</v>
      </c>
      <c r="P1484" t="s">
        <v>1239</v>
      </c>
      <c r="Q1484" t="s">
        <v>1238</v>
      </c>
    </row>
    <row r="1485" spans="1:18">
      <c r="A1485" t="s">
        <v>1234</v>
      </c>
      <c r="B1485" t="s">
        <v>593</v>
      </c>
      <c r="C1485" t="s">
        <v>393</v>
      </c>
      <c r="D1485" t="s">
        <v>1235</v>
      </c>
      <c r="E1485" t="s">
        <v>47</v>
      </c>
      <c r="G1485" t="s">
        <v>1244</v>
      </c>
      <c r="H1485" t="s">
        <v>527</v>
      </c>
      <c r="K1485">
        <v>1986</v>
      </c>
      <c r="L1485">
        <v>2006</v>
      </c>
      <c r="M1485">
        <f t="shared" si="7"/>
        <v>21</v>
      </c>
      <c r="O1485">
        <v>-18.247619047619001</v>
      </c>
      <c r="P1485" t="s">
        <v>1239</v>
      </c>
      <c r="Q1485" t="s">
        <v>1238</v>
      </c>
    </row>
    <row r="1486" spans="1:18">
      <c r="A1486" t="s">
        <v>1234</v>
      </c>
      <c r="B1486" t="s">
        <v>593</v>
      </c>
      <c r="C1486" t="s">
        <v>393</v>
      </c>
      <c r="D1486" t="s">
        <v>1235</v>
      </c>
      <c r="E1486" t="s">
        <v>47</v>
      </c>
      <c r="G1486" t="s">
        <v>27</v>
      </c>
      <c r="H1486" t="s">
        <v>527</v>
      </c>
      <c r="K1486">
        <v>1986</v>
      </c>
      <c r="L1486">
        <v>2006</v>
      </c>
      <c r="M1486">
        <f t="shared" si="7"/>
        <v>21</v>
      </c>
      <c r="O1486">
        <v>86.433333333333294</v>
      </c>
      <c r="P1486" t="s">
        <v>1237</v>
      </c>
      <c r="Q1486" t="s">
        <v>1238</v>
      </c>
    </row>
    <row r="1487" spans="1:18">
      <c r="A1487" t="s">
        <v>1234</v>
      </c>
      <c r="B1487" t="s">
        <v>593</v>
      </c>
      <c r="C1487" t="s">
        <v>393</v>
      </c>
      <c r="D1487" t="s">
        <v>1235</v>
      </c>
      <c r="E1487" t="s">
        <v>47</v>
      </c>
      <c r="G1487" t="s">
        <v>1240</v>
      </c>
      <c r="H1487" t="s">
        <v>527</v>
      </c>
      <c r="K1487">
        <v>1986</v>
      </c>
      <c r="L1487">
        <v>2006</v>
      </c>
      <c r="M1487">
        <f t="shared" si="7"/>
        <v>21</v>
      </c>
      <c r="O1487">
        <v>323.89047619047602</v>
      </c>
      <c r="P1487" t="s">
        <v>1237</v>
      </c>
      <c r="Q1487" t="s">
        <v>1238</v>
      </c>
    </row>
    <row r="1488" spans="1:18">
      <c r="A1488" t="s">
        <v>1234</v>
      </c>
      <c r="B1488" t="s">
        <v>593</v>
      </c>
      <c r="C1488" t="s">
        <v>393</v>
      </c>
      <c r="D1488" t="s">
        <v>1235</v>
      </c>
      <c r="E1488" t="s">
        <v>47</v>
      </c>
      <c r="G1488" t="s">
        <v>1246</v>
      </c>
      <c r="H1488" t="s">
        <v>527</v>
      </c>
      <c r="K1488">
        <v>1986</v>
      </c>
      <c r="L1488">
        <v>2006</v>
      </c>
      <c r="M1488">
        <f t="shared" si="7"/>
        <v>21</v>
      </c>
      <c r="O1488">
        <v>34.5571428571429</v>
      </c>
      <c r="P1488" t="s">
        <v>1237</v>
      </c>
      <c r="Q1488" t="s">
        <v>1238</v>
      </c>
    </row>
    <row r="1489" spans="1:17">
      <c r="A1489" t="s">
        <v>1234</v>
      </c>
      <c r="B1489" t="s">
        <v>593</v>
      </c>
      <c r="C1489" t="s">
        <v>393</v>
      </c>
      <c r="D1489" t="s">
        <v>1235</v>
      </c>
      <c r="E1489" t="s">
        <v>47</v>
      </c>
      <c r="G1489" t="s">
        <v>1243</v>
      </c>
      <c r="H1489" t="s">
        <v>527</v>
      </c>
      <c r="K1489">
        <v>1986</v>
      </c>
      <c r="L1489">
        <v>2006</v>
      </c>
      <c r="M1489">
        <f t="shared" si="7"/>
        <v>21</v>
      </c>
      <c r="O1489">
        <v>27.514285714285698</v>
      </c>
      <c r="P1489" t="s">
        <v>1237</v>
      </c>
      <c r="Q1489" t="s">
        <v>1238</v>
      </c>
    </row>
    <row r="1490" spans="1:17">
      <c r="A1490" t="s">
        <v>1234</v>
      </c>
      <c r="B1490" t="s">
        <v>593</v>
      </c>
      <c r="C1490" t="s">
        <v>393</v>
      </c>
      <c r="D1490" t="s">
        <v>1235</v>
      </c>
      <c r="E1490" t="s">
        <v>47</v>
      </c>
      <c r="G1490" t="s">
        <v>25</v>
      </c>
      <c r="H1490" t="s">
        <v>527</v>
      </c>
      <c r="K1490">
        <v>1986</v>
      </c>
      <c r="L1490">
        <v>2006</v>
      </c>
      <c r="M1490">
        <f t="shared" si="7"/>
        <v>21</v>
      </c>
      <c r="O1490">
        <v>121.571428571429</v>
      </c>
      <c r="P1490" t="s">
        <v>1237</v>
      </c>
      <c r="Q1490" t="s">
        <v>1238</v>
      </c>
    </row>
    <row r="1491" spans="1:17">
      <c r="A1491" t="s">
        <v>1234</v>
      </c>
      <c r="B1491" t="s">
        <v>593</v>
      </c>
      <c r="C1491" t="s">
        <v>393</v>
      </c>
      <c r="D1491" t="s">
        <v>1235</v>
      </c>
      <c r="E1491" t="s">
        <v>47</v>
      </c>
      <c r="G1491" t="s">
        <v>1242</v>
      </c>
      <c r="H1491" t="s">
        <v>527</v>
      </c>
      <c r="K1491">
        <v>1986</v>
      </c>
      <c r="L1491">
        <v>2006</v>
      </c>
      <c r="M1491">
        <f t="shared" si="7"/>
        <v>21</v>
      </c>
      <c r="O1491">
        <v>1.6428571428571399</v>
      </c>
      <c r="P1491" t="s">
        <v>1237</v>
      </c>
      <c r="Q1491" t="s">
        <v>1238</v>
      </c>
    </row>
    <row r="1492" spans="1:17">
      <c r="A1492" t="s">
        <v>1234</v>
      </c>
      <c r="B1492" t="s">
        <v>593</v>
      </c>
      <c r="C1492" t="s">
        <v>393</v>
      </c>
      <c r="D1492" t="s">
        <v>1235</v>
      </c>
      <c r="E1492" t="s">
        <v>47</v>
      </c>
      <c r="G1492" t="s">
        <v>1241</v>
      </c>
      <c r="H1492" t="s">
        <v>527</v>
      </c>
      <c r="K1492">
        <v>1986</v>
      </c>
      <c r="L1492">
        <v>2006</v>
      </c>
      <c r="M1492">
        <f t="shared" si="7"/>
        <v>21</v>
      </c>
      <c r="O1492">
        <v>-93.709523809523802</v>
      </c>
      <c r="P1492" t="s">
        <v>1239</v>
      </c>
      <c r="Q1492" t="s">
        <v>1238</v>
      </c>
    </row>
    <row r="1493" spans="1:17">
      <c r="A1493" t="s">
        <v>1234</v>
      </c>
      <c r="B1493" t="s">
        <v>593</v>
      </c>
      <c r="C1493" t="s">
        <v>393</v>
      </c>
      <c r="D1493" t="s">
        <v>1235</v>
      </c>
      <c r="E1493" t="s">
        <v>47</v>
      </c>
      <c r="G1493" t="s">
        <v>1245</v>
      </c>
      <c r="H1493" t="s">
        <v>527</v>
      </c>
      <c r="K1493">
        <v>1986</v>
      </c>
      <c r="L1493">
        <v>2006</v>
      </c>
      <c r="M1493">
        <f t="shared" si="7"/>
        <v>21</v>
      </c>
      <c r="O1493">
        <v>-48.028571428571396</v>
      </c>
      <c r="P1493" t="s">
        <v>1239</v>
      </c>
      <c r="Q1493" t="s">
        <v>1238</v>
      </c>
    </row>
    <row r="1494" spans="1:17">
      <c r="A1494" t="s">
        <v>1247</v>
      </c>
      <c r="B1494" t="s">
        <v>593</v>
      </c>
      <c r="C1494" t="s">
        <v>393</v>
      </c>
      <c r="D1494" t="s">
        <v>554</v>
      </c>
      <c r="E1494" t="s">
        <v>161</v>
      </c>
      <c r="G1494" t="s">
        <v>1248</v>
      </c>
      <c r="H1494" t="s">
        <v>457</v>
      </c>
      <c r="K1494">
        <v>1978</v>
      </c>
      <c r="O1494">
        <v>-249.24</v>
      </c>
      <c r="P1494" t="str">
        <f t="shared" ref="P1494:P1515" si="8">IF(O1494&gt;0,"Yes","No")</f>
        <v>No</v>
      </c>
      <c r="Q1494" t="s">
        <v>398</v>
      </c>
    </row>
    <row r="1495" spans="1:17">
      <c r="A1495" t="s">
        <v>1247</v>
      </c>
      <c r="B1495" t="s">
        <v>593</v>
      </c>
      <c r="C1495" t="s">
        <v>393</v>
      </c>
      <c r="D1495" t="s">
        <v>554</v>
      </c>
      <c r="E1495" t="s">
        <v>161</v>
      </c>
      <c r="G1495" t="s">
        <v>1249</v>
      </c>
      <c r="H1495" t="s">
        <v>457</v>
      </c>
      <c r="K1495">
        <v>1978</v>
      </c>
      <c r="O1495">
        <v>-249.24</v>
      </c>
      <c r="P1495" t="str">
        <f t="shared" si="8"/>
        <v>No</v>
      </c>
      <c r="Q1495" t="s">
        <v>398</v>
      </c>
    </row>
    <row r="1496" spans="1:17">
      <c r="A1496" t="s">
        <v>1247</v>
      </c>
      <c r="B1496" t="s">
        <v>593</v>
      </c>
      <c r="C1496" t="s">
        <v>393</v>
      </c>
      <c r="D1496" t="s">
        <v>554</v>
      </c>
      <c r="E1496" t="s">
        <v>161</v>
      </c>
      <c r="G1496" t="s">
        <v>1250</v>
      </c>
      <c r="H1496" t="s">
        <v>457</v>
      </c>
      <c r="K1496">
        <v>1978</v>
      </c>
      <c r="O1496">
        <v>-202.71</v>
      </c>
      <c r="P1496" t="str">
        <f t="shared" si="8"/>
        <v>No</v>
      </c>
      <c r="Q1496" t="s">
        <v>398</v>
      </c>
    </row>
    <row r="1497" spans="1:17">
      <c r="A1497" t="s">
        <v>1247</v>
      </c>
      <c r="B1497" t="s">
        <v>593</v>
      </c>
      <c r="C1497" t="s">
        <v>393</v>
      </c>
      <c r="D1497" t="s">
        <v>554</v>
      </c>
      <c r="E1497" t="s">
        <v>161</v>
      </c>
      <c r="G1497" t="s">
        <v>1251</v>
      </c>
      <c r="H1497" t="s">
        <v>457</v>
      </c>
      <c r="K1497">
        <v>1978</v>
      </c>
      <c r="O1497">
        <v>-112.99</v>
      </c>
      <c r="P1497" t="str">
        <f t="shared" si="8"/>
        <v>No</v>
      </c>
      <c r="Q1497" t="s">
        <v>398</v>
      </c>
    </row>
    <row r="1498" spans="1:17">
      <c r="A1498" t="s">
        <v>1247</v>
      </c>
      <c r="B1498" t="s">
        <v>593</v>
      </c>
      <c r="C1498" t="s">
        <v>393</v>
      </c>
      <c r="D1498" t="s">
        <v>554</v>
      </c>
      <c r="E1498" t="s">
        <v>161</v>
      </c>
      <c r="G1498" t="s">
        <v>1252</v>
      </c>
      <c r="H1498" t="s">
        <v>399</v>
      </c>
      <c r="K1498">
        <v>1978</v>
      </c>
      <c r="O1498">
        <v>0</v>
      </c>
      <c r="P1498" t="str">
        <f t="shared" si="8"/>
        <v>No</v>
      </c>
      <c r="Q1498" t="s">
        <v>398</v>
      </c>
    </row>
    <row r="1499" spans="1:17">
      <c r="A1499" t="s">
        <v>1247</v>
      </c>
      <c r="B1499" t="s">
        <v>593</v>
      </c>
      <c r="C1499" t="s">
        <v>393</v>
      </c>
      <c r="D1499" t="s">
        <v>554</v>
      </c>
      <c r="E1499" t="s">
        <v>161</v>
      </c>
      <c r="G1499" t="s">
        <v>686</v>
      </c>
      <c r="H1499" t="s">
        <v>399</v>
      </c>
      <c r="K1499">
        <v>1978</v>
      </c>
      <c r="O1499">
        <v>0</v>
      </c>
      <c r="P1499" t="str">
        <f t="shared" si="8"/>
        <v>No</v>
      </c>
      <c r="Q1499" t="s">
        <v>398</v>
      </c>
    </row>
    <row r="1500" spans="1:17">
      <c r="A1500" t="s">
        <v>1247</v>
      </c>
      <c r="B1500" t="s">
        <v>593</v>
      </c>
      <c r="C1500" t="s">
        <v>393</v>
      </c>
      <c r="D1500" t="s">
        <v>554</v>
      </c>
      <c r="E1500" t="s">
        <v>161</v>
      </c>
      <c r="G1500" t="s">
        <v>687</v>
      </c>
      <c r="H1500" t="s">
        <v>399</v>
      </c>
      <c r="K1500">
        <v>1978</v>
      </c>
      <c r="O1500">
        <v>23.439999999999998</v>
      </c>
      <c r="P1500" t="str">
        <f t="shared" si="8"/>
        <v>Yes</v>
      </c>
      <c r="Q1500" t="s">
        <v>398</v>
      </c>
    </row>
    <row r="1501" spans="1:17">
      <c r="A1501" t="s">
        <v>1247</v>
      </c>
      <c r="B1501" t="s">
        <v>593</v>
      </c>
      <c r="C1501" t="s">
        <v>393</v>
      </c>
      <c r="D1501" t="s">
        <v>554</v>
      </c>
      <c r="E1501" t="s">
        <v>161</v>
      </c>
      <c r="G1501" t="s">
        <v>165</v>
      </c>
      <c r="H1501" t="s">
        <v>399</v>
      </c>
      <c r="K1501">
        <v>1978</v>
      </c>
      <c r="O1501">
        <v>35.159999999999997</v>
      </c>
      <c r="P1501" t="str">
        <f t="shared" si="8"/>
        <v>Yes</v>
      </c>
      <c r="Q1501" t="s">
        <v>398</v>
      </c>
    </row>
    <row r="1502" spans="1:17">
      <c r="A1502" t="s">
        <v>1247</v>
      </c>
      <c r="B1502" t="s">
        <v>593</v>
      </c>
      <c r="C1502" t="s">
        <v>393</v>
      </c>
      <c r="D1502" t="s">
        <v>554</v>
      </c>
      <c r="E1502" t="s">
        <v>161</v>
      </c>
      <c r="G1502" t="s">
        <v>1253</v>
      </c>
      <c r="H1502" t="s">
        <v>457</v>
      </c>
      <c r="K1502">
        <v>1978</v>
      </c>
      <c r="O1502">
        <v>43.2</v>
      </c>
      <c r="P1502" t="str">
        <f t="shared" si="8"/>
        <v>Yes</v>
      </c>
      <c r="Q1502" t="s">
        <v>398</v>
      </c>
    </row>
    <row r="1503" spans="1:17">
      <c r="A1503" t="s">
        <v>1247</v>
      </c>
      <c r="B1503" t="s">
        <v>593</v>
      </c>
      <c r="C1503" t="s">
        <v>393</v>
      </c>
      <c r="D1503" t="s">
        <v>554</v>
      </c>
      <c r="E1503" t="s">
        <v>161</v>
      </c>
      <c r="G1503" t="s">
        <v>1254</v>
      </c>
      <c r="H1503" t="s">
        <v>457</v>
      </c>
      <c r="K1503">
        <v>1978</v>
      </c>
      <c r="O1503">
        <v>49.85</v>
      </c>
      <c r="P1503" t="str">
        <f t="shared" si="8"/>
        <v>Yes</v>
      </c>
      <c r="Q1503" t="s">
        <v>398</v>
      </c>
    </row>
    <row r="1504" spans="1:17">
      <c r="A1504" t="s">
        <v>1247</v>
      </c>
      <c r="B1504" t="s">
        <v>593</v>
      </c>
      <c r="C1504" t="s">
        <v>393</v>
      </c>
      <c r="D1504" t="s">
        <v>554</v>
      </c>
      <c r="E1504" t="s">
        <v>161</v>
      </c>
      <c r="G1504" t="s">
        <v>1255</v>
      </c>
      <c r="H1504" t="s">
        <v>457</v>
      </c>
      <c r="K1504">
        <v>1978</v>
      </c>
      <c r="O1504">
        <v>49.85</v>
      </c>
      <c r="P1504" t="str">
        <f t="shared" si="8"/>
        <v>Yes</v>
      </c>
      <c r="Q1504" t="s">
        <v>398</v>
      </c>
    </row>
    <row r="1505" spans="1:17">
      <c r="A1505" t="s">
        <v>1247</v>
      </c>
      <c r="B1505" t="s">
        <v>593</v>
      </c>
      <c r="C1505" t="s">
        <v>393</v>
      </c>
      <c r="D1505" t="s">
        <v>554</v>
      </c>
      <c r="E1505" t="s">
        <v>161</v>
      </c>
      <c r="G1505" t="s">
        <v>685</v>
      </c>
      <c r="H1505" t="s">
        <v>399</v>
      </c>
      <c r="K1505">
        <v>1978</v>
      </c>
      <c r="O1505">
        <v>54.690000000000005</v>
      </c>
      <c r="P1505" t="str">
        <f t="shared" si="8"/>
        <v>Yes</v>
      </c>
      <c r="Q1505" t="s">
        <v>398</v>
      </c>
    </row>
    <row r="1506" spans="1:17">
      <c r="A1506" t="s">
        <v>1247</v>
      </c>
      <c r="B1506" t="s">
        <v>593</v>
      </c>
      <c r="C1506" t="s">
        <v>393</v>
      </c>
      <c r="D1506" t="s">
        <v>554</v>
      </c>
      <c r="E1506" t="s">
        <v>161</v>
      </c>
      <c r="G1506" t="s">
        <v>166</v>
      </c>
      <c r="H1506" t="s">
        <v>399</v>
      </c>
      <c r="K1506">
        <v>1978</v>
      </c>
      <c r="O1506">
        <v>58.59</v>
      </c>
      <c r="P1506" t="str">
        <f t="shared" si="8"/>
        <v>Yes</v>
      </c>
      <c r="Q1506" t="s">
        <v>398</v>
      </c>
    </row>
    <row r="1507" spans="1:17">
      <c r="A1507" t="s">
        <v>1247</v>
      </c>
      <c r="B1507" t="s">
        <v>593</v>
      </c>
      <c r="C1507" t="s">
        <v>393</v>
      </c>
      <c r="D1507" t="s">
        <v>554</v>
      </c>
      <c r="E1507" t="s">
        <v>161</v>
      </c>
      <c r="G1507" t="s">
        <v>680</v>
      </c>
      <c r="H1507" t="s">
        <v>399</v>
      </c>
      <c r="K1507">
        <v>1978</v>
      </c>
      <c r="O1507">
        <v>66.399999999999991</v>
      </c>
      <c r="P1507" t="str">
        <f t="shared" si="8"/>
        <v>Yes</v>
      </c>
      <c r="Q1507" t="s">
        <v>398</v>
      </c>
    </row>
    <row r="1508" spans="1:17">
      <c r="A1508" t="s">
        <v>1247</v>
      </c>
      <c r="B1508" t="s">
        <v>593</v>
      </c>
      <c r="C1508" t="s">
        <v>393</v>
      </c>
      <c r="D1508" t="s">
        <v>554</v>
      </c>
      <c r="E1508" t="s">
        <v>161</v>
      </c>
      <c r="G1508" t="s">
        <v>1256</v>
      </c>
      <c r="H1508" t="s">
        <v>457</v>
      </c>
      <c r="K1508">
        <v>1978</v>
      </c>
      <c r="O1508">
        <v>139.57</v>
      </c>
      <c r="P1508" t="str">
        <f t="shared" si="8"/>
        <v>Yes</v>
      </c>
      <c r="Q1508" t="s">
        <v>398</v>
      </c>
    </row>
    <row r="1509" spans="1:17">
      <c r="A1509" t="s">
        <v>1247</v>
      </c>
      <c r="B1509" t="s">
        <v>593</v>
      </c>
      <c r="C1509" t="s">
        <v>393</v>
      </c>
      <c r="D1509" t="s">
        <v>554</v>
      </c>
      <c r="E1509" t="s">
        <v>161</v>
      </c>
      <c r="G1509" t="s">
        <v>248</v>
      </c>
      <c r="H1509" t="s">
        <v>399</v>
      </c>
      <c r="K1509">
        <v>1978</v>
      </c>
      <c r="O1509">
        <v>175.78</v>
      </c>
      <c r="P1509" t="str">
        <f t="shared" si="8"/>
        <v>Yes</v>
      </c>
      <c r="Q1509" t="s">
        <v>398</v>
      </c>
    </row>
    <row r="1510" spans="1:17">
      <c r="A1510" t="s">
        <v>1247</v>
      </c>
      <c r="B1510" t="s">
        <v>593</v>
      </c>
      <c r="C1510" t="s">
        <v>393</v>
      </c>
      <c r="D1510" t="s">
        <v>554</v>
      </c>
      <c r="E1510" t="s">
        <v>161</v>
      </c>
      <c r="G1510" t="s">
        <v>683</v>
      </c>
      <c r="H1510" t="s">
        <v>399</v>
      </c>
      <c r="K1510">
        <v>1978</v>
      </c>
      <c r="O1510">
        <v>238.27</v>
      </c>
      <c r="P1510" t="str">
        <f t="shared" si="8"/>
        <v>Yes</v>
      </c>
      <c r="Q1510" t="s">
        <v>398</v>
      </c>
    </row>
    <row r="1511" spans="1:17">
      <c r="A1511" t="s">
        <v>1247</v>
      </c>
      <c r="B1511" t="s">
        <v>593</v>
      </c>
      <c r="C1511" t="s">
        <v>393</v>
      </c>
      <c r="D1511" t="s">
        <v>554</v>
      </c>
      <c r="E1511" t="s">
        <v>161</v>
      </c>
      <c r="G1511" t="s">
        <v>1257</v>
      </c>
      <c r="H1511" t="s">
        <v>457</v>
      </c>
      <c r="K1511">
        <v>1978</v>
      </c>
      <c r="O1511">
        <v>242.59</v>
      </c>
      <c r="P1511" t="str">
        <f t="shared" si="8"/>
        <v>Yes</v>
      </c>
      <c r="Q1511" t="s">
        <v>398</v>
      </c>
    </row>
    <row r="1512" spans="1:17">
      <c r="A1512" t="s">
        <v>1247</v>
      </c>
      <c r="B1512" t="s">
        <v>593</v>
      </c>
      <c r="C1512" t="s">
        <v>393</v>
      </c>
      <c r="D1512" t="s">
        <v>554</v>
      </c>
      <c r="E1512" t="s">
        <v>161</v>
      </c>
      <c r="G1512" t="s">
        <v>688</v>
      </c>
      <c r="H1512" t="s">
        <v>399</v>
      </c>
      <c r="K1512">
        <v>1978</v>
      </c>
      <c r="O1512">
        <v>249.98999999999998</v>
      </c>
      <c r="P1512" t="str">
        <f t="shared" si="8"/>
        <v>Yes</v>
      </c>
      <c r="Q1512" t="s">
        <v>398</v>
      </c>
    </row>
    <row r="1513" spans="1:17">
      <c r="A1513" t="s">
        <v>1247</v>
      </c>
      <c r="B1513" t="s">
        <v>593</v>
      </c>
      <c r="C1513" t="s">
        <v>393</v>
      </c>
      <c r="D1513" t="s">
        <v>554</v>
      </c>
      <c r="E1513" t="s">
        <v>161</v>
      </c>
      <c r="G1513" t="s">
        <v>681</v>
      </c>
      <c r="H1513" t="s">
        <v>399</v>
      </c>
      <c r="K1513">
        <v>1978</v>
      </c>
      <c r="O1513">
        <v>277.34000000000003</v>
      </c>
      <c r="P1513" t="str">
        <f t="shared" si="8"/>
        <v>Yes</v>
      </c>
      <c r="Q1513" t="s">
        <v>398</v>
      </c>
    </row>
    <row r="1514" spans="1:17">
      <c r="A1514" t="s">
        <v>1247</v>
      </c>
      <c r="B1514" t="s">
        <v>593</v>
      </c>
      <c r="C1514" t="s">
        <v>393</v>
      </c>
      <c r="D1514" t="s">
        <v>554</v>
      </c>
      <c r="E1514" t="s">
        <v>161</v>
      </c>
      <c r="G1514" t="s">
        <v>674</v>
      </c>
      <c r="H1514" t="s">
        <v>457</v>
      </c>
      <c r="K1514">
        <v>1978</v>
      </c>
      <c r="O1514">
        <v>322.34000000000003</v>
      </c>
      <c r="P1514" t="str">
        <f t="shared" si="8"/>
        <v>Yes</v>
      </c>
      <c r="Q1514" t="s">
        <v>398</v>
      </c>
    </row>
    <row r="1515" spans="1:17">
      <c r="A1515" t="s">
        <v>1247</v>
      </c>
      <c r="B1515" t="s">
        <v>593</v>
      </c>
      <c r="C1515" t="s">
        <v>393</v>
      </c>
      <c r="D1515" t="s">
        <v>554</v>
      </c>
      <c r="E1515" t="s">
        <v>161</v>
      </c>
      <c r="G1515" t="s">
        <v>1258</v>
      </c>
      <c r="H1515" t="s">
        <v>399</v>
      </c>
      <c r="K1515">
        <v>1978</v>
      </c>
      <c r="O1515">
        <v>433.58</v>
      </c>
      <c r="P1515" t="str">
        <f t="shared" si="8"/>
        <v>Yes</v>
      </c>
      <c r="Q1515" t="s">
        <v>398</v>
      </c>
    </row>
    <row r="1516" spans="1:17">
      <c r="A1516" t="s">
        <v>1259</v>
      </c>
      <c r="D1516" t="s">
        <v>1260</v>
      </c>
      <c r="E1516" t="s">
        <v>161</v>
      </c>
      <c r="G1516" t="s">
        <v>1261</v>
      </c>
      <c r="H1516" t="s">
        <v>539</v>
      </c>
      <c r="K1516" t="s">
        <v>163</v>
      </c>
      <c r="L1516">
        <v>2006</v>
      </c>
      <c r="M1516" t="e">
        <f t="shared" ref="M1516:M1538" si="9">L1516-K1516+1</f>
        <v>#VALUE!</v>
      </c>
      <c r="O1516" t="s">
        <v>163</v>
      </c>
      <c r="P1516" t="s">
        <v>15</v>
      </c>
      <c r="Q1516" t="s">
        <v>1196</v>
      </c>
    </row>
    <row r="1517" spans="1:17">
      <c r="A1517" t="s">
        <v>1262</v>
      </c>
      <c r="D1517" t="s">
        <v>1263</v>
      </c>
      <c r="E1517" t="s">
        <v>161</v>
      </c>
      <c r="G1517" t="s">
        <v>583</v>
      </c>
      <c r="H1517" t="s">
        <v>539</v>
      </c>
      <c r="K1517" t="s">
        <v>163</v>
      </c>
      <c r="L1517">
        <v>2004</v>
      </c>
      <c r="M1517" t="e">
        <f t="shared" si="9"/>
        <v>#VALUE!</v>
      </c>
      <c r="O1517" t="s">
        <v>163</v>
      </c>
      <c r="P1517" t="s">
        <v>15</v>
      </c>
      <c r="Q1517" t="s">
        <v>1196</v>
      </c>
    </row>
    <row r="1518" spans="1:17">
      <c r="A1518" t="s">
        <v>1262</v>
      </c>
      <c r="D1518" t="s">
        <v>1263</v>
      </c>
      <c r="E1518" t="s">
        <v>161</v>
      </c>
      <c r="G1518" t="s">
        <v>1264</v>
      </c>
      <c r="H1518" t="s">
        <v>539</v>
      </c>
      <c r="K1518" t="s">
        <v>163</v>
      </c>
      <c r="L1518">
        <v>2004</v>
      </c>
      <c r="M1518" t="e">
        <f t="shared" si="9"/>
        <v>#VALUE!</v>
      </c>
      <c r="O1518" t="s">
        <v>163</v>
      </c>
      <c r="P1518" t="s">
        <v>15</v>
      </c>
      <c r="Q1518" t="s">
        <v>1196</v>
      </c>
    </row>
    <row r="1519" spans="1:17">
      <c r="A1519" t="s">
        <v>1262</v>
      </c>
      <c r="D1519" t="s">
        <v>1263</v>
      </c>
      <c r="E1519" t="s">
        <v>161</v>
      </c>
      <c r="G1519" t="s">
        <v>1265</v>
      </c>
      <c r="H1519" t="s">
        <v>539</v>
      </c>
      <c r="K1519" t="s">
        <v>163</v>
      </c>
      <c r="L1519">
        <v>2004</v>
      </c>
      <c r="M1519" t="e">
        <f t="shared" si="9"/>
        <v>#VALUE!</v>
      </c>
      <c r="O1519" t="s">
        <v>163</v>
      </c>
      <c r="P1519" t="s">
        <v>15</v>
      </c>
      <c r="Q1519" t="s">
        <v>1196</v>
      </c>
    </row>
    <row r="1520" spans="1:17">
      <c r="A1520" t="s">
        <v>1266</v>
      </c>
      <c r="D1520" t="s">
        <v>1267</v>
      </c>
      <c r="E1520" t="s">
        <v>161</v>
      </c>
      <c r="G1520" t="s">
        <v>1268</v>
      </c>
      <c r="H1520" t="s">
        <v>539</v>
      </c>
      <c r="K1520">
        <v>1973</v>
      </c>
      <c r="L1520">
        <v>1996.5</v>
      </c>
      <c r="M1520">
        <f t="shared" si="9"/>
        <v>24.5</v>
      </c>
      <c r="O1520" t="s">
        <v>163</v>
      </c>
      <c r="P1520" t="s">
        <v>15</v>
      </c>
      <c r="Q1520" t="s">
        <v>1196</v>
      </c>
    </row>
    <row r="1521" spans="1:17">
      <c r="A1521" t="s">
        <v>1266</v>
      </c>
      <c r="D1521" t="s">
        <v>1267</v>
      </c>
      <c r="E1521" t="s">
        <v>161</v>
      </c>
      <c r="G1521" t="s">
        <v>1269</v>
      </c>
      <c r="H1521" t="s">
        <v>539</v>
      </c>
      <c r="K1521">
        <v>1973</v>
      </c>
      <c r="L1521">
        <v>1996.5</v>
      </c>
      <c r="M1521">
        <f t="shared" si="9"/>
        <v>24.5</v>
      </c>
      <c r="O1521" t="s">
        <v>163</v>
      </c>
      <c r="P1521" t="s">
        <v>15</v>
      </c>
      <c r="Q1521" t="s">
        <v>1196</v>
      </c>
    </row>
    <row r="1522" spans="1:17">
      <c r="A1522" t="s">
        <v>1266</v>
      </c>
      <c r="D1522" t="s">
        <v>1267</v>
      </c>
      <c r="E1522" t="s">
        <v>161</v>
      </c>
      <c r="G1522" t="s">
        <v>1270</v>
      </c>
      <c r="H1522" t="s">
        <v>539</v>
      </c>
      <c r="K1522">
        <v>1973</v>
      </c>
      <c r="L1522">
        <v>1996.5</v>
      </c>
      <c r="M1522">
        <f t="shared" si="9"/>
        <v>24.5</v>
      </c>
      <c r="O1522" t="s">
        <v>163</v>
      </c>
      <c r="P1522" t="s">
        <v>15</v>
      </c>
      <c r="Q1522" t="s">
        <v>1196</v>
      </c>
    </row>
    <row r="1523" spans="1:17">
      <c r="A1523" t="s">
        <v>1266</v>
      </c>
      <c r="D1523" t="s">
        <v>1267</v>
      </c>
      <c r="E1523" t="s">
        <v>161</v>
      </c>
      <c r="G1523" t="s">
        <v>1271</v>
      </c>
      <c r="H1523" t="s">
        <v>539</v>
      </c>
      <c r="K1523">
        <v>1973</v>
      </c>
      <c r="L1523">
        <v>1996.5</v>
      </c>
      <c r="M1523">
        <f t="shared" si="9"/>
        <v>24.5</v>
      </c>
      <c r="O1523" t="s">
        <v>163</v>
      </c>
      <c r="P1523" t="s">
        <v>15</v>
      </c>
      <c r="Q1523" t="s">
        <v>1196</v>
      </c>
    </row>
    <row r="1524" spans="1:17">
      <c r="A1524" t="s">
        <v>1266</v>
      </c>
      <c r="D1524" t="s">
        <v>1267</v>
      </c>
      <c r="E1524" t="s">
        <v>161</v>
      </c>
      <c r="G1524" t="s">
        <v>1272</v>
      </c>
      <c r="H1524" t="s">
        <v>539</v>
      </c>
      <c r="K1524">
        <v>1973</v>
      </c>
      <c r="L1524">
        <v>1996.5</v>
      </c>
      <c r="M1524">
        <f t="shared" si="9"/>
        <v>24.5</v>
      </c>
      <c r="O1524" t="s">
        <v>163</v>
      </c>
      <c r="P1524" t="s">
        <v>15</v>
      </c>
      <c r="Q1524" t="s">
        <v>1196</v>
      </c>
    </row>
    <row r="1525" spans="1:17">
      <c r="A1525" t="s">
        <v>1266</v>
      </c>
      <c r="D1525" t="s">
        <v>1267</v>
      </c>
      <c r="E1525" t="s">
        <v>161</v>
      </c>
      <c r="G1525" t="s">
        <v>1273</v>
      </c>
      <c r="H1525" t="s">
        <v>539</v>
      </c>
      <c r="K1525">
        <v>1973</v>
      </c>
      <c r="L1525">
        <v>1996.5</v>
      </c>
      <c r="M1525">
        <f t="shared" si="9"/>
        <v>24.5</v>
      </c>
      <c r="O1525" t="s">
        <v>163</v>
      </c>
      <c r="P1525" t="s">
        <v>15</v>
      </c>
      <c r="Q1525" t="s">
        <v>1196</v>
      </c>
    </row>
    <row r="1526" spans="1:17">
      <c r="A1526" t="s">
        <v>1266</v>
      </c>
      <c r="D1526" t="s">
        <v>1267</v>
      </c>
      <c r="E1526" t="s">
        <v>161</v>
      </c>
      <c r="G1526" t="s">
        <v>1274</v>
      </c>
      <c r="H1526" t="s">
        <v>539</v>
      </c>
      <c r="K1526">
        <v>1973</v>
      </c>
      <c r="L1526">
        <v>1996.5</v>
      </c>
      <c r="M1526">
        <f t="shared" si="9"/>
        <v>24.5</v>
      </c>
      <c r="O1526" t="s">
        <v>163</v>
      </c>
      <c r="P1526" t="s">
        <v>15</v>
      </c>
      <c r="Q1526" t="s">
        <v>1196</v>
      </c>
    </row>
    <row r="1527" spans="1:17">
      <c r="A1527" t="s">
        <v>1266</v>
      </c>
      <c r="D1527" t="s">
        <v>1267</v>
      </c>
      <c r="E1527" t="s">
        <v>161</v>
      </c>
      <c r="G1527" t="s">
        <v>1275</v>
      </c>
      <c r="H1527" t="s">
        <v>539</v>
      </c>
      <c r="K1527">
        <v>1973</v>
      </c>
      <c r="L1527">
        <v>1996.5</v>
      </c>
      <c r="M1527">
        <f t="shared" si="9"/>
        <v>24.5</v>
      </c>
      <c r="O1527" t="s">
        <v>163</v>
      </c>
      <c r="P1527" t="s">
        <v>15</v>
      </c>
      <c r="Q1527" t="s">
        <v>1196</v>
      </c>
    </row>
    <row r="1528" spans="1:17">
      <c r="A1528" t="s">
        <v>1266</v>
      </c>
      <c r="D1528" t="s">
        <v>1267</v>
      </c>
      <c r="E1528" t="s">
        <v>161</v>
      </c>
      <c r="G1528" t="s">
        <v>1276</v>
      </c>
      <c r="H1528" t="s">
        <v>539</v>
      </c>
      <c r="K1528">
        <v>1973</v>
      </c>
      <c r="L1528">
        <v>1996.5</v>
      </c>
      <c r="M1528">
        <f t="shared" si="9"/>
        <v>24.5</v>
      </c>
      <c r="O1528" t="s">
        <v>163</v>
      </c>
      <c r="P1528" t="s">
        <v>15</v>
      </c>
      <c r="Q1528" t="s">
        <v>1196</v>
      </c>
    </row>
    <row r="1529" spans="1:17">
      <c r="A1529" t="s">
        <v>1266</v>
      </c>
      <c r="D1529" t="s">
        <v>1267</v>
      </c>
      <c r="E1529" t="s">
        <v>161</v>
      </c>
      <c r="G1529" t="s">
        <v>1178</v>
      </c>
      <c r="H1529" t="s">
        <v>539</v>
      </c>
      <c r="K1529">
        <v>1973</v>
      </c>
      <c r="L1529">
        <v>1996.5</v>
      </c>
      <c r="M1529">
        <f t="shared" si="9"/>
        <v>24.5</v>
      </c>
      <c r="O1529" t="s">
        <v>163</v>
      </c>
      <c r="P1529" t="s">
        <v>15</v>
      </c>
      <c r="Q1529" t="s">
        <v>1196</v>
      </c>
    </row>
    <row r="1530" spans="1:17">
      <c r="A1530" t="s">
        <v>1266</v>
      </c>
      <c r="D1530" t="s">
        <v>1267</v>
      </c>
      <c r="E1530" t="s">
        <v>161</v>
      </c>
      <c r="G1530" t="s">
        <v>1277</v>
      </c>
      <c r="H1530" t="s">
        <v>539</v>
      </c>
      <c r="K1530">
        <v>1973</v>
      </c>
      <c r="L1530">
        <v>1996.5</v>
      </c>
      <c r="M1530">
        <f t="shared" si="9"/>
        <v>24.5</v>
      </c>
      <c r="O1530" t="s">
        <v>163</v>
      </c>
      <c r="P1530" t="s">
        <v>15</v>
      </c>
      <c r="Q1530" t="s">
        <v>1196</v>
      </c>
    </row>
    <row r="1531" spans="1:17">
      <c r="A1531" t="s">
        <v>1266</v>
      </c>
      <c r="D1531" t="s">
        <v>1267</v>
      </c>
      <c r="E1531" t="s">
        <v>161</v>
      </c>
      <c r="G1531" t="s">
        <v>1278</v>
      </c>
      <c r="H1531" t="s">
        <v>539</v>
      </c>
      <c r="K1531">
        <v>1973</v>
      </c>
      <c r="L1531">
        <v>1996.5</v>
      </c>
      <c r="M1531">
        <f t="shared" si="9"/>
        <v>24.5</v>
      </c>
      <c r="O1531" t="s">
        <v>163</v>
      </c>
      <c r="P1531" t="s">
        <v>15</v>
      </c>
      <c r="Q1531" t="s">
        <v>1196</v>
      </c>
    </row>
    <row r="1532" spans="1:17">
      <c r="A1532" t="s">
        <v>1266</v>
      </c>
      <c r="D1532" t="s">
        <v>1267</v>
      </c>
      <c r="E1532" t="s">
        <v>161</v>
      </c>
      <c r="G1532" t="s">
        <v>1279</v>
      </c>
      <c r="H1532" t="s">
        <v>539</v>
      </c>
      <c r="K1532">
        <v>1973</v>
      </c>
      <c r="L1532">
        <v>1996.5</v>
      </c>
      <c r="M1532">
        <f t="shared" si="9"/>
        <v>24.5</v>
      </c>
      <c r="O1532" t="s">
        <v>163</v>
      </c>
      <c r="P1532" t="s">
        <v>15</v>
      </c>
      <c r="Q1532" t="s">
        <v>1196</v>
      </c>
    </row>
    <row r="1533" spans="1:17">
      <c r="A1533" t="s">
        <v>1266</v>
      </c>
      <c r="D1533" t="s">
        <v>1267</v>
      </c>
      <c r="E1533" t="s">
        <v>161</v>
      </c>
      <c r="G1533" t="s">
        <v>1280</v>
      </c>
      <c r="H1533" t="s">
        <v>539</v>
      </c>
      <c r="K1533">
        <v>1973</v>
      </c>
      <c r="L1533">
        <v>1996.5</v>
      </c>
      <c r="M1533">
        <f t="shared" si="9"/>
        <v>24.5</v>
      </c>
      <c r="O1533" t="s">
        <v>163</v>
      </c>
      <c r="P1533" t="s">
        <v>15</v>
      </c>
      <c r="Q1533" t="s">
        <v>1196</v>
      </c>
    </row>
    <row r="1534" spans="1:17">
      <c r="A1534" t="s">
        <v>1266</v>
      </c>
      <c r="D1534" t="s">
        <v>1267</v>
      </c>
      <c r="E1534" t="s">
        <v>161</v>
      </c>
      <c r="G1534" t="s">
        <v>1281</v>
      </c>
      <c r="H1534" t="s">
        <v>539</v>
      </c>
      <c r="K1534">
        <v>1973</v>
      </c>
      <c r="L1534">
        <v>1996.5</v>
      </c>
      <c r="M1534">
        <f t="shared" si="9"/>
        <v>24.5</v>
      </c>
      <c r="O1534" t="s">
        <v>163</v>
      </c>
      <c r="P1534" t="s">
        <v>15</v>
      </c>
      <c r="Q1534" t="s">
        <v>1196</v>
      </c>
    </row>
    <row r="1535" spans="1:17">
      <c r="A1535" t="s">
        <v>1266</v>
      </c>
      <c r="D1535" t="s">
        <v>1267</v>
      </c>
      <c r="E1535" t="s">
        <v>161</v>
      </c>
      <c r="G1535" t="s">
        <v>1282</v>
      </c>
      <c r="H1535" t="s">
        <v>539</v>
      </c>
      <c r="K1535">
        <v>1973</v>
      </c>
      <c r="L1535">
        <v>1996.5</v>
      </c>
      <c r="M1535">
        <f t="shared" si="9"/>
        <v>24.5</v>
      </c>
      <c r="O1535" t="s">
        <v>163</v>
      </c>
      <c r="P1535" t="s">
        <v>15</v>
      </c>
      <c r="Q1535" t="s">
        <v>1196</v>
      </c>
    </row>
    <row r="1536" spans="1:17">
      <c r="A1536" t="s">
        <v>1266</v>
      </c>
      <c r="D1536" t="s">
        <v>1267</v>
      </c>
      <c r="E1536" t="s">
        <v>161</v>
      </c>
      <c r="G1536" t="s">
        <v>1283</v>
      </c>
      <c r="H1536" t="s">
        <v>539</v>
      </c>
      <c r="K1536">
        <v>1973</v>
      </c>
      <c r="L1536">
        <v>1996.5</v>
      </c>
      <c r="M1536">
        <f t="shared" si="9"/>
        <v>24.5</v>
      </c>
      <c r="O1536" t="s">
        <v>163</v>
      </c>
      <c r="P1536" t="s">
        <v>15</v>
      </c>
      <c r="Q1536" t="s">
        <v>1196</v>
      </c>
    </row>
    <row r="1537" spans="1:17">
      <c r="A1537" t="s">
        <v>1266</v>
      </c>
      <c r="D1537" t="s">
        <v>1267</v>
      </c>
      <c r="E1537" t="s">
        <v>161</v>
      </c>
      <c r="G1537" t="s">
        <v>1284</v>
      </c>
      <c r="H1537" t="s">
        <v>539</v>
      </c>
      <c r="K1537">
        <v>1973</v>
      </c>
      <c r="L1537">
        <v>1996.5</v>
      </c>
      <c r="M1537">
        <f t="shared" si="9"/>
        <v>24.5</v>
      </c>
      <c r="O1537" t="s">
        <v>163</v>
      </c>
      <c r="P1537" t="s">
        <v>15</v>
      </c>
      <c r="Q1537" t="s">
        <v>1196</v>
      </c>
    </row>
    <row r="1538" spans="1:17">
      <c r="A1538" t="s">
        <v>1266</v>
      </c>
      <c r="D1538" t="s">
        <v>1267</v>
      </c>
      <c r="E1538" t="s">
        <v>161</v>
      </c>
      <c r="G1538" t="s">
        <v>1285</v>
      </c>
      <c r="H1538" t="s">
        <v>539</v>
      </c>
      <c r="K1538">
        <v>1973</v>
      </c>
      <c r="L1538">
        <v>1996.5</v>
      </c>
      <c r="M1538">
        <f t="shared" si="9"/>
        <v>24.5</v>
      </c>
      <c r="O1538" t="s">
        <v>163</v>
      </c>
      <c r="P1538" t="s">
        <v>15</v>
      </c>
      <c r="Q1538" t="s">
        <v>1196</v>
      </c>
    </row>
    <row r="1539" spans="1:17">
      <c r="A1539" t="s">
        <v>913</v>
      </c>
      <c r="B1539" t="s">
        <v>593</v>
      </c>
      <c r="C1539" t="s">
        <v>393</v>
      </c>
      <c r="D1539" t="s">
        <v>505</v>
      </c>
      <c r="E1539" t="s">
        <v>161</v>
      </c>
      <c r="G1539" t="s">
        <v>1286</v>
      </c>
      <c r="H1539" t="s">
        <v>399</v>
      </c>
      <c r="K1539">
        <v>1990</v>
      </c>
      <c r="O1539">
        <v>-209.97</v>
      </c>
      <c r="P1539" t="str">
        <f t="shared" ref="P1539:P1602" si="10">IF(O1539&gt;0,"Yes","No")</f>
        <v>No</v>
      </c>
      <c r="Q1539" t="s">
        <v>398</v>
      </c>
    </row>
    <row r="1540" spans="1:17">
      <c r="A1540" t="s">
        <v>913</v>
      </c>
      <c r="B1540" t="s">
        <v>593</v>
      </c>
      <c r="C1540" t="s">
        <v>393</v>
      </c>
      <c r="D1540" t="s">
        <v>505</v>
      </c>
      <c r="E1540" t="s">
        <v>161</v>
      </c>
      <c r="G1540" t="s">
        <v>1287</v>
      </c>
      <c r="H1540" t="s">
        <v>399</v>
      </c>
      <c r="K1540">
        <v>1990</v>
      </c>
      <c r="O1540">
        <v>-172.03</v>
      </c>
      <c r="P1540" t="str">
        <f t="shared" si="10"/>
        <v>No</v>
      </c>
      <c r="Q1540" t="s">
        <v>398</v>
      </c>
    </row>
    <row r="1541" spans="1:17">
      <c r="A1541" t="s">
        <v>913</v>
      </c>
      <c r="B1541" t="s">
        <v>593</v>
      </c>
      <c r="C1541" t="s">
        <v>393</v>
      </c>
      <c r="D1541" t="s">
        <v>505</v>
      </c>
      <c r="E1541" t="s">
        <v>161</v>
      </c>
      <c r="G1541" t="s">
        <v>1288</v>
      </c>
      <c r="H1541" t="s">
        <v>399</v>
      </c>
      <c r="K1541">
        <v>1990</v>
      </c>
      <c r="O1541">
        <v>-151.59</v>
      </c>
      <c r="P1541" t="str">
        <f t="shared" si="10"/>
        <v>No</v>
      </c>
      <c r="Q1541" t="s">
        <v>398</v>
      </c>
    </row>
    <row r="1542" spans="1:17">
      <c r="A1542" t="s">
        <v>913</v>
      </c>
      <c r="B1542" t="s">
        <v>593</v>
      </c>
      <c r="C1542" t="s">
        <v>393</v>
      </c>
      <c r="D1542" t="s">
        <v>505</v>
      </c>
      <c r="E1542" t="s">
        <v>161</v>
      </c>
      <c r="G1542" t="s">
        <v>1289</v>
      </c>
      <c r="H1542" t="s">
        <v>399</v>
      </c>
      <c r="K1542">
        <v>1985</v>
      </c>
      <c r="O1542">
        <v>-99.960000000000008</v>
      </c>
      <c r="P1542" t="str">
        <f t="shared" si="10"/>
        <v>No</v>
      </c>
      <c r="Q1542" t="s">
        <v>398</v>
      </c>
    </row>
    <row r="1543" spans="1:17">
      <c r="A1543" t="s">
        <v>913</v>
      </c>
      <c r="B1543" t="s">
        <v>593</v>
      </c>
      <c r="C1543" t="s">
        <v>393</v>
      </c>
      <c r="D1543" t="s">
        <v>505</v>
      </c>
      <c r="E1543" t="s">
        <v>161</v>
      </c>
      <c r="G1543" t="s">
        <v>1290</v>
      </c>
      <c r="H1543" t="s">
        <v>399</v>
      </c>
      <c r="K1543">
        <v>1985</v>
      </c>
      <c r="O1543">
        <v>-99.960000000000008</v>
      </c>
      <c r="P1543" t="str">
        <f t="shared" si="10"/>
        <v>No</v>
      </c>
      <c r="Q1543" t="s">
        <v>398</v>
      </c>
    </row>
    <row r="1544" spans="1:17">
      <c r="A1544" t="s">
        <v>913</v>
      </c>
      <c r="B1544" t="s">
        <v>593</v>
      </c>
      <c r="C1544" t="s">
        <v>393</v>
      </c>
      <c r="D1544" t="s">
        <v>505</v>
      </c>
      <c r="E1544" t="s">
        <v>161</v>
      </c>
      <c r="G1544" t="s">
        <v>1291</v>
      </c>
      <c r="H1544" t="s">
        <v>399</v>
      </c>
      <c r="K1544">
        <v>1985</v>
      </c>
      <c r="O1544">
        <v>-71.84</v>
      </c>
      <c r="P1544" t="str">
        <f t="shared" si="10"/>
        <v>No</v>
      </c>
      <c r="Q1544" t="s">
        <v>398</v>
      </c>
    </row>
    <row r="1545" spans="1:17">
      <c r="A1545" t="s">
        <v>913</v>
      </c>
      <c r="B1545" t="s">
        <v>593</v>
      </c>
      <c r="C1545" t="s">
        <v>393</v>
      </c>
      <c r="D1545" t="s">
        <v>505</v>
      </c>
      <c r="E1545" t="s">
        <v>161</v>
      </c>
      <c r="G1545" t="s">
        <v>1106</v>
      </c>
      <c r="H1545" t="s">
        <v>399</v>
      </c>
      <c r="K1545">
        <v>1985</v>
      </c>
      <c r="O1545">
        <v>-68.490000000000009</v>
      </c>
      <c r="P1545" t="str">
        <f t="shared" si="10"/>
        <v>No</v>
      </c>
      <c r="Q1545" t="s">
        <v>398</v>
      </c>
    </row>
    <row r="1546" spans="1:17">
      <c r="A1546" t="s">
        <v>913</v>
      </c>
      <c r="B1546" t="s">
        <v>593</v>
      </c>
      <c r="C1546" t="s">
        <v>393</v>
      </c>
      <c r="D1546" t="s">
        <v>505</v>
      </c>
      <c r="E1546" t="s">
        <v>161</v>
      </c>
      <c r="G1546" t="s">
        <v>1292</v>
      </c>
      <c r="H1546" t="s">
        <v>399</v>
      </c>
      <c r="K1546">
        <v>1990</v>
      </c>
      <c r="O1546">
        <v>-62.61</v>
      </c>
      <c r="P1546" t="str">
        <f t="shared" si="10"/>
        <v>No</v>
      </c>
      <c r="Q1546" t="s">
        <v>398</v>
      </c>
    </row>
    <row r="1547" spans="1:17">
      <c r="A1547" t="s">
        <v>913</v>
      </c>
      <c r="B1547" t="s">
        <v>593</v>
      </c>
      <c r="C1547" t="s">
        <v>393</v>
      </c>
      <c r="D1547" t="s">
        <v>505</v>
      </c>
      <c r="E1547" t="s">
        <v>161</v>
      </c>
      <c r="G1547" t="s">
        <v>1293</v>
      </c>
      <c r="H1547" t="s">
        <v>399</v>
      </c>
      <c r="K1547">
        <v>1990</v>
      </c>
      <c r="O1547">
        <v>-57.11</v>
      </c>
      <c r="P1547" t="str">
        <f t="shared" si="10"/>
        <v>No</v>
      </c>
      <c r="Q1547" t="s">
        <v>398</v>
      </c>
    </row>
    <row r="1548" spans="1:17">
      <c r="A1548" t="s">
        <v>913</v>
      </c>
      <c r="B1548" t="s">
        <v>593</v>
      </c>
      <c r="C1548" t="s">
        <v>393</v>
      </c>
      <c r="D1548" t="s">
        <v>505</v>
      </c>
      <c r="E1548" t="s">
        <v>161</v>
      </c>
      <c r="G1548" t="s">
        <v>222</v>
      </c>
      <c r="H1548" t="s">
        <v>399</v>
      </c>
      <c r="K1548">
        <v>1990</v>
      </c>
      <c r="O1548">
        <v>-54.089999999999996</v>
      </c>
      <c r="P1548" t="str">
        <f t="shared" si="10"/>
        <v>No</v>
      </c>
      <c r="Q1548" t="s">
        <v>398</v>
      </c>
    </row>
    <row r="1549" spans="1:17">
      <c r="A1549" t="s">
        <v>913</v>
      </c>
      <c r="B1549" t="s">
        <v>593</v>
      </c>
      <c r="C1549" t="s">
        <v>393</v>
      </c>
      <c r="D1549" t="s">
        <v>505</v>
      </c>
      <c r="E1549" t="s">
        <v>161</v>
      </c>
      <c r="G1549" t="s">
        <v>1294</v>
      </c>
      <c r="H1549" t="s">
        <v>399</v>
      </c>
      <c r="K1549">
        <v>1985</v>
      </c>
      <c r="O1549">
        <v>-42.85</v>
      </c>
      <c r="P1549" t="str">
        <f t="shared" si="10"/>
        <v>No</v>
      </c>
      <c r="Q1549" t="s">
        <v>398</v>
      </c>
    </row>
    <row r="1550" spans="1:17">
      <c r="A1550" t="s">
        <v>913</v>
      </c>
      <c r="B1550" t="s">
        <v>593</v>
      </c>
      <c r="C1550" t="s">
        <v>393</v>
      </c>
      <c r="D1550" t="s">
        <v>505</v>
      </c>
      <c r="E1550" t="s">
        <v>161</v>
      </c>
      <c r="G1550" t="s">
        <v>1295</v>
      </c>
      <c r="H1550" t="s">
        <v>399</v>
      </c>
      <c r="K1550">
        <v>1990</v>
      </c>
      <c r="O1550">
        <v>-40.880000000000003</v>
      </c>
      <c r="P1550" t="str">
        <f t="shared" si="10"/>
        <v>No</v>
      </c>
      <c r="Q1550" t="s">
        <v>398</v>
      </c>
    </row>
    <row r="1551" spans="1:17">
      <c r="A1551" t="s">
        <v>913</v>
      </c>
      <c r="B1551" t="s">
        <v>593</v>
      </c>
      <c r="C1551" t="s">
        <v>393</v>
      </c>
      <c r="D1551" t="s">
        <v>505</v>
      </c>
      <c r="E1551" t="s">
        <v>161</v>
      </c>
      <c r="G1551" t="s">
        <v>1296</v>
      </c>
      <c r="H1551" t="s">
        <v>399</v>
      </c>
      <c r="K1551">
        <v>1985</v>
      </c>
      <c r="O1551">
        <v>-31.46</v>
      </c>
      <c r="P1551" t="str">
        <f t="shared" si="10"/>
        <v>No</v>
      </c>
      <c r="Q1551" t="s">
        <v>398</v>
      </c>
    </row>
    <row r="1552" spans="1:17">
      <c r="A1552" t="s">
        <v>913</v>
      </c>
      <c r="B1552" t="s">
        <v>593</v>
      </c>
      <c r="C1552" t="s">
        <v>393</v>
      </c>
      <c r="D1552" t="s">
        <v>505</v>
      </c>
      <c r="E1552" t="s">
        <v>161</v>
      </c>
      <c r="G1552" t="s">
        <v>1297</v>
      </c>
      <c r="H1552" t="s">
        <v>399</v>
      </c>
      <c r="K1552">
        <v>1985</v>
      </c>
      <c r="O1552">
        <v>-28.17</v>
      </c>
      <c r="P1552" t="str">
        <f t="shared" si="10"/>
        <v>No</v>
      </c>
      <c r="Q1552" t="s">
        <v>398</v>
      </c>
    </row>
    <row r="1553" spans="1:17">
      <c r="A1553" t="s">
        <v>913</v>
      </c>
      <c r="B1553" t="s">
        <v>593</v>
      </c>
      <c r="C1553" t="s">
        <v>393</v>
      </c>
      <c r="D1553" t="s">
        <v>505</v>
      </c>
      <c r="E1553" t="s">
        <v>161</v>
      </c>
      <c r="G1553" t="s">
        <v>1298</v>
      </c>
      <c r="H1553" t="s">
        <v>399</v>
      </c>
      <c r="K1553">
        <v>1985</v>
      </c>
      <c r="O1553">
        <v>-23.26</v>
      </c>
      <c r="P1553" t="str">
        <f t="shared" si="10"/>
        <v>No</v>
      </c>
      <c r="Q1553" t="s">
        <v>398</v>
      </c>
    </row>
    <row r="1554" spans="1:17">
      <c r="A1554" t="s">
        <v>913</v>
      </c>
      <c r="B1554" t="s">
        <v>593</v>
      </c>
      <c r="C1554" t="s">
        <v>393</v>
      </c>
      <c r="D1554" t="s">
        <v>505</v>
      </c>
      <c r="E1554" t="s">
        <v>161</v>
      </c>
      <c r="G1554" t="s">
        <v>235</v>
      </c>
      <c r="H1554" t="s">
        <v>399</v>
      </c>
      <c r="K1554">
        <v>1985</v>
      </c>
      <c r="O1554">
        <v>0</v>
      </c>
      <c r="P1554" t="str">
        <f t="shared" si="10"/>
        <v>No</v>
      </c>
      <c r="Q1554" t="s">
        <v>398</v>
      </c>
    </row>
    <row r="1555" spans="1:17">
      <c r="A1555" t="s">
        <v>913</v>
      </c>
      <c r="B1555" t="s">
        <v>593</v>
      </c>
      <c r="C1555" t="s">
        <v>393</v>
      </c>
      <c r="D1555" t="s">
        <v>505</v>
      </c>
      <c r="E1555" t="s">
        <v>161</v>
      </c>
      <c r="G1555" t="s">
        <v>1299</v>
      </c>
      <c r="H1555" t="s">
        <v>399</v>
      </c>
      <c r="K1555">
        <v>1985</v>
      </c>
      <c r="O1555">
        <v>0</v>
      </c>
      <c r="P1555" t="str">
        <f t="shared" si="10"/>
        <v>No</v>
      </c>
      <c r="Q1555" t="s">
        <v>398</v>
      </c>
    </row>
    <row r="1556" spans="1:17">
      <c r="A1556" t="s">
        <v>913</v>
      </c>
      <c r="B1556" t="s">
        <v>593</v>
      </c>
      <c r="C1556" t="s">
        <v>393</v>
      </c>
      <c r="D1556" t="s">
        <v>505</v>
      </c>
      <c r="E1556" t="s">
        <v>161</v>
      </c>
      <c r="G1556" t="s">
        <v>222</v>
      </c>
      <c r="H1556" t="s">
        <v>399</v>
      </c>
      <c r="K1556">
        <v>1985</v>
      </c>
      <c r="O1556">
        <v>0</v>
      </c>
      <c r="P1556" t="str">
        <f t="shared" si="10"/>
        <v>No</v>
      </c>
      <c r="Q1556" t="s">
        <v>398</v>
      </c>
    </row>
    <row r="1557" spans="1:17">
      <c r="A1557" t="s">
        <v>913</v>
      </c>
      <c r="B1557" t="s">
        <v>593</v>
      </c>
      <c r="C1557" t="s">
        <v>393</v>
      </c>
      <c r="D1557" t="s">
        <v>505</v>
      </c>
      <c r="E1557" t="s">
        <v>161</v>
      </c>
      <c r="G1557" t="s">
        <v>1300</v>
      </c>
      <c r="H1557" t="s">
        <v>399</v>
      </c>
      <c r="K1557">
        <v>1985</v>
      </c>
      <c r="O1557">
        <v>0</v>
      </c>
      <c r="P1557" t="str">
        <f t="shared" si="10"/>
        <v>No</v>
      </c>
      <c r="Q1557" t="s">
        <v>398</v>
      </c>
    </row>
    <row r="1558" spans="1:17">
      <c r="A1558" t="s">
        <v>913</v>
      </c>
      <c r="B1558" t="s">
        <v>593</v>
      </c>
      <c r="C1558" t="s">
        <v>393</v>
      </c>
      <c r="D1558" t="s">
        <v>505</v>
      </c>
      <c r="E1558" t="s">
        <v>161</v>
      </c>
      <c r="G1558" t="s">
        <v>1301</v>
      </c>
      <c r="H1558" t="s">
        <v>399</v>
      </c>
      <c r="K1558">
        <v>1985</v>
      </c>
      <c r="O1558">
        <v>0</v>
      </c>
      <c r="P1558" t="str">
        <f t="shared" si="10"/>
        <v>No</v>
      </c>
      <c r="Q1558" t="s">
        <v>398</v>
      </c>
    </row>
    <row r="1559" spans="1:17">
      <c r="A1559" t="s">
        <v>913</v>
      </c>
      <c r="B1559" t="s">
        <v>593</v>
      </c>
      <c r="C1559" t="s">
        <v>393</v>
      </c>
      <c r="D1559" t="s">
        <v>505</v>
      </c>
      <c r="E1559" t="s">
        <v>161</v>
      </c>
      <c r="G1559" t="s">
        <v>1302</v>
      </c>
      <c r="H1559" t="s">
        <v>399</v>
      </c>
      <c r="K1559">
        <v>1985</v>
      </c>
      <c r="O1559">
        <v>0</v>
      </c>
      <c r="P1559" t="str">
        <f t="shared" si="10"/>
        <v>No</v>
      </c>
      <c r="Q1559" t="s">
        <v>398</v>
      </c>
    </row>
    <row r="1560" spans="1:17">
      <c r="A1560" t="s">
        <v>913</v>
      </c>
      <c r="B1560" t="s">
        <v>593</v>
      </c>
      <c r="C1560" t="s">
        <v>393</v>
      </c>
      <c r="D1560" t="s">
        <v>505</v>
      </c>
      <c r="E1560" t="s">
        <v>161</v>
      </c>
      <c r="G1560" t="s">
        <v>1303</v>
      </c>
      <c r="H1560" t="s">
        <v>399</v>
      </c>
      <c r="K1560">
        <v>1985</v>
      </c>
      <c r="O1560">
        <v>0</v>
      </c>
      <c r="P1560" t="str">
        <f t="shared" si="10"/>
        <v>No</v>
      </c>
      <c r="Q1560" t="s">
        <v>398</v>
      </c>
    </row>
    <row r="1561" spans="1:17">
      <c r="A1561" t="s">
        <v>913</v>
      </c>
      <c r="B1561" t="s">
        <v>593</v>
      </c>
      <c r="C1561" t="s">
        <v>393</v>
      </c>
      <c r="D1561" t="s">
        <v>505</v>
      </c>
      <c r="E1561" t="s">
        <v>161</v>
      </c>
      <c r="G1561" t="s">
        <v>1304</v>
      </c>
      <c r="H1561" t="s">
        <v>399</v>
      </c>
      <c r="K1561">
        <v>1985</v>
      </c>
      <c r="O1561">
        <v>0</v>
      </c>
      <c r="P1561" t="str">
        <f t="shared" si="10"/>
        <v>No</v>
      </c>
      <c r="Q1561" t="s">
        <v>398</v>
      </c>
    </row>
    <row r="1562" spans="1:17">
      <c r="A1562" t="s">
        <v>913</v>
      </c>
      <c r="B1562" t="s">
        <v>593</v>
      </c>
      <c r="C1562" t="s">
        <v>393</v>
      </c>
      <c r="D1562" t="s">
        <v>505</v>
      </c>
      <c r="E1562" t="s">
        <v>161</v>
      </c>
      <c r="G1562" t="s">
        <v>1305</v>
      </c>
      <c r="H1562" t="s">
        <v>399</v>
      </c>
      <c r="K1562">
        <v>1985</v>
      </c>
      <c r="O1562">
        <v>0</v>
      </c>
      <c r="P1562" t="str">
        <f t="shared" si="10"/>
        <v>No</v>
      </c>
      <c r="Q1562" t="s">
        <v>398</v>
      </c>
    </row>
    <row r="1563" spans="1:17">
      <c r="A1563" t="s">
        <v>913</v>
      </c>
      <c r="B1563" t="s">
        <v>593</v>
      </c>
      <c r="C1563" t="s">
        <v>393</v>
      </c>
      <c r="D1563" t="s">
        <v>505</v>
      </c>
      <c r="E1563" t="s">
        <v>161</v>
      </c>
      <c r="G1563" t="s">
        <v>1306</v>
      </c>
      <c r="H1563" t="s">
        <v>399</v>
      </c>
      <c r="K1563">
        <v>1985</v>
      </c>
      <c r="O1563">
        <v>0</v>
      </c>
      <c r="P1563" t="str">
        <f t="shared" si="10"/>
        <v>No</v>
      </c>
      <c r="Q1563" t="s">
        <v>398</v>
      </c>
    </row>
    <row r="1564" spans="1:17">
      <c r="A1564" t="s">
        <v>913</v>
      </c>
      <c r="B1564" t="s">
        <v>593</v>
      </c>
      <c r="C1564" t="s">
        <v>393</v>
      </c>
      <c r="D1564" t="s">
        <v>505</v>
      </c>
      <c r="E1564" t="s">
        <v>161</v>
      </c>
      <c r="G1564" t="s">
        <v>61</v>
      </c>
      <c r="H1564" t="s">
        <v>399</v>
      </c>
      <c r="K1564">
        <v>1985</v>
      </c>
      <c r="O1564">
        <v>0</v>
      </c>
      <c r="P1564" t="str">
        <f t="shared" si="10"/>
        <v>No</v>
      </c>
      <c r="Q1564" t="s">
        <v>398</v>
      </c>
    </row>
    <row r="1565" spans="1:17">
      <c r="A1565" t="s">
        <v>913</v>
      </c>
      <c r="B1565" t="s">
        <v>593</v>
      </c>
      <c r="C1565" t="s">
        <v>393</v>
      </c>
      <c r="D1565" t="s">
        <v>505</v>
      </c>
      <c r="E1565" t="s">
        <v>161</v>
      </c>
      <c r="G1565" t="s">
        <v>1307</v>
      </c>
      <c r="H1565" t="s">
        <v>399</v>
      </c>
      <c r="K1565">
        <v>1985</v>
      </c>
      <c r="O1565">
        <v>0</v>
      </c>
      <c r="P1565" t="str">
        <f t="shared" si="10"/>
        <v>No</v>
      </c>
      <c r="Q1565" t="s">
        <v>398</v>
      </c>
    </row>
    <row r="1566" spans="1:17">
      <c r="A1566" t="s">
        <v>913</v>
      </c>
      <c r="B1566" t="s">
        <v>593</v>
      </c>
      <c r="C1566" t="s">
        <v>393</v>
      </c>
      <c r="D1566" t="s">
        <v>505</v>
      </c>
      <c r="E1566" t="s">
        <v>161</v>
      </c>
      <c r="G1566" t="s">
        <v>1308</v>
      </c>
      <c r="H1566" t="s">
        <v>399</v>
      </c>
      <c r="K1566">
        <v>1990</v>
      </c>
      <c r="O1566">
        <v>0</v>
      </c>
      <c r="P1566" t="str">
        <f t="shared" si="10"/>
        <v>No</v>
      </c>
      <c r="Q1566" t="s">
        <v>398</v>
      </c>
    </row>
    <row r="1567" spans="1:17">
      <c r="A1567" t="s">
        <v>913</v>
      </c>
      <c r="B1567" t="s">
        <v>593</v>
      </c>
      <c r="C1567" t="s">
        <v>393</v>
      </c>
      <c r="D1567" t="s">
        <v>505</v>
      </c>
      <c r="E1567" t="s">
        <v>161</v>
      </c>
      <c r="G1567" t="s">
        <v>619</v>
      </c>
      <c r="H1567" t="s">
        <v>399</v>
      </c>
      <c r="K1567">
        <v>1990</v>
      </c>
      <c r="O1567">
        <v>0</v>
      </c>
      <c r="P1567" t="str">
        <f t="shared" si="10"/>
        <v>No</v>
      </c>
      <c r="Q1567" t="s">
        <v>398</v>
      </c>
    </row>
    <row r="1568" spans="1:17">
      <c r="A1568" t="s">
        <v>913</v>
      </c>
      <c r="B1568" t="s">
        <v>593</v>
      </c>
      <c r="C1568" t="s">
        <v>393</v>
      </c>
      <c r="D1568" t="s">
        <v>505</v>
      </c>
      <c r="E1568" t="s">
        <v>161</v>
      </c>
      <c r="G1568" t="s">
        <v>1309</v>
      </c>
      <c r="H1568" t="s">
        <v>399</v>
      </c>
      <c r="K1568">
        <v>1990</v>
      </c>
      <c r="O1568">
        <v>0</v>
      </c>
      <c r="P1568" t="str">
        <f t="shared" si="10"/>
        <v>No</v>
      </c>
      <c r="Q1568" t="s">
        <v>398</v>
      </c>
    </row>
    <row r="1569" spans="1:17">
      <c r="A1569" t="s">
        <v>913</v>
      </c>
      <c r="B1569" t="s">
        <v>593</v>
      </c>
      <c r="C1569" t="s">
        <v>393</v>
      </c>
      <c r="D1569" t="s">
        <v>505</v>
      </c>
      <c r="E1569" t="s">
        <v>161</v>
      </c>
      <c r="G1569" t="s">
        <v>1310</v>
      </c>
      <c r="H1569" t="s">
        <v>399</v>
      </c>
      <c r="K1569">
        <v>1990</v>
      </c>
      <c r="O1569">
        <v>0</v>
      </c>
      <c r="P1569" t="str">
        <f t="shared" si="10"/>
        <v>No</v>
      </c>
      <c r="Q1569" t="s">
        <v>398</v>
      </c>
    </row>
    <row r="1570" spans="1:17">
      <c r="A1570" t="s">
        <v>913</v>
      </c>
      <c r="B1570" t="s">
        <v>593</v>
      </c>
      <c r="C1570" t="s">
        <v>393</v>
      </c>
      <c r="D1570" t="s">
        <v>505</v>
      </c>
      <c r="E1570" t="s">
        <v>161</v>
      </c>
      <c r="G1570" t="s">
        <v>1311</v>
      </c>
      <c r="H1570" t="s">
        <v>399</v>
      </c>
      <c r="K1570">
        <v>1990</v>
      </c>
      <c r="O1570">
        <v>0</v>
      </c>
      <c r="P1570" t="str">
        <f t="shared" si="10"/>
        <v>No</v>
      </c>
      <c r="Q1570" t="s">
        <v>398</v>
      </c>
    </row>
    <row r="1571" spans="1:17">
      <c r="A1571" t="s">
        <v>913</v>
      </c>
      <c r="B1571" t="s">
        <v>593</v>
      </c>
      <c r="C1571" t="s">
        <v>393</v>
      </c>
      <c r="D1571" t="s">
        <v>505</v>
      </c>
      <c r="E1571" t="s">
        <v>161</v>
      </c>
      <c r="G1571" t="s">
        <v>1312</v>
      </c>
      <c r="H1571" t="s">
        <v>399</v>
      </c>
      <c r="K1571">
        <v>1990</v>
      </c>
      <c r="O1571">
        <v>0</v>
      </c>
      <c r="P1571" t="str">
        <f t="shared" si="10"/>
        <v>No</v>
      </c>
      <c r="Q1571" t="s">
        <v>398</v>
      </c>
    </row>
    <row r="1572" spans="1:17">
      <c r="A1572" t="s">
        <v>913</v>
      </c>
      <c r="B1572" t="s">
        <v>593</v>
      </c>
      <c r="C1572" t="s">
        <v>393</v>
      </c>
      <c r="D1572" t="s">
        <v>505</v>
      </c>
      <c r="E1572" t="s">
        <v>161</v>
      </c>
      <c r="G1572" t="s">
        <v>1313</v>
      </c>
      <c r="H1572" t="s">
        <v>399</v>
      </c>
      <c r="K1572">
        <v>1990</v>
      </c>
      <c r="O1572">
        <v>0</v>
      </c>
      <c r="P1572" t="str">
        <f t="shared" si="10"/>
        <v>No</v>
      </c>
      <c r="Q1572" t="s">
        <v>398</v>
      </c>
    </row>
    <row r="1573" spans="1:17">
      <c r="A1573" t="s">
        <v>913</v>
      </c>
      <c r="B1573" t="s">
        <v>593</v>
      </c>
      <c r="C1573" t="s">
        <v>393</v>
      </c>
      <c r="D1573" t="s">
        <v>505</v>
      </c>
      <c r="E1573" t="s">
        <v>161</v>
      </c>
      <c r="G1573" t="s">
        <v>1314</v>
      </c>
      <c r="H1573" t="s">
        <v>399</v>
      </c>
      <c r="K1573">
        <v>1990</v>
      </c>
      <c r="O1573">
        <v>0</v>
      </c>
      <c r="P1573" t="str">
        <f t="shared" si="10"/>
        <v>No</v>
      </c>
      <c r="Q1573" t="s">
        <v>398</v>
      </c>
    </row>
    <row r="1574" spans="1:17">
      <c r="A1574" t="s">
        <v>913</v>
      </c>
      <c r="B1574" t="s">
        <v>593</v>
      </c>
      <c r="C1574" t="s">
        <v>393</v>
      </c>
      <c r="D1574" t="s">
        <v>505</v>
      </c>
      <c r="E1574" t="s">
        <v>161</v>
      </c>
      <c r="G1574" t="s">
        <v>1298</v>
      </c>
      <c r="H1574" t="s">
        <v>399</v>
      </c>
      <c r="K1574">
        <v>1990</v>
      </c>
      <c r="O1574">
        <v>0</v>
      </c>
      <c r="P1574" t="str">
        <f t="shared" si="10"/>
        <v>No</v>
      </c>
      <c r="Q1574" t="s">
        <v>398</v>
      </c>
    </row>
    <row r="1575" spans="1:17">
      <c r="A1575" t="s">
        <v>913</v>
      </c>
      <c r="B1575" t="s">
        <v>593</v>
      </c>
      <c r="C1575" t="s">
        <v>393</v>
      </c>
      <c r="D1575" t="s">
        <v>505</v>
      </c>
      <c r="E1575" t="s">
        <v>161</v>
      </c>
      <c r="G1575" t="s">
        <v>1315</v>
      </c>
      <c r="H1575" t="s">
        <v>399</v>
      </c>
      <c r="K1575">
        <v>1990</v>
      </c>
      <c r="O1575">
        <v>0</v>
      </c>
      <c r="P1575" t="str">
        <f t="shared" si="10"/>
        <v>No</v>
      </c>
      <c r="Q1575" t="s">
        <v>398</v>
      </c>
    </row>
    <row r="1576" spans="1:17">
      <c r="A1576" t="s">
        <v>913</v>
      </c>
      <c r="B1576" t="s">
        <v>593</v>
      </c>
      <c r="C1576" t="s">
        <v>393</v>
      </c>
      <c r="D1576" t="s">
        <v>505</v>
      </c>
      <c r="E1576" t="s">
        <v>161</v>
      </c>
      <c r="G1576" t="s">
        <v>1316</v>
      </c>
      <c r="H1576" t="s">
        <v>399</v>
      </c>
      <c r="K1576">
        <v>1990</v>
      </c>
      <c r="O1576">
        <v>0</v>
      </c>
      <c r="P1576" t="str">
        <f t="shared" si="10"/>
        <v>No</v>
      </c>
      <c r="Q1576" t="s">
        <v>398</v>
      </c>
    </row>
    <row r="1577" spans="1:17">
      <c r="A1577" t="s">
        <v>913</v>
      </c>
      <c r="B1577" t="s">
        <v>593</v>
      </c>
      <c r="C1577" t="s">
        <v>393</v>
      </c>
      <c r="D1577" t="s">
        <v>505</v>
      </c>
      <c r="E1577" t="s">
        <v>161</v>
      </c>
      <c r="G1577" t="s">
        <v>1317</v>
      </c>
      <c r="H1577" t="s">
        <v>399</v>
      </c>
      <c r="K1577">
        <v>1990</v>
      </c>
      <c r="O1577">
        <v>0</v>
      </c>
      <c r="P1577" t="str">
        <f t="shared" si="10"/>
        <v>No</v>
      </c>
      <c r="Q1577" t="s">
        <v>398</v>
      </c>
    </row>
    <row r="1578" spans="1:17">
      <c r="A1578" t="s">
        <v>913</v>
      </c>
      <c r="B1578" t="s">
        <v>593</v>
      </c>
      <c r="C1578" t="s">
        <v>393</v>
      </c>
      <c r="D1578" t="s">
        <v>505</v>
      </c>
      <c r="E1578" t="s">
        <v>161</v>
      </c>
      <c r="G1578" t="s">
        <v>1296</v>
      </c>
      <c r="H1578" t="s">
        <v>399</v>
      </c>
      <c r="K1578">
        <v>1990</v>
      </c>
      <c r="O1578">
        <v>0</v>
      </c>
      <c r="P1578" t="str">
        <f t="shared" si="10"/>
        <v>No</v>
      </c>
      <c r="Q1578" t="s">
        <v>398</v>
      </c>
    </row>
    <row r="1579" spans="1:17">
      <c r="A1579" t="s">
        <v>913</v>
      </c>
      <c r="B1579" t="s">
        <v>593</v>
      </c>
      <c r="C1579" t="s">
        <v>393</v>
      </c>
      <c r="D1579" t="s">
        <v>505</v>
      </c>
      <c r="E1579" t="s">
        <v>161</v>
      </c>
      <c r="G1579" t="s">
        <v>1318</v>
      </c>
      <c r="H1579" t="s">
        <v>399</v>
      </c>
      <c r="K1579">
        <v>1990</v>
      </c>
      <c r="O1579">
        <v>0</v>
      </c>
      <c r="P1579" t="str">
        <f t="shared" si="10"/>
        <v>No</v>
      </c>
      <c r="Q1579" t="s">
        <v>398</v>
      </c>
    </row>
    <row r="1580" spans="1:17">
      <c r="A1580" t="s">
        <v>913</v>
      </c>
      <c r="B1580" t="s">
        <v>593</v>
      </c>
      <c r="C1580" t="s">
        <v>393</v>
      </c>
      <c r="D1580" t="s">
        <v>505</v>
      </c>
      <c r="E1580" t="s">
        <v>161</v>
      </c>
      <c r="G1580" t="s">
        <v>1319</v>
      </c>
      <c r="H1580" t="s">
        <v>399</v>
      </c>
      <c r="K1580">
        <v>1990</v>
      </c>
      <c r="O1580">
        <v>0</v>
      </c>
      <c r="P1580" t="str">
        <f t="shared" si="10"/>
        <v>No</v>
      </c>
      <c r="Q1580" t="s">
        <v>398</v>
      </c>
    </row>
    <row r="1581" spans="1:17">
      <c r="A1581" t="s">
        <v>913</v>
      </c>
      <c r="B1581" t="s">
        <v>593</v>
      </c>
      <c r="C1581" t="s">
        <v>393</v>
      </c>
      <c r="D1581" t="s">
        <v>505</v>
      </c>
      <c r="E1581" t="s">
        <v>161</v>
      </c>
      <c r="G1581" t="s">
        <v>1320</v>
      </c>
      <c r="H1581" t="s">
        <v>399</v>
      </c>
      <c r="K1581">
        <v>1985</v>
      </c>
      <c r="O1581">
        <v>0</v>
      </c>
      <c r="P1581" t="str">
        <f t="shared" si="10"/>
        <v>No</v>
      </c>
      <c r="Q1581" t="s">
        <v>398</v>
      </c>
    </row>
    <row r="1582" spans="1:17">
      <c r="A1582" t="s">
        <v>913</v>
      </c>
      <c r="B1582" t="s">
        <v>593</v>
      </c>
      <c r="C1582" t="s">
        <v>393</v>
      </c>
      <c r="D1582" t="s">
        <v>505</v>
      </c>
      <c r="E1582" t="s">
        <v>161</v>
      </c>
      <c r="G1582" t="s">
        <v>1321</v>
      </c>
      <c r="H1582" t="s">
        <v>399</v>
      </c>
      <c r="K1582">
        <v>1985</v>
      </c>
      <c r="O1582">
        <v>0</v>
      </c>
      <c r="P1582" t="str">
        <f t="shared" si="10"/>
        <v>No</v>
      </c>
      <c r="Q1582" t="s">
        <v>398</v>
      </c>
    </row>
    <row r="1583" spans="1:17">
      <c r="A1583" t="s">
        <v>913</v>
      </c>
      <c r="B1583" t="s">
        <v>593</v>
      </c>
      <c r="C1583" t="s">
        <v>393</v>
      </c>
      <c r="D1583" t="s">
        <v>505</v>
      </c>
      <c r="E1583" t="s">
        <v>161</v>
      </c>
      <c r="G1583" t="s">
        <v>1209</v>
      </c>
      <c r="H1583" t="s">
        <v>399</v>
      </c>
      <c r="K1583">
        <v>1985</v>
      </c>
      <c r="O1583">
        <v>0</v>
      </c>
      <c r="P1583" t="str">
        <f t="shared" si="10"/>
        <v>No</v>
      </c>
      <c r="Q1583" t="s">
        <v>398</v>
      </c>
    </row>
    <row r="1584" spans="1:17">
      <c r="A1584" t="s">
        <v>913</v>
      </c>
      <c r="B1584" t="s">
        <v>593</v>
      </c>
      <c r="C1584" t="s">
        <v>393</v>
      </c>
      <c r="D1584" t="s">
        <v>505</v>
      </c>
      <c r="E1584" t="s">
        <v>161</v>
      </c>
      <c r="G1584" t="s">
        <v>1322</v>
      </c>
      <c r="H1584" t="s">
        <v>399</v>
      </c>
      <c r="K1584">
        <v>1985</v>
      </c>
      <c r="O1584">
        <v>0</v>
      </c>
      <c r="P1584" t="str">
        <f t="shared" si="10"/>
        <v>No</v>
      </c>
      <c r="Q1584" t="s">
        <v>398</v>
      </c>
    </row>
    <row r="1585" spans="1:17">
      <c r="A1585" t="s">
        <v>913</v>
      </c>
      <c r="B1585" t="s">
        <v>593</v>
      </c>
      <c r="C1585" t="s">
        <v>393</v>
      </c>
      <c r="D1585" t="s">
        <v>505</v>
      </c>
      <c r="E1585" t="s">
        <v>161</v>
      </c>
      <c r="G1585" t="s">
        <v>1323</v>
      </c>
      <c r="H1585" t="s">
        <v>399</v>
      </c>
      <c r="K1585">
        <v>1985</v>
      </c>
      <c r="O1585">
        <v>0</v>
      </c>
      <c r="P1585" t="str">
        <f t="shared" si="10"/>
        <v>No</v>
      </c>
      <c r="Q1585" t="s">
        <v>398</v>
      </c>
    </row>
    <row r="1586" spans="1:17">
      <c r="A1586" t="s">
        <v>913</v>
      </c>
      <c r="B1586" t="s">
        <v>593</v>
      </c>
      <c r="C1586" t="s">
        <v>393</v>
      </c>
      <c r="D1586" t="s">
        <v>505</v>
      </c>
      <c r="E1586" t="s">
        <v>161</v>
      </c>
      <c r="G1586" t="s">
        <v>1324</v>
      </c>
      <c r="H1586" t="s">
        <v>399</v>
      </c>
      <c r="K1586">
        <v>1985</v>
      </c>
      <c r="O1586">
        <v>0</v>
      </c>
      <c r="P1586" t="str">
        <f t="shared" si="10"/>
        <v>No</v>
      </c>
      <c r="Q1586" t="s">
        <v>398</v>
      </c>
    </row>
    <row r="1587" spans="1:17">
      <c r="A1587" t="s">
        <v>913</v>
      </c>
      <c r="B1587" t="s">
        <v>593</v>
      </c>
      <c r="C1587" t="s">
        <v>393</v>
      </c>
      <c r="D1587" t="s">
        <v>505</v>
      </c>
      <c r="E1587" t="s">
        <v>161</v>
      </c>
      <c r="G1587" t="s">
        <v>1325</v>
      </c>
      <c r="H1587" t="s">
        <v>399</v>
      </c>
      <c r="K1587">
        <v>1985</v>
      </c>
      <c r="O1587">
        <v>0</v>
      </c>
      <c r="P1587" t="str">
        <f t="shared" si="10"/>
        <v>No</v>
      </c>
      <c r="Q1587" t="s">
        <v>398</v>
      </c>
    </row>
    <row r="1588" spans="1:17">
      <c r="A1588" t="s">
        <v>913</v>
      </c>
      <c r="B1588" t="s">
        <v>593</v>
      </c>
      <c r="C1588" t="s">
        <v>393</v>
      </c>
      <c r="D1588" t="s">
        <v>505</v>
      </c>
      <c r="E1588" t="s">
        <v>161</v>
      </c>
      <c r="G1588" t="s">
        <v>1308</v>
      </c>
      <c r="H1588" t="s">
        <v>399</v>
      </c>
      <c r="K1588">
        <v>1985</v>
      </c>
      <c r="O1588">
        <v>0</v>
      </c>
      <c r="P1588" t="str">
        <f t="shared" si="10"/>
        <v>No</v>
      </c>
      <c r="Q1588" t="s">
        <v>398</v>
      </c>
    </row>
    <row r="1589" spans="1:17">
      <c r="A1589" t="s">
        <v>913</v>
      </c>
      <c r="B1589" t="s">
        <v>593</v>
      </c>
      <c r="C1589" t="s">
        <v>393</v>
      </c>
      <c r="D1589" t="s">
        <v>505</v>
      </c>
      <c r="E1589" t="s">
        <v>161</v>
      </c>
      <c r="G1589" t="s">
        <v>1326</v>
      </c>
      <c r="H1589" t="s">
        <v>399</v>
      </c>
      <c r="K1589">
        <v>1985</v>
      </c>
      <c r="O1589">
        <v>0</v>
      </c>
      <c r="P1589" t="str">
        <f t="shared" si="10"/>
        <v>No</v>
      </c>
      <c r="Q1589" t="s">
        <v>398</v>
      </c>
    </row>
    <row r="1590" spans="1:17">
      <c r="A1590" t="s">
        <v>913</v>
      </c>
      <c r="B1590" t="s">
        <v>593</v>
      </c>
      <c r="C1590" t="s">
        <v>393</v>
      </c>
      <c r="D1590" t="s">
        <v>505</v>
      </c>
      <c r="E1590" t="s">
        <v>161</v>
      </c>
      <c r="G1590" t="s">
        <v>1280</v>
      </c>
      <c r="H1590" t="s">
        <v>399</v>
      </c>
      <c r="K1590">
        <v>1985</v>
      </c>
      <c r="O1590">
        <v>0</v>
      </c>
      <c r="P1590" t="str">
        <f t="shared" si="10"/>
        <v>No</v>
      </c>
      <c r="Q1590" t="s">
        <v>398</v>
      </c>
    </row>
    <row r="1591" spans="1:17">
      <c r="A1591" t="s">
        <v>913</v>
      </c>
      <c r="B1591" t="s">
        <v>593</v>
      </c>
      <c r="C1591" t="s">
        <v>393</v>
      </c>
      <c r="D1591" t="s">
        <v>505</v>
      </c>
      <c r="E1591" t="s">
        <v>161</v>
      </c>
      <c r="G1591" t="s">
        <v>1327</v>
      </c>
      <c r="H1591" t="s">
        <v>399</v>
      </c>
      <c r="K1591">
        <v>1985</v>
      </c>
      <c r="O1591">
        <v>0</v>
      </c>
      <c r="P1591" t="str">
        <f t="shared" si="10"/>
        <v>No</v>
      </c>
      <c r="Q1591" t="s">
        <v>398</v>
      </c>
    </row>
    <row r="1592" spans="1:17">
      <c r="A1592" t="s">
        <v>913</v>
      </c>
      <c r="B1592" t="s">
        <v>593</v>
      </c>
      <c r="C1592" t="s">
        <v>393</v>
      </c>
      <c r="D1592" t="s">
        <v>505</v>
      </c>
      <c r="E1592" t="s">
        <v>161</v>
      </c>
      <c r="G1592" t="s">
        <v>1328</v>
      </c>
      <c r="H1592" t="s">
        <v>399</v>
      </c>
      <c r="K1592">
        <v>1985</v>
      </c>
      <c r="O1592">
        <v>0</v>
      </c>
      <c r="P1592" t="str">
        <f t="shared" si="10"/>
        <v>No</v>
      </c>
      <c r="Q1592" t="s">
        <v>398</v>
      </c>
    </row>
    <row r="1593" spans="1:17">
      <c r="A1593" t="s">
        <v>913</v>
      </c>
      <c r="B1593" t="s">
        <v>593</v>
      </c>
      <c r="C1593" t="s">
        <v>393</v>
      </c>
      <c r="D1593" t="s">
        <v>505</v>
      </c>
      <c r="E1593" t="s">
        <v>161</v>
      </c>
      <c r="G1593" t="s">
        <v>1329</v>
      </c>
      <c r="H1593" t="s">
        <v>399</v>
      </c>
      <c r="K1593">
        <v>1985</v>
      </c>
      <c r="O1593">
        <v>0</v>
      </c>
      <c r="P1593" t="str">
        <f t="shared" si="10"/>
        <v>No</v>
      </c>
      <c r="Q1593" t="s">
        <v>398</v>
      </c>
    </row>
    <row r="1594" spans="1:17">
      <c r="A1594" t="s">
        <v>913</v>
      </c>
      <c r="B1594" t="s">
        <v>593</v>
      </c>
      <c r="C1594" t="s">
        <v>393</v>
      </c>
      <c r="D1594" t="s">
        <v>505</v>
      </c>
      <c r="E1594" t="s">
        <v>161</v>
      </c>
      <c r="G1594" t="s">
        <v>1330</v>
      </c>
      <c r="H1594" t="s">
        <v>399</v>
      </c>
      <c r="K1594">
        <v>1985</v>
      </c>
      <c r="O1594">
        <v>0</v>
      </c>
      <c r="P1594" t="str">
        <f t="shared" si="10"/>
        <v>No</v>
      </c>
      <c r="Q1594" t="s">
        <v>398</v>
      </c>
    </row>
    <row r="1595" spans="1:17">
      <c r="A1595" t="s">
        <v>913</v>
      </c>
      <c r="B1595" t="s">
        <v>593</v>
      </c>
      <c r="C1595" t="s">
        <v>393</v>
      </c>
      <c r="D1595" t="s">
        <v>505</v>
      </c>
      <c r="E1595" t="s">
        <v>161</v>
      </c>
      <c r="G1595" t="s">
        <v>1331</v>
      </c>
      <c r="H1595" t="s">
        <v>399</v>
      </c>
      <c r="K1595">
        <v>1985</v>
      </c>
      <c r="O1595">
        <v>0</v>
      </c>
      <c r="P1595" t="str">
        <f t="shared" si="10"/>
        <v>No</v>
      </c>
      <c r="Q1595" t="s">
        <v>398</v>
      </c>
    </row>
    <row r="1596" spans="1:17">
      <c r="A1596" t="s">
        <v>913</v>
      </c>
      <c r="B1596" t="s">
        <v>593</v>
      </c>
      <c r="C1596" t="s">
        <v>393</v>
      </c>
      <c r="D1596" t="s">
        <v>505</v>
      </c>
      <c r="E1596" t="s">
        <v>161</v>
      </c>
      <c r="G1596" t="s">
        <v>1332</v>
      </c>
      <c r="H1596" t="s">
        <v>399</v>
      </c>
      <c r="K1596">
        <v>1985</v>
      </c>
      <c r="O1596">
        <v>0</v>
      </c>
      <c r="P1596" t="str">
        <f t="shared" si="10"/>
        <v>No</v>
      </c>
      <c r="Q1596" t="s">
        <v>398</v>
      </c>
    </row>
    <row r="1597" spans="1:17">
      <c r="A1597" t="s">
        <v>913</v>
      </c>
      <c r="B1597" t="s">
        <v>593</v>
      </c>
      <c r="C1597" t="s">
        <v>393</v>
      </c>
      <c r="D1597" t="s">
        <v>505</v>
      </c>
      <c r="E1597" t="s">
        <v>161</v>
      </c>
      <c r="G1597" t="s">
        <v>1333</v>
      </c>
      <c r="H1597" t="s">
        <v>399</v>
      </c>
      <c r="K1597">
        <v>1985</v>
      </c>
      <c r="O1597">
        <v>0</v>
      </c>
      <c r="P1597" t="str">
        <f t="shared" si="10"/>
        <v>No</v>
      </c>
      <c r="Q1597" t="s">
        <v>398</v>
      </c>
    </row>
    <row r="1598" spans="1:17">
      <c r="A1598" t="s">
        <v>913</v>
      </c>
      <c r="B1598" t="s">
        <v>593</v>
      </c>
      <c r="C1598" t="s">
        <v>393</v>
      </c>
      <c r="D1598" t="s">
        <v>505</v>
      </c>
      <c r="E1598" t="s">
        <v>161</v>
      </c>
      <c r="G1598" t="s">
        <v>1334</v>
      </c>
      <c r="H1598" t="s">
        <v>399</v>
      </c>
      <c r="K1598">
        <v>1985</v>
      </c>
      <c r="O1598">
        <v>0</v>
      </c>
      <c r="P1598" t="str">
        <f t="shared" si="10"/>
        <v>No</v>
      </c>
      <c r="Q1598" t="s">
        <v>398</v>
      </c>
    </row>
    <row r="1599" spans="1:17">
      <c r="A1599" t="s">
        <v>913</v>
      </c>
      <c r="B1599" t="s">
        <v>593</v>
      </c>
      <c r="C1599" t="s">
        <v>393</v>
      </c>
      <c r="D1599" t="s">
        <v>505</v>
      </c>
      <c r="E1599" t="s">
        <v>161</v>
      </c>
      <c r="G1599" t="s">
        <v>1335</v>
      </c>
      <c r="H1599" t="s">
        <v>399</v>
      </c>
      <c r="K1599">
        <v>1985</v>
      </c>
      <c r="O1599">
        <v>0</v>
      </c>
      <c r="P1599" t="str">
        <f t="shared" si="10"/>
        <v>No</v>
      </c>
      <c r="Q1599" t="s">
        <v>398</v>
      </c>
    </row>
    <row r="1600" spans="1:17">
      <c r="A1600" t="s">
        <v>913</v>
      </c>
      <c r="B1600" t="s">
        <v>593</v>
      </c>
      <c r="C1600" t="s">
        <v>393</v>
      </c>
      <c r="D1600" t="s">
        <v>505</v>
      </c>
      <c r="E1600" t="s">
        <v>161</v>
      </c>
      <c r="G1600" t="s">
        <v>1336</v>
      </c>
      <c r="H1600" t="s">
        <v>399</v>
      </c>
      <c r="K1600">
        <v>1985</v>
      </c>
      <c r="O1600">
        <v>0</v>
      </c>
      <c r="P1600" t="str">
        <f t="shared" si="10"/>
        <v>No</v>
      </c>
      <c r="Q1600" t="s">
        <v>398</v>
      </c>
    </row>
    <row r="1601" spans="1:17">
      <c r="A1601" t="s">
        <v>913</v>
      </c>
      <c r="B1601" t="s">
        <v>593</v>
      </c>
      <c r="C1601" t="s">
        <v>393</v>
      </c>
      <c r="D1601" t="s">
        <v>505</v>
      </c>
      <c r="E1601" t="s">
        <v>161</v>
      </c>
      <c r="G1601" t="s">
        <v>1337</v>
      </c>
      <c r="H1601" t="s">
        <v>399</v>
      </c>
      <c r="K1601">
        <v>1985</v>
      </c>
      <c r="O1601">
        <v>0</v>
      </c>
      <c r="P1601" t="str">
        <f t="shared" si="10"/>
        <v>No</v>
      </c>
      <c r="Q1601" t="s">
        <v>398</v>
      </c>
    </row>
    <row r="1602" spans="1:17">
      <c r="A1602" t="s">
        <v>913</v>
      </c>
      <c r="B1602" t="s">
        <v>593</v>
      </c>
      <c r="C1602" t="s">
        <v>393</v>
      </c>
      <c r="D1602" t="s">
        <v>505</v>
      </c>
      <c r="E1602" t="s">
        <v>161</v>
      </c>
      <c r="G1602" t="s">
        <v>1338</v>
      </c>
      <c r="H1602" t="s">
        <v>399</v>
      </c>
      <c r="K1602">
        <v>1985</v>
      </c>
      <c r="O1602">
        <v>48.739999999999995</v>
      </c>
      <c r="P1602" t="str">
        <f t="shared" si="10"/>
        <v>Yes</v>
      </c>
      <c r="Q1602" t="s">
        <v>398</v>
      </c>
    </row>
    <row r="1603" spans="1:17">
      <c r="A1603" t="s">
        <v>913</v>
      </c>
      <c r="B1603" t="s">
        <v>593</v>
      </c>
      <c r="C1603" t="s">
        <v>393</v>
      </c>
      <c r="D1603" t="s">
        <v>505</v>
      </c>
      <c r="E1603" t="s">
        <v>161</v>
      </c>
      <c r="G1603" t="s">
        <v>1309</v>
      </c>
      <c r="H1603" t="s">
        <v>399</v>
      </c>
      <c r="K1603">
        <v>1985</v>
      </c>
      <c r="O1603">
        <v>49.44</v>
      </c>
      <c r="P1603" t="str">
        <f t="shared" ref="P1603:P1626" si="11">IF(O1603&gt;0,"Yes","No")</f>
        <v>Yes</v>
      </c>
      <c r="Q1603" t="s">
        <v>398</v>
      </c>
    </row>
    <row r="1604" spans="1:17">
      <c r="A1604" t="s">
        <v>913</v>
      </c>
      <c r="B1604" t="s">
        <v>593</v>
      </c>
      <c r="C1604" t="s">
        <v>393</v>
      </c>
      <c r="D1604" t="s">
        <v>505</v>
      </c>
      <c r="E1604" t="s">
        <v>161</v>
      </c>
      <c r="G1604" t="s">
        <v>1339</v>
      </c>
      <c r="H1604" t="s">
        <v>399</v>
      </c>
      <c r="K1604">
        <v>1990</v>
      </c>
      <c r="O1604">
        <v>52.480000000000004</v>
      </c>
      <c r="P1604" t="str">
        <f t="shared" si="11"/>
        <v>Yes</v>
      </c>
      <c r="Q1604" t="s">
        <v>398</v>
      </c>
    </row>
    <row r="1605" spans="1:17">
      <c r="A1605" t="s">
        <v>913</v>
      </c>
      <c r="B1605" t="s">
        <v>593</v>
      </c>
      <c r="C1605" t="s">
        <v>393</v>
      </c>
      <c r="D1605" t="s">
        <v>505</v>
      </c>
      <c r="E1605" t="s">
        <v>161</v>
      </c>
      <c r="G1605" t="s">
        <v>1340</v>
      </c>
      <c r="H1605" t="s">
        <v>399</v>
      </c>
      <c r="K1605">
        <v>1990</v>
      </c>
      <c r="O1605">
        <v>61.529999999999994</v>
      </c>
      <c r="P1605" t="str">
        <f t="shared" si="11"/>
        <v>Yes</v>
      </c>
      <c r="Q1605" t="s">
        <v>398</v>
      </c>
    </row>
    <row r="1606" spans="1:17">
      <c r="A1606" t="s">
        <v>913</v>
      </c>
      <c r="B1606" t="s">
        <v>593</v>
      </c>
      <c r="C1606" t="s">
        <v>393</v>
      </c>
      <c r="D1606" t="s">
        <v>505</v>
      </c>
      <c r="E1606" t="s">
        <v>161</v>
      </c>
      <c r="G1606" t="s">
        <v>1341</v>
      </c>
      <c r="H1606" t="s">
        <v>399</v>
      </c>
      <c r="K1606">
        <v>1985</v>
      </c>
      <c r="O1606">
        <v>67.89</v>
      </c>
      <c r="P1606" t="str">
        <f t="shared" si="11"/>
        <v>Yes</v>
      </c>
      <c r="Q1606" t="s">
        <v>398</v>
      </c>
    </row>
    <row r="1607" spans="1:17">
      <c r="A1607" t="s">
        <v>913</v>
      </c>
      <c r="B1607" t="s">
        <v>593</v>
      </c>
      <c r="C1607" t="s">
        <v>393</v>
      </c>
      <c r="D1607" t="s">
        <v>505</v>
      </c>
      <c r="E1607" t="s">
        <v>161</v>
      </c>
      <c r="G1607" t="s">
        <v>1301</v>
      </c>
      <c r="H1607" t="s">
        <v>399</v>
      </c>
      <c r="K1607">
        <v>1990</v>
      </c>
      <c r="O1607">
        <v>70.5</v>
      </c>
      <c r="P1607" t="str">
        <f t="shared" si="11"/>
        <v>Yes</v>
      </c>
      <c r="Q1607" t="s">
        <v>398</v>
      </c>
    </row>
    <row r="1608" spans="1:17">
      <c r="A1608" t="s">
        <v>913</v>
      </c>
      <c r="B1608" t="s">
        <v>593</v>
      </c>
      <c r="C1608" t="s">
        <v>393</v>
      </c>
      <c r="D1608" t="s">
        <v>505</v>
      </c>
      <c r="E1608" t="s">
        <v>161</v>
      </c>
      <c r="G1608" t="s">
        <v>1342</v>
      </c>
      <c r="H1608" t="s">
        <v>399</v>
      </c>
      <c r="K1608">
        <v>1990</v>
      </c>
      <c r="O1608">
        <v>75.94</v>
      </c>
      <c r="P1608" t="str">
        <f t="shared" si="11"/>
        <v>Yes</v>
      </c>
      <c r="Q1608" t="s">
        <v>398</v>
      </c>
    </row>
    <row r="1609" spans="1:17">
      <c r="A1609" t="s">
        <v>913</v>
      </c>
      <c r="B1609" t="s">
        <v>593</v>
      </c>
      <c r="C1609" t="s">
        <v>393</v>
      </c>
      <c r="D1609" t="s">
        <v>505</v>
      </c>
      <c r="E1609" t="s">
        <v>161</v>
      </c>
      <c r="G1609" t="s">
        <v>1343</v>
      </c>
      <c r="H1609" t="s">
        <v>399</v>
      </c>
      <c r="K1609">
        <v>1985</v>
      </c>
      <c r="O1609">
        <v>85.850000000000009</v>
      </c>
      <c r="P1609" t="str">
        <f t="shared" si="11"/>
        <v>Yes</v>
      </c>
      <c r="Q1609" t="s">
        <v>398</v>
      </c>
    </row>
    <row r="1610" spans="1:17">
      <c r="A1610" t="s">
        <v>913</v>
      </c>
      <c r="B1610" t="s">
        <v>593</v>
      </c>
      <c r="C1610" t="s">
        <v>393</v>
      </c>
      <c r="D1610" t="s">
        <v>505</v>
      </c>
      <c r="E1610" t="s">
        <v>161</v>
      </c>
      <c r="G1610" t="s">
        <v>1315</v>
      </c>
      <c r="H1610" t="s">
        <v>399</v>
      </c>
      <c r="K1610">
        <v>1985</v>
      </c>
      <c r="O1610">
        <v>87.03</v>
      </c>
      <c r="P1610" t="str">
        <f t="shared" si="11"/>
        <v>Yes</v>
      </c>
      <c r="Q1610" t="s">
        <v>398</v>
      </c>
    </row>
    <row r="1611" spans="1:17">
      <c r="A1611" t="s">
        <v>913</v>
      </c>
      <c r="B1611" t="s">
        <v>593</v>
      </c>
      <c r="C1611" t="s">
        <v>393</v>
      </c>
      <c r="D1611" t="s">
        <v>505</v>
      </c>
      <c r="E1611" t="s">
        <v>161</v>
      </c>
      <c r="G1611" t="s">
        <v>1344</v>
      </c>
      <c r="H1611" t="s">
        <v>399</v>
      </c>
      <c r="K1611">
        <v>1985</v>
      </c>
      <c r="O1611">
        <v>95.27</v>
      </c>
      <c r="P1611" t="str">
        <f t="shared" si="11"/>
        <v>Yes</v>
      </c>
      <c r="Q1611" t="s">
        <v>398</v>
      </c>
    </row>
    <row r="1612" spans="1:17">
      <c r="A1612" t="s">
        <v>913</v>
      </c>
      <c r="B1612" t="s">
        <v>593</v>
      </c>
      <c r="C1612" t="s">
        <v>393</v>
      </c>
      <c r="D1612" t="s">
        <v>505</v>
      </c>
      <c r="E1612" t="s">
        <v>161</v>
      </c>
      <c r="G1612" t="s">
        <v>1216</v>
      </c>
      <c r="H1612" t="s">
        <v>399</v>
      </c>
      <c r="K1612">
        <v>1985</v>
      </c>
      <c r="O1612">
        <v>111.69</v>
      </c>
      <c r="P1612" t="str">
        <f t="shared" si="11"/>
        <v>Yes</v>
      </c>
      <c r="Q1612" t="s">
        <v>398</v>
      </c>
    </row>
    <row r="1613" spans="1:17">
      <c r="A1613" t="s">
        <v>913</v>
      </c>
      <c r="B1613" t="s">
        <v>593</v>
      </c>
      <c r="C1613" t="s">
        <v>393</v>
      </c>
      <c r="D1613" t="s">
        <v>505</v>
      </c>
      <c r="E1613" t="s">
        <v>161</v>
      </c>
      <c r="G1613" t="s">
        <v>1345</v>
      </c>
      <c r="H1613" t="s">
        <v>399</v>
      </c>
      <c r="K1613">
        <v>1985</v>
      </c>
      <c r="O1613">
        <v>124</v>
      </c>
      <c r="P1613" t="str">
        <f t="shared" si="11"/>
        <v>Yes</v>
      </c>
      <c r="Q1613" t="s">
        <v>398</v>
      </c>
    </row>
    <row r="1614" spans="1:17">
      <c r="A1614" t="s">
        <v>913</v>
      </c>
      <c r="B1614" t="s">
        <v>593</v>
      </c>
      <c r="C1614" t="s">
        <v>393</v>
      </c>
      <c r="D1614" t="s">
        <v>505</v>
      </c>
      <c r="E1614" t="s">
        <v>161</v>
      </c>
      <c r="G1614" t="s">
        <v>1346</v>
      </c>
      <c r="H1614" t="s">
        <v>399</v>
      </c>
      <c r="K1614">
        <v>1990</v>
      </c>
      <c r="O1614">
        <v>128.74</v>
      </c>
      <c r="P1614" t="str">
        <f t="shared" si="11"/>
        <v>Yes</v>
      </c>
      <c r="Q1614" t="s">
        <v>398</v>
      </c>
    </row>
    <row r="1615" spans="1:17">
      <c r="A1615" t="s">
        <v>913</v>
      </c>
      <c r="B1615" t="s">
        <v>593</v>
      </c>
      <c r="C1615" t="s">
        <v>393</v>
      </c>
      <c r="D1615" t="s">
        <v>505</v>
      </c>
      <c r="E1615" t="s">
        <v>161</v>
      </c>
      <c r="G1615" t="s">
        <v>1347</v>
      </c>
      <c r="H1615" t="s">
        <v>399</v>
      </c>
      <c r="K1615">
        <v>1990</v>
      </c>
      <c r="O1615">
        <v>128.74</v>
      </c>
      <c r="P1615" t="str">
        <f t="shared" si="11"/>
        <v>Yes</v>
      </c>
      <c r="Q1615" t="s">
        <v>398</v>
      </c>
    </row>
    <row r="1616" spans="1:17">
      <c r="A1616" t="s">
        <v>913</v>
      </c>
      <c r="B1616" t="s">
        <v>593</v>
      </c>
      <c r="C1616" t="s">
        <v>393</v>
      </c>
      <c r="D1616" t="s">
        <v>505</v>
      </c>
      <c r="E1616" t="s">
        <v>161</v>
      </c>
      <c r="G1616" t="s">
        <v>1348</v>
      </c>
      <c r="H1616" t="s">
        <v>399</v>
      </c>
      <c r="K1616">
        <v>1985</v>
      </c>
      <c r="O1616">
        <v>142.99</v>
      </c>
      <c r="P1616" t="str">
        <f t="shared" si="11"/>
        <v>Yes</v>
      </c>
      <c r="Q1616" t="s">
        <v>398</v>
      </c>
    </row>
    <row r="1617" spans="1:18">
      <c r="A1617" t="s">
        <v>913</v>
      </c>
      <c r="B1617" t="s">
        <v>593</v>
      </c>
      <c r="C1617" t="s">
        <v>393</v>
      </c>
      <c r="D1617" t="s">
        <v>505</v>
      </c>
      <c r="E1617" t="s">
        <v>161</v>
      </c>
      <c r="G1617" t="s">
        <v>1349</v>
      </c>
      <c r="H1617" t="s">
        <v>399</v>
      </c>
      <c r="K1617">
        <v>1990</v>
      </c>
      <c r="O1617">
        <v>152.79999999999998</v>
      </c>
      <c r="P1617" t="str">
        <f t="shared" si="11"/>
        <v>Yes</v>
      </c>
      <c r="Q1617" t="s">
        <v>398</v>
      </c>
    </row>
    <row r="1618" spans="1:18">
      <c r="A1618" t="s">
        <v>913</v>
      </c>
      <c r="B1618" t="s">
        <v>593</v>
      </c>
      <c r="C1618" t="s">
        <v>393</v>
      </c>
      <c r="D1618" t="s">
        <v>505</v>
      </c>
      <c r="E1618" t="s">
        <v>161</v>
      </c>
      <c r="G1618" t="s">
        <v>1350</v>
      </c>
      <c r="H1618" t="s">
        <v>399</v>
      </c>
      <c r="K1618">
        <v>1985</v>
      </c>
      <c r="O1618">
        <v>164.81</v>
      </c>
      <c r="P1618" t="str">
        <f t="shared" si="11"/>
        <v>Yes</v>
      </c>
      <c r="Q1618" t="s">
        <v>398</v>
      </c>
    </row>
    <row r="1619" spans="1:18">
      <c r="A1619" t="s">
        <v>913</v>
      </c>
      <c r="B1619" t="s">
        <v>593</v>
      </c>
      <c r="C1619" t="s">
        <v>393</v>
      </c>
      <c r="D1619" t="s">
        <v>505</v>
      </c>
      <c r="E1619" t="s">
        <v>161</v>
      </c>
      <c r="G1619" t="s">
        <v>1351</v>
      </c>
      <c r="H1619" t="s">
        <v>399</v>
      </c>
      <c r="K1619">
        <v>1985</v>
      </c>
      <c r="O1619">
        <v>164.89000000000001</v>
      </c>
      <c r="P1619" t="str">
        <f t="shared" si="11"/>
        <v>Yes</v>
      </c>
      <c r="Q1619" t="s">
        <v>398</v>
      </c>
    </row>
    <row r="1620" spans="1:18">
      <c r="A1620" t="s">
        <v>913</v>
      </c>
      <c r="B1620" t="s">
        <v>593</v>
      </c>
      <c r="C1620" t="s">
        <v>393</v>
      </c>
      <c r="D1620" t="s">
        <v>505</v>
      </c>
      <c r="E1620" t="s">
        <v>161</v>
      </c>
      <c r="G1620" t="s">
        <v>1287</v>
      </c>
      <c r="H1620" t="s">
        <v>399</v>
      </c>
      <c r="K1620">
        <v>1985</v>
      </c>
      <c r="O1620">
        <v>181.31</v>
      </c>
      <c r="P1620" t="str">
        <f t="shared" si="11"/>
        <v>Yes</v>
      </c>
      <c r="Q1620" t="s">
        <v>398</v>
      </c>
    </row>
    <row r="1621" spans="1:18">
      <c r="A1621" t="s">
        <v>913</v>
      </c>
      <c r="B1621" t="s">
        <v>593</v>
      </c>
      <c r="C1621" t="s">
        <v>393</v>
      </c>
      <c r="D1621" t="s">
        <v>505</v>
      </c>
      <c r="E1621" t="s">
        <v>161</v>
      </c>
      <c r="G1621" t="s">
        <v>1352</v>
      </c>
      <c r="H1621" t="s">
        <v>399</v>
      </c>
      <c r="K1621">
        <v>1985</v>
      </c>
      <c r="O1621">
        <v>216.74</v>
      </c>
      <c r="P1621" t="str">
        <f t="shared" si="11"/>
        <v>Yes</v>
      </c>
      <c r="Q1621" t="s">
        <v>398</v>
      </c>
    </row>
    <row r="1622" spans="1:18">
      <c r="A1622" t="s">
        <v>913</v>
      </c>
      <c r="B1622" t="s">
        <v>593</v>
      </c>
      <c r="C1622" t="s">
        <v>393</v>
      </c>
      <c r="D1622" t="s">
        <v>505</v>
      </c>
      <c r="E1622" t="s">
        <v>161</v>
      </c>
      <c r="G1622" t="s">
        <v>1303</v>
      </c>
      <c r="H1622" t="s">
        <v>399</v>
      </c>
      <c r="K1622">
        <v>1990</v>
      </c>
      <c r="O1622">
        <v>239.23</v>
      </c>
      <c r="P1622" t="str">
        <f t="shared" si="11"/>
        <v>Yes</v>
      </c>
      <c r="Q1622" t="s">
        <v>398</v>
      </c>
    </row>
    <row r="1623" spans="1:18">
      <c r="A1623" t="s">
        <v>913</v>
      </c>
      <c r="B1623" t="s">
        <v>593</v>
      </c>
      <c r="C1623" t="s">
        <v>393</v>
      </c>
      <c r="D1623" t="s">
        <v>505</v>
      </c>
      <c r="E1623" t="s">
        <v>161</v>
      </c>
      <c r="G1623" t="s">
        <v>1353</v>
      </c>
      <c r="H1623" t="s">
        <v>399</v>
      </c>
      <c r="K1623">
        <v>1985</v>
      </c>
      <c r="O1623">
        <v>260.53999999999996</v>
      </c>
      <c r="P1623" t="str">
        <f t="shared" si="11"/>
        <v>Yes</v>
      </c>
      <c r="Q1623" t="s">
        <v>398</v>
      </c>
    </row>
    <row r="1624" spans="1:18">
      <c r="A1624" t="s">
        <v>913</v>
      </c>
      <c r="B1624" t="s">
        <v>593</v>
      </c>
      <c r="C1624" t="s">
        <v>393</v>
      </c>
      <c r="D1624" t="s">
        <v>505</v>
      </c>
      <c r="E1624" t="s">
        <v>161</v>
      </c>
      <c r="G1624" t="s">
        <v>1354</v>
      </c>
      <c r="H1624" t="s">
        <v>399</v>
      </c>
      <c r="K1624">
        <v>1985</v>
      </c>
      <c r="O1624">
        <v>335.65</v>
      </c>
      <c r="P1624" t="str">
        <f t="shared" si="11"/>
        <v>Yes</v>
      </c>
      <c r="Q1624" t="s">
        <v>398</v>
      </c>
    </row>
    <row r="1625" spans="1:18">
      <c r="A1625" t="s">
        <v>913</v>
      </c>
      <c r="B1625" t="s">
        <v>593</v>
      </c>
      <c r="C1625" t="s">
        <v>393</v>
      </c>
      <c r="D1625" t="s">
        <v>505</v>
      </c>
      <c r="E1625" t="s">
        <v>161</v>
      </c>
      <c r="G1625" t="s">
        <v>1355</v>
      </c>
      <c r="H1625" t="s">
        <v>399</v>
      </c>
      <c r="K1625">
        <v>1985</v>
      </c>
      <c r="O1625">
        <v>383.56</v>
      </c>
      <c r="P1625" t="str">
        <f t="shared" si="11"/>
        <v>Yes</v>
      </c>
      <c r="Q1625" t="s">
        <v>398</v>
      </c>
    </row>
    <row r="1626" spans="1:18">
      <c r="A1626" t="s">
        <v>913</v>
      </c>
      <c r="B1626" t="s">
        <v>593</v>
      </c>
      <c r="C1626" t="s">
        <v>393</v>
      </c>
      <c r="D1626" t="s">
        <v>505</v>
      </c>
      <c r="E1626" t="s">
        <v>161</v>
      </c>
      <c r="G1626" t="s">
        <v>1342</v>
      </c>
      <c r="H1626" t="s">
        <v>399</v>
      </c>
      <c r="K1626">
        <v>1985</v>
      </c>
      <c r="O1626">
        <v>861.05000000000007</v>
      </c>
      <c r="P1626" t="str">
        <f t="shared" si="11"/>
        <v>Yes</v>
      </c>
      <c r="Q1626" t="s">
        <v>398</v>
      </c>
    </row>
    <row r="1627" spans="1:18">
      <c r="A1627" t="s">
        <v>1356</v>
      </c>
      <c r="B1627" t="s">
        <v>593</v>
      </c>
      <c r="C1627" t="s">
        <v>393</v>
      </c>
      <c r="E1627" t="s">
        <v>368</v>
      </c>
      <c r="F1627" t="s">
        <v>368</v>
      </c>
      <c r="G1627" t="s">
        <v>1028</v>
      </c>
      <c r="I1627">
        <v>-20.809414</v>
      </c>
      <c r="J1627">
        <v>166.65830199999999</v>
      </c>
      <c r="K1627">
        <v>1996</v>
      </c>
      <c r="M1627">
        <v>22</v>
      </c>
      <c r="P1627" t="s">
        <v>595</v>
      </c>
      <c r="Q1627" t="s">
        <v>403</v>
      </c>
      <c r="R1627" t="s">
        <v>1357</v>
      </c>
    </row>
    <row r="1628" spans="1:18">
      <c r="A1628" t="s">
        <v>1358</v>
      </c>
      <c r="B1628" t="s">
        <v>593</v>
      </c>
      <c r="C1628" t="s">
        <v>393</v>
      </c>
      <c r="D1628" t="s">
        <v>729</v>
      </c>
      <c r="E1628" t="s">
        <v>161</v>
      </c>
      <c r="G1628" t="s">
        <v>1359</v>
      </c>
      <c r="H1628" t="s">
        <v>700</v>
      </c>
      <c r="K1628">
        <v>1913</v>
      </c>
      <c r="L1628">
        <v>2007</v>
      </c>
      <c r="M1628">
        <v>95</v>
      </c>
      <c r="O1628">
        <v>14.94736842</v>
      </c>
      <c r="P1628">
        <v>1</v>
      </c>
      <c r="Q1628" t="s">
        <v>701</v>
      </c>
    </row>
    <row r="1629" spans="1:18">
      <c r="A1629" t="s">
        <v>1358</v>
      </c>
      <c r="B1629" t="s">
        <v>593</v>
      </c>
      <c r="C1629" t="s">
        <v>393</v>
      </c>
      <c r="D1629" t="s">
        <v>729</v>
      </c>
      <c r="E1629" t="s">
        <v>161</v>
      </c>
      <c r="G1629" t="s">
        <v>1360</v>
      </c>
      <c r="H1629" t="s">
        <v>700</v>
      </c>
      <c r="K1629">
        <v>1923</v>
      </c>
      <c r="L1629">
        <v>2007</v>
      </c>
      <c r="M1629">
        <v>85</v>
      </c>
      <c r="O1629">
        <v>10.94117647</v>
      </c>
      <c r="P1629">
        <v>1</v>
      </c>
      <c r="Q1629" t="s">
        <v>701</v>
      </c>
    </row>
    <row r="1630" spans="1:18">
      <c r="A1630" t="s">
        <v>1361</v>
      </c>
      <c r="B1630" t="s">
        <v>593</v>
      </c>
      <c r="C1630" t="s">
        <v>393</v>
      </c>
      <c r="D1630" t="s">
        <v>729</v>
      </c>
      <c r="E1630" t="s">
        <v>161</v>
      </c>
      <c r="G1630" t="s">
        <v>798</v>
      </c>
      <c r="H1630" t="s">
        <v>700</v>
      </c>
      <c r="K1630">
        <v>1913</v>
      </c>
      <c r="L1630">
        <v>2012</v>
      </c>
      <c r="M1630">
        <v>100</v>
      </c>
      <c r="O1630">
        <v>7.7423899199999999</v>
      </c>
      <c r="P1630">
        <v>1</v>
      </c>
      <c r="Q1630" t="s">
        <v>701</v>
      </c>
    </row>
    <row r="1631" spans="1:18">
      <c r="A1631" t="s">
        <v>1362</v>
      </c>
      <c r="B1631" t="s">
        <v>593</v>
      </c>
      <c r="C1631" t="s">
        <v>393</v>
      </c>
      <c r="D1631" t="s">
        <v>554</v>
      </c>
      <c r="E1631" t="s">
        <v>161</v>
      </c>
      <c r="G1631" t="s">
        <v>560</v>
      </c>
      <c r="H1631" t="s">
        <v>399</v>
      </c>
      <c r="K1631">
        <v>1982</v>
      </c>
      <c r="O1631">
        <v>-28</v>
      </c>
      <c r="P1631" t="str">
        <f t="shared" ref="P1631:P1658" si="12">IF(O1631&gt;0,"Yes","No")</f>
        <v>No</v>
      </c>
      <c r="Q1631" t="s">
        <v>398</v>
      </c>
    </row>
    <row r="1632" spans="1:18">
      <c r="A1632" t="s">
        <v>1362</v>
      </c>
      <c r="B1632" t="s">
        <v>593</v>
      </c>
      <c r="C1632" t="s">
        <v>393</v>
      </c>
      <c r="D1632" t="s">
        <v>554</v>
      </c>
      <c r="E1632" t="s">
        <v>161</v>
      </c>
      <c r="G1632" t="s">
        <v>608</v>
      </c>
      <c r="H1632" t="s">
        <v>399</v>
      </c>
      <c r="K1632">
        <v>1982</v>
      </c>
      <c r="O1632">
        <v>-28</v>
      </c>
      <c r="P1632" t="str">
        <f t="shared" si="12"/>
        <v>No</v>
      </c>
      <c r="Q1632" t="s">
        <v>398</v>
      </c>
    </row>
    <row r="1633" spans="1:17">
      <c r="A1633" t="s">
        <v>1362</v>
      </c>
      <c r="B1633" t="s">
        <v>593</v>
      </c>
      <c r="C1633" t="s">
        <v>393</v>
      </c>
      <c r="D1633" t="s">
        <v>554</v>
      </c>
      <c r="E1633" t="s">
        <v>161</v>
      </c>
      <c r="G1633" t="s">
        <v>170</v>
      </c>
      <c r="H1633" t="s">
        <v>399</v>
      </c>
      <c r="K1633">
        <v>1982</v>
      </c>
      <c r="O1633">
        <v>-15.2</v>
      </c>
      <c r="P1633" t="str">
        <f t="shared" si="12"/>
        <v>No</v>
      </c>
      <c r="Q1633" t="s">
        <v>398</v>
      </c>
    </row>
    <row r="1634" spans="1:17">
      <c r="A1634" t="s">
        <v>1362</v>
      </c>
      <c r="B1634" t="s">
        <v>593</v>
      </c>
      <c r="C1634" t="s">
        <v>393</v>
      </c>
      <c r="D1634" t="s">
        <v>554</v>
      </c>
      <c r="E1634" t="s">
        <v>161</v>
      </c>
      <c r="G1634" t="s">
        <v>573</v>
      </c>
      <c r="H1634" t="s">
        <v>399</v>
      </c>
      <c r="K1634">
        <v>1982</v>
      </c>
      <c r="O1634">
        <v>-4</v>
      </c>
      <c r="P1634" t="str">
        <f t="shared" si="12"/>
        <v>No</v>
      </c>
      <c r="Q1634" t="s">
        <v>398</v>
      </c>
    </row>
    <row r="1635" spans="1:17">
      <c r="A1635" t="s">
        <v>1362</v>
      </c>
      <c r="B1635" t="s">
        <v>593</v>
      </c>
      <c r="C1635" t="s">
        <v>393</v>
      </c>
      <c r="D1635" t="s">
        <v>554</v>
      </c>
      <c r="E1635" t="s">
        <v>161</v>
      </c>
      <c r="G1635" t="s">
        <v>1363</v>
      </c>
      <c r="H1635" t="s">
        <v>399</v>
      </c>
      <c r="K1635">
        <v>1982</v>
      </c>
      <c r="O1635">
        <v>-2.8000000000000003</v>
      </c>
      <c r="P1635" t="str">
        <f t="shared" si="12"/>
        <v>No</v>
      </c>
      <c r="Q1635" t="s">
        <v>398</v>
      </c>
    </row>
    <row r="1636" spans="1:17">
      <c r="A1636" t="s">
        <v>1362</v>
      </c>
      <c r="B1636" t="s">
        <v>593</v>
      </c>
      <c r="C1636" t="s">
        <v>393</v>
      </c>
      <c r="D1636" t="s">
        <v>554</v>
      </c>
      <c r="E1636" t="s">
        <v>161</v>
      </c>
      <c r="G1636" t="s">
        <v>637</v>
      </c>
      <c r="H1636" t="s">
        <v>399</v>
      </c>
      <c r="K1636">
        <v>1982</v>
      </c>
      <c r="O1636">
        <v>0.8</v>
      </c>
      <c r="P1636" t="str">
        <f t="shared" si="12"/>
        <v>Yes</v>
      </c>
      <c r="Q1636" t="s">
        <v>398</v>
      </c>
    </row>
    <row r="1637" spans="1:17">
      <c r="A1637" t="s">
        <v>1362</v>
      </c>
      <c r="B1637" t="s">
        <v>593</v>
      </c>
      <c r="C1637" t="s">
        <v>393</v>
      </c>
      <c r="D1637" t="s">
        <v>554</v>
      </c>
      <c r="E1637" t="s">
        <v>161</v>
      </c>
      <c r="G1637" t="s">
        <v>627</v>
      </c>
      <c r="H1637" t="s">
        <v>399</v>
      </c>
      <c r="K1637">
        <v>1982</v>
      </c>
      <c r="O1637">
        <v>1.2</v>
      </c>
      <c r="P1637" t="str">
        <f t="shared" si="12"/>
        <v>Yes</v>
      </c>
      <c r="Q1637" t="s">
        <v>398</v>
      </c>
    </row>
    <row r="1638" spans="1:17">
      <c r="A1638" t="s">
        <v>1362</v>
      </c>
      <c r="B1638" t="s">
        <v>593</v>
      </c>
      <c r="C1638" t="s">
        <v>393</v>
      </c>
      <c r="D1638" t="s">
        <v>554</v>
      </c>
      <c r="E1638" t="s">
        <v>161</v>
      </c>
      <c r="G1638" t="s">
        <v>571</v>
      </c>
      <c r="H1638" t="s">
        <v>399</v>
      </c>
      <c r="K1638">
        <v>1982</v>
      </c>
      <c r="O1638">
        <v>2.4</v>
      </c>
      <c r="P1638" t="str">
        <f t="shared" si="12"/>
        <v>Yes</v>
      </c>
      <c r="Q1638" t="s">
        <v>398</v>
      </c>
    </row>
    <row r="1639" spans="1:17">
      <c r="A1639" t="s">
        <v>1362</v>
      </c>
      <c r="B1639" t="s">
        <v>593</v>
      </c>
      <c r="C1639" t="s">
        <v>393</v>
      </c>
      <c r="D1639" t="s">
        <v>554</v>
      </c>
      <c r="E1639" t="s">
        <v>161</v>
      </c>
      <c r="G1639" t="s">
        <v>184</v>
      </c>
      <c r="H1639" t="s">
        <v>399</v>
      </c>
      <c r="K1639">
        <v>1982</v>
      </c>
      <c r="O1639">
        <v>6.4</v>
      </c>
      <c r="P1639" t="str">
        <f t="shared" si="12"/>
        <v>Yes</v>
      </c>
      <c r="Q1639" t="s">
        <v>398</v>
      </c>
    </row>
    <row r="1640" spans="1:17">
      <c r="A1640" t="s">
        <v>1362</v>
      </c>
      <c r="B1640" t="s">
        <v>593</v>
      </c>
      <c r="C1640" t="s">
        <v>393</v>
      </c>
      <c r="D1640" t="s">
        <v>554</v>
      </c>
      <c r="E1640" t="s">
        <v>161</v>
      </c>
      <c r="G1640" t="s">
        <v>607</v>
      </c>
      <c r="H1640" t="s">
        <v>399</v>
      </c>
      <c r="K1640">
        <v>1982</v>
      </c>
      <c r="O1640">
        <v>8.4</v>
      </c>
      <c r="P1640" t="str">
        <f t="shared" si="12"/>
        <v>Yes</v>
      </c>
      <c r="Q1640" t="s">
        <v>398</v>
      </c>
    </row>
    <row r="1641" spans="1:17">
      <c r="A1641" t="s">
        <v>1362</v>
      </c>
      <c r="B1641" t="s">
        <v>593</v>
      </c>
      <c r="C1641" t="s">
        <v>393</v>
      </c>
      <c r="D1641" t="s">
        <v>554</v>
      </c>
      <c r="E1641" t="s">
        <v>161</v>
      </c>
      <c r="G1641" t="s">
        <v>585</v>
      </c>
      <c r="H1641" t="s">
        <v>399</v>
      </c>
      <c r="K1641">
        <v>1982</v>
      </c>
      <c r="O1641">
        <v>9.2000000000000011</v>
      </c>
      <c r="P1641" t="str">
        <f t="shared" si="12"/>
        <v>Yes</v>
      </c>
      <c r="Q1641" t="s">
        <v>398</v>
      </c>
    </row>
    <row r="1642" spans="1:17">
      <c r="A1642" t="s">
        <v>1362</v>
      </c>
      <c r="B1642" t="s">
        <v>593</v>
      </c>
      <c r="C1642" t="s">
        <v>393</v>
      </c>
      <c r="D1642" t="s">
        <v>554</v>
      </c>
      <c r="E1642" t="s">
        <v>161</v>
      </c>
      <c r="G1642" t="s">
        <v>1364</v>
      </c>
      <c r="H1642" t="s">
        <v>399</v>
      </c>
      <c r="K1642">
        <v>1982</v>
      </c>
      <c r="O1642">
        <v>10.8</v>
      </c>
      <c r="P1642" t="str">
        <f t="shared" si="12"/>
        <v>Yes</v>
      </c>
      <c r="Q1642" t="s">
        <v>398</v>
      </c>
    </row>
    <row r="1643" spans="1:17">
      <c r="A1643" t="s">
        <v>1362</v>
      </c>
      <c r="B1643" t="s">
        <v>593</v>
      </c>
      <c r="C1643" t="s">
        <v>393</v>
      </c>
      <c r="D1643" t="s">
        <v>554</v>
      </c>
      <c r="E1643" t="s">
        <v>161</v>
      </c>
      <c r="G1643" t="s">
        <v>614</v>
      </c>
      <c r="H1643" t="s">
        <v>399</v>
      </c>
      <c r="K1643">
        <v>1982</v>
      </c>
      <c r="O1643">
        <v>13.600000000000001</v>
      </c>
      <c r="P1643" t="str">
        <f t="shared" si="12"/>
        <v>Yes</v>
      </c>
      <c r="Q1643" t="s">
        <v>398</v>
      </c>
    </row>
    <row r="1644" spans="1:17">
      <c r="A1644" t="s">
        <v>1362</v>
      </c>
      <c r="B1644" t="s">
        <v>593</v>
      </c>
      <c r="C1644" t="s">
        <v>393</v>
      </c>
      <c r="D1644" t="s">
        <v>554</v>
      </c>
      <c r="E1644" t="s">
        <v>161</v>
      </c>
      <c r="G1644" t="s">
        <v>584</v>
      </c>
      <c r="H1644" t="s">
        <v>399</v>
      </c>
      <c r="K1644">
        <v>1982</v>
      </c>
      <c r="O1644">
        <v>15.600000000000001</v>
      </c>
      <c r="P1644" t="str">
        <f t="shared" si="12"/>
        <v>Yes</v>
      </c>
      <c r="Q1644" t="s">
        <v>398</v>
      </c>
    </row>
    <row r="1645" spans="1:17">
      <c r="A1645" t="s">
        <v>1362</v>
      </c>
      <c r="B1645" t="s">
        <v>593</v>
      </c>
      <c r="C1645" t="s">
        <v>393</v>
      </c>
      <c r="D1645" t="s">
        <v>554</v>
      </c>
      <c r="E1645" t="s">
        <v>161</v>
      </c>
      <c r="G1645" t="s">
        <v>577</v>
      </c>
      <c r="H1645" t="s">
        <v>399</v>
      </c>
      <c r="K1645">
        <v>1982</v>
      </c>
      <c r="O1645">
        <v>16</v>
      </c>
      <c r="P1645" t="str">
        <f t="shared" si="12"/>
        <v>Yes</v>
      </c>
      <c r="Q1645" t="s">
        <v>398</v>
      </c>
    </row>
    <row r="1646" spans="1:17">
      <c r="A1646" t="s">
        <v>1362</v>
      </c>
      <c r="B1646" t="s">
        <v>593</v>
      </c>
      <c r="C1646" t="s">
        <v>393</v>
      </c>
      <c r="D1646" t="s">
        <v>554</v>
      </c>
      <c r="E1646" t="s">
        <v>161</v>
      </c>
      <c r="G1646" t="s">
        <v>586</v>
      </c>
      <c r="H1646" t="s">
        <v>399</v>
      </c>
      <c r="K1646">
        <v>1982</v>
      </c>
      <c r="O1646">
        <v>16.399999999999999</v>
      </c>
      <c r="P1646" t="str">
        <f t="shared" si="12"/>
        <v>Yes</v>
      </c>
      <c r="Q1646" t="s">
        <v>398</v>
      </c>
    </row>
    <row r="1647" spans="1:17">
      <c r="A1647" t="s">
        <v>1362</v>
      </c>
      <c r="B1647" t="s">
        <v>593</v>
      </c>
      <c r="C1647" t="s">
        <v>393</v>
      </c>
      <c r="D1647" t="s">
        <v>554</v>
      </c>
      <c r="E1647" t="s">
        <v>161</v>
      </c>
      <c r="G1647" t="s">
        <v>1104</v>
      </c>
      <c r="H1647" t="s">
        <v>399</v>
      </c>
      <c r="K1647">
        <v>1982</v>
      </c>
      <c r="O1647">
        <v>18.400000000000002</v>
      </c>
      <c r="P1647" t="str">
        <f t="shared" si="12"/>
        <v>Yes</v>
      </c>
      <c r="Q1647" t="s">
        <v>398</v>
      </c>
    </row>
    <row r="1648" spans="1:17">
      <c r="A1648" t="s">
        <v>1362</v>
      </c>
      <c r="B1648" t="s">
        <v>593</v>
      </c>
      <c r="C1648" t="s">
        <v>393</v>
      </c>
      <c r="D1648" t="s">
        <v>554</v>
      </c>
      <c r="E1648" t="s">
        <v>161</v>
      </c>
      <c r="G1648" t="s">
        <v>583</v>
      </c>
      <c r="H1648" t="s">
        <v>399</v>
      </c>
      <c r="K1648">
        <v>1982</v>
      </c>
      <c r="O1648">
        <v>19.2</v>
      </c>
      <c r="P1648" t="str">
        <f t="shared" si="12"/>
        <v>Yes</v>
      </c>
      <c r="Q1648" t="s">
        <v>398</v>
      </c>
    </row>
    <row r="1649" spans="1:18">
      <c r="A1649" t="s">
        <v>1362</v>
      </c>
      <c r="B1649" t="s">
        <v>593</v>
      </c>
      <c r="C1649" t="s">
        <v>393</v>
      </c>
      <c r="D1649" t="s">
        <v>554</v>
      </c>
      <c r="E1649" t="s">
        <v>161</v>
      </c>
      <c r="G1649" t="s">
        <v>1113</v>
      </c>
      <c r="H1649" t="s">
        <v>399</v>
      </c>
      <c r="K1649">
        <v>1982</v>
      </c>
      <c r="O1649">
        <v>20.399999999999999</v>
      </c>
      <c r="P1649" t="str">
        <f t="shared" si="12"/>
        <v>Yes</v>
      </c>
      <c r="Q1649" t="s">
        <v>398</v>
      </c>
    </row>
    <row r="1650" spans="1:18">
      <c r="A1650" t="s">
        <v>1362</v>
      </c>
      <c r="B1650" t="s">
        <v>593</v>
      </c>
      <c r="C1650" t="s">
        <v>393</v>
      </c>
      <c r="D1650" t="s">
        <v>554</v>
      </c>
      <c r="E1650" t="s">
        <v>161</v>
      </c>
      <c r="G1650" t="s">
        <v>622</v>
      </c>
      <c r="H1650" t="s">
        <v>399</v>
      </c>
      <c r="K1650">
        <v>1982</v>
      </c>
      <c r="O1650">
        <v>22</v>
      </c>
      <c r="P1650" t="str">
        <f t="shared" si="12"/>
        <v>Yes</v>
      </c>
      <c r="Q1650" t="s">
        <v>398</v>
      </c>
    </row>
    <row r="1651" spans="1:18">
      <c r="A1651" t="s">
        <v>1362</v>
      </c>
      <c r="B1651" t="s">
        <v>593</v>
      </c>
      <c r="C1651" t="s">
        <v>393</v>
      </c>
      <c r="D1651" t="s">
        <v>554</v>
      </c>
      <c r="E1651" t="s">
        <v>161</v>
      </c>
      <c r="G1651" t="s">
        <v>578</v>
      </c>
      <c r="H1651" t="s">
        <v>399</v>
      </c>
      <c r="K1651">
        <v>1982</v>
      </c>
      <c r="O1651">
        <v>22.799999999999997</v>
      </c>
      <c r="P1651" t="str">
        <f t="shared" si="12"/>
        <v>Yes</v>
      </c>
      <c r="Q1651" t="s">
        <v>398</v>
      </c>
    </row>
    <row r="1652" spans="1:18">
      <c r="A1652" t="s">
        <v>1362</v>
      </c>
      <c r="B1652" t="s">
        <v>593</v>
      </c>
      <c r="C1652" t="s">
        <v>393</v>
      </c>
      <c r="D1652" t="s">
        <v>554</v>
      </c>
      <c r="E1652" t="s">
        <v>161</v>
      </c>
      <c r="G1652" t="s">
        <v>638</v>
      </c>
      <c r="H1652" t="s">
        <v>399</v>
      </c>
      <c r="K1652">
        <v>1982</v>
      </c>
      <c r="O1652">
        <v>24</v>
      </c>
      <c r="P1652" t="str">
        <f t="shared" si="12"/>
        <v>Yes</v>
      </c>
      <c r="Q1652" t="s">
        <v>398</v>
      </c>
    </row>
    <row r="1653" spans="1:18">
      <c r="A1653" t="s">
        <v>1362</v>
      </c>
      <c r="B1653" t="s">
        <v>593</v>
      </c>
      <c r="C1653" t="s">
        <v>393</v>
      </c>
      <c r="D1653" t="s">
        <v>554</v>
      </c>
      <c r="E1653" t="s">
        <v>161</v>
      </c>
      <c r="G1653" t="s">
        <v>1365</v>
      </c>
      <c r="H1653" t="s">
        <v>399</v>
      </c>
      <c r="K1653">
        <v>1982</v>
      </c>
      <c r="O1653">
        <v>26.400000000000002</v>
      </c>
      <c r="P1653" t="str">
        <f t="shared" si="12"/>
        <v>Yes</v>
      </c>
      <c r="Q1653" t="s">
        <v>398</v>
      </c>
    </row>
    <row r="1654" spans="1:18">
      <c r="A1654" t="s">
        <v>1362</v>
      </c>
      <c r="B1654" t="s">
        <v>593</v>
      </c>
      <c r="C1654" t="s">
        <v>393</v>
      </c>
      <c r="D1654" t="s">
        <v>554</v>
      </c>
      <c r="E1654" t="s">
        <v>161</v>
      </c>
      <c r="G1654" t="s">
        <v>1264</v>
      </c>
      <c r="H1654" t="s">
        <v>399</v>
      </c>
      <c r="K1654">
        <v>1982</v>
      </c>
      <c r="O1654">
        <v>30.4</v>
      </c>
      <c r="P1654" t="str">
        <f t="shared" si="12"/>
        <v>Yes</v>
      </c>
      <c r="Q1654" t="s">
        <v>398</v>
      </c>
    </row>
    <row r="1655" spans="1:18">
      <c r="A1655" t="s">
        <v>1362</v>
      </c>
      <c r="B1655" t="s">
        <v>593</v>
      </c>
      <c r="C1655" t="s">
        <v>393</v>
      </c>
      <c r="D1655" t="s">
        <v>554</v>
      </c>
      <c r="E1655" t="s">
        <v>161</v>
      </c>
      <c r="G1655" t="s">
        <v>605</v>
      </c>
      <c r="H1655" t="s">
        <v>399</v>
      </c>
      <c r="K1655">
        <v>1982</v>
      </c>
      <c r="O1655">
        <v>30.4</v>
      </c>
      <c r="P1655" t="str">
        <f t="shared" si="12"/>
        <v>Yes</v>
      </c>
      <c r="Q1655" t="s">
        <v>398</v>
      </c>
    </row>
    <row r="1656" spans="1:18">
      <c r="A1656" t="s">
        <v>1362</v>
      </c>
      <c r="B1656" t="s">
        <v>593</v>
      </c>
      <c r="C1656" t="s">
        <v>393</v>
      </c>
      <c r="D1656" t="s">
        <v>554</v>
      </c>
      <c r="E1656" t="s">
        <v>161</v>
      </c>
      <c r="G1656" t="s">
        <v>203</v>
      </c>
      <c r="H1656" t="s">
        <v>399</v>
      </c>
      <c r="K1656">
        <v>1982</v>
      </c>
      <c r="O1656">
        <v>39.200000000000003</v>
      </c>
      <c r="P1656" t="str">
        <f t="shared" si="12"/>
        <v>Yes</v>
      </c>
      <c r="Q1656" t="s">
        <v>398</v>
      </c>
    </row>
    <row r="1657" spans="1:18">
      <c r="A1657" t="s">
        <v>1362</v>
      </c>
      <c r="B1657" t="s">
        <v>593</v>
      </c>
      <c r="C1657" t="s">
        <v>393</v>
      </c>
      <c r="D1657" t="s">
        <v>554</v>
      </c>
      <c r="E1657" t="s">
        <v>161</v>
      </c>
      <c r="G1657" t="s">
        <v>1112</v>
      </c>
      <c r="H1657" t="s">
        <v>399</v>
      </c>
      <c r="K1657">
        <v>1982</v>
      </c>
      <c r="O1657">
        <v>61.2</v>
      </c>
      <c r="P1657" t="str">
        <f t="shared" si="12"/>
        <v>Yes</v>
      </c>
      <c r="Q1657" t="s">
        <v>398</v>
      </c>
    </row>
    <row r="1658" spans="1:18">
      <c r="A1658" t="s">
        <v>1362</v>
      </c>
      <c r="B1658" t="s">
        <v>593</v>
      </c>
      <c r="C1658" t="s">
        <v>393</v>
      </c>
      <c r="D1658" t="s">
        <v>554</v>
      </c>
      <c r="E1658" t="s">
        <v>161</v>
      </c>
      <c r="G1658" t="s">
        <v>564</v>
      </c>
      <c r="H1658" t="s">
        <v>399</v>
      </c>
      <c r="K1658">
        <v>1982</v>
      </c>
      <c r="O1658">
        <v>94.800000000000011</v>
      </c>
      <c r="P1658" t="str">
        <f t="shared" si="12"/>
        <v>Yes</v>
      </c>
      <c r="Q1658" t="s">
        <v>398</v>
      </c>
    </row>
    <row r="1659" spans="1:18">
      <c r="A1659" t="s">
        <v>1366</v>
      </c>
      <c r="B1659" t="s">
        <v>593</v>
      </c>
      <c r="C1659" t="s">
        <v>393</v>
      </c>
      <c r="D1659" t="s">
        <v>1165</v>
      </c>
      <c r="E1659" t="s">
        <v>368</v>
      </c>
      <c r="F1659" t="s">
        <v>368</v>
      </c>
      <c r="G1659" t="s">
        <v>1367</v>
      </c>
      <c r="I1659">
        <v>-71.946088000000003</v>
      </c>
      <c r="J1659">
        <v>-60.159120999999999</v>
      </c>
      <c r="K1659">
        <v>1979</v>
      </c>
      <c r="M1659">
        <v>32</v>
      </c>
      <c r="P1659" t="s">
        <v>595</v>
      </c>
      <c r="Q1659" t="s">
        <v>403</v>
      </c>
      <c r="R1659" t="s">
        <v>1368</v>
      </c>
    </row>
    <row r="1660" spans="1:18">
      <c r="A1660" t="s">
        <v>1366</v>
      </c>
      <c r="B1660" t="s">
        <v>593</v>
      </c>
      <c r="C1660" t="s">
        <v>393</v>
      </c>
      <c r="D1660" t="s">
        <v>1165</v>
      </c>
      <c r="E1660" t="s">
        <v>368</v>
      </c>
      <c r="F1660" t="s">
        <v>368</v>
      </c>
      <c r="G1660" t="s">
        <v>1369</v>
      </c>
      <c r="I1660">
        <v>-71.946088000000003</v>
      </c>
      <c r="J1660">
        <v>-60.159120999999999</v>
      </c>
      <c r="K1660">
        <v>1979</v>
      </c>
      <c r="M1660">
        <v>32</v>
      </c>
      <c r="P1660" t="s">
        <v>595</v>
      </c>
      <c r="Q1660" t="s">
        <v>403</v>
      </c>
      <c r="R1660" t="s">
        <v>1368</v>
      </c>
    </row>
    <row r="1661" spans="1:18">
      <c r="A1661" t="s">
        <v>1366</v>
      </c>
      <c r="B1661" t="s">
        <v>593</v>
      </c>
      <c r="C1661" t="s">
        <v>393</v>
      </c>
      <c r="D1661" t="s">
        <v>1165</v>
      </c>
      <c r="E1661" t="s">
        <v>368</v>
      </c>
      <c r="F1661" t="s">
        <v>368</v>
      </c>
      <c r="G1661" t="s">
        <v>1370</v>
      </c>
      <c r="I1661">
        <v>-71.946088000000003</v>
      </c>
      <c r="J1661">
        <v>-60.159120999999999</v>
      </c>
      <c r="K1661">
        <v>1979</v>
      </c>
      <c r="M1661">
        <v>32</v>
      </c>
      <c r="P1661" t="s">
        <v>595</v>
      </c>
      <c r="Q1661" t="s">
        <v>403</v>
      </c>
      <c r="R1661" t="s">
        <v>1368</v>
      </c>
    </row>
    <row r="1662" spans="1:18">
      <c r="A1662" t="s">
        <v>1366</v>
      </c>
      <c r="B1662" t="s">
        <v>593</v>
      </c>
      <c r="C1662" t="s">
        <v>393</v>
      </c>
      <c r="D1662" t="s">
        <v>1165</v>
      </c>
      <c r="E1662" t="s">
        <v>368</v>
      </c>
      <c r="F1662" t="s">
        <v>368</v>
      </c>
      <c r="G1662" t="s">
        <v>1370</v>
      </c>
      <c r="I1662">
        <v>-71.946088000000003</v>
      </c>
      <c r="J1662">
        <v>-60.159120999999999</v>
      </c>
      <c r="K1662">
        <v>1979</v>
      </c>
      <c r="M1662">
        <v>32</v>
      </c>
      <c r="P1662" t="s">
        <v>593</v>
      </c>
      <c r="Q1662" t="s">
        <v>403</v>
      </c>
      <c r="R1662" t="s">
        <v>1368</v>
      </c>
    </row>
    <row r="1663" spans="1:18">
      <c r="A1663" t="s">
        <v>1366</v>
      </c>
      <c r="B1663" t="s">
        <v>593</v>
      </c>
      <c r="C1663" t="s">
        <v>393</v>
      </c>
      <c r="D1663" t="s">
        <v>1165</v>
      </c>
      <c r="E1663" t="s">
        <v>368</v>
      </c>
      <c r="F1663" t="s">
        <v>368</v>
      </c>
      <c r="G1663" t="s">
        <v>1370</v>
      </c>
      <c r="I1663">
        <v>-71.946088000000003</v>
      </c>
      <c r="J1663">
        <v>-60.159120999999999</v>
      </c>
      <c r="K1663">
        <v>1979</v>
      </c>
      <c r="M1663">
        <v>32</v>
      </c>
      <c r="P1663" t="s">
        <v>593</v>
      </c>
      <c r="Q1663" t="s">
        <v>403</v>
      </c>
      <c r="R1663" t="s">
        <v>1368</v>
      </c>
    </row>
    <row r="1664" spans="1:18">
      <c r="A1664" t="s">
        <v>1366</v>
      </c>
      <c r="B1664" t="s">
        <v>593</v>
      </c>
      <c r="C1664" t="s">
        <v>393</v>
      </c>
      <c r="D1664" t="s">
        <v>1165</v>
      </c>
      <c r="E1664" t="s">
        <v>368</v>
      </c>
      <c r="F1664" t="s">
        <v>368</v>
      </c>
      <c r="G1664" t="s">
        <v>1370</v>
      </c>
      <c r="I1664">
        <v>-71.946088000000003</v>
      </c>
      <c r="J1664">
        <v>-60.159120999999999</v>
      </c>
      <c r="K1664">
        <v>1979</v>
      </c>
      <c r="M1664">
        <v>32</v>
      </c>
      <c r="P1664" t="s">
        <v>593</v>
      </c>
      <c r="Q1664" t="s">
        <v>403</v>
      </c>
      <c r="R1664" t="s">
        <v>1368</v>
      </c>
    </row>
    <row r="1665" spans="1:18">
      <c r="A1665" t="s">
        <v>1366</v>
      </c>
      <c r="B1665" t="s">
        <v>593</v>
      </c>
      <c r="C1665" t="s">
        <v>393</v>
      </c>
      <c r="D1665" t="s">
        <v>1165</v>
      </c>
      <c r="E1665" t="s">
        <v>368</v>
      </c>
      <c r="F1665" t="s">
        <v>368</v>
      </c>
      <c r="G1665" t="s">
        <v>1367</v>
      </c>
      <c r="I1665">
        <v>-71.946088000000003</v>
      </c>
      <c r="J1665">
        <v>-60.159120999999999</v>
      </c>
      <c r="K1665">
        <v>1979</v>
      </c>
      <c r="M1665">
        <v>32</v>
      </c>
      <c r="P1665" t="s">
        <v>595</v>
      </c>
      <c r="Q1665" t="s">
        <v>403</v>
      </c>
      <c r="R1665" t="s">
        <v>1368</v>
      </c>
    </row>
    <row r="1666" spans="1:18">
      <c r="A1666" t="s">
        <v>1366</v>
      </c>
      <c r="B1666" t="s">
        <v>593</v>
      </c>
      <c r="C1666" t="s">
        <v>393</v>
      </c>
      <c r="D1666" t="s">
        <v>1165</v>
      </c>
      <c r="E1666" t="s">
        <v>368</v>
      </c>
      <c r="F1666" t="s">
        <v>368</v>
      </c>
      <c r="G1666" t="s">
        <v>1369</v>
      </c>
      <c r="I1666">
        <v>-71.946088000000003</v>
      </c>
      <c r="J1666">
        <v>-60.159120999999999</v>
      </c>
      <c r="K1666">
        <v>1979</v>
      </c>
      <c r="M1666">
        <v>32</v>
      </c>
      <c r="P1666" t="s">
        <v>595</v>
      </c>
      <c r="Q1666" t="s">
        <v>403</v>
      </c>
      <c r="R1666" t="s">
        <v>1368</v>
      </c>
    </row>
    <row r="1667" spans="1:18">
      <c r="A1667" t="s">
        <v>1366</v>
      </c>
      <c r="B1667" t="s">
        <v>593</v>
      </c>
      <c r="C1667" t="s">
        <v>393</v>
      </c>
      <c r="D1667" t="s">
        <v>1165</v>
      </c>
      <c r="E1667" t="s">
        <v>368</v>
      </c>
      <c r="F1667" t="s">
        <v>368</v>
      </c>
      <c r="G1667" t="s">
        <v>1370</v>
      </c>
      <c r="I1667">
        <v>-71.946088000000003</v>
      </c>
      <c r="J1667">
        <v>-60.159120999999999</v>
      </c>
      <c r="K1667">
        <v>1979</v>
      </c>
      <c r="M1667">
        <v>32</v>
      </c>
      <c r="P1667" t="s">
        <v>595</v>
      </c>
      <c r="Q1667" t="s">
        <v>403</v>
      </c>
      <c r="R1667" t="s">
        <v>1368</v>
      </c>
    </row>
    <row r="1668" spans="1:18">
      <c r="A1668" t="s">
        <v>1366</v>
      </c>
      <c r="B1668" t="s">
        <v>593</v>
      </c>
      <c r="C1668" t="s">
        <v>393</v>
      </c>
      <c r="D1668" t="s">
        <v>1165</v>
      </c>
      <c r="E1668" t="s">
        <v>368</v>
      </c>
      <c r="F1668" t="s">
        <v>368</v>
      </c>
      <c r="G1668" t="s">
        <v>1367</v>
      </c>
      <c r="I1668">
        <v>-71.946088000000003</v>
      </c>
      <c r="J1668">
        <v>-60.159120999999999</v>
      </c>
      <c r="K1668">
        <v>1979</v>
      </c>
      <c r="M1668">
        <v>32</v>
      </c>
      <c r="P1668" t="s">
        <v>595</v>
      </c>
      <c r="Q1668" t="s">
        <v>403</v>
      </c>
      <c r="R1668" t="s">
        <v>1368</v>
      </c>
    </row>
    <row r="1669" spans="1:18">
      <c r="A1669" t="s">
        <v>1366</v>
      </c>
      <c r="B1669" t="s">
        <v>593</v>
      </c>
      <c r="C1669" t="s">
        <v>393</v>
      </c>
      <c r="D1669" t="s">
        <v>1165</v>
      </c>
      <c r="E1669" t="s">
        <v>368</v>
      </c>
      <c r="F1669" t="s">
        <v>368</v>
      </c>
      <c r="G1669" t="s">
        <v>1369</v>
      </c>
      <c r="I1669">
        <v>-71.946088000000003</v>
      </c>
      <c r="J1669">
        <v>-60.159120999999999</v>
      </c>
      <c r="K1669">
        <v>1979</v>
      </c>
      <c r="M1669">
        <v>32</v>
      </c>
      <c r="P1669" t="s">
        <v>595</v>
      </c>
      <c r="Q1669" t="s">
        <v>403</v>
      </c>
      <c r="R1669" t="s">
        <v>1368</v>
      </c>
    </row>
    <row r="1670" spans="1:18">
      <c r="A1670" t="s">
        <v>1366</v>
      </c>
      <c r="B1670" t="s">
        <v>593</v>
      </c>
      <c r="C1670" t="s">
        <v>393</v>
      </c>
      <c r="D1670" t="s">
        <v>1165</v>
      </c>
      <c r="E1670" t="s">
        <v>368</v>
      </c>
      <c r="F1670" t="s">
        <v>368</v>
      </c>
      <c r="G1670" t="s">
        <v>1370</v>
      </c>
      <c r="I1670">
        <v>-71.946088000000003</v>
      </c>
      <c r="J1670">
        <v>-60.159120999999999</v>
      </c>
      <c r="K1670">
        <v>1979</v>
      </c>
      <c r="M1670">
        <v>32</v>
      </c>
      <c r="P1670" t="s">
        <v>593</v>
      </c>
      <c r="Q1670" t="s">
        <v>403</v>
      </c>
      <c r="R1670" t="s">
        <v>1368</v>
      </c>
    </row>
    <row r="1671" spans="1:18">
      <c r="A1671" t="s">
        <v>1366</v>
      </c>
      <c r="B1671" t="s">
        <v>593</v>
      </c>
      <c r="C1671" t="s">
        <v>393</v>
      </c>
      <c r="D1671" t="s">
        <v>1165</v>
      </c>
      <c r="E1671" t="s">
        <v>368</v>
      </c>
      <c r="F1671" t="s">
        <v>368</v>
      </c>
      <c r="G1671" t="s">
        <v>1370</v>
      </c>
      <c r="I1671">
        <v>-71.946088000000003</v>
      </c>
      <c r="J1671">
        <v>-60.159120999999999</v>
      </c>
      <c r="K1671">
        <v>1979</v>
      </c>
      <c r="M1671">
        <v>32</v>
      </c>
      <c r="P1671" t="s">
        <v>595</v>
      </c>
      <c r="Q1671" t="s">
        <v>403</v>
      </c>
      <c r="R1671" t="s">
        <v>1368</v>
      </c>
    </row>
    <row r="1672" spans="1:18">
      <c r="A1672" t="s">
        <v>1366</v>
      </c>
      <c r="B1672" t="s">
        <v>593</v>
      </c>
      <c r="C1672" t="s">
        <v>393</v>
      </c>
      <c r="D1672" t="s">
        <v>1165</v>
      </c>
      <c r="E1672" t="s">
        <v>368</v>
      </c>
      <c r="F1672" t="s">
        <v>368</v>
      </c>
      <c r="G1672" t="s">
        <v>1370</v>
      </c>
      <c r="I1672">
        <v>-71.946088000000003</v>
      </c>
      <c r="J1672">
        <v>-60.159120999999999</v>
      </c>
      <c r="K1672">
        <v>1979</v>
      </c>
      <c r="M1672">
        <v>32</v>
      </c>
      <c r="P1672" t="s">
        <v>595</v>
      </c>
      <c r="Q1672" t="s">
        <v>403</v>
      </c>
      <c r="R1672" t="s">
        <v>1368</v>
      </c>
    </row>
    <row r="1673" spans="1:18">
      <c r="A1673" t="s">
        <v>1366</v>
      </c>
      <c r="B1673" t="s">
        <v>593</v>
      </c>
      <c r="C1673" t="s">
        <v>393</v>
      </c>
      <c r="D1673" t="s">
        <v>1165</v>
      </c>
      <c r="E1673" t="s">
        <v>368</v>
      </c>
      <c r="F1673" t="s">
        <v>368</v>
      </c>
      <c r="G1673" t="s">
        <v>1370</v>
      </c>
      <c r="I1673">
        <v>-71.946088000000003</v>
      </c>
      <c r="J1673">
        <v>-60.159120999999999</v>
      </c>
      <c r="K1673">
        <v>1979</v>
      </c>
      <c r="M1673">
        <v>32</v>
      </c>
      <c r="P1673" t="s">
        <v>595</v>
      </c>
      <c r="Q1673" t="s">
        <v>403</v>
      </c>
      <c r="R1673" t="s">
        <v>1368</v>
      </c>
    </row>
    <row r="1674" spans="1:18">
      <c r="A1674" t="s">
        <v>1371</v>
      </c>
      <c r="B1674" t="s">
        <v>593</v>
      </c>
      <c r="C1674" t="s">
        <v>393</v>
      </c>
      <c r="D1674" t="s">
        <v>703</v>
      </c>
      <c r="E1674" t="s">
        <v>161</v>
      </c>
      <c r="G1674" t="s">
        <v>764</v>
      </c>
      <c r="H1674" t="s">
        <v>406</v>
      </c>
      <c r="K1674">
        <v>1968</v>
      </c>
      <c r="L1674">
        <v>2017</v>
      </c>
      <c r="M1674">
        <v>49</v>
      </c>
      <c r="O1674" t="s">
        <v>1169</v>
      </c>
      <c r="P1674" t="s">
        <v>1169</v>
      </c>
      <c r="Q1674" t="s">
        <v>701</v>
      </c>
    </row>
    <row r="1675" spans="1:18">
      <c r="A1675" t="s">
        <v>1371</v>
      </c>
      <c r="B1675" t="s">
        <v>593</v>
      </c>
      <c r="C1675" t="s">
        <v>393</v>
      </c>
      <c r="D1675" t="s">
        <v>703</v>
      </c>
      <c r="E1675" t="s">
        <v>161</v>
      </c>
      <c r="G1675" t="s">
        <v>755</v>
      </c>
      <c r="H1675" t="s">
        <v>406</v>
      </c>
      <c r="K1675">
        <v>1968</v>
      </c>
      <c r="L1675">
        <v>2017</v>
      </c>
      <c r="M1675">
        <v>49</v>
      </c>
      <c r="O1675" t="s">
        <v>1169</v>
      </c>
      <c r="P1675" t="s">
        <v>1169</v>
      </c>
      <c r="Q1675" t="s">
        <v>701</v>
      </c>
    </row>
    <row r="1676" spans="1:18">
      <c r="A1676" t="s">
        <v>1371</v>
      </c>
      <c r="B1676" t="s">
        <v>593</v>
      </c>
      <c r="C1676" t="s">
        <v>393</v>
      </c>
      <c r="D1676" t="s">
        <v>703</v>
      </c>
      <c r="E1676" t="s">
        <v>161</v>
      </c>
      <c r="G1676" t="s">
        <v>1372</v>
      </c>
      <c r="H1676" t="s">
        <v>706</v>
      </c>
      <c r="K1676">
        <v>1968</v>
      </c>
      <c r="L1676">
        <v>2017</v>
      </c>
      <c r="M1676">
        <v>49</v>
      </c>
      <c r="O1676" t="s">
        <v>1169</v>
      </c>
      <c r="P1676" t="s">
        <v>1169</v>
      </c>
      <c r="Q1676" t="s">
        <v>701</v>
      </c>
    </row>
    <row r="1677" spans="1:18">
      <c r="A1677" t="s">
        <v>1371</v>
      </c>
      <c r="B1677" t="s">
        <v>593</v>
      </c>
      <c r="C1677" t="s">
        <v>393</v>
      </c>
      <c r="D1677" t="s">
        <v>703</v>
      </c>
      <c r="E1677" t="s">
        <v>161</v>
      </c>
      <c r="G1677" t="s">
        <v>1373</v>
      </c>
      <c r="H1677" t="s">
        <v>406</v>
      </c>
      <c r="K1677">
        <v>1968</v>
      </c>
      <c r="L1677">
        <v>2017</v>
      </c>
      <c r="M1677">
        <v>49</v>
      </c>
      <c r="O1677" t="s">
        <v>1169</v>
      </c>
      <c r="P1677" t="s">
        <v>1169</v>
      </c>
      <c r="Q1677" t="s">
        <v>701</v>
      </c>
    </row>
    <row r="1678" spans="1:18">
      <c r="A1678" t="s">
        <v>1371</v>
      </c>
      <c r="B1678" t="s">
        <v>593</v>
      </c>
      <c r="C1678" t="s">
        <v>393</v>
      </c>
      <c r="D1678" t="s">
        <v>703</v>
      </c>
      <c r="E1678" t="s">
        <v>161</v>
      </c>
      <c r="G1678" t="s">
        <v>1374</v>
      </c>
      <c r="H1678" t="s">
        <v>406</v>
      </c>
      <c r="K1678">
        <v>1968</v>
      </c>
      <c r="L1678">
        <v>2017</v>
      </c>
      <c r="M1678">
        <v>49</v>
      </c>
      <c r="O1678" t="s">
        <v>1169</v>
      </c>
      <c r="P1678" t="s">
        <v>1169</v>
      </c>
      <c r="Q1678" t="s">
        <v>701</v>
      </c>
    </row>
    <row r="1679" spans="1:18">
      <c r="A1679" t="s">
        <v>1371</v>
      </c>
      <c r="B1679" t="s">
        <v>593</v>
      </c>
      <c r="C1679" t="s">
        <v>393</v>
      </c>
      <c r="D1679" t="s">
        <v>703</v>
      </c>
      <c r="E1679" t="s">
        <v>161</v>
      </c>
      <c r="G1679" t="s">
        <v>1375</v>
      </c>
      <c r="H1679" t="s">
        <v>406</v>
      </c>
      <c r="K1679">
        <v>1968</v>
      </c>
      <c r="L1679">
        <v>2017</v>
      </c>
      <c r="M1679">
        <v>49</v>
      </c>
      <c r="O1679" t="s">
        <v>1169</v>
      </c>
      <c r="P1679" t="s">
        <v>1169</v>
      </c>
      <c r="Q1679" t="s">
        <v>701</v>
      </c>
    </row>
    <row r="1680" spans="1:18">
      <c r="A1680" t="s">
        <v>1371</v>
      </c>
      <c r="B1680" t="s">
        <v>593</v>
      </c>
      <c r="C1680" t="s">
        <v>393</v>
      </c>
      <c r="D1680" t="s">
        <v>703</v>
      </c>
      <c r="E1680" t="s">
        <v>161</v>
      </c>
      <c r="G1680" t="s">
        <v>1376</v>
      </c>
      <c r="H1680" t="s">
        <v>706</v>
      </c>
      <c r="K1680">
        <v>1968</v>
      </c>
      <c r="L1680">
        <v>2017</v>
      </c>
      <c r="M1680">
        <v>49</v>
      </c>
      <c r="O1680" t="s">
        <v>1169</v>
      </c>
      <c r="P1680" t="s">
        <v>1169</v>
      </c>
      <c r="Q1680" t="s">
        <v>701</v>
      </c>
    </row>
    <row r="1681" spans="1:18">
      <c r="A1681" t="s">
        <v>1371</v>
      </c>
      <c r="B1681" t="s">
        <v>593</v>
      </c>
      <c r="C1681" t="s">
        <v>393</v>
      </c>
      <c r="D1681" t="s">
        <v>703</v>
      </c>
      <c r="E1681" t="s">
        <v>161</v>
      </c>
      <c r="G1681" t="s">
        <v>1377</v>
      </c>
      <c r="H1681" t="s">
        <v>406</v>
      </c>
      <c r="K1681">
        <v>1968</v>
      </c>
      <c r="L1681">
        <v>2017</v>
      </c>
      <c r="M1681">
        <v>49</v>
      </c>
      <c r="O1681" t="s">
        <v>1169</v>
      </c>
      <c r="P1681" t="s">
        <v>1169</v>
      </c>
      <c r="Q1681" t="s">
        <v>701</v>
      </c>
    </row>
    <row r="1682" spans="1:18">
      <c r="A1682" t="s">
        <v>1371</v>
      </c>
      <c r="B1682" t="s">
        <v>593</v>
      </c>
      <c r="C1682" t="s">
        <v>393</v>
      </c>
      <c r="D1682" t="s">
        <v>703</v>
      </c>
      <c r="E1682" t="s">
        <v>161</v>
      </c>
      <c r="G1682" t="s">
        <v>1378</v>
      </c>
      <c r="H1682" t="s">
        <v>406</v>
      </c>
      <c r="K1682">
        <v>1968</v>
      </c>
      <c r="L1682">
        <v>2017</v>
      </c>
      <c r="M1682">
        <v>49</v>
      </c>
      <c r="O1682" t="s">
        <v>1169</v>
      </c>
      <c r="P1682" t="s">
        <v>1169</v>
      </c>
      <c r="Q1682" t="s">
        <v>701</v>
      </c>
    </row>
    <row r="1683" spans="1:18">
      <c r="A1683" t="s">
        <v>1371</v>
      </c>
      <c r="B1683" t="s">
        <v>593</v>
      </c>
      <c r="C1683" t="s">
        <v>393</v>
      </c>
      <c r="D1683" t="s">
        <v>703</v>
      </c>
      <c r="E1683" t="s">
        <v>161</v>
      </c>
      <c r="G1683" t="s">
        <v>1379</v>
      </c>
      <c r="H1683" t="s">
        <v>406</v>
      </c>
      <c r="K1683">
        <v>1968</v>
      </c>
      <c r="L1683">
        <v>2017</v>
      </c>
      <c r="M1683">
        <v>49</v>
      </c>
      <c r="O1683" t="s">
        <v>1169</v>
      </c>
      <c r="P1683" t="s">
        <v>1169</v>
      </c>
      <c r="Q1683" t="s">
        <v>701</v>
      </c>
    </row>
    <row r="1684" spans="1:18">
      <c r="A1684" t="s">
        <v>1371</v>
      </c>
      <c r="B1684" t="s">
        <v>593</v>
      </c>
      <c r="C1684" t="s">
        <v>393</v>
      </c>
      <c r="D1684" t="s">
        <v>703</v>
      </c>
      <c r="E1684" t="s">
        <v>161</v>
      </c>
      <c r="G1684" t="s">
        <v>1380</v>
      </c>
      <c r="H1684" t="s">
        <v>406</v>
      </c>
      <c r="K1684">
        <v>1968</v>
      </c>
      <c r="L1684">
        <v>2017</v>
      </c>
      <c r="M1684">
        <v>49</v>
      </c>
      <c r="O1684" t="s">
        <v>1169</v>
      </c>
      <c r="P1684" t="s">
        <v>1169</v>
      </c>
      <c r="Q1684" t="s">
        <v>701</v>
      </c>
    </row>
    <row r="1685" spans="1:18">
      <c r="A1685" t="s">
        <v>1371</v>
      </c>
      <c r="B1685" t="s">
        <v>593</v>
      </c>
      <c r="C1685" t="s">
        <v>393</v>
      </c>
      <c r="D1685" t="s">
        <v>703</v>
      </c>
      <c r="E1685" t="s">
        <v>161</v>
      </c>
      <c r="G1685" t="s">
        <v>1381</v>
      </c>
      <c r="H1685" t="s">
        <v>706</v>
      </c>
      <c r="K1685">
        <v>1968</v>
      </c>
      <c r="L1685">
        <v>2017</v>
      </c>
      <c r="M1685">
        <v>49</v>
      </c>
      <c r="O1685" t="s">
        <v>1169</v>
      </c>
      <c r="P1685" t="s">
        <v>1169</v>
      </c>
      <c r="Q1685" t="s">
        <v>701</v>
      </c>
    </row>
    <row r="1686" spans="1:18">
      <c r="A1686" t="s">
        <v>1371</v>
      </c>
      <c r="B1686" t="s">
        <v>593</v>
      </c>
      <c r="C1686" t="s">
        <v>393</v>
      </c>
      <c r="D1686" t="s">
        <v>703</v>
      </c>
      <c r="E1686" t="s">
        <v>161</v>
      </c>
      <c r="G1686" t="s">
        <v>1382</v>
      </c>
      <c r="H1686" t="s">
        <v>406</v>
      </c>
      <c r="K1686">
        <v>1968</v>
      </c>
      <c r="L1686">
        <v>2017</v>
      </c>
      <c r="M1686">
        <v>49</v>
      </c>
      <c r="O1686" t="s">
        <v>1169</v>
      </c>
      <c r="P1686" t="s">
        <v>1169</v>
      </c>
      <c r="Q1686" t="s">
        <v>701</v>
      </c>
    </row>
    <row r="1687" spans="1:18">
      <c r="A1687" t="s">
        <v>1371</v>
      </c>
      <c r="B1687" t="s">
        <v>593</v>
      </c>
      <c r="C1687" t="s">
        <v>393</v>
      </c>
      <c r="D1687" t="s">
        <v>703</v>
      </c>
      <c r="E1687" t="s">
        <v>161</v>
      </c>
      <c r="G1687" t="s">
        <v>1383</v>
      </c>
      <c r="H1687" t="s">
        <v>406</v>
      </c>
      <c r="K1687">
        <v>1968</v>
      </c>
      <c r="L1687">
        <v>2017</v>
      </c>
      <c r="M1687">
        <v>49</v>
      </c>
      <c r="O1687" t="s">
        <v>1169</v>
      </c>
      <c r="P1687" t="s">
        <v>1169</v>
      </c>
      <c r="Q1687" t="s">
        <v>701</v>
      </c>
    </row>
    <row r="1688" spans="1:18">
      <c r="A1688" t="s">
        <v>1371</v>
      </c>
      <c r="B1688" t="s">
        <v>593</v>
      </c>
      <c r="C1688" t="s">
        <v>393</v>
      </c>
      <c r="D1688" t="s">
        <v>703</v>
      </c>
      <c r="E1688" t="s">
        <v>161</v>
      </c>
      <c r="G1688" t="s">
        <v>1384</v>
      </c>
      <c r="H1688" t="s">
        <v>406</v>
      </c>
      <c r="K1688">
        <v>1968</v>
      </c>
      <c r="L1688">
        <v>2017</v>
      </c>
      <c r="M1688">
        <v>49</v>
      </c>
      <c r="O1688" t="s">
        <v>1169</v>
      </c>
      <c r="P1688" t="s">
        <v>1169</v>
      </c>
      <c r="Q1688" t="s">
        <v>701</v>
      </c>
    </row>
    <row r="1689" spans="1:18">
      <c r="A1689" t="s">
        <v>1371</v>
      </c>
      <c r="B1689" t="s">
        <v>593</v>
      </c>
      <c r="C1689" t="s">
        <v>393</v>
      </c>
      <c r="D1689" t="s">
        <v>703</v>
      </c>
      <c r="E1689" t="s">
        <v>161</v>
      </c>
      <c r="G1689" t="s">
        <v>1385</v>
      </c>
      <c r="H1689" t="s">
        <v>706</v>
      </c>
      <c r="K1689">
        <v>1968</v>
      </c>
      <c r="L1689">
        <v>2017</v>
      </c>
      <c r="M1689">
        <v>49</v>
      </c>
      <c r="O1689" t="s">
        <v>1169</v>
      </c>
      <c r="P1689" t="s">
        <v>1169</v>
      </c>
      <c r="Q1689" t="s">
        <v>701</v>
      </c>
    </row>
    <row r="1690" spans="1:18">
      <c r="A1690" t="s">
        <v>1371</v>
      </c>
      <c r="B1690" t="s">
        <v>593</v>
      </c>
      <c r="C1690" t="s">
        <v>393</v>
      </c>
      <c r="D1690" t="s">
        <v>703</v>
      </c>
      <c r="E1690" t="s">
        <v>161</v>
      </c>
      <c r="G1690" t="s">
        <v>1386</v>
      </c>
      <c r="H1690" t="s">
        <v>406</v>
      </c>
      <c r="K1690">
        <v>1968</v>
      </c>
      <c r="L1690">
        <v>2017</v>
      </c>
      <c r="M1690">
        <v>49</v>
      </c>
      <c r="O1690" t="s">
        <v>1169</v>
      </c>
      <c r="P1690" t="s">
        <v>1169</v>
      </c>
      <c r="Q1690" t="s">
        <v>701</v>
      </c>
    </row>
    <row r="1691" spans="1:18">
      <c r="A1691" t="s">
        <v>1371</v>
      </c>
      <c r="B1691" t="s">
        <v>593</v>
      </c>
      <c r="C1691" t="s">
        <v>393</v>
      </c>
      <c r="D1691" t="s">
        <v>703</v>
      </c>
      <c r="E1691" t="s">
        <v>161</v>
      </c>
      <c r="G1691" t="s">
        <v>1387</v>
      </c>
      <c r="H1691" t="s">
        <v>406</v>
      </c>
      <c r="K1691">
        <v>1968</v>
      </c>
      <c r="L1691">
        <v>2017</v>
      </c>
      <c r="M1691">
        <v>49</v>
      </c>
      <c r="O1691" t="s">
        <v>1169</v>
      </c>
      <c r="P1691" t="s">
        <v>1169</v>
      </c>
      <c r="Q1691" t="s">
        <v>701</v>
      </c>
    </row>
    <row r="1692" spans="1:18">
      <c r="A1692" t="s">
        <v>1371</v>
      </c>
      <c r="B1692" t="s">
        <v>593</v>
      </c>
      <c r="C1692" t="s">
        <v>393</v>
      </c>
      <c r="D1692" t="s">
        <v>703</v>
      </c>
      <c r="E1692" t="s">
        <v>161</v>
      </c>
      <c r="G1692" t="s">
        <v>1170</v>
      </c>
      <c r="H1692" t="s">
        <v>706</v>
      </c>
      <c r="K1692">
        <v>1968</v>
      </c>
      <c r="L1692">
        <v>2017</v>
      </c>
      <c r="M1692">
        <v>49</v>
      </c>
      <c r="O1692" t="s">
        <v>1169</v>
      </c>
      <c r="P1692" t="s">
        <v>1169</v>
      </c>
      <c r="Q1692" t="s">
        <v>701</v>
      </c>
    </row>
    <row r="1693" spans="1:18">
      <c r="A1693" t="s">
        <v>1388</v>
      </c>
      <c r="B1693" t="s">
        <v>593</v>
      </c>
      <c r="C1693" t="s">
        <v>393</v>
      </c>
      <c r="D1693" t="s">
        <v>554</v>
      </c>
      <c r="E1693" t="s">
        <v>161</v>
      </c>
      <c r="G1693" t="s">
        <v>210</v>
      </c>
      <c r="H1693" t="s">
        <v>399</v>
      </c>
      <c r="K1693">
        <v>1913</v>
      </c>
      <c r="O1693">
        <v>14.47</v>
      </c>
      <c r="P1693" t="str">
        <f>IF(O1693&gt;0,"Yes","No")</f>
        <v>Yes</v>
      </c>
      <c r="Q1693" t="s">
        <v>398</v>
      </c>
    </row>
    <row r="1694" spans="1:18">
      <c r="A1694" t="s">
        <v>1389</v>
      </c>
      <c r="B1694" t="s">
        <v>593</v>
      </c>
      <c r="C1694" t="s">
        <v>393</v>
      </c>
      <c r="D1694" t="s">
        <v>554</v>
      </c>
      <c r="E1694" t="s">
        <v>161</v>
      </c>
      <c r="G1694" t="s">
        <v>165</v>
      </c>
      <c r="H1694" t="s">
        <v>399</v>
      </c>
      <c r="K1694">
        <v>1913</v>
      </c>
      <c r="O1694">
        <v>10.940000000000001</v>
      </c>
      <c r="P1694" t="str">
        <f>IF(O1694&gt;0,"Yes","No")</f>
        <v>Yes</v>
      </c>
      <c r="Q1694" t="s">
        <v>398</v>
      </c>
    </row>
    <row r="1695" spans="1:18">
      <c r="A1695" t="s">
        <v>1389</v>
      </c>
      <c r="B1695" t="s">
        <v>593</v>
      </c>
      <c r="C1695" t="s">
        <v>393</v>
      </c>
      <c r="D1695" t="s">
        <v>554</v>
      </c>
      <c r="E1695" t="s">
        <v>161</v>
      </c>
      <c r="G1695" t="s">
        <v>166</v>
      </c>
      <c r="H1695" t="s">
        <v>399</v>
      </c>
      <c r="K1695">
        <v>1913</v>
      </c>
      <c r="O1695">
        <v>16.71</v>
      </c>
      <c r="P1695" t="str">
        <f>IF(O1695&gt;0,"Yes","No")</f>
        <v>Yes</v>
      </c>
      <c r="Q1695" t="s">
        <v>398</v>
      </c>
    </row>
    <row r="1696" spans="1:18">
      <c r="A1696" t="s">
        <v>524</v>
      </c>
      <c r="B1696" t="s">
        <v>593</v>
      </c>
      <c r="C1696" t="s">
        <v>393</v>
      </c>
      <c r="D1696" t="s">
        <v>525</v>
      </c>
      <c r="E1696" t="s">
        <v>394</v>
      </c>
      <c r="F1696" t="s">
        <v>394</v>
      </c>
      <c r="G1696" t="s">
        <v>429</v>
      </c>
      <c r="H1696" t="s">
        <v>527</v>
      </c>
      <c r="K1696">
        <v>1989.5</v>
      </c>
      <c r="M1696">
        <v>21</v>
      </c>
      <c r="O1696">
        <v>2.2639047619047599</v>
      </c>
      <c r="P1696" t="s">
        <v>88</v>
      </c>
      <c r="Q1696" t="s">
        <v>528</v>
      </c>
      <c r="R1696" t="s">
        <v>1390</v>
      </c>
    </row>
    <row r="1697" spans="1:18">
      <c r="A1697" t="s">
        <v>524</v>
      </c>
      <c r="B1697" t="s">
        <v>593</v>
      </c>
      <c r="C1697" t="s">
        <v>393</v>
      </c>
      <c r="D1697" t="s">
        <v>525</v>
      </c>
      <c r="E1697" t="s">
        <v>394</v>
      </c>
      <c r="F1697" t="s">
        <v>394</v>
      </c>
      <c r="G1697" t="s">
        <v>439</v>
      </c>
      <c r="H1697" t="s">
        <v>527</v>
      </c>
      <c r="K1697">
        <v>1989.5</v>
      </c>
      <c r="M1697">
        <v>21</v>
      </c>
      <c r="O1697">
        <v>7.9809523809523801</v>
      </c>
      <c r="P1697" t="s">
        <v>88</v>
      </c>
      <c r="Q1697" t="s">
        <v>528</v>
      </c>
      <c r="R1697" t="s">
        <v>1390</v>
      </c>
    </row>
    <row r="1698" spans="1:18">
      <c r="A1698" t="s">
        <v>524</v>
      </c>
      <c r="B1698" t="s">
        <v>593</v>
      </c>
      <c r="C1698" t="s">
        <v>393</v>
      </c>
      <c r="D1698" t="s">
        <v>525</v>
      </c>
      <c r="E1698" t="s">
        <v>394</v>
      </c>
      <c r="F1698" t="s">
        <v>394</v>
      </c>
      <c r="G1698" t="s">
        <v>526</v>
      </c>
      <c r="H1698" t="s">
        <v>527</v>
      </c>
      <c r="K1698">
        <v>1989.5</v>
      </c>
      <c r="M1698">
        <v>21</v>
      </c>
      <c r="O1698">
        <v>3.4769999999999999</v>
      </c>
      <c r="P1698" t="s">
        <v>88</v>
      </c>
      <c r="Q1698" t="s">
        <v>528</v>
      </c>
      <c r="R1698" t="s">
        <v>1390</v>
      </c>
    </row>
    <row r="1699" spans="1:18">
      <c r="A1699" t="s">
        <v>524</v>
      </c>
      <c r="B1699" t="s">
        <v>593</v>
      </c>
      <c r="C1699" t="s">
        <v>393</v>
      </c>
      <c r="D1699" t="s">
        <v>525</v>
      </c>
      <c r="E1699" t="s">
        <v>394</v>
      </c>
      <c r="F1699" t="s">
        <v>394</v>
      </c>
      <c r="G1699" t="s">
        <v>441</v>
      </c>
      <c r="H1699" t="s">
        <v>527</v>
      </c>
      <c r="K1699">
        <v>1989.5</v>
      </c>
      <c r="M1699">
        <v>21</v>
      </c>
      <c r="O1699">
        <v>3.96685714285714</v>
      </c>
      <c r="P1699" t="s">
        <v>88</v>
      </c>
      <c r="Q1699" t="s">
        <v>528</v>
      </c>
      <c r="R1699" t="s">
        <v>1390</v>
      </c>
    </row>
    <row r="1700" spans="1:18">
      <c r="A1700" t="s">
        <v>524</v>
      </c>
      <c r="B1700" t="s">
        <v>593</v>
      </c>
      <c r="C1700" t="s">
        <v>393</v>
      </c>
      <c r="D1700" t="s">
        <v>525</v>
      </c>
      <c r="E1700" t="s">
        <v>394</v>
      </c>
      <c r="F1700" t="s">
        <v>394</v>
      </c>
      <c r="G1700" t="s">
        <v>599</v>
      </c>
      <c r="H1700" t="s">
        <v>527</v>
      </c>
      <c r="K1700">
        <v>1989.5</v>
      </c>
      <c r="M1700">
        <v>21</v>
      </c>
      <c r="O1700">
        <v>-6.1863333333333301</v>
      </c>
      <c r="P1700" t="s">
        <v>88</v>
      </c>
      <c r="Q1700" t="s">
        <v>528</v>
      </c>
      <c r="R1700" t="s">
        <v>1390</v>
      </c>
    </row>
    <row r="1701" spans="1:18">
      <c r="A1701" t="s">
        <v>1391</v>
      </c>
      <c r="B1701" t="s">
        <v>593</v>
      </c>
      <c r="C1701" t="s">
        <v>393</v>
      </c>
      <c r="D1701" t="s">
        <v>502</v>
      </c>
      <c r="E1701" t="s">
        <v>368</v>
      </c>
      <c r="F1701" t="s">
        <v>368</v>
      </c>
      <c r="G1701" t="s">
        <v>1025</v>
      </c>
      <c r="I1701">
        <v>32.871122999999997</v>
      </c>
      <c r="J1701">
        <v>-120.98161</v>
      </c>
      <c r="K1701">
        <v>1979</v>
      </c>
      <c r="M1701">
        <v>31</v>
      </c>
      <c r="P1701" t="s">
        <v>595</v>
      </c>
      <c r="Q1701" t="s">
        <v>403</v>
      </c>
      <c r="R1701" t="s">
        <v>1392</v>
      </c>
    </row>
    <row r="1702" spans="1:18">
      <c r="A1702" t="s">
        <v>1391</v>
      </c>
      <c r="B1702" t="s">
        <v>593</v>
      </c>
      <c r="C1702" t="s">
        <v>393</v>
      </c>
      <c r="D1702" t="s">
        <v>502</v>
      </c>
      <c r="E1702" t="s">
        <v>368</v>
      </c>
      <c r="F1702" t="s">
        <v>368</v>
      </c>
      <c r="G1702" t="s">
        <v>1020</v>
      </c>
      <c r="I1702">
        <v>32.871122999999997</v>
      </c>
      <c r="J1702">
        <v>-120.98161</v>
      </c>
      <c r="K1702">
        <v>1979</v>
      </c>
      <c r="M1702">
        <v>31</v>
      </c>
      <c r="P1702" t="s">
        <v>595</v>
      </c>
      <c r="Q1702" t="s">
        <v>403</v>
      </c>
      <c r="R1702" t="s">
        <v>1392</v>
      </c>
    </row>
    <row r="1703" spans="1:18">
      <c r="A1703" t="s">
        <v>1391</v>
      </c>
      <c r="B1703" t="s">
        <v>593</v>
      </c>
      <c r="C1703" t="s">
        <v>393</v>
      </c>
      <c r="D1703" t="s">
        <v>502</v>
      </c>
      <c r="E1703" t="s">
        <v>368</v>
      </c>
      <c r="F1703" t="s">
        <v>368</v>
      </c>
      <c r="G1703" t="s">
        <v>1022</v>
      </c>
      <c r="I1703">
        <v>32.871122999999997</v>
      </c>
      <c r="J1703">
        <v>-120.98161</v>
      </c>
      <c r="K1703">
        <v>1979</v>
      </c>
      <c r="M1703">
        <v>31</v>
      </c>
      <c r="P1703" t="s">
        <v>595</v>
      </c>
      <c r="Q1703" t="s">
        <v>403</v>
      </c>
      <c r="R1703" t="s">
        <v>1392</v>
      </c>
    </row>
    <row r="1704" spans="1:18">
      <c r="A1704" t="s">
        <v>1393</v>
      </c>
      <c r="D1704" t="s">
        <v>1394</v>
      </c>
      <c r="E1704" t="s">
        <v>161</v>
      </c>
      <c r="G1704" t="s">
        <v>1261</v>
      </c>
      <c r="H1704" t="s">
        <v>539</v>
      </c>
      <c r="K1704">
        <v>1925</v>
      </c>
      <c r="L1704">
        <v>2005</v>
      </c>
      <c r="M1704">
        <f>L1704-K1704+1</f>
        <v>81</v>
      </c>
      <c r="O1704" t="s">
        <v>163</v>
      </c>
      <c r="P1704" t="s">
        <v>15</v>
      </c>
      <c r="Q1704" t="s">
        <v>1196</v>
      </c>
    </row>
    <row r="1705" spans="1:18">
      <c r="A1705" t="s">
        <v>1393</v>
      </c>
      <c r="D1705" t="s">
        <v>1394</v>
      </c>
      <c r="E1705" t="s">
        <v>161</v>
      </c>
      <c r="G1705" t="s">
        <v>1261</v>
      </c>
      <c r="H1705" t="s">
        <v>539</v>
      </c>
      <c r="K1705">
        <v>1925</v>
      </c>
      <c r="L1705">
        <v>2005</v>
      </c>
      <c r="M1705">
        <f>L1705-K1705+1</f>
        <v>81</v>
      </c>
      <c r="O1705" t="s">
        <v>163</v>
      </c>
      <c r="P1705" t="s">
        <v>15</v>
      </c>
      <c r="Q1705" t="s">
        <v>1196</v>
      </c>
    </row>
    <row r="1706" spans="1:18">
      <c r="A1706" t="s">
        <v>1391</v>
      </c>
      <c r="B1706" t="s">
        <v>593</v>
      </c>
      <c r="C1706" t="s">
        <v>393</v>
      </c>
      <c r="D1706" t="s">
        <v>502</v>
      </c>
      <c r="E1706" t="s">
        <v>368</v>
      </c>
      <c r="F1706" t="s">
        <v>368</v>
      </c>
      <c r="G1706" t="s">
        <v>1395</v>
      </c>
      <c r="I1706">
        <v>32.871122999999997</v>
      </c>
      <c r="J1706">
        <v>-120.98161</v>
      </c>
      <c r="K1706">
        <v>1979</v>
      </c>
      <c r="M1706">
        <v>31</v>
      </c>
      <c r="P1706" t="s">
        <v>595</v>
      </c>
      <c r="Q1706" t="s">
        <v>403</v>
      </c>
      <c r="R1706" t="s">
        <v>1392</v>
      </c>
    </row>
    <row r="1707" spans="1:18">
      <c r="A1707" t="s">
        <v>1391</v>
      </c>
      <c r="B1707" t="s">
        <v>593</v>
      </c>
      <c r="C1707" t="s">
        <v>393</v>
      </c>
      <c r="D1707" t="s">
        <v>502</v>
      </c>
      <c r="E1707" t="s">
        <v>368</v>
      </c>
      <c r="F1707" t="s">
        <v>368</v>
      </c>
      <c r="G1707" t="s">
        <v>1396</v>
      </c>
      <c r="I1707">
        <v>32.871122999999997</v>
      </c>
      <c r="J1707">
        <v>-120.98161</v>
      </c>
      <c r="K1707">
        <v>1979</v>
      </c>
      <c r="M1707">
        <v>31</v>
      </c>
      <c r="P1707" t="s">
        <v>595</v>
      </c>
      <c r="Q1707" t="s">
        <v>403</v>
      </c>
      <c r="R1707" t="s">
        <v>1392</v>
      </c>
    </row>
    <row r="1708" spans="1:18">
      <c r="A1708" t="s">
        <v>1397</v>
      </c>
      <c r="D1708" t="s">
        <v>1398</v>
      </c>
      <c r="E1708" t="s">
        <v>161</v>
      </c>
      <c r="G1708" t="s">
        <v>384</v>
      </c>
      <c r="H1708" t="s">
        <v>533</v>
      </c>
      <c r="K1708">
        <v>1981</v>
      </c>
      <c r="L1708">
        <v>2001</v>
      </c>
      <c r="M1708">
        <f>L1708-K1708+1</f>
        <v>21</v>
      </c>
      <c r="O1708" t="s">
        <v>163</v>
      </c>
      <c r="P1708" t="s">
        <v>15</v>
      </c>
      <c r="Q1708" t="s">
        <v>1196</v>
      </c>
    </row>
    <row r="1709" spans="1:18">
      <c r="A1709" t="s">
        <v>1397</v>
      </c>
      <c r="D1709" t="s">
        <v>1398</v>
      </c>
      <c r="E1709" t="s">
        <v>161</v>
      </c>
      <c r="G1709" t="s">
        <v>1354</v>
      </c>
      <c r="H1709" t="s">
        <v>539</v>
      </c>
      <c r="K1709">
        <v>1981</v>
      </c>
      <c r="L1709">
        <v>2001</v>
      </c>
      <c r="M1709">
        <f>L1709-K1709+1</f>
        <v>21</v>
      </c>
      <c r="O1709" t="s">
        <v>163</v>
      </c>
      <c r="P1709" t="s">
        <v>15</v>
      </c>
      <c r="Q1709" t="s">
        <v>1196</v>
      </c>
    </row>
    <row r="1710" spans="1:18">
      <c r="A1710" t="s">
        <v>1397</v>
      </c>
      <c r="D1710" t="s">
        <v>1398</v>
      </c>
      <c r="E1710" t="s">
        <v>161</v>
      </c>
      <c r="G1710" t="s">
        <v>166</v>
      </c>
      <c r="H1710" t="s">
        <v>533</v>
      </c>
      <c r="K1710">
        <v>1981</v>
      </c>
      <c r="L1710">
        <v>2001</v>
      </c>
      <c r="M1710">
        <f>L1710-K1710+1</f>
        <v>21</v>
      </c>
      <c r="O1710" t="s">
        <v>163</v>
      </c>
      <c r="P1710" t="s">
        <v>15</v>
      </c>
      <c r="Q1710" t="s">
        <v>1196</v>
      </c>
    </row>
    <row r="1711" spans="1:18">
      <c r="A1711" t="s">
        <v>1397</v>
      </c>
      <c r="D1711" t="s">
        <v>1398</v>
      </c>
      <c r="E1711" t="s">
        <v>161</v>
      </c>
      <c r="G1711" t="s">
        <v>165</v>
      </c>
      <c r="H1711" t="s">
        <v>527</v>
      </c>
      <c r="K1711">
        <v>1981</v>
      </c>
      <c r="L1711">
        <v>2001</v>
      </c>
      <c r="M1711">
        <f>L1711-K1711+1</f>
        <v>21</v>
      </c>
      <c r="O1711" t="s">
        <v>163</v>
      </c>
      <c r="P1711" t="s">
        <v>85</v>
      </c>
      <c r="Q1711" t="s">
        <v>1196</v>
      </c>
    </row>
    <row r="1712" spans="1:18">
      <c r="A1712" t="s">
        <v>1399</v>
      </c>
      <c r="D1712" t="s">
        <v>1400</v>
      </c>
      <c r="E1712" t="s">
        <v>161</v>
      </c>
      <c r="G1712" t="s">
        <v>1401</v>
      </c>
      <c r="H1712" t="s">
        <v>539</v>
      </c>
      <c r="K1712">
        <v>1973</v>
      </c>
      <c r="L1712">
        <v>2002</v>
      </c>
      <c r="M1712">
        <f>L1712-K1712+1</f>
        <v>30</v>
      </c>
      <c r="O1712" t="s">
        <v>163</v>
      </c>
      <c r="P1712" t="s">
        <v>15</v>
      </c>
      <c r="Q1712" t="s">
        <v>1196</v>
      </c>
    </row>
    <row r="1713" spans="1:18">
      <c r="A1713" t="s">
        <v>1391</v>
      </c>
      <c r="B1713" t="s">
        <v>593</v>
      </c>
      <c r="C1713" t="s">
        <v>393</v>
      </c>
      <c r="D1713" t="s">
        <v>502</v>
      </c>
      <c r="E1713" t="s">
        <v>368</v>
      </c>
      <c r="F1713" t="s">
        <v>368</v>
      </c>
      <c r="G1713" t="s">
        <v>1023</v>
      </c>
      <c r="I1713">
        <v>32.871122999999997</v>
      </c>
      <c r="J1713">
        <v>-120.98161</v>
      </c>
      <c r="K1713">
        <v>1979</v>
      </c>
      <c r="M1713">
        <v>31</v>
      </c>
      <c r="P1713" t="s">
        <v>595</v>
      </c>
      <c r="Q1713" t="s">
        <v>403</v>
      </c>
      <c r="R1713" t="s">
        <v>1392</v>
      </c>
    </row>
    <row r="1714" spans="1:18">
      <c r="A1714" t="s">
        <v>1391</v>
      </c>
      <c r="B1714" t="s">
        <v>593</v>
      </c>
      <c r="C1714" t="s">
        <v>393</v>
      </c>
      <c r="D1714" t="s">
        <v>502</v>
      </c>
      <c r="E1714" t="s">
        <v>368</v>
      </c>
      <c r="F1714" t="s">
        <v>368</v>
      </c>
      <c r="G1714" t="s">
        <v>1402</v>
      </c>
      <c r="I1714">
        <v>32.871122999999997</v>
      </c>
      <c r="J1714">
        <v>-120.98161</v>
      </c>
      <c r="K1714">
        <v>1979</v>
      </c>
      <c r="M1714">
        <v>31</v>
      </c>
      <c r="P1714" t="s">
        <v>595</v>
      </c>
      <c r="Q1714" t="s">
        <v>403</v>
      </c>
      <c r="R1714" t="s">
        <v>1392</v>
      </c>
    </row>
    <row r="1715" spans="1:18">
      <c r="A1715" t="s">
        <v>1403</v>
      </c>
      <c r="D1715" t="s">
        <v>1404</v>
      </c>
      <c r="E1715" t="s">
        <v>161</v>
      </c>
      <c r="G1715" t="s">
        <v>1405</v>
      </c>
      <c r="H1715" t="s">
        <v>539</v>
      </c>
      <c r="K1715">
        <v>1950</v>
      </c>
      <c r="L1715">
        <v>1974.5</v>
      </c>
      <c r="M1715">
        <f t="shared" ref="M1715:M1731" si="13">L1715-K1715+1</f>
        <v>25.5</v>
      </c>
      <c r="O1715" t="s">
        <v>163</v>
      </c>
      <c r="P1715" t="s">
        <v>15</v>
      </c>
      <c r="Q1715" t="s">
        <v>1196</v>
      </c>
    </row>
    <row r="1716" spans="1:18">
      <c r="A1716" t="s">
        <v>1403</v>
      </c>
      <c r="D1716" t="s">
        <v>1404</v>
      </c>
      <c r="E1716" t="s">
        <v>161</v>
      </c>
      <c r="G1716" t="s">
        <v>1406</v>
      </c>
      <c r="H1716" t="s">
        <v>539</v>
      </c>
      <c r="K1716">
        <v>1950</v>
      </c>
      <c r="L1716">
        <v>1974.5</v>
      </c>
      <c r="M1716">
        <f t="shared" si="13"/>
        <v>25.5</v>
      </c>
      <c r="O1716" t="s">
        <v>163</v>
      </c>
      <c r="P1716" t="s">
        <v>15</v>
      </c>
      <c r="Q1716" t="s">
        <v>1196</v>
      </c>
    </row>
    <row r="1717" spans="1:18">
      <c r="A1717" t="s">
        <v>1403</v>
      </c>
      <c r="D1717" t="s">
        <v>1404</v>
      </c>
      <c r="E1717" t="s">
        <v>161</v>
      </c>
      <c r="G1717" t="s">
        <v>1407</v>
      </c>
      <c r="H1717" t="s">
        <v>539</v>
      </c>
      <c r="K1717">
        <v>1950</v>
      </c>
      <c r="L1717">
        <v>1974.5</v>
      </c>
      <c r="M1717">
        <f t="shared" si="13"/>
        <v>25.5</v>
      </c>
      <c r="O1717" t="s">
        <v>163</v>
      </c>
      <c r="P1717" t="s">
        <v>15</v>
      </c>
      <c r="Q1717" t="s">
        <v>1196</v>
      </c>
    </row>
    <row r="1718" spans="1:18">
      <c r="A1718" t="s">
        <v>1403</v>
      </c>
      <c r="D1718" t="s">
        <v>1404</v>
      </c>
      <c r="E1718" t="s">
        <v>161</v>
      </c>
      <c r="G1718" t="s">
        <v>1408</v>
      </c>
      <c r="H1718" t="s">
        <v>539</v>
      </c>
      <c r="K1718">
        <v>1950</v>
      </c>
      <c r="L1718">
        <v>1974.5</v>
      </c>
      <c r="M1718">
        <f t="shared" si="13"/>
        <v>25.5</v>
      </c>
      <c r="O1718" t="s">
        <v>163</v>
      </c>
      <c r="P1718" t="s">
        <v>15</v>
      </c>
      <c r="Q1718" t="s">
        <v>1196</v>
      </c>
    </row>
    <row r="1719" spans="1:18">
      <c r="A1719" t="s">
        <v>1403</v>
      </c>
      <c r="D1719" t="s">
        <v>1404</v>
      </c>
      <c r="E1719" t="s">
        <v>161</v>
      </c>
      <c r="G1719" t="s">
        <v>1409</v>
      </c>
      <c r="H1719" t="s">
        <v>539</v>
      </c>
      <c r="K1719">
        <v>1950</v>
      </c>
      <c r="L1719">
        <v>1974.5</v>
      </c>
      <c r="M1719">
        <f t="shared" si="13"/>
        <v>25.5</v>
      </c>
      <c r="O1719" t="s">
        <v>163</v>
      </c>
      <c r="P1719" t="s">
        <v>15</v>
      </c>
      <c r="Q1719" t="s">
        <v>1196</v>
      </c>
    </row>
    <row r="1720" spans="1:18">
      <c r="A1720" t="s">
        <v>1403</v>
      </c>
      <c r="D1720" t="s">
        <v>1404</v>
      </c>
      <c r="E1720" t="s">
        <v>161</v>
      </c>
      <c r="G1720" t="s">
        <v>1410</v>
      </c>
      <c r="H1720" t="s">
        <v>539</v>
      </c>
      <c r="K1720">
        <v>1950</v>
      </c>
      <c r="L1720">
        <v>1974.5</v>
      </c>
      <c r="M1720">
        <f t="shared" si="13"/>
        <v>25.5</v>
      </c>
      <c r="O1720" t="s">
        <v>163</v>
      </c>
      <c r="P1720" t="s">
        <v>15</v>
      </c>
      <c r="Q1720" t="s">
        <v>1196</v>
      </c>
    </row>
    <row r="1721" spans="1:18">
      <c r="A1721" t="s">
        <v>1403</v>
      </c>
      <c r="D1721" t="s">
        <v>1404</v>
      </c>
      <c r="E1721" t="s">
        <v>161</v>
      </c>
      <c r="G1721" t="s">
        <v>1411</v>
      </c>
      <c r="H1721" t="s">
        <v>539</v>
      </c>
      <c r="K1721">
        <v>1950</v>
      </c>
      <c r="L1721">
        <v>1974.5</v>
      </c>
      <c r="M1721">
        <f t="shared" si="13"/>
        <v>25.5</v>
      </c>
      <c r="O1721" t="s">
        <v>163</v>
      </c>
      <c r="P1721" t="s">
        <v>15</v>
      </c>
      <c r="Q1721" t="s">
        <v>1196</v>
      </c>
    </row>
    <row r="1722" spans="1:18">
      <c r="A1722" t="s">
        <v>1403</v>
      </c>
      <c r="D1722" t="s">
        <v>1404</v>
      </c>
      <c r="E1722" t="s">
        <v>161</v>
      </c>
      <c r="G1722" t="s">
        <v>1156</v>
      </c>
      <c r="H1722" t="s">
        <v>539</v>
      </c>
      <c r="K1722">
        <v>1950</v>
      </c>
      <c r="L1722">
        <v>1974.5</v>
      </c>
      <c r="M1722">
        <f t="shared" si="13"/>
        <v>25.5</v>
      </c>
      <c r="O1722" t="s">
        <v>163</v>
      </c>
      <c r="P1722" t="s">
        <v>15</v>
      </c>
      <c r="Q1722" t="s">
        <v>1196</v>
      </c>
    </row>
    <row r="1723" spans="1:18">
      <c r="A1723" t="s">
        <v>1403</v>
      </c>
      <c r="D1723" t="s">
        <v>1404</v>
      </c>
      <c r="E1723" t="s">
        <v>161</v>
      </c>
      <c r="G1723" t="s">
        <v>1206</v>
      </c>
      <c r="H1723" t="s">
        <v>539</v>
      </c>
      <c r="K1723">
        <v>1950</v>
      </c>
      <c r="L1723">
        <v>1974.5</v>
      </c>
      <c r="M1723">
        <f t="shared" si="13"/>
        <v>25.5</v>
      </c>
      <c r="O1723" t="s">
        <v>163</v>
      </c>
      <c r="P1723" t="s">
        <v>15</v>
      </c>
      <c r="Q1723" t="s">
        <v>1196</v>
      </c>
    </row>
    <row r="1724" spans="1:18">
      <c r="A1724" t="s">
        <v>1403</v>
      </c>
      <c r="D1724" t="s">
        <v>1404</v>
      </c>
      <c r="E1724" t="s">
        <v>161</v>
      </c>
      <c r="G1724" t="s">
        <v>1412</v>
      </c>
      <c r="H1724" t="s">
        <v>539</v>
      </c>
      <c r="K1724">
        <v>1950</v>
      </c>
      <c r="L1724">
        <v>1974.5</v>
      </c>
      <c r="M1724">
        <f t="shared" si="13"/>
        <v>25.5</v>
      </c>
      <c r="O1724" t="s">
        <v>163</v>
      </c>
      <c r="P1724" t="s">
        <v>15</v>
      </c>
      <c r="Q1724" t="s">
        <v>1196</v>
      </c>
    </row>
    <row r="1725" spans="1:18">
      <c r="A1725" t="s">
        <v>1403</v>
      </c>
      <c r="D1725" t="s">
        <v>1404</v>
      </c>
      <c r="E1725" t="s">
        <v>161</v>
      </c>
      <c r="G1725" t="s">
        <v>1311</v>
      </c>
      <c r="H1725" t="s">
        <v>539</v>
      </c>
      <c r="K1725">
        <v>1950</v>
      </c>
      <c r="L1725">
        <v>1974.5</v>
      </c>
      <c r="M1725">
        <f t="shared" si="13"/>
        <v>25.5</v>
      </c>
      <c r="O1725" t="s">
        <v>163</v>
      </c>
      <c r="P1725" t="s">
        <v>15</v>
      </c>
      <c r="Q1725" t="s">
        <v>1196</v>
      </c>
    </row>
    <row r="1726" spans="1:18">
      <c r="A1726" t="s">
        <v>1403</v>
      </c>
      <c r="D1726" t="s">
        <v>1404</v>
      </c>
      <c r="E1726" t="s">
        <v>161</v>
      </c>
      <c r="G1726" t="s">
        <v>1413</v>
      </c>
      <c r="H1726" t="s">
        <v>539</v>
      </c>
      <c r="K1726">
        <v>1950</v>
      </c>
      <c r="L1726">
        <v>1974.5</v>
      </c>
      <c r="M1726">
        <f t="shared" si="13"/>
        <v>25.5</v>
      </c>
      <c r="O1726" t="s">
        <v>163</v>
      </c>
      <c r="P1726" t="s">
        <v>15</v>
      </c>
      <c r="Q1726" t="s">
        <v>1196</v>
      </c>
    </row>
    <row r="1727" spans="1:18">
      <c r="A1727" t="s">
        <v>1403</v>
      </c>
      <c r="D1727" t="s">
        <v>1404</v>
      </c>
      <c r="E1727" t="s">
        <v>161</v>
      </c>
      <c r="G1727" t="s">
        <v>1155</v>
      </c>
      <c r="H1727" t="s">
        <v>539</v>
      </c>
      <c r="K1727">
        <v>1950</v>
      </c>
      <c r="L1727">
        <v>1974.5</v>
      </c>
      <c r="M1727">
        <f t="shared" si="13"/>
        <v>25.5</v>
      </c>
      <c r="O1727" t="s">
        <v>163</v>
      </c>
      <c r="P1727" t="s">
        <v>15</v>
      </c>
      <c r="Q1727" t="s">
        <v>1196</v>
      </c>
    </row>
    <row r="1728" spans="1:18">
      <c r="A1728" t="s">
        <v>1403</v>
      </c>
      <c r="D1728" t="s">
        <v>1404</v>
      </c>
      <c r="E1728" t="s">
        <v>161</v>
      </c>
      <c r="G1728" t="s">
        <v>1414</v>
      </c>
      <c r="H1728" t="s">
        <v>539</v>
      </c>
      <c r="K1728">
        <v>1950</v>
      </c>
      <c r="L1728">
        <v>1974.5</v>
      </c>
      <c r="M1728">
        <f t="shared" si="13"/>
        <v>25.5</v>
      </c>
      <c r="O1728" t="s">
        <v>163</v>
      </c>
      <c r="P1728" t="s">
        <v>15</v>
      </c>
      <c r="Q1728" t="s">
        <v>1196</v>
      </c>
    </row>
    <row r="1729" spans="1:18">
      <c r="A1729" t="s">
        <v>1403</v>
      </c>
      <c r="D1729" t="s">
        <v>1404</v>
      </c>
      <c r="E1729" t="s">
        <v>161</v>
      </c>
      <c r="G1729" t="s">
        <v>1212</v>
      </c>
      <c r="H1729" t="s">
        <v>539</v>
      </c>
      <c r="K1729">
        <v>1950</v>
      </c>
      <c r="L1729">
        <v>1974.5</v>
      </c>
      <c r="M1729">
        <f t="shared" si="13"/>
        <v>25.5</v>
      </c>
      <c r="O1729" t="s">
        <v>163</v>
      </c>
      <c r="P1729" t="s">
        <v>15</v>
      </c>
      <c r="Q1729" t="s">
        <v>1196</v>
      </c>
    </row>
    <row r="1730" spans="1:18">
      <c r="A1730" t="s">
        <v>1403</v>
      </c>
      <c r="D1730" t="s">
        <v>1404</v>
      </c>
      <c r="E1730" t="s">
        <v>161</v>
      </c>
      <c r="G1730" t="s">
        <v>1201</v>
      </c>
      <c r="H1730" t="s">
        <v>539</v>
      </c>
      <c r="K1730">
        <v>1950</v>
      </c>
      <c r="L1730">
        <v>1974.5</v>
      </c>
      <c r="M1730">
        <f t="shared" si="13"/>
        <v>25.5</v>
      </c>
      <c r="O1730" t="s">
        <v>163</v>
      </c>
      <c r="P1730" t="s">
        <v>15</v>
      </c>
      <c r="Q1730" t="s">
        <v>1196</v>
      </c>
    </row>
    <row r="1731" spans="1:18">
      <c r="A1731" t="s">
        <v>1403</v>
      </c>
      <c r="D1731" t="s">
        <v>1404</v>
      </c>
      <c r="E1731" t="s">
        <v>161</v>
      </c>
      <c r="G1731" t="s">
        <v>1415</v>
      </c>
      <c r="H1731" t="s">
        <v>539</v>
      </c>
      <c r="K1731">
        <v>1950</v>
      </c>
      <c r="L1731">
        <v>1974.5</v>
      </c>
      <c r="M1731">
        <f t="shared" si="13"/>
        <v>25.5</v>
      </c>
      <c r="O1731" t="s">
        <v>163</v>
      </c>
      <c r="P1731" t="s">
        <v>15</v>
      </c>
      <c r="Q1731" t="s">
        <v>1196</v>
      </c>
    </row>
    <row r="1732" spans="1:18">
      <c r="A1732" t="s">
        <v>1391</v>
      </c>
      <c r="B1732" t="s">
        <v>593</v>
      </c>
      <c r="C1732" t="s">
        <v>393</v>
      </c>
      <c r="D1732" t="s">
        <v>502</v>
      </c>
      <c r="E1732" t="s">
        <v>368</v>
      </c>
      <c r="F1732" t="s">
        <v>368</v>
      </c>
      <c r="G1732" t="s">
        <v>1024</v>
      </c>
      <c r="I1732">
        <v>32.871122999999997</v>
      </c>
      <c r="J1732">
        <v>-120.98161</v>
      </c>
      <c r="K1732">
        <v>1979</v>
      </c>
      <c r="M1732">
        <v>31</v>
      </c>
      <c r="P1732" t="s">
        <v>593</v>
      </c>
      <c r="Q1732" t="s">
        <v>403</v>
      </c>
      <c r="R1732" t="s">
        <v>1392</v>
      </c>
    </row>
    <row r="1733" spans="1:18">
      <c r="A1733" t="s">
        <v>1416</v>
      </c>
      <c r="B1733" t="s">
        <v>593</v>
      </c>
      <c r="C1733" t="s">
        <v>393</v>
      </c>
      <c r="D1733" t="s">
        <v>554</v>
      </c>
      <c r="E1733" t="s">
        <v>161</v>
      </c>
      <c r="G1733" t="s">
        <v>236</v>
      </c>
      <c r="H1733" t="s">
        <v>396</v>
      </c>
      <c r="K1733">
        <v>1968</v>
      </c>
      <c r="O1733">
        <v>-73.47</v>
      </c>
      <c r="P1733" t="str">
        <f t="shared" ref="P1733:P1796" si="14">IF(O1733&gt;0,"Yes","No")</f>
        <v>No</v>
      </c>
      <c r="Q1733" t="s">
        <v>398</v>
      </c>
    </row>
    <row r="1734" spans="1:18">
      <c r="A1734" t="s">
        <v>1416</v>
      </c>
      <c r="B1734" t="s">
        <v>593</v>
      </c>
      <c r="C1734" t="s">
        <v>393</v>
      </c>
      <c r="D1734" t="s">
        <v>554</v>
      </c>
      <c r="E1734" t="s">
        <v>161</v>
      </c>
      <c r="G1734" t="s">
        <v>211</v>
      </c>
      <c r="H1734" t="s">
        <v>399</v>
      </c>
      <c r="K1734">
        <v>1968</v>
      </c>
      <c r="O1734">
        <v>-38.199999999999996</v>
      </c>
      <c r="P1734" t="str">
        <f t="shared" si="14"/>
        <v>No</v>
      </c>
      <c r="Q1734" t="s">
        <v>398</v>
      </c>
    </row>
    <row r="1735" spans="1:18">
      <c r="A1735" t="s">
        <v>1416</v>
      </c>
      <c r="B1735" t="s">
        <v>593</v>
      </c>
      <c r="C1735" t="s">
        <v>393</v>
      </c>
      <c r="D1735" t="s">
        <v>554</v>
      </c>
      <c r="E1735" t="s">
        <v>161</v>
      </c>
      <c r="G1735" t="s">
        <v>227</v>
      </c>
      <c r="H1735" t="s">
        <v>457</v>
      </c>
      <c r="K1735">
        <v>1968</v>
      </c>
      <c r="O1735">
        <v>-34.51</v>
      </c>
      <c r="P1735" t="str">
        <f t="shared" si="14"/>
        <v>No</v>
      </c>
      <c r="Q1735" t="s">
        <v>398</v>
      </c>
    </row>
    <row r="1736" spans="1:18">
      <c r="A1736" t="s">
        <v>1416</v>
      </c>
      <c r="B1736" t="s">
        <v>593</v>
      </c>
      <c r="C1736" t="s">
        <v>393</v>
      </c>
      <c r="D1736" t="s">
        <v>554</v>
      </c>
      <c r="E1736" t="s">
        <v>161</v>
      </c>
      <c r="G1736" t="s">
        <v>218</v>
      </c>
      <c r="H1736" t="s">
        <v>457</v>
      </c>
      <c r="K1736">
        <v>1968</v>
      </c>
      <c r="O1736">
        <v>-21.150000000000002</v>
      </c>
      <c r="P1736" t="str">
        <f t="shared" si="14"/>
        <v>No</v>
      </c>
      <c r="Q1736" t="s">
        <v>398</v>
      </c>
    </row>
    <row r="1737" spans="1:18">
      <c r="A1737" t="s">
        <v>1416</v>
      </c>
      <c r="B1737" t="s">
        <v>593</v>
      </c>
      <c r="C1737" t="s">
        <v>393</v>
      </c>
      <c r="D1737" t="s">
        <v>554</v>
      </c>
      <c r="E1737" t="s">
        <v>161</v>
      </c>
      <c r="G1737" t="s">
        <v>236</v>
      </c>
      <c r="H1737" t="s">
        <v>399</v>
      </c>
      <c r="K1737">
        <v>1968</v>
      </c>
      <c r="O1737">
        <v>-13.5</v>
      </c>
      <c r="P1737" t="str">
        <f t="shared" si="14"/>
        <v>No</v>
      </c>
      <c r="Q1737" t="s">
        <v>398</v>
      </c>
    </row>
    <row r="1738" spans="1:18">
      <c r="A1738" t="s">
        <v>1416</v>
      </c>
      <c r="B1738" t="s">
        <v>593</v>
      </c>
      <c r="C1738" t="s">
        <v>393</v>
      </c>
      <c r="D1738" t="s">
        <v>554</v>
      </c>
      <c r="E1738" t="s">
        <v>161</v>
      </c>
      <c r="G1738" t="s">
        <v>223</v>
      </c>
      <c r="H1738" t="s">
        <v>457</v>
      </c>
      <c r="K1738">
        <v>1968</v>
      </c>
      <c r="O1738">
        <v>-13.360000000000001</v>
      </c>
      <c r="P1738" t="str">
        <f t="shared" si="14"/>
        <v>No</v>
      </c>
      <c r="Q1738" t="s">
        <v>398</v>
      </c>
    </row>
    <row r="1739" spans="1:18">
      <c r="A1739" t="s">
        <v>1416</v>
      </c>
      <c r="B1739" t="s">
        <v>593</v>
      </c>
      <c r="C1739" t="s">
        <v>393</v>
      </c>
      <c r="D1739" t="s">
        <v>554</v>
      </c>
      <c r="E1739" t="s">
        <v>161</v>
      </c>
      <c r="G1739" t="s">
        <v>210</v>
      </c>
      <c r="H1739" t="s">
        <v>457</v>
      </c>
      <c r="K1739">
        <v>1968</v>
      </c>
      <c r="O1739">
        <v>-9.02</v>
      </c>
      <c r="P1739" t="str">
        <f t="shared" si="14"/>
        <v>No</v>
      </c>
      <c r="Q1739" t="s">
        <v>398</v>
      </c>
    </row>
    <row r="1740" spans="1:18">
      <c r="A1740" t="s">
        <v>1416</v>
      </c>
      <c r="B1740" t="s">
        <v>593</v>
      </c>
      <c r="C1740" t="s">
        <v>393</v>
      </c>
      <c r="D1740" t="s">
        <v>554</v>
      </c>
      <c r="E1740" t="s">
        <v>161</v>
      </c>
      <c r="G1740" t="s">
        <v>210</v>
      </c>
      <c r="H1740" t="s">
        <v>399</v>
      </c>
      <c r="K1740">
        <v>1968</v>
      </c>
      <c r="O1740">
        <v>-8.2999999999999989</v>
      </c>
      <c r="P1740" t="str">
        <f t="shared" si="14"/>
        <v>No</v>
      </c>
      <c r="Q1740" t="s">
        <v>398</v>
      </c>
    </row>
    <row r="1741" spans="1:18">
      <c r="A1741" t="s">
        <v>1416</v>
      </c>
      <c r="B1741" t="s">
        <v>593</v>
      </c>
      <c r="C1741" t="s">
        <v>393</v>
      </c>
      <c r="D1741" t="s">
        <v>554</v>
      </c>
      <c r="E1741" t="s">
        <v>161</v>
      </c>
      <c r="G1741" t="s">
        <v>237</v>
      </c>
      <c r="H1741" t="s">
        <v>399</v>
      </c>
      <c r="K1741">
        <v>1968</v>
      </c>
      <c r="O1741">
        <v>-8.2999999999999989</v>
      </c>
      <c r="P1741" t="str">
        <f t="shared" si="14"/>
        <v>No</v>
      </c>
      <c r="Q1741" t="s">
        <v>398</v>
      </c>
    </row>
    <row r="1742" spans="1:18">
      <c r="A1742" t="s">
        <v>1416</v>
      </c>
      <c r="B1742" t="s">
        <v>593</v>
      </c>
      <c r="C1742" t="s">
        <v>393</v>
      </c>
      <c r="D1742" t="s">
        <v>554</v>
      </c>
      <c r="E1742" t="s">
        <v>161</v>
      </c>
      <c r="G1742" t="s">
        <v>226</v>
      </c>
      <c r="H1742" t="s">
        <v>457</v>
      </c>
      <c r="K1742">
        <v>1968</v>
      </c>
      <c r="O1742">
        <v>-7.35</v>
      </c>
      <c r="P1742" t="str">
        <f t="shared" si="14"/>
        <v>No</v>
      </c>
      <c r="Q1742" t="s">
        <v>398</v>
      </c>
    </row>
    <row r="1743" spans="1:18">
      <c r="A1743" t="s">
        <v>1416</v>
      </c>
      <c r="B1743" t="s">
        <v>593</v>
      </c>
      <c r="C1743" t="s">
        <v>393</v>
      </c>
      <c r="D1743" t="s">
        <v>554</v>
      </c>
      <c r="E1743" t="s">
        <v>161</v>
      </c>
      <c r="G1743" t="s">
        <v>232</v>
      </c>
      <c r="H1743" t="s">
        <v>457</v>
      </c>
      <c r="K1743">
        <v>1968</v>
      </c>
      <c r="O1743">
        <v>-7.01</v>
      </c>
      <c r="P1743" t="str">
        <f t="shared" si="14"/>
        <v>No</v>
      </c>
      <c r="Q1743" t="s">
        <v>398</v>
      </c>
    </row>
    <row r="1744" spans="1:18">
      <c r="A1744" t="s">
        <v>1416</v>
      </c>
      <c r="B1744" t="s">
        <v>593</v>
      </c>
      <c r="C1744" t="s">
        <v>393</v>
      </c>
      <c r="D1744" t="s">
        <v>554</v>
      </c>
      <c r="E1744" t="s">
        <v>161</v>
      </c>
      <c r="G1744" t="s">
        <v>228</v>
      </c>
      <c r="H1744" t="s">
        <v>457</v>
      </c>
      <c r="K1744">
        <v>1968</v>
      </c>
      <c r="O1744">
        <v>-5.68</v>
      </c>
      <c r="P1744" t="str">
        <f t="shared" si="14"/>
        <v>No</v>
      </c>
      <c r="Q1744" t="s">
        <v>398</v>
      </c>
    </row>
    <row r="1745" spans="1:17">
      <c r="A1745" t="s">
        <v>1416</v>
      </c>
      <c r="B1745" t="s">
        <v>593</v>
      </c>
      <c r="C1745" t="s">
        <v>393</v>
      </c>
      <c r="D1745" t="s">
        <v>554</v>
      </c>
      <c r="E1745" t="s">
        <v>161</v>
      </c>
      <c r="G1745" t="s">
        <v>228</v>
      </c>
      <c r="H1745" t="s">
        <v>396</v>
      </c>
      <c r="K1745">
        <v>1968</v>
      </c>
      <c r="O1745">
        <v>0</v>
      </c>
      <c r="P1745" t="str">
        <f t="shared" si="14"/>
        <v>No</v>
      </c>
      <c r="Q1745" t="s">
        <v>398</v>
      </c>
    </row>
    <row r="1746" spans="1:17">
      <c r="A1746" t="s">
        <v>1416</v>
      </c>
      <c r="B1746" t="s">
        <v>593</v>
      </c>
      <c r="C1746" t="s">
        <v>393</v>
      </c>
      <c r="D1746" t="s">
        <v>554</v>
      </c>
      <c r="E1746" t="s">
        <v>161</v>
      </c>
      <c r="G1746" t="s">
        <v>215</v>
      </c>
      <c r="H1746" t="s">
        <v>457</v>
      </c>
      <c r="K1746">
        <v>1968</v>
      </c>
      <c r="O1746">
        <v>0</v>
      </c>
      <c r="P1746" t="str">
        <f t="shared" si="14"/>
        <v>No</v>
      </c>
      <c r="Q1746" t="s">
        <v>398</v>
      </c>
    </row>
    <row r="1747" spans="1:17">
      <c r="A1747" t="s">
        <v>1416</v>
      </c>
      <c r="B1747" t="s">
        <v>593</v>
      </c>
      <c r="C1747" t="s">
        <v>393</v>
      </c>
      <c r="D1747" t="s">
        <v>554</v>
      </c>
      <c r="E1747" t="s">
        <v>161</v>
      </c>
      <c r="G1747" t="s">
        <v>225</v>
      </c>
      <c r="H1747" t="s">
        <v>457</v>
      </c>
      <c r="K1747">
        <v>1968</v>
      </c>
      <c r="O1747">
        <v>0</v>
      </c>
      <c r="P1747" t="str">
        <f t="shared" si="14"/>
        <v>No</v>
      </c>
      <c r="Q1747" t="s">
        <v>398</v>
      </c>
    </row>
    <row r="1748" spans="1:17">
      <c r="A1748" t="s">
        <v>1416</v>
      </c>
      <c r="B1748" t="s">
        <v>593</v>
      </c>
      <c r="C1748" t="s">
        <v>393</v>
      </c>
      <c r="D1748" t="s">
        <v>554</v>
      </c>
      <c r="E1748" t="s">
        <v>161</v>
      </c>
      <c r="G1748" t="s">
        <v>214</v>
      </c>
      <c r="H1748" t="s">
        <v>457</v>
      </c>
      <c r="K1748">
        <v>1968</v>
      </c>
      <c r="O1748">
        <v>0</v>
      </c>
      <c r="P1748" t="str">
        <f t="shared" si="14"/>
        <v>No</v>
      </c>
      <c r="Q1748" t="s">
        <v>398</v>
      </c>
    </row>
    <row r="1749" spans="1:17">
      <c r="A1749" t="s">
        <v>1416</v>
      </c>
      <c r="B1749" t="s">
        <v>593</v>
      </c>
      <c r="C1749" t="s">
        <v>393</v>
      </c>
      <c r="D1749" t="s">
        <v>554</v>
      </c>
      <c r="E1749" t="s">
        <v>161</v>
      </c>
      <c r="G1749" t="s">
        <v>232</v>
      </c>
      <c r="H1749" t="s">
        <v>399</v>
      </c>
      <c r="K1749">
        <v>1968</v>
      </c>
      <c r="O1749">
        <v>0</v>
      </c>
      <c r="P1749" t="str">
        <f t="shared" si="14"/>
        <v>No</v>
      </c>
      <c r="Q1749" t="s">
        <v>398</v>
      </c>
    </row>
    <row r="1750" spans="1:17">
      <c r="A1750" t="s">
        <v>1416</v>
      </c>
      <c r="B1750" t="s">
        <v>593</v>
      </c>
      <c r="C1750" t="s">
        <v>393</v>
      </c>
      <c r="D1750" t="s">
        <v>554</v>
      </c>
      <c r="E1750" t="s">
        <v>161</v>
      </c>
      <c r="G1750" t="s">
        <v>211</v>
      </c>
      <c r="H1750" t="s">
        <v>457</v>
      </c>
      <c r="K1750">
        <v>1968</v>
      </c>
      <c r="O1750">
        <v>0</v>
      </c>
      <c r="P1750" t="str">
        <f t="shared" si="14"/>
        <v>No</v>
      </c>
      <c r="Q1750" t="s">
        <v>398</v>
      </c>
    </row>
    <row r="1751" spans="1:17">
      <c r="A1751" t="s">
        <v>1416</v>
      </c>
      <c r="B1751" t="s">
        <v>593</v>
      </c>
      <c r="C1751" t="s">
        <v>393</v>
      </c>
      <c r="D1751" t="s">
        <v>554</v>
      </c>
      <c r="E1751" t="s">
        <v>161</v>
      </c>
      <c r="G1751" t="s">
        <v>218</v>
      </c>
      <c r="H1751" t="s">
        <v>457</v>
      </c>
      <c r="K1751">
        <v>1968</v>
      </c>
      <c r="O1751">
        <v>0</v>
      </c>
      <c r="P1751" t="str">
        <f t="shared" si="14"/>
        <v>No</v>
      </c>
      <c r="Q1751" t="s">
        <v>398</v>
      </c>
    </row>
    <row r="1752" spans="1:17">
      <c r="A1752" t="s">
        <v>1416</v>
      </c>
      <c r="B1752" t="s">
        <v>593</v>
      </c>
      <c r="C1752" t="s">
        <v>393</v>
      </c>
      <c r="D1752" t="s">
        <v>554</v>
      </c>
      <c r="E1752" t="s">
        <v>161</v>
      </c>
      <c r="G1752" t="s">
        <v>218</v>
      </c>
      <c r="H1752" t="s">
        <v>399</v>
      </c>
      <c r="K1752">
        <v>1968</v>
      </c>
      <c r="O1752">
        <v>0</v>
      </c>
      <c r="P1752" t="str">
        <f t="shared" si="14"/>
        <v>No</v>
      </c>
      <c r="Q1752" t="s">
        <v>398</v>
      </c>
    </row>
    <row r="1753" spans="1:17">
      <c r="A1753" t="s">
        <v>1416</v>
      </c>
      <c r="B1753" t="s">
        <v>593</v>
      </c>
      <c r="C1753" t="s">
        <v>393</v>
      </c>
      <c r="D1753" t="s">
        <v>554</v>
      </c>
      <c r="E1753" t="s">
        <v>161</v>
      </c>
      <c r="G1753" t="s">
        <v>208</v>
      </c>
      <c r="H1753" t="s">
        <v>457</v>
      </c>
      <c r="K1753">
        <v>1968</v>
      </c>
      <c r="O1753">
        <v>0</v>
      </c>
      <c r="P1753" t="str">
        <f t="shared" si="14"/>
        <v>No</v>
      </c>
      <c r="Q1753" t="s">
        <v>398</v>
      </c>
    </row>
    <row r="1754" spans="1:17">
      <c r="A1754" t="s">
        <v>1416</v>
      </c>
      <c r="B1754" t="s">
        <v>593</v>
      </c>
      <c r="C1754" t="s">
        <v>393</v>
      </c>
      <c r="D1754" t="s">
        <v>554</v>
      </c>
      <c r="E1754" t="s">
        <v>161</v>
      </c>
      <c r="G1754" t="s">
        <v>225</v>
      </c>
      <c r="H1754" t="s">
        <v>399</v>
      </c>
      <c r="K1754">
        <v>1968</v>
      </c>
      <c r="O1754">
        <v>0</v>
      </c>
      <c r="P1754" t="str">
        <f t="shared" si="14"/>
        <v>No</v>
      </c>
      <c r="Q1754" t="s">
        <v>398</v>
      </c>
    </row>
    <row r="1755" spans="1:17">
      <c r="A1755" t="s">
        <v>1416</v>
      </c>
      <c r="B1755" t="s">
        <v>593</v>
      </c>
      <c r="C1755" t="s">
        <v>393</v>
      </c>
      <c r="D1755" t="s">
        <v>554</v>
      </c>
      <c r="E1755" t="s">
        <v>161</v>
      </c>
      <c r="G1755" t="s">
        <v>226</v>
      </c>
      <c r="H1755" t="s">
        <v>399</v>
      </c>
      <c r="K1755">
        <v>1968</v>
      </c>
      <c r="O1755">
        <v>0</v>
      </c>
      <c r="P1755" t="str">
        <f t="shared" si="14"/>
        <v>No</v>
      </c>
      <c r="Q1755" t="s">
        <v>398</v>
      </c>
    </row>
    <row r="1756" spans="1:17">
      <c r="A1756" t="s">
        <v>1416</v>
      </c>
      <c r="B1756" t="s">
        <v>593</v>
      </c>
      <c r="C1756" t="s">
        <v>393</v>
      </c>
      <c r="D1756" t="s">
        <v>554</v>
      </c>
      <c r="E1756" t="s">
        <v>161</v>
      </c>
      <c r="G1756" t="s">
        <v>211</v>
      </c>
      <c r="H1756" t="s">
        <v>396</v>
      </c>
      <c r="K1756">
        <v>1968</v>
      </c>
      <c r="O1756">
        <v>0</v>
      </c>
      <c r="P1756" t="str">
        <f t="shared" si="14"/>
        <v>No</v>
      </c>
      <c r="Q1756" t="s">
        <v>398</v>
      </c>
    </row>
    <row r="1757" spans="1:17">
      <c r="A1757" t="s">
        <v>1416</v>
      </c>
      <c r="B1757" t="s">
        <v>593</v>
      </c>
      <c r="C1757" t="s">
        <v>393</v>
      </c>
      <c r="D1757" t="s">
        <v>554</v>
      </c>
      <c r="E1757" t="s">
        <v>161</v>
      </c>
      <c r="G1757" t="s">
        <v>225</v>
      </c>
      <c r="H1757" t="s">
        <v>396</v>
      </c>
      <c r="K1757">
        <v>1968</v>
      </c>
      <c r="O1757">
        <v>0</v>
      </c>
      <c r="P1757" t="str">
        <f t="shared" si="14"/>
        <v>No</v>
      </c>
      <c r="Q1757" t="s">
        <v>398</v>
      </c>
    </row>
    <row r="1758" spans="1:17">
      <c r="A1758" t="s">
        <v>1416</v>
      </c>
      <c r="B1758" t="s">
        <v>593</v>
      </c>
      <c r="C1758" t="s">
        <v>393</v>
      </c>
      <c r="D1758" t="s">
        <v>554</v>
      </c>
      <c r="E1758" t="s">
        <v>161</v>
      </c>
      <c r="G1758" t="s">
        <v>228</v>
      </c>
      <c r="H1758" t="s">
        <v>399</v>
      </c>
      <c r="K1758">
        <v>1968</v>
      </c>
      <c r="O1758">
        <v>0</v>
      </c>
      <c r="P1758" t="str">
        <f t="shared" si="14"/>
        <v>No</v>
      </c>
      <c r="Q1758" t="s">
        <v>398</v>
      </c>
    </row>
    <row r="1759" spans="1:17">
      <c r="A1759" t="s">
        <v>1416</v>
      </c>
      <c r="B1759" t="s">
        <v>593</v>
      </c>
      <c r="C1759" t="s">
        <v>393</v>
      </c>
      <c r="D1759" t="s">
        <v>554</v>
      </c>
      <c r="E1759" t="s">
        <v>161</v>
      </c>
      <c r="G1759" t="s">
        <v>223</v>
      </c>
      <c r="H1759" t="s">
        <v>396</v>
      </c>
      <c r="K1759">
        <v>1968</v>
      </c>
      <c r="O1759">
        <v>0</v>
      </c>
      <c r="P1759" t="str">
        <f t="shared" si="14"/>
        <v>No</v>
      </c>
      <c r="Q1759" t="s">
        <v>398</v>
      </c>
    </row>
    <row r="1760" spans="1:17">
      <c r="A1760" t="s">
        <v>1416</v>
      </c>
      <c r="B1760" t="s">
        <v>593</v>
      </c>
      <c r="C1760" t="s">
        <v>393</v>
      </c>
      <c r="D1760" t="s">
        <v>554</v>
      </c>
      <c r="E1760" t="s">
        <v>161</v>
      </c>
      <c r="G1760" t="s">
        <v>207</v>
      </c>
      <c r="H1760" t="s">
        <v>457</v>
      </c>
      <c r="K1760">
        <v>1968</v>
      </c>
      <c r="O1760">
        <v>0</v>
      </c>
      <c r="P1760" t="str">
        <f t="shared" si="14"/>
        <v>No</v>
      </c>
      <c r="Q1760" t="s">
        <v>398</v>
      </c>
    </row>
    <row r="1761" spans="1:17">
      <c r="A1761" t="s">
        <v>1416</v>
      </c>
      <c r="B1761" t="s">
        <v>593</v>
      </c>
      <c r="C1761" t="s">
        <v>393</v>
      </c>
      <c r="D1761" t="s">
        <v>554</v>
      </c>
      <c r="E1761" t="s">
        <v>161</v>
      </c>
      <c r="G1761" t="s">
        <v>234</v>
      </c>
      <c r="H1761" t="s">
        <v>399</v>
      </c>
      <c r="K1761">
        <v>1968</v>
      </c>
      <c r="O1761">
        <v>0</v>
      </c>
      <c r="P1761" t="str">
        <f t="shared" si="14"/>
        <v>No</v>
      </c>
      <c r="Q1761" t="s">
        <v>398</v>
      </c>
    </row>
    <row r="1762" spans="1:17">
      <c r="A1762" t="s">
        <v>1416</v>
      </c>
      <c r="B1762" t="s">
        <v>593</v>
      </c>
      <c r="C1762" t="s">
        <v>393</v>
      </c>
      <c r="D1762" t="s">
        <v>554</v>
      </c>
      <c r="E1762" t="s">
        <v>161</v>
      </c>
      <c r="G1762" t="s">
        <v>234</v>
      </c>
      <c r="H1762" t="s">
        <v>457</v>
      </c>
      <c r="K1762">
        <v>1968</v>
      </c>
      <c r="O1762">
        <v>0</v>
      </c>
      <c r="P1762" t="str">
        <f t="shared" si="14"/>
        <v>No</v>
      </c>
      <c r="Q1762" t="s">
        <v>398</v>
      </c>
    </row>
    <row r="1763" spans="1:17">
      <c r="A1763" t="s">
        <v>1416</v>
      </c>
      <c r="B1763" t="s">
        <v>593</v>
      </c>
      <c r="C1763" t="s">
        <v>393</v>
      </c>
      <c r="D1763" t="s">
        <v>554</v>
      </c>
      <c r="E1763" t="s">
        <v>161</v>
      </c>
      <c r="G1763" t="s">
        <v>227</v>
      </c>
      <c r="H1763" t="s">
        <v>399</v>
      </c>
      <c r="K1763">
        <v>1968</v>
      </c>
      <c r="O1763">
        <v>0</v>
      </c>
      <c r="P1763" t="str">
        <f t="shared" si="14"/>
        <v>No</v>
      </c>
      <c r="Q1763" t="s">
        <v>398</v>
      </c>
    </row>
    <row r="1764" spans="1:17">
      <c r="A1764" t="s">
        <v>1416</v>
      </c>
      <c r="B1764" t="s">
        <v>593</v>
      </c>
      <c r="C1764" t="s">
        <v>393</v>
      </c>
      <c r="D1764" t="s">
        <v>554</v>
      </c>
      <c r="E1764" t="s">
        <v>161</v>
      </c>
      <c r="G1764" t="s">
        <v>223</v>
      </c>
      <c r="H1764" t="s">
        <v>399</v>
      </c>
      <c r="K1764">
        <v>1968</v>
      </c>
      <c r="O1764">
        <v>0</v>
      </c>
      <c r="P1764" t="str">
        <f t="shared" si="14"/>
        <v>No</v>
      </c>
      <c r="Q1764" t="s">
        <v>398</v>
      </c>
    </row>
    <row r="1765" spans="1:17">
      <c r="A1765" t="s">
        <v>1416</v>
      </c>
      <c r="B1765" t="s">
        <v>593</v>
      </c>
      <c r="C1765" t="s">
        <v>393</v>
      </c>
      <c r="D1765" t="s">
        <v>554</v>
      </c>
      <c r="E1765" t="s">
        <v>161</v>
      </c>
      <c r="G1765" t="s">
        <v>218</v>
      </c>
      <c r="H1765" t="s">
        <v>396</v>
      </c>
      <c r="K1765">
        <v>1968</v>
      </c>
      <c r="O1765">
        <v>0</v>
      </c>
      <c r="P1765" t="str">
        <f t="shared" si="14"/>
        <v>No</v>
      </c>
      <c r="Q1765" t="s">
        <v>398</v>
      </c>
    </row>
    <row r="1766" spans="1:17">
      <c r="A1766" t="s">
        <v>1416</v>
      </c>
      <c r="B1766" t="s">
        <v>593</v>
      </c>
      <c r="C1766" t="s">
        <v>393</v>
      </c>
      <c r="D1766" t="s">
        <v>554</v>
      </c>
      <c r="E1766" t="s">
        <v>161</v>
      </c>
      <c r="G1766" t="s">
        <v>224</v>
      </c>
      <c r="H1766" t="s">
        <v>457</v>
      </c>
      <c r="K1766">
        <v>1968</v>
      </c>
      <c r="O1766">
        <v>0</v>
      </c>
      <c r="P1766" t="str">
        <f t="shared" si="14"/>
        <v>No</v>
      </c>
      <c r="Q1766" t="s">
        <v>398</v>
      </c>
    </row>
    <row r="1767" spans="1:17">
      <c r="A1767" t="s">
        <v>1416</v>
      </c>
      <c r="B1767" t="s">
        <v>593</v>
      </c>
      <c r="C1767" t="s">
        <v>393</v>
      </c>
      <c r="D1767" t="s">
        <v>554</v>
      </c>
      <c r="E1767" t="s">
        <v>161</v>
      </c>
      <c r="G1767" t="s">
        <v>207</v>
      </c>
      <c r="H1767" t="s">
        <v>396</v>
      </c>
      <c r="K1767">
        <v>1968</v>
      </c>
      <c r="O1767">
        <v>0</v>
      </c>
      <c r="P1767" t="str">
        <f t="shared" si="14"/>
        <v>No</v>
      </c>
      <c r="Q1767" t="s">
        <v>398</v>
      </c>
    </row>
    <row r="1768" spans="1:17">
      <c r="A1768" t="s">
        <v>1416</v>
      </c>
      <c r="B1768" t="s">
        <v>593</v>
      </c>
      <c r="C1768" t="s">
        <v>393</v>
      </c>
      <c r="D1768" t="s">
        <v>554</v>
      </c>
      <c r="E1768" t="s">
        <v>161</v>
      </c>
      <c r="G1768" t="s">
        <v>225</v>
      </c>
      <c r="H1768" t="s">
        <v>396</v>
      </c>
      <c r="K1768">
        <v>1968</v>
      </c>
      <c r="O1768">
        <v>0</v>
      </c>
      <c r="P1768" t="str">
        <f t="shared" si="14"/>
        <v>No</v>
      </c>
      <c r="Q1768" t="s">
        <v>398</v>
      </c>
    </row>
    <row r="1769" spans="1:17">
      <c r="A1769" t="s">
        <v>1416</v>
      </c>
      <c r="B1769" t="s">
        <v>593</v>
      </c>
      <c r="C1769" t="s">
        <v>393</v>
      </c>
      <c r="D1769" t="s">
        <v>554</v>
      </c>
      <c r="E1769" t="s">
        <v>161</v>
      </c>
      <c r="G1769" t="s">
        <v>216</v>
      </c>
      <c r="H1769" t="s">
        <v>396</v>
      </c>
      <c r="K1769">
        <v>1968</v>
      </c>
      <c r="O1769">
        <v>0</v>
      </c>
      <c r="P1769" t="str">
        <f t="shared" si="14"/>
        <v>No</v>
      </c>
      <c r="Q1769" t="s">
        <v>398</v>
      </c>
    </row>
    <row r="1770" spans="1:17">
      <c r="A1770" t="s">
        <v>1416</v>
      </c>
      <c r="B1770" t="s">
        <v>593</v>
      </c>
      <c r="C1770" t="s">
        <v>393</v>
      </c>
      <c r="D1770" t="s">
        <v>554</v>
      </c>
      <c r="E1770" t="s">
        <v>161</v>
      </c>
      <c r="G1770" t="s">
        <v>222</v>
      </c>
      <c r="H1770" t="s">
        <v>396</v>
      </c>
      <c r="K1770">
        <v>1968</v>
      </c>
      <c r="O1770">
        <v>0</v>
      </c>
      <c r="P1770" t="str">
        <f t="shared" si="14"/>
        <v>No</v>
      </c>
      <c r="Q1770" t="s">
        <v>398</v>
      </c>
    </row>
    <row r="1771" spans="1:17">
      <c r="A1771" t="s">
        <v>1416</v>
      </c>
      <c r="B1771" t="s">
        <v>593</v>
      </c>
      <c r="C1771" t="s">
        <v>393</v>
      </c>
      <c r="D1771" t="s">
        <v>554</v>
      </c>
      <c r="E1771" t="s">
        <v>161</v>
      </c>
      <c r="G1771" t="s">
        <v>217</v>
      </c>
      <c r="H1771" t="s">
        <v>396</v>
      </c>
      <c r="K1771">
        <v>1968</v>
      </c>
      <c r="O1771">
        <v>0</v>
      </c>
      <c r="P1771" t="str">
        <f t="shared" si="14"/>
        <v>No</v>
      </c>
      <c r="Q1771" t="s">
        <v>398</v>
      </c>
    </row>
    <row r="1772" spans="1:17">
      <c r="A1772" t="s">
        <v>1416</v>
      </c>
      <c r="B1772" t="s">
        <v>593</v>
      </c>
      <c r="C1772" t="s">
        <v>393</v>
      </c>
      <c r="D1772" t="s">
        <v>554</v>
      </c>
      <c r="E1772" t="s">
        <v>161</v>
      </c>
      <c r="G1772" t="s">
        <v>211</v>
      </c>
      <c r="H1772" t="s">
        <v>457</v>
      </c>
      <c r="K1772">
        <v>1968</v>
      </c>
      <c r="O1772">
        <v>0</v>
      </c>
      <c r="P1772" t="str">
        <f t="shared" si="14"/>
        <v>No</v>
      </c>
      <c r="Q1772" t="s">
        <v>398</v>
      </c>
    </row>
    <row r="1773" spans="1:17">
      <c r="A1773" t="s">
        <v>1416</v>
      </c>
      <c r="B1773" t="s">
        <v>593</v>
      </c>
      <c r="C1773" t="s">
        <v>393</v>
      </c>
      <c r="D1773" t="s">
        <v>554</v>
      </c>
      <c r="E1773" t="s">
        <v>161</v>
      </c>
      <c r="G1773" t="s">
        <v>224</v>
      </c>
      <c r="H1773" t="s">
        <v>396</v>
      </c>
      <c r="K1773">
        <v>1968</v>
      </c>
      <c r="O1773">
        <v>0</v>
      </c>
      <c r="P1773" t="str">
        <f t="shared" si="14"/>
        <v>No</v>
      </c>
      <c r="Q1773" t="s">
        <v>398</v>
      </c>
    </row>
    <row r="1774" spans="1:17">
      <c r="A1774" t="s">
        <v>1416</v>
      </c>
      <c r="B1774" t="s">
        <v>593</v>
      </c>
      <c r="C1774" t="s">
        <v>393</v>
      </c>
      <c r="D1774" t="s">
        <v>554</v>
      </c>
      <c r="E1774" t="s">
        <v>161</v>
      </c>
      <c r="G1774" t="s">
        <v>207</v>
      </c>
      <c r="H1774" t="s">
        <v>457</v>
      </c>
      <c r="K1774">
        <v>1968</v>
      </c>
      <c r="O1774">
        <v>0</v>
      </c>
      <c r="P1774" t="str">
        <f t="shared" si="14"/>
        <v>No</v>
      </c>
      <c r="Q1774" t="s">
        <v>398</v>
      </c>
    </row>
    <row r="1775" spans="1:17">
      <c r="A1775" t="s">
        <v>1416</v>
      </c>
      <c r="B1775" t="s">
        <v>593</v>
      </c>
      <c r="C1775" t="s">
        <v>393</v>
      </c>
      <c r="D1775" t="s">
        <v>554</v>
      </c>
      <c r="E1775" t="s">
        <v>161</v>
      </c>
      <c r="G1775" t="s">
        <v>217</v>
      </c>
      <c r="H1775" t="s">
        <v>457</v>
      </c>
      <c r="K1775">
        <v>1968</v>
      </c>
      <c r="O1775">
        <v>0</v>
      </c>
      <c r="P1775" t="str">
        <f t="shared" si="14"/>
        <v>No</v>
      </c>
      <c r="Q1775" t="s">
        <v>398</v>
      </c>
    </row>
    <row r="1776" spans="1:17">
      <c r="A1776" t="s">
        <v>1416</v>
      </c>
      <c r="B1776" t="s">
        <v>593</v>
      </c>
      <c r="C1776" t="s">
        <v>393</v>
      </c>
      <c r="D1776" t="s">
        <v>554</v>
      </c>
      <c r="E1776" t="s">
        <v>161</v>
      </c>
      <c r="G1776" t="s">
        <v>224</v>
      </c>
      <c r="H1776" t="s">
        <v>399</v>
      </c>
      <c r="K1776">
        <v>1968</v>
      </c>
      <c r="O1776">
        <v>0</v>
      </c>
      <c r="P1776" t="str">
        <f t="shared" si="14"/>
        <v>No</v>
      </c>
      <c r="Q1776" t="s">
        <v>398</v>
      </c>
    </row>
    <row r="1777" spans="1:17">
      <c r="A1777" t="s">
        <v>1416</v>
      </c>
      <c r="B1777" t="s">
        <v>593</v>
      </c>
      <c r="C1777" t="s">
        <v>393</v>
      </c>
      <c r="D1777" t="s">
        <v>554</v>
      </c>
      <c r="E1777" t="s">
        <v>161</v>
      </c>
      <c r="G1777" t="s">
        <v>212</v>
      </c>
      <c r="H1777" t="s">
        <v>457</v>
      </c>
      <c r="K1777">
        <v>1968</v>
      </c>
      <c r="O1777">
        <v>0</v>
      </c>
      <c r="P1777" t="str">
        <f t="shared" si="14"/>
        <v>No</v>
      </c>
      <c r="Q1777" t="s">
        <v>398</v>
      </c>
    </row>
    <row r="1778" spans="1:17">
      <c r="A1778" t="s">
        <v>1416</v>
      </c>
      <c r="B1778" t="s">
        <v>593</v>
      </c>
      <c r="C1778" t="s">
        <v>393</v>
      </c>
      <c r="D1778" t="s">
        <v>554</v>
      </c>
      <c r="E1778" t="s">
        <v>161</v>
      </c>
      <c r="G1778" t="s">
        <v>236</v>
      </c>
      <c r="H1778" t="s">
        <v>457</v>
      </c>
      <c r="K1778">
        <v>1968</v>
      </c>
      <c r="O1778">
        <v>0</v>
      </c>
      <c r="P1778" t="str">
        <f t="shared" si="14"/>
        <v>No</v>
      </c>
      <c r="Q1778" t="s">
        <v>398</v>
      </c>
    </row>
    <row r="1779" spans="1:17">
      <c r="A1779" t="s">
        <v>1416</v>
      </c>
      <c r="B1779" t="s">
        <v>593</v>
      </c>
      <c r="C1779" t="s">
        <v>393</v>
      </c>
      <c r="D1779" t="s">
        <v>554</v>
      </c>
      <c r="E1779" t="s">
        <v>161</v>
      </c>
      <c r="G1779" t="s">
        <v>219</v>
      </c>
      <c r="H1779" t="s">
        <v>457</v>
      </c>
      <c r="K1779">
        <v>1968</v>
      </c>
      <c r="O1779">
        <v>0</v>
      </c>
      <c r="P1779" t="str">
        <f t="shared" si="14"/>
        <v>No</v>
      </c>
      <c r="Q1779" t="s">
        <v>398</v>
      </c>
    </row>
    <row r="1780" spans="1:17">
      <c r="A1780" t="s">
        <v>1416</v>
      </c>
      <c r="B1780" t="s">
        <v>593</v>
      </c>
      <c r="C1780" t="s">
        <v>393</v>
      </c>
      <c r="D1780" t="s">
        <v>554</v>
      </c>
      <c r="E1780" t="s">
        <v>161</v>
      </c>
      <c r="G1780" t="s">
        <v>213</v>
      </c>
      <c r="H1780" t="s">
        <v>396</v>
      </c>
      <c r="K1780">
        <v>1968</v>
      </c>
      <c r="O1780">
        <v>0</v>
      </c>
      <c r="P1780" t="str">
        <f t="shared" si="14"/>
        <v>No</v>
      </c>
      <c r="Q1780" t="s">
        <v>398</v>
      </c>
    </row>
    <row r="1781" spans="1:17">
      <c r="A1781" t="s">
        <v>1416</v>
      </c>
      <c r="B1781" t="s">
        <v>593</v>
      </c>
      <c r="C1781" t="s">
        <v>393</v>
      </c>
      <c r="D1781" t="s">
        <v>554</v>
      </c>
      <c r="E1781" t="s">
        <v>161</v>
      </c>
      <c r="G1781" t="s">
        <v>233</v>
      </c>
      <c r="H1781" t="s">
        <v>399</v>
      </c>
      <c r="K1781">
        <v>1968</v>
      </c>
      <c r="O1781">
        <v>0</v>
      </c>
      <c r="P1781" t="str">
        <f t="shared" si="14"/>
        <v>No</v>
      </c>
      <c r="Q1781" t="s">
        <v>398</v>
      </c>
    </row>
    <row r="1782" spans="1:17">
      <c r="A1782" t="s">
        <v>1416</v>
      </c>
      <c r="B1782" t="s">
        <v>593</v>
      </c>
      <c r="C1782" t="s">
        <v>393</v>
      </c>
      <c r="D1782" t="s">
        <v>554</v>
      </c>
      <c r="E1782" t="s">
        <v>161</v>
      </c>
      <c r="G1782" t="s">
        <v>210</v>
      </c>
      <c r="H1782" t="s">
        <v>457</v>
      </c>
      <c r="K1782">
        <v>1968</v>
      </c>
      <c r="O1782">
        <v>0</v>
      </c>
      <c r="P1782" t="str">
        <f t="shared" si="14"/>
        <v>No</v>
      </c>
      <c r="Q1782" t="s">
        <v>398</v>
      </c>
    </row>
    <row r="1783" spans="1:17">
      <c r="A1783" t="s">
        <v>1416</v>
      </c>
      <c r="B1783" t="s">
        <v>593</v>
      </c>
      <c r="C1783" t="s">
        <v>393</v>
      </c>
      <c r="D1783" t="s">
        <v>554</v>
      </c>
      <c r="E1783" t="s">
        <v>161</v>
      </c>
      <c r="G1783" t="s">
        <v>208</v>
      </c>
      <c r="H1783" t="s">
        <v>396</v>
      </c>
      <c r="K1783">
        <v>1968</v>
      </c>
      <c r="O1783">
        <v>0</v>
      </c>
      <c r="P1783" t="str">
        <f t="shared" si="14"/>
        <v>No</v>
      </c>
      <c r="Q1783" t="s">
        <v>398</v>
      </c>
    </row>
    <row r="1784" spans="1:17">
      <c r="A1784" t="s">
        <v>1416</v>
      </c>
      <c r="B1784" t="s">
        <v>593</v>
      </c>
      <c r="C1784" t="s">
        <v>393</v>
      </c>
      <c r="D1784" t="s">
        <v>554</v>
      </c>
      <c r="E1784" t="s">
        <v>161</v>
      </c>
      <c r="G1784" t="s">
        <v>210</v>
      </c>
      <c r="H1784" t="s">
        <v>396</v>
      </c>
      <c r="K1784">
        <v>1968</v>
      </c>
      <c r="O1784">
        <v>0</v>
      </c>
      <c r="P1784" t="str">
        <f t="shared" si="14"/>
        <v>No</v>
      </c>
      <c r="Q1784" t="s">
        <v>398</v>
      </c>
    </row>
    <row r="1785" spans="1:17">
      <c r="A1785" t="s">
        <v>1416</v>
      </c>
      <c r="B1785" t="s">
        <v>593</v>
      </c>
      <c r="C1785" t="s">
        <v>393</v>
      </c>
      <c r="D1785" t="s">
        <v>554</v>
      </c>
      <c r="E1785" t="s">
        <v>161</v>
      </c>
      <c r="G1785" t="s">
        <v>213</v>
      </c>
      <c r="H1785" t="s">
        <v>457</v>
      </c>
      <c r="K1785">
        <v>1968</v>
      </c>
      <c r="O1785">
        <v>0</v>
      </c>
      <c r="P1785" t="str">
        <f t="shared" si="14"/>
        <v>No</v>
      </c>
      <c r="Q1785" t="s">
        <v>398</v>
      </c>
    </row>
    <row r="1786" spans="1:17">
      <c r="A1786" t="s">
        <v>1416</v>
      </c>
      <c r="B1786" t="s">
        <v>593</v>
      </c>
      <c r="C1786" t="s">
        <v>393</v>
      </c>
      <c r="D1786" t="s">
        <v>554</v>
      </c>
      <c r="E1786" t="s">
        <v>161</v>
      </c>
      <c r="G1786" t="s">
        <v>212</v>
      </c>
      <c r="H1786" t="s">
        <v>396</v>
      </c>
      <c r="K1786">
        <v>1968</v>
      </c>
      <c r="O1786">
        <v>0</v>
      </c>
      <c r="P1786" t="str">
        <f t="shared" si="14"/>
        <v>No</v>
      </c>
      <c r="Q1786" t="s">
        <v>398</v>
      </c>
    </row>
    <row r="1787" spans="1:17">
      <c r="A1787" t="s">
        <v>1416</v>
      </c>
      <c r="B1787" t="s">
        <v>593</v>
      </c>
      <c r="C1787" t="s">
        <v>393</v>
      </c>
      <c r="D1787" t="s">
        <v>554</v>
      </c>
      <c r="E1787" t="s">
        <v>161</v>
      </c>
      <c r="G1787" t="s">
        <v>209</v>
      </c>
      <c r="H1787" t="s">
        <v>457</v>
      </c>
      <c r="K1787">
        <v>1968</v>
      </c>
      <c r="O1787">
        <v>0</v>
      </c>
      <c r="P1787" t="str">
        <f t="shared" si="14"/>
        <v>No</v>
      </c>
      <c r="Q1787" t="s">
        <v>398</v>
      </c>
    </row>
    <row r="1788" spans="1:17">
      <c r="A1788" t="s">
        <v>1416</v>
      </c>
      <c r="B1788" t="s">
        <v>593</v>
      </c>
      <c r="C1788" t="s">
        <v>393</v>
      </c>
      <c r="D1788" t="s">
        <v>554</v>
      </c>
      <c r="E1788" t="s">
        <v>161</v>
      </c>
      <c r="G1788" t="s">
        <v>231</v>
      </c>
      <c r="H1788" t="s">
        <v>457</v>
      </c>
      <c r="K1788">
        <v>1968</v>
      </c>
      <c r="O1788">
        <v>0</v>
      </c>
      <c r="P1788" t="str">
        <f t="shared" si="14"/>
        <v>No</v>
      </c>
      <c r="Q1788" t="s">
        <v>398</v>
      </c>
    </row>
    <row r="1789" spans="1:17">
      <c r="A1789" t="s">
        <v>1416</v>
      </c>
      <c r="B1789" t="s">
        <v>593</v>
      </c>
      <c r="C1789" t="s">
        <v>393</v>
      </c>
      <c r="D1789" t="s">
        <v>554</v>
      </c>
      <c r="E1789" t="s">
        <v>161</v>
      </c>
      <c r="G1789" t="s">
        <v>235</v>
      </c>
      <c r="H1789" t="s">
        <v>396</v>
      </c>
      <c r="K1789">
        <v>1968</v>
      </c>
      <c r="O1789">
        <v>0</v>
      </c>
      <c r="P1789" t="str">
        <f t="shared" si="14"/>
        <v>No</v>
      </c>
      <c r="Q1789" t="s">
        <v>398</v>
      </c>
    </row>
    <row r="1790" spans="1:17">
      <c r="A1790" t="s">
        <v>1416</v>
      </c>
      <c r="B1790" t="s">
        <v>593</v>
      </c>
      <c r="C1790" t="s">
        <v>393</v>
      </c>
      <c r="D1790" t="s">
        <v>554</v>
      </c>
      <c r="E1790" t="s">
        <v>161</v>
      </c>
      <c r="G1790" t="s">
        <v>231</v>
      </c>
      <c r="H1790" t="s">
        <v>396</v>
      </c>
      <c r="K1790">
        <v>1968</v>
      </c>
      <c r="O1790">
        <v>0</v>
      </c>
      <c r="P1790" t="str">
        <f t="shared" si="14"/>
        <v>No</v>
      </c>
      <c r="Q1790" t="s">
        <v>398</v>
      </c>
    </row>
    <row r="1791" spans="1:17">
      <c r="A1791" t="s">
        <v>1416</v>
      </c>
      <c r="B1791" t="s">
        <v>593</v>
      </c>
      <c r="C1791" t="s">
        <v>393</v>
      </c>
      <c r="D1791" t="s">
        <v>554</v>
      </c>
      <c r="E1791" t="s">
        <v>161</v>
      </c>
      <c r="G1791" t="s">
        <v>235</v>
      </c>
      <c r="H1791" t="s">
        <v>457</v>
      </c>
      <c r="K1791">
        <v>1968</v>
      </c>
      <c r="O1791">
        <v>0</v>
      </c>
      <c r="P1791" t="str">
        <f t="shared" si="14"/>
        <v>No</v>
      </c>
      <c r="Q1791" t="s">
        <v>398</v>
      </c>
    </row>
    <row r="1792" spans="1:17">
      <c r="A1792" t="s">
        <v>1416</v>
      </c>
      <c r="B1792" t="s">
        <v>593</v>
      </c>
      <c r="C1792" t="s">
        <v>393</v>
      </c>
      <c r="D1792" t="s">
        <v>554</v>
      </c>
      <c r="E1792" t="s">
        <v>161</v>
      </c>
      <c r="G1792" t="s">
        <v>225</v>
      </c>
      <c r="H1792" t="s">
        <v>399</v>
      </c>
      <c r="K1792">
        <v>1968</v>
      </c>
      <c r="O1792">
        <v>0</v>
      </c>
      <c r="P1792" t="str">
        <f t="shared" si="14"/>
        <v>No</v>
      </c>
      <c r="Q1792" t="s">
        <v>398</v>
      </c>
    </row>
    <row r="1793" spans="1:17">
      <c r="A1793" t="s">
        <v>1416</v>
      </c>
      <c r="B1793" t="s">
        <v>593</v>
      </c>
      <c r="C1793" t="s">
        <v>393</v>
      </c>
      <c r="D1793" t="s">
        <v>554</v>
      </c>
      <c r="E1793" t="s">
        <v>161</v>
      </c>
      <c r="G1793" t="s">
        <v>901</v>
      </c>
      <c r="H1793" t="s">
        <v>399</v>
      </c>
      <c r="K1793">
        <v>1968</v>
      </c>
      <c r="O1793">
        <v>0</v>
      </c>
      <c r="P1793" t="str">
        <f t="shared" si="14"/>
        <v>No</v>
      </c>
      <c r="Q1793" t="s">
        <v>398</v>
      </c>
    </row>
    <row r="1794" spans="1:17">
      <c r="A1794" t="s">
        <v>1416</v>
      </c>
      <c r="B1794" t="s">
        <v>593</v>
      </c>
      <c r="C1794" t="s">
        <v>393</v>
      </c>
      <c r="D1794" t="s">
        <v>554</v>
      </c>
      <c r="E1794" t="s">
        <v>161</v>
      </c>
      <c r="G1794" t="s">
        <v>229</v>
      </c>
      <c r="H1794" t="s">
        <v>399</v>
      </c>
      <c r="K1794">
        <v>1968</v>
      </c>
      <c r="O1794">
        <v>0</v>
      </c>
      <c r="P1794" t="str">
        <f t="shared" si="14"/>
        <v>No</v>
      </c>
      <c r="Q1794" t="s">
        <v>398</v>
      </c>
    </row>
    <row r="1795" spans="1:17">
      <c r="A1795" t="s">
        <v>1416</v>
      </c>
      <c r="B1795" t="s">
        <v>593</v>
      </c>
      <c r="C1795" t="s">
        <v>393</v>
      </c>
      <c r="D1795" t="s">
        <v>554</v>
      </c>
      <c r="E1795" t="s">
        <v>161</v>
      </c>
      <c r="G1795" t="s">
        <v>221</v>
      </c>
      <c r="H1795" t="s">
        <v>396</v>
      </c>
      <c r="K1795">
        <v>1968</v>
      </c>
      <c r="O1795">
        <v>0</v>
      </c>
      <c r="P1795" t="str">
        <f t="shared" si="14"/>
        <v>No</v>
      </c>
      <c r="Q1795" t="s">
        <v>398</v>
      </c>
    </row>
    <row r="1796" spans="1:17">
      <c r="A1796" t="s">
        <v>1416</v>
      </c>
      <c r="B1796" t="s">
        <v>593</v>
      </c>
      <c r="C1796" t="s">
        <v>393</v>
      </c>
      <c r="D1796" t="s">
        <v>554</v>
      </c>
      <c r="E1796" t="s">
        <v>161</v>
      </c>
      <c r="G1796" t="s">
        <v>901</v>
      </c>
      <c r="H1796" t="s">
        <v>396</v>
      </c>
      <c r="K1796">
        <v>1968</v>
      </c>
      <c r="O1796">
        <v>0</v>
      </c>
      <c r="P1796" t="str">
        <f t="shared" si="14"/>
        <v>No</v>
      </c>
      <c r="Q1796" t="s">
        <v>398</v>
      </c>
    </row>
    <row r="1797" spans="1:17">
      <c r="A1797" t="s">
        <v>1416</v>
      </c>
      <c r="B1797" t="s">
        <v>593</v>
      </c>
      <c r="C1797" t="s">
        <v>393</v>
      </c>
      <c r="D1797" t="s">
        <v>554</v>
      </c>
      <c r="E1797" t="s">
        <v>161</v>
      </c>
      <c r="G1797" t="s">
        <v>225</v>
      </c>
      <c r="H1797" t="s">
        <v>457</v>
      </c>
      <c r="K1797">
        <v>1968</v>
      </c>
      <c r="O1797">
        <v>0</v>
      </c>
      <c r="P1797" t="str">
        <f t="shared" ref="P1797:P1824" si="15">IF(O1797&gt;0,"Yes","No")</f>
        <v>No</v>
      </c>
      <c r="Q1797" t="s">
        <v>398</v>
      </c>
    </row>
    <row r="1798" spans="1:17">
      <c r="A1798" t="s">
        <v>1416</v>
      </c>
      <c r="B1798" t="s">
        <v>593</v>
      </c>
      <c r="C1798" t="s">
        <v>393</v>
      </c>
      <c r="D1798" t="s">
        <v>554</v>
      </c>
      <c r="E1798" t="s">
        <v>161</v>
      </c>
      <c r="G1798" t="s">
        <v>229</v>
      </c>
      <c r="H1798" t="s">
        <v>396</v>
      </c>
      <c r="K1798">
        <v>1968</v>
      </c>
      <c r="O1798">
        <v>0</v>
      </c>
      <c r="P1798" t="str">
        <f t="shared" si="15"/>
        <v>No</v>
      </c>
      <c r="Q1798" t="s">
        <v>398</v>
      </c>
    </row>
    <row r="1799" spans="1:17">
      <c r="A1799" t="s">
        <v>1416</v>
      </c>
      <c r="B1799" t="s">
        <v>593</v>
      </c>
      <c r="C1799" t="s">
        <v>393</v>
      </c>
      <c r="D1799" t="s">
        <v>554</v>
      </c>
      <c r="E1799" t="s">
        <v>161</v>
      </c>
      <c r="G1799" t="s">
        <v>237</v>
      </c>
      <c r="H1799" t="s">
        <v>396</v>
      </c>
      <c r="K1799">
        <v>1968</v>
      </c>
      <c r="O1799">
        <v>0</v>
      </c>
      <c r="P1799" t="str">
        <f t="shared" si="15"/>
        <v>No</v>
      </c>
      <c r="Q1799" t="s">
        <v>398</v>
      </c>
    </row>
    <row r="1800" spans="1:17">
      <c r="A1800" t="s">
        <v>1416</v>
      </c>
      <c r="B1800" t="s">
        <v>593</v>
      </c>
      <c r="C1800" t="s">
        <v>393</v>
      </c>
      <c r="D1800" t="s">
        <v>554</v>
      </c>
      <c r="E1800" t="s">
        <v>161</v>
      </c>
      <c r="G1800" t="s">
        <v>233</v>
      </c>
      <c r="H1800" t="s">
        <v>457</v>
      </c>
      <c r="K1800">
        <v>1968</v>
      </c>
      <c r="O1800">
        <v>0</v>
      </c>
      <c r="P1800" t="str">
        <f t="shared" si="15"/>
        <v>No</v>
      </c>
      <c r="Q1800" t="s">
        <v>398</v>
      </c>
    </row>
    <row r="1801" spans="1:17">
      <c r="A1801" t="s">
        <v>1416</v>
      </c>
      <c r="B1801" t="s">
        <v>593</v>
      </c>
      <c r="C1801" t="s">
        <v>393</v>
      </c>
      <c r="D1801" t="s">
        <v>554</v>
      </c>
      <c r="E1801" t="s">
        <v>161</v>
      </c>
      <c r="G1801" t="s">
        <v>237</v>
      </c>
      <c r="H1801" t="s">
        <v>457</v>
      </c>
      <c r="K1801">
        <v>1968</v>
      </c>
      <c r="O1801">
        <v>0</v>
      </c>
      <c r="P1801" t="str">
        <f t="shared" si="15"/>
        <v>No</v>
      </c>
      <c r="Q1801" t="s">
        <v>398</v>
      </c>
    </row>
    <row r="1802" spans="1:17">
      <c r="A1802" t="s">
        <v>1416</v>
      </c>
      <c r="B1802" t="s">
        <v>593</v>
      </c>
      <c r="C1802" t="s">
        <v>393</v>
      </c>
      <c r="D1802" t="s">
        <v>554</v>
      </c>
      <c r="E1802" t="s">
        <v>161</v>
      </c>
      <c r="G1802" t="s">
        <v>231</v>
      </c>
      <c r="H1802" t="s">
        <v>399</v>
      </c>
      <c r="K1802">
        <v>1968</v>
      </c>
      <c r="O1802">
        <v>0</v>
      </c>
      <c r="P1802" t="str">
        <f t="shared" si="15"/>
        <v>No</v>
      </c>
      <c r="Q1802" t="s">
        <v>398</v>
      </c>
    </row>
    <row r="1803" spans="1:17">
      <c r="A1803" t="s">
        <v>1416</v>
      </c>
      <c r="B1803" t="s">
        <v>593</v>
      </c>
      <c r="C1803" t="s">
        <v>393</v>
      </c>
      <c r="D1803" t="s">
        <v>554</v>
      </c>
      <c r="E1803" t="s">
        <v>161</v>
      </c>
      <c r="G1803" t="s">
        <v>235</v>
      </c>
      <c r="H1803" t="s">
        <v>399</v>
      </c>
      <c r="K1803">
        <v>1968</v>
      </c>
      <c r="O1803">
        <v>0</v>
      </c>
      <c r="P1803" t="str">
        <f t="shared" si="15"/>
        <v>No</v>
      </c>
      <c r="Q1803" t="s">
        <v>398</v>
      </c>
    </row>
    <row r="1804" spans="1:17">
      <c r="A1804" t="s">
        <v>1416</v>
      </c>
      <c r="B1804" t="s">
        <v>593</v>
      </c>
      <c r="C1804" t="s">
        <v>393</v>
      </c>
      <c r="D1804" t="s">
        <v>554</v>
      </c>
      <c r="E1804" t="s">
        <v>161</v>
      </c>
      <c r="G1804" t="s">
        <v>208</v>
      </c>
      <c r="H1804" t="s">
        <v>457</v>
      </c>
      <c r="K1804">
        <v>1968</v>
      </c>
      <c r="O1804">
        <v>0</v>
      </c>
      <c r="P1804" t="str">
        <f t="shared" si="15"/>
        <v>No</v>
      </c>
      <c r="Q1804" t="s">
        <v>398</v>
      </c>
    </row>
    <row r="1805" spans="1:17">
      <c r="A1805" t="s">
        <v>1416</v>
      </c>
      <c r="B1805" t="s">
        <v>593</v>
      </c>
      <c r="C1805" t="s">
        <v>393</v>
      </c>
      <c r="D1805" t="s">
        <v>554</v>
      </c>
      <c r="E1805" t="s">
        <v>161</v>
      </c>
      <c r="G1805" t="s">
        <v>207</v>
      </c>
      <c r="H1805" t="s">
        <v>399</v>
      </c>
      <c r="K1805">
        <v>1968</v>
      </c>
      <c r="O1805">
        <v>5.6999999999999993</v>
      </c>
      <c r="P1805" t="str">
        <f t="shared" si="15"/>
        <v>Yes</v>
      </c>
      <c r="Q1805" t="s">
        <v>398</v>
      </c>
    </row>
    <row r="1806" spans="1:17">
      <c r="A1806" t="s">
        <v>1416</v>
      </c>
      <c r="B1806" t="s">
        <v>593</v>
      </c>
      <c r="C1806" t="s">
        <v>393</v>
      </c>
      <c r="D1806" t="s">
        <v>554</v>
      </c>
      <c r="E1806" t="s">
        <v>161</v>
      </c>
      <c r="G1806" t="s">
        <v>208</v>
      </c>
      <c r="H1806" t="s">
        <v>399</v>
      </c>
      <c r="K1806">
        <v>1968</v>
      </c>
      <c r="O1806">
        <v>6.1</v>
      </c>
      <c r="P1806" t="str">
        <f t="shared" si="15"/>
        <v>Yes</v>
      </c>
      <c r="Q1806" t="s">
        <v>398</v>
      </c>
    </row>
    <row r="1807" spans="1:17">
      <c r="A1807" t="s">
        <v>1416</v>
      </c>
      <c r="B1807" t="s">
        <v>593</v>
      </c>
      <c r="C1807" t="s">
        <v>393</v>
      </c>
      <c r="D1807" t="s">
        <v>554</v>
      </c>
      <c r="E1807" t="s">
        <v>161</v>
      </c>
      <c r="G1807" t="s">
        <v>209</v>
      </c>
      <c r="H1807" t="s">
        <v>399</v>
      </c>
      <c r="K1807">
        <v>1968</v>
      </c>
      <c r="O1807">
        <v>9.3000000000000007</v>
      </c>
      <c r="P1807" t="str">
        <f t="shared" si="15"/>
        <v>Yes</v>
      </c>
      <c r="Q1807" t="s">
        <v>398</v>
      </c>
    </row>
    <row r="1808" spans="1:17">
      <c r="A1808" t="s">
        <v>1416</v>
      </c>
      <c r="B1808" t="s">
        <v>593</v>
      </c>
      <c r="C1808" t="s">
        <v>393</v>
      </c>
      <c r="D1808" t="s">
        <v>554</v>
      </c>
      <c r="E1808" t="s">
        <v>161</v>
      </c>
      <c r="G1808" t="s">
        <v>210</v>
      </c>
      <c r="H1808" t="s">
        <v>399</v>
      </c>
      <c r="K1808">
        <v>1968</v>
      </c>
      <c r="O1808">
        <v>14.8</v>
      </c>
      <c r="P1808" t="str">
        <f t="shared" si="15"/>
        <v>Yes</v>
      </c>
      <c r="Q1808" t="s">
        <v>398</v>
      </c>
    </row>
    <row r="1809" spans="1:17">
      <c r="A1809" t="s">
        <v>1416</v>
      </c>
      <c r="B1809" t="s">
        <v>593</v>
      </c>
      <c r="C1809" t="s">
        <v>393</v>
      </c>
      <c r="D1809" t="s">
        <v>554</v>
      </c>
      <c r="E1809" t="s">
        <v>161</v>
      </c>
      <c r="G1809" t="s">
        <v>211</v>
      </c>
      <c r="H1809" t="s">
        <v>399</v>
      </c>
      <c r="K1809">
        <v>1968</v>
      </c>
      <c r="O1809">
        <v>15.5</v>
      </c>
      <c r="P1809" t="str">
        <f t="shared" si="15"/>
        <v>Yes</v>
      </c>
      <c r="Q1809" t="s">
        <v>398</v>
      </c>
    </row>
    <row r="1810" spans="1:17">
      <c r="A1810" t="s">
        <v>1416</v>
      </c>
      <c r="B1810" t="s">
        <v>593</v>
      </c>
      <c r="C1810" t="s">
        <v>393</v>
      </c>
      <c r="D1810" t="s">
        <v>554</v>
      </c>
      <c r="E1810" t="s">
        <v>161</v>
      </c>
      <c r="G1810" t="s">
        <v>212</v>
      </c>
      <c r="H1810" t="s">
        <v>399</v>
      </c>
      <c r="K1810">
        <v>1968</v>
      </c>
      <c r="O1810">
        <v>16.100000000000001</v>
      </c>
      <c r="P1810" t="str">
        <f t="shared" si="15"/>
        <v>Yes</v>
      </c>
      <c r="Q1810" t="s">
        <v>398</v>
      </c>
    </row>
    <row r="1811" spans="1:17">
      <c r="A1811" t="s">
        <v>1416</v>
      </c>
      <c r="B1811" t="s">
        <v>593</v>
      </c>
      <c r="C1811" t="s">
        <v>393</v>
      </c>
      <c r="D1811" t="s">
        <v>554</v>
      </c>
      <c r="E1811" t="s">
        <v>161</v>
      </c>
      <c r="G1811" t="s">
        <v>207</v>
      </c>
      <c r="H1811" t="s">
        <v>396</v>
      </c>
      <c r="K1811">
        <v>1968</v>
      </c>
      <c r="O1811">
        <v>17.809999999999999</v>
      </c>
      <c r="P1811" t="str">
        <f t="shared" si="15"/>
        <v>Yes</v>
      </c>
      <c r="Q1811" t="s">
        <v>398</v>
      </c>
    </row>
    <row r="1812" spans="1:17">
      <c r="A1812" t="s">
        <v>1416</v>
      </c>
      <c r="B1812" t="s">
        <v>593</v>
      </c>
      <c r="C1812" t="s">
        <v>393</v>
      </c>
      <c r="D1812" t="s">
        <v>554</v>
      </c>
      <c r="E1812" t="s">
        <v>161</v>
      </c>
      <c r="G1812" t="s">
        <v>213</v>
      </c>
      <c r="H1812" t="s">
        <v>399</v>
      </c>
      <c r="K1812">
        <v>1968</v>
      </c>
      <c r="O1812">
        <v>18.700000000000003</v>
      </c>
      <c r="P1812" t="str">
        <f t="shared" si="15"/>
        <v>Yes</v>
      </c>
      <c r="Q1812" t="s">
        <v>398</v>
      </c>
    </row>
    <row r="1813" spans="1:17">
      <c r="A1813" t="s">
        <v>1416</v>
      </c>
      <c r="B1813" t="s">
        <v>593</v>
      </c>
      <c r="C1813" t="s">
        <v>393</v>
      </c>
      <c r="D1813" t="s">
        <v>554</v>
      </c>
      <c r="E1813" t="s">
        <v>161</v>
      </c>
      <c r="G1813" t="s">
        <v>222</v>
      </c>
      <c r="H1813" t="s">
        <v>457</v>
      </c>
      <c r="K1813">
        <v>1968</v>
      </c>
      <c r="O1813">
        <v>18.93</v>
      </c>
      <c r="P1813" t="str">
        <f t="shared" si="15"/>
        <v>Yes</v>
      </c>
      <c r="Q1813" t="s">
        <v>398</v>
      </c>
    </row>
    <row r="1814" spans="1:17">
      <c r="A1814" t="s">
        <v>1416</v>
      </c>
      <c r="B1814" t="s">
        <v>593</v>
      </c>
      <c r="C1814" t="s">
        <v>393</v>
      </c>
      <c r="D1814" t="s">
        <v>554</v>
      </c>
      <c r="E1814" t="s">
        <v>161</v>
      </c>
      <c r="G1814" t="s">
        <v>214</v>
      </c>
      <c r="H1814" t="s">
        <v>399</v>
      </c>
      <c r="K1814">
        <v>1968</v>
      </c>
      <c r="O1814">
        <v>21</v>
      </c>
      <c r="P1814" t="str">
        <f t="shared" si="15"/>
        <v>Yes</v>
      </c>
      <c r="Q1814" t="s">
        <v>398</v>
      </c>
    </row>
    <row r="1815" spans="1:17">
      <c r="A1815" t="s">
        <v>1416</v>
      </c>
      <c r="B1815" t="s">
        <v>593</v>
      </c>
      <c r="C1815" t="s">
        <v>393</v>
      </c>
      <c r="D1815" t="s">
        <v>554</v>
      </c>
      <c r="E1815" t="s">
        <v>161</v>
      </c>
      <c r="G1815" t="s">
        <v>216</v>
      </c>
      <c r="H1815" t="s">
        <v>457</v>
      </c>
      <c r="K1815">
        <v>1968</v>
      </c>
      <c r="O1815">
        <v>22.27</v>
      </c>
      <c r="P1815" t="str">
        <f t="shared" si="15"/>
        <v>Yes</v>
      </c>
      <c r="Q1815" t="s">
        <v>398</v>
      </c>
    </row>
    <row r="1816" spans="1:17">
      <c r="A1816" t="s">
        <v>1416</v>
      </c>
      <c r="B1816" t="s">
        <v>593</v>
      </c>
      <c r="C1816" t="s">
        <v>393</v>
      </c>
      <c r="D1816" t="s">
        <v>554</v>
      </c>
      <c r="E1816" t="s">
        <v>161</v>
      </c>
      <c r="G1816" t="s">
        <v>233</v>
      </c>
      <c r="H1816" t="s">
        <v>396</v>
      </c>
      <c r="K1816">
        <v>1968</v>
      </c>
      <c r="O1816">
        <v>23.380000000000003</v>
      </c>
      <c r="P1816" t="str">
        <f t="shared" si="15"/>
        <v>Yes</v>
      </c>
      <c r="Q1816" t="s">
        <v>398</v>
      </c>
    </row>
    <row r="1817" spans="1:17">
      <c r="A1817" t="s">
        <v>1416</v>
      </c>
      <c r="B1817" t="s">
        <v>593</v>
      </c>
      <c r="C1817" t="s">
        <v>393</v>
      </c>
      <c r="D1817" t="s">
        <v>554</v>
      </c>
      <c r="E1817" t="s">
        <v>161</v>
      </c>
      <c r="G1817" t="s">
        <v>215</v>
      </c>
      <c r="H1817" t="s">
        <v>396</v>
      </c>
      <c r="K1817">
        <v>1968</v>
      </c>
      <c r="O1817">
        <v>24.49</v>
      </c>
      <c r="P1817" t="str">
        <f t="shared" si="15"/>
        <v>Yes</v>
      </c>
      <c r="Q1817" t="s">
        <v>398</v>
      </c>
    </row>
    <row r="1818" spans="1:17">
      <c r="A1818" t="s">
        <v>1416</v>
      </c>
      <c r="B1818" t="s">
        <v>593</v>
      </c>
      <c r="C1818" t="s">
        <v>393</v>
      </c>
      <c r="D1818" t="s">
        <v>554</v>
      </c>
      <c r="E1818" t="s">
        <v>161</v>
      </c>
      <c r="G1818" t="s">
        <v>227</v>
      </c>
      <c r="H1818" t="s">
        <v>396</v>
      </c>
      <c r="K1818">
        <v>1968</v>
      </c>
      <c r="O1818">
        <v>25.6</v>
      </c>
      <c r="P1818" t="str">
        <f t="shared" si="15"/>
        <v>Yes</v>
      </c>
      <c r="Q1818" t="s">
        <v>398</v>
      </c>
    </row>
    <row r="1819" spans="1:17">
      <c r="A1819" t="s">
        <v>1416</v>
      </c>
      <c r="B1819" t="s">
        <v>593</v>
      </c>
      <c r="C1819" t="s">
        <v>393</v>
      </c>
      <c r="D1819" t="s">
        <v>554</v>
      </c>
      <c r="E1819" t="s">
        <v>161</v>
      </c>
      <c r="G1819" t="s">
        <v>215</v>
      </c>
      <c r="H1819" t="s">
        <v>399</v>
      </c>
      <c r="K1819">
        <v>1968</v>
      </c>
      <c r="O1819">
        <v>25.7</v>
      </c>
      <c r="P1819" t="str">
        <f t="shared" si="15"/>
        <v>Yes</v>
      </c>
      <c r="Q1819" t="s">
        <v>398</v>
      </c>
    </row>
    <row r="1820" spans="1:17">
      <c r="A1820" t="s">
        <v>1416</v>
      </c>
      <c r="B1820" t="s">
        <v>593</v>
      </c>
      <c r="C1820" t="s">
        <v>393</v>
      </c>
      <c r="D1820" t="s">
        <v>554</v>
      </c>
      <c r="E1820" t="s">
        <v>161</v>
      </c>
      <c r="G1820" t="s">
        <v>234</v>
      </c>
      <c r="H1820" t="s">
        <v>396</v>
      </c>
      <c r="K1820">
        <v>1968</v>
      </c>
      <c r="O1820">
        <v>27.83</v>
      </c>
      <c r="P1820" t="str">
        <f t="shared" si="15"/>
        <v>Yes</v>
      </c>
      <c r="Q1820" t="s">
        <v>398</v>
      </c>
    </row>
    <row r="1821" spans="1:17">
      <c r="A1821" t="s">
        <v>1416</v>
      </c>
      <c r="B1821" t="s">
        <v>593</v>
      </c>
      <c r="C1821" t="s">
        <v>393</v>
      </c>
      <c r="D1821" t="s">
        <v>554</v>
      </c>
      <c r="E1821" t="s">
        <v>161</v>
      </c>
      <c r="G1821" t="s">
        <v>209</v>
      </c>
      <c r="H1821" t="s">
        <v>396</v>
      </c>
      <c r="K1821">
        <v>1968</v>
      </c>
      <c r="O1821">
        <v>27.83</v>
      </c>
      <c r="P1821" t="str">
        <f t="shared" si="15"/>
        <v>Yes</v>
      </c>
      <c r="Q1821" t="s">
        <v>398</v>
      </c>
    </row>
    <row r="1822" spans="1:17">
      <c r="A1822" t="s">
        <v>1416</v>
      </c>
      <c r="B1822" t="s">
        <v>593</v>
      </c>
      <c r="C1822" t="s">
        <v>393</v>
      </c>
      <c r="D1822" t="s">
        <v>554</v>
      </c>
      <c r="E1822" t="s">
        <v>161</v>
      </c>
      <c r="G1822" t="s">
        <v>208</v>
      </c>
      <c r="H1822" t="s">
        <v>396</v>
      </c>
      <c r="K1822">
        <v>1968</v>
      </c>
      <c r="O1822">
        <v>30.06</v>
      </c>
      <c r="P1822" t="str">
        <f t="shared" si="15"/>
        <v>Yes</v>
      </c>
      <c r="Q1822" t="s">
        <v>398</v>
      </c>
    </row>
    <row r="1823" spans="1:17">
      <c r="A1823" t="s">
        <v>1416</v>
      </c>
      <c r="B1823" t="s">
        <v>593</v>
      </c>
      <c r="C1823" t="s">
        <v>393</v>
      </c>
      <c r="D1823" t="s">
        <v>554</v>
      </c>
      <c r="E1823" t="s">
        <v>161</v>
      </c>
      <c r="G1823" t="s">
        <v>229</v>
      </c>
      <c r="H1823" t="s">
        <v>457</v>
      </c>
      <c r="K1823">
        <v>1968</v>
      </c>
      <c r="O1823">
        <v>32.28</v>
      </c>
      <c r="P1823" t="str">
        <f t="shared" si="15"/>
        <v>Yes</v>
      </c>
      <c r="Q1823" t="s">
        <v>398</v>
      </c>
    </row>
    <row r="1824" spans="1:17">
      <c r="A1824" t="s">
        <v>1416</v>
      </c>
      <c r="B1824" t="s">
        <v>593</v>
      </c>
      <c r="C1824" t="s">
        <v>393</v>
      </c>
      <c r="D1824" t="s">
        <v>554</v>
      </c>
      <c r="E1824" t="s">
        <v>161</v>
      </c>
      <c r="G1824" t="s">
        <v>219</v>
      </c>
      <c r="H1824" t="s">
        <v>396</v>
      </c>
      <c r="K1824">
        <v>1968</v>
      </c>
      <c r="O1824">
        <v>33.4</v>
      </c>
      <c r="P1824" t="str">
        <f t="shared" si="15"/>
        <v>Yes</v>
      </c>
      <c r="Q1824" t="s">
        <v>398</v>
      </c>
    </row>
    <row r="1825" spans="1:17">
      <c r="A1825" t="s">
        <v>1417</v>
      </c>
      <c r="D1825" t="s">
        <v>1418</v>
      </c>
      <c r="E1825" t="s">
        <v>161</v>
      </c>
      <c r="G1825" t="s">
        <v>1419</v>
      </c>
      <c r="H1825" t="s">
        <v>536</v>
      </c>
      <c r="K1825">
        <v>1958</v>
      </c>
      <c r="L1825">
        <v>2004</v>
      </c>
      <c r="M1825">
        <f t="shared" ref="M1825:M1888" si="16">L1825-K1825+1</f>
        <v>47</v>
      </c>
      <c r="O1825">
        <v>-36.957446808510603</v>
      </c>
      <c r="P1825" t="s">
        <v>397</v>
      </c>
      <c r="Q1825" t="s">
        <v>1196</v>
      </c>
    </row>
    <row r="1826" spans="1:17">
      <c r="A1826" t="s">
        <v>1417</v>
      </c>
      <c r="D1826" t="s">
        <v>1418</v>
      </c>
      <c r="E1826" t="s">
        <v>161</v>
      </c>
      <c r="G1826" t="s">
        <v>1419</v>
      </c>
      <c r="H1826" t="s">
        <v>536</v>
      </c>
      <c r="K1826">
        <v>1958</v>
      </c>
      <c r="L1826">
        <v>2004</v>
      </c>
      <c r="M1826">
        <f t="shared" si="16"/>
        <v>47</v>
      </c>
      <c r="O1826">
        <v>24.404255319148898</v>
      </c>
      <c r="P1826" t="s">
        <v>15</v>
      </c>
      <c r="Q1826" t="s">
        <v>1196</v>
      </c>
    </row>
    <row r="1827" spans="1:17">
      <c r="A1827" t="s">
        <v>1417</v>
      </c>
      <c r="D1827" t="s">
        <v>1418</v>
      </c>
      <c r="E1827" t="s">
        <v>161</v>
      </c>
      <c r="G1827" t="s">
        <v>1419</v>
      </c>
      <c r="H1827" t="s">
        <v>536</v>
      </c>
      <c r="K1827">
        <v>1958</v>
      </c>
      <c r="L1827">
        <v>2004</v>
      </c>
      <c r="M1827">
        <f t="shared" si="16"/>
        <v>47</v>
      </c>
      <c r="O1827">
        <v>50.446808510638299</v>
      </c>
      <c r="P1827" t="s">
        <v>15</v>
      </c>
      <c r="Q1827" t="s">
        <v>1196</v>
      </c>
    </row>
    <row r="1828" spans="1:17">
      <c r="A1828" t="s">
        <v>1417</v>
      </c>
      <c r="D1828" t="s">
        <v>1418</v>
      </c>
      <c r="E1828" t="s">
        <v>161</v>
      </c>
      <c r="G1828" t="s">
        <v>1419</v>
      </c>
      <c r="H1828" t="s">
        <v>536</v>
      </c>
      <c r="K1828">
        <v>1958</v>
      </c>
      <c r="L1828">
        <v>2004</v>
      </c>
      <c r="M1828">
        <f t="shared" si="16"/>
        <v>47</v>
      </c>
      <c r="O1828">
        <v>-10.659574468085101</v>
      </c>
      <c r="P1828" t="s">
        <v>397</v>
      </c>
      <c r="Q1828" t="s">
        <v>1196</v>
      </c>
    </row>
    <row r="1829" spans="1:17">
      <c r="A1829" t="s">
        <v>1417</v>
      </c>
      <c r="D1829" t="s">
        <v>1418</v>
      </c>
      <c r="E1829" t="s">
        <v>161</v>
      </c>
      <c r="G1829" t="s">
        <v>1419</v>
      </c>
      <c r="H1829" t="s">
        <v>536</v>
      </c>
      <c r="K1829">
        <v>1958</v>
      </c>
      <c r="L1829">
        <v>2004</v>
      </c>
      <c r="M1829">
        <f t="shared" si="16"/>
        <v>47</v>
      </c>
      <c r="O1829">
        <v>-31.021276595744698</v>
      </c>
      <c r="P1829" t="s">
        <v>85</v>
      </c>
      <c r="Q1829" t="s">
        <v>1196</v>
      </c>
    </row>
    <row r="1830" spans="1:17">
      <c r="A1830" t="s">
        <v>1417</v>
      </c>
      <c r="D1830" t="s">
        <v>1418</v>
      </c>
      <c r="E1830" t="s">
        <v>161</v>
      </c>
      <c r="G1830" t="s">
        <v>1419</v>
      </c>
      <c r="H1830" t="s">
        <v>536</v>
      </c>
      <c r="K1830">
        <v>1958</v>
      </c>
      <c r="L1830">
        <v>2004</v>
      </c>
      <c r="M1830">
        <f t="shared" si="16"/>
        <v>47</v>
      </c>
      <c r="O1830">
        <v>-28.893617021276601</v>
      </c>
      <c r="P1830" t="s">
        <v>85</v>
      </c>
      <c r="Q1830" t="s">
        <v>1196</v>
      </c>
    </row>
    <row r="1831" spans="1:17">
      <c r="A1831" t="s">
        <v>1420</v>
      </c>
      <c r="D1831" t="s">
        <v>1421</v>
      </c>
      <c r="E1831" t="s">
        <v>161</v>
      </c>
      <c r="G1831" t="s">
        <v>1422</v>
      </c>
      <c r="H1831" t="s">
        <v>536</v>
      </c>
      <c r="K1831">
        <v>1986</v>
      </c>
      <c r="L1831">
        <v>2016</v>
      </c>
      <c r="M1831">
        <f t="shared" si="16"/>
        <v>31</v>
      </c>
      <c r="O1831">
        <v>-0.67741935483870996</v>
      </c>
      <c r="P1831" t="s">
        <v>85</v>
      </c>
      <c r="Q1831" t="s">
        <v>1196</v>
      </c>
    </row>
    <row r="1832" spans="1:17">
      <c r="A1832" t="s">
        <v>1420</v>
      </c>
      <c r="D1832" t="s">
        <v>1421</v>
      </c>
      <c r="E1832" t="s">
        <v>161</v>
      </c>
      <c r="G1832" t="s">
        <v>1423</v>
      </c>
      <c r="H1832" t="s">
        <v>536</v>
      </c>
      <c r="K1832">
        <v>1986</v>
      </c>
      <c r="L1832">
        <v>2016</v>
      </c>
      <c r="M1832">
        <f t="shared" si="16"/>
        <v>31</v>
      </c>
      <c r="O1832">
        <v>3.67741935483871</v>
      </c>
      <c r="P1832" t="s">
        <v>15</v>
      </c>
      <c r="Q1832" t="s">
        <v>1196</v>
      </c>
    </row>
    <row r="1833" spans="1:17">
      <c r="A1833" t="s">
        <v>1420</v>
      </c>
      <c r="D1833" t="s">
        <v>1421</v>
      </c>
      <c r="E1833" t="s">
        <v>161</v>
      </c>
      <c r="G1833" t="s">
        <v>1309</v>
      </c>
      <c r="H1833" t="s">
        <v>536</v>
      </c>
      <c r="K1833">
        <v>1986</v>
      </c>
      <c r="L1833">
        <v>2016</v>
      </c>
      <c r="M1833">
        <f t="shared" si="16"/>
        <v>31</v>
      </c>
      <c r="O1833">
        <v>-8.5161290322580605</v>
      </c>
      <c r="P1833" t="s">
        <v>85</v>
      </c>
      <c r="Q1833" t="s">
        <v>1196</v>
      </c>
    </row>
    <row r="1834" spans="1:17">
      <c r="A1834" t="s">
        <v>1420</v>
      </c>
      <c r="D1834" t="s">
        <v>1421</v>
      </c>
      <c r="E1834" t="s">
        <v>161</v>
      </c>
      <c r="G1834" t="s">
        <v>1305</v>
      </c>
      <c r="H1834" t="s">
        <v>536</v>
      </c>
      <c r="K1834">
        <v>1986</v>
      </c>
      <c r="L1834">
        <v>2016</v>
      </c>
      <c r="M1834">
        <f t="shared" si="16"/>
        <v>31</v>
      </c>
      <c r="O1834">
        <v>11.9032258064516</v>
      </c>
      <c r="P1834" t="s">
        <v>85</v>
      </c>
      <c r="Q1834" t="s">
        <v>1196</v>
      </c>
    </row>
    <row r="1835" spans="1:17">
      <c r="A1835" t="s">
        <v>1420</v>
      </c>
      <c r="D1835" t="s">
        <v>1421</v>
      </c>
      <c r="E1835" t="s">
        <v>161</v>
      </c>
      <c r="G1835" t="s">
        <v>1424</v>
      </c>
      <c r="H1835" t="s">
        <v>536</v>
      </c>
      <c r="K1835">
        <v>1986</v>
      </c>
      <c r="L1835">
        <v>2016</v>
      </c>
      <c r="M1835">
        <f t="shared" si="16"/>
        <v>31</v>
      </c>
      <c r="O1835">
        <v>-1.54838709677419</v>
      </c>
      <c r="P1835" t="s">
        <v>85</v>
      </c>
      <c r="Q1835" t="s">
        <v>1196</v>
      </c>
    </row>
    <row r="1836" spans="1:17">
      <c r="A1836" t="s">
        <v>1420</v>
      </c>
      <c r="D1836" t="s">
        <v>1421</v>
      </c>
      <c r="E1836" t="s">
        <v>161</v>
      </c>
      <c r="G1836" t="s">
        <v>1422</v>
      </c>
      <c r="H1836" t="s">
        <v>536</v>
      </c>
      <c r="K1836">
        <v>1986</v>
      </c>
      <c r="L1836">
        <v>2016</v>
      </c>
      <c r="M1836">
        <f t="shared" si="16"/>
        <v>31</v>
      </c>
      <c r="O1836">
        <v>-1.6451612903225801</v>
      </c>
      <c r="P1836" t="s">
        <v>85</v>
      </c>
      <c r="Q1836" t="s">
        <v>1196</v>
      </c>
    </row>
    <row r="1837" spans="1:17">
      <c r="A1837" t="s">
        <v>1420</v>
      </c>
      <c r="D1837" t="s">
        <v>1421</v>
      </c>
      <c r="E1837" t="s">
        <v>161</v>
      </c>
      <c r="G1837" t="s">
        <v>1291</v>
      </c>
      <c r="H1837" t="s">
        <v>536</v>
      </c>
      <c r="K1837">
        <v>1986</v>
      </c>
      <c r="L1837">
        <v>2016</v>
      </c>
      <c r="M1837">
        <f t="shared" si="16"/>
        <v>31</v>
      </c>
      <c r="O1837">
        <v>2.5161290322580601</v>
      </c>
      <c r="P1837" t="s">
        <v>85</v>
      </c>
      <c r="Q1837" t="s">
        <v>1196</v>
      </c>
    </row>
    <row r="1838" spans="1:17">
      <c r="A1838" t="s">
        <v>1420</v>
      </c>
      <c r="D1838" t="s">
        <v>1421</v>
      </c>
      <c r="E1838" t="s">
        <v>161</v>
      </c>
      <c r="G1838" t="s">
        <v>1423</v>
      </c>
      <c r="H1838" t="s">
        <v>536</v>
      </c>
      <c r="K1838">
        <v>1986</v>
      </c>
      <c r="L1838">
        <v>2016</v>
      </c>
      <c r="M1838">
        <f t="shared" si="16"/>
        <v>31</v>
      </c>
      <c r="O1838">
        <v>2.32258064516129</v>
      </c>
      <c r="P1838" t="s">
        <v>85</v>
      </c>
      <c r="Q1838" t="s">
        <v>1196</v>
      </c>
    </row>
    <row r="1839" spans="1:17">
      <c r="A1839" t="s">
        <v>1420</v>
      </c>
      <c r="D1839" t="s">
        <v>1421</v>
      </c>
      <c r="E1839" t="s">
        <v>161</v>
      </c>
      <c r="G1839" t="s">
        <v>1425</v>
      </c>
      <c r="H1839" t="s">
        <v>536</v>
      </c>
      <c r="K1839">
        <v>1986</v>
      </c>
      <c r="L1839">
        <v>2016</v>
      </c>
      <c r="M1839">
        <f t="shared" si="16"/>
        <v>31</v>
      </c>
      <c r="O1839">
        <v>2.2258064516128999</v>
      </c>
      <c r="P1839" t="s">
        <v>85</v>
      </c>
      <c r="Q1839" t="s">
        <v>1196</v>
      </c>
    </row>
    <row r="1840" spans="1:17">
      <c r="A1840" t="s">
        <v>1420</v>
      </c>
      <c r="D1840" t="s">
        <v>1421</v>
      </c>
      <c r="E1840" t="s">
        <v>161</v>
      </c>
      <c r="G1840" t="s">
        <v>1424</v>
      </c>
      <c r="H1840" t="s">
        <v>536</v>
      </c>
      <c r="K1840">
        <v>1986</v>
      </c>
      <c r="L1840">
        <v>2016</v>
      </c>
      <c r="M1840">
        <f t="shared" si="16"/>
        <v>31</v>
      </c>
      <c r="O1840">
        <v>-1.8387096774193501</v>
      </c>
      <c r="P1840" t="s">
        <v>85</v>
      </c>
      <c r="Q1840" t="s">
        <v>1196</v>
      </c>
    </row>
    <row r="1841" spans="1:17">
      <c r="A1841" t="s">
        <v>1420</v>
      </c>
      <c r="D1841" t="s">
        <v>1421</v>
      </c>
      <c r="E1841" t="s">
        <v>161</v>
      </c>
      <c r="G1841" t="s">
        <v>1300</v>
      </c>
      <c r="H1841" t="s">
        <v>536</v>
      </c>
      <c r="K1841">
        <v>1986</v>
      </c>
      <c r="L1841">
        <v>2016</v>
      </c>
      <c r="M1841">
        <f t="shared" si="16"/>
        <v>31</v>
      </c>
      <c r="O1841">
        <v>-0.29032258064516098</v>
      </c>
      <c r="P1841" t="s">
        <v>85</v>
      </c>
      <c r="Q1841" t="s">
        <v>1196</v>
      </c>
    </row>
    <row r="1842" spans="1:17">
      <c r="A1842" t="s">
        <v>1420</v>
      </c>
      <c r="D1842" t="s">
        <v>1421</v>
      </c>
      <c r="E1842" t="s">
        <v>161</v>
      </c>
      <c r="G1842" t="s">
        <v>1291</v>
      </c>
      <c r="H1842" t="s">
        <v>536</v>
      </c>
      <c r="K1842">
        <v>1986</v>
      </c>
      <c r="L1842">
        <v>2016</v>
      </c>
      <c r="M1842">
        <f t="shared" si="16"/>
        <v>31</v>
      </c>
      <c r="O1842">
        <v>12.193548387096801</v>
      </c>
      <c r="P1842" t="s">
        <v>85</v>
      </c>
      <c r="Q1842" t="s">
        <v>1196</v>
      </c>
    </row>
    <row r="1843" spans="1:17">
      <c r="A1843" t="s">
        <v>1420</v>
      </c>
      <c r="D1843" t="s">
        <v>1421</v>
      </c>
      <c r="E1843" t="s">
        <v>161</v>
      </c>
      <c r="G1843" t="s">
        <v>1426</v>
      </c>
      <c r="H1843" t="s">
        <v>536</v>
      </c>
      <c r="K1843">
        <v>1986</v>
      </c>
      <c r="L1843">
        <v>2016</v>
      </c>
      <c r="M1843">
        <f t="shared" si="16"/>
        <v>31</v>
      </c>
      <c r="O1843">
        <v>0.58064516129032295</v>
      </c>
      <c r="P1843" t="s">
        <v>85</v>
      </c>
      <c r="Q1843" t="s">
        <v>1196</v>
      </c>
    </row>
    <row r="1844" spans="1:17">
      <c r="A1844" t="s">
        <v>1420</v>
      </c>
      <c r="D1844" t="s">
        <v>1421</v>
      </c>
      <c r="E1844" t="s">
        <v>161</v>
      </c>
      <c r="G1844" t="s">
        <v>1201</v>
      </c>
      <c r="H1844" t="s">
        <v>536</v>
      </c>
      <c r="K1844">
        <v>1986</v>
      </c>
      <c r="L1844">
        <v>2016</v>
      </c>
      <c r="M1844">
        <f t="shared" si="16"/>
        <v>31</v>
      </c>
      <c r="O1844">
        <v>-1.06451612903226</v>
      </c>
      <c r="P1844" t="s">
        <v>85</v>
      </c>
      <c r="Q1844" t="s">
        <v>1196</v>
      </c>
    </row>
    <row r="1845" spans="1:17">
      <c r="A1845" t="s">
        <v>1420</v>
      </c>
      <c r="D1845" t="s">
        <v>1421</v>
      </c>
      <c r="E1845" t="s">
        <v>161</v>
      </c>
      <c r="G1845" t="s">
        <v>1201</v>
      </c>
      <c r="H1845" t="s">
        <v>536</v>
      </c>
      <c r="K1845">
        <v>1986</v>
      </c>
      <c r="L1845">
        <v>2016</v>
      </c>
      <c r="M1845">
        <f t="shared" si="16"/>
        <v>31</v>
      </c>
      <c r="O1845">
        <v>-9.6774193548387094E-2</v>
      </c>
      <c r="P1845" t="s">
        <v>85</v>
      </c>
      <c r="Q1845" t="s">
        <v>1196</v>
      </c>
    </row>
    <row r="1846" spans="1:17">
      <c r="A1846" t="s">
        <v>1420</v>
      </c>
      <c r="D1846" t="s">
        <v>1421</v>
      </c>
      <c r="E1846" t="s">
        <v>161</v>
      </c>
      <c r="G1846" t="s">
        <v>1427</v>
      </c>
      <c r="H1846" t="s">
        <v>536</v>
      </c>
      <c r="K1846">
        <v>1986</v>
      </c>
      <c r="L1846">
        <v>2016</v>
      </c>
      <c r="M1846">
        <f t="shared" si="16"/>
        <v>31</v>
      </c>
      <c r="O1846">
        <v>2.4193548387096802</v>
      </c>
      <c r="P1846" t="s">
        <v>85</v>
      </c>
      <c r="Q1846" t="s">
        <v>1196</v>
      </c>
    </row>
    <row r="1847" spans="1:17">
      <c r="A1847" t="s">
        <v>1420</v>
      </c>
      <c r="D1847" t="s">
        <v>1421</v>
      </c>
      <c r="E1847" t="s">
        <v>161</v>
      </c>
      <c r="G1847" t="s">
        <v>1303</v>
      </c>
      <c r="H1847" t="s">
        <v>536</v>
      </c>
      <c r="K1847">
        <v>1986</v>
      </c>
      <c r="L1847">
        <v>2016</v>
      </c>
      <c r="M1847">
        <f t="shared" si="16"/>
        <v>31</v>
      </c>
      <c r="O1847">
        <v>7.3548387096774199</v>
      </c>
      <c r="P1847" t="s">
        <v>15</v>
      </c>
      <c r="Q1847" t="s">
        <v>1196</v>
      </c>
    </row>
    <row r="1848" spans="1:17">
      <c r="A1848" t="s">
        <v>1420</v>
      </c>
      <c r="D1848" t="s">
        <v>1421</v>
      </c>
      <c r="E1848" t="s">
        <v>161</v>
      </c>
      <c r="G1848" t="s">
        <v>1305</v>
      </c>
      <c r="H1848" t="s">
        <v>536</v>
      </c>
      <c r="K1848">
        <v>1986</v>
      </c>
      <c r="L1848">
        <v>2016</v>
      </c>
      <c r="M1848">
        <f t="shared" si="16"/>
        <v>31</v>
      </c>
      <c r="O1848">
        <v>-2.80645161290323</v>
      </c>
      <c r="P1848" t="s">
        <v>85</v>
      </c>
      <c r="Q1848" t="s">
        <v>1196</v>
      </c>
    </row>
    <row r="1849" spans="1:17">
      <c r="A1849" t="s">
        <v>1420</v>
      </c>
      <c r="D1849" t="s">
        <v>1421</v>
      </c>
      <c r="E1849" t="s">
        <v>161</v>
      </c>
      <c r="G1849" t="s">
        <v>1428</v>
      </c>
      <c r="H1849" t="s">
        <v>536</v>
      </c>
      <c r="K1849">
        <v>1986</v>
      </c>
      <c r="L1849">
        <v>2016</v>
      </c>
      <c r="M1849">
        <f t="shared" si="16"/>
        <v>31</v>
      </c>
      <c r="O1849">
        <v>-0.87096774193548399</v>
      </c>
      <c r="P1849" t="s">
        <v>85</v>
      </c>
      <c r="Q1849" t="s">
        <v>1196</v>
      </c>
    </row>
    <row r="1850" spans="1:17">
      <c r="A1850" t="s">
        <v>1420</v>
      </c>
      <c r="D1850" t="s">
        <v>1421</v>
      </c>
      <c r="E1850" t="s">
        <v>161</v>
      </c>
      <c r="G1850" t="s">
        <v>1429</v>
      </c>
      <c r="H1850" t="s">
        <v>536</v>
      </c>
      <c r="K1850">
        <v>1986</v>
      </c>
      <c r="L1850">
        <v>2016</v>
      </c>
      <c r="M1850">
        <f t="shared" si="16"/>
        <v>31</v>
      </c>
      <c r="O1850">
        <v>1.6451612903225801</v>
      </c>
      <c r="P1850" t="s">
        <v>85</v>
      </c>
      <c r="Q1850" t="s">
        <v>1196</v>
      </c>
    </row>
    <row r="1851" spans="1:17">
      <c r="A1851" t="s">
        <v>1420</v>
      </c>
      <c r="D1851" t="s">
        <v>1421</v>
      </c>
      <c r="E1851" t="s">
        <v>161</v>
      </c>
      <c r="G1851" t="s">
        <v>1429</v>
      </c>
      <c r="H1851" t="s">
        <v>536</v>
      </c>
      <c r="K1851">
        <v>1986</v>
      </c>
      <c r="L1851">
        <v>2016</v>
      </c>
      <c r="M1851">
        <f t="shared" si="16"/>
        <v>31</v>
      </c>
      <c r="O1851">
        <v>0.87096774193548399</v>
      </c>
      <c r="P1851" t="s">
        <v>85</v>
      </c>
      <c r="Q1851" t="s">
        <v>1196</v>
      </c>
    </row>
    <row r="1852" spans="1:17">
      <c r="A1852" t="s">
        <v>1420</v>
      </c>
      <c r="D1852" t="s">
        <v>1421</v>
      </c>
      <c r="E1852" t="s">
        <v>161</v>
      </c>
      <c r="G1852" t="s">
        <v>1430</v>
      </c>
      <c r="H1852" t="s">
        <v>536</v>
      </c>
      <c r="K1852">
        <v>1986</v>
      </c>
      <c r="L1852">
        <v>2016</v>
      </c>
      <c r="M1852">
        <f t="shared" si="16"/>
        <v>31</v>
      </c>
      <c r="O1852">
        <v>-0.29032258064516098</v>
      </c>
      <c r="P1852" t="s">
        <v>85</v>
      </c>
      <c r="Q1852" t="s">
        <v>1196</v>
      </c>
    </row>
    <row r="1853" spans="1:17">
      <c r="A1853" t="s">
        <v>1420</v>
      </c>
      <c r="D1853" t="s">
        <v>1421</v>
      </c>
      <c r="E1853" t="s">
        <v>161</v>
      </c>
      <c r="G1853" t="s">
        <v>1430</v>
      </c>
      <c r="H1853" t="s">
        <v>536</v>
      </c>
      <c r="K1853">
        <v>1986</v>
      </c>
      <c r="L1853">
        <v>2016</v>
      </c>
      <c r="M1853">
        <f t="shared" si="16"/>
        <v>31</v>
      </c>
      <c r="O1853">
        <v>9.6774193548387094E-2</v>
      </c>
      <c r="P1853" t="s">
        <v>85</v>
      </c>
      <c r="Q1853" t="s">
        <v>1196</v>
      </c>
    </row>
    <row r="1854" spans="1:17">
      <c r="A1854" t="s">
        <v>1420</v>
      </c>
      <c r="D1854" t="s">
        <v>1421</v>
      </c>
      <c r="E1854" t="s">
        <v>161</v>
      </c>
      <c r="G1854" t="s">
        <v>1425</v>
      </c>
      <c r="H1854" t="s">
        <v>536</v>
      </c>
      <c r="K1854">
        <v>1986</v>
      </c>
      <c r="L1854">
        <v>2016</v>
      </c>
      <c r="M1854">
        <f t="shared" si="16"/>
        <v>31</v>
      </c>
      <c r="O1854">
        <v>4.6451612903225801</v>
      </c>
      <c r="P1854" t="s">
        <v>85</v>
      </c>
      <c r="Q1854" t="s">
        <v>1196</v>
      </c>
    </row>
    <row r="1855" spans="1:17">
      <c r="A1855" t="s">
        <v>1420</v>
      </c>
      <c r="D1855" t="s">
        <v>1421</v>
      </c>
      <c r="E1855" t="s">
        <v>161</v>
      </c>
      <c r="G1855" t="s">
        <v>1431</v>
      </c>
      <c r="H1855" t="s">
        <v>536</v>
      </c>
      <c r="K1855">
        <v>1986</v>
      </c>
      <c r="L1855">
        <v>2016</v>
      </c>
      <c r="M1855">
        <f t="shared" si="16"/>
        <v>31</v>
      </c>
      <c r="O1855">
        <v>-1.45161290322581</v>
      </c>
      <c r="P1855" t="s">
        <v>85</v>
      </c>
      <c r="Q1855" t="s">
        <v>1196</v>
      </c>
    </row>
    <row r="1856" spans="1:17">
      <c r="A1856" t="s">
        <v>1420</v>
      </c>
      <c r="D1856" t="s">
        <v>1421</v>
      </c>
      <c r="E1856" t="s">
        <v>161</v>
      </c>
      <c r="G1856" t="s">
        <v>1432</v>
      </c>
      <c r="H1856" t="s">
        <v>536</v>
      </c>
      <c r="K1856">
        <v>1986</v>
      </c>
      <c r="L1856">
        <v>2016</v>
      </c>
      <c r="M1856">
        <f t="shared" si="16"/>
        <v>31</v>
      </c>
      <c r="O1856">
        <v>2.5161290322580601</v>
      </c>
      <c r="P1856" t="s">
        <v>85</v>
      </c>
      <c r="Q1856" t="s">
        <v>1196</v>
      </c>
    </row>
    <row r="1857" spans="1:17">
      <c r="A1857" t="s">
        <v>1420</v>
      </c>
      <c r="D1857" t="s">
        <v>1421</v>
      </c>
      <c r="E1857" t="s">
        <v>161</v>
      </c>
      <c r="G1857" t="s">
        <v>1432</v>
      </c>
      <c r="H1857" t="s">
        <v>536</v>
      </c>
      <c r="K1857">
        <v>1986</v>
      </c>
      <c r="L1857">
        <v>2016</v>
      </c>
      <c r="M1857">
        <f t="shared" si="16"/>
        <v>31</v>
      </c>
      <c r="O1857">
        <v>1.06451612903226</v>
      </c>
      <c r="P1857" t="s">
        <v>85</v>
      </c>
      <c r="Q1857" t="s">
        <v>1196</v>
      </c>
    </row>
    <row r="1858" spans="1:17">
      <c r="A1858" t="s">
        <v>1420</v>
      </c>
      <c r="D1858" t="s">
        <v>1421</v>
      </c>
      <c r="E1858" t="s">
        <v>161</v>
      </c>
      <c r="G1858" t="s">
        <v>1293</v>
      </c>
      <c r="H1858" t="s">
        <v>536</v>
      </c>
      <c r="K1858">
        <v>1986</v>
      </c>
      <c r="L1858">
        <v>2016</v>
      </c>
      <c r="M1858">
        <f t="shared" si="16"/>
        <v>31</v>
      </c>
      <c r="O1858">
        <v>4.3548387096774199</v>
      </c>
      <c r="P1858" t="s">
        <v>85</v>
      </c>
      <c r="Q1858" t="s">
        <v>1196</v>
      </c>
    </row>
    <row r="1859" spans="1:17">
      <c r="A1859" t="s">
        <v>1420</v>
      </c>
      <c r="D1859" t="s">
        <v>1421</v>
      </c>
      <c r="E1859" t="s">
        <v>161</v>
      </c>
      <c r="G1859" t="s">
        <v>1309</v>
      </c>
      <c r="H1859" t="s">
        <v>536</v>
      </c>
      <c r="K1859">
        <v>1986</v>
      </c>
      <c r="L1859">
        <v>2016</v>
      </c>
      <c r="M1859">
        <f t="shared" si="16"/>
        <v>31</v>
      </c>
      <c r="O1859">
        <v>9.9677419354838701</v>
      </c>
      <c r="P1859" t="s">
        <v>85</v>
      </c>
      <c r="Q1859" t="s">
        <v>1196</v>
      </c>
    </row>
    <row r="1860" spans="1:17">
      <c r="A1860" t="s">
        <v>1420</v>
      </c>
      <c r="D1860" t="s">
        <v>1421</v>
      </c>
      <c r="E1860" t="s">
        <v>161</v>
      </c>
      <c r="G1860" t="s">
        <v>1300</v>
      </c>
      <c r="H1860" t="s">
        <v>536</v>
      </c>
      <c r="K1860">
        <v>1986</v>
      </c>
      <c r="L1860">
        <v>2016</v>
      </c>
      <c r="M1860">
        <f t="shared" si="16"/>
        <v>31</v>
      </c>
      <c r="O1860">
        <v>5.8064516129032304</v>
      </c>
      <c r="P1860" t="s">
        <v>85</v>
      </c>
      <c r="Q1860" t="s">
        <v>1196</v>
      </c>
    </row>
    <row r="1861" spans="1:17">
      <c r="A1861" t="s">
        <v>1420</v>
      </c>
      <c r="D1861" t="s">
        <v>1421</v>
      </c>
      <c r="E1861" t="s">
        <v>161</v>
      </c>
      <c r="G1861" t="s">
        <v>1304</v>
      </c>
      <c r="H1861" t="s">
        <v>536</v>
      </c>
      <c r="K1861">
        <v>1986</v>
      </c>
      <c r="L1861">
        <v>2016</v>
      </c>
      <c r="M1861">
        <f t="shared" si="16"/>
        <v>31</v>
      </c>
      <c r="O1861">
        <v>1.54838709677419</v>
      </c>
      <c r="P1861" t="s">
        <v>85</v>
      </c>
      <c r="Q1861" t="s">
        <v>1196</v>
      </c>
    </row>
    <row r="1862" spans="1:17">
      <c r="A1862" t="s">
        <v>1420</v>
      </c>
      <c r="D1862" t="s">
        <v>1421</v>
      </c>
      <c r="E1862" t="s">
        <v>161</v>
      </c>
      <c r="G1862" t="s">
        <v>1304</v>
      </c>
      <c r="H1862" t="s">
        <v>536</v>
      </c>
      <c r="K1862">
        <v>1986</v>
      </c>
      <c r="L1862">
        <v>2016</v>
      </c>
      <c r="M1862">
        <f t="shared" si="16"/>
        <v>31</v>
      </c>
      <c r="O1862">
        <v>0</v>
      </c>
      <c r="P1862" t="s">
        <v>85</v>
      </c>
      <c r="Q1862" t="s">
        <v>1196</v>
      </c>
    </row>
    <row r="1863" spans="1:17">
      <c r="A1863" t="s">
        <v>1420</v>
      </c>
      <c r="D1863" t="s">
        <v>1421</v>
      </c>
      <c r="E1863" t="s">
        <v>161</v>
      </c>
      <c r="G1863" t="s">
        <v>1433</v>
      </c>
      <c r="H1863" t="s">
        <v>536</v>
      </c>
      <c r="K1863">
        <v>1986</v>
      </c>
      <c r="L1863">
        <v>2016</v>
      </c>
      <c r="M1863">
        <f t="shared" si="16"/>
        <v>31</v>
      </c>
      <c r="O1863">
        <v>0</v>
      </c>
      <c r="P1863" t="s">
        <v>85</v>
      </c>
      <c r="Q1863" t="s">
        <v>1196</v>
      </c>
    </row>
    <row r="1864" spans="1:17">
      <c r="A1864" t="s">
        <v>1420</v>
      </c>
      <c r="D1864" t="s">
        <v>1421</v>
      </c>
      <c r="E1864" t="s">
        <v>161</v>
      </c>
      <c r="G1864" t="s">
        <v>1433</v>
      </c>
      <c r="H1864" t="s">
        <v>536</v>
      </c>
      <c r="K1864">
        <v>1986</v>
      </c>
      <c r="L1864">
        <v>2016</v>
      </c>
      <c r="M1864">
        <f t="shared" si="16"/>
        <v>31</v>
      </c>
      <c r="O1864">
        <v>-1.06451612903226</v>
      </c>
      <c r="P1864" t="s">
        <v>85</v>
      </c>
      <c r="Q1864" t="s">
        <v>1196</v>
      </c>
    </row>
    <row r="1865" spans="1:17">
      <c r="A1865" t="s">
        <v>1420</v>
      </c>
      <c r="D1865" t="s">
        <v>1421</v>
      </c>
      <c r="E1865" t="s">
        <v>161</v>
      </c>
      <c r="G1865" t="s">
        <v>222</v>
      </c>
      <c r="H1865" t="s">
        <v>536</v>
      </c>
      <c r="K1865">
        <v>1986</v>
      </c>
      <c r="L1865">
        <v>2016</v>
      </c>
      <c r="M1865">
        <f t="shared" si="16"/>
        <v>31</v>
      </c>
      <c r="O1865">
        <v>0.967741935483871</v>
      </c>
      <c r="P1865" t="s">
        <v>85</v>
      </c>
      <c r="Q1865" t="s">
        <v>1196</v>
      </c>
    </row>
    <row r="1866" spans="1:17">
      <c r="A1866" t="s">
        <v>1420</v>
      </c>
      <c r="D1866" t="s">
        <v>1421</v>
      </c>
      <c r="E1866" t="s">
        <v>161</v>
      </c>
      <c r="G1866" t="s">
        <v>1431</v>
      </c>
      <c r="H1866" t="s">
        <v>536</v>
      </c>
      <c r="K1866">
        <v>1986</v>
      </c>
      <c r="L1866">
        <v>2016</v>
      </c>
      <c r="M1866">
        <f t="shared" si="16"/>
        <v>31</v>
      </c>
      <c r="O1866">
        <v>0.19354838709677399</v>
      </c>
      <c r="P1866" t="s">
        <v>85</v>
      </c>
      <c r="Q1866" t="s">
        <v>1196</v>
      </c>
    </row>
    <row r="1867" spans="1:17">
      <c r="A1867" t="s">
        <v>1420</v>
      </c>
      <c r="D1867" t="s">
        <v>1421</v>
      </c>
      <c r="E1867" t="s">
        <v>161</v>
      </c>
      <c r="G1867" t="s">
        <v>1303</v>
      </c>
      <c r="H1867" t="s">
        <v>536</v>
      </c>
      <c r="K1867">
        <v>1986</v>
      </c>
      <c r="L1867">
        <v>2016</v>
      </c>
      <c r="M1867">
        <f t="shared" si="16"/>
        <v>31</v>
      </c>
      <c r="O1867">
        <v>5.1290322580645196</v>
      </c>
      <c r="P1867" t="s">
        <v>85</v>
      </c>
      <c r="Q1867" t="s">
        <v>1196</v>
      </c>
    </row>
    <row r="1868" spans="1:17">
      <c r="A1868" t="s">
        <v>1420</v>
      </c>
      <c r="D1868" t="s">
        <v>1421</v>
      </c>
      <c r="E1868" t="s">
        <v>161</v>
      </c>
      <c r="G1868" t="s">
        <v>1428</v>
      </c>
      <c r="H1868" t="s">
        <v>536</v>
      </c>
      <c r="K1868">
        <v>1986</v>
      </c>
      <c r="L1868">
        <v>2016</v>
      </c>
      <c r="M1868">
        <f t="shared" si="16"/>
        <v>31</v>
      </c>
      <c r="O1868">
        <v>2.2258064516128999</v>
      </c>
      <c r="P1868" t="s">
        <v>85</v>
      </c>
      <c r="Q1868" t="s">
        <v>1196</v>
      </c>
    </row>
    <row r="1869" spans="1:17">
      <c r="A1869" t="s">
        <v>1420</v>
      </c>
      <c r="D1869" t="s">
        <v>1421</v>
      </c>
      <c r="E1869" t="s">
        <v>161</v>
      </c>
      <c r="G1869" t="s">
        <v>1434</v>
      </c>
      <c r="H1869" t="s">
        <v>536</v>
      </c>
      <c r="K1869">
        <v>1986</v>
      </c>
      <c r="L1869">
        <v>2016</v>
      </c>
      <c r="M1869">
        <f t="shared" si="16"/>
        <v>31</v>
      </c>
      <c r="O1869">
        <v>-3.3870967741935498</v>
      </c>
      <c r="P1869" t="s">
        <v>397</v>
      </c>
      <c r="Q1869" t="s">
        <v>1196</v>
      </c>
    </row>
    <row r="1870" spans="1:17">
      <c r="A1870" t="s">
        <v>1420</v>
      </c>
      <c r="D1870" t="s">
        <v>1421</v>
      </c>
      <c r="E1870" t="s">
        <v>161</v>
      </c>
      <c r="G1870" t="s">
        <v>1434</v>
      </c>
      <c r="H1870" t="s">
        <v>536</v>
      </c>
      <c r="K1870">
        <v>1986</v>
      </c>
      <c r="L1870">
        <v>2016</v>
      </c>
      <c r="M1870">
        <f t="shared" si="16"/>
        <v>31</v>
      </c>
      <c r="O1870">
        <v>0</v>
      </c>
      <c r="P1870" t="s">
        <v>85</v>
      </c>
      <c r="Q1870" t="s">
        <v>1196</v>
      </c>
    </row>
    <row r="1871" spans="1:17">
      <c r="A1871" t="s">
        <v>1420</v>
      </c>
      <c r="D1871" t="s">
        <v>1421</v>
      </c>
      <c r="E1871" t="s">
        <v>161</v>
      </c>
      <c r="G1871" t="s">
        <v>222</v>
      </c>
      <c r="H1871" t="s">
        <v>536</v>
      </c>
      <c r="K1871">
        <v>1986</v>
      </c>
      <c r="L1871">
        <v>2016</v>
      </c>
      <c r="M1871">
        <f t="shared" si="16"/>
        <v>31</v>
      </c>
      <c r="O1871">
        <v>0.19354838709677399</v>
      </c>
      <c r="P1871" t="s">
        <v>85</v>
      </c>
      <c r="Q1871" t="s">
        <v>1196</v>
      </c>
    </row>
    <row r="1872" spans="1:17">
      <c r="A1872" t="s">
        <v>1420</v>
      </c>
      <c r="D1872" t="s">
        <v>1421</v>
      </c>
      <c r="E1872" t="s">
        <v>161</v>
      </c>
      <c r="G1872" t="s">
        <v>1302</v>
      </c>
      <c r="H1872" t="s">
        <v>536</v>
      </c>
      <c r="K1872">
        <v>1986</v>
      </c>
      <c r="L1872">
        <v>2016</v>
      </c>
      <c r="M1872">
        <f t="shared" si="16"/>
        <v>31</v>
      </c>
      <c r="O1872">
        <v>-2.2258064516128999</v>
      </c>
      <c r="P1872" t="s">
        <v>85</v>
      </c>
      <c r="Q1872" t="s">
        <v>1196</v>
      </c>
    </row>
    <row r="1873" spans="1:17">
      <c r="A1873" t="s">
        <v>1420</v>
      </c>
      <c r="D1873" t="s">
        <v>1421</v>
      </c>
      <c r="E1873" t="s">
        <v>161</v>
      </c>
      <c r="G1873" t="s">
        <v>1294</v>
      </c>
      <c r="H1873" t="s">
        <v>536</v>
      </c>
      <c r="K1873">
        <v>1986</v>
      </c>
      <c r="L1873">
        <v>2016</v>
      </c>
      <c r="M1873">
        <f t="shared" si="16"/>
        <v>31</v>
      </c>
      <c r="O1873">
        <v>4.9354838709677402</v>
      </c>
      <c r="P1873" t="s">
        <v>15</v>
      </c>
      <c r="Q1873" t="s">
        <v>1196</v>
      </c>
    </row>
    <row r="1874" spans="1:17">
      <c r="A1874" t="s">
        <v>1420</v>
      </c>
      <c r="D1874" t="s">
        <v>1421</v>
      </c>
      <c r="E1874" t="s">
        <v>161</v>
      </c>
      <c r="G1874" t="s">
        <v>1294</v>
      </c>
      <c r="H1874" t="s">
        <v>536</v>
      </c>
      <c r="K1874">
        <v>1986</v>
      </c>
      <c r="L1874">
        <v>2016</v>
      </c>
      <c r="M1874">
        <f t="shared" si="16"/>
        <v>31</v>
      </c>
      <c r="O1874">
        <v>2.80645161290323</v>
      </c>
      <c r="P1874" t="s">
        <v>85</v>
      </c>
      <c r="Q1874" t="s">
        <v>1196</v>
      </c>
    </row>
    <row r="1875" spans="1:17">
      <c r="A1875" t="s">
        <v>1420</v>
      </c>
      <c r="D1875" t="s">
        <v>1421</v>
      </c>
      <c r="E1875" t="s">
        <v>161</v>
      </c>
      <c r="G1875" t="s">
        <v>1435</v>
      </c>
      <c r="H1875" t="s">
        <v>536</v>
      </c>
      <c r="K1875">
        <v>1986</v>
      </c>
      <c r="L1875">
        <v>2016</v>
      </c>
      <c r="M1875">
        <f t="shared" si="16"/>
        <v>31</v>
      </c>
      <c r="O1875">
        <v>-2.2258064516128999</v>
      </c>
      <c r="P1875" t="s">
        <v>85</v>
      </c>
      <c r="Q1875" t="s">
        <v>1196</v>
      </c>
    </row>
    <row r="1876" spans="1:17">
      <c r="A1876" t="s">
        <v>1420</v>
      </c>
      <c r="D1876" t="s">
        <v>1421</v>
      </c>
      <c r="E1876" t="s">
        <v>161</v>
      </c>
      <c r="G1876" t="s">
        <v>1435</v>
      </c>
      <c r="H1876" t="s">
        <v>536</v>
      </c>
      <c r="K1876">
        <v>1986</v>
      </c>
      <c r="L1876">
        <v>2016</v>
      </c>
      <c r="M1876">
        <f t="shared" si="16"/>
        <v>31</v>
      </c>
      <c r="O1876">
        <v>-3</v>
      </c>
      <c r="P1876" t="s">
        <v>85</v>
      </c>
      <c r="Q1876" t="s">
        <v>1196</v>
      </c>
    </row>
    <row r="1877" spans="1:17">
      <c r="A1877" t="s">
        <v>1420</v>
      </c>
      <c r="D1877" t="s">
        <v>1421</v>
      </c>
      <c r="E1877" t="s">
        <v>161</v>
      </c>
      <c r="G1877" t="s">
        <v>1436</v>
      </c>
      <c r="H1877" t="s">
        <v>536</v>
      </c>
      <c r="K1877">
        <v>1986</v>
      </c>
      <c r="L1877">
        <v>2016</v>
      </c>
      <c r="M1877">
        <f t="shared" si="16"/>
        <v>31</v>
      </c>
      <c r="O1877">
        <v>-4.3548387096774199</v>
      </c>
      <c r="P1877" t="s">
        <v>85</v>
      </c>
      <c r="Q1877" t="s">
        <v>1196</v>
      </c>
    </row>
    <row r="1878" spans="1:17">
      <c r="A1878" t="s">
        <v>1420</v>
      </c>
      <c r="D1878" t="s">
        <v>1421</v>
      </c>
      <c r="E1878" t="s">
        <v>161</v>
      </c>
      <c r="G1878" t="s">
        <v>1436</v>
      </c>
      <c r="H1878" t="s">
        <v>536</v>
      </c>
      <c r="K1878">
        <v>1986</v>
      </c>
      <c r="L1878">
        <v>2016</v>
      </c>
      <c r="M1878">
        <f t="shared" si="16"/>
        <v>31</v>
      </c>
      <c r="O1878">
        <v>-4.3548387096774199</v>
      </c>
      <c r="P1878" t="s">
        <v>85</v>
      </c>
      <c r="Q1878" t="s">
        <v>1196</v>
      </c>
    </row>
    <row r="1879" spans="1:17">
      <c r="A1879" t="s">
        <v>1420</v>
      </c>
      <c r="D1879" t="s">
        <v>1421</v>
      </c>
      <c r="E1879" t="s">
        <v>161</v>
      </c>
      <c r="G1879" t="s">
        <v>1293</v>
      </c>
      <c r="H1879" t="s">
        <v>536</v>
      </c>
      <c r="K1879">
        <v>1986</v>
      </c>
      <c r="L1879">
        <v>2016</v>
      </c>
      <c r="M1879">
        <f t="shared" si="16"/>
        <v>31</v>
      </c>
      <c r="O1879">
        <v>-2.4193548387096802</v>
      </c>
      <c r="P1879" t="s">
        <v>85</v>
      </c>
      <c r="Q1879" t="s">
        <v>1196</v>
      </c>
    </row>
    <row r="1880" spans="1:17">
      <c r="A1880" t="s">
        <v>1420</v>
      </c>
      <c r="D1880" t="s">
        <v>1421</v>
      </c>
      <c r="E1880" t="s">
        <v>161</v>
      </c>
      <c r="G1880" t="s">
        <v>1302</v>
      </c>
      <c r="H1880" t="s">
        <v>536</v>
      </c>
      <c r="K1880">
        <v>1986</v>
      </c>
      <c r="L1880">
        <v>2016</v>
      </c>
      <c r="M1880">
        <f t="shared" si="16"/>
        <v>31</v>
      </c>
      <c r="O1880">
        <v>0.67741935483870996</v>
      </c>
      <c r="P1880" t="s">
        <v>85</v>
      </c>
      <c r="Q1880" t="s">
        <v>1196</v>
      </c>
    </row>
    <row r="1881" spans="1:17">
      <c r="A1881" t="s">
        <v>1420</v>
      </c>
      <c r="D1881" t="s">
        <v>1421</v>
      </c>
      <c r="E1881" t="s">
        <v>161</v>
      </c>
      <c r="G1881" t="s">
        <v>1437</v>
      </c>
      <c r="H1881" t="s">
        <v>536</v>
      </c>
      <c r="K1881">
        <v>1986</v>
      </c>
      <c r="L1881">
        <v>2016</v>
      </c>
      <c r="M1881">
        <f t="shared" si="16"/>
        <v>31</v>
      </c>
      <c r="O1881">
        <v>-0.58064516129032295</v>
      </c>
      <c r="P1881" t="s">
        <v>85</v>
      </c>
      <c r="Q1881" t="s">
        <v>1196</v>
      </c>
    </row>
    <row r="1882" spans="1:17">
      <c r="A1882" t="s">
        <v>1420</v>
      </c>
      <c r="D1882" t="s">
        <v>1421</v>
      </c>
      <c r="E1882" t="s">
        <v>161</v>
      </c>
      <c r="G1882" t="s">
        <v>61</v>
      </c>
      <c r="H1882" t="s">
        <v>536</v>
      </c>
      <c r="K1882">
        <v>1986</v>
      </c>
      <c r="L1882">
        <v>2016</v>
      </c>
      <c r="M1882">
        <f t="shared" si="16"/>
        <v>31</v>
      </c>
      <c r="O1882">
        <v>0.483870967741935</v>
      </c>
      <c r="P1882" t="s">
        <v>85</v>
      </c>
      <c r="Q1882" t="s">
        <v>1196</v>
      </c>
    </row>
    <row r="1883" spans="1:17">
      <c r="A1883" t="s">
        <v>1420</v>
      </c>
      <c r="D1883" t="s">
        <v>1421</v>
      </c>
      <c r="E1883" t="s">
        <v>161</v>
      </c>
      <c r="G1883" t="s">
        <v>1342</v>
      </c>
      <c r="H1883" t="s">
        <v>536</v>
      </c>
      <c r="K1883">
        <v>1986</v>
      </c>
      <c r="L1883">
        <v>2016</v>
      </c>
      <c r="M1883">
        <f t="shared" si="16"/>
        <v>31</v>
      </c>
      <c r="O1883">
        <v>1.25806451612903</v>
      </c>
      <c r="P1883" t="s">
        <v>85</v>
      </c>
      <c r="Q1883" t="s">
        <v>1196</v>
      </c>
    </row>
    <row r="1884" spans="1:17">
      <c r="A1884" t="s">
        <v>1420</v>
      </c>
      <c r="D1884" t="s">
        <v>1421</v>
      </c>
      <c r="E1884" t="s">
        <v>161</v>
      </c>
      <c r="G1884" t="s">
        <v>1342</v>
      </c>
      <c r="H1884" t="s">
        <v>536</v>
      </c>
      <c r="K1884">
        <v>1986</v>
      </c>
      <c r="L1884">
        <v>2016</v>
      </c>
      <c r="M1884">
        <f t="shared" si="16"/>
        <v>31</v>
      </c>
      <c r="O1884">
        <v>0.58064516129032295</v>
      </c>
      <c r="P1884" t="s">
        <v>85</v>
      </c>
      <c r="Q1884" t="s">
        <v>1196</v>
      </c>
    </row>
    <row r="1885" spans="1:17">
      <c r="A1885" t="s">
        <v>1420</v>
      </c>
      <c r="D1885" t="s">
        <v>1421</v>
      </c>
      <c r="E1885" t="s">
        <v>161</v>
      </c>
      <c r="G1885" t="s">
        <v>1426</v>
      </c>
      <c r="H1885" t="s">
        <v>536</v>
      </c>
      <c r="K1885">
        <v>1986</v>
      </c>
      <c r="L1885">
        <v>2016</v>
      </c>
      <c r="M1885">
        <f t="shared" si="16"/>
        <v>31</v>
      </c>
      <c r="O1885">
        <v>-1.06451612903226</v>
      </c>
      <c r="P1885" t="s">
        <v>85</v>
      </c>
      <c r="Q1885" t="s">
        <v>1196</v>
      </c>
    </row>
    <row r="1886" spans="1:17">
      <c r="A1886" t="s">
        <v>1420</v>
      </c>
      <c r="D1886" t="s">
        <v>1421</v>
      </c>
      <c r="E1886" t="s">
        <v>161</v>
      </c>
      <c r="G1886" t="s">
        <v>1306</v>
      </c>
      <c r="H1886" t="s">
        <v>536</v>
      </c>
      <c r="K1886">
        <v>1986</v>
      </c>
      <c r="L1886">
        <v>2016</v>
      </c>
      <c r="M1886">
        <f t="shared" si="16"/>
        <v>31</v>
      </c>
      <c r="O1886">
        <v>2.4193548387096802</v>
      </c>
      <c r="P1886" t="s">
        <v>85</v>
      </c>
      <c r="Q1886" t="s">
        <v>1196</v>
      </c>
    </row>
    <row r="1887" spans="1:17">
      <c r="A1887" t="s">
        <v>1420</v>
      </c>
      <c r="D1887" t="s">
        <v>1421</v>
      </c>
      <c r="E1887" t="s">
        <v>161</v>
      </c>
      <c r="G1887" t="s">
        <v>1306</v>
      </c>
      <c r="H1887" t="s">
        <v>536</v>
      </c>
      <c r="K1887">
        <v>1986</v>
      </c>
      <c r="L1887">
        <v>2016</v>
      </c>
      <c r="M1887">
        <f t="shared" si="16"/>
        <v>31</v>
      </c>
      <c r="O1887">
        <v>-0.38709677419354799</v>
      </c>
      <c r="P1887" t="s">
        <v>85</v>
      </c>
      <c r="Q1887" t="s">
        <v>1196</v>
      </c>
    </row>
    <row r="1888" spans="1:17">
      <c r="A1888" t="s">
        <v>1420</v>
      </c>
      <c r="D1888" t="s">
        <v>1421</v>
      </c>
      <c r="E1888" t="s">
        <v>161</v>
      </c>
      <c r="G1888" t="s">
        <v>1427</v>
      </c>
      <c r="H1888" t="s">
        <v>536</v>
      </c>
      <c r="K1888">
        <v>1986</v>
      </c>
      <c r="L1888">
        <v>2016</v>
      </c>
      <c r="M1888">
        <f t="shared" si="16"/>
        <v>31</v>
      </c>
      <c r="O1888">
        <v>0.87096774193548399</v>
      </c>
      <c r="P1888" t="s">
        <v>85</v>
      </c>
      <c r="Q1888" t="s">
        <v>1196</v>
      </c>
    </row>
    <row r="1889" spans="1:17">
      <c r="A1889" t="s">
        <v>1420</v>
      </c>
      <c r="D1889" t="s">
        <v>1421</v>
      </c>
      <c r="E1889" t="s">
        <v>161</v>
      </c>
      <c r="G1889" t="s">
        <v>1438</v>
      </c>
      <c r="H1889" t="s">
        <v>536</v>
      </c>
      <c r="K1889">
        <v>1986</v>
      </c>
      <c r="L1889">
        <v>2016</v>
      </c>
      <c r="M1889">
        <f t="shared" ref="M1889:M1918" si="17">L1889-K1889+1</f>
        <v>31</v>
      </c>
      <c r="O1889">
        <v>4.1612903225806503</v>
      </c>
      <c r="P1889" t="s">
        <v>85</v>
      </c>
      <c r="Q1889" t="s">
        <v>1196</v>
      </c>
    </row>
    <row r="1890" spans="1:17">
      <c r="A1890" t="s">
        <v>1420</v>
      </c>
      <c r="D1890" t="s">
        <v>1421</v>
      </c>
      <c r="E1890" t="s">
        <v>161</v>
      </c>
      <c r="G1890" t="s">
        <v>1296</v>
      </c>
      <c r="H1890" t="s">
        <v>536</v>
      </c>
      <c r="K1890">
        <v>1986</v>
      </c>
      <c r="L1890">
        <v>2016</v>
      </c>
      <c r="M1890">
        <f t="shared" si="17"/>
        <v>31</v>
      </c>
      <c r="O1890">
        <v>1.6451612903225801</v>
      </c>
      <c r="P1890" t="s">
        <v>85</v>
      </c>
      <c r="Q1890" t="s">
        <v>1196</v>
      </c>
    </row>
    <row r="1891" spans="1:17">
      <c r="A1891" t="s">
        <v>1420</v>
      </c>
      <c r="D1891" t="s">
        <v>1421</v>
      </c>
      <c r="E1891" t="s">
        <v>161</v>
      </c>
      <c r="G1891" t="s">
        <v>1296</v>
      </c>
      <c r="H1891" t="s">
        <v>536</v>
      </c>
      <c r="K1891">
        <v>1986</v>
      </c>
      <c r="L1891">
        <v>2016</v>
      </c>
      <c r="M1891">
        <f t="shared" si="17"/>
        <v>31</v>
      </c>
      <c r="O1891">
        <v>0.67741935483870996</v>
      </c>
      <c r="P1891" t="s">
        <v>85</v>
      </c>
      <c r="Q1891" t="s">
        <v>1196</v>
      </c>
    </row>
    <row r="1892" spans="1:17">
      <c r="A1892" t="s">
        <v>1420</v>
      </c>
      <c r="D1892" t="s">
        <v>1421</v>
      </c>
      <c r="E1892" t="s">
        <v>161</v>
      </c>
      <c r="G1892" t="s">
        <v>1301</v>
      </c>
      <c r="H1892" t="s">
        <v>536</v>
      </c>
      <c r="K1892">
        <v>1986</v>
      </c>
      <c r="L1892">
        <v>2016</v>
      </c>
      <c r="M1892">
        <f t="shared" si="17"/>
        <v>31</v>
      </c>
      <c r="O1892">
        <v>2.9032258064516099</v>
      </c>
      <c r="P1892" t="s">
        <v>85</v>
      </c>
      <c r="Q1892" t="s">
        <v>1196</v>
      </c>
    </row>
    <row r="1893" spans="1:17">
      <c r="A1893" t="s">
        <v>1420</v>
      </c>
      <c r="D1893" t="s">
        <v>1421</v>
      </c>
      <c r="E1893" t="s">
        <v>161</v>
      </c>
      <c r="G1893" t="s">
        <v>1439</v>
      </c>
      <c r="H1893" t="s">
        <v>536</v>
      </c>
      <c r="K1893">
        <v>1986</v>
      </c>
      <c r="L1893">
        <v>2016</v>
      </c>
      <c r="M1893">
        <f t="shared" si="17"/>
        <v>31</v>
      </c>
      <c r="O1893">
        <v>-1.06451612903226</v>
      </c>
      <c r="P1893" t="s">
        <v>85</v>
      </c>
      <c r="Q1893" t="s">
        <v>1196</v>
      </c>
    </row>
    <row r="1894" spans="1:17">
      <c r="A1894" t="s">
        <v>1420</v>
      </c>
      <c r="D1894" t="s">
        <v>1421</v>
      </c>
      <c r="E1894" t="s">
        <v>161</v>
      </c>
      <c r="G1894" t="s">
        <v>1440</v>
      </c>
      <c r="H1894" t="s">
        <v>536</v>
      </c>
      <c r="K1894">
        <v>1986</v>
      </c>
      <c r="L1894">
        <v>2016</v>
      </c>
      <c r="M1894">
        <f t="shared" si="17"/>
        <v>31</v>
      </c>
      <c r="O1894">
        <v>4.8387096774193497</v>
      </c>
      <c r="P1894" t="s">
        <v>15</v>
      </c>
      <c r="Q1894" t="s">
        <v>1196</v>
      </c>
    </row>
    <row r="1895" spans="1:17">
      <c r="A1895" t="s">
        <v>1420</v>
      </c>
      <c r="D1895" t="s">
        <v>1421</v>
      </c>
      <c r="E1895" t="s">
        <v>161</v>
      </c>
      <c r="G1895" t="s">
        <v>1338</v>
      </c>
      <c r="H1895" t="s">
        <v>536</v>
      </c>
      <c r="K1895">
        <v>1986</v>
      </c>
      <c r="L1895">
        <v>2016</v>
      </c>
      <c r="M1895">
        <f t="shared" si="17"/>
        <v>31</v>
      </c>
      <c r="O1895">
        <v>1.8387096774193501</v>
      </c>
      <c r="P1895" t="s">
        <v>85</v>
      </c>
      <c r="Q1895" t="s">
        <v>1196</v>
      </c>
    </row>
    <row r="1896" spans="1:17">
      <c r="A1896" t="s">
        <v>1420</v>
      </c>
      <c r="D1896" t="s">
        <v>1421</v>
      </c>
      <c r="E1896" t="s">
        <v>161</v>
      </c>
      <c r="G1896" t="s">
        <v>1338</v>
      </c>
      <c r="H1896" t="s">
        <v>536</v>
      </c>
      <c r="K1896">
        <v>1986</v>
      </c>
      <c r="L1896">
        <v>2016</v>
      </c>
      <c r="M1896">
        <f t="shared" si="17"/>
        <v>31</v>
      </c>
      <c r="O1896">
        <v>3.19354838709677</v>
      </c>
      <c r="P1896" t="s">
        <v>85</v>
      </c>
      <c r="Q1896" t="s">
        <v>1196</v>
      </c>
    </row>
    <row r="1897" spans="1:17">
      <c r="A1897" t="s">
        <v>1420</v>
      </c>
      <c r="D1897" t="s">
        <v>1421</v>
      </c>
      <c r="E1897" t="s">
        <v>161</v>
      </c>
      <c r="G1897" t="s">
        <v>1301</v>
      </c>
      <c r="H1897" t="s">
        <v>536</v>
      </c>
      <c r="K1897">
        <v>1986</v>
      </c>
      <c r="L1897">
        <v>2016</v>
      </c>
      <c r="M1897">
        <f t="shared" si="17"/>
        <v>31</v>
      </c>
      <c r="O1897">
        <v>7.7419354838709697</v>
      </c>
      <c r="P1897" t="s">
        <v>85</v>
      </c>
      <c r="Q1897" t="s">
        <v>1196</v>
      </c>
    </row>
    <row r="1898" spans="1:17">
      <c r="A1898" t="s">
        <v>1420</v>
      </c>
      <c r="D1898" t="s">
        <v>1421</v>
      </c>
      <c r="E1898" t="s">
        <v>161</v>
      </c>
      <c r="G1898" t="s">
        <v>1441</v>
      </c>
      <c r="H1898" t="s">
        <v>536</v>
      </c>
      <c r="K1898">
        <v>1986</v>
      </c>
      <c r="L1898">
        <v>2016</v>
      </c>
      <c r="M1898">
        <f t="shared" si="17"/>
        <v>31</v>
      </c>
      <c r="O1898">
        <v>-2.2258064516128999</v>
      </c>
      <c r="P1898" t="s">
        <v>85</v>
      </c>
      <c r="Q1898" t="s">
        <v>1196</v>
      </c>
    </row>
    <row r="1899" spans="1:17">
      <c r="A1899" t="s">
        <v>1420</v>
      </c>
      <c r="D1899" t="s">
        <v>1421</v>
      </c>
      <c r="E1899" t="s">
        <v>161</v>
      </c>
      <c r="G1899" t="s">
        <v>1437</v>
      </c>
      <c r="H1899" t="s">
        <v>536</v>
      </c>
      <c r="K1899">
        <v>1986</v>
      </c>
      <c r="L1899">
        <v>2016</v>
      </c>
      <c r="M1899">
        <f t="shared" si="17"/>
        <v>31</v>
      </c>
      <c r="O1899">
        <v>-4.0645161290322598</v>
      </c>
      <c r="P1899" t="s">
        <v>85</v>
      </c>
      <c r="Q1899" t="s">
        <v>1196</v>
      </c>
    </row>
    <row r="1900" spans="1:17">
      <c r="A1900" t="s">
        <v>1420</v>
      </c>
      <c r="D1900" t="s">
        <v>1421</v>
      </c>
      <c r="E1900" t="s">
        <v>161</v>
      </c>
      <c r="G1900" t="s">
        <v>61</v>
      </c>
      <c r="H1900" t="s">
        <v>536</v>
      </c>
      <c r="K1900">
        <v>1986</v>
      </c>
      <c r="L1900">
        <v>2016</v>
      </c>
      <c r="M1900">
        <f t="shared" si="17"/>
        <v>31</v>
      </c>
      <c r="O1900">
        <v>-3</v>
      </c>
      <c r="P1900" t="s">
        <v>85</v>
      </c>
      <c r="Q1900" t="s">
        <v>1196</v>
      </c>
    </row>
    <row r="1901" spans="1:17">
      <c r="A1901" t="s">
        <v>1420</v>
      </c>
      <c r="D1901" t="s">
        <v>1421</v>
      </c>
      <c r="E1901" t="s">
        <v>161</v>
      </c>
      <c r="G1901" t="s">
        <v>1442</v>
      </c>
      <c r="H1901" t="s">
        <v>536</v>
      </c>
      <c r="K1901">
        <v>1986</v>
      </c>
      <c r="L1901">
        <v>2016</v>
      </c>
      <c r="M1901">
        <f t="shared" si="17"/>
        <v>31</v>
      </c>
      <c r="O1901">
        <v>9.6774193548387094E-2</v>
      </c>
      <c r="P1901" t="s">
        <v>85</v>
      </c>
      <c r="Q1901" t="s">
        <v>1196</v>
      </c>
    </row>
    <row r="1902" spans="1:17">
      <c r="A1902" t="s">
        <v>1420</v>
      </c>
      <c r="D1902" t="s">
        <v>1421</v>
      </c>
      <c r="E1902" t="s">
        <v>161</v>
      </c>
      <c r="G1902" t="s">
        <v>1441</v>
      </c>
      <c r="H1902" t="s">
        <v>536</v>
      </c>
      <c r="K1902">
        <v>1986</v>
      </c>
      <c r="L1902">
        <v>2016</v>
      </c>
      <c r="M1902">
        <f t="shared" si="17"/>
        <v>31</v>
      </c>
      <c r="O1902">
        <v>-0.967741935483871</v>
      </c>
      <c r="P1902" t="s">
        <v>85</v>
      </c>
      <c r="Q1902" t="s">
        <v>1196</v>
      </c>
    </row>
    <row r="1903" spans="1:17">
      <c r="A1903" t="s">
        <v>1420</v>
      </c>
      <c r="D1903" t="s">
        <v>1421</v>
      </c>
      <c r="E1903" t="s">
        <v>161</v>
      </c>
      <c r="G1903" t="s">
        <v>1443</v>
      </c>
      <c r="H1903" t="s">
        <v>536</v>
      </c>
      <c r="K1903">
        <v>1986</v>
      </c>
      <c r="L1903">
        <v>2016</v>
      </c>
      <c r="M1903">
        <f t="shared" si="17"/>
        <v>31</v>
      </c>
      <c r="O1903">
        <v>5.5161290322580596</v>
      </c>
      <c r="P1903" t="s">
        <v>85</v>
      </c>
      <c r="Q1903" t="s">
        <v>1196</v>
      </c>
    </row>
    <row r="1904" spans="1:17">
      <c r="A1904" t="s">
        <v>1420</v>
      </c>
      <c r="D1904" t="s">
        <v>1421</v>
      </c>
      <c r="E1904" t="s">
        <v>161</v>
      </c>
      <c r="G1904" t="s">
        <v>1443</v>
      </c>
      <c r="H1904" t="s">
        <v>536</v>
      </c>
      <c r="K1904">
        <v>1986</v>
      </c>
      <c r="L1904">
        <v>2016</v>
      </c>
      <c r="M1904">
        <f t="shared" si="17"/>
        <v>31</v>
      </c>
      <c r="O1904">
        <v>0.87096774193548399</v>
      </c>
      <c r="P1904" t="s">
        <v>85</v>
      </c>
      <c r="Q1904" t="s">
        <v>1196</v>
      </c>
    </row>
    <row r="1905" spans="1:17">
      <c r="A1905" t="s">
        <v>1420</v>
      </c>
      <c r="D1905" t="s">
        <v>1421</v>
      </c>
      <c r="E1905" t="s">
        <v>161</v>
      </c>
      <c r="G1905" t="s">
        <v>1438</v>
      </c>
      <c r="H1905" t="s">
        <v>536</v>
      </c>
      <c r="K1905">
        <v>1986</v>
      </c>
      <c r="L1905">
        <v>2016</v>
      </c>
      <c r="M1905">
        <f t="shared" si="17"/>
        <v>31</v>
      </c>
      <c r="O1905">
        <v>-1.25806451612903</v>
      </c>
      <c r="P1905" t="s">
        <v>85</v>
      </c>
      <c r="Q1905" t="s">
        <v>1196</v>
      </c>
    </row>
    <row r="1906" spans="1:17">
      <c r="A1906" t="s">
        <v>1420</v>
      </c>
      <c r="D1906" t="s">
        <v>1421</v>
      </c>
      <c r="E1906" t="s">
        <v>161</v>
      </c>
      <c r="G1906" t="s">
        <v>1440</v>
      </c>
      <c r="H1906" t="s">
        <v>536</v>
      </c>
      <c r="K1906">
        <v>1986</v>
      </c>
      <c r="L1906">
        <v>2016</v>
      </c>
      <c r="M1906">
        <f t="shared" si="17"/>
        <v>31</v>
      </c>
      <c r="O1906">
        <v>0.38709677419354799</v>
      </c>
      <c r="P1906" t="s">
        <v>85</v>
      </c>
      <c r="Q1906" t="s">
        <v>1196</v>
      </c>
    </row>
    <row r="1907" spans="1:17">
      <c r="A1907" t="s">
        <v>1420</v>
      </c>
      <c r="D1907" t="s">
        <v>1421</v>
      </c>
      <c r="E1907" t="s">
        <v>161</v>
      </c>
      <c r="G1907" t="s">
        <v>1444</v>
      </c>
      <c r="H1907" t="s">
        <v>536</v>
      </c>
      <c r="K1907">
        <v>1986</v>
      </c>
      <c r="L1907">
        <v>2016</v>
      </c>
      <c r="M1907">
        <f t="shared" si="17"/>
        <v>31</v>
      </c>
      <c r="O1907">
        <v>5.2258064516129004</v>
      </c>
      <c r="P1907" t="s">
        <v>85</v>
      </c>
      <c r="Q1907" t="s">
        <v>1196</v>
      </c>
    </row>
    <row r="1908" spans="1:17">
      <c r="A1908" t="s">
        <v>1420</v>
      </c>
      <c r="D1908" t="s">
        <v>1421</v>
      </c>
      <c r="E1908" t="s">
        <v>161</v>
      </c>
      <c r="G1908" t="s">
        <v>1343</v>
      </c>
      <c r="H1908" t="s">
        <v>536</v>
      </c>
      <c r="K1908">
        <v>1986</v>
      </c>
      <c r="L1908">
        <v>2016</v>
      </c>
      <c r="M1908">
        <f t="shared" si="17"/>
        <v>31</v>
      </c>
      <c r="O1908">
        <v>-1.3548387096774199</v>
      </c>
      <c r="P1908" t="s">
        <v>85</v>
      </c>
      <c r="Q1908" t="s">
        <v>1196</v>
      </c>
    </row>
    <row r="1909" spans="1:17">
      <c r="A1909" t="s">
        <v>1420</v>
      </c>
      <c r="D1909" t="s">
        <v>1421</v>
      </c>
      <c r="E1909" t="s">
        <v>161</v>
      </c>
      <c r="G1909" t="s">
        <v>1343</v>
      </c>
      <c r="H1909" t="s">
        <v>536</v>
      </c>
      <c r="K1909">
        <v>1986</v>
      </c>
      <c r="L1909">
        <v>2016</v>
      </c>
      <c r="M1909">
        <f t="shared" si="17"/>
        <v>31</v>
      </c>
      <c r="O1909">
        <v>-2.32258064516129</v>
      </c>
      <c r="P1909" t="s">
        <v>85</v>
      </c>
      <c r="Q1909" t="s">
        <v>1196</v>
      </c>
    </row>
    <row r="1910" spans="1:17">
      <c r="A1910" t="s">
        <v>1420</v>
      </c>
      <c r="D1910" t="s">
        <v>1421</v>
      </c>
      <c r="E1910" t="s">
        <v>161</v>
      </c>
      <c r="G1910" t="s">
        <v>1442</v>
      </c>
      <c r="H1910" t="s">
        <v>536</v>
      </c>
      <c r="K1910">
        <v>1986</v>
      </c>
      <c r="L1910">
        <v>2016</v>
      </c>
      <c r="M1910">
        <f t="shared" si="17"/>
        <v>31</v>
      </c>
      <c r="O1910">
        <v>-2.7096774193548399</v>
      </c>
      <c r="P1910" t="s">
        <v>85</v>
      </c>
      <c r="Q1910" t="s">
        <v>1196</v>
      </c>
    </row>
    <row r="1911" spans="1:17">
      <c r="A1911" t="s">
        <v>1420</v>
      </c>
      <c r="D1911" t="s">
        <v>1421</v>
      </c>
      <c r="E1911" t="s">
        <v>161</v>
      </c>
      <c r="G1911" t="s">
        <v>1347</v>
      </c>
      <c r="H1911" t="s">
        <v>536</v>
      </c>
      <c r="K1911">
        <v>1986</v>
      </c>
      <c r="L1911">
        <v>2016</v>
      </c>
      <c r="M1911">
        <f t="shared" si="17"/>
        <v>31</v>
      </c>
      <c r="O1911">
        <v>-0.67741935483870996</v>
      </c>
      <c r="P1911" t="s">
        <v>85</v>
      </c>
      <c r="Q1911" t="s">
        <v>1196</v>
      </c>
    </row>
    <row r="1912" spans="1:17">
      <c r="A1912" t="s">
        <v>1420</v>
      </c>
      <c r="D1912" t="s">
        <v>1421</v>
      </c>
      <c r="E1912" t="s">
        <v>161</v>
      </c>
      <c r="G1912" t="s">
        <v>1439</v>
      </c>
      <c r="H1912" t="s">
        <v>536</v>
      </c>
      <c r="K1912">
        <v>1986</v>
      </c>
      <c r="L1912">
        <v>2016</v>
      </c>
      <c r="M1912">
        <f t="shared" si="17"/>
        <v>31</v>
      </c>
      <c r="O1912">
        <v>2.7096774193548399</v>
      </c>
      <c r="P1912" t="s">
        <v>85</v>
      </c>
      <c r="Q1912" t="s">
        <v>1196</v>
      </c>
    </row>
    <row r="1913" spans="1:17">
      <c r="A1913" t="s">
        <v>1420</v>
      </c>
      <c r="D1913" t="s">
        <v>1421</v>
      </c>
      <c r="E1913" t="s">
        <v>161</v>
      </c>
      <c r="G1913" t="s">
        <v>1347</v>
      </c>
      <c r="H1913" t="s">
        <v>536</v>
      </c>
      <c r="K1913">
        <v>1986</v>
      </c>
      <c r="L1913">
        <v>2016</v>
      </c>
      <c r="M1913">
        <f t="shared" si="17"/>
        <v>31</v>
      </c>
      <c r="O1913">
        <v>1.6451612903225801</v>
      </c>
      <c r="P1913" t="s">
        <v>85</v>
      </c>
      <c r="Q1913" t="s">
        <v>1196</v>
      </c>
    </row>
    <row r="1914" spans="1:17">
      <c r="A1914" t="s">
        <v>1420</v>
      </c>
      <c r="D1914" t="s">
        <v>1421</v>
      </c>
      <c r="E1914" t="s">
        <v>161</v>
      </c>
      <c r="G1914" t="s">
        <v>1445</v>
      </c>
      <c r="H1914" t="s">
        <v>536</v>
      </c>
      <c r="K1914">
        <v>1986</v>
      </c>
      <c r="L1914">
        <v>2016</v>
      </c>
      <c r="M1914">
        <f t="shared" si="17"/>
        <v>31</v>
      </c>
      <c r="O1914">
        <v>-3.5806451612903198</v>
      </c>
      <c r="P1914" t="s">
        <v>85</v>
      </c>
      <c r="Q1914" t="s">
        <v>1196</v>
      </c>
    </row>
    <row r="1915" spans="1:17">
      <c r="A1915" t="s">
        <v>1420</v>
      </c>
      <c r="D1915" t="s">
        <v>1421</v>
      </c>
      <c r="E1915" t="s">
        <v>161</v>
      </c>
      <c r="G1915" t="s">
        <v>1444</v>
      </c>
      <c r="H1915" t="s">
        <v>536</v>
      </c>
      <c r="K1915">
        <v>1986</v>
      </c>
      <c r="L1915">
        <v>2016</v>
      </c>
      <c r="M1915">
        <f t="shared" si="17"/>
        <v>31</v>
      </c>
      <c r="O1915">
        <v>1.45161290322581</v>
      </c>
      <c r="P1915" t="s">
        <v>85</v>
      </c>
      <c r="Q1915" t="s">
        <v>1196</v>
      </c>
    </row>
    <row r="1916" spans="1:17">
      <c r="A1916" t="s">
        <v>1420</v>
      </c>
      <c r="D1916" t="s">
        <v>1421</v>
      </c>
      <c r="E1916" t="s">
        <v>161</v>
      </c>
      <c r="G1916" t="s">
        <v>1445</v>
      </c>
      <c r="H1916" t="s">
        <v>536</v>
      </c>
      <c r="K1916">
        <v>1986</v>
      </c>
      <c r="L1916">
        <v>2016</v>
      </c>
      <c r="M1916">
        <f t="shared" si="17"/>
        <v>31</v>
      </c>
      <c r="O1916">
        <v>-3.0967741935483901</v>
      </c>
      <c r="P1916" t="s">
        <v>397</v>
      </c>
      <c r="Q1916" t="s">
        <v>1196</v>
      </c>
    </row>
    <row r="1917" spans="1:17">
      <c r="A1917" t="s">
        <v>1420</v>
      </c>
      <c r="D1917" t="s">
        <v>1421</v>
      </c>
      <c r="E1917" t="s">
        <v>161</v>
      </c>
      <c r="G1917" t="s">
        <v>1295</v>
      </c>
      <c r="H1917" t="s">
        <v>536</v>
      </c>
      <c r="K1917">
        <v>1986</v>
      </c>
      <c r="L1917">
        <v>2016</v>
      </c>
      <c r="M1917">
        <f t="shared" si="17"/>
        <v>31</v>
      </c>
      <c r="O1917">
        <v>1.8387096774193501</v>
      </c>
      <c r="P1917" t="s">
        <v>85</v>
      </c>
      <c r="Q1917" t="s">
        <v>1196</v>
      </c>
    </row>
    <row r="1918" spans="1:17">
      <c r="A1918" t="s">
        <v>1420</v>
      </c>
      <c r="D1918" t="s">
        <v>1421</v>
      </c>
      <c r="E1918" t="s">
        <v>161</v>
      </c>
      <c r="G1918" t="s">
        <v>1295</v>
      </c>
      <c r="H1918" t="s">
        <v>536</v>
      </c>
      <c r="K1918">
        <v>1986</v>
      </c>
      <c r="L1918">
        <v>2016</v>
      </c>
      <c r="M1918">
        <f t="shared" si="17"/>
        <v>31</v>
      </c>
      <c r="O1918">
        <v>8.4193548387096797</v>
      </c>
      <c r="P1918" t="s">
        <v>85</v>
      </c>
      <c r="Q1918" t="s">
        <v>1196</v>
      </c>
    </row>
    <row r="1919" spans="1:17">
      <c r="A1919" t="s">
        <v>1416</v>
      </c>
      <c r="B1919" t="s">
        <v>593</v>
      </c>
      <c r="C1919" t="s">
        <v>393</v>
      </c>
      <c r="D1919" t="s">
        <v>554</v>
      </c>
      <c r="E1919" t="s">
        <v>161</v>
      </c>
      <c r="G1919" t="s">
        <v>216</v>
      </c>
      <c r="H1919" t="s">
        <v>399</v>
      </c>
      <c r="K1919">
        <v>1968</v>
      </c>
      <c r="O1919">
        <v>34.4</v>
      </c>
      <c r="P1919" t="str">
        <f t="shared" ref="P1919:P1926" si="18">IF(O1919&gt;0,"Yes","No")</f>
        <v>Yes</v>
      </c>
      <c r="Q1919" t="s">
        <v>398</v>
      </c>
    </row>
    <row r="1920" spans="1:17">
      <c r="A1920" t="s">
        <v>1416</v>
      </c>
      <c r="B1920" t="s">
        <v>593</v>
      </c>
      <c r="C1920" t="s">
        <v>393</v>
      </c>
      <c r="D1920" t="s">
        <v>554</v>
      </c>
      <c r="E1920" t="s">
        <v>161</v>
      </c>
      <c r="G1920" t="s">
        <v>207</v>
      </c>
      <c r="H1920" t="s">
        <v>399</v>
      </c>
      <c r="K1920">
        <v>1968</v>
      </c>
      <c r="O1920">
        <v>35.799999999999997</v>
      </c>
      <c r="P1920" t="str">
        <f t="shared" si="18"/>
        <v>Yes</v>
      </c>
      <c r="Q1920" t="s">
        <v>398</v>
      </c>
    </row>
    <row r="1921" spans="1:17">
      <c r="A1921" t="s">
        <v>1416</v>
      </c>
      <c r="B1921" t="s">
        <v>593</v>
      </c>
      <c r="C1921" t="s">
        <v>393</v>
      </c>
      <c r="D1921" t="s">
        <v>554</v>
      </c>
      <c r="E1921" t="s">
        <v>161</v>
      </c>
      <c r="G1921" t="s">
        <v>214</v>
      </c>
      <c r="H1921" t="s">
        <v>396</v>
      </c>
      <c r="K1921">
        <v>1968</v>
      </c>
      <c r="O1921">
        <v>36.74</v>
      </c>
      <c r="P1921" t="str">
        <f t="shared" si="18"/>
        <v>Yes</v>
      </c>
      <c r="Q1921" t="s">
        <v>398</v>
      </c>
    </row>
    <row r="1922" spans="1:17">
      <c r="A1922" t="s">
        <v>1416</v>
      </c>
      <c r="B1922" t="s">
        <v>593</v>
      </c>
      <c r="C1922" t="s">
        <v>393</v>
      </c>
      <c r="D1922" t="s">
        <v>554</v>
      </c>
      <c r="E1922" t="s">
        <v>161</v>
      </c>
      <c r="G1922" t="s">
        <v>217</v>
      </c>
      <c r="H1922" t="s">
        <v>399</v>
      </c>
      <c r="K1922">
        <v>1968</v>
      </c>
      <c r="O1922">
        <v>38.1</v>
      </c>
      <c r="P1922" t="str">
        <f t="shared" si="18"/>
        <v>Yes</v>
      </c>
      <c r="Q1922" t="s">
        <v>398</v>
      </c>
    </row>
    <row r="1923" spans="1:17">
      <c r="A1923" t="s">
        <v>1416</v>
      </c>
      <c r="B1923" t="s">
        <v>593</v>
      </c>
      <c r="C1923" t="s">
        <v>393</v>
      </c>
      <c r="D1923" t="s">
        <v>554</v>
      </c>
      <c r="E1923" t="s">
        <v>161</v>
      </c>
      <c r="G1923" t="s">
        <v>211</v>
      </c>
      <c r="H1923" t="s">
        <v>396</v>
      </c>
      <c r="K1923">
        <v>1968</v>
      </c>
      <c r="O1923">
        <v>38.96</v>
      </c>
      <c r="P1923" t="str">
        <f t="shared" si="18"/>
        <v>Yes</v>
      </c>
      <c r="Q1923" t="s">
        <v>398</v>
      </c>
    </row>
    <row r="1924" spans="1:17">
      <c r="A1924" t="s">
        <v>1416</v>
      </c>
      <c r="B1924" t="s">
        <v>593</v>
      </c>
      <c r="C1924" t="s">
        <v>393</v>
      </c>
      <c r="D1924" t="s">
        <v>554</v>
      </c>
      <c r="E1924" t="s">
        <v>161</v>
      </c>
      <c r="G1924" t="s">
        <v>232</v>
      </c>
      <c r="H1924" t="s">
        <v>396</v>
      </c>
      <c r="K1924">
        <v>1968</v>
      </c>
      <c r="O1924">
        <v>41.19</v>
      </c>
      <c r="P1924" t="str">
        <f t="shared" si="18"/>
        <v>Yes</v>
      </c>
      <c r="Q1924" t="s">
        <v>398</v>
      </c>
    </row>
    <row r="1925" spans="1:17">
      <c r="A1925" t="s">
        <v>1416</v>
      </c>
      <c r="B1925" t="s">
        <v>593</v>
      </c>
      <c r="C1925" t="s">
        <v>393</v>
      </c>
      <c r="D1925" t="s">
        <v>554</v>
      </c>
      <c r="E1925" t="s">
        <v>161</v>
      </c>
      <c r="G1925" t="s">
        <v>218</v>
      </c>
      <c r="H1925" t="s">
        <v>399</v>
      </c>
      <c r="K1925">
        <v>1968</v>
      </c>
      <c r="O1925">
        <v>43.2</v>
      </c>
      <c r="P1925" t="str">
        <f t="shared" si="18"/>
        <v>Yes</v>
      </c>
      <c r="Q1925" t="s">
        <v>398</v>
      </c>
    </row>
    <row r="1926" spans="1:17">
      <c r="A1926" t="s">
        <v>1416</v>
      </c>
      <c r="B1926" t="s">
        <v>593</v>
      </c>
      <c r="C1926" t="s">
        <v>393</v>
      </c>
      <c r="D1926" t="s">
        <v>554</v>
      </c>
      <c r="E1926" t="s">
        <v>161</v>
      </c>
      <c r="G1926" t="s">
        <v>226</v>
      </c>
      <c r="H1926" t="s">
        <v>396</v>
      </c>
      <c r="K1926">
        <v>1968</v>
      </c>
      <c r="O1926">
        <v>44.53</v>
      </c>
      <c r="P1926" t="str">
        <f t="shared" si="18"/>
        <v>Yes</v>
      </c>
      <c r="Q1926" t="s">
        <v>398</v>
      </c>
    </row>
    <row r="1927" spans="1:17">
      <c r="A1927" t="s">
        <v>1446</v>
      </c>
      <c r="D1927" t="s">
        <v>1447</v>
      </c>
      <c r="E1927" t="s">
        <v>161</v>
      </c>
      <c r="G1927" t="s">
        <v>685</v>
      </c>
      <c r="H1927" t="s">
        <v>533</v>
      </c>
      <c r="K1927">
        <v>1979</v>
      </c>
      <c r="L1927">
        <v>2016</v>
      </c>
      <c r="M1927">
        <f>L1927-K1927+1</f>
        <v>38</v>
      </c>
      <c r="O1927" t="s">
        <v>163</v>
      </c>
      <c r="P1927" t="s">
        <v>397</v>
      </c>
      <c r="Q1927" t="s">
        <v>1196</v>
      </c>
    </row>
    <row r="1928" spans="1:17">
      <c r="A1928" t="s">
        <v>1446</v>
      </c>
      <c r="D1928" t="s">
        <v>1447</v>
      </c>
      <c r="E1928" t="s">
        <v>161</v>
      </c>
      <c r="G1928" t="s">
        <v>210</v>
      </c>
      <c r="H1928" t="s">
        <v>533</v>
      </c>
      <c r="K1928">
        <v>1979</v>
      </c>
      <c r="L1928">
        <v>2016</v>
      </c>
      <c r="M1928">
        <f>L1928-K1928+1</f>
        <v>38</v>
      </c>
      <c r="O1928" t="s">
        <v>163</v>
      </c>
      <c r="P1928" t="s">
        <v>397</v>
      </c>
      <c r="Q1928" t="s">
        <v>1196</v>
      </c>
    </row>
    <row r="1929" spans="1:17">
      <c r="A1929" t="s">
        <v>1448</v>
      </c>
      <c r="D1929" t="s">
        <v>1449</v>
      </c>
      <c r="E1929" t="s">
        <v>161</v>
      </c>
      <c r="G1929" t="s">
        <v>231</v>
      </c>
      <c r="H1929" t="s">
        <v>536</v>
      </c>
      <c r="K1929">
        <v>1992</v>
      </c>
      <c r="L1929">
        <v>2013</v>
      </c>
      <c r="M1929">
        <f>L1929-K1929+1</f>
        <v>22</v>
      </c>
      <c r="O1929">
        <v>15.9</v>
      </c>
      <c r="P1929" t="s">
        <v>15</v>
      </c>
      <c r="Q1929" t="s">
        <v>1196</v>
      </c>
    </row>
    <row r="1930" spans="1:17">
      <c r="A1930" t="s">
        <v>1450</v>
      </c>
      <c r="D1930" t="s">
        <v>502</v>
      </c>
      <c r="E1930" t="s">
        <v>161</v>
      </c>
      <c r="G1930" t="s">
        <v>1451</v>
      </c>
      <c r="H1930" t="s">
        <v>539</v>
      </c>
      <c r="K1930">
        <v>1975</v>
      </c>
      <c r="L1930">
        <v>2004.5</v>
      </c>
      <c r="M1930">
        <f>L1930-K1930+1</f>
        <v>30.5</v>
      </c>
      <c r="O1930" t="s">
        <v>163</v>
      </c>
      <c r="P1930" t="s">
        <v>15</v>
      </c>
      <c r="Q1930" t="s">
        <v>1196</v>
      </c>
    </row>
    <row r="1931" spans="1:17">
      <c r="A1931" t="s">
        <v>1450</v>
      </c>
      <c r="D1931" t="s">
        <v>502</v>
      </c>
      <c r="E1931" t="s">
        <v>161</v>
      </c>
      <c r="G1931" t="s">
        <v>1451</v>
      </c>
      <c r="H1931" t="s">
        <v>533</v>
      </c>
      <c r="K1931">
        <v>1975</v>
      </c>
      <c r="L1931">
        <v>2004.5</v>
      </c>
      <c r="M1931">
        <f>L1931-K1931+1</f>
        <v>30.5</v>
      </c>
      <c r="O1931" t="s">
        <v>163</v>
      </c>
      <c r="P1931" t="s">
        <v>15</v>
      </c>
      <c r="Q1931" t="s">
        <v>1196</v>
      </c>
    </row>
    <row r="1932" spans="1:17">
      <c r="A1932" t="s">
        <v>1416</v>
      </c>
      <c r="B1932" t="s">
        <v>593</v>
      </c>
      <c r="C1932" t="s">
        <v>393</v>
      </c>
      <c r="D1932" t="s">
        <v>554</v>
      </c>
      <c r="E1932" t="s">
        <v>161</v>
      </c>
      <c r="G1932" t="s">
        <v>901</v>
      </c>
      <c r="H1932" t="s">
        <v>457</v>
      </c>
      <c r="K1932">
        <v>1968</v>
      </c>
      <c r="O1932">
        <v>46.760000000000005</v>
      </c>
      <c r="P1932" t="str">
        <f>IF(O1932&gt;0,"Yes","No")</f>
        <v>Yes</v>
      </c>
      <c r="Q1932" t="s">
        <v>398</v>
      </c>
    </row>
    <row r="1933" spans="1:17">
      <c r="A1933" t="s">
        <v>1416</v>
      </c>
      <c r="B1933" t="s">
        <v>593</v>
      </c>
      <c r="C1933" t="s">
        <v>393</v>
      </c>
      <c r="D1933" t="s">
        <v>554</v>
      </c>
      <c r="E1933" t="s">
        <v>161</v>
      </c>
      <c r="G1933" t="s">
        <v>218</v>
      </c>
      <c r="H1933" t="s">
        <v>396</v>
      </c>
      <c r="K1933">
        <v>1968</v>
      </c>
      <c r="O1933">
        <v>48.98</v>
      </c>
      <c r="P1933" t="str">
        <f>IF(O1933&gt;0,"Yes","No")</f>
        <v>Yes</v>
      </c>
      <c r="Q1933" t="s">
        <v>398</v>
      </c>
    </row>
    <row r="1934" spans="1:17">
      <c r="A1934" t="s">
        <v>1416</v>
      </c>
      <c r="B1934" t="s">
        <v>593</v>
      </c>
      <c r="C1934" t="s">
        <v>393</v>
      </c>
      <c r="D1934" t="s">
        <v>554</v>
      </c>
      <c r="E1934" t="s">
        <v>161</v>
      </c>
      <c r="G1934" t="s">
        <v>219</v>
      </c>
      <c r="H1934" t="s">
        <v>399</v>
      </c>
      <c r="K1934">
        <v>1968</v>
      </c>
      <c r="O1934">
        <v>54.699999999999996</v>
      </c>
      <c r="P1934" t="str">
        <f>IF(O1934&gt;0,"Yes","No")</f>
        <v>Yes</v>
      </c>
      <c r="Q1934" t="s">
        <v>398</v>
      </c>
    </row>
    <row r="1935" spans="1:17">
      <c r="A1935" t="s">
        <v>1452</v>
      </c>
      <c r="D1935" t="s">
        <v>1453</v>
      </c>
      <c r="E1935" t="s">
        <v>161</v>
      </c>
      <c r="G1935" t="s">
        <v>61</v>
      </c>
      <c r="H1935" t="s">
        <v>536</v>
      </c>
      <c r="K1935">
        <v>1978</v>
      </c>
      <c r="L1935">
        <v>2017</v>
      </c>
      <c r="M1935">
        <f t="shared" ref="M1935:M1953" si="19">L1935-K1935+1</f>
        <v>40</v>
      </c>
      <c r="O1935" t="s">
        <v>163</v>
      </c>
      <c r="P1935" t="s">
        <v>15</v>
      </c>
      <c r="Q1935" t="s">
        <v>1196</v>
      </c>
    </row>
    <row r="1936" spans="1:17">
      <c r="A1936" t="s">
        <v>1452</v>
      </c>
      <c r="D1936" t="s">
        <v>1453</v>
      </c>
      <c r="E1936" t="s">
        <v>161</v>
      </c>
      <c r="G1936" t="s">
        <v>61</v>
      </c>
      <c r="H1936" t="s">
        <v>536</v>
      </c>
      <c r="K1936">
        <v>1978</v>
      </c>
      <c r="L1936">
        <v>2017</v>
      </c>
      <c r="M1936">
        <f t="shared" si="19"/>
        <v>40</v>
      </c>
      <c r="O1936" t="s">
        <v>163</v>
      </c>
      <c r="P1936" t="s">
        <v>15</v>
      </c>
      <c r="Q1936" t="s">
        <v>1196</v>
      </c>
    </row>
    <row r="1937" spans="1:17">
      <c r="A1937" t="s">
        <v>1452</v>
      </c>
      <c r="D1937" t="s">
        <v>1453</v>
      </c>
      <c r="E1937" t="s">
        <v>161</v>
      </c>
      <c r="G1937" t="s">
        <v>61</v>
      </c>
      <c r="H1937" t="s">
        <v>536</v>
      </c>
      <c r="K1937">
        <v>1978</v>
      </c>
      <c r="L1937">
        <v>2017</v>
      </c>
      <c r="M1937">
        <f t="shared" si="19"/>
        <v>40</v>
      </c>
      <c r="O1937" t="s">
        <v>163</v>
      </c>
      <c r="P1937" t="s">
        <v>15</v>
      </c>
      <c r="Q1937" t="s">
        <v>1196</v>
      </c>
    </row>
    <row r="1938" spans="1:17">
      <c r="A1938" t="s">
        <v>1452</v>
      </c>
      <c r="D1938" t="s">
        <v>1453</v>
      </c>
      <c r="E1938" t="s">
        <v>161</v>
      </c>
      <c r="G1938" t="s">
        <v>61</v>
      </c>
      <c r="H1938" t="s">
        <v>536</v>
      </c>
      <c r="K1938">
        <v>1978</v>
      </c>
      <c r="L1938">
        <v>2017</v>
      </c>
      <c r="M1938">
        <f t="shared" si="19"/>
        <v>40</v>
      </c>
      <c r="O1938" t="s">
        <v>163</v>
      </c>
      <c r="P1938" t="s">
        <v>85</v>
      </c>
      <c r="Q1938" t="s">
        <v>1196</v>
      </c>
    </row>
    <row r="1939" spans="1:17">
      <c r="A1939" t="s">
        <v>1454</v>
      </c>
      <c r="D1939" t="s">
        <v>1455</v>
      </c>
      <c r="E1939" t="s">
        <v>161</v>
      </c>
      <c r="G1939" t="s">
        <v>1456</v>
      </c>
      <c r="H1939" t="s">
        <v>536</v>
      </c>
      <c r="K1939">
        <v>1993</v>
      </c>
      <c r="L1939">
        <v>2012</v>
      </c>
      <c r="M1939">
        <f t="shared" si="19"/>
        <v>20</v>
      </c>
      <c r="O1939">
        <v>-24.42</v>
      </c>
      <c r="P1939" t="s">
        <v>397</v>
      </c>
      <c r="Q1939" t="s">
        <v>1196</v>
      </c>
    </row>
    <row r="1940" spans="1:17">
      <c r="A1940" t="s">
        <v>1454</v>
      </c>
      <c r="D1940" t="s">
        <v>1455</v>
      </c>
      <c r="E1940" t="s">
        <v>161</v>
      </c>
      <c r="G1940" t="s">
        <v>1457</v>
      </c>
      <c r="H1940" t="s">
        <v>536</v>
      </c>
      <c r="K1940">
        <v>1993</v>
      </c>
      <c r="L1940">
        <v>2012</v>
      </c>
      <c r="M1940">
        <f t="shared" si="19"/>
        <v>20</v>
      </c>
      <c r="O1940">
        <v>-14.43</v>
      </c>
      <c r="P1940" t="s">
        <v>85</v>
      </c>
      <c r="Q1940" t="s">
        <v>1196</v>
      </c>
    </row>
    <row r="1941" spans="1:17">
      <c r="A1941" t="s">
        <v>1454</v>
      </c>
      <c r="D1941" t="s">
        <v>1455</v>
      </c>
      <c r="E1941" t="s">
        <v>161</v>
      </c>
      <c r="G1941" t="s">
        <v>1458</v>
      </c>
      <c r="H1941" t="s">
        <v>536</v>
      </c>
      <c r="K1941">
        <v>1993</v>
      </c>
      <c r="L1941">
        <v>2012</v>
      </c>
      <c r="M1941">
        <f t="shared" si="19"/>
        <v>20</v>
      </c>
      <c r="O1941">
        <v>0</v>
      </c>
      <c r="P1941" t="s">
        <v>85</v>
      </c>
      <c r="Q1941" t="s">
        <v>1196</v>
      </c>
    </row>
    <row r="1942" spans="1:17">
      <c r="A1942" t="s">
        <v>1454</v>
      </c>
      <c r="D1942" t="s">
        <v>1455</v>
      </c>
      <c r="E1942" t="s">
        <v>161</v>
      </c>
      <c r="G1942" t="s">
        <v>415</v>
      </c>
      <c r="H1942" t="s">
        <v>536</v>
      </c>
      <c r="K1942">
        <v>1993</v>
      </c>
      <c r="L1942">
        <v>2012</v>
      </c>
      <c r="M1942">
        <f t="shared" si="19"/>
        <v>20</v>
      </c>
      <c r="O1942">
        <v>-12.21</v>
      </c>
      <c r="P1942" t="s">
        <v>397</v>
      </c>
      <c r="Q1942" t="s">
        <v>1196</v>
      </c>
    </row>
    <row r="1943" spans="1:17">
      <c r="A1943" t="s">
        <v>1454</v>
      </c>
      <c r="D1943" t="s">
        <v>1455</v>
      </c>
      <c r="E1943" t="s">
        <v>161</v>
      </c>
      <c r="G1943" t="s">
        <v>1218</v>
      </c>
      <c r="H1943" t="s">
        <v>536</v>
      </c>
      <c r="K1943">
        <v>1993</v>
      </c>
      <c r="L1943">
        <v>2012</v>
      </c>
      <c r="M1943">
        <f t="shared" si="19"/>
        <v>20</v>
      </c>
      <c r="O1943">
        <v>0</v>
      </c>
      <c r="P1943" t="s">
        <v>85</v>
      </c>
      <c r="Q1943" t="s">
        <v>1196</v>
      </c>
    </row>
    <row r="1944" spans="1:17">
      <c r="A1944" t="s">
        <v>1454</v>
      </c>
      <c r="D1944" t="s">
        <v>1455</v>
      </c>
      <c r="E1944" t="s">
        <v>161</v>
      </c>
      <c r="G1944" t="s">
        <v>1459</v>
      </c>
      <c r="H1944" t="s">
        <v>536</v>
      </c>
      <c r="K1944">
        <v>1993</v>
      </c>
      <c r="L1944">
        <v>2012</v>
      </c>
      <c r="M1944">
        <f t="shared" si="19"/>
        <v>20</v>
      </c>
      <c r="O1944">
        <v>-16.649999999999999</v>
      </c>
      <c r="P1944" t="s">
        <v>397</v>
      </c>
      <c r="Q1944" t="s">
        <v>1196</v>
      </c>
    </row>
    <row r="1945" spans="1:17">
      <c r="A1945" t="s">
        <v>1454</v>
      </c>
      <c r="D1945" t="s">
        <v>1455</v>
      </c>
      <c r="E1945" t="s">
        <v>161</v>
      </c>
      <c r="G1945" t="s">
        <v>1291</v>
      </c>
      <c r="H1945" t="s">
        <v>536</v>
      </c>
      <c r="K1945">
        <v>1993</v>
      </c>
      <c r="L1945">
        <v>2012</v>
      </c>
      <c r="M1945">
        <f t="shared" si="19"/>
        <v>20</v>
      </c>
      <c r="O1945">
        <v>0</v>
      </c>
      <c r="P1945" t="s">
        <v>85</v>
      </c>
      <c r="Q1945" t="s">
        <v>1196</v>
      </c>
    </row>
    <row r="1946" spans="1:17">
      <c r="A1946" t="s">
        <v>1454</v>
      </c>
      <c r="D1946" t="s">
        <v>1455</v>
      </c>
      <c r="E1946" t="s">
        <v>161</v>
      </c>
      <c r="G1946" t="s">
        <v>1460</v>
      </c>
      <c r="H1946" t="s">
        <v>536</v>
      </c>
      <c r="K1946">
        <v>1993</v>
      </c>
      <c r="L1946">
        <v>2012</v>
      </c>
      <c r="M1946">
        <f t="shared" si="19"/>
        <v>20</v>
      </c>
      <c r="O1946">
        <v>-27.75</v>
      </c>
      <c r="P1946" t="s">
        <v>397</v>
      </c>
      <c r="Q1946" t="s">
        <v>1196</v>
      </c>
    </row>
    <row r="1947" spans="1:17">
      <c r="A1947" t="s">
        <v>1454</v>
      </c>
      <c r="D1947" t="s">
        <v>1455</v>
      </c>
      <c r="E1947" t="s">
        <v>161</v>
      </c>
      <c r="G1947" t="s">
        <v>1461</v>
      </c>
      <c r="H1947" t="s">
        <v>536</v>
      </c>
      <c r="K1947">
        <v>1993</v>
      </c>
      <c r="L1947">
        <v>2012</v>
      </c>
      <c r="M1947">
        <f t="shared" si="19"/>
        <v>20</v>
      </c>
      <c r="O1947">
        <v>0</v>
      </c>
      <c r="P1947" t="s">
        <v>85</v>
      </c>
      <c r="Q1947" t="s">
        <v>1196</v>
      </c>
    </row>
    <row r="1948" spans="1:17">
      <c r="A1948" t="s">
        <v>1454</v>
      </c>
      <c r="D1948" t="s">
        <v>1455</v>
      </c>
      <c r="E1948" t="s">
        <v>161</v>
      </c>
      <c r="G1948" t="s">
        <v>1462</v>
      </c>
      <c r="H1948" t="s">
        <v>536</v>
      </c>
      <c r="K1948">
        <v>1993</v>
      </c>
      <c r="L1948">
        <v>2012</v>
      </c>
      <c r="M1948">
        <f t="shared" si="19"/>
        <v>20</v>
      </c>
      <c r="O1948">
        <v>-26.64</v>
      </c>
      <c r="P1948" t="s">
        <v>397</v>
      </c>
      <c r="Q1948" t="s">
        <v>1196</v>
      </c>
    </row>
    <row r="1949" spans="1:17">
      <c r="A1949" t="s">
        <v>1454</v>
      </c>
      <c r="D1949" t="s">
        <v>1455</v>
      </c>
      <c r="E1949" t="s">
        <v>161</v>
      </c>
      <c r="G1949" t="s">
        <v>404</v>
      </c>
      <c r="H1949" t="s">
        <v>536</v>
      </c>
      <c r="K1949">
        <v>1993</v>
      </c>
      <c r="L1949">
        <v>2012</v>
      </c>
      <c r="M1949">
        <f t="shared" si="19"/>
        <v>20</v>
      </c>
      <c r="O1949">
        <v>0</v>
      </c>
      <c r="P1949" t="s">
        <v>85</v>
      </c>
      <c r="Q1949" t="s">
        <v>1196</v>
      </c>
    </row>
    <row r="1950" spans="1:17">
      <c r="A1950" t="s">
        <v>1454</v>
      </c>
      <c r="D1950" t="s">
        <v>1455</v>
      </c>
      <c r="E1950" t="s">
        <v>161</v>
      </c>
      <c r="G1950" t="s">
        <v>1217</v>
      </c>
      <c r="H1950" t="s">
        <v>536</v>
      </c>
      <c r="K1950">
        <v>1993</v>
      </c>
      <c r="L1950">
        <v>2012</v>
      </c>
      <c r="M1950">
        <f t="shared" si="19"/>
        <v>20</v>
      </c>
      <c r="O1950">
        <v>0</v>
      </c>
      <c r="P1950" t="s">
        <v>85</v>
      </c>
      <c r="Q1950" t="s">
        <v>1196</v>
      </c>
    </row>
    <row r="1951" spans="1:17">
      <c r="A1951" t="s">
        <v>1454</v>
      </c>
      <c r="D1951" t="s">
        <v>1455</v>
      </c>
      <c r="E1951" t="s">
        <v>161</v>
      </c>
      <c r="G1951" t="s">
        <v>1463</v>
      </c>
      <c r="H1951" t="s">
        <v>536</v>
      </c>
      <c r="K1951">
        <v>1993</v>
      </c>
      <c r="L1951">
        <v>2012</v>
      </c>
      <c r="M1951">
        <f t="shared" si="19"/>
        <v>20</v>
      </c>
      <c r="O1951">
        <v>0</v>
      </c>
      <c r="P1951" t="s">
        <v>85</v>
      </c>
      <c r="Q1951" t="s">
        <v>1196</v>
      </c>
    </row>
    <row r="1952" spans="1:17">
      <c r="A1952" t="s">
        <v>1454</v>
      </c>
      <c r="D1952" t="s">
        <v>1455</v>
      </c>
      <c r="E1952" t="s">
        <v>161</v>
      </c>
      <c r="G1952" t="s">
        <v>1464</v>
      </c>
      <c r="H1952" t="s">
        <v>536</v>
      </c>
      <c r="K1952">
        <v>1993</v>
      </c>
      <c r="L1952">
        <v>2012</v>
      </c>
      <c r="M1952">
        <f t="shared" si="19"/>
        <v>20</v>
      </c>
      <c r="O1952">
        <v>0</v>
      </c>
      <c r="P1952" t="s">
        <v>85</v>
      </c>
      <c r="Q1952" t="s">
        <v>1196</v>
      </c>
    </row>
    <row r="1953" spans="1:18">
      <c r="A1953" t="s">
        <v>1454</v>
      </c>
      <c r="D1953" t="s">
        <v>1455</v>
      </c>
      <c r="E1953" t="s">
        <v>161</v>
      </c>
      <c r="G1953" t="s">
        <v>1354</v>
      </c>
      <c r="H1953" t="s">
        <v>536</v>
      </c>
      <c r="K1953">
        <v>1993</v>
      </c>
      <c r="L1953">
        <v>2012</v>
      </c>
      <c r="M1953">
        <f t="shared" si="19"/>
        <v>20</v>
      </c>
      <c r="O1953">
        <v>7.77</v>
      </c>
      <c r="P1953" t="s">
        <v>15</v>
      </c>
      <c r="Q1953" t="s">
        <v>1196</v>
      </c>
    </row>
    <row r="1954" spans="1:18">
      <c r="A1954" t="s">
        <v>1416</v>
      </c>
      <c r="B1954" t="s">
        <v>593</v>
      </c>
      <c r="C1954" t="s">
        <v>393</v>
      </c>
      <c r="D1954" t="s">
        <v>554</v>
      </c>
      <c r="E1954" t="s">
        <v>161</v>
      </c>
      <c r="G1954" t="s">
        <v>208</v>
      </c>
      <c r="H1954" t="s">
        <v>399</v>
      </c>
      <c r="K1954">
        <v>1968</v>
      </c>
      <c r="O1954">
        <v>55.199999999999996</v>
      </c>
      <c r="P1954" t="str">
        <f t="shared" ref="P1954:P1959" si="20">IF(O1954&gt;0,"Yes","No")</f>
        <v>Yes</v>
      </c>
      <c r="Q1954" t="s">
        <v>398</v>
      </c>
    </row>
    <row r="1955" spans="1:18">
      <c r="A1955" t="s">
        <v>1416</v>
      </c>
      <c r="B1955" t="s">
        <v>593</v>
      </c>
      <c r="C1955" t="s">
        <v>393</v>
      </c>
      <c r="D1955" t="s">
        <v>554</v>
      </c>
      <c r="E1955" t="s">
        <v>161</v>
      </c>
      <c r="G1955" t="s">
        <v>221</v>
      </c>
      <c r="H1955" t="s">
        <v>457</v>
      </c>
      <c r="K1955">
        <v>1968</v>
      </c>
      <c r="O1955">
        <v>56.78</v>
      </c>
      <c r="P1955" t="str">
        <f t="shared" si="20"/>
        <v>Yes</v>
      </c>
      <c r="Q1955" t="s">
        <v>398</v>
      </c>
    </row>
    <row r="1956" spans="1:18">
      <c r="A1956" t="s">
        <v>1416</v>
      </c>
      <c r="B1956" t="s">
        <v>593</v>
      </c>
      <c r="C1956" t="s">
        <v>393</v>
      </c>
      <c r="D1956" t="s">
        <v>554</v>
      </c>
      <c r="E1956" t="s">
        <v>161</v>
      </c>
      <c r="G1956" t="s">
        <v>221</v>
      </c>
      <c r="H1956" t="s">
        <v>399</v>
      </c>
      <c r="K1956">
        <v>1968</v>
      </c>
      <c r="O1956">
        <v>68.600000000000009</v>
      </c>
      <c r="P1956" t="str">
        <f t="shared" si="20"/>
        <v>Yes</v>
      </c>
      <c r="Q1956" t="s">
        <v>398</v>
      </c>
    </row>
    <row r="1957" spans="1:18">
      <c r="A1957" t="s">
        <v>1416</v>
      </c>
      <c r="B1957" t="s">
        <v>593</v>
      </c>
      <c r="C1957" t="s">
        <v>393</v>
      </c>
      <c r="D1957" t="s">
        <v>554</v>
      </c>
      <c r="E1957" t="s">
        <v>161</v>
      </c>
      <c r="G1957" t="s">
        <v>222</v>
      </c>
      <c r="H1957" t="s">
        <v>399</v>
      </c>
      <c r="K1957">
        <v>1968</v>
      </c>
      <c r="O1957">
        <v>85.3</v>
      </c>
      <c r="P1957" t="str">
        <f t="shared" si="20"/>
        <v>Yes</v>
      </c>
      <c r="Q1957" t="s">
        <v>398</v>
      </c>
    </row>
    <row r="1958" spans="1:18">
      <c r="A1958" t="s">
        <v>1416</v>
      </c>
      <c r="B1958" t="s">
        <v>593</v>
      </c>
      <c r="C1958" t="s">
        <v>393</v>
      </c>
      <c r="D1958" t="s">
        <v>554</v>
      </c>
      <c r="E1958" t="s">
        <v>161</v>
      </c>
      <c r="G1958" t="s">
        <v>210</v>
      </c>
      <c r="H1958" t="s">
        <v>396</v>
      </c>
      <c r="K1958">
        <v>1968</v>
      </c>
      <c r="O1958">
        <v>85.72</v>
      </c>
      <c r="P1958" t="str">
        <f t="shared" si="20"/>
        <v>Yes</v>
      </c>
      <c r="Q1958" t="s">
        <v>398</v>
      </c>
    </row>
    <row r="1959" spans="1:18">
      <c r="A1959" t="s">
        <v>1465</v>
      </c>
      <c r="B1959" t="s">
        <v>593</v>
      </c>
      <c r="C1959" t="s">
        <v>393</v>
      </c>
      <c r="D1959" t="s">
        <v>554</v>
      </c>
      <c r="E1959" t="s">
        <v>161</v>
      </c>
      <c r="G1959" t="s">
        <v>184</v>
      </c>
      <c r="H1959" t="s">
        <v>399</v>
      </c>
      <c r="K1959">
        <v>1978</v>
      </c>
      <c r="O1959">
        <v>55.66</v>
      </c>
      <c r="P1959" t="str">
        <f t="shared" si="20"/>
        <v>Yes</v>
      </c>
      <c r="Q1959" t="s">
        <v>398</v>
      </c>
    </row>
    <row r="1960" spans="1:18">
      <c r="A1960" t="s">
        <v>1466</v>
      </c>
      <c r="B1960" t="s">
        <v>593</v>
      </c>
      <c r="C1960" t="s">
        <v>393</v>
      </c>
      <c r="D1960" t="s">
        <v>757</v>
      </c>
      <c r="E1960" t="s">
        <v>161</v>
      </c>
      <c r="G1960" t="s">
        <v>1467</v>
      </c>
      <c r="H1960" t="s">
        <v>700</v>
      </c>
      <c r="K1960">
        <v>1800</v>
      </c>
      <c r="L1960">
        <v>2009</v>
      </c>
      <c r="M1960">
        <v>209</v>
      </c>
      <c r="O1960" t="s">
        <v>1169</v>
      </c>
      <c r="P1960" t="s">
        <v>1169</v>
      </c>
      <c r="Q1960" t="s">
        <v>701</v>
      </c>
    </row>
    <row r="1961" spans="1:18">
      <c r="A1961" t="s">
        <v>1466</v>
      </c>
      <c r="B1961" t="s">
        <v>593</v>
      </c>
      <c r="C1961" t="s">
        <v>393</v>
      </c>
      <c r="D1961" t="s">
        <v>757</v>
      </c>
      <c r="E1961" t="s">
        <v>161</v>
      </c>
      <c r="G1961" t="s">
        <v>1468</v>
      </c>
      <c r="H1961" t="s">
        <v>700</v>
      </c>
      <c r="K1961">
        <v>1800</v>
      </c>
      <c r="L1961">
        <v>2009</v>
      </c>
      <c r="M1961">
        <v>209</v>
      </c>
      <c r="O1961" t="s">
        <v>1169</v>
      </c>
      <c r="P1961" t="s">
        <v>1169</v>
      </c>
      <c r="Q1961" t="s">
        <v>701</v>
      </c>
    </row>
    <row r="1962" spans="1:18">
      <c r="A1962" t="s">
        <v>1466</v>
      </c>
      <c r="B1962" t="s">
        <v>593</v>
      </c>
      <c r="C1962" t="s">
        <v>393</v>
      </c>
      <c r="D1962" t="s">
        <v>757</v>
      </c>
      <c r="E1962" t="s">
        <v>161</v>
      </c>
      <c r="G1962" t="s">
        <v>1469</v>
      </c>
      <c r="H1962" t="s">
        <v>700</v>
      </c>
      <c r="K1962">
        <v>1800</v>
      </c>
      <c r="L1962">
        <v>2009</v>
      </c>
      <c r="M1962">
        <v>209</v>
      </c>
      <c r="O1962" t="s">
        <v>1169</v>
      </c>
      <c r="P1962" t="s">
        <v>1169</v>
      </c>
      <c r="Q1962" t="s">
        <v>701</v>
      </c>
    </row>
    <row r="1963" spans="1:18">
      <c r="A1963" t="s">
        <v>1466</v>
      </c>
      <c r="B1963" t="s">
        <v>593</v>
      </c>
      <c r="C1963" t="s">
        <v>393</v>
      </c>
      <c r="D1963" t="s">
        <v>757</v>
      </c>
      <c r="E1963" t="s">
        <v>161</v>
      </c>
      <c r="G1963" t="s">
        <v>1470</v>
      </c>
      <c r="H1963" t="s">
        <v>700</v>
      </c>
      <c r="K1963">
        <v>1800</v>
      </c>
      <c r="L1963">
        <v>2009</v>
      </c>
      <c r="M1963">
        <v>209</v>
      </c>
      <c r="O1963" t="s">
        <v>1169</v>
      </c>
      <c r="P1963" t="s">
        <v>1169</v>
      </c>
      <c r="Q1963" t="s">
        <v>701</v>
      </c>
    </row>
    <row r="1964" spans="1:18">
      <c r="A1964" t="s">
        <v>1466</v>
      </c>
      <c r="B1964" t="s">
        <v>593</v>
      </c>
      <c r="C1964" t="s">
        <v>393</v>
      </c>
      <c r="D1964" t="s">
        <v>757</v>
      </c>
      <c r="E1964" t="s">
        <v>161</v>
      </c>
      <c r="G1964" t="s">
        <v>1471</v>
      </c>
      <c r="H1964" t="s">
        <v>700</v>
      </c>
      <c r="K1964">
        <v>1800</v>
      </c>
      <c r="L1964">
        <v>2009</v>
      </c>
      <c r="M1964">
        <v>209</v>
      </c>
      <c r="O1964" t="s">
        <v>1169</v>
      </c>
      <c r="P1964" t="s">
        <v>1169</v>
      </c>
      <c r="Q1964" t="s">
        <v>701</v>
      </c>
    </row>
    <row r="1965" spans="1:18">
      <c r="A1965" t="s">
        <v>592</v>
      </c>
      <c r="B1965" t="s">
        <v>593</v>
      </c>
      <c r="C1965" t="s">
        <v>393</v>
      </c>
      <c r="D1965" t="s">
        <v>594</v>
      </c>
      <c r="E1965" t="s">
        <v>394</v>
      </c>
      <c r="F1965" t="s">
        <v>394</v>
      </c>
      <c r="G1965" t="s">
        <v>526</v>
      </c>
      <c r="H1965" t="s">
        <v>539</v>
      </c>
      <c r="K1965">
        <v>1981</v>
      </c>
      <c r="M1965">
        <v>29</v>
      </c>
      <c r="O1965" t="s">
        <v>163</v>
      </c>
      <c r="P1965" t="s">
        <v>88</v>
      </c>
      <c r="Q1965" t="s">
        <v>528</v>
      </c>
      <c r="R1965" t="s">
        <v>1390</v>
      </c>
    </row>
    <row r="1966" spans="1:18">
      <c r="A1966" t="s">
        <v>592</v>
      </c>
      <c r="B1966" t="s">
        <v>593</v>
      </c>
      <c r="C1966" t="s">
        <v>393</v>
      </c>
      <c r="D1966" t="s">
        <v>594</v>
      </c>
      <c r="E1966" t="s">
        <v>394</v>
      </c>
      <c r="F1966" t="s">
        <v>394</v>
      </c>
      <c r="G1966" t="s">
        <v>526</v>
      </c>
      <c r="H1966" t="s">
        <v>533</v>
      </c>
      <c r="K1966">
        <v>1981</v>
      </c>
      <c r="M1966">
        <v>29</v>
      </c>
      <c r="O1966" t="s">
        <v>163</v>
      </c>
      <c r="P1966" t="s">
        <v>88</v>
      </c>
      <c r="Q1966" t="s">
        <v>528</v>
      </c>
      <c r="R1966" t="s">
        <v>1390</v>
      </c>
    </row>
    <row r="1967" spans="1:18">
      <c r="A1967" t="s">
        <v>651</v>
      </c>
      <c r="C1967" t="s">
        <v>393</v>
      </c>
      <c r="D1967" t="s">
        <v>554</v>
      </c>
      <c r="E1967" t="s">
        <v>161</v>
      </c>
      <c r="G1967" t="s">
        <v>208</v>
      </c>
      <c r="H1967" t="s">
        <v>399</v>
      </c>
      <c r="K1967">
        <v>1968</v>
      </c>
      <c r="O1967">
        <v>1.9900000000000002</v>
      </c>
      <c r="P1967" t="s">
        <v>15</v>
      </c>
      <c r="Q1967" t="s">
        <v>398</v>
      </c>
    </row>
    <row r="1968" spans="1:18">
      <c r="A1968" t="s">
        <v>651</v>
      </c>
      <c r="C1968" t="s">
        <v>393</v>
      </c>
      <c r="D1968" t="s">
        <v>554</v>
      </c>
      <c r="E1968" t="s">
        <v>161</v>
      </c>
      <c r="G1968" t="s">
        <v>212</v>
      </c>
      <c r="H1968" t="s">
        <v>399</v>
      </c>
      <c r="K1968">
        <v>1968</v>
      </c>
      <c r="O1968">
        <v>2.08</v>
      </c>
      <c r="P1968" t="s">
        <v>15</v>
      </c>
      <c r="Q1968" t="s">
        <v>398</v>
      </c>
    </row>
    <row r="1969" spans="1:17">
      <c r="A1969" t="s">
        <v>651</v>
      </c>
      <c r="C1969" t="s">
        <v>393</v>
      </c>
      <c r="D1969" t="s">
        <v>554</v>
      </c>
      <c r="E1969" t="s">
        <v>161</v>
      </c>
      <c r="G1969" t="s">
        <v>207</v>
      </c>
      <c r="H1969" t="s">
        <v>399</v>
      </c>
      <c r="K1969">
        <v>1968</v>
      </c>
      <c r="O1969">
        <v>2.2200000000000002</v>
      </c>
      <c r="P1969" t="s">
        <v>15</v>
      </c>
      <c r="Q1969" t="s">
        <v>398</v>
      </c>
    </row>
    <row r="1970" spans="1:17">
      <c r="A1970" t="s">
        <v>651</v>
      </c>
      <c r="C1970" t="s">
        <v>393</v>
      </c>
      <c r="D1970" t="s">
        <v>554</v>
      </c>
      <c r="E1970" t="s">
        <v>161</v>
      </c>
      <c r="G1970" t="s">
        <v>305</v>
      </c>
      <c r="H1970" t="s">
        <v>399</v>
      </c>
      <c r="K1970">
        <v>1968</v>
      </c>
      <c r="O1970">
        <v>2.29</v>
      </c>
      <c r="P1970" t="s">
        <v>15</v>
      </c>
      <c r="Q1970" t="s">
        <v>398</v>
      </c>
    </row>
    <row r="1971" spans="1:17">
      <c r="A1971" t="s">
        <v>651</v>
      </c>
      <c r="C1971" t="s">
        <v>393</v>
      </c>
      <c r="D1971" t="s">
        <v>554</v>
      </c>
      <c r="E1971" t="s">
        <v>161</v>
      </c>
      <c r="G1971" t="s">
        <v>213</v>
      </c>
      <c r="H1971" t="s">
        <v>399</v>
      </c>
      <c r="K1971">
        <v>1968</v>
      </c>
      <c r="O1971">
        <v>2.38</v>
      </c>
      <c r="P1971" t="s">
        <v>15</v>
      </c>
      <c r="Q1971" t="s">
        <v>398</v>
      </c>
    </row>
    <row r="1972" spans="1:17">
      <c r="A1972" t="s">
        <v>651</v>
      </c>
      <c r="C1972" t="s">
        <v>393</v>
      </c>
      <c r="D1972" t="s">
        <v>554</v>
      </c>
      <c r="E1972" t="s">
        <v>161</v>
      </c>
      <c r="G1972" t="s">
        <v>221</v>
      </c>
      <c r="H1972" t="s">
        <v>399</v>
      </c>
      <c r="K1972">
        <v>1968</v>
      </c>
      <c r="O1972">
        <v>2.4500000000000002</v>
      </c>
      <c r="P1972" t="s">
        <v>15</v>
      </c>
      <c r="Q1972" t="s">
        <v>398</v>
      </c>
    </row>
    <row r="1973" spans="1:17">
      <c r="A1973" t="s">
        <v>651</v>
      </c>
      <c r="C1973" t="s">
        <v>393</v>
      </c>
      <c r="D1973" t="s">
        <v>554</v>
      </c>
      <c r="E1973" t="s">
        <v>161</v>
      </c>
      <c r="G1973" t="s">
        <v>207</v>
      </c>
      <c r="H1973" t="s">
        <v>399</v>
      </c>
      <c r="K1973">
        <v>1968</v>
      </c>
      <c r="O1973">
        <v>2.5099999999999998</v>
      </c>
      <c r="P1973" t="s">
        <v>15</v>
      </c>
      <c r="Q1973" t="s">
        <v>398</v>
      </c>
    </row>
    <row r="1974" spans="1:17">
      <c r="A1974" t="s">
        <v>651</v>
      </c>
      <c r="C1974" t="s">
        <v>393</v>
      </c>
      <c r="D1974" t="s">
        <v>554</v>
      </c>
      <c r="E1974" t="s">
        <v>161</v>
      </c>
      <c r="G1974" t="s">
        <v>218</v>
      </c>
      <c r="H1974" t="s">
        <v>399</v>
      </c>
      <c r="K1974">
        <v>1968</v>
      </c>
      <c r="O1974">
        <v>2.54</v>
      </c>
      <c r="P1974" t="s">
        <v>15</v>
      </c>
      <c r="Q1974" t="s">
        <v>398</v>
      </c>
    </row>
    <row r="1975" spans="1:17">
      <c r="A1975" t="s">
        <v>651</v>
      </c>
      <c r="C1975" t="s">
        <v>393</v>
      </c>
      <c r="D1975" t="s">
        <v>554</v>
      </c>
      <c r="E1975" t="s">
        <v>161</v>
      </c>
      <c r="G1975" t="s">
        <v>217</v>
      </c>
      <c r="H1975" t="s">
        <v>399</v>
      </c>
      <c r="K1975">
        <v>1968</v>
      </c>
      <c r="O1975">
        <v>2.5700000000000003</v>
      </c>
      <c r="P1975" t="s">
        <v>15</v>
      </c>
      <c r="Q1975" t="s">
        <v>398</v>
      </c>
    </row>
    <row r="1976" spans="1:17">
      <c r="A1976" t="s">
        <v>651</v>
      </c>
      <c r="C1976" t="s">
        <v>393</v>
      </c>
      <c r="D1976" t="s">
        <v>554</v>
      </c>
      <c r="E1976" t="s">
        <v>161</v>
      </c>
      <c r="G1976" t="s">
        <v>237</v>
      </c>
      <c r="H1976" t="s">
        <v>399</v>
      </c>
      <c r="K1976">
        <v>1968</v>
      </c>
      <c r="O1976">
        <v>3.22</v>
      </c>
      <c r="P1976" t="s">
        <v>15</v>
      </c>
      <c r="Q1976" t="s">
        <v>398</v>
      </c>
    </row>
    <row r="1977" spans="1:17">
      <c r="A1977" t="s">
        <v>651</v>
      </c>
      <c r="C1977" t="s">
        <v>393</v>
      </c>
      <c r="D1977" t="s">
        <v>554</v>
      </c>
      <c r="E1977" t="s">
        <v>161</v>
      </c>
      <c r="G1977" t="s">
        <v>211</v>
      </c>
      <c r="H1977" t="s">
        <v>399</v>
      </c>
      <c r="K1977">
        <v>1968</v>
      </c>
      <c r="O1977">
        <v>3.4000000000000004</v>
      </c>
      <c r="P1977" t="s">
        <v>15</v>
      </c>
      <c r="Q1977" t="s">
        <v>398</v>
      </c>
    </row>
    <row r="1978" spans="1:17">
      <c r="A1978" t="s">
        <v>651</v>
      </c>
      <c r="C1978" t="s">
        <v>393</v>
      </c>
      <c r="D1978" t="s">
        <v>554</v>
      </c>
      <c r="E1978" t="s">
        <v>161</v>
      </c>
      <c r="G1978" t="s">
        <v>212</v>
      </c>
      <c r="H1978" t="s">
        <v>399</v>
      </c>
      <c r="K1978">
        <v>1968</v>
      </c>
      <c r="O1978">
        <v>3.85</v>
      </c>
      <c r="P1978" t="s">
        <v>15</v>
      </c>
      <c r="Q1978" t="s">
        <v>398</v>
      </c>
    </row>
    <row r="1979" spans="1:17">
      <c r="A1979" t="s">
        <v>651</v>
      </c>
      <c r="C1979" t="s">
        <v>393</v>
      </c>
      <c r="D1979" t="s">
        <v>554</v>
      </c>
      <c r="E1979" t="s">
        <v>161</v>
      </c>
      <c r="G1979" t="s">
        <v>1472</v>
      </c>
      <c r="H1979" t="s">
        <v>399</v>
      </c>
      <c r="K1979">
        <v>1968</v>
      </c>
      <c r="O1979">
        <v>3.9400000000000004</v>
      </c>
      <c r="P1979" t="s">
        <v>15</v>
      </c>
      <c r="Q1979" t="s">
        <v>398</v>
      </c>
    </row>
    <row r="1980" spans="1:17">
      <c r="A1980" t="s">
        <v>651</v>
      </c>
      <c r="C1980" t="s">
        <v>393</v>
      </c>
      <c r="D1980" t="s">
        <v>554</v>
      </c>
      <c r="E1980" t="s">
        <v>161</v>
      </c>
      <c r="G1980" t="s">
        <v>214</v>
      </c>
      <c r="H1980" t="s">
        <v>399</v>
      </c>
      <c r="K1980">
        <v>1968</v>
      </c>
      <c r="O1980">
        <v>4.12</v>
      </c>
      <c r="P1980" t="s">
        <v>15</v>
      </c>
      <c r="Q1980" t="s">
        <v>398</v>
      </c>
    </row>
    <row r="1981" spans="1:17">
      <c r="A1981" t="s">
        <v>651</v>
      </c>
      <c r="C1981" t="s">
        <v>393</v>
      </c>
      <c r="D1981" t="s">
        <v>554</v>
      </c>
      <c r="E1981" t="s">
        <v>161</v>
      </c>
      <c r="G1981" t="s">
        <v>659</v>
      </c>
      <c r="H1981" t="s">
        <v>399</v>
      </c>
      <c r="K1981">
        <v>1968</v>
      </c>
      <c r="O1981">
        <v>4.16</v>
      </c>
      <c r="P1981" t="s">
        <v>15</v>
      </c>
      <c r="Q1981" t="s">
        <v>398</v>
      </c>
    </row>
    <row r="1982" spans="1:17">
      <c r="A1982" t="s">
        <v>651</v>
      </c>
      <c r="C1982" t="s">
        <v>393</v>
      </c>
      <c r="D1982" t="s">
        <v>554</v>
      </c>
      <c r="E1982" t="s">
        <v>161</v>
      </c>
      <c r="G1982" t="s">
        <v>1127</v>
      </c>
      <c r="H1982" t="s">
        <v>399</v>
      </c>
      <c r="K1982">
        <v>1968</v>
      </c>
      <c r="O1982">
        <v>4.21</v>
      </c>
      <c r="P1982" t="s">
        <v>15</v>
      </c>
      <c r="Q1982" t="s">
        <v>398</v>
      </c>
    </row>
    <row r="1983" spans="1:17">
      <c r="A1983" t="s">
        <v>651</v>
      </c>
      <c r="C1983" t="s">
        <v>393</v>
      </c>
      <c r="D1983" t="s">
        <v>554</v>
      </c>
      <c r="E1983" t="s">
        <v>161</v>
      </c>
      <c r="G1983" t="s">
        <v>1473</v>
      </c>
      <c r="H1983" t="s">
        <v>399</v>
      </c>
      <c r="K1983">
        <v>1968</v>
      </c>
      <c r="O1983">
        <v>4.42</v>
      </c>
      <c r="P1983" t="s">
        <v>15</v>
      </c>
      <c r="Q1983" t="s">
        <v>398</v>
      </c>
    </row>
    <row r="1984" spans="1:17">
      <c r="A1984" t="s">
        <v>651</v>
      </c>
      <c r="C1984" t="s">
        <v>393</v>
      </c>
      <c r="D1984" t="s">
        <v>554</v>
      </c>
      <c r="E1984" t="s">
        <v>161</v>
      </c>
      <c r="G1984" t="s">
        <v>210</v>
      </c>
      <c r="H1984" t="s">
        <v>399</v>
      </c>
      <c r="K1984">
        <v>1968</v>
      </c>
      <c r="O1984">
        <v>5.0600000000000005</v>
      </c>
      <c r="P1984" t="s">
        <v>15</v>
      </c>
      <c r="Q1984" t="s">
        <v>398</v>
      </c>
    </row>
    <row r="1985" spans="1:17">
      <c r="A1985" t="s">
        <v>651</v>
      </c>
      <c r="C1985" t="s">
        <v>393</v>
      </c>
      <c r="D1985" t="s">
        <v>554</v>
      </c>
      <c r="E1985" t="s">
        <v>161</v>
      </c>
      <c r="G1985" t="s">
        <v>207</v>
      </c>
      <c r="H1985" t="s">
        <v>399</v>
      </c>
      <c r="K1985">
        <v>1968</v>
      </c>
      <c r="O1985">
        <v>5.21</v>
      </c>
      <c r="P1985" t="s">
        <v>15</v>
      </c>
      <c r="Q1985" t="s">
        <v>398</v>
      </c>
    </row>
    <row r="1986" spans="1:17">
      <c r="A1986" t="s">
        <v>651</v>
      </c>
      <c r="C1986" t="s">
        <v>393</v>
      </c>
      <c r="D1986" t="s">
        <v>554</v>
      </c>
      <c r="E1986" t="s">
        <v>161</v>
      </c>
      <c r="G1986" t="s">
        <v>208</v>
      </c>
      <c r="H1986" t="s">
        <v>399</v>
      </c>
      <c r="K1986">
        <v>1968</v>
      </c>
      <c r="O1986">
        <v>5.33</v>
      </c>
      <c r="P1986" t="s">
        <v>15</v>
      </c>
      <c r="Q1986" t="s">
        <v>398</v>
      </c>
    </row>
    <row r="1987" spans="1:17">
      <c r="A1987" t="s">
        <v>651</v>
      </c>
      <c r="C1987" t="s">
        <v>393</v>
      </c>
      <c r="D1987" t="s">
        <v>554</v>
      </c>
      <c r="E1987" t="s">
        <v>161</v>
      </c>
      <c r="G1987" t="s">
        <v>224</v>
      </c>
      <c r="H1987" t="s">
        <v>399</v>
      </c>
      <c r="K1987">
        <v>1968</v>
      </c>
      <c r="O1987">
        <v>5.5600000000000005</v>
      </c>
      <c r="P1987" t="s">
        <v>15</v>
      </c>
      <c r="Q1987" t="s">
        <v>398</v>
      </c>
    </row>
    <row r="1988" spans="1:17">
      <c r="A1988" t="s">
        <v>651</v>
      </c>
      <c r="C1988" t="s">
        <v>393</v>
      </c>
      <c r="D1988" t="s">
        <v>554</v>
      </c>
      <c r="E1988" t="s">
        <v>161</v>
      </c>
      <c r="G1988" t="s">
        <v>225</v>
      </c>
      <c r="H1988" t="s">
        <v>399</v>
      </c>
      <c r="K1988">
        <v>1968</v>
      </c>
      <c r="O1988">
        <v>5.84</v>
      </c>
      <c r="P1988" t="s">
        <v>15</v>
      </c>
      <c r="Q1988" t="s">
        <v>398</v>
      </c>
    </row>
    <row r="1989" spans="1:17">
      <c r="A1989" t="s">
        <v>651</v>
      </c>
      <c r="C1989" t="s">
        <v>393</v>
      </c>
      <c r="D1989" t="s">
        <v>554</v>
      </c>
      <c r="E1989" t="s">
        <v>161</v>
      </c>
      <c r="G1989" t="s">
        <v>228</v>
      </c>
      <c r="H1989" t="s">
        <v>399</v>
      </c>
      <c r="K1989">
        <v>1968</v>
      </c>
      <c r="O1989">
        <v>6.06</v>
      </c>
      <c r="P1989" t="s">
        <v>15</v>
      </c>
      <c r="Q1989" t="s">
        <v>398</v>
      </c>
    </row>
    <row r="1990" spans="1:17">
      <c r="A1990" t="s">
        <v>651</v>
      </c>
      <c r="C1990" t="s">
        <v>393</v>
      </c>
      <c r="D1990" t="s">
        <v>554</v>
      </c>
      <c r="E1990" t="s">
        <v>161</v>
      </c>
      <c r="G1990" t="s">
        <v>222</v>
      </c>
      <c r="H1990" t="s">
        <v>399</v>
      </c>
      <c r="K1990">
        <v>1968</v>
      </c>
      <c r="O1990">
        <v>6.07</v>
      </c>
      <c r="P1990" t="s">
        <v>15</v>
      </c>
      <c r="Q1990" t="s">
        <v>398</v>
      </c>
    </row>
    <row r="1991" spans="1:17">
      <c r="A1991" t="s">
        <v>651</v>
      </c>
      <c r="C1991" t="s">
        <v>393</v>
      </c>
      <c r="D1991" t="s">
        <v>554</v>
      </c>
      <c r="E1991" t="s">
        <v>161</v>
      </c>
      <c r="G1991" t="s">
        <v>214</v>
      </c>
      <c r="H1991" t="s">
        <v>399</v>
      </c>
      <c r="K1991">
        <v>1968</v>
      </c>
      <c r="O1991">
        <v>6.35</v>
      </c>
      <c r="P1991" t="s">
        <v>15</v>
      </c>
      <c r="Q1991" t="s">
        <v>398</v>
      </c>
    </row>
    <row r="1992" spans="1:17">
      <c r="A1992" t="s">
        <v>651</v>
      </c>
      <c r="C1992" t="s">
        <v>393</v>
      </c>
      <c r="D1992" t="s">
        <v>554</v>
      </c>
      <c r="E1992" t="s">
        <v>161</v>
      </c>
      <c r="G1992" t="s">
        <v>1121</v>
      </c>
      <c r="H1992" t="s">
        <v>399</v>
      </c>
      <c r="K1992">
        <v>1968</v>
      </c>
      <c r="O1992">
        <v>8.1000000000000014</v>
      </c>
      <c r="P1992" t="s">
        <v>15</v>
      </c>
      <c r="Q1992" t="s">
        <v>398</v>
      </c>
    </row>
    <row r="1993" spans="1:17">
      <c r="A1993" t="s">
        <v>651</v>
      </c>
      <c r="C1993" t="s">
        <v>393</v>
      </c>
      <c r="D1993" t="s">
        <v>554</v>
      </c>
      <c r="E1993" t="s">
        <v>161</v>
      </c>
      <c r="G1993" t="s">
        <v>901</v>
      </c>
      <c r="H1993" t="s">
        <v>399</v>
      </c>
      <c r="K1993">
        <v>1968</v>
      </c>
      <c r="O1993">
        <v>8.2099999999999991</v>
      </c>
      <c r="P1993" t="s">
        <v>15</v>
      </c>
      <c r="Q1993" t="s">
        <v>398</v>
      </c>
    </row>
    <row r="1994" spans="1:17">
      <c r="A1994" t="s">
        <v>651</v>
      </c>
      <c r="C1994" t="s">
        <v>393</v>
      </c>
      <c r="D1994" t="s">
        <v>554</v>
      </c>
      <c r="E1994" t="s">
        <v>161</v>
      </c>
      <c r="G1994" t="s">
        <v>1474</v>
      </c>
      <c r="H1994" t="s">
        <v>399</v>
      </c>
      <c r="K1994">
        <v>1968</v>
      </c>
      <c r="O1994">
        <v>8.8800000000000008</v>
      </c>
      <c r="P1994" t="s">
        <v>15</v>
      </c>
      <c r="Q1994" t="s">
        <v>398</v>
      </c>
    </row>
    <row r="1995" spans="1:17">
      <c r="A1995" t="s">
        <v>651</v>
      </c>
      <c r="C1995" t="s">
        <v>393</v>
      </c>
      <c r="D1995" t="s">
        <v>554</v>
      </c>
      <c r="E1995" t="s">
        <v>161</v>
      </c>
      <c r="G1995" t="s">
        <v>1475</v>
      </c>
      <c r="H1995" t="s">
        <v>399</v>
      </c>
      <c r="K1995">
        <v>1968</v>
      </c>
      <c r="O1995">
        <v>8.91</v>
      </c>
      <c r="P1995" t="s">
        <v>15</v>
      </c>
      <c r="Q1995" t="s">
        <v>398</v>
      </c>
    </row>
    <row r="1996" spans="1:17">
      <c r="A1996" t="s">
        <v>651</v>
      </c>
      <c r="C1996" t="s">
        <v>393</v>
      </c>
      <c r="D1996" t="s">
        <v>554</v>
      </c>
      <c r="E1996" t="s">
        <v>161</v>
      </c>
      <c r="G1996" t="s">
        <v>224</v>
      </c>
      <c r="H1996" t="s">
        <v>399</v>
      </c>
      <c r="K1996">
        <v>1968</v>
      </c>
      <c r="O1996">
        <v>8.9700000000000006</v>
      </c>
      <c r="P1996" t="s">
        <v>15</v>
      </c>
      <c r="Q1996" t="s">
        <v>398</v>
      </c>
    </row>
    <row r="1997" spans="1:17">
      <c r="A1997" t="s">
        <v>651</v>
      </c>
      <c r="C1997" t="s">
        <v>393</v>
      </c>
      <c r="D1997" t="s">
        <v>554</v>
      </c>
      <c r="E1997" t="s">
        <v>161</v>
      </c>
      <c r="G1997" t="s">
        <v>1476</v>
      </c>
      <c r="H1997" t="s">
        <v>399</v>
      </c>
      <c r="K1997">
        <v>1968</v>
      </c>
      <c r="O1997">
        <v>9.25</v>
      </c>
      <c r="P1997" t="s">
        <v>15</v>
      </c>
      <c r="Q1997" t="s">
        <v>398</v>
      </c>
    </row>
    <row r="1998" spans="1:17">
      <c r="A1998" t="s">
        <v>651</v>
      </c>
      <c r="C1998" t="s">
        <v>393</v>
      </c>
      <c r="D1998" t="s">
        <v>554</v>
      </c>
      <c r="E1998" t="s">
        <v>161</v>
      </c>
      <c r="G1998" t="s">
        <v>1477</v>
      </c>
      <c r="H1998" t="s">
        <v>399</v>
      </c>
      <c r="K1998">
        <v>1968</v>
      </c>
      <c r="O1998">
        <v>9.8000000000000007</v>
      </c>
      <c r="P1998" t="s">
        <v>15</v>
      </c>
      <c r="Q1998" t="s">
        <v>398</v>
      </c>
    </row>
    <row r="1999" spans="1:17">
      <c r="A1999" t="s">
        <v>651</v>
      </c>
      <c r="C1999" t="s">
        <v>393</v>
      </c>
      <c r="D1999" t="s">
        <v>554</v>
      </c>
      <c r="E1999" t="s">
        <v>161</v>
      </c>
      <c r="G1999" t="s">
        <v>223</v>
      </c>
      <c r="H1999" t="s">
        <v>399</v>
      </c>
      <c r="K1999">
        <v>1968</v>
      </c>
      <c r="O1999">
        <v>10.24</v>
      </c>
      <c r="P1999" t="s">
        <v>15</v>
      </c>
      <c r="Q1999" t="s">
        <v>398</v>
      </c>
    </row>
    <row r="2000" spans="1:17">
      <c r="A2000" t="s">
        <v>651</v>
      </c>
      <c r="C2000" t="s">
        <v>393</v>
      </c>
      <c r="D2000" t="s">
        <v>554</v>
      </c>
      <c r="E2000" t="s">
        <v>161</v>
      </c>
      <c r="G2000" t="s">
        <v>208</v>
      </c>
      <c r="H2000" t="s">
        <v>399</v>
      </c>
      <c r="K2000">
        <v>1968</v>
      </c>
      <c r="O2000">
        <v>10.649999999999999</v>
      </c>
      <c r="P2000" t="s">
        <v>15</v>
      </c>
      <c r="Q2000" t="s">
        <v>398</v>
      </c>
    </row>
    <row r="2001" spans="1:17">
      <c r="A2001" t="s">
        <v>651</v>
      </c>
      <c r="C2001" t="s">
        <v>393</v>
      </c>
      <c r="D2001" t="s">
        <v>554</v>
      </c>
      <c r="E2001" t="s">
        <v>161</v>
      </c>
      <c r="G2001" t="s">
        <v>656</v>
      </c>
      <c r="H2001" t="s">
        <v>399</v>
      </c>
      <c r="K2001">
        <v>1968</v>
      </c>
      <c r="O2001">
        <v>11.55</v>
      </c>
      <c r="P2001" t="s">
        <v>15</v>
      </c>
      <c r="Q2001" t="s">
        <v>398</v>
      </c>
    </row>
    <row r="2002" spans="1:17">
      <c r="A2002" t="s">
        <v>651</v>
      </c>
      <c r="C2002" t="s">
        <v>393</v>
      </c>
      <c r="D2002" t="s">
        <v>554</v>
      </c>
      <c r="E2002" t="s">
        <v>161</v>
      </c>
      <c r="G2002" t="s">
        <v>1478</v>
      </c>
      <c r="H2002" t="s">
        <v>399</v>
      </c>
      <c r="K2002">
        <v>1968</v>
      </c>
      <c r="O2002">
        <v>11.86</v>
      </c>
      <c r="P2002" t="s">
        <v>15</v>
      </c>
      <c r="Q2002" t="s">
        <v>398</v>
      </c>
    </row>
    <row r="2003" spans="1:17">
      <c r="A2003" t="s">
        <v>651</v>
      </c>
      <c r="C2003" t="s">
        <v>393</v>
      </c>
      <c r="D2003" t="s">
        <v>554</v>
      </c>
      <c r="E2003" t="s">
        <v>161</v>
      </c>
      <c r="G2003" t="s">
        <v>1119</v>
      </c>
      <c r="H2003" t="s">
        <v>399</v>
      </c>
      <c r="K2003">
        <v>1968</v>
      </c>
      <c r="O2003">
        <v>12.620000000000001</v>
      </c>
      <c r="P2003" t="s">
        <v>15</v>
      </c>
      <c r="Q2003" t="s">
        <v>398</v>
      </c>
    </row>
    <row r="2004" spans="1:17">
      <c r="A2004" t="s">
        <v>651</v>
      </c>
      <c r="C2004" t="s">
        <v>393</v>
      </c>
      <c r="D2004" t="s">
        <v>554</v>
      </c>
      <c r="E2004" t="s">
        <v>161</v>
      </c>
      <c r="G2004" t="s">
        <v>218</v>
      </c>
      <c r="H2004" t="s">
        <v>399</v>
      </c>
      <c r="K2004">
        <v>1968</v>
      </c>
      <c r="O2004">
        <v>13.34</v>
      </c>
      <c r="P2004" t="s">
        <v>15</v>
      </c>
      <c r="Q2004" t="s">
        <v>398</v>
      </c>
    </row>
    <row r="2005" spans="1:17">
      <c r="A2005" t="s">
        <v>651</v>
      </c>
      <c r="C2005" t="s">
        <v>393</v>
      </c>
      <c r="D2005" t="s">
        <v>554</v>
      </c>
      <c r="E2005" t="s">
        <v>161</v>
      </c>
      <c r="G2005" t="s">
        <v>1479</v>
      </c>
      <c r="H2005" t="s">
        <v>399</v>
      </c>
      <c r="K2005">
        <v>1968</v>
      </c>
      <c r="O2005">
        <v>13.49</v>
      </c>
      <c r="P2005" t="s">
        <v>15</v>
      </c>
      <c r="Q2005" t="s">
        <v>398</v>
      </c>
    </row>
    <row r="2006" spans="1:17">
      <c r="A2006" t="s">
        <v>651</v>
      </c>
      <c r="C2006" t="s">
        <v>393</v>
      </c>
      <c r="D2006" t="s">
        <v>554</v>
      </c>
      <c r="E2006" t="s">
        <v>161</v>
      </c>
      <c r="G2006" t="s">
        <v>229</v>
      </c>
      <c r="H2006" t="s">
        <v>399</v>
      </c>
      <c r="K2006">
        <v>1968</v>
      </c>
      <c r="O2006">
        <v>15.29</v>
      </c>
      <c r="P2006" t="s">
        <v>15</v>
      </c>
      <c r="Q2006" t="s">
        <v>398</v>
      </c>
    </row>
    <row r="2007" spans="1:17">
      <c r="A2007" t="s">
        <v>651</v>
      </c>
      <c r="C2007" t="s">
        <v>393</v>
      </c>
      <c r="D2007" t="s">
        <v>554</v>
      </c>
      <c r="E2007" t="s">
        <v>161</v>
      </c>
      <c r="G2007" t="s">
        <v>208</v>
      </c>
      <c r="H2007" t="s">
        <v>399</v>
      </c>
      <c r="K2007">
        <v>1968</v>
      </c>
      <c r="O2007">
        <v>15.8</v>
      </c>
      <c r="P2007" t="s">
        <v>15</v>
      </c>
      <c r="Q2007" t="s">
        <v>398</v>
      </c>
    </row>
    <row r="2008" spans="1:17">
      <c r="A2008" t="s">
        <v>651</v>
      </c>
      <c r="C2008" t="s">
        <v>393</v>
      </c>
      <c r="D2008" t="s">
        <v>554</v>
      </c>
      <c r="E2008" t="s">
        <v>161</v>
      </c>
      <c r="G2008" t="s">
        <v>1480</v>
      </c>
      <c r="H2008" t="s">
        <v>399</v>
      </c>
      <c r="K2008">
        <v>1968</v>
      </c>
      <c r="O2008">
        <v>17.579999999999998</v>
      </c>
      <c r="P2008" t="s">
        <v>15</v>
      </c>
      <c r="Q2008" t="s">
        <v>398</v>
      </c>
    </row>
    <row r="2009" spans="1:17">
      <c r="A2009" t="s">
        <v>651</v>
      </c>
      <c r="C2009" t="s">
        <v>393</v>
      </c>
      <c r="D2009" t="s">
        <v>554</v>
      </c>
      <c r="E2009" t="s">
        <v>161</v>
      </c>
      <c r="G2009" t="s">
        <v>1481</v>
      </c>
      <c r="H2009" t="s">
        <v>399</v>
      </c>
      <c r="K2009">
        <v>1968</v>
      </c>
      <c r="O2009">
        <v>18.11</v>
      </c>
      <c r="P2009" t="s">
        <v>15</v>
      </c>
      <c r="Q2009" t="s">
        <v>398</v>
      </c>
    </row>
    <row r="2010" spans="1:17">
      <c r="A2010" t="s">
        <v>651</v>
      </c>
      <c r="C2010" t="s">
        <v>393</v>
      </c>
      <c r="D2010" t="s">
        <v>554</v>
      </c>
      <c r="E2010" t="s">
        <v>161</v>
      </c>
      <c r="G2010" t="s">
        <v>662</v>
      </c>
      <c r="H2010" t="s">
        <v>399</v>
      </c>
      <c r="K2010">
        <v>1968</v>
      </c>
      <c r="O2010">
        <v>18.16</v>
      </c>
      <c r="P2010" t="s">
        <v>15</v>
      </c>
      <c r="Q2010" t="s">
        <v>398</v>
      </c>
    </row>
    <row r="2011" spans="1:17">
      <c r="A2011" t="s">
        <v>651</v>
      </c>
      <c r="C2011" t="s">
        <v>393</v>
      </c>
      <c r="D2011" t="s">
        <v>554</v>
      </c>
      <c r="E2011" t="s">
        <v>161</v>
      </c>
      <c r="G2011" t="s">
        <v>655</v>
      </c>
      <c r="H2011" t="s">
        <v>399</v>
      </c>
      <c r="K2011">
        <v>1968</v>
      </c>
      <c r="O2011">
        <v>18.87</v>
      </c>
      <c r="P2011" t="s">
        <v>15</v>
      </c>
      <c r="Q2011" t="s">
        <v>398</v>
      </c>
    </row>
    <row r="2012" spans="1:17">
      <c r="A2012" t="s">
        <v>651</v>
      </c>
      <c r="C2012" t="s">
        <v>393</v>
      </c>
      <c r="D2012" t="s">
        <v>554</v>
      </c>
      <c r="E2012" t="s">
        <v>161</v>
      </c>
      <c r="G2012" t="s">
        <v>1482</v>
      </c>
      <c r="H2012" t="s">
        <v>399</v>
      </c>
      <c r="K2012">
        <v>1968</v>
      </c>
      <c r="O2012">
        <v>19.66</v>
      </c>
      <c r="P2012" t="s">
        <v>15</v>
      </c>
      <c r="Q2012" t="s">
        <v>398</v>
      </c>
    </row>
    <row r="2013" spans="1:17">
      <c r="A2013" t="s">
        <v>651</v>
      </c>
      <c r="C2013" t="s">
        <v>393</v>
      </c>
      <c r="D2013" t="s">
        <v>554</v>
      </c>
      <c r="E2013" t="s">
        <v>161</v>
      </c>
      <c r="G2013" t="s">
        <v>654</v>
      </c>
      <c r="H2013" t="s">
        <v>399</v>
      </c>
      <c r="K2013">
        <v>1968</v>
      </c>
      <c r="O2013">
        <v>20.059999999999999</v>
      </c>
      <c r="P2013" t="s">
        <v>15</v>
      </c>
      <c r="Q2013" t="s">
        <v>398</v>
      </c>
    </row>
    <row r="2014" spans="1:17">
      <c r="A2014" t="s">
        <v>651</v>
      </c>
      <c r="C2014" t="s">
        <v>393</v>
      </c>
      <c r="D2014" t="s">
        <v>554</v>
      </c>
      <c r="E2014" t="s">
        <v>161</v>
      </c>
      <c r="G2014" t="s">
        <v>1121</v>
      </c>
      <c r="H2014" t="s">
        <v>399</v>
      </c>
      <c r="K2014">
        <v>1968</v>
      </c>
      <c r="O2014">
        <v>22.88</v>
      </c>
      <c r="P2014" t="s">
        <v>15</v>
      </c>
      <c r="Q2014" t="s">
        <v>398</v>
      </c>
    </row>
    <row r="2015" spans="1:17">
      <c r="A2015" t="s">
        <v>651</v>
      </c>
      <c r="C2015" t="s">
        <v>393</v>
      </c>
      <c r="D2015" t="s">
        <v>554</v>
      </c>
      <c r="E2015" t="s">
        <v>161</v>
      </c>
      <c r="G2015" t="s">
        <v>661</v>
      </c>
      <c r="H2015" t="s">
        <v>399</v>
      </c>
      <c r="K2015">
        <v>1968</v>
      </c>
      <c r="O2015">
        <v>23.27</v>
      </c>
      <c r="P2015" t="s">
        <v>15</v>
      </c>
      <c r="Q2015" t="s">
        <v>398</v>
      </c>
    </row>
    <row r="2016" spans="1:17">
      <c r="A2016" t="s">
        <v>651</v>
      </c>
      <c r="C2016" t="s">
        <v>393</v>
      </c>
      <c r="D2016" t="s">
        <v>554</v>
      </c>
      <c r="E2016" t="s">
        <v>161</v>
      </c>
      <c r="G2016" t="s">
        <v>213</v>
      </c>
      <c r="H2016" t="s">
        <v>399</v>
      </c>
      <c r="K2016">
        <v>1968</v>
      </c>
      <c r="O2016">
        <v>23.66</v>
      </c>
      <c r="P2016" t="s">
        <v>15</v>
      </c>
      <c r="Q2016" t="s">
        <v>398</v>
      </c>
    </row>
    <row r="2017" spans="1:18">
      <c r="A2017" t="s">
        <v>651</v>
      </c>
      <c r="C2017" t="s">
        <v>393</v>
      </c>
      <c r="D2017" t="s">
        <v>554</v>
      </c>
      <c r="E2017" t="s">
        <v>161</v>
      </c>
      <c r="G2017" t="s">
        <v>690</v>
      </c>
      <c r="H2017" t="s">
        <v>399</v>
      </c>
      <c r="K2017">
        <v>1968</v>
      </c>
      <c r="O2017">
        <v>26.34</v>
      </c>
      <c r="P2017" t="s">
        <v>15</v>
      </c>
      <c r="Q2017" t="s">
        <v>398</v>
      </c>
    </row>
    <row r="2018" spans="1:18">
      <c r="A2018" t="s">
        <v>651</v>
      </c>
      <c r="C2018" t="s">
        <v>393</v>
      </c>
      <c r="D2018" t="s">
        <v>554</v>
      </c>
      <c r="E2018" t="s">
        <v>161</v>
      </c>
      <c r="G2018" t="s">
        <v>1120</v>
      </c>
      <c r="H2018" t="s">
        <v>399</v>
      </c>
      <c r="K2018">
        <v>1968</v>
      </c>
      <c r="O2018">
        <v>28.769999999999996</v>
      </c>
      <c r="P2018" t="s">
        <v>15</v>
      </c>
      <c r="Q2018" t="s">
        <v>398</v>
      </c>
    </row>
    <row r="2019" spans="1:18">
      <c r="A2019" t="s">
        <v>651</v>
      </c>
      <c r="C2019" t="s">
        <v>393</v>
      </c>
      <c r="D2019" t="s">
        <v>554</v>
      </c>
      <c r="E2019" t="s">
        <v>161</v>
      </c>
      <c r="G2019" t="s">
        <v>1119</v>
      </c>
      <c r="H2019" t="s">
        <v>399</v>
      </c>
      <c r="K2019">
        <v>1968</v>
      </c>
      <c r="O2019">
        <v>28.98</v>
      </c>
      <c r="P2019" t="s">
        <v>15</v>
      </c>
      <c r="Q2019" t="s">
        <v>398</v>
      </c>
    </row>
    <row r="2020" spans="1:18">
      <c r="A2020" t="s">
        <v>651</v>
      </c>
      <c r="C2020" t="s">
        <v>393</v>
      </c>
      <c r="D2020" t="s">
        <v>554</v>
      </c>
      <c r="E2020" t="s">
        <v>161</v>
      </c>
      <c r="G2020" t="s">
        <v>1479</v>
      </c>
      <c r="H2020" t="s">
        <v>399</v>
      </c>
      <c r="K2020">
        <v>1968</v>
      </c>
      <c r="O2020">
        <v>31.78</v>
      </c>
      <c r="P2020" t="s">
        <v>15</v>
      </c>
      <c r="Q2020" t="s">
        <v>398</v>
      </c>
    </row>
    <row r="2021" spans="1:18">
      <c r="A2021" t="s">
        <v>651</v>
      </c>
      <c r="C2021" t="s">
        <v>393</v>
      </c>
      <c r="D2021" t="s">
        <v>554</v>
      </c>
      <c r="E2021" t="s">
        <v>161</v>
      </c>
      <c r="G2021" t="s">
        <v>1483</v>
      </c>
      <c r="H2021" t="s">
        <v>399</v>
      </c>
      <c r="K2021">
        <v>1968</v>
      </c>
      <c r="O2021">
        <v>32.78</v>
      </c>
      <c r="P2021" t="s">
        <v>15</v>
      </c>
      <c r="Q2021" t="s">
        <v>398</v>
      </c>
    </row>
    <row r="2022" spans="1:18">
      <c r="A2022" t="s">
        <v>651</v>
      </c>
      <c r="C2022" t="s">
        <v>393</v>
      </c>
      <c r="D2022" t="s">
        <v>554</v>
      </c>
      <c r="E2022" t="s">
        <v>161</v>
      </c>
      <c r="G2022" t="s">
        <v>1484</v>
      </c>
      <c r="H2022" t="s">
        <v>399</v>
      </c>
      <c r="K2022">
        <v>1968</v>
      </c>
      <c r="O2022">
        <v>34.04</v>
      </c>
      <c r="P2022" t="s">
        <v>15</v>
      </c>
      <c r="Q2022" t="s">
        <v>398</v>
      </c>
    </row>
    <row r="2023" spans="1:18">
      <c r="A2023" t="s">
        <v>651</v>
      </c>
      <c r="C2023" t="s">
        <v>393</v>
      </c>
      <c r="D2023" t="s">
        <v>554</v>
      </c>
      <c r="E2023" t="s">
        <v>161</v>
      </c>
      <c r="G2023" t="s">
        <v>1485</v>
      </c>
      <c r="H2023" t="s">
        <v>399</v>
      </c>
      <c r="K2023">
        <v>1968</v>
      </c>
      <c r="O2023">
        <v>36.79</v>
      </c>
      <c r="P2023" t="s">
        <v>15</v>
      </c>
      <c r="Q2023" t="s">
        <v>398</v>
      </c>
    </row>
    <row r="2024" spans="1:18">
      <c r="A2024" t="s">
        <v>651</v>
      </c>
      <c r="C2024" t="s">
        <v>393</v>
      </c>
      <c r="D2024" t="s">
        <v>554</v>
      </c>
      <c r="E2024" t="s">
        <v>161</v>
      </c>
      <c r="G2024" t="s">
        <v>690</v>
      </c>
      <c r="H2024" t="s">
        <v>399</v>
      </c>
      <c r="K2024">
        <v>1968</v>
      </c>
      <c r="O2024">
        <v>36.89</v>
      </c>
      <c r="P2024" t="s">
        <v>15</v>
      </c>
      <c r="Q2024" t="s">
        <v>398</v>
      </c>
    </row>
    <row r="2025" spans="1:18">
      <c r="A2025" t="s">
        <v>651</v>
      </c>
      <c r="C2025" t="s">
        <v>393</v>
      </c>
      <c r="D2025" t="s">
        <v>554</v>
      </c>
      <c r="E2025" t="s">
        <v>161</v>
      </c>
      <c r="G2025" t="s">
        <v>1486</v>
      </c>
      <c r="H2025" t="s">
        <v>399</v>
      </c>
      <c r="K2025">
        <v>1968</v>
      </c>
      <c r="O2025">
        <v>38.29</v>
      </c>
      <c r="P2025" t="s">
        <v>15</v>
      </c>
      <c r="Q2025" t="s">
        <v>398</v>
      </c>
    </row>
    <row r="2026" spans="1:18">
      <c r="A2026" t="s">
        <v>651</v>
      </c>
      <c r="C2026" t="s">
        <v>393</v>
      </c>
      <c r="D2026" t="s">
        <v>554</v>
      </c>
      <c r="E2026" t="s">
        <v>161</v>
      </c>
      <c r="G2026" t="s">
        <v>222</v>
      </c>
      <c r="H2026" t="s">
        <v>399</v>
      </c>
      <c r="K2026">
        <v>1968</v>
      </c>
      <c r="O2026">
        <v>39.03</v>
      </c>
      <c r="P2026" t="s">
        <v>15</v>
      </c>
      <c r="Q2026" t="s">
        <v>398</v>
      </c>
    </row>
    <row r="2027" spans="1:18">
      <c r="A2027" t="s">
        <v>651</v>
      </c>
      <c r="C2027" t="s">
        <v>393</v>
      </c>
      <c r="D2027" t="s">
        <v>554</v>
      </c>
      <c r="E2027" t="s">
        <v>161</v>
      </c>
      <c r="G2027" t="s">
        <v>222</v>
      </c>
      <c r="H2027" t="s">
        <v>399</v>
      </c>
      <c r="K2027">
        <v>1968</v>
      </c>
      <c r="O2027">
        <v>45.05</v>
      </c>
      <c r="P2027" t="s">
        <v>15</v>
      </c>
      <c r="Q2027" t="s">
        <v>398</v>
      </c>
    </row>
    <row r="2028" spans="1:18">
      <c r="A2028" t="s">
        <v>651</v>
      </c>
      <c r="C2028" t="s">
        <v>393</v>
      </c>
      <c r="D2028" t="s">
        <v>554</v>
      </c>
      <c r="E2028" t="s">
        <v>161</v>
      </c>
      <c r="G2028" t="s">
        <v>1487</v>
      </c>
      <c r="H2028" t="s">
        <v>399</v>
      </c>
      <c r="K2028">
        <v>1968</v>
      </c>
      <c r="O2028">
        <v>45.570000000000007</v>
      </c>
      <c r="P2028" t="s">
        <v>15</v>
      </c>
      <c r="Q2028" t="s">
        <v>398</v>
      </c>
    </row>
    <row r="2029" spans="1:18">
      <c r="A2029" t="s">
        <v>1488</v>
      </c>
      <c r="B2029" t="s">
        <v>593</v>
      </c>
      <c r="C2029" t="s">
        <v>393</v>
      </c>
      <c r="D2029" t="s">
        <v>554</v>
      </c>
      <c r="E2029" t="s">
        <v>47</v>
      </c>
      <c r="G2029" t="s">
        <v>1489</v>
      </c>
      <c r="H2029" t="s">
        <v>457</v>
      </c>
      <c r="K2029">
        <v>1918</v>
      </c>
      <c r="O2029">
        <v>62</v>
      </c>
      <c r="Q2029" t="s">
        <v>398</v>
      </c>
      <c r="R2029" t="s">
        <v>1490</v>
      </c>
    </row>
    <row r="2030" spans="1:18">
      <c r="A2030" t="s">
        <v>553</v>
      </c>
      <c r="B2030" t="s">
        <v>593</v>
      </c>
      <c r="C2030" t="s">
        <v>393</v>
      </c>
      <c r="D2030" t="s">
        <v>1491</v>
      </c>
      <c r="E2030" t="s">
        <v>138</v>
      </c>
      <c r="F2030" t="s">
        <v>1492</v>
      </c>
      <c r="G2030" t="s">
        <v>1493</v>
      </c>
      <c r="H2030" t="s">
        <v>527</v>
      </c>
      <c r="K2030">
        <v>1980</v>
      </c>
      <c r="L2030">
        <v>2010</v>
      </c>
      <c r="M2030">
        <f>L2030-K2030+1</f>
        <v>31</v>
      </c>
      <c r="O2030">
        <v>4.9664396999999996</v>
      </c>
      <c r="P2030" t="s">
        <v>1237</v>
      </c>
      <c r="Q2030" t="s">
        <v>1196</v>
      </c>
    </row>
    <row r="2031" spans="1:18">
      <c r="A2031" t="s">
        <v>553</v>
      </c>
      <c r="B2031" t="s">
        <v>593</v>
      </c>
      <c r="C2031" t="s">
        <v>393</v>
      </c>
      <c r="D2031" t="s">
        <v>1491</v>
      </c>
      <c r="E2031" t="s">
        <v>138</v>
      </c>
      <c r="F2031" t="s">
        <v>1492</v>
      </c>
      <c r="G2031" t="s">
        <v>1494</v>
      </c>
      <c r="H2031" t="s">
        <v>527</v>
      </c>
      <c r="K2031">
        <v>1980</v>
      </c>
      <c r="L2031">
        <v>2010</v>
      </c>
      <c r="M2031">
        <f>L2031-K2031+1</f>
        <v>31</v>
      </c>
      <c r="O2031">
        <v>21.919480799999999</v>
      </c>
      <c r="P2031" t="s">
        <v>1237</v>
      </c>
      <c r="Q2031" t="s">
        <v>1196</v>
      </c>
    </row>
    <row r="2032" spans="1:18">
      <c r="A2032" t="s">
        <v>553</v>
      </c>
      <c r="B2032" t="s">
        <v>593</v>
      </c>
      <c r="C2032" t="s">
        <v>393</v>
      </c>
      <c r="D2032" t="s">
        <v>1491</v>
      </c>
      <c r="E2032" t="s">
        <v>138</v>
      </c>
      <c r="F2032" t="s">
        <v>1492</v>
      </c>
      <c r="G2032" t="s">
        <v>1495</v>
      </c>
      <c r="H2032" t="s">
        <v>527</v>
      </c>
      <c r="K2032">
        <v>1980</v>
      </c>
      <c r="L2032">
        <v>2010</v>
      </c>
      <c r="M2032">
        <f>L2032-K2032+1</f>
        <v>31</v>
      </c>
      <c r="O2032">
        <v>-2.2165590000000002</v>
      </c>
      <c r="P2032" t="s">
        <v>1239</v>
      </c>
      <c r="Q2032" t="s">
        <v>1196</v>
      </c>
    </row>
    <row r="2033" spans="1:18">
      <c r="A2033" t="s">
        <v>553</v>
      </c>
      <c r="B2033" t="s">
        <v>593</v>
      </c>
      <c r="C2033" t="s">
        <v>393</v>
      </c>
      <c r="D2033" t="s">
        <v>1496</v>
      </c>
      <c r="E2033" t="s">
        <v>138</v>
      </c>
      <c r="F2033" t="s">
        <v>1492</v>
      </c>
      <c r="G2033" t="s">
        <v>1494</v>
      </c>
      <c r="H2033" t="s">
        <v>527</v>
      </c>
      <c r="K2033">
        <v>1984</v>
      </c>
      <c r="L2033">
        <v>2011</v>
      </c>
      <c r="M2033">
        <f>L2033-K2033+1</f>
        <v>28</v>
      </c>
      <c r="O2033">
        <v>-39.401114999999997</v>
      </c>
      <c r="P2033" t="s">
        <v>1239</v>
      </c>
      <c r="Q2033" t="s">
        <v>1196</v>
      </c>
    </row>
    <row r="2034" spans="1:18">
      <c r="A2034" t="s">
        <v>534</v>
      </c>
      <c r="B2034" t="s">
        <v>593</v>
      </c>
      <c r="C2034" t="s">
        <v>393</v>
      </c>
      <c r="D2034" t="s">
        <v>535</v>
      </c>
      <c r="E2034" t="s">
        <v>394</v>
      </c>
      <c r="F2034" t="s">
        <v>394</v>
      </c>
      <c r="G2034" t="s">
        <v>453</v>
      </c>
      <c r="H2034" t="s">
        <v>536</v>
      </c>
      <c r="K2034">
        <v>1983</v>
      </c>
      <c r="M2034">
        <v>33</v>
      </c>
      <c r="O2034">
        <v>8.51</v>
      </c>
      <c r="P2034" t="s">
        <v>88</v>
      </c>
      <c r="Q2034" t="s">
        <v>528</v>
      </c>
      <c r="R2034" t="s">
        <v>1390</v>
      </c>
    </row>
    <row r="2035" spans="1:18">
      <c r="A2035" t="s">
        <v>534</v>
      </c>
      <c r="B2035" t="s">
        <v>593</v>
      </c>
      <c r="C2035" t="s">
        <v>393</v>
      </c>
      <c r="D2035" t="s">
        <v>535</v>
      </c>
      <c r="E2035" t="s">
        <v>394</v>
      </c>
      <c r="F2035" t="s">
        <v>394</v>
      </c>
      <c r="G2035" t="s">
        <v>453</v>
      </c>
      <c r="H2035" t="s">
        <v>536</v>
      </c>
      <c r="K2035">
        <v>1983</v>
      </c>
      <c r="M2035">
        <v>33</v>
      </c>
      <c r="O2035">
        <v>31.515151515151501</v>
      </c>
      <c r="P2035" t="s">
        <v>88</v>
      </c>
      <c r="Q2035" t="s">
        <v>528</v>
      </c>
      <c r="R2035" t="s">
        <v>1390</v>
      </c>
    </row>
    <row r="2036" spans="1:18">
      <c r="A2036" t="s">
        <v>1497</v>
      </c>
      <c r="B2036" t="s">
        <v>593</v>
      </c>
      <c r="C2036" t="s">
        <v>393</v>
      </c>
      <c r="D2036" t="s">
        <v>709</v>
      </c>
      <c r="E2036" t="s">
        <v>161</v>
      </c>
      <c r="G2036" t="s">
        <v>1498</v>
      </c>
      <c r="H2036" t="s">
        <v>700</v>
      </c>
      <c r="K2036">
        <v>1982</v>
      </c>
      <c r="L2036">
        <v>2006</v>
      </c>
      <c r="M2036">
        <v>24</v>
      </c>
      <c r="O2036" t="s">
        <v>1169</v>
      </c>
      <c r="P2036" t="s">
        <v>1169</v>
      </c>
      <c r="Q2036" t="s">
        <v>701</v>
      </c>
    </row>
    <row r="2037" spans="1:18">
      <c r="A2037" t="s">
        <v>1497</v>
      </c>
      <c r="B2037" t="s">
        <v>593</v>
      </c>
      <c r="C2037" t="s">
        <v>393</v>
      </c>
      <c r="D2037" t="s">
        <v>709</v>
      </c>
      <c r="E2037" t="s">
        <v>161</v>
      </c>
      <c r="G2037" t="s">
        <v>1499</v>
      </c>
      <c r="H2037" t="s">
        <v>700</v>
      </c>
      <c r="K2037">
        <v>1982</v>
      </c>
      <c r="L2037">
        <v>2006</v>
      </c>
      <c r="M2037">
        <v>24</v>
      </c>
      <c r="O2037" t="s">
        <v>1169</v>
      </c>
      <c r="P2037" t="s">
        <v>1169</v>
      </c>
      <c r="Q2037" t="s">
        <v>701</v>
      </c>
    </row>
    <row r="2038" spans="1:18">
      <c r="A2038" t="s">
        <v>1497</v>
      </c>
      <c r="B2038" t="s">
        <v>593</v>
      </c>
      <c r="C2038" t="s">
        <v>393</v>
      </c>
      <c r="D2038" t="s">
        <v>709</v>
      </c>
      <c r="E2038" t="s">
        <v>161</v>
      </c>
      <c r="G2038" t="s">
        <v>1500</v>
      </c>
      <c r="H2038" t="s">
        <v>700</v>
      </c>
      <c r="K2038">
        <v>1982</v>
      </c>
      <c r="L2038">
        <v>2006</v>
      </c>
      <c r="M2038">
        <v>24</v>
      </c>
      <c r="O2038" t="s">
        <v>1169</v>
      </c>
      <c r="P2038" t="s">
        <v>1169</v>
      </c>
      <c r="Q2038" t="s">
        <v>701</v>
      </c>
    </row>
    <row r="2039" spans="1:18">
      <c r="A2039" t="s">
        <v>651</v>
      </c>
      <c r="C2039" t="s">
        <v>393</v>
      </c>
      <c r="D2039" t="s">
        <v>554</v>
      </c>
      <c r="E2039" t="s">
        <v>161</v>
      </c>
      <c r="G2039" t="s">
        <v>1480</v>
      </c>
      <c r="H2039" t="s">
        <v>399</v>
      </c>
      <c r="K2039">
        <v>1968</v>
      </c>
      <c r="O2039">
        <v>47.74</v>
      </c>
      <c r="P2039" t="s">
        <v>15</v>
      </c>
      <c r="Q2039" t="s">
        <v>398</v>
      </c>
    </row>
    <row r="2040" spans="1:18">
      <c r="A2040" t="s">
        <v>651</v>
      </c>
      <c r="C2040" t="s">
        <v>393</v>
      </c>
      <c r="D2040" t="s">
        <v>554</v>
      </c>
      <c r="E2040" t="s">
        <v>161</v>
      </c>
      <c r="G2040" t="s">
        <v>1120</v>
      </c>
      <c r="H2040" t="s">
        <v>399</v>
      </c>
      <c r="K2040">
        <v>1968</v>
      </c>
      <c r="O2040">
        <v>47.74</v>
      </c>
      <c r="P2040" t="s">
        <v>15</v>
      </c>
      <c r="Q2040" t="s">
        <v>398</v>
      </c>
    </row>
    <row r="2041" spans="1:18">
      <c r="A2041" t="s">
        <v>1497</v>
      </c>
      <c r="B2041" t="s">
        <v>593</v>
      </c>
      <c r="C2041" t="s">
        <v>393</v>
      </c>
      <c r="D2041" t="s">
        <v>709</v>
      </c>
      <c r="E2041" t="s">
        <v>161</v>
      </c>
      <c r="G2041" t="s">
        <v>1501</v>
      </c>
      <c r="H2041" t="s">
        <v>700</v>
      </c>
      <c r="K2041">
        <v>1982</v>
      </c>
      <c r="L2041">
        <v>2006</v>
      </c>
      <c r="M2041">
        <v>24</v>
      </c>
      <c r="O2041" t="s">
        <v>1169</v>
      </c>
      <c r="P2041" t="s">
        <v>1169</v>
      </c>
      <c r="Q2041" t="s">
        <v>701</v>
      </c>
    </row>
    <row r="2042" spans="1:18">
      <c r="A2042" t="s">
        <v>1497</v>
      </c>
      <c r="B2042" t="s">
        <v>593</v>
      </c>
      <c r="C2042" t="s">
        <v>393</v>
      </c>
      <c r="D2042" t="s">
        <v>709</v>
      </c>
      <c r="E2042" t="s">
        <v>161</v>
      </c>
      <c r="G2042" t="s">
        <v>1502</v>
      </c>
      <c r="H2042" t="s">
        <v>700</v>
      </c>
      <c r="K2042">
        <v>1982</v>
      </c>
      <c r="L2042">
        <v>2006</v>
      </c>
      <c r="M2042">
        <v>24</v>
      </c>
      <c r="O2042" t="s">
        <v>1169</v>
      </c>
      <c r="P2042" t="s">
        <v>1169</v>
      </c>
      <c r="Q2042" t="s">
        <v>701</v>
      </c>
    </row>
    <row r="2043" spans="1:18">
      <c r="A2043" t="s">
        <v>1497</v>
      </c>
      <c r="B2043" t="s">
        <v>593</v>
      </c>
      <c r="C2043" t="s">
        <v>393</v>
      </c>
      <c r="D2043" t="s">
        <v>709</v>
      </c>
      <c r="E2043" t="s">
        <v>161</v>
      </c>
      <c r="G2043" t="s">
        <v>818</v>
      </c>
      <c r="H2043" t="s">
        <v>700</v>
      </c>
      <c r="K2043">
        <v>1982</v>
      </c>
      <c r="L2043">
        <v>2006</v>
      </c>
      <c r="M2043">
        <v>24</v>
      </c>
      <c r="O2043" t="s">
        <v>1169</v>
      </c>
      <c r="P2043">
        <v>1</v>
      </c>
      <c r="Q2043" t="s">
        <v>701</v>
      </c>
    </row>
    <row r="2044" spans="1:18">
      <c r="A2044" t="s">
        <v>1497</v>
      </c>
      <c r="B2044" t="s">
        <v>593</v>
      </c>
      <c r="C2044" t="s">
        <v>393</v>
      </c>
      <c r="D2044" t="s">
        <v>709</v>
      </c>
      <c r="E2044" t="s">
        <v>161</v>
      </c>
      <c r="G2044" t="s">
        <v>1503</v>
      </c>
      <c r="H2044" t="s">
        <v>700</v>
      </c>
      <c r="K2044">
        <v>1982</v>
      </c>
      <c r="L2044">
        <v>2006</v>
      </c>
      <c r="M2044">
        <v>24</v>
      </c>
      <c r="O2044" t="s">
        <v>1169</v>
      </c>
      <c r="P2044" t="s">
        <v>1169</v>
      </c>
      <c r="Q2044" t="s">
        <v>701</v>
      </c>
    </row>
    <row r="2045" spans="1:18">
      <c r="A2045" t="s">
        <v>1497</v>
      </c>
      <c r="B2045" t="s">
        <v>593</v>
      </c>
      <c r="C2045" t="s">
        <v>393</v>
      </c>
      <c r="D2045" t="s">
        <v>709</v>
      </c>
      <c r="E2045" t="s">
        <v>161</v>
      </c>
      <c r="G2045" t="s">
        <v>1504</v>
      </c>
      <c r="H2045" t="s">
        <v>700</v>
      </c>
      <c r="K2045">
        <v>1982</v>
      </c>
      <c r="L2045">
        <v>2006</v>
      </c>
      <c r="M2045">
        <v>24</v>
      </c>
      <c r="O2045" t="s">
        <v>1169</v>
      </c>
      <c r="P2045" t="s">
        <v>1169</v>
      </c>
      <c r="Q2045" t="s">
        <v>701</v>
      </c>
    </row>
    <row r="2046" spans="1:18">
      <c r="A2046" t="s">
        <v>1497</v>
      </c>
      <c r="B2046" t="s">
        <v>593</v>
      </c>
      <c r="C2046" t="s">
        <v>393</v>
      </c>
      <c r="D2046" t="s">
        <v>709</v>
      </c>
      <c r="E2046" t="s">
        <v>161</v>
      </c>
      <c r="G2046" t="s">
        <v>1505</v>
      </c>
      <c r="H2046" t="s">
        <v>700</v>
      </c>
      <c r="K2046">
        <v>1982</v>
      </c>
      <c r="L2046">
        <v>2006</v>
      </c>
      <c r="M2046">
        <v>24</v>
      </c>
      <c r="O2046">
        <v>98.75</v>
      </c>
      <c r="P2046">
        <v>1</v>
      </c>
      <c r="Q2046" t="s">
        <v>701</v>
      </c>
    </row>
    <row r="2047" spans="1:18">
      <c r="A2047" t="s">
        <v>1497</v>
      </c>
      <c r="B2047" t="s">
        <v>593</v>
      </c>
      <c r="C2047" t="s">
        <v>393</v>
      </c>
      <c r="D2047" t="s">
        <v>709</v>
      </c>
      <c r="E2047" t="s">
        <v>161</v>
      </c>
      <c r="G2047" t="s">
        <v>820</v>
      </c>
      <c r="H2047" t="s">
        <v>700</v>
      </c>
      <c r="K2047">
        <v>1982</v>
      </c>
      <c r="L2047">
        <v>2006</v>
      </c>
      <c r="M2047">
        <v>24</v>
      </c>
      <c r="O2047">
        <v>63.75</v>
      </c>
      <c r="P2047">
        <v>1</v>
      </c>
      <c r="Q2047" t="s">
        <v>701</v>
      </c>
    </row>
    <row r="2048" spans="1:18">
      <c r="A2048" t="s">
        <v>1497</v>
      </c>
      <c r="B2048" t="s">
        <v>593</v>
      </c>
      <c r="C2048" t="s">
        <v>393</v>
      </c>
      <c r="D2048" t="s">
        <v>709</v>
      </c>
      <c r="E2048" t="s">
        <v>161</v>
      </c>
      <c r="G2048" t="s">
        <v>711</v>
      </c>
      <c r="H2048" t="s">
        <v>700</v>
      </c>
      <c r="K2048">
        <v>1982</v>
      </c>
      <c r="L2048">
        <v>2006</v>
      </c>
      <c r="M2048">
        <v>24</v>
      </c>
      <c r="O2048">
        <v>40.833333329999995</v>
      </c>
      <c r="P2048">
        <v>1</v>
      </c>
      <c r="Q2048" t="s">
        <v>701</v>
      </c>
    </row>
    <row r="2049" spans="1:17">
      <c r="A2049" t="s">
        <v>1497</v>
      </c>
      <c r="B2049" t="s">
        <v>593</v>
      </c>
      <c r="C2049" t="s">
        <v>393</v>
      </c>
      <c r="D2049" t="s">
        <v>709</v>
      </c>
      <c r="E2049" t="s">
        <v>161</v>
      </c>
      <c r="G2049" t="s">
        <v>202</v>
      </c>
      <c r="H2049" t="s">
        <v>700</v>
      </c>
      <c r="K2049">
        <v>1982</v>
      </c>
      <c r="L2049">
        <v>2006</v>
      </c>
      <c r="M2049">
        <v>24</v>
      </c>
      <c r="O2049">
        <v>37.5</v>
      </c>
      <c r="P2049">
        <v>1</v>
      </c>
      <c r="Q2049" t="s">
        <v>701</v>
      </c>
    </row>
    <row r="2050" spans="1:17">
      <c r="A2050" t="s">
        <v>1497</v>
      </c>
      <c r="B2050" t="s">
        <v>593</v>
      </c>
      <c r="C2050" t="s">
        <v>393</v>
      </c>
      <c r="D2050" t="s">
        <v>709</v>
      </c>
      <c r="E2050" t="s">
        <v>161</v>
      </c>
      <c r="G2050" t="s">
        <v>1506</v>
      </c>
      <c r="H2050" t="s">
        <v>700</v>
      </c>
      <c r="K2050">
        <v>1982</v>
      </c>
      <c r="L2050">
        <v>2006</v>
      </c>
      <c r="M2050">
        <v>24</v>
      </c>
      <c r="O2050">
        <v>31.666666669999998</v>
      </c>
      <c r="P2050">
        <v>1</v>
      </c>
      <c r="Q2050" t="s">
        <v>701</v>
      </c>
    </row>
    <row r="2051" spans="1:17">
      <c r="A2051" t="s">
        <v>1497</v>
      </c>
      <c r="B2051" t="s">
        <v>593</v>
      </c>
      <c r="C2051" t="s">
        <v>393</v>
      </c>
      <c r="D2051" t="s">
        <v>709</v>
      </c>
      <c r="E2051" t="s">
        <v>161</v>
      </c>
      <c r="G2051" t="s">
        <v>1507</v>
      </c>
      <c r="H2051" t="s">
        <v>700</v>
      </c>
      <c r="K2051">
        <v>1982</v>
      </c>
      <c r="L2051">
        <v>2006</v>
      </c>
      <c r="M2051">
        <v>24</v>
      </c>
      <c r="O2051">
        <v>27.5</v>
      </c>
      <c r="P2051">
        <v>1</v>
      </c>
      <c r="Q2051" t="s">
        <v>701</v>
      </c>
    </row>
    <row r="2052" spans="1:17">
      <c r="A2052" t="s">
        <v>1497</v>
      </c>
      <c r="B2052" t="s">
        <v>593</v>
      </c>
      <c r="C2052" t="s">
        <v>393</v>
      </c>
      <c r="D2052" t="s">
        <v>709</v>
      </c>
      <c r="E2052" t="s">
        <v>161</v>
      </c>
      <c r="G2052" t="s">
        <v>1508</v>
      </c>
      <c r="H2052" t="s">
        <v>700</v>
      </c>
      <c r="K2052">
        <v>1982</v>
      </c>
      <c r="L2052">
        <v>2006</v>
      </c>
      <c r="M2052">
        <v>24</v>
      </c>
      <c r="O2052">
        <v>25</v>
      </c>
      <c r="P2052">
        <v>1</v>
      </c>
      <c r="Q2052" t="s">
        <v>701</v>
      </c>
    </row>
    <row r="2053" spans="1:17">
      <c r="A2053" t="s">
        <v>1497</v>
      </c>
      <c r="B2053" t="s">
        <v>593</v>
      </c>
      <c r="C2053" t="s">
        <v>393</v>
      </c>
      <c r="D2053" t="s">
        <v>709</v>
      </c>
      <c r="E2053" t="s">
        <v>161</v>
      </c>
      <c r="G2053" t="s">
        <v>811</v>
      </c>
      <c r="H2053" t="s">
        <v>700</v>
      </c>
      <c r="K2053">
        <v>1982</v>
      </c>
      <c r="L2053">
        <v>2006</v>
      </c>
      <c r="M2053">
        <v>24</v>
      </c>
      <c r="O2053">
        <v>23.75</v>
      </c>
      <c r="P2053">
        <v>1</v>
      </c>
      <c r="Q2053" t="s">
        <v>701</v>
      </c>
    </row>
    <row r="2054" spans="1:17">
      <c r="A2054" t="s">
        <v>1497</v>
      </c>
      <c r="B2054" t="s">
        <v>593</v>
      </c>
      <c r="C2054" t="s">
        <v>393</v>
      </c>
      <c r="D2054" t="s">
        <v>709</v>
      </c>
      <c r="E2054" t="s">
        <v>161</v>
      </c>
      <c r="G2054" t="s">
        <v>1509</v>
      </c>
      <c r="H2054" t="s">
        <v>700</v>
      </c>
      <c r="K2054">
        <v>1982</v>
      </c>
      <c r="L2054">
        <v>2006</v>
      </c>
      <c r="M2054">
        <v>24</v>
      </c>
      <c r="O2054">
        <v>22.916666669999998</v>
      </c>
      <c r="P2054">
        <v>1</v>
      </c>
      <c r="Q2054" t="s">
        <v>701</v>
      </c>
    </row>
    <row r="2055" spans="1:17">
      <c r="A2055" t="s">
        <v>1497</v>
      </c>
      <c r="B2055" t="s">
        <v>593</v>
      </c>
      <c r="C2055" t="s">
        <v>393</v>
      </c>
      <c r="D2055" t="s">
        <v>709</v>
      </c>
      <c r="E2055" t="s">
        <v>161</v>
      </c>
      <c r="G2055" t="s">
        <v>1510</v>
      </c>
      <c r="H2055" t="s">
        <v>700</v>
      </c>
      <c r="K2055">
        <v>1982</v>
      </c>
      <c r="L2055">
        <v>2006</v>
      </c>
      <c r="M2055">
        <v>24</v>
      </c>
      <c r="O2055">
        <v>21.25</v>
      </c>
      <c r="P2055">
        <v>1</v>
      </c>
      <c r="Q2055" t="s">
        <v>701</v>
      </c>
    </row>
    <row r="2056" spans="1:17">
      <c r="A2056" t="s">
        <v>1497</v>
      </c>
      <c r="B2056" t="s">
        <v>593</v>
      </c>
      <c r="C2056" t="s">
        <v>393</v>
      </c>
      <c r="D2056" t="s">
        <v>709</v>
      </c>
      <c r="E2056" t="s">
        <v>161</v>
      </c>
      <c r="G2056" t="s">
        <v>1511</v>
      </c>
      <c r="H2056" t="s">
        <v>700</v>
      </c>
      <c r="K2056">
        <v>1982</v>
      </c>
      <c r="L2056">
        <v>2006</v>
      </c>
      <c r="M2056">
        <v>24</v>
      </c>
      <c r="O2056">
        <v>19.166666670000001</v>
      </c>
      <c r="P2056">
        <v>1</v>
      </c>
      <c r="Q2056" t="s">
        <v>701</v>
      </c>
    </row>
    <row r="2057" spans="1:17">
      <c r="A2057" t="s">
        <v>1497</v>
      </c>
      <c r="B2057" t="s">
        <v>593</v>
      </c>
      <c r="C2057" t="s">
        <v>393</v>
      </c>
      <c r="D2057" t="s">
        <v>709</v>
      </c>
      <c r="E2057" t="s">
        <v>161</v>
      </c>
      <c r="G2057" t="s">
        <v>1512</v>
      </c>
      <c r="H2057" t="s">
        <v>700</v>
      </c>
      <c r="K2057">
        <v>1982</v>
      </c>
      <c r="L2057">
        <v>2006</v>
      </c>
      <c r="M2057">
        <v>24</v>
      </c>
      <c r="O2057">
        <v>17.100000000000001</v>
      </c>
      <c r="P2057">
        <v>1</v>
      </c>
      <c r="Q2057" t="s">
        <v>701</v>
      </c>
    </row>
    <row r="2058" spans="1:17">
      <c r="A2058" t="s">
        <v>1497</v>
      </c>
      <c r="B2058" t="s">
        <v>593</v>
      </c>
      <c r="C2058" t="s">
        <v>393</v>
      </c>
      <c r="D2058" t="s">
        <v>709</v>
      </c>
      <c r="E2058" t="s">
        <v>161</v>
      </c>
      <c r="G2058" t="s">
        <v>1513</v>
      </c>
      <c r="H2058" t="s">
        <v>700</v>
      </c>
      <c r="K2058">
        <v>1982</v>
      </c>
      <c r="L2058">
        <v>2006</v>
      </c>
      <c r="M2058">
        <v>24</v>
      </c>
      <c r="O2058">
        <v>14.166666670000001</v>
      </c>
      <c r="P2058">
        <v>1</v>
      </c>
      <c r="Q2058" t="s">
        <v>701</v>
      </c>
    </row>
    <row r="2059" spans="1:17">
      <c r="A2059" t="s">
        <v>1497</v>
      </c>
      <c r="B2059" t="s">
        <v>593</v>
      </c>
      <c r="C2059" t="s">
        <v>393</v>
      </c>
      <c r="D2059" t="s">
        <v>709</v>
      </c>
      <c r="E2059" t="s">
        <v>161</v>
      </c>
      <c r="G2059" t="s">
        <v>1514</v>
      </c>
      <c r="H2059" t="s">
        <v>700</v>
      </c>
      <c r="K2059">
        <v>1982</v>
      </c>
      <c r="L2059">
        <v>2006</v>
      </c>
      <c r="M2059">
        <v>24</v>
      </c>
      <c r="O2059">
        <v>11.25</v>
      </c>
      <c r="P2059">
        <v>1</v>
      </c>
      <c r="Q2059" t="s">
        <v>701</v>
      </c>
    </row>
    <row r="2060" spans="1:17">
      <c r="A2060" t="s">
        <v>1497</v>
      </c>
      <c r="B2060" t="s">
        <v>593</v>
      </c>
      <c r="C2060" t="s">
        <v>393</v>
      </c>
      <c r="D2060" t="s">
        <v>709</v>
      </c>
      <c r="E2060" t="s">
        <v>161</v>
      </c>
      <c r="G2060" t="s">
        <v>812</v>
      </c>
      <c r="H2060" t="s">
        <v>700</v>
      </c>
      <c r="K2060">
        <v>1982</v>
      </c>
      <c r="L2060">
        <v>2006</v>
      </c>
      <c r="M2060">
        <v>24</v>
      </c>
      <c r="O2060">
        <v>8.75</v>
      </c>
      <c r="P2060">
        <v>1</v>
      </c>
      <c r="Q2060" t="s">
        <v>701</v>
      </c>
    </row>
    <row r="2061" spans="1:17">
      <c r="A2061" t="s">
        <v>1497</v>
      </c>
      <c r="B2061" t="s">
        <v>593</v>
      </c>
      <c r="C2061" t="s">
        <v>393</v>
      </c>
      <c r="D2061" t="s">
        <v>709</v>
      </c>
      <c r="E2061" t="s">
        <v>161</v>
      </c>
      <c r="G2061" t="s">
        <v>721</v>
      </c>
      <c r="H2061" t="s">
        <v>700</v>
      </c>
      <c r="K2061">
        <v>1982</v>
      </c>
      <c r="L2061">
        <v>2006</v>
      </c>
      <c r="M2061">
        <v>24</v>
      </c>
      <c r="O2061">
        <v>6.66</v>
      </c>
      <c r="P2061">
        <v>1</v>
      </c>
      <c r="Q2061" t="s">
        <v>701</v>
      </c>
    </row>
    <row r="2062" spans="1:17">
      <c r="A2062" t="s">
        <v>1497</v>
      </c>
      <c r="B2062" t="s">
        <v>593</v>
      </c>
      <c r="C2062" t="s">
        <v>393</v>
      </c>
      <c r="D2062" t="s">
        <v>709</v>
      </c>
      <c r="E2062" t="s">
        <v>161</v>
      </c>
      <c r="G2062" t="s">
        <v>1515</v>
      </c>
      <c r="H2062" t="s">
        <v>700</v>
      </c>
      <c r="K2062">
        <v>1982</v>
      </c>
      <c r="L2062">
        <v>2006</v>
      </c>
      <c r="M2062">
        <v>24</v>
      </c>
      <c r="O2062">
        <v>2.5</v>
      </c>
      <c r="P2062">
        <v>1</v>
      </c>
      <c r="Q2062" t="s">
        <v>701</v>
      </c>
    </row>
    <row r="2063" spans="1:17">
      <c r="A2063" t="s">
        <v>1497</v>
      </c>
      <c r="B2063" t="s">
        <v>593</v>
      </c>
      <c r="C2063" t="s">
        <v>393</v>
      </c>
      <c r="D2063" t="s">
        <v>709</v>
      </c>
      <c r="E2063" t="s">
        <v>161</v>
      </c>
      <c r="G2063" t="s">
        <v>712</v>
      </c>
      <c r="H2063" t="s">
        <v>700</v>
      </c>
      <c r="K2063">
        <v>1982</v>
      </c>
      <c r="L2063">
        <v>2006</v>
      </c>
      <c r="M2063">
        <v>24</v>
      </c>
      <c r="O2063">
        <v>0.83000000000000007</v>
      </c>
      <c r="P2063">
        <v>1</v>
      </c>
      <c r="Q2063" t="s">
        <v>701</v>
      </c>
    </row>
    <row r="2064" spans="1:17">
      <c r="A2064" t="s">
        <v>1497</v>
      </c>
      <c r="B2064" t="s">
        <v>593</v>
      </c>
      <c r="C2064" t="s">
        <v>393</v>
      </c>
      <c r="D2064" t="s">
        <v>709</v>
      </c>
      <c r="E2064" t="s">
        <v>161</v>
      </c>
      <c r="G2064" t="s">
        <v>819</v>
      </c>
      <c r="H2064" t="s">
        <v>700</v>
      </c>
      <c r="K2064">
        <v>1982</v>
      </c>
      <c r="L2064">
        <v>2006</v>
      </c>
      <c r="M2064">
        <v>24</v>
      </c>
      <c r="O2064">
        <v>-2.9170000000000003</v>
      </c>
      <c r="P2064">
        <v>0</v>
      </c>
      <c r="Q2064" t="s">
        <v>701</v>
      </c>
    </row>
    <row r="2065" spans="1:17">
      <c r="A2065" t="s">
        <v>1497</v>
      </c>
      <c r="B2065" t="s">
        <v>593</v>
      </c>
      <c r="C2065" t="s">
        <v>393</v>
      </c>
      <c r="D2065" t="s">
        <v>709</v>
      </c>
      <c r="E2065" t="s">
        <v>161</v>
      </c>
      <c r="G2065" t="s">
        <v>710</v>
      </c>
      <c r="H2065" t="s">
        <v>700</v>
      </c>
      <c r="K2065">
        <v>1982</v>
      </c>
      <c r="L2065">
        <v>2006</v>
      </c>
      <c r="M2065">
        <v>24</v>
      </c>
      <c r="O2065">
        <v>-4.1669999999999998</v>
      </c>
      <c r="P2065">
        <v>0</v>
      </c>
      <c r="Q2065" t="s">
        <v>701</v>
      </c>
    </row>
    <row r="2066" spans="1:17">
      <c r="A2066" t="s">
        <v>1497</v>
      </c>
      <c r="B2066" t="s">
        <v>593</v>
      </c>
      <c r="C2066" t="s">
        <v>393</v>
      </c>
      <c r="D2066" t="s">
        <v>709</v>
      </c>
      <c r="E2066" t="s">
        <v>161</v>
      </c>
      <c r="G2066" t="s">
        <v>1516</v>
      </c>
      <c r="H2066" t="s">
        <v>700</v>
      </c>
      <c r="K2066">
        <v>1982</v>
      </c>
      <c r="L2066">
        <v>2006</v>
      </c>
      <c r="M2066">
        <v>24</v>
      </c>
      <c r="O2066">
        <v>-15.83</v>
      </c>
      <c r="P2066">
        <v>0</v>
      </c>
      <c r="Q2066" t="s">
        <v>701</v>
      </c>
    </row>
    <row r="2067" spans="1:17">
      <c r="A2067" t="s">
        <v>1497</v>
      </c>
      <c r="B2067" t="s">
        <v>593</v>
      </c>
      <c r="C2067" t="s">
        <v>393</v>
      </c>
      <c r="D2067" t="s">
        <v>709</v>
      </c>
      <c r="E2067" t="s">
        <v>161</v>
      </c>
      <c r="G2067" t="s">
        <v>821</v>
      </c>
      <c r="H2067" t="s">
        <v>700</v>
      </c>
      <c r="K2067">
        <v>1982</v>
      </c>
      <c r="L2067">
        <v>2006</v>
      </c>
      <c r="M2067">
        <v>24</v>
      </c>
      <c r="O2067">
        <v>-29.169999999999998</v>
      </c>
      <c r="P2067">
        <v>0</v>
      </c>
      <c r="Q2067" t="s">
        <v>701</v>
      </c>
    </row>
    <row r="2068" spans="1:17">
      <c r="A2068" t="s">
        <v>1497</v>
      </c>
      <c r="B2068" t="s">
        <v>593</v>
      </c>
      <c r="C2068" t="s">
        <v>393</v>
      </c>
      <c r="D2068" t="s">
        <v>709</v>
      </c>
      <c r="E2068" t="s">
        <v>161</v>
      </c>
      <c r="G2068" t="s">
        <v>821</v>
      </c>
      <c r="H2068" t="s">
        <v>700</v>
      </c>
      <c r="K2068">
        <v>1982</v>
      </c>
      <c r="L2068">
        <v>2006</v>
      </c>
      <c r="M2068">
        <v>24</v>
      </c>
      <c r="O2068">
        <v>-29.169999999999998</v>
      </c>
      <c r="P2068">
        <v>0</v>
      </c>
      <c r="Q2068" t="s">
        <v>701</v>
      </c>
    </row>
    <row r="2069" spans="1:17">
      <c r="A2069" t="s">
        <v>1517</v>
      </c>
      <c r="B2069" t="s">
        <v>593</v>
      </c>
      <c r="C2069" t="s">
        <v>393</v>
      </c>
      <c r="D2069" t="s">
        <v>729</v>
      </c>
      <c r="E2069" t="s">
        <v>161</v>
      </c>
      <c r="G2069" t="s">
        <v>1518</v>
      </c>
      <c r="H2069" t="s">
        <v>700</v>
      </c>
      <c r="K2069">
        <v>1978</v>
      </c>
      <c r="L2069">
        <v>2007</v>
      </c>
      <c r="M2069">
        <v>30</v>
      </c>
      <c r="O2069" t="s">
        <v>1169</v>
      </c>
      <c r="P2069" t="s">
        <v>1169</v>
      </c>
      <c r="Q2069" t="s">
        <v>701</v>
      </c>
    </row>
    <row r="2070" spans="1:17">
      <c r="A2070" t="s">
        <v>1517</v>
      </c>
      <c r="B2070" t="s">
        <v>593</v>
      </c>
      <c r="C2070" t="s">
        <v>393</v>
      </c>
      <c r="D2070" t="s">
        <v>729</v>
      </c>
      <c r="E2070" t="s">
        <v>161</v>
      </c>
      <c r="G2070" t="s">
        <v>1519</v>
      </c>
      <c r="H2070" t="s">
        <v>700</v>
      </c>
      <c r="K2070">
        <v>1978</v>
      </c>
      <c r="L2070">
        <v>2007</v>
      </c>
      <c r="M2070">
        <v>30</v>
      </c>
      <c r="O2070" t="s">
        <v>1169</v>
      </c>
      <c r="P2070" t="s">
        <v>1169</v>
      </c>
      <c r="Q2070" t="s">
        <v>701</v>
      </c>
    </row>
    <row r="2071" spans="1:17">
      <c r="A2071" t="s">
        <v>1517</v>
      </c>
      <c r="B2071" t="s">
        <v>593</v>
      </c>
      <c r="C2071" t="s">
        <v>393</v>
      </c>
      <c r="D2071" t="s">
        <v>729</v>
      </c>
      <c r="E2071" t="s">
        <v>161</v>
      </c>
      <c r="G2071" t="s">
        <v>1520</v>
      </c>
      <c r="H2071" t="s">
        <v>700</v>
      </c>
      <c r="K2071">
        <v>1978</v>
      </c>
      <c r="L2071">
        <v>2007</v>
      </c>
      <c r="M2071">
        <v>30</v>
      </c>
      <c r="O2071">
        <v>410.7</v>
      </c>
      <c r="P2071">
        <v>0</v>
      </c>
      <c r="Q2071" t="s">
        <v>701</v>
      </c>
    </row>
    <row r="2072" spans="1:17">
      <c r="A2072" t="s">
        <v>1517</v>
      </c>
      <c r="B2072" t="s">
        <v>593</v>
      </c>
      <c r="C2072" t="s">
        <v>393</v>
      </c>
      <c r="D2072" t="s">
        <v>729</v>
      </c>
      <c r="E2072" t="s">
        <v>161</v>
      </c>
      <c r="G2072" t="s">
        <v>1521</v>
      </c>
      <c r="H2072" t="s">
        <v>700</v>
      </c>
      <c r="K2072">
        <v>1978</v>
      </c>
      <c r="L2072">
        <v>2007</v>
      </c>
      <c r="M2072">
        <v>30</v>
      </c>
      <c r="O2072">
        <v>262.7</v>
      </c>
      <c r="P2072">
        <v>0</v>
      </c>
      <c r="Q2072" t="s">
        <v>701</v>
      </c>
    </row>
    <row r="2073" spans="1:17">
      <c r="A2073" t="s">
        <v>1517</v>
      </c>
      <c r="B2073" t="s">
        <v>593</v>
      </c>
      <c r="C2073" t="s">
        <v>393</v>
      </c>
      <c r="D2073" t="s">
        <v>729</v>
      </c>
      <c r="E2073" t="s">
        <v>161</v>
      </c>
      <c r="G2073" t="s">
        <v>1522</v>
      </c>
      <c r="H2073" t="s">
        <v>700</v>
      </c>
      <c r="K2073">
        <v>1978</v>
      </c>
      <c r="L2073">
        <v>2007</v>
      </c>
      <c r="M2073">
        <v>30</v>
      </c>
      <c r="O2073">
        <v>236.8</v>
      </c>
      <c r="P2073">
        <v>0</v>
      </c>
      <c r="Q2073" t="s">
        <v>701</v>
      </c>
    </row>
    <row r="2074" spans="1:17">
      <c r="A2074" t="s">
        <v>1517</v>
      </c>
      <c r="B2074" t="s">
        <v>593</v>
      </c>
      <c r="C2074" t="s">
        <v>393</v>
      </c>
      <c r="D2074" t="s">
        <v>729</v>
      </c>
      <c r="E2074" t="s">
        <v>161</v>
      </c>
      <c r="G2074" t="s">
        <v>1523</v>
      </c>
      <c r="H2074" t="s">
        <v>700</v>
      </c>
      <c r="K2074">
        <v>1978</v>
      </c>
      <c r="L2074">
        <v>2007</v>
      </c>
      <c r="M2074">
        <v>30</v>
      </c>
      <c r="O2074">
        <v>225.7</v>
      </c>
      <c r="P2074">
        <v>0</v>
      </c>
      <c r="Q2074" t="s">
        <v>701</v>
      </c>
    </row>
    <row r="2075" spans="1:17">
      <c r="A2075" t="s">
        <v>1517</v>
      </c>
      <c r="B2075" t="s">
        <v>593</v>
      </c>
      <c r="C2075" t="s">
        <v>393</v>
      </c>
      <c r="D2075" t="s">
        <v>729</v>
      </c>
      <c r="E2075" t="s">
        <v>161</v>
      </c>
      <c r="G2075" t="s">
        <v>1524</v>
      </c>
      <c r="H2075" t="s">
        <v>700</v>
      </c>
      <c r="K2075">
        <v>1978</v>
      </c>
      <c r="L2075">
        <v>2007</v>
      </c>
      <c r="M2075">
        <v>30</v>
      </c>
      <c r="O2075">
        <v>166.5</v>
      </c>
      <c r="P2075">
        <v>0</v>
      </c>
      <c r="Q2075" t="s">
        <v>701</v>
      </c>
    </row>
    <row r="2076" spans="1:17">
      <c r="A2076" t="s">
        <v>1517</v>
      </c>
      <c r="B2076" t="s">
        <v>593</v>
      </c>
      <c r="C2076" t="s">
        <v>393</v>
      </c>
      <c r="D2076" t="s">
        <v>729</v>
      </c>
      <c r="E2076" t="s">
        <v>161</v>
      </c>
      <c r="G2076" t="s">
        <v>1525</v>
      </c>
      <c r="H2076" t="s">
        <v>700</v>
      </c>
      <c r="K2076">
        <v>1978</v>
      </c>
      <c r="L2076">
        <v>2007</v>
      </c>
      <c r="M2076">
        <v>30</v>
      </c>
      <c r="O2076">
        <v>62.9</v>
      </c>
      <c r="P2076">
        <v>0</v>
      </c>
      <c r="Q2076" t="s">
        <v>701</v>
      </c>
    </row>
    <row r="2077" spans="1:17">
      <c r="A2077" t="s">
        <v>1517</v>
      </c>
      <c r="B2077" t="s">
        <v>593</v>
      </c>
      <c r="C2077" t="s">
        <v>393</v>
      </c>
      <c r="D2077" t="s">
        <v>729</v>
      </c>
      <c r="E2077" t="s">
        <v>161</v>
      </c>
      <c r="G2077" t="s">
        <v>1359</v>
      </c>
      <c r="H2077" t="s">
        <v>700</v>
      </c>
      <c r="K2077">
        <v>1978</v>
      </c>
      <c r="L2077">
        <v>2007</v>
      </c>
      <c r="M2077">
        <v>30</v>
      </c>
      <c r="O2077">
        <v>55.5</v>
      </c>
      <c r="P2077">
        <v>0</v>
      </c>
      <c r="Q2077" t="s">
        <v>701</v>
      </c>
    </row>
    <row r="2078" spans="1:17">
      <c r="A2078" t="s">
        <v>1517</v>
      </c>
      <c r="B2078" t="s">
        <v>593</v>
      </c>
      <c r="C2078" t="s">
        <v>393</v>
      </c>
      <c r="D2078" t="s">
        <v>729</v>
      </c>
      <c r="E2078" t="s">
        <v>161</v>
      </c>
      <c r="G2078" t="s">
        <v>1526</v>
      </c>
      <c r="H2078" t="s">
        <v>700</v>
      </c>
      <c r="K2078">
        <v>1978</v>
      </c>
      <c r="L2078">
        <v>2007</v>
      </c>
      <c r="M2078">
        <v>30</v>
      </c>
      <c r="O2078">
        <v>51.8</v>
      </c>
      <c r="P2078">
        <v>0</v>
      </c>
      <c r="Q2078" t="s">
        <v>701</v>
      </c>
    </row>
    <row r="2079" spans="1:17">
      <c r="A2079" t="s">
        <v>903</v>
      </c>
      <c r="C2079" t="s">
        <v>393</v>
      </c>
      <c r="D2079" t="s">
        <v>554</v>
      </c>
      <c r="E2079" t="s">
        <v>161</v>
      </c>
      <c r="G2079" t="s">
        <v>1527</v>
      </c>
      <c r="H2079" t="s">
        <v>399</v>
      </c>
      <c r="K2079">
        <v>1972</v>
      </c>
      <c r="O2079">
        <v>6.36</v>
      </c>
      <c r="P2079" t="s">
        <v>15</v>
      </c>
      <c r="Q2079" t="s">
        <v>398</v>
      </c>
    </row>
    <row r="2080" spans="1:17">
      <c r="A2080" t="s">
        <v>903</v>
      </c>
      <c r="C2080" t="s">
        <v>393</v>
      </c>
      <c r="D2080" t="s">
        <v>554</v>
      </c>
      <c r="E2080" t="s">
        <v>161</v>
      </c>
      <c r="G2080" t="s">
        <v>910</v>
      </c>
      <c r="H2080" t="s">
        <v>399</v>
      </c>
      <c r="K2080">
        <v>1972</v>
      </c>
      <c r="O2080">
        <v>9.5399999999999991</v>
      </c>
      <c r="P2080" t="s">
        <v>15</v>
      </c>
      <c r="Q2080" t="s">
        <v>398</v>
      </c>
    </row>
    <row r="2081" spans="1:17">
      <c r="A2081" t="s">
        <v>903</v>
      </c>
      <c r="C2081" t="s">
        <v>393</v>
      </c>
      <c r="D2081" t="s">
        <v>554</v>
      </c>
      <c r="E2081" t="s">
        <v>161</v>
      </c>
      <c r="G2081" t="s">
        <v>1528</v>
      </c>
      <c r="H2081" t="s">
        <v>399</v>
      </c>
      <c r="K2081">
        <v>1972</v>
      </c>
      <c r="O2081">
        <v>10.34</v>
      </c>
      <c r="P2081" t="s">
        <v>15</v>
      </c>
      <c r="Q2081" t="s">
        <v>398</v>
      </c>
    </row>
    <row r="2082" spans="1:17">
      <c r="A2082" t="s">
        <v>903</v>
      </c>
      <c r="C2082" t="s">
        <v>393</v>
      </c>
      <c r="D2082" t="s">
        <v>554</v>
      </c>
      <c r="E2082" t="s">
        <v>161</v>
      </c>
      <c r="G2082" t="s">
        <v>1529</v>
      </c>
      <c r="H2082" t="s">
        <v>399</v>
      </c>
      <c r="K2082">
        <v>1972</v>
      </c>
      <c r="O2082">
        <v>10.34</v>
      </c>
      <c r="P2082" t="s">
        <v>15</v>
      </c>
      <c r="Q2082" t="s">
        <v>398</v>
      </c>
    </row>
    <row r="2083" spans="1:17">
      <c r="A2083" t="s">
        <v>903</v>
      </c>
      <c r="C2083" t="s">
        <v>393</v>
      </c>
      <c r="D2083" t="s">
        <v>554</v>
      </c>
      <c r="E2083" t="s">
        <v>161</v>
      </c>
      <c r="G2083" t="s">
        <v>1530</v>
      </c>
      <c r="H2083" t="s">
        <v>399</v>
      </c>
      <c r="K2083">
        <v>1972</v>
      </c>
      <c r="O2083">
        <v>11.93</v>
      </c>
      <c r="P2083" t="s">
        <v>15</v>
      </c>
      <c r="Q2083" t="s">
        <v>398</v>
      </c>
    </row>
    <row r="2084" spans="1:17">
      <c r="A2084" t="s">
        <v>903</v>
      </c>
      <c r="C2084" t="s">
        <v>393</v>
      </c>
      <c r="D2084" t="s">
        <v>554</v>
      </c>
      <c r="E2084" t="s">
        <v>161</v>
      </c>
      <c r="G2084" t="s">
        <v>1531</v>
      </c>
      <c r="H2084" t="s">
        <v>399</v>
      </c>
      <c r="K2084">
        <v>1972</v>
      </c>
      <c r="O2084">
        <v>12.72</v>
      </c>
      <c r="P2084" t="s">
        <v>15</v>
      </c>
      <c r="Q2084" t="s">
        <v>398</v>
      </c>
    </row>
    <row r="2085" spans="1:17">
      <c r="A2085" t="s">
        <v>903</v>
      </c>
      <c r="C2085" t="s">
        <v>393</v>
      </c>
      <c r="D2085" t="s">
        <v>554</v>
      </c>
      <c r="E2085" t="s">
        <v>161</v>
      </c>
      <c r="G2085" t="s">
        <v>1532</v>
      </c>
      <c r="H2085" t="s">
        <v>399</v>
      </c>
      <c r="K2085">
        <v>1972</v>
      </c>
      <c r="O2085">
        <v>29.42</v>
      </c>
      <c r="P2085" t="s">
        <v>15</v>
      </c>
      <c r="Q2085" t="s">
        <v>398</v>
      </c>
    </row>
    <row r="2086" spans="1:17">
      <c r="A2086" t="s">
        <v>903</v>
      </c>
      <c r="C2086" t="s">
        <v>393</v>
      </c>
      <c r="D2086" t="s">
        <v>554</v>
      </c>
      <c r="E2086" t="s">
        <v>161</v>
      </c>
      <c r="G2086" t="s">
        <v>1533</v>
      </c>
      <c r="H2086" t="s">
        <v>399</v>
      </c>
      <c r="K2086">
        <v>1972</v>
      </c>
      <c r="O2086">
        <v>42.94</v>
      </c>
      <c r="P2086" t="s">
        <v>15</v>
      </c>
      <c r="Q2086" t="s">
        <v>398</v>
      </c>
    </row>
    <row r="2087" spans="1:17">
      <c r="A2087" t="s">
        <v>903</v>
      </c>
      <c r="C2087" t="s">
        <v>393</v>
      </c>
      <c r="D2087" t="s">
        <v>554</v>
      </c>
      <c r="E2087" t="s">
        <v>161</v>
      </c>
      <c r="G2087" t="s">
        <v>184</v>
      </c>
      <c r="H2087" t="s">
        <v>399</v>
      </c>
      <c r="K2087">
        <v>1972</v>
      </c>
      <c r="O2087">
        <v>69.180000000000007</v>
      </c>
      <c r="P2087" t="s">
        <v>15</v>
      </c>
      <c r="Q2087" t="s">
        <v>398</v>
      </c>
    </row>
    <row r="2088" spans="1:17">
      <c r="A2088" t="s">
        <v>903</v>
      </c>
      <c r="C2088" t="s">
        <v>393</v>
      </c>
      <c r="D2088" t="s">
        <v>554</v>
      </c>
      <c r="E2088" t="s">
        <v>161</v>
      </c>
      <c r="G2088" t="s">
        <v>235</v>
      </c>
      <c r="H2088" t="s">
        <v>399</v>
      </c>
      <c r="K2088">
        <v>1972</v>
      </c>
      <c r="O2088">
        <v>81.899999999999991</v>
      </c>
      <c r="P2088" t="s">
        <v>15</v>
      </c>
      <c r="Q2088" t="s">
        <v>398</v>
      </c>
    </row>
    <row r="2089" spans="1:17">
      <c r="A2089" t="s">
        <v>903</v>
      </c>
      <c r="C2089" t="s">
        <v>393</v>
      </c>
      <c r="D2089" t="s">
        <v>554</v>
      </c>
      <c r="E2089" t="s">
        <v>161</v>
      </c>
      <c r="G2089" t="s">
        <v>583</v>
      </c>
      <c r="H2089" t="s">
        <v>399</v>
      </c>
      <c r="K2089">
        <v>1972</v>
      </c>
      <c r="O2089">
        <v>111.32999999999998</v>
      </c>
      <c r="P2089" t="s">
        <v>15</v>
      </c>
      <c r="Q2089" t="s">
        <v>398</v>
      </c>
    </row>
    <row r="2090" spans="1:17">
      <c r="A2090" t="s">
        <v>1534</v>
      </c>
      <c r="C2090" t="s">
        <v>393</v>
      </c>
      <c r="D2090" t="s">
        <v>554</v>
      </c>
      <c r="E2090" t="s">
        <v>161</v>
      </c>
      <c r="G2090" t="s">
        <v>1535</v>
      </c>
      <c r="H2090" t="s">
        <v>399</v>
      </c>
      <c r="K2090">
        <v>1982</v>
      </c>
      <c r="O2090">
        <v>132.36000000000001</v>
      </c>
      <c r="P2090" t="s">
        <v>15</v>
      </c>
      <c r="Q2090" t="s">
        <v>398</v>
      </c>
    </row>
    <row r="2091" spans="1:17">
      <c r="A2091" t="s">
        <v>1536</v>
      </c>
      <c r="C2091" t="s">
        <v>393</v>
      </c>
      <c r="D2091" t="s">
        <v>554</v>
      </c>
      <c r="E2091" t="s">
        <v>161</v>
      </c>
      <c r="G2091" t="s">
        <v>583</v>
      </c>
      <c r="H2091" t="s">
        <v>399</v>
      </c>
      <c r="K2091">
        <v>1982</v>
      </c>
      <c r="O2091">
        <v>29.409999999999997</v>
      </c>
      <c r="P2091" t="s">
        <v>15</v>
      </c>
      <c r="Q2091" t="s">
        <v>398</v>
      </c>
    </row>
    <row r="2092" spans="1:17">
      <c r="A2092" t="s">
        <v>912</v>
      </c>
      <c r="C2092" t="s">
        <v>393</v>
      </c>
      <c r="D2092" t="s">
        <v>554</v>
      </c>
      <c r="E2092" t="s">
        <v>161</v>
      </c>
      <c r="G2092" t="s">
        <v>210</v>
      </c>
      <c r="H2092" t="s">
        <v>399</v>
      </c>
      <c r="K2092">
        <v>1994</v>
      </c>
      <c r="O2092">
        <v>4.74</v>
      </c>
      <c r="P2092" t="s">
        <v>15</v>
      </c>
      <c r="Q2092" t="s">
        <v>398</v>
      </c>
    </row>
    <row r="2093" spans="1:17">
      <c r="A2093" t="s">
        <v>913</v>
      </c>
      <c r="C2093" t="s">
        <v>393</v>
      </c>
      <c r="D2093" t="s">
        <v>505</v>
      </c>
      <c r="E2093" t="s">
        <v>36</v>
      </c>
      <c r="G2093" t="s">
        <v>1537</v>
      </c>
      <c r="H2093" t="s">
        <v>399</v>
      </c>
      <c r="K2093">
        <v>1985</v>
      </c>
      <c r="O2093">
        <v>71.69</v>
      </c>
      <c r="P2093" t="s">
        <v>15</v>
      </c>
      <c r="Q2093" t="s">
        <v>398</v>
      </c>
    </row>
    <row r="2094" spans="1:17">
      <c r="A2094" t="s">
        <v>913</v>
      </c>
      <c r="C2094" t="s">
        <v>393</v>
      </c>
      <c r="D2094" t="s">
        <v>505</v>
      </c>
      <c r="E2094" t="s">
        <v>36</v>
      </c>
      <c r="G2094" t="s">
        <v>928</v>
      </c>
      <c r="H2094" t="s">
        <v>399</v>
      </c>
      <c r="K2094">
        <v>1985</v>
      </c>
      <c r="O2094">
        <v>124</v>
      </c>
      <c r="P2094" t="s">
        <v>15</v>
      </c>
      <c r="Q2094" t="s">
        <v>398</v>
      </c>
    </row>
    <row r="2095" spans="1:17">
      <c r="A2095" t="s">
        <v>921</v>
      </c>
      <c r="C2095" t="s">
        <v>393</v>
      </c>
      <c r="D2095" t="s">
        <v>554</v>
      </c>
      <c r="E2095" t="s">
        <v>36</v>
      </c>
      <c r="G2095" t="s">
        <v>1538</v>
      </c>
      <c r="H2095" t="s">
        <v>396</v>
      </c>
      <c r="K2095">
        <v>1986</v>
      </c>
      <c r="O2095">
        <v>0.87999999999999989</v>
      </c>
      <c r="P2095" t="s">
        <v>15</v>
      </c>
      <c r="Q2095" t="s">
        <v>398</v>
      </c>
    </row>
    <row r="2096" spans="1:17">
      <c r="A2096" t="s">
        <v>921</v>
      </c>
      <c r="C2096" t="s">
        <v>393</v>
      </c>
      <c r="D2096" t="s">
        <v>554</v>
      </c>
      <c r="E2096" t="s">
        <v>36</v>
      </c>
      <c r="G2096" t="s">
        <v>922</v>
      </c>
      <c r="H2096" t="s">
        <v>399</v>
      </c>
      <c r="K2096">
        <v>1986</v>
      </c>
      <c r="O2096">
        <v>3.75</v>
      </c>
      <c r="P2096" t="s">
        <v>15</v>
      </c>
      <c r="Q2096" t="s">
        <v>398</v>
      </c>
    </row>
    <row r="2097" spans="1:17">
      <c r="A2097" t="s">
        <v>921</v>
      </c>
      <c r="C2097" t="s">
        <v>393</v>
      </c>
      <c r="D2097" t="s">
        <v>554</v>
      </c>
      <c r="E2097" t="s">
        <v>36</v>
      </c>
      <c r="G2097" t="s">
        <v>1538</v>
      </c>
      <c r="H2097" t="s">
        <v>399</v>
      </c>
      <c r="K2097">
        <v>1986</v>
      </c>
      <c r="O2097">
        <v>4.0999999999999996</v>
      </c>
      <c r="P2097" t="s">
        <v>15</v>
      </c>
      <c r="Q2097" t="s">
        <v>398</v>
      </c>
    </row>
    <row r="2098" spans="1:17">
      <c r="A2098" t="s">
        <v>921</v>
      </c>
      <c r="C2098" t="s">
        <v>393</v>
      </c>
      <c r="D2098" t="s">
        <v>554</v>
      </c>
      <c r="E2098" t="s">
        <v>36</v>
      </c>
      <c r="G2098" t="s">
        <v>1539</v>
      </c>
      <c r="H2098" t="s">
        <v>396</v>
      </c>
      <c r="K2098">
        <v>1986</v>
      </c>
      <c r="O2098">
        <v>4.46</v>
      </c>
      <c r="P2098" t="s">
        <v>15</v>
      </c>
      <c r="Q2098" t="s">
        <v>398</v>
      </c>
    </row>
    <row r="2099" spans="1:17">
      <c r="A2099" t="s">
        <v>921</v>
      </c>
      <c r="C2099" t="s">
        <v>393</v>
      </c>
      <c r="D2099" t="s">
        <v>554</v>
      </c>
      <c r="E2099" t="s">
        <v>36</v>
      </c>
      <c r="G2099" t="s">
        <v>1540</v>
      </c>
      <c r="H2099" t="s">
        <v>457</v>
      </c>
      <c r="K2099">
        <v>1986</v>
      </c>
      <c r="O2099">
        <v>5.07</v>
      </c>
      <c r="P2099" t="s">
        <v>15</v>
      </c>
      <c r="Q2099" t="s">
        <v>398</v>
      </c>
    </row>
    <row r="2100" spans="1:17">
      <c r="A2100" t="s">
        <v>921</v>
      </c>
      <c r="C2100" t="s">
        <v>393</v>
      </c>
      <c r="D2100" t="s">
        <v>554</v>
      </c>
      <c r="E2100" t="s">
        <v>36</v>
      </c>
      <c r="G2100" t="s">
        <v>1541</v>
      </c>
      <c r="H2100" t="s">
        <v>396</v>
      </c>
      <c r="K2100">
        <v>1986</v>
      </c>
      <c r="O2100">
        <v>6.6000000000000005</v>
      </c>
      <c r="P2100" t="s">
        <v>15</v>
      </c>
      <c r="Q2100" t="s">
        <v>398</v>
      </c>
    </row>
    <row r="2101" spans="1:17">
      <c r="A2101" t="s">
        <v>921</v>
      </c>
      <c r="C2101" t="s">
        <v>393</v>
      </c>
      <c r="D2101" t="s">
        <v>554</v>
      </c>
      <c r="E2101" t="s">
        <v>36</v>
      </c>
      <c r="G2101" t="s">
        <v>1542</v>
      </c>
      <c r="H2101" t="s">
        <v>457</v>
      </c>
      <c r="K2101">
        <v>1986</v>
      </c>
      <c r="O2101">
        <v>8.86</v>
      </c>
      <c r="P2101" t="s">
        <v>15</v>
      </c>
      <c r="Q2101" t="s">
        <v>398</v>
      </c>
    </row>
    <row r="2102" spans="1:17">
      <c r="A2102" t="s">
        <v>921</v>
      </c>
      <c r="C2102" t="s">
        <v>393</v>
      </c>
      <c r="D2102" t="s">
        <v>554</v>
      </c>
      <c r="E2102" t="s">
        <v>36</v>
      </c>
      <c r="G2102" t="s">
        <v>926</v>
      </c>
      <c r="H2102" t="s">
        <v>457</v>
      </c>
      <c r="K2102">
        <v>1986</v>
      </c>
      <c r="O2102">
        <v>9.44</v>
      </c>
      <c r="P2102" t="s">
        <v>15</v>
      </c>
      <c r="Q2102" t="s">
        <v>398</v>
      </c>
    </row>
    <row r="2103" spans="1:17">
      <c r="A2103" t="s">
        <v>921</v>
      </c>
      <c r="C2103" t="s">
        <v>393</v>
      </c>
      <c r="D2103" t="s">
        <v>554</v>
      </c>
      <c r="E2103" t="s">
        <v>36</v>
      </c>
      <c r="G2103" t="s">
        <v>1543</v>
      </c>
      <c r="H2103" t="s">
        <v>396</v>
      </c>
      <c r="K2103">
        <v>1986</v>
      </c>
      <c r="O2103">
        <v>9.81</v>
      </c>
      <c r="P2103" t="s">
        <v>15</v>
      </c>
      <c r="Q2103" t="s">
        <v>398</v>
      </c>
    </row>
    <row r="2104" spans="1:17">
      <c r="A2104" t="s">
        <v>921</v>
      </c>
      <c r="C2104" t="s">
        <v>393</v>
      </c>
      <c r="D2104" t="s">
        <v>554</v>
      </c>
      <c r="E2104" t="s">
        <v>36</v>
      </c>
      <c r="G2104" t="s">
        <v>1544</v>
      </c>
      <c r="H2104" t="s">
        <v>396</v>
      </c>
      <c r="K2104">
        <v>1986</v>
      </c>
      <c r="O2104">
        <v>10.68</v>
      </c>
      <c r="P2104" t="s">
        <v>15</v>
      </c>
      <c r="Q2104" t="s">
        <v>398</v>
      </c>
    </row>
    <row r="2105" spans="1:17">
      <c r="A2105" t="s">
        <v>921</v>
      </c>
      <c r="C2105" t="s">
        <v>393</v>
      </c>
      <c r="D2105" t="s">
        <v>554</v>
      </c>
      <c r="E2105" t="s">
        <v>36</v>
      </c>
      <c r="G2105" t="s">
        <v>1545</v>
      </c>
      <c r="H2105" t="s">
        <v>396</v>
      </c>
      <c r="K2105">
        <v>1986</v>
      </c>
      <c r="O2105">
        <v>11.89</v>
      </c>
      <c r="P2105" t="s">
        <v>15</v>
      </c>
      <c r="Q2105" t="s">
        <v>398</v>
      </c>
    </row>
    <row r="2106" spans="1:17">
      <c r="A2106" t="s">
        <v>921</v>
      </c>
      <c r="C2106" t="s">
        <v>393</v>
      </c>
      <c r="D2106" t="s">
        <v>554</v>
      </c>
      <c r="E2106" t="s">
        <v>36</v>
      </c>
      <c r="G2106" t="s">
        <v>1538</v>
      </c>
      <c r="H2106" t="s">
        <v>457</v>
      </c>
      <c r="K2106">
        <v>1986</v>
      </c>
      <c r="O2106">
        <v>13.33</v>
      </c>
      <c r="P2106" t="s">
        <v>15</v>
      </c>
      <c r="Q2106" t="s">
        <v>398</v>
      </c>
    </row>
    <row r="2107" spans="1:17">
      <c r="A2107" t="s">
        <v>921</v>
      </c>
      <c r="C2107" t="s">
        <v>393</v>
      </c>
      <c r="D2107" t="s">
        <v>554</v>
      </c>
      <c r="E2107" t="s">
        <v>36</v>
      </c>
      <c r="G2107" t="s">
        <v>1540</v>
      </c>
      <c r="H2107" t="s">
        <v>399</v>
      </c>
      <c r="K2107">
        <v>1986</v>
      </c>
      <c r="O2107">
        <v>18.91</v>
      </c>
      <c r="P2107" t="s">
        <v>15</v>
      </c>
      <c r="Q2107" t="s">
        <v>398</v>
      </c>
    </row>
    <row r="2108" spans="1:17">
      <c r="A2108" t="s">
        <v>921</v>
      </c>
      <c r="C2108" t="s">
        <v>393</v>
      </c>
      <c r="D2108" t="s">
        <v>554</v>
      </c>
      <c r="E2108" t="s">
        <v>36</v>
      </c>
      <c r="G2108" t="s">
        <v>1542</v>
      </c>
      <c r="H2108" t="s">
        <v>396</v>
      </c>
      <c r="K2108">
        <v>1986</v>
      </c>
      <c r="O2108">
        <v>21.17</v>
      </c>
      <c r="P2108" t="s">
        <v>15</v>
      </c>
      <c r="Q2108" t="s">
        <v>398</v>
      </c>
    </row>
    <row r="2109" spans="1:17">
      <c r="A2109" t="s">
        <v>921</v>
      </c>
      <c r="C2109" t="s">
        <v>393</v>
      </c>
      <c r="D2109" t="s">
        <v>554</v>
      </c>
      <c r="E2109" t="s">
        <v>36</v>
      </c>
      <c r="G2109" t="s">
        <v>1546</v>
      </c>
      <c r="H2109" t="s">
        <v>396</v>
      </c>
      <c r="K2109">
        <v>1986</v>
      </c>
      <c r="O2109">
        <v>21.22</v>
      </c>
      <c r="P2109" t="s">
        <v>15</v>
      </c>
      <c r="Q2109" t="s">
        <v>398</v>
      </c>
    </row>
    <row r="2110" spans="1:17">
      <c r="A2110" t="s">
        <v>921</v>
      </c>
      <c r="C2110" t="s">
        <v>393</v>
      </c>
      <c r="D2110" t="s">
        <v>554</v>
      </c>
      <c r="E2110" t="s">
        <v>36</v>
      </c>
      <c r="G2110" t="s">
        <v>925</v>
      </c>
      <c r="H2110" t="s">
        <v>396</v>
      </c>
      <c r="K2110">
        <v>1986</v>
      </c>
      <c r="O2110">
        <v>21.96</v>
      </c>
      <c r="P2110" t="s">
        <v>15</v>
      </c>
      <c r="Q2110" t="s">
        <v>398</v>
      </c>
    </row>
    <row r="2111" spans="1:17">
      <c r="A2111" t="s">
        <v>921</v>
      </c>
      <c r="C2111" t="s">
        <v>393</v>
      </c>
      <c r="D2111" t="s">
        <v>554</v>
      </c>
      <c r="E2111" t="s">
        <v>36</v>
      </c>
      <c r="G2111" t="s">
        <v>1546</v>
      </c>
      <c r="H2111" t="s">
        <v>399</v>
      </c>
      <c r="K2111">
        <v>1986</v>
      </c>
      <c r="O2111">
        <v>23.330000000000002</v>
      </c>
      <c r="P2111" t="s">
        <v>15</v>
      </c>
      <c r="Q2111" t="s">
        <v>398</v>
      </c>
    </row>
    <row r="2112" spans="1:17">
      <c r="A2112" t="s">
        <v>921</v>
      </c>
      <c r="C2112" t="s">
        <v>393</v>
      </c>
      <c r="D2112" t="s">
        <v>554</v>
      </c>
      <c r="E2112" t="s">
        <v>36</v>
      </c>
      <c r="G2112" t="s">
        <v>1540</v>
      </c>
      <c r="H2112" t="s">
        <v>396</v>
      </c>
      <c r="K2112">
        <v>1986</v>
      </c>
      <c r="O2112">
        <v>24.900000000000002</v>
      </c>
      <c r="P2112" t="s">
        <v>15</v>
      </c>
      <c r="Q2112" t="s">
        <v>398</v>
      </c>
    </row>
    <row r="2113" spans="1:17">
      <c r="A2113" t="s">
        <v>921</v>
      </c>
      <c r="C2113" t="s">
        <v>393</v>
      </c>
      <c r="D2113" t="s">
        <v>554</v>
      </c>
      <c r="E2113" t="s">
        <v>36</v>
      </c>
      <c r="G2113" t="s">
        <v>924</v>
      </c>
      <c r="H2113" t="s">
        <v>399</v>
      </c>
      <c r="K2113">
        <v>1986</v>
      </c>
      <c r="O2113">
        <v>25</v>
      </c>
      <c r="P2113" t="s">
        <v>15</v>
      </c>
      <c r="Q2113" t="s">
        <v>398</v>
      </c>
    </row>
    <row r="2114" spans="1:17">
      <c r="A2114" t="s">
        <v>921</v>
      </c>
      <c r="C2114" t="s">
        <v>393</v>
      </c>
      <c r="D2114" t="s">
        <v>554</v>
      </c>
      <c r="E2114" t="s">
        <v>36</v>
      </c>
      <c r="G2114" t="s">
        <v>1547</v>
      </c>
      <c r="H2114" t="s">
        <v>396</v>
      </c>
      <c r="K2114">
        <v>1986</v>
      </c>
      <c r="O2114">
        <v>25.459999999999997</v>
      </c>
      <c r="P2114" t="s">
        <v>15</v>
      </c>
      <c r="Q2114" t="s">
        <v>398</v>
      </c>
    </row>
    <row r="2115" spans="1:17">
      <c r="A2115" t="s">
        <v>921</v>
      </c>
      <c r="C2115" t="s">
        <v>393</v>
      </c>
      <c r="D2115" t="s">
        <v>554</v>
      </c>
      <c r="E2115" t="s">
        <v>36</v>
      </c>
      <c r="G2115" t="s">
        <v>1548</v>
      </c>
      <c r="H2115" t="s">
        <v>396</v>
      </c>
      <c r="K2115">
        <v>1986</v>
      </c>
      <c r="O2115">
        <v>26.44</v>
      </c>
      <c r="P2115" t="s">
        <v>15</v>
      </c>
      <c r="Q2115" t="s">
        <v>398</v>
      </c>
    </row>
    <row r="2116" spans="1:17">
      <c r="A2116" t="s">
        <v>921</v>
      </c>
      <c r="C2116" t="s">
        <v>393</v>
      </c>
      <c r="D2116" t="s">
        <v>554</v>
      </c>
      <c r="E2116" t="s">
        <v>36</v>
      </c>
      <c r="G2116" t="s">
        <v>1545</v>
      </c>
      <c r="H2116" t="s">
        <v>399</v>
      </c>
      <c r="K2116">
        <v>1986</v>
      </c>
      <c r="O2116">
        <v>29.93</v>
      </c>
      <c r="P2116" t="s">
        <v>15</v>
      </c>
      <c r="Q2116" t="s">
        <v>398</v>
      </c>
    </row>
    <row r="2117" spans="1:17">
      <c r="A2117" t="s">
        <v>921</v>
      </c>
      <c r="C2117" t="s">
        <v>393</v>
      </c>
      <c r="D2117" t="s">
        <v>554</v>
      </c>
      <c r="E2117" t="s">
        <v>36</v>
      </c>
      <c r="G2117" t="s">
        <v>1542</v>
      </c>
      <c r="H2117" t="s">
        <v>399</v>
      </c>
      <c r="K2117">
        <v>1986</v>
      </c>
      <c r="O2117">
        <v>31.269999999999996</v>
      </c>
      <c r="P2117" t="s">
        <v>15</v>
      </c>
      <c r="Q2117" t="s">
        <v>398</v>
      </c>
    </row>
    <row r="2118" spans="1:17">
      <c r="A2118" t="s">
        <v>921</v>
      </c>
      <c r="C2118" t="s">
        <v>393</v>
      </c>
      <c r="D2118" t="s">
        <v>554</v>
      </c>
      <c r="E2118" t="s">
        <v>36</v>
      </c>
      <c r="G2118" t="s">
        <v>1549</v>
      </c>
      <c r="H2118" t="s">
        <v>396</v>
      </c>
      <c r="K2118">
        <v>1986</v>
      </c>
      <c r="O2118">
        <v>31.400000000000002</v>
      </c>
      <c r="P2118" t="s">
        <v>15</v>
      </c>
      <c r="Q2118" t="s">
        <v>398</v>
      </c>
    </row>
    <row r="2119" spans="1:17">
      <c r="A2119" t="s">
        <v>921</v>
      </c>
      <c r="C2119" t="s">
        <v>393</v>
      </c>
      <c r="D2119" t="s">
        <v>554</v>
      </c>
      <c r="E2119" t="s">
        <v>36</v>
      </c>
      <c r="G2119" t="s">
        <v>1550</v>
      </c>
      <c r="H2119" t="s">
        <v>396</v>
      </c>
      <c r="K2119">
        <v>1986</v>
      </c>
      <c r="O2119">
        <v>33.49</v>
      </c>
      <c r="P2119" t="s">
        <v>15</v>
      </c>
      <c r="Q2119" t="s">
        <v>398</v>
      </c>
    </row>
    <row r="2120" spans="1:17">
      <c r="A2120" t="s">
        <v>921</v>
      </c>
      <c r="C2120" t="s">
        <v>393</v>
      </c>
      <c r="D2120" t="s">
        <v>554</v>
      </c>
      <c r="E2120" t="s">
        <v>36</v>
      </c>
      <c r="G2120" t="s">
        <v>922</v>
      </c>
      <c r="H2120" t="s">
        <v>457</v>
      </c>
      <c r="K2120">
        <v>1986</v>
      </c>
      <c r="O2120">
        <v>34.300000000000004</v>
      </c>
      <c r="P2120" t="s">
        <v>15</v>
      </c>
      <c r="Q2120" t="s">
        <v>398</v>
      </c>
    </row>
    <row r="2121" spans="1:17">
      <c r="A2121" t="s">
        <v>921</v>
      </c>
      <c r="C2121" t="s">
        <v>393</v>
      </c>
      <c r="D2121" t="s">
        <v>554</v>
      </c>
      <c r="E2121" t="s">
        <v>36</v>
      </c>
      <c r="G2121" t="s">
        <v>1547</v>
      </c>
      <c r="H2121" t="s">
        <v>399</v>
      </c>
      <c r="K2121">
        <v>1986</v>
      </c>
      <c r="O2121">
        <v>39.42</v>
      </c>
      <c r="P2121" t="s">
        <v>15</v>
      </c>
      <c r="Q2121" t="s">
        <v>398</v>
      </c>
    </row>
    <row r="2122" spans="1:17">
      <c r="A2122" t="s">
        <v>921</v>
      </c>
      <c r="C2122" t="s">
        <v>393</v>
      </c>
      <c r="D2122" t="s">
        <v>554</v>
      </c>
      <c r="E2122" t="s">
        <v>36</v>
      </c>
      <c r="G2122" t="s">
        <v>1545</v>
      </c>
      <c r="H2122" t="s">
        <v>457</v>
      </c>
      <c r="K2122">
        <v>1986</v>
      </c>
      <c r="O2122">
        <v>48.16</v>
      </c>
      <c r="P2122" t="s">
        <v>15</v>
      </c>
      <c r="Q2122" t="s">
        <v>398</v>
      </c>
    </row>
    <row r="2123" spans="1:17">
      <c r="A2123" t="s">
        <v>921</v>
      </c>
      <c r="C2123" t="s">
        <v>393</v>
      </c>
      <c r="D2123" t="s">
        <v>554</v>
      </c>
      <c r="E2123" t="s">
        <v>36</v>
      </c>
      <c r="G2123" t="s">
        <v>1546</v>
      </c>
      <c r="H2123" t="s">
        <v>457</v>
      </c>
      <c r="K2123">
        <v>1986</v>
      </c>
      <c r="O2123">
        <v>52.089999999999996</v>
      </c>
      <c r="P2123" t="s">
        <v>15</v>
      </c>
      <c r="Q2123" t="s">
        <v>398</v>
      </c>
    </row>
    <row r="2124" spans="1:17">
      <c r="A2124" t="s">
        <v>921</v>
      </c>
      <c r="C2124" t="s">
        <v>393</v>
      </c>
      <c r="D2124" t="s">
        <v>554</v>
      </c>
      <c r="E2124" t="s">
        <v>36</v>
      </c>
      <c r="G2124" t="s">
        <v>1548</v>
      </c>
      <c r="H2124" t="s">
        <v>399</v>
      </c>
      <c r="K2124">
        <v>1986</v>
      </c>
      <c r="O2124">
        <v>52.85</v>
      </c>
      <c r="P2124" t="s">
        <v>15</v>
      </c>
      <c r="Q2124" t="s">
        <v>398</v>
      </c>
    </row>
    <row r="2125" spans="1:17">
      <c r="A2125" t="s">
        <v>921</v>
      </c>
      <c r="C2125" t="s">
        <v>393</v>
      </c>
      <c r="D2125" t="s">
        <v>554</v>
      </c>
      <c r="E2125" t="s">
        <v>36</v>
      </c>
      <c r="G2125" t="s">
        <v>924</v>
      </c>
      <c r="H2125" t="s">
        <v>457</v>
      </c>
      <c r="K2125">
        <v>1986</v>
      </c>
      <c r="O2125">
        <v>56.820000000000007</v>
      </c>
      <c r="P2125" t="s">
        <v>15</v>
      </c>
      <c r="Q2125" t="s">
        <v>398</v>
      </c>
    </row>
    <row r="2126" spans="1:17">
      <c r="A2126" t="s">
        <v>921</v>
      </c>
      <c r="C2126" t="s">
        <v>393</v>
      </c>
      <c r="D2126" t="s">
        <v>554</v>
      </c>
      <c r="E2126" t="s">
        <v>36</v>
      </c>
      <c r="G2126" t="s">
        <v>1541</v>
      </c>
      <c r="H2126" t="s">
        <v>399</v>
      </c>
      <c r="K2126">
        <v>1986</v>
      </c>
      <c r="O2126">
        <v>70.900000000000006</v>
      </c>
      <c r="P2126" t="s">
        <v>15</v>
      </c>
      <c r="Q2126" t="s">
        <v>398</v>
      </c>
    </row>
    <row r="2127" spans="1:17">
      <c r="A2127" t="s">
        <v>921</v>
      </c>
      <c r="C2127" t="s">
        <v>393</v>
      </c>
      <c r="D2127" t="s">
        <v>554</v>
      </c>
      <c r="E2127" t="s">
        <v>36</v>
      </c>
      <c r="G2127" t="s">
        <v>1539</v>
      </c>
      <c r="H2127" t="s">
        <v>399</v>
      </c>
      <c r="K2127">
        <v>1986</v>
      </c>
      <c r="O2127">
        <v>90.210000000000008</v>
      </c>
      <c r="P2127" t="s">
        <v>15</v>
      </c>
      <c r="Q2127" t="s">
        <v>398</v>
      </c>
    </row>
    <row r="2128" spans="1:17">
      <c r="A2128" t="s">
        <v>921</v>
      </c>
      <c r="C2128" t="s">
        <v>393</v>
      </c>
      <c r="D2128" t="s">
        <v>554</v>
      </c>
      <c r="E2128" t="s">
        <v>36</v>
      </c>
      <c r="G2128" t="s">
        <v>1549</v>
      </c>
      <c r="H2128" t="s">
        <v>399</v>
      </c>
      <c r="K2128">
        <v>1986</v>
      </c>
      <c r="O2128">
        <v>93.68</v>
      </c>
      <c r="P2128" t="s">
        <v>15</v>
      </c>
      <c r="Q2128" t="s">
        <v>398</v>
      </c>
    </row>
    <row r="2129" spans="1:17">
      <c r="A2129" t="s">
        <v>921</v>
      </c>
      <c r="C2129" t="s">
        <v>393</v>
      </c>
      <c r="D2129" t="s">
        <v>554</v>
      </c>
      <c r="E2129" t="s">
        <v>36</v>
      </c>
      <c r="G2129" t="s">
        <v>1543</v>
      </c>
      <c r="H2129" t="s">
        <v>399</v>
      </c>
      <c r="K2129">
        <v>1986</v>
      </c>
      <c r="O2129">
        <v>94.54</v>
      </c>
      <c r="P2129" t="s">
        <v>15</v>
      </c>
      <c r="Q2129" t="s">
        <v>398</v>
      </c>
    </row>
    <row r="2130" spans="1:17">
      <c r="A2130" t="s">
        <v>921</v>
      </c>
      <c r="C2130" t="s">
        <v>393</v>
      </c>
      <c r="D2130" t="s">
        <v>554</v>
      </c>
      <c r="E2130" t="s">
        <v>36</v>
      </c>
      <c r="G2130" t="s">
        <v>1549</v>
      </c>
      <c r="H2130" t="s">
        <v>457</v>
      </c>
      <c r="K2130">
        <v>1986</v>
      </c>
      <c r="O2130">
        <v>106.28</v>
      </c>
      <c r="P2130" t="s">
        <v>15</v>
      </c>
      <c r="Q2130" t="s">
        <v>398</v>
      </c>
    </row>
    <row r="2131" spans="1:17">
      <c r="A2131" t="s">
        <v>921</v>
      </c>
      <c r="C2131" t="s">
        <v>393</v>
      </c>
      <c r="D2131" t="s">
        <v>554</v>
      </c>
      <c r="E2131" t="s">
        <v>36</v>
      </c>
      <c r="G2131" t="s">
        <v>1548</v>
      </c>
      <c r="H2131" t="s">
        <v>457</v>
      </c>
      <c r="K2131">
        <v>1986</v>
      </c>
      <c r="O2131">
        <v>115.67</v>
      </c>
      <c r="P2131" t="s">
        <v>15</v>
      </c>
      <c r="Q2131" t="s">
        <v>398</v>
      </c>
    </row>
    <row r="2132" spans="1:17">
      <c r="A2132" t="s">
        <v>921</v>
      </c>
      <c r="C2132" t="s">
        <v>393</v>
      </c>
      <c r="D2132" t="s">
        <v>554</v>
      </c>
      <c r="E2132" t="s">
        <v>36</v>
      </c>
      <c r="G2132" t="s">
        <v>1541</v>
      </c>
      <c r="H2132" t="s">
        <v>457</v>
      </c>
      <c r="K2132">
        <v>1986</v>
      </c>
      <c r="O2132">
        <v>119</v>
      </c>
      <c r="P2132" t="s">
        <v>15</v>
      </c>
      <c r="Q2132" t="s">
        <v>398</v>
      </c>
    </row>
    <row r="2133" spans="1:17">
      <c r="A2133" t="s">
        <v>921</v>
      </c>
      <c r="C2133" t="s">
        <v>393</v>
      </c>
      <c r="D2133" t="s">
        <v>554</v>
      </c>
      <c r="E2133" t="s">
        <v>36</v>
      </c>
      <c r="G2133" t="s">
        <v>1544</v>
      </c>
      <c r="H2133" t="s">
        <v>399</v>
      </c>
      <c r="K2133">
        <v>1986</v>
      </c>
      <c r="O2133">
        <v>129.04</v>
      </c>
      <c r="P2133" t="s">
        <v>15</v>
      </c>
      <c r="Q2133" t="s">
        <v>398</v>
      </c>
    </row>
    <row r="2134" spans="1:17">
      <c r="A2134" t="s">
        <v>921</v>
      </c>
      <c r="C2134" t="s">
        <v>393</v>
      </c>
      <c r="D2134" t="s">
        <v>554</v>
      </c>
      <c r="E2134" t="s">
        <v>36</v>
      </c>
      <c r="G2134" t="s">
        <v>1550</v>
      </c>
      <c r="H2134" t="s">
        <v>399</v>
      </c>
      <c r="K2134">
        <v>1986</v>
      </c>
      <c r="O2134">
        <v>142.34</v>
      </c>
      <c r="P2134" t="s">
        <v>15</v>
      </c>
      <c r="Q2134" t="s">
        <v>398</v>
      </c>
    </row>
    <row r="2135" spans="1:17">
      <c r="A2135" t="s">
        <v>921</v>
      </c>
      <c r="C2135" t="s">
        <v>393</v>
      </c>
      <c r="D2135" t="s">
        <v>554</v>
      </c>
      <c r="E2135" t="s">
        <v>36</v>
      </c>
      <c r="G2135" t="s">
        <v>1539</v>
      </c>
      <c r="H2135" t="s">
        <v>457</v>
      </c>
      <c r="K2135">
        <v>1986</v>
      </c>
      <c r="O2135">
        <v>151.30000000000001</v>
      </c>
      <c r="P2135" t="s">
        <v>15</v>
      </c>
      <c r="Q2135" t="s">
        <v>398</v>
      </c>
    </row>
    <row r="2136" spans="1:17">
      <c r="A2136" t="s">
        <v>921</v>
      </c>
      <c r="C2136" t="s">
        <v>393</v>
      </c>
      <c r="D2136" t="s">
        <v>554</v>
      </c>
      <c r="E2136" t="s">
        <v>36</v>
      </c>
      <c r="G2136" t="s">
        <v>1550</v>
      </c>
      <c r="H2136" t="s">
        <v>457</v>
      </c>
      <c r="K2136">
        <v>1986</v>
      </c>
      <c r="O2136">
        <v>160.16999999999999</v>
      </c>
      <c r="P2136" t="s">
        <v>15</v>
      </c>
      <c r="Q2136" t="s">
        <v>398</v>
      </c>
    </row>
    <row r="2137" spans="1:17">
      <c r="A2137" t="s">
        <v>921</v>
      </c>
      <c r="C2137" t="s">
        <v>393</v>
      </c>
      <c r="D2137" t="s">
        <v>554</v>
      </c>
      <c r="E2137" t="s">
        <v>36</v>
      </c>
      <c r="G2137" t="s">
        <v>1543</v>
      </c>
      <c r="H2137" t="s">
        <v>457</v>
      </c>
      <c r="K2137">
        <v>1986</v>
      </c>
      <c r="O2137">
        <v>181.76</v>
      </c>
      <c r="P2137" t="s">
        <v>15</v>
      </c>
      <c r="Q2137" t="s">
        <v>398</v>
      </c>
    </row>
    <row r="2138" spans="1:17">
      <c r="A2138" t="s">
        <v>921</v>
      </c>
      <c r="C2138" t="s">
        <v>393</v>
      </c>
      <c r="D2138" t="s">
        <v>554</v>
      </c>
      <c r="E2138" t="s">
        <v>36</v>
      </c>
      <c r="G2138" t="s">
        <v>1544</v>
      </c>
      <c r="H2138" t="s">
        <v>457</v>
      </c>
      <c r="K2138">
        <v>1986</v>
      </c>
      <c r="O2138">
        <v>184.47</v>
      </c>
      <c r="P2138" t="s">
        <v>15</v>
      </c>
      <c r="Q2138" t="s">
        <v>398</v>
      </c>
    </row>
    <row r="2139" spans="1:17">
      <c r="A2139" t="s">
        <v>921</v>
      </c>
      <c r="C2139" t="s">
        <v>393</v>
      </c>
      <c r="D2139" t="s">
        <v>554</v>
      </c>
      <c r="E2139" t="s">
        <v>36</v>
      </c>
      <c r="G2139" t="s">
        <v>1547</v>
      </c>
      <c r="H2139" t="s">
        <v>457</v>
      </c>
      <c r="K2139">
        <v>1986</v>
      </c>
      <c r="O2139">
        <v>220.04999999999998</v>
      </c>
      <c r="P2139" t="s">
        <v>15</v>
      </c>
      <c r="Q2139" t="s">
        <v>398</v>
      </c>
    </row>
    <row r="2140" spans="1:17">
      <c r="A2140" t="s">
        <v>651</v>
      </c>
      <c r="C2140" t="s">
        <v>393</v>
      </c>
      <c r="D2140" t="s">
        <v>554</v>
      </c>
      <c r="E2140" t="s">
        <v>36</v>
      </c>
      <c r="G2140" t="s">
        <v>1551</v>
      </c>
      <c r="H2140" t="s">
        <v>399</v>
      </c>
      <c r="K2140">
        <v>1968</v>
      </c>
      <c r="O2140">
        <v>3.46</v>
      </c>
      <c r="P2140" t="s">
        <v>15</v>
      </c>
      <c r="Q2140" t="s">
        <v>398</v>
      </c>
    </row>
    <row r="2141" spans="1:17">
      <c r="A2141" t="s">
        <v>553</v>
      </c>
      <c r="C2141" t="s">
        <v>393</v>
      </c>
      <c r="D2141" t="s">
        <v>554</v>
      </c>
      <c r="E2141" t="s">
        <v>36</v>
      </c>
      <c r="G2141" t="s">
        <v>1552</v>
      </c>
      <c r="H2141" t="s">
        <v>399</v>
      </c>
      <c r="K2141">
        <v>1982</v>
      </c>
      <c r="O2141">
        <v>0.5</v>
      </c>
      <c r="P2141" t="s">
        <v>15</v>
      </c>
      <c r="Q2141" t="s">
        <v>398</v>
      </c>
    </row>
    <row r="2142" spans="1:17">
      <c r="A2142" t="s">
        <v>553</v>
      </c>
      <c r="C2142" t="s">
        <v>393</v>
      </c>
      <c r="D2142" t="s">
        <v>554</v>
      </c>
      <c r="E2142" t="s">
        <v>36</v>
      </c>
      <c r="G2142" t="s">
        <v>1553</v>
      </c>
      <c r="H2142" t="s">
        <v>399</v>
      </c>
      <c r="K2142">
        <v>1980</v>
      </c>
      <c r="O2142">
        <v>2.88</v>
      </c>
      <c r="P2142" t="s">
        <v>15</v>
      </c>
      <c r="Q2142" t="s">
        <v>398</v>
      </c>
    </row>
    <row r="2143" spans="1:17">
      <c r="A2143" t="s">
        <v>553</v>
      </c>
      <c r="C2143" t="s">
        <v>393</v>
      </c>
      <c r="D2143" t="s">
        <v>554</v>
      </c>
      <c r="E2143" t="s">
        <v>36</v>
      </c>
      <c r="G2143" t="s">
        <v>1554</v>
      </c>
      <c r="H2143" t="s">
        <v>399</v>
      </c>
      <c r="K2143">
        <v>1987</v>
      </c>
      <c r="O2143">
        <v>3.97</v>
      </c>
      <c r="P2143" t="s">
        <v>15</v>
      </c>
      <c r="Q2143" t="s">
        <v>398</v>
      </c>
    </row>
    <row r="2144" spans="1:17">
      <c r="A2144" t="s">
        <v>553</v>
      </c>
      <c r="C2144" t="s">
        <v>393</v>
      </c>
      <c r="D2144" t="s">
        <v>554</v>
      </c>
      <c r="E2144" t="s">
        <v>36</v>
      </c>
      <c r="G2144" t="s">
        <v>1555</v>
      </c>
      <c r="H2144" t="s">
        <v>399</v>
      </c>
      <c r="K2144">
        <v>1982</v>
      </c>
      <c r="O2144">
        <v>5.7099999999999991</v>
      </c>
      <c r="P2144" t="s">
        <v>15</v>
      </c>
      <c r="Q2144" t="s">
        <v>398</v>
      </c>
    </row>
    <row r="2145" spans="1:17">
      <c r="A2145" t="s">
        <v>553</v>
      </c>
      <c r="C2145" t="s">
        <v>393</v>
      </c>
      <c r="D2145" t="s">
        <v>554</v>
      </c>
      <c r="E2145" t="s">
        <v>36</v>
      </c>
      <c r="G2145" t="s">
        <v>1556</v>
      </c>
      <c r="H2145" t="s">
        <v>399</v>
      </c>
      <c r="K2145">
        <v>1995</v>
      </c>
      <c r="O2145">
        <v>10.06</v>
      </c>
      <c r="P2145" t="s">
        <v>15</v>
      </c>
      <c r="Q2145" t="s">
        <v>398</v>
      </c>
    </row>
    <row r="2146" spans="1:17">
      <c r="A2146" t="s">
        <v>553</v>
      </c>
      <c r="C2146" t="s">
        <v>393</v>
      </c>
      <c r="D2146" t="s">
        <v>554</v>
      </c>
      <c r="E2146" t="s">
        <v>36</v>
      </c>
      <c r="G2146" t="s">
        <v>1557</v>
      </c>
      <c r="H2146" t="s">
        <v>399</v>
      </c>
      <c r="K2146">
        <v>1982</v>
      </c>
      <c r="O2146">
        <v>10.549999999999999</v>
      </c>
      <c r="P2146" t="s">
        <v>15</v>
      </c>
      <c r="Q2146" t="s">
        <v>398</v>
      </c>
    </row>
    <row r="2147" spans="1:17">
      <c r="A2147" t="s">
        <v>553</v>
      </c>
      <c r="C2147" t="s">
        <v>393</v>
      </c>
      <c r="D2147" t="s">
        <v>554</v>
      </c>
      <c r="E2147" t="s">
        <v>36</v>
      </c>
      <c r="G2147" t="s">
        <v>932</v>
      </c>
      <c r="H2147" t="s">
        <v>399</v>
      </c>
      <c r="K2147">
        <v>1980</v>
      </c>
      <c r="O2147">
        <v>10.860000000000001</v>
      </c>
      <c r="P2147" t="s">
        <v>15</v>
      </c>
      <c r="Q2147" t="s">
        <v>398</v>
      </c>
    </row>
    <row r="2148" spans="1:17">
      <c r="A2148" t="s">
        <v>553</v>
      </c>
      <c r="C2148" t="s">
        <v>393</v>
      </c>
      <c r="D2148" t="s">
        <v>554</v>
      </c>
      <c r="E2148" t="s">
        <v>36</v>
      </c>
      <c r="G2148" t="s">
        <v>1558</v>
      </c>
      <c r="H2148" t="s">
        <v>399</v>
      </c>
      <c r="K2148">
        <v>1982</v>
      </c>
      <c r="O2148">
        <v>14.27</v>
      </c>
      <c r="P2148" t="s">
        <v>15</v>
      </c>
      <c r="Q2148" t="s">
        <v>398</v>
      </c>
    </row>
    <row r="2149" spans="1:17">
      <c r="A2149" t="s">
        <v>553</v>
      </c>
      <c r="C2149" t="s">
        <v>393</v>
      </c>
      <c r="D2149" t="s">
        <v>554</v>
      </c>
      <c r="E2149" t="s">
        <v>36</v>
      </c>
      <c r="G2149" t="s">
        <v>1559</v>
      </c>
      <c r="H2149" t="s">
        <v>399</v>
      </c>
      <c r="K2149">
        <v>1982</v>
      </c>
      <c r="O2149">
        <v>14.78</v>
      </c>
      <c r="P2149" t="s">
        <v>15</v>
      </c>
      <c r="Q2149" t="s">
        <v>398</v>
      </c>
    </row>
    <row r="2150" spans="1:17">
      <c r="A2150" t="s">
        <v>553</v>
      </c>
      <c r="C2150" t="s">
        <v>393</v>
      </c>
      <c r="D2150" t="s">
        <v>554</v>
      </c>
      <c r="E2150" t="s">
        <v>36</v>
      </c>
      <c r="G2150" t="s">
        <v>1560</v>
      </c>
      <c r="H2150" t="s">
        <v>399</v>
      </c>
      <c r="K2150">
        <v>1982</v>
      </c>
      <c r="O2150">
        <v>19.89</v>
      </c>
      <c r="P2150" t="s">
        <v>15</v>
      </c>
      <c r="Q2150" t="s">
        <v>398</v>
      </c>
    </row>
    <row r="2151" spans="1:17">
      <c r="A2151" t="s">
        <v>934</v>
      </c>
      <c r="C2151" t="s">
        <v>393</v>
      </c>
      <c r="D2151" t="s">
        <v>554</v>
      </c>
      <c r="E2151" t="s">
        <v>36</v>
      </c>
      <c r="G2151" t="s">
        <v>1561</v>
      </c>
      <c r="H2151" t="s">
        <v>457</v>
      </c>
      <c r="K2151">
        <v>1949</v>
      </c>
      <c r="O2151">
        <v>25.689999999999998</v>
      </c>
      <c r="P2151" t="s">
        <v>15</v>
      </c>
      <c r="Q2151" t="s">
        <v>398</v>
      </c>
    </row>
    <row r="2152" spans="1:17">
      <c r="A2152" t="s">
        <v>934</v>
      </c>
      <c r="C2152" t="s">
        <v>393</v>
      </c>
      <c r="D2152" t="s">
        <v>554</v>
      </c>
      <c r="E2152" t="s">
        <v>36</v>
      </c>
      <c r="G2152" t="s">
        <v>1562</v>
      </c>
      <c r="H2152" t="s">
        <v>396</v>
      </c>
      <c r="K2152">
        <v>1949</v>
      </c>
      <c r="O2152">
        <v>55.56</v>
      </c>
      <c r="P2152" t="s">
        <v>15</v>
      </c>
      <c r="Q2152" t="s">
        <v>398</v>
      </c>
    </row>
    <row r="2153" spans="1:17">
      <c r="A2153" t="s">
        <v>934</v>
      </c>
      <c r="C2153" t="s">
        <v>393</v>
      </c>
      <c r="D2153" t="s">
        <v>554</v>
      </c>
      <c r="E2153" t="s">
        <v>36</v>
      </c>
      <c r="G2153" t="s">
        <v>1563</v>
      </c>
      <c r="H2153" t="s">
        <v>396</v>
      </c>
      <c r="K2153">
        <v>1949</v>
      </c>
      <c r="O2153">
        <v>55.56</v>
      </c>
      <c r="P2153" t="s">
        <v>15</v>
      </c>
      <c r="Q2153" t="s">
        <v>398</v>
      </c>
    </row>
    <row r="2154" spans="1:17">
      <c r="A2154" t="s">
        <v>504</v>
      </c>
      <c r="C2154" t="s">
        <v>393</v>
      </c>
      <c r="D2154" t="s">
        <v>505</v>
      </c>
      <c r="E2154" t="s">
        <v>36</v>
      </c>
      <c r="G2154" t="s">
        <v>1564</v>
      </c>
      <c r="H2154" t="s">
        <v>457</v>
      </c>
      <c r="K2154">
        <v>1993</v>
      </c>
      <c r="O2154">
        <v>0.52</v>
      </c>
      <c r="P2154" t="s">
        <v>15</v>
      </c>
      <c r="Q2154" t="s">
        <v>398</v>
      </c>
    </row>
    <row r="2155" spans="1:17">
      <c r="A2155" t="s">
        <v>504</v>
      </c>
      <c r="C2155" t="s">
        <v>393</v>
      </c>
      <c r="D2155" t="s">
        <v>505</v>
      </c>
      <c r="E2155" t="s">
        <v>36</v>
      </c>
      <c r="G2155" t="s">
        <v>269</v>
      </c>
      <c r="H2155" t="s">
        <v>457</v>
      </c>
      <c r="K2155">
        <v>1993</v>
      </c>
      <c r="O2155">
        <v>2.82</v>
      </c>
      <c r="P2155" t="s">
        <v>15</v>
      </c>
      <c r="Q2155" t="s">
        <v>398</v>
      </c>
    </row>
    <row r="2156" spans="1:17">
      <c r="A2156" t="s">
        <v>504</v>
      </c>
      <c r="C2156" t="s">
        <v>393</v>
      </c>
      <c r="D2156" t="s">
        <v>505</v>
      </c>
      <c r="E2156" t="s">
        <v>36</v>
      </c>
      <c r="G2156" t="s">
        <v>1565</v>
      </c>
      <c r="H2156" t="s">
        <v>457</v>
      </c>
      <c r="K2156">
        <v>1993</v>
      </c>
      <c r="O2156">
        <v>6.6300000000000008</v>
      </c>
      <c r="P2156" t="s">
        <v>15</v>
      </c>
      <c r="Q2156" t="s">
        <v>398</v>
      </c>
    </row>
    <row r="2157" spans="1:17">
      <c r="A2157" t="s">
        <v>504</v>
      </c>
      <c r="C2157" t="s">
        <v>393</v>
      </c>
      <c r="D2157" t="s">
        <v>505</v>
      </c>
      <c r="E2157" t="s">
        <v>36</v>
      </c>
      <c r="G2157" t="s">
        <v>1566</v>
      </c>
      <c r="H2157" t="s">
        <v>457</v>
      </c>
      <c r="K2157">
        <v>1993</v>
      </c>
      <c r="O2157">
        <v>33.479999999999997</v>
      </c>
      <c r="P2157" t="s">
        <v>15</v>
      </c>
      <c r="Q2157" t="s">
        <v>398</v>
      </c>
    </row>
    <row r="2158" spans="1:17">
      <c r="A2158" t="s">
        <v>504</v>
      </c>
      <c r="C2158" t="s">
        <v>393</v>
      </c>
      <c r="D2158" t="s">
        <v>505</v>
      </c>
      <c r="E2158" t="s">
        <v>36</v>
      </c>
      <c r="G2158" t="s">
        <v>1567</v>
      </c>
      <c r="H2158" t="s">
        <v>457</v>
      </c>
      <c r="K2158">
        <v>1993</v>
      </c>
      <c r="O2158">
        <v>37.93</v>
      </c>
      <c r="P2158" t="s">
        <v>15</v>
      </c>
      <c r="Q2158" t="s">
        <v>398</v>
      </c>
    </row>
    <row r="2159" spans="1:17">
      <c r="A2159" t="s">
        <v>504</v>
      </c>
      <c r="C2159" t="s">
        <v>393</v>
      </c>
      <c r="D2159" t="s">
        <v>505</v>
      </c>
      <c r="E2159" t="s">
        <v>36</v>
      </c>
      <c r="G2159" t="s">
        <v>1568</v>
      </c>
      <c r="H2159" t="s">
        <v>457</v>
      </c>
      <c r="K2159">
        <v>1993</v>
      </c>
      <c r="O2159">
        <v>66.36999999999999</v>
      </c>
      <c r="P2159" t="s">
        <v>15</v>
      </c>
      <c r="Q2159" t="s">
        <v>398</v>
      </c>
    </row>
    <row r="2160" spans="1:17">
      <c r="A2160" t="s">
        <v>940</v>
      </c>
      <c r="C2160" t="s">
        <v>393</v>
      </c>
      <c r="D2160" t="s">
        <v>554</v>
      </c>
      <c r="E2160" t="s">
        <v>36</v>
      </c>
      <c r="G2160" t="s">
        <v>1569</v>
      </c>
      <c r="H2160" t="s">
        <v>457</v>
      </c>
      <c r="K2160">
        <v>1993</v>
      </c>
      <c r="O2160">
        <v>1.45</v>
      </c>
      <c r="P2160" t="s">
        <v>15</v>
      </c>
      <c r="Q2160" t="s">
        <v>398</v>
      </c>
    </row>
    <row r="2161" spans="1:17">
      <c r="A2161" t="s">
        <v>940</v>
      </c>
      <c r="C2161" t="s">
        <v>393</v>
      </c>
      <c r="D2161" t="s">
        <v>554</v>
      </c>
      <c r="E2161" t="s">
        <v>36</v>
      </c>
      <c r="G2161" t="s">
        <v>1570</v>
      </c>
      <c r="H2161" t="s">
        <v>457</v>
      </c>
      <c r="K2161">
        <v>1993</v>
      </c>
      <c r="O2161">
        <v>1.73</v>
      </c>
      <c r="P2161" t="s">
        <v>15</v>
      </c>
      <c r="Q2161" t="s">
        <v>398</v>
      </c>
    </row>
    <row r="2162" spans="1:17">
      <c r="A2162" t="s">
        <v>940</v>
      </c>
      <c r="C2162" t="s">
        <v>393</v>
      </c>
      <c r="D2162" t="s">
        <v>554</v>
      </c>
      <c r="E2162" t="s">
        <v>36</v>
      </c>
      <c r="G2162" t="s">
        <v>941</v>
      </c>
      <c r="H2162" t="s">
        <v>457</v>
      </c>
      <c r="K2162">
        <v>1993</v>
      </c>
      <c r="O2162">
        <v>6.8000000000000007</v>
      </c>
      <c r="P2162" t="s">
        <v>15</v>
      </c>
      <c r="Q2162" t="s">
        <v>398</v>
      </c>
    </row>
    <row r="2163" spans="1:17">
      <c r="A2163" t="s">
        <v>940</v>
      </c>
      <c r="C2163" t="s">
        <v>393</v>
      </c>
      <c r="D2163" t="s">
        <v>554</v>
      </c>
      <c r="E2163" t="s">
        <v>36</v>
      </c>
      <c r="G2163" t="s">
        <v>1571</v>
      </c>
      <c r="H2163" t="s">
        <v>457</v>
      </c>
      <c r="K2163">
        <v>1993</v>
      </c>
      <c r="O2163">
        <v>7.78</v>
      </c>
      <c r="P2163" t="s">
        <v>15</v>
      </c>
      <c r="Q2163" t="s">
        <v>398</v>
      </c>
    </row>
    <row r="2164" spans="1:17">
      <c r="A2164" t="s">
        <v>940</v>
      </c>
      <c r="C2164" t="s">
        <v>393</v>
      </c>
      <c r="D2164" t="s">
        <v>554</v>
      </c>
      <c r="E2164" t="s">
        <v>36</v>
      </c>
      <c r="G2164" t="s">
        <v>944</v>
      </c>
      <c r="H2164" t="s">
        <v>399</v>
      </c>
      <c r="K2164">
        <v>1993</v>
      </c>
      <c r="O2164">
        <v>8.7200000000000006</v>
      </c>
      <c r="P2164" t="s">
        <v>15</v>
      </c>
      <c r="Q2164" t="s">
        <v>398</v>
      </c>
    </row>
    <row r="2165" spans="1:17">
      <c r="A2165" t="s">
        <v>940</v>
      </c>
      <c r="C2165" t="s">
        <v>393</v>
      </c>
      <c r="D2165" t="s">
        <v>554</v>
      </c>
      <c r="E2165" t="s">
        <v>36</v>
      </c>
      <c r="G2165" t="s">
        <v>1571</v>
      </c>
      <c r="H2165" t="s">
        <v>399</v>
      </c>
      <c r="K2165">
        <v>1993</v>
      </c>
      <c r="O2165">
        <v>17.36</v>
      </c>
      <c r="P2165" t="s">
        <v>15</v>
      </c>
      <c r="Q2165" t="s">
        <v>398</v>
      </c>
    </row>
    <row r="2166" spans="1:17">
      <c r="A2166" t="s">
        <v>940</v>
      </c>
      <c r="C2166" t="s">
        <v>393</v>
      </c>
      <c r="D2166" t="s">
        <v>554</v>
      </c>
      <c r="E2166" t="s">
        <v>36</v>
      </c>
      <c r="G2166" t="s">
        <v>944</v>
      </c>
      <c r="H2166" t="s">
        <v>396</v>
      </c>
      <c r="K2166">
        <v>1993</v>
      </c>
      <c r="O2166">
        <v>26.720000000000002</v>
      </c>
      <c r="P2166" t="s">
        <v>15</v>
      </c>
      <c r="Q2166" t="s">
        <v>398</v>
      </c>
    </row>
    <row r="2167" spans="1:17">
      <c r="A2167" t="s">
        <v>940</v>
      </c>
      <c r="C2167" t="s">
        <v>393</v>
      </c>
      <c r="D2167" t="s">
        <v>554</v>
      </c>
      <c r="E2167" t="s">
        <v>36</v>
      </c>
      <c r="G2167" t="s">
        <v>943</v>
      </c>
      <c r="H2167" t="s">
        <v>399</v>
      </c>
      <c r="K2167">
        <v>1993</v>
      </c>
      <c r="O2167">
        <v>45.38</v>
      </c>
      <c r="P2167" t="s">
        <v>15</v>
      </c>
      <c r="Q2167" t="s">
        <v>398</v>
      </c>
    </row>
    <row r="2168" spans="1:17">
      <c r="A2168" t="s">
        <v>940</v>
      </c>
      <c r="C2168" t="s">
        <v>393</v>
      </c>
      <c r="D2168" t="s">
        <v>554</v>
      </c>
      <c r="E2168" t="s">
        <v>36</v>
      </c>
      <c r="G2168" t="s">
        <v>1570</v>
      </c>
      <c r="H2168" t="s">
        <v>399</v>
      </c>
      <c r="K2168">
        <v>1993</v>
      </c>
      <c r="O2168">
        <v>68.92</v>
      </c>
      <c r="P2168" t="s">
        <v>15</v>
      </c>
      <c r="Q2168" t="s">
        <v>398</v>
      </c>
    </row>
    <row r="2169" spans="1:17">
      <c r="A2169" t="s">
        <v>940</v>
      </c>
      <c r="C2169" t="s">
        <v>393</v>
      </c>
      <c r="D2169" t="s">
        <v>554</v>
      </c>
      <c r="E2169" t="s">
        <v>36</v>
      </c>
      <c r="G2169" t="s">
        <v>941</v>
      </c>
      <c r="H2169" t="s">
        <v>399</v>
      </c>
      <c r="K2169">
        <v>1993</v>
      </c>
      <c r="O2169">
        <v>97.04</v>
      </c>
      <c r="P2169" t="s">
        <v>15</v>
      </c>
      <c r="Q2169" t="s">
        <v>398</v>
      </c>
    </row>
    <row r="2170" spans="1:17">
      <c r="A2170" t="s">
        <v>1517</v>
      </c>
      <c r="B2170" t="s">
        <v>593</v>
      </c>
      <c r="C2170" t="s">
        <v>393</v>
      </c>
      <c r="D2170" t="s">
        <v>729</v>
      </c>
      <c r="E2170" t="s">
        <v>161</v>
      </c>
      <c r="G2170" t="s">
        <v>1360</v>
      </c>
      <c r="H2170" t="s">
        <v>700</v>
      </c>
      <c r="K2170">
        <v>1978</v>
      </c>
      <c r="L2170">
        <v>2007</v>
      </c>
      <c r="M2170">
        <v>30</v>
      </c>
      <c r="O2170">
        <v>33.299999999999997</v>
      </c>
      <c r="P2170">
        <v>0</v>
      </c>
      <c r="Q2170" t="s">
        <v>701</v>
      </c>
    </row>
    <row r="2171" spans="1:17">
      <c r="A2171" t="s">
        <v>1517</v>
      </c>
      <c r="B2171" t="s">
        <v>593</v>
      </c>
      <c r="C2171" t="s">
        <v>393</v>
      </c>
      <c r="D2171" t="s">
        <v>729</v>
      </c>
      <c r="E2171" t="s">
        <v>161</v>
      </c>
      <c r="G2171" t="s">
        <v>1572</v>
      </c>
      <c r="H2171" t="s">
        <v>700</v>
      </c>
      <c r="K2171">
        <v>1978</v>
      </c>
      <c r="L2171">
        <v>2007</v>
      </c>
      <c r="M2171">
        <v>30</v>
      </c>
      <c r="O2171">
        <v>22.200000000000003</v>
      </c>
      <c r="P2171">
        <v>0</v>
      </c>
      <c r="Q2171" t="s">
        <v>701</v>
      </c>
    </row>
    <row r="2172" spans="1:17">
      <c r="A2172" t="s">
        <v>940</v>
      </c>
      <c r="C2172" t="s">
        <v>393</v>
      </c>
      <c r="D2172" t="s">
        <v>554</v>
      </c>
      <c r="E2172" t="s">
        <v>36</v>
      </c>
      <c r="G2172" t="s">
        <v>1571</v>
      </c>
      <c r="H2172" t="s">
        <v>396</v>
      </c>
      <c r="K2172">
        <v>1993</v>
      </c>
      <c r="O2172">
        <v>126.41999999999999</v>
      </c>
      <c r="P2172" t="s">
        <v>15</v>
      </c>
      <c r="Q2172" t="s">
        <v>398</v>
      </c>
    </row>
    <row r="2173" spans="1:17">
      <c r="A2173" t="s">
        <v>940</v>
      </c>
      <c r="C2173" t="s">
        <v>393</v>
      </c>
      <c r="D2173" t="s">
        <v>554</v>
      </c>
      <c r="E2173" t="s">
        <v>36</v>
      </c>
      <c r="G2173" t="s">
        <v>1569</v>
      </c>
      <c r="H2173" t="s">
        <v>399</v>
      </c>
      <c r="K2173">
        <v>1993</v>
      </c>
      <c r="O2173">
        <v>154.34</v>
      </c>
      <c r="P2173" t="s">
        <v>15</v>
      </c>
      <c r="Q2173" t="s">
        <v>398</v>
      </c>
    </row>
    <row r="2174" spans="1:17">
      <c r="A2174" t="s">
        <v>940</v>
      </c>
      <c r="C2174" t="s">
        <v>393</v>
      </c>
      <c r="D2174" t="s">
        <v>554</v>
      </c>
      <c r="E2174" t="s">
        <v>36</v>
      </c>
      <c r="G2174" t="s">
        <v>1570</v>
      </c>
      <c r="H2174" t="s">
        <v>396</v>
      </c>
      <c r="K2174">
        <v>1993</v>
      </c>
      <c r="O2174">
        <v>239.77</v>
      </c>
      <c r="P2174" t="s">
        <v>15</v>
      </c>
      <c r="Q2174" t="s">
        <v>398</v>
      </c>
    </row>
    <row r="2175" spans="1:17">
      <c r="A2175" t="s">
        <v>940</v>
      </c>
      <c r="C2175" t="s">
        <v>393</v>
      </c>
      <c r="D2175" t="s">
        <v>554</v>
      </c>
      <c r="E2175" t="s">
        <v>36</v>
      </c>
      <c r="G2175" t="s">
        <v>1569</v>
      </c>
      <c r="H2175" t="s">
        <v>396</v>
      </c>
      <c r="K2175">
        <v>1993</v>
      </c>
      <c r="O2175">
        <v>454.85999999999996</v>
      </c>
      <c r="P2175" t="s">
        <v>15</v>
      </c>
      <c r="Q2175" t="s">
        <v>398</v>
      </c>
    </row>
    <row r="2176" spans="1:17">
      <c r="A2176" t="s">
        <v>940</v>
      </c>
      <c r="C2176" t="s">
        <v>393</v>
      </c>
      <c r="D2176" t="s">
        <v>554</v>
      </c>
      <c r="E2176" t="s">
        <v>36</v>
      </c>
      <c r="G2176" t="s">
        <v>943</v>
      </c>
      <c r="H2176" t="s">
        <v>396</v>
      </c>
      <c r="K2176">
        <v>1993</v>
      </c>
      <c r="O2176">
        <v>600.37</v>
      </c>
      <c r="P2176" t="s">
        <v>15</v>
      </c>
      <c r="Q2176" t="s">
        <v>398</v>
      </c>
    </row>
    <row r="2177" spans="1:17">
      <c r="A2177" t="s">
        <v>945</v>
      </c>
      <c r="C2177" t="s">
        <v>393</v>
      </c>
      <c r="D2177" t="s">
        <v>554</v>
      </c>
      <c r="E2177" t="s">
        <v>36</v>
      </c>
      <c r="G2177" t="s">
        <v>955</v>
      </c>
      <c r="H2177" t="s">
        <v>399</v>
      </c>
      <c r="K2177">
        <v>1978</v>
      </c>
      <c r="O2177">
        <v>1.54</v>
      </c>
      <c r="P2177" t="s">
        <v>15</v>
      </c>
      <c r="Q2177" t="s">
        <v>398</v>
      </c>
    </row>
    <row r="2178" spans="1:17">
      <c r="A2178" t="s">
        <v>945</v>
      </c>
      <c r="C2178" t="s">
        <v>393</v>
      </c>
      <c r="D2178" t="s">
        <v>554</v>
      </c>
      <c r="E2178" t="s">
        <v>36</v>
      </c>
      <c r="G2178" t="s">
        <v>1573</v>
      </c>
      <c r="H2178" t="s">
        <v>399</v>
      </c>
      <c r="K2178">
        <v>1978</v>
      </c>
      <c r="O2178">
        <v>11.129999999999999</v>
      </c>
      <c r="P2178" t="s">
        <v>15</v>
      </c>
      <c r="Q2178" t="s">
        <v>398</v>
      </c>
    </row>
    <row r="2179" spans="1:17">
      <c r="A2179" t="s">
        <v>945</v>
      </c>
      <c r="C2179" t="s">
        <v>393</v>
      </c>
      <c r="D2179" t="s">
        <v>554</v>
      </c>
      <c r="E2179" t="s">
        <v>36</v>
      </c>
      <c r="G2179" t="s">
        <v>1574</v>
      </c>
      <c r="H2179" t="s">
        <v>399</v>
      </c>
      <c r="K2179">
        <v>1978</v>
      </c>
      <c r="O2179">
        <v>13.440000000000001</v>
      </c>
      <c r="P2179" t="s">
        <v>15</v>
      </c>
      <c r="Q2179" t="s">
        <v>398</v>
      </c>
    </row>
    <row r="2180" spans="1:17">
      <c r="A2180" t="s">
        <v>945</v>
      </c>
      <c r="C2180" t="s">
        <v>393</v>
      </c>
      <c r="D2180" t="s">
        <v>554</v>
      </c>
      <c r="E2180" t="s">
        <v>36</v>
      </c>
      <c r="G2180" t="s">
        <v>1575</v>
      </c>
      <c r="H2180" t="s">
        <v>399</v>
      </c>
      <c r="K2180">
        <v>1978</v>
      </c>
      <c r="O2180">
        <v>15.74</v>
      </c>
      <c r="P2180" t="s">
        <v>15</v>
      </c>
      <c r="Q2180" t="s">
        <v>398</v>
      </c>
    </row>
    <row r="2181" spans="1:17">
      <c r="A2181" t="s">
        <v>945</v>
      </c>
      <c r="C2181" t="s">
        <v>393</v>
      </c>
      <c r="D2181" t="s">
        <v>554</v>
      </c>
      <c r="E2181" t="s">
        <v>36</v>
      </c>
      <c r="G2181" t="s">
        <v>1576</v>
      </c>
      <c r="H2181" t="s">
        <v>399</v>
      </c>
      <c r="K2181">
        <v>1978</v>
      </c>
      <c r="O2181">
        <v>17.27</v>
      </c>
      <c r="P2181" t="s">
        <v>15</v>
      </c>
      <c r="Q2181" t="s">
        <v>398</v>
      </c>
    </row>
    <row r="2182" spans="1:17">
      <c r="A2182" t="s">
        <v>945</v>
      </c>
      <c r="C2182" t="s">
        <v>393</v>
      </c>
      <c r="D2182" t="s">
        <v>554</v>
      </c>
      <c r="E2182" t="s">
        <v>36</v>
      </c>
      <c r="G2182" t="s">
        <v>1577</v>
      </c>
      <c r="H2182" t="s">
        <v>399</v>
      </c>
      <c r="K2182">
        <v>1978</v>
      </c>
      <c r="O2182">
        <v>19.190000000000001</v>
      </c>
      <c r="P2182" t="s">
        <v>15</v>
      </c>
      <c r="Q2182" t="s">
        <v>398</v>
      </c>
    </row>
    <row r="2183" spans="1:17">
      <c r="A2183" t="s">
        <v>945</v>
      </c>
      <c r="C2183" t="s">
        <v>393</v>
      </c>
      <c r="D2183" t="s">
        <v>554</v>
      </c>
      <c r="E2183" t="s">
        <v>36</v>
      </c>
      <c r="G2183" t="s">
        <v>1578</v>
      </c>
      <c r="H2183" t="s">
        <v>399</v>
      </c>
      <c r="K2183">
        <v>1978</v>
      </c>
      <c r="O2183">
        <v>20.350000000000001</v>
      </c>
      <c r="P2183" t="s">
        <v>15</v>
      </c>
      <c r="Q2183" t="s">
        <v>398</v>
      </c>
    </row>
    <row r="2184" spans="1:17">
      <c r="A2184" t="s">
        <v>945</v>
      </c>
      <c r="C2184" t="s">
        <v>393</v>
      </c>
      <c r="D2184" t="s">
        <v>554</v>
      </c>
      <c r="E2184" t="s">
        <v>36</v>
      </c>
      <c r="G2184" t="s">
        <v>1573</v>
      </c>
      <c r="H2184" t="s">
        <v>457</v>
      </c>
      <c r="K2184">
        <v>1978</v>
      </c>
      <c r="O2184">
        <v>21.880000000000003</v>
      </c>
      <c r="P2184" t="s">
        <v>15</v>
      </c>
      <c r="Q2184" t="s">
        <v>398</v>
      </c>
    </row>
    <row r="2185" spans="1:17">
      <c r="A2185" t="s">
        <v>945</v>
      </c>
      <c r="C2185" t="s">
        <v>393</v>
      </c>
      <c r="D2185" t="s">
        <v>554</v>
      </c>
      <c r="E2185" t="s">
        <v>36</v>
      </c>
      <c r="G2185" t="s">
        <v>1579</v>
      </c>
      <c r="H2185" t="s">
        <v>457</v>
      </c>
      <c r="K2185">
        <v>1978</v>
      </c>
      <c r="O2185">
        <v>21.880000000000003</v>
      </c>
      <c r="P2185" t="s">
        <v>15</v>
      </c>
      <c r="Q2185" t="s">
        <v>398</v>
      </c>
    </row>
    <row r="2186" spans="1:17">
      <c r="A2186" t="s">
        <v>945</v>
      </c>
      <c r="C2186" t="s">
        <v>393</v>
      </c>
      <c r="D2186" t="s">
        <v>554</v>
      </c>
      <c r="E2186" t="s">
        <v>36</v>
      </c>
      <c r="G2186" t="s">
        <v>1580</v>
      </c>
      <c r="H2186" t="s">
        <v>399</v>
      </c>
      <c r="K2186">
        <v>1978</v>
      </c>
      <c r="O2186">
        <v>21.880000000000003</v>
      </c>
      <c r="P2186" t="s">
        <v>15</v>
      </c>
      <c r="Q2186" t="s">
        <v>398</v>
      </c>
    </row>
    <row r="2187" spans="1:17">
      <c r="A2187" t="s">
        <v>945</v>
      </c>
      <c r="C2187" t="s">
        <v>393</v>
      </c>
      <c r="D2187" t="s">
        <v>554</v>
      </c>
      <c r="E2187" t="s">
        <v>36</v>
      </c>
      <c r="G2187" t="s">
        <v>1581</v>
      </c>
      <c r="H2187" t="s">
        <v>399</v>
      </c>
      <c r="K2187">
        <v>1978</v>
      </c>
      <c r="O2187">
        <v>22.650000000000002</v>
      </c>
      <c r="P2187" t="s">
        <v>15</v>
      </c>
      <c r="Q2187" t="s">
        <v>398</v>
      </c>
    </row>
    <row r="2188" spans="1:17">
      <c r="A2188" t="s">
        <v>945</v>
      </c>
      <c r="C2188" t="s">
        <v>393</v>
      </c>
      <c r="D2188" t="s">
        <v>554</v>
      </c>
      <c r="E2188" t="s">
        <v>36</v>
      </c>
      <c r="G2188" t="s">
        <v>1582</v>
      </c>
      <c r="H2188" t="s">
        <v>399</v>
      </c>
      <c r="K2188">
        <v>1978</v>
      </c>
      <c r="O2188">
        <v>22.650000000000002</v>
      </c>
      <c r="P2188" t="s">
        <v>15</v>
      </c>
      <c r="Q2188" t="s">
        <v>398</v>
      </c>
    </row>
    <row r="2189" spans="1:17">
      <c r="A2189" t="s">
        <v>945</v>
      </c>
      <c r="C2189" t="s">
        <v>393</v>
      </c>
      <c r="D2189" t="s">
        <v>554</v>
      </c>
      <c r="E2189" t="s">
        <v>36</v>
      </c>
      <c r="G2189" t="s">
        <v>1583</v>
      </c>
      <c r="H2189" t="s">
        <v>399</v>
      </c>
      <c r="K2189">
        <v>1978</v>
      </c>
      <c r="O2189">
        <v>24.950000000000003</v>
      </c>
      <c r="P2189" t="s">
        <v>15</v>
      </c>
      <c r="Q2189" t="s">
        <v>398</v>
      </c>
    </row>
    <row r="2190" spans="1:17">
      <c r="A2190" t="s">
        <v>945</v>
      </c>
      <c r="C2190" t="s">
        <v>393</v>
      </c>
      <c r="D2190" t="s">
        <v>554</v>
      </c>
      <c r="E2190" t="s">
        <v>36</v>
      </c>
      <c r="G2190" t="s">
        <v>272</v>
      </c>
      <c r="H2190" t="s">
        <v>399</v>
      </c>
      <c r="K2190">
        <v>1978</v>
      </c>
      <c r="O2190">
        <v>26.869999999999997</v>
      </c>
      <c r="P2190" t="s">
        <v>15</v>
      </c>
      <c r="Q2190" t="s">
        <v>398</v>
      </c>
    </row>
    <row r="2191" spans="1:17">
      <c r="A2191" t="s">
        <v>945</v>
      </c>
      <c r="C2191" t="s">
        <v>393</v>
      </c>
      <c r="D2191" t="s">
        <v>554</v>
      </c>
      <c r="E2191" t="s">
        <v>36</v>
      </c>
      <c r="G2191" t="s">
        <v>1578</v>
      </c>
      <c r="H2191" t="s">
        <v>457</v>
      </c>
      <c r="K2191">
        <v>1978</v>
      </c>
      <c r="O2191">
        <v>33.78</v>
      </c>
      <c r="P2191" t="s">
        <v>15</v>
      </c>
      <c r="Q2191" t="s">
        <v>398</v>
      </c>
    </row>
    <row r="2192" spans="1:17">
      <c r="A2192" t="s">
        <v>945</v>
      </c>
      <c r="C2192" t="s">
        <v>393</v>
      </c>
      <c r="D2192" t="s">
        <v>554</v>
      </c>
      <c r="E2192" t="s">
        <v>36</v>
      </c>
      <c r="G2192" t="s">
        <v>1584</v>
      </c>
      <c r="H2192" t="s">
        <v>399</v>
      </c>
      <c r="K2192">
        <v>1978</v>
      </c>
      <c r="O2192">
        <v>48.37</v>
      </c>
      <c r="P2192" t="s">
        <v>15</v>
      </c>
      <c r="Q2192" t="s">
        <v>398</v>
      </c>
    </row>
    <row r="2193" spans="1:17">
      <c r="A2193" t="s">
        <v>945</v>
      </c>
      <c r="C2193" t="s">
        <v>393</v>
      </c>
      <c r="D2193" t="s">
        <v>554</v>
      </c>
      <c r="E2193" t="s">
        <v>36</v>
      </c>
      <c r="G2193" t="s">
        <v>1579</v>
      </c>
      <c r="H2193" t="s">
        <v>399</v>
      </c>
      <c r="K2193">
        <v>1978</v>
      </c>
      <c r="O2193">
        <v>49.14</v>
      </c>
      <c r="P2193" t="s">
        <v>15</v>
      </c>
      <c r="Q2193" t="s">
        <v>398</v>
      </c>
    </row>
    <row r="2194" spans="1:17">
      <c r="A2194" t="s">
        <v>945</v>
      </c>
      <c r="C2194" t="s">
        <v>393</v>
      </c>
      <c r="D2194" t="s">
        <v>554</v>
      </c>
      <c r="E2194" t="s">
        <v>36</v>
      </c>
      <c r="G2194" t="s">
        <v>1585</v>
      </c>
      <c r="H2194" t="s">
        <v>399</v>
      </c>
      <c r="K2194">
        <v>1978</v>
      </c>
      <c r="O2194">
        <v>68.33</v>
      </c>
      <c r="P2194" t="s">
        <v>15</v>
      </c>
      <c r="Q2194" t="s">
        <v>398</v>
      </c>
    </row>
    <row r="2195" spans="1:17">
      <c r="A2195" t="s">
        <v>945</v>
      </c>
      <c r="C2195" t="s">
        <v>393</v>
      </c>
      <c r="D2195" t="s">
        <v>554</v>
      </c>
      <c r="E2195" t="s">
        <v>36</v>
      </c>
      <c r="G2195" t="s">
        <v>1586</v>
      </c>
      <c r="H2195" t="s">
        <v>399</v>
      </c>
      <c r="K2195">
        <v>1978</v>
      </c>
      <c r="O2195">
        <v>70.25</v>
      </c>
      <c r="P2195" t="s">
        <v>15</v>
      </c>
      <c r="Q2195" t="s">
        <v>398</v>
      </c>
    </row>
    <row r="2196" spans="1:17">
      <c r="A2196" t="s">
        <v>945</v>
      </c>
      <c r="C2196" t="s">
        <v>393</v>
      </c>
      <c r="D2196" t="s">
        <v>554</v>
      </c>
      <c r="E2196" t="s">
        <v>36</v>
      </c>
      <c r="G2196" t="s">
        <v>1587</v>
      </c>
      <c r="H2196" t="s">
        <v>399</v>
      </c>
      <c r="K2196">
        <v>1978</v>
      </c>
      <c r="O2196">
        <v>85.22</v>
      </c>
      <c r="P2196" t="s">
        <v>15</v>
      </c>
      <c r="Q2196" t="s">
        <v>398</v>
      </c>
    </row>
    <row r="2197" spans="1:17">
      <c r="A2197" t="s">
        <v>945</v>
      </c>
      <c r="C2197" t="s">
        <v>393</v>
      </c>
      <c r="D2197" t="s">
        <v>554</v>
      </c>
      <c r="E2197" t="s">
        <v>36</v>
      </c>
      <c r="G2197" t="s">
        <v>1585</v>
      </c>
      <c r="H2197" t="s">
        <v>457</v>
      </c>
      <c r="K2197">
        <v>1978</v>
      </c>
      <c r="O2197">
        <v>97.89</v>
      </c>
      <c r="P2197" t="s">
        <v>15</v>
      </c>
      <c r="Q2197" t="s">
        <v>398</v>
      </c>
    </row>
    <row r="2198" spans="1:17">
      <c r="A2198" t="s">
        <v>945</v>
      </c>
      <c r="C2198" t="s">
        <v>393</v>
      </c>
      <c r="D2198" t="s">
        <v>554</v>
      </c>
      <c r="E2198" t="s">
        <v>36</v>
      </c>
      <c r="G2198" t="s">
        <v>1588</v>
      </c>
      <c r="H2198" t="s">
        <v>399</v>
      </c>
      <c r="K2198">
        <v>1978</v>
      </c>
      <c r="O2198">
        <v>106.72</v>
      </c>
      <c r="P2198" t="s">
        <v>15</v>
      </c>
      <c r="Q2198" t="s">
        <v>398</v>
      </c>
    </row>
    <row r="2199" spans="1:17">
      <c r="A2199" t="s">
        <v>945</v>
      </c>
      <c r="C2199" t="s">
        <v>393</v>
      </c>
      <c r="D2199" t="s">
        <v>554</v>
      </c>
      <c r="E2199" t="s">
        <v>36</v>
      </c>
      <c r="G2199" t="s">
        <v>1589</v>
      </c>
      <c r="H2199" t="s">
        <v>399</v>
      </c>
      <c r="K2199">
        <v>1978</v>
      </c>
      <c r="O2199">
        <v>112.09</v>
      </c>
      <c r="P2199" t="s">
        <v>15</v>
      </c>
      <c r="Q2199" t="s">
        <v>398</v>
      </c>
    </row>
    <row r="2200" spans="1:17">
      <c r="A2200" t="s">
        <v>945</v>
      </c>
      <c r="C2200" t="s">
        <v>393</v>
      </c>
      <c r="D2200" t="s">
        <v>554</v>
      </c>
      <c r="E2200" t="s">
        <v>36</v>
      </c>
      <c r="G2200" t="s">
        <v>957</v>
      </c>
      <c r="H2200" t="s">
        <v>457</v>
      </c>
      <c r="K2200">
        <v>1978</v>
      </c>
      <c r="O2200">
        <v>127.83</v>
      </c>
      <c r="P2200" t="s">
        <v>15</v>
      </c>
      <c r="Q2200" t="s">
        <v>398</v>
      </c>
    </row>
    <row r="2201" spans="1:17">
      <c r="A2201" t="s">
        <v>945</v>
      </c>
      <c r="C2201" t="s">
        <v>393</v>
      </c>
      <c r="D2201" t="s">
        <v>554</v>
      </c>
      <c r="E2201" t="s">
        <v>36</v>
      </c>
      <c r="G2201" t="s">
        <v>1590</v>
      </c>
      <c r="H2201" t="s">
        <v>399</v>
      </c>
      <c r="K2201">
        <v>1978</v>
      </c>
      <c r="O2201">
        <v>183.11</v>
      </c>
      <c r="P2201" t="s">
        <v>15</v>
      </c>
      <c r="Q2201" t="s">
        <v>398</v>
      </c>
    </row>
    <row r="2202" spans="1:17">
      <c r="A2202" t="s">
        <v>945</v>
      </c>
      <c r="C2202" t="s">
        <v>393</v>
      </c>
      <c r="D2202" t="s">
        <v>554</v>
      </c>
      <c r="E2202" t="s">
        <v>36</v>
      </c>
      <c r="G2202" t="s">
        <v>1591</v>
      </c>
      <c r="H2202" t="s">
        <v>399</v>
      </c>
      <c r="K2202">
        <v>1978</v>
      </c>
      <c r="O2202">
        <v>266.03000000000003</v>
      </c>
      <c r="P2202" t="s">
        <v>15</v>
      </c>
      <c r="Q2202" t="s">
        <v>398</v>
      </c>
    </row>
    <row r="2203" spans="1:17">
      <c r="A2203" t="s">
        <v>1592</v>
      </c>
      <c r="C2203" t="s">
        <v>393</v>
      </c>
      <c r="D2203" t="s">
        <v>554</v>
      </c>
      <c r="E2203" t="s">
        <v>265</v>
      </c>
      <c r="G2203" t="s">
        <v>1593</v>
      </c>
      <c r="H2203" t="s">
        <v>457</v>
      </c>
      <c r="K2203">
        <v>1978</v>
      </c>
      <c r="O2203">
        <v>58.93</v>
      </c>
      <c r="P2203" t="s">
        <v>15</v>
      </c>
      <c r="Q2203" t="s">
        <v>398</v>
      </c>
    </row>
    <row r="2204" spans="1:17">
      <c r="A2204" t="s">
        <v>1594</v>
      </c>
      <c r="B2204" t="s">
        <v>593</v>
      </c>
      <c r="C2204" t="s">
        <v>393</v>
      </c>
      <c r="D2204" t="s">
        <v>703</v>
      </c>
      <c r="E2204" t="s">
        <v>161</v>
      </c>
      <c r="G2204" t="s">
        <v>764</v>
      </c>
      <c r="H2204" t="s">
        <v>700</v>
      </c>
      <c r="K2204">
        <v>1968</v>
      </c>
      <c r="L2204">
        <v>2007</v>
      </c>
      <c r="M2204">
        <v>39</v>
      </c>
      <c r="O2204" t="s">
        <v>1169</v>
      </c>
      <c r="P2204" t="s">
        <v>1169</v>
      </c>
      <c r="Q2204" t="s">
        <v>701</v>
      </c>
    </row>
    <row r="2205" spans="1:17">
      <c r="A2205" t="s">
        <v>1594</v>
      </c>
      <c r="B2205" t="s">
        <v>593</v>
      </c>
      <c r="C2205" t="s">
        <v>393</v>
      </c>
      <c r="D2205" t="s">
        <v>703</v>
      </c>
      <c r="E2205" t="s">
        <v>161</v>
      </c>
      <c r="G2205" t="s">
        <v>755</v>
      </c>
      <c r="H2205" t="s">
        <v>700</v>
      </c>
      <c r="K2205">
        <v>1968</v>
      </c>
      <c r="L2205">
        <v>2007</v>
      </c>
      <c r="M2205">
        <v>39</v>
      </c>
      <c r="O2205" t="s">
        <v>1169</v>
      </c>
      <c r="P2205" t="s">
        <v>1169</v>
      </c>
      <c r="Q2205" t="s">
        <v>701</v>
      </c>
    </row>
    <row r="2206" spans="1:17">
      <c r="A2206" t="s">
        <v>1592</v>
      </c>
      <c r="C2206" t="s">
        <v>393</v>
      </c>
      <c r="D2206" t="s">
        <v>554</v>
      </c>
      <c r="E2206" t="s">
        <v>265</v>
      </c>
      <c r="G2206" t="s">
        <v>1595</v>
      </c>
      <c r="H2206" t="s">
        <v>457</v>
      </c>
      <c r="K2206">
        <v>1978</v>
      </c>
      <c r="O2206">
        <v>91.67</v>
      </c>
      <c r="P2206" t="s">
        <v>15</v>
      </c>
      <c r="Q2206" t="s">
        <v>398</v>
      </c>
    </row>
    <row r="2207" spans="1:17">
      <c r="A2207" t="s">
        <v>1594</v>
      </c>
      <c r="B2207" t="s">
        <v>593</v>
      </c>
      <c r="C2207" t="s">
        <v>393</v>
      </c>
      <c r="D2207" t="s">
        <v>703</v>
      </c>
      <c r="E2207" t="s">
        <v>161</v>
      </c>
      <c r="G2207" t="s">
        <v>1375</v>
      </c>
      <c r="H2207" t="s">
        <v>700</v>
      </c>
      <c r="K2207">
        <v>1968</v>
      </c>
      <c r="L2207">
        <v>2007</v>
      </c>
      <c r="M2207">
        <v>39</v>
      </c>
      <c r="O2207" t="s">
        <v>1169</v>
      </c>
      <c r="P2207" t="s">
        <v>1169</v>
      </c>
      <c r="Q2207" t="s">
        <v>701</v>
      </c>
    </row>
    <row r="2208" spans="1:17">
      <c r="A2208" t="s">
        <v>1594</v>
      </c>
      <c r="B2208" t="s">
        <v>593</v>
      </c>
      <c r="C2208" t="s">
        <v>393</v>
      </c>
      <c r="D2208" t="s">
        <v>703</v>
      </c>
      <c r="E2208" t="s">
        <v>161</v>
      </c>
      <c r="G2208" t="s">
        <v>1377</v>
      </c>
      <c r="H2208" t="s">
        <v>700</v>
      </c>
      <c r="K2208">
        <v>1968</v>
      </c>
      <c r="L2208">
        <v>2007</v>
      </c>
      <c r="M2208">
        <v>39</v>
      </c>
      <c r="O2208" t="s">
        <v>1169</v>
      </c>
      <c r="P2208" t="s">
        <v>1169</v>
      </c>
      <c r="Q2208" t="s">
        <v>701</v>
      </c>
    </row>
    <row r="2209" spans="1:17">
      <c r="A2209" t="s">
        <v>1594</v>
      </c>
      <c r="B2209" t="s">
        <v>593</v>
      </c>
      <c r="C2209" t="s">
        <v>393</v>
      </c>
      <c r="D2209" t="s">
        <v>703</v>
      </c>
      <c r="E2209" t="s">
        <v>161</v>
      </c>
      <c r="G2209" t="s">
        <v>807</v>
      </c>
      <c r="H2209" t="s">
        <v>700</v>
      </c>
      <c r="K2209">
        <v>1968</v>
      </c>
      <c r="L2209">
        <v>2007</v>
      </c>
      <c r="M2209">
        <v>39</v>
      </c>
      <c r="O2209" t="s">
        <v>1169</v>
      </c>
      <c r="P2209" t="s">
        <v>1169</v>
      </c>
      <c r="Q2209" t="s">
        <v>701</v>
      </c>
    </row>
    <row r="2210" spans="1:17">
      <c r="A2210" t="s">
        <v>1594</v>
      </c>
      <c r="B2210" t="s">
        <v>593</v>
      </c>
      <c r="C2210" t="s">
        <v>393</v>
      </c>
      <c r="D2210" t="s">
        <v>703</v>
      </c>
      <c r="E2210" t="s">
        <v>161</v>
      </c>
      <c r="G2210" t="s">
        <v>769</v>
      </c>
      <c r="H2210" t="s">
        <v>700</v>
      </c>
      <c r="K2210">
        <v>1968</v>
      </c>
      <c r="L2210">
        <v>2007</v>
      </c>
      <c r="M2210">
        <v>39</v>
      </c>
      <c r="O2210" t="s">
        <v>1169</v>
      </c>
      <c r="P2210" t="s">
        <v>1169</v>
      </c>
      <c r="Q2210" t="s">
        <v>701</v>
      </c>
    </row>
    <row r="2211" spans="1:17">
      <c r="A2211" t="s">
        <v>1594</v>
      </c>
      <c r="B2211" t="s">
        <v>593</v>
      </c>
      <c r="C2211" t="s">
        <v>393</v>
      </c>
      <c r="D2211" t="s">
        <v>703</v>
      </c>
      <c r="E2211" t="s">
        <v>161</v>
      </c>
      <c r="G2211" t="s">
        <v>799</v>
      </c>
      <c r="H2211" t="s">
        <v>700</v>
      </c>
      <c r="K2211">
        <v>1968</v>
      </c>
      <c r="L2211">
        <v>2007</v>
      </c>
      <c r="M2211">
        <v>39</v>
      </c>
      <c r="O2211" t="s">
        <v>1169</v>
      </c>
      <c r="P2211" t="s">
        <v>1169</v>
      </c>
      <c r="Q2211" t="s">
        <v>701</v>
      </c>
    </row>
    <row r="2212" spans="1:17">
      <c r="A2212" t="s">
        <v>1594</v>
      </c>
      <c r="B2212" t="s">
        <v>593</v>
      </c>
      <c r="C2212" t="s">
        <v>393</v>
      </c>
      <c r="D2212" t="s">
        <v>703</v>
      </c>
      <c r="E2212" t="s">
        <v>161</v>
      </c>
      <c r="G2212" t="s">
        <v>1384</v>
      </c>
      <c r="H2212" t="s">
        <v>700</v>
      </c>
      <c r="K2212">
        <v>1968</v>
      </c>
      <c r="L2212">
        <v>2007</v>
      </c>
      <c r="M2212">
        <v>39</v>
      </c>
      <c r="O2212" t="s">
        <v>1169</v>
      </c>
      <c r="P2212" t="s">
        <v>1169</v>
      </c>
      <c r="Q2212" t="s">
        <v>701</v>
      </c>
    </row>
    <row r="2213" spans="1:17">
      <c r="A2213" t="s">
        <v>1594</v>
      </c>
      <c r="B2213" t="s">
        <v>593</v>
      </c>
      <c r="C2213" t="s">
        <v>393</v>
      </c>
      <c r="D2213" t="s">
        <v>703</v>
      </c>
      <c r="E2213" t="s">
        <v>161</v>
      </c>
      <c r="G2213" t="s">
        <v>1384</v>
      </c>
      <c r="H2213" t="s">
        <v>700</v>
      </c>
      <c r="K2213">
        <v>1968</v>
      </c>
      <c r="L2213">
        <v>2007</v>
      </c>
      <c r="M2213">
        <v>39</v>
      </c>
      <c r="O2213" t="s">
        <v>1169</v>
      </c>
      <c r="P2213" t="s">
        <v>1169</v>
      </c>
      <c r="Q2213" t="s">
        <v>701</v>
      </c>
    </row>
    <row r="2214" spans="1:17">
      <c r="A2214" t="s">
        <v>1594</v>
      </c>
      <c r="B2214" t="s">
        <v>593</v>
      </c>
      <c r="C2214" t="s">
        <v>393</v>
      </c>
      <c r="D2214" t="s">
        <v>703</v>
      </c>
      <c r="E2214" t="s">
        <v>161</v>
      </c>
      <c r="G2214" t="s">
        <v>808</v>
      </c>
      <c r="H2214" t="s">
        <v>700</v>
      </c>
      <c r="K2214">
        <v>1968</v>
      </c>
      <c r="L2214">
        <v>2007</v>
      </c>
      <c r="M2214">
        <v>39</v>
      </c>
      <c r="O2214" t="s">
        <v>1169</v>
      </c>
      <c r="P2214" t="s">
        <v>1169</v>
      </c>
      <c r="Q2214" t="s">
        <v>701</v>
      </c>
    </row>
    <row r="2215" spans="1:17">
      <c r="A2215" t="s">
        <v>1594</v>
      </c>
      <c r="B2215" t="s">
        <v>593</v>
      </c>
      <c r="C2215" t="s">
        <v>393</v>
      </c>
      <c r="D2215" t="s">
        <v>703</v>
      </c>
      <c r="E2215" t="s">
        <v>161</v>
      </c>
      <c r="G2215" t="s">
        <v>1596</v>
      </c>
      <c r="H2215" t="s">
        <v>700</v>
      </c>
      <c r="K2215">
        <v>1968</v>
      </c>
      <c r="L2215">
        <v>2007</v>
      </c>
      <c r="M2215">
        <v>39</v>
      </c>
      <c r="O2215" t="s">
        <v>1169</v>
      </c>
      <c r="P2215" t="s">
        <v>1169</v>
      </c>
      <c r="Q2215" t="s">
        <v>701</v>
      </c>
    </row>
    <row r="2216" spans="1:17">
      <c r="A2216" t="s">
        <v>1594</v>
      </c>
      <c r="B2216" t="s">
        <v>593</v>
      </c>
      <c r="C2216" t="s">
        <v>393</v>
      </c>
      <c r="D2216" t="s">
        <v>703</v>
      </c>
      <c r="E2216" t="s">
        <v>161</v>
      </c>
      <c r="G2216" t="s">
        <v>1386</v>
      </c>
      <c r="H2216" t="s">
        <v>700</v>
      </c>
      <c r="K2216">
        <v>1968</v>
      </c>
      <c r="L2216">
        <v>2007</v>
      </c>
      <c r="M2216">
        <v>39</v>
      </c>
      <c r="O2216" t="s">
        <v>1169</v>
      </c>
      <c r="P2216" t="s">
        <v>1169</v>
      </c>
      <c r="Q2216" t="s">
        <v>701</v>
      </c>
    </row>
    <row r="2217" spans="1:17">
      <c r="A2217" t="s">
        <v>1594</v>
      </c>
      <c r="B2217" t="s">
        <v>593</v>
      </c>
      <c r="C2217" t="s">
        <v>393</v>
      </c>
      <c r="D2217" t="s">
        <v>703</v>
      </c>
      <c r="E2217" t="s">
        <v>161</v>
      </c>
      <c r="G2217" t="s">
        <v>803</v>
      </c>
      <c r="H2217" t="s">
        <v>700</v>
      </c>
      <c r="K2217">
        <v>1968</v>
      </c>
      <c r="L2217">
        <v>2007</v>
      </c>
      <c r="M2217">
        <v>39</v>
      </c>
      <c r="O2217" t="s">
        <v>1169</v>
      </c>
      <c r="P2217" t="s">
        <v>1169</v>
      </c>
      <c r="Q2217" t="s">
        <v>701</v>
      </c>
    </row>
    <row r="2218" spans="1:17">
      <c r="A2218" t="s">
        <v>1594</v>
      </c>
      <c r="B2218" t="s">
        <v>593</v>
      </c>
      <c r="C2218" t="s">
        <v>393</v>
      </c>
      <c r="D2218" t="s">
        <v>703</v>
      </c>
      <c r="E2218" t="s">
        <v>161</v>
      </c>
      <c r="G2218" t="s">
        <v>1387</v>
      </c>
      <c r="H2218" t="s">
        <v>700</v>
      </c>
      <c r="K2218">
        <v>1968</v>
      </c>
      <c r="L2218">
        <v>2007</v>
      </c>
      <c r="M2218">
        <v>39</v>
      </c>
      <c r="O2218" t="s">
        <v>1169</v>
      </c>
      <c r="P2218" t="s">
        <v>1169</v>
      </c>
      <c r="Q2218" t="s">
        <v>701</v>
      </c>
    </row>
    <row r="2219" spans="1:17">
      <c r="A2219" t="s">
        <v>1594</v>
      </c>
      <c r="B2219" t="s">
        <v>593</v>
      </c>
      <c r="C2219" t="s">
        <v>393</v>
      </c>
      <c r="D2219" t="s">
        <v>703</v>
      </c>
      <c r="E2219" t="s">
        <v>161</v>
      </c>
      <c r="G2219" t="s">
        <v>1597</v>
      </c>
      <c r="H2219" t="s">
        <v>700</v>
      </c>
      <c r="K2219">
        <v>1968</v>
      </c>
      <c r="L2219">
        <v>2007</v>
      </c>
      <c r="M2219">
        <v>39</v>
      </c>
      <c r="O2219" t="s">
        <v>1169</v>
      </c>
      <c r="P2219" t="s">
        <v>1169</v>
      </c>
      <c r="Q2219" t="s">
        <v>701</v>
      </c>
    </row>
    <row r="2220" spans="1:17">
      <c r="A2220" t="s">
        <v>1594</v>
      </c>
      <c r="B2220" t="s">
        <v>593</v>
      </c>
      <c r="C2220" t="s">
        <v>393</v>
      </c>
      <c r="D2220" t="s">
        <v>703</v>
      </c>
      <c r="E2220" t="s">
        <v>161</v>
      </c>
      <c r="G2220" t="s">
        <v>745</v>
      </c>
      <c r="H2220" t="s">
        <v>700</v>
      </c>
      <c r="K2220">
        <v>1968</v>
      </c>
      <c r="L2220">
        <v>2007</v>
      </c>
      <c r="M2220">
        <v>39</v>
      </c>
      <c r="O2220">
        <v>85.3</v>
      </c>
      <c r="P2220">
        <v>1</v>
      </c>
      <c r="Q2220" t="s">
        <v>701</v>
      </c>
    </row>
    <row r="2221" spans="1:17">
      <c r="A2221" t="s">
        <v>1594</v>
      </c>
      <c r="B2221" t="s">
        <v>593</v>
      </c>
      <c r="C2221" t="s">
        <v>393</v>
      </c>
      <c r="D2221" t="s">
        <v>703</v>
      </c>
      <c r="E2221" t="s">
        <v>161</v>
      </c>
      <c r="G2221" t="s">
        <v>1598</v>
      </c>
      <c r="H2221" t="s">
        <v>700</v>
      </c>
      <c r="K2221">
        <v>1968</v>
      </c>
      <c r="L2221">
        <v>2007</v>
      </c>
      <c r="M2221">
        <v>39</v>
      </c>
      <c r="O2221">
        <v>68.600000000000009</v>
      </c>
      <c r="P2221">
        <v>1</v>
      </c>
      <c r="Q2221" t="s">
        <v>701</v>
      </c>
    </row>
    <row r="2222" spans="1:17">
      <c r="A2222" t="s">
        <v>1594</v>
      </c>
      <c r="B2222" t="s">
        <v>593</v>
      </c>
      <c r="C2222" t="s">
        <v>393</v>
      </c>
      <c r="D2222" t="s">
        <v>703</v>
      </c>
      <c r="E2222" t="s">
        <v>161</v>
      </c>
      <c r="G2222" t="s">
        <v>801</v>
      </c>
      <c r="H2222" t="s">
        <v>700</v>
      </c>
      <c r="K2222">
        <v>1968</v>
      </c>
      <c r="L2222">
        <v>2007</v>
      </c>
      <c r="M2222">
        <v>39</v>
      </c>
      <c r="O2222">
        <v>55.199999999999996</v>
      </c>
      <c r="P2222">
        <v>1</v>
      </c>
      <c r="Q2222" t="s">
        <v>701</v>
      </c>
    </row>
    <row r="2223" spans="1:17">
      <c r="A2223" t="s">
        <v>1594</v>
      </c>
      <c r="B2223" t="s">
        <v>593</v>
      </c>
      <c r="C2223" t="s">
        <v>393</v>
      </c>
      <c r="D2223" t="s">
        <v>703</v>
      </c>
      <c r="E2223" t="s">
        <v>161</v>
      </c>
      <c r="G2223" t="s">
        <v>802</v>
      </c>
      <c r="H2223" t="s">
        <v>700</v>
      </c>
      <c r="K2223">
        <v>1968</v>
      </c>
      <c r="L2223">
        <v>2007</v>
      </c>
      <c r="M2223">
        <v>39</v>
      </c>
      <c r="O2223">
        <v>54.699999999999996</v>
      </c>
      <c r="P2223">
        <v>1</v>
      </c>
      <c r="Q2223" t="s">
        <v>701</v>
      </c>
    </row>
    <row r="2224" spans="1:17">
      <c r="A2224" t="s">
        <v>1594</v>
      </c>
      <c r="B2224" t="s">
        <v>593</v>
      </c>
      <c r="C2224" t="s">
        <v>393</v>
      </c>
      <c r="D2224" t="s">
        <v>703</v>
      </c>
      <c r="E2224" t="s">
        <v>161</v>
      </c>
      <c r="G2224" t="s">
        <v>799</v>
      </c>
      <c r="H2224" t="s">
        <v>700</v>
      </c>
      <c r="K2224">
        <v>1968</v>
      </c>
      <c r="L2224">
        <v>2007</v>
      </c>
      <c r="M2224">
        <v>39</v>
      </c>
      <c r="O2224">
        <v>43.2</v>
      </c>
      <c r="P2224">
        <v>1</v>
      </c>
      <c r="Q2224" t="s">
        <v>701</v>
      </c>
    </row>
    <row r="2225" spans="1:17">
      <c r="A2225" t="s">
        <v>1599</v>
      </c>
      <c r="C2225" t="s">
        <v>393</v>
      </c>
      <c r="D2225" t="s">
        <v>554</v>
      </c>
      <c r="E2225" t="s">
        <v>265</v>
      </c>
      <c r="G2225" t="s">
        <v>1600</v>
      </c>
      <c r="H2225" t="s">
        <v>457</v>
      </c>
      <c r="K2225">
        <v>1992</v>
      </c>
      <c r="O2225">
        <v>124.12</v>
      </c>
      <c r="P2225" t="s">
        <v>15</v>
      </c>
      <c r="Q2225" t="s">
        <v>398</v>
      </c>
    </row>
    <row r="2226" spans="1:17">
      <c r="A2226" t="s">
        <v>1049</v>
      </c>
      <c r="C2226" t="s">
        <v>393</v>
      </c>
      <c r="D2226" t="s">
        <v>554</v>
      </c>
      <c r="E2226" t="s">
        <v>47</v>
      </c>
      <c r="G2226" t="s">
        <v>1601</v>
      </c>
      <c r="H2226" t="s">
        <v>457</v>
      </c>
      <c r="K2226">
        <v>1950</v>
      </c>
      <c r="O2226">
        <v>8</v>
      </c>
      <c r="P2226" t="str">
        <f t="shared" ref="P2226:P2227" si="21">(IF(O2226&gt;0,"Consistent","Not consistent"))</f>
        <v>Consistent</v>
      </c>
      <c r="Q2226" t="s">
        <v>398</v>
      </c>
    </row>
    <row r="2227" spans="1:17">
      <c r="A2227" t="s">
        <v>1049</v>
      </c>
      <c r="C2227" t="s">
        <v>393</v>
      </c>
      <c r="D2227" t="s">
        <v>554</v>
      </c>
      <c r="E2227" t="s">
        <v>47</v>
      </c>
      <c r="G2227" t="s">
        <v>57</v>
      </c>
      <c r="H2227" t="s">
        <v>457</v>
      </c>
      <c r="K2227">
        <v>1950</v>
      </c>
      <c r="O2227">
        <v>28.57</v>
      </c>
      <c r="P2227" t="str">
        <f t="shared" si="21"/>
        <v>Consistent</v>
      </c>
      <c r="Q2227" t="s">
        <v>398</v>
      </c>
    </row>
    <row r="2228" spans="1:17">
      <c r="A2228" t="s">
        <v>1594</v>
      </c>
      <c r="B2228" t="s">
        <v>593</v>
      </c>
      <c r="C2228" t="s">
        <v>393</v>
      </c>
      <c r="D2228" t="s">
        <v>703</v>
      </c>
      <c r="E2228" t="s">
        <v>161</v>
      </c>
      <c r="G2228" t="s">
        <v>1602</v>
      </c>
      <c r="H2228" t="s">
        <v>700</v>
      </c>
      <c r="K2228">
        <v>1968</v>
      </c>
      <c r="L2228">
        <v>2007</v>
      </c>
      <c r="M2228">
        <v>39</v>
      </c>
      <c r="O2228">
        <v>38.1</v>
      </c>
      <c r="P2228">
        <v>1</v>
      </c>
      <c r="Q2228" t="s">
        <v>701</v>
      </c>
    </row>
    <row r="2229" spans="1:17">
      <c r="A2229" t="s">
        <v>1594</v>
      </c>
      <c r="B2229" t="s">
        <v>593</v>
      </c>
      <c r="C2229" t="s">
        <v>393</v>
      </c>
      <c r="D2229" t="s">
        <v>703</v>
      </c>
      <c r="E2229" t="s">
        <v>161</v>
      </c>
      <c r="G2229" t="s">
        <v>806</v>
      </c>
      <c r="H2229" t="s">
        <v>700</v>
      </c>
      <c r="K2229">
        <v>1968</v>
      </c>
      <c r="L2229">
        <v>2007</v>
      </c>
      <c r="M2229">
        <v>39</v>
      </c>
      <c r="O2229">
        <v>35.799999999999997</v>
      </c>
      <c r="P2229">
        <v>1</v>
      </c>
      <c r="Q2229" t="s">
        <v>701</v>
      </c>
    </row>
    <row r="2230" spans="1:17">
      <c r="A2230" t="s">
        <v>1594</v>
      </c>
      <c r="B2230" t="s">
        <v>593</v>
      </c>
      <c r="C2230" t="s">
        <v>393</v>
      </c>
      <c r="D2230" t="s">
        <v>703</v>
      </c>
      <c r="E2230" t="s">
        <v>161</v>
      </c>
      <c r="G2230" t="s">
        <v>1603</v>
      </c>
      <c r="H2230" t="s">
        <v>700</v>
      </c>
      <c r="K2230">
        <v>1968</v>
      </c>
      <c r="L2230">
        <v>2007</v>
      </c>
      <c r="M2230">
        <v>39</v>
      </c>
      <c r="O2230">
        <v>34.4</v>
      </c>
      <c r="P2230">
        <v>1</v>
      </c>
      <c r="Q2230" t="s">
        <v>701</v>
      </c>
    </row>
    <row r="2231" spans="1:17">
      <c r="A2231" t="s">
        <v>1594</v>
      </c>
      <c r="B2231" t="s">
        <v>593</v>
      </c>
      <c r="C2231" t="s">
        <v>393</v>
      </c>
      <c r="D2231" t="s">
        <v>703</v>
      </c>
      <c r="E2231" t="s">
        <v>161</v>
      </c>
      <c r="G2231" t="s">
        <v>1380</v>
      </c>
      <c r="H2231" t="s">
        <v>700</v>
      </c>
      <c r="K2231">
        <v>1968</v>
      </c>
      <c r="L2231">
        <v>2007</v>
      </c>
      <c r="M2231">
        <v>39</v>
      </c>
      <c r="O2231">
        <v>25.7</v>
      </c>
      <c r="P2231">
        <v>1</v>
      </c>
      <c r="Q2231" t="s">
        <v>701</v>
      </c>
    </row>
    <row r="2232" spans="1:17">
      <c r="A2232" t="s">
        <v>1594</v>
      </c>
      <c r="B2232" t="s">
        <v>593</v>
      </c>
      <c r="C2232" t="s">
        <v>393</v>
      </c>
      <c r="D2232" t="s">
        <v>703</v>
      </c>
      <c r="E2232" t="s">
        <v>161</v>
      </c>
      <c r="G2232" t="s">
        <v>800</v>
      </c>
      <c r="H2232" t="s">
        <v>700</v>
      </c>
      <c r="K2232">
        <v>1968</v>
      </c>
      <c r="L2232">
        <v>2007</v>
      </c>
      <c r="M2232">
        <v>39</v>
      </c>
      <c r="O2232">
        <v>21</v>
      </c>
      <c r="P2232">
        <v>1</v>
      </c>
      <c r="Q2232" t="s">
        <v>701</v>
      </c>
    </row>
    <row r="2233" spans="1:17">
      <c r="A2233" t="s">
        <v>1594</v>
      </c>
      <c r="B2233" t="s">
        <v>593</v>
      </c>
      <c r="C2233" t="s">
        <v>393</v>
      </c>
      <c r="D2233" t="s">
        <v>703</v>
      </c>
      <c r="E2233" t="s">
        <v>161</v>
      </c>
      <c r="G2233" t="s">
        <v>1604</v>
      </c>
      <c r="H2233" t="s">
        <v>700</v>
      </c>
      <c r="K2233">
        <v>1968</v>
      </c>
      <c r="L2233">
        <v>2007</v>
      </c>
      <c r="M2233">
        <v>39</v>
      </c>
      <c r="O2233">
        <v>18.700000000000003</v>
      </c>
      <c r="P2233">
        <v>1</v>
      </c>
      <c r="Q2233" t="s">
        <v>701</v>
      </c>
    </row>
    <row r="2234" spans="1:17">
      <c r="A2234" t="s">
        <v>1594</v>
      </c>
      <c r="B2234" t="s">
        <v>593</v>
      </c>
      <c r="C2234" t="s">
        <v>393</v>
      </c>
      <c r="D2234" t="s">
        <v>703</v>
      </c>
      <c r="E2234" t="s">
        <v>161</v>
      </c>
      <c r="G2234" t="s">
        <v>1605</v>
      </c>
      <c r="H2234" t="s">
        <v>700</v>
      </c>
      <c r="K2234">
        <v>1968</v>
      </c>
      <c r="L2234">
        <v>2007</v>
      </c>
      <c r="M2234">
        <v>39</v>
      </c>
      <c r="O2234">
        <v>16.100000000000001</v>
      </c>
      <c r="P2234">
        <v>1</v>
      </c>
      <c r="Q2234" t="s">
        <v>701</v>
      </c>
    </row>
    <row r="2235" spans="1:17">
      <c r="A2235" t="s">
        <v>1594</v>
      </c>
      <c r="B2235" t="s">
        <v>593</v>
      </c>
      <c r="C2235" t="s">
        <v>393</v>
      </c>
      <c r="D2235" t="s">
        <v>703</v>
      </c>
      <c r="E2235" t="s">
        <v>161</v>
      </c>
      <c r="G2235" t="s">
        <v>804</v>
      </c>
      <c r="H2235" t="s">
        <v>700</v>
      </c>
      <c r="K2235">
        <v>1968</v>
      </c>
      <c r="L2235">
        <v>2007</v>
      </c>
      <c r="M2235">
        <v>39</v>
      </c>
      <c r="O2235">
        <v>15.5</v>
      </c>
      <c r="P2235">
        <v>1</v>
      </c>
      <c r="Q2235" t="s">
        <v>701</v>
      </c>
    </row>
    <row r="2236" spans="1:17">
      <c r="A2236" t="s">
        <v>1594</v>
      </c>
      <c r="B2236" t="s">
        <v>593</v>
      </c>
      <c r="C2236" t="s">
        <v>393</v>
      </c>
      <c r="D2236" t="s">
        <v>703</v>
      </c>
      <c r="E2236" t="s">
        <v>161</v>
      </c>
      <c r="G2236" t="s">
        <v>798</v>
      </c>
      <c r="H2236" t="s">
        <v>700</v>
      </c>
      <c r="K2236">
        <v>1968</v>
      </c>
      <c r="L2236">
        <v>2007</v>
      </c>
      <c r="M2236">
        <v>39</v>
      </c>
      <c r="O2236">
        <v>14.8</v>
      </c>
      <c r="P2236">
        <v>1</v>
      </c>
      <c r="Q2236" t="s">
        <v>701</v>
      </c>
    </row>
    <row r="2237" spans="1:17">
      <c r="A2237" t="s">
        <v>1594</v>
      </c>
      <c r="B2237" t="s">
        <v>593</v>
      </c>
      <c r="C2237" t="s">
        <v>393</v>
      </c>
      <c r="D2237" t="s">
        <v>703</v>
      </c>
      <c r="E2237" t="s">
        <v>161</v>
      </c>
      <c r="G2237" t="s">
        <v>1606</v>
      </c>
      <c r="H2237" t="s">
        <v>700</v>
      </c>
      <c r="K2237">
        <v>1968</v>
      </c>
      <c r="L2237">
        <v>2007</v>
      </c>
      <c r="M2237">
        <v>39</v>
      </c>
      <c r="O2237">
        <v>9.3000000000000007</v>
      </c>
      <c r="P2237">
        <v>1</v>
      </c>
      <c r="Q2237" t="s">
        <v>701</v>
      </c>
    </row>
    <row r="2238" spans="1:17">
      <c r="A2238" t="s">
        <v>1594</v>
      </c>
      <c r="B2238" t="s">
        <v>593</v>
      </c>
      <c r="C2238" t="s">
        <v>393</v>
      </c>
      <c r="D2238" t="s">
        <v>703</v>
      </c>
      <c r="E2238" t="s">
        <v>161</v>
      </c>
      <c r="G2238" t="s">
        <v>801</v>
      </c>
      <c r="H2238" t="s">
        <v>700</v>
      </c>
      <c r="K2238">
        <v>1968</v>
      </c>
      <c r="L2238">
        <v>2007</v>
      </c>
      <c r="M2238">
        <v>39</v>
      </c>
      <c r="O2238">
        <v>6.1</v>
      </c>
      <c r="P2238">
        <v>1</v>
      </c>
      <c r="Q2238" t="s">
        <v>701</v>
      </c>
    </row>
    <row r="2239" spans="1:17">
      <c r="A2239" t="s">
        <v>1594</v>
      </c>
      <c r="B2239" t="s">
        <v>593</v>
      </c>
      <c r="C2239" t="s">
        <v>393</v>
      </c>
      <c r="D2239" t="s">
        <v>703</v>
      </c>
      <c r="E2239" t="s">
        <v>161</v>
      </c>
      <c r="G2239" t="s">
        <v>806</v>
      </c>
      <c r="H2239" t="s">
        <v>700</v>
      </c>
      <c r="K2239">
        <v>1968</v>
      </c>
      <c r="L2239">
        <v>2007</v>
      </c>
      <c r="M2239">
        <v>39</v>
      </c>
      <c r="O2239">
        <v>5.6999999999999993</v>
      </c>
      <c r="P2239">
        <v>1</v>
      </c>
      <c r="Q2239" t="s">
        <v>701</v>
      </c>
    </row>
    <row r="2240" spans="1:17">
      <c r="A2240" t="s">
        <v>1594</v>
      </c>
      <c r="B2240" t="s">
        <v>593</v>
      </c>
      <c r="C2240" t="s">
        <v>393</v>
      </c>
      <c r="D2240" t="s">
        <v>703</v>
      </c>
      <c r="E2240" t="s">
        <v>161</v>
      </c>
      <c r="G2240" t="s">
        <v>798</v>
      </c>
      <c r="H2240" t="s">
        <v>700</v>
      </c>
      <c r="K2240">
        <v>1968</v>
      </c>
      <c r="L2240">
        <v>2007</v>
      </c>
      <c r="M2240">
        <v>39</v>
      </c>
      <c r="O2240">
        <v>-8.2999999999999989</v>
      </c>
      <c r="P2240">
        <v>0</v>
      </c>
      <c r="Q2240" t="s">
        <v>701</v>
      </c>
    </row>
    <row r="2241" spans="1:17">
      <c r="A2241" t="s">
        <v>1594</v>
      </c>
      <c r="B2241" t="s">
        <v>593</v>
      </c>
      <c r="C2241" t="s">
        <v>393</v>
      </c>
      <c r="D2241" t="s">
        <v>703</v>
      </c>
      <c r="E2241" t="s">
        <v>161</v>
      </c>
      <c r="G2241" t="s">
        <v>1382</v>
      </c>
      <c r="H2241" t="s">
        <v>700</v>
      </c>
      <c r="K2241">
        <v>1968</v>
      </c>
      <c r="L2241">
        <v>2007</v>
      </c>
      <c r="M2241">
        <v>39</v>
      </c>
      <c r="O2241">
        <v>-8.2999999999999989</v>
      </c>
      <c r="P2241">
        <v>0</v>
      </c>
      <c r="Q2241" t="s">
        <v>701</v>
      </c>
    </row>
    <row r="2242" spans="1:17">
      <c r="A2242" t="s">
        <v>1594</v>
      </c>
      <c r="B2242" t="s">
        <v>593</v>
      </c>
      <c r="C2242" t="s">
        <v>393</v>
      </c>
      <c r="D2242" t="s">
        <v>703</v>
      </c>
      <c r="E2242" t="s">
        <v>161</v>
      </c>
      <c r="G2242" t="s">
        <v>707</v>
      </c>
      <c r="H2242" t="s">
        <v>700</v>
      </c>
      <c r="K2242">
        <v>1968</v>
      </c>
      <c r="L2242">
        <v>2007</v>
      </c>
      <c r="M2242">
        <v>39</v>
      </c>
      <c r="O2242">
        <v>-13.5</v>
      </c>
      <c r="P2242">
        <v>0</v>
      </c>
      <c r="Q2242" t="s">
        <v>701</v>
      </c>
    </row>
    <row r="2243" spans="1:17">
      <c r="A2243" t="s">
        <v>1594</v>
      </c>
      <c r="B2243" t="s">
        <v>593</v>
      </c>
      <c r="C2243" t="s">
        <v>393</v>
      </c>
      <c r="D2243" t="s">
        <v>703</v>
      </c>
      <c r="E2243" t="s">
        <v>161</v>
      </c>
      <c r="G2243" t="s">
        <v>804</v>
      </c>
      <c r="H2243" t="s">
        <v>700</v>
      </c>
      <c r="K2243">
        <v>1968</v>
      </c>
      <c r="L2243">
        <v>2007</v>
      </c>
      <c r="M2243">
        <v>39</v>
      </c>
      <c r="O2243">
        <v>-38.199999999999996</v>
      </c>
      <c r="P2243">
        <v>0</v>
      </c>
      <c r="Q2243" t="s">
        <v>701</v>
      </c>
    </row>
    <row r="2244" spans="1:17">
      <c r="A2244" t="s">
        <v>1607</v>
      </c>
      <c r="B2244" t="s">
        <v>593</v>
      </c>
      <c r="C2244" t="s">
        <v>393</v>
      </c>
      <c r="D2244" t="s">
        <v>729</v>
      </c>
      <c r="E2244" t="s">
        <v>161</v>
      </c>
      <c r="G2244" t="s">
        <v>763</v>
      </c>
      <c r="H2244" t="s">
        <v>700</v>
      </c>
      <c r="K2244">
        <v>1977</v>
      </c>
      <c r="L2244">
        <v>2001</v>
      </c>
      <c r="M2244">
        <v>24</v>
      </c>
      <c r="O2244" t="s">
        <v>1169</v>
      </c>
      <c r="P2244" t="s">
        <v>1169</v>
      </c>
      <c r="Q2244" t="s">
        <v>701</v>
      </c>
    </row>
    <row r="2245" spans="1:17">
      <c r="A2245" t="s">
        <v>1607</v>
      </c>
      <c r="B2245" t="s">
        <v>593</v>
      </c>
      <c r="C2245" t="s">
        <v>393</v>
      </c>
      <c r="D2245" t="s">
        <v>729</v>
      </c>
      <c r="E2245" t="s">
        <v>161</v>
      </c>
      <c r="G2245" t="s">
        <v>755</v>
      </c>
      <c r="H2245" t="s">
        <v>700</v>
      </c>
      <c r="K2245">
        <v>1977</v>
      </c>
      <c r="L2245">
        <v>2001</v>
      </c>
      <c r="M2245">
        <v>24</v>
      </c>
      <c r="O2245" t="s">
        <v>1169</v>
      </c>
      <c r="P2245" t="s">
        <v>1169</v>
      </c>
      <c r="Q2245" t="s">
        <v>701</v>
      </c>
    </row>
    <row r="2246" spans="1:17">
      <c r="A2246" t="s">
        <v>1607</v>
      </c>
      <c r="B2246" t="s">
        <v>593</v>
      </c>
      <c r="C2246" t="s">
        <v>393</v>
      </c>
      <c r="D2246" t="s">
        <v>729</v>
      </c>
      <c r="E2246" t="s">
        <v>161</v>
      </c>
      <c r="G2246" t="s">
        <v>1608</v>
      </c>
      <c r="H2246" t="s">
        <v>700</v>
      </c>
      <c r="K2246">
        <v>1977</v>
      </c>
      <c r="L2246">
        <v>2001</v>
      </c>
      <c r="M2246">
        <v>24</v>
      </c>
      <c r="O2246" t="s">
        <v>1169</v>
      </c>
      <c r="P2246" t="s">
        <v>1169</v>
      </c>
      <c r="Q2246" t="s">
        <v>701</v>
      </c>
    </row>
    <row r="2247" spans="1:17">
      <c r="A2247" t="s">
        <v>1607</v>
      </c>
      <c r="B2247" t="s">
        <v>593</v>
      </c>
      <c r="C2247" t="s">
        <v>393</v>
      </c>
      <c r="D2247" t="s">
        <v>729</v>
      </c>
      <c r="E2247" t="s">
        <v>161</v>
      </c>
      <c r="G2247" t="s">
        <v>1609</v>
      </c>
      <c r="H2247" t="s">
        <v>700</v>
      </c>
      <c r="K2247">
        <v>1977</v>
      </c>
      <c r="L2247">
        <v>2001</v>
      </c>
      <c r="M2247">
        <v>24</v>
      </c>
      <c r="O2247" t="s">
        <v>1169</v>
      </c>
      <c r="P2247" t="s">
        <v>1169</v>
      </c>
      <c r="Q2247" t="s">
        <v>701</v>
      </c>
    </row>
    <row r="2248" spans="1:17">
      <c r="A2248" t="s">
        <v>1607</v>
      </c>
      <c r="B2248" t="s">
        <v>593</v>
      </c>
      <c r="C2248" t="s">
        <v>393</v>
      </c>
      <c r="D2248" t="s">
        <v>729</v>
      </c>
      <c r="E2248" t="s">
        <v>161</v>
      </c>
      <c r="G2248" t="s">
        <v>1610</v>
      </c>
      <c r="H2248" t="s">
        <v>700</v>
      </c>
      <c r="K2248">
        <v>1977</v>
      </c>
      <c r="L2248">
        <v>2001</v>
      </c>
      <c r="M2248">
        <v>24</v>
      </c>
      <c r="O2248" t="s">
        <v>1169</v>
      </c>
      <c r="P2248" t="s">
        <v>1169</v>
      </c>
      <c r="Q2248" t="s">
        <v>701</v>
      </c>
    </row>
    <row r="2249" spans="1:17">
      <c r="A2249" t="s">
        <v>1607</v>
      </c>
      <c r="B2249" t="s">
        <v>593</v>
      </c>
      <c r="C2249" t="s">
        <v>393</v>
      </c>
      <c r="D2249" t="s">
        <v>729</v>
      </c>
      <c r="E2249" t="s">
        <v>161</v>
      </c>
      <c r="G2249" t="s">
        <v>1379</v>
      </c>
      <c r="H2249" t="s">
        <v>700</v>
      </c>
      <c r="K2249">
        <v>1977</v>
      </c>
      <c r="L2249">
        <v>2001</v>
      </c>
      <c r="M2249">
        <v>24</v>
      </c>
      <c r="O2249" t="s">
        <v>1169</v>
      </c>
      <c r="P2249" t="s">
        <v>1169</v>
      </c>
      <c r="Q2249" t="s">
        <v>701</v>
      </c>
    </row>
    <row r="2250" spans="1:17">
      <c r="A2250" t="s">
        <v>921</v>
      </c>
      <c r="C2250" t="s">
        <v>393</v>
      </c>
      <c r="D2250" t="s">
        <v>554</v>
      </c>
      <c r="E2250" t="s">
        <v>47</v>
      </c>
      <c r="G2250" t="s">
        <v>1611</v>
      </c>
      <c r="H2250" t="s">
        <v>457</v>
      </c>
      <c r="K2250">
        <v>1986</v>
      </c>
      <c r="O2250">
        <v>-49.04</v>
      </c>
      <c r="P2250" t="str">
        <f t="shared" ref="P2250:P2294" si="22">(IF(O2250&gt;0,"Consistent","Not consistent"))</f>
        <v>Not consistent</v>
      </c>
      <c r="Q2250" t="s">
        <v>398</v>
      </c>
    </row>
    <row r="2251" spans="1:17">
      <c r="A2251" t="s">
        <v>921</v>
      </c>
      <c r="C2251" t="s">
        <v>393</v>
      </c>
      <c r="D2251" t="s">
        <v>554</v>
      </c>
      <c r="E2251" t="s">
        <v>47</v>
      </c>
      <c r="G2251" t="s">
        <v>1612</v>
      </c>
      <c r="H2251" t="s">
        <v>457</v>
      </c>
      <c r="K2251">
        <v>1986</v>
      </c>
      <c r="O2251">
        <v>-32.43</v>
      </c>
      <c r="P2251" t="str">
        <f t="shared" si="22"/>
        <v>Not consistent</v>
      </c>
      <c r="Q2251" t="s">
        <v>398</v>
      </c>
    </row>
    <row r="2252" spans="1:17">
      <c r="A2252" t="s">
        <v>921</v>
      </c>
      <c r="C2252" t="s">
        <v>393</v>
      </c>
      <c r="D2252" t="s">
        <v>554</v>
      </c>
      <c r="E2252" t="s">
        <v>47</v>
      </c>
      <c r="G2252" t="s">
        <v>1611</v>
      </c>
      <c r="H2252" t="s">
        <v>399</v>
      </c>
      <c r="K2252">
        <v>1986</v>
      </c>
      <c r="O2252">
        <v>-29.35</v>
      </c>
      <c r="P2252" t="str">
        <f t="shared" si="22"/>
        <v>Not consistent</v>
      </c>
      <c r="Q2252" t="s">
        <v>398</v>
      </c>
    </row>
    <row r="2253" spans="1:17">
      <c r="A2253" t="s">
        <v>921</v>
      </c>
      <c r="C2253" t="s">
        <v>393</v>
      </c>
      <c r="D2253" t="s">
        <v>554</v>
      </c>
      <c r="E2253" t="s">
        <v>47</v>
      </c>
      <c r="G2253" t="s">
        <v>1613</v>
      </c>
      <c r="H2253" t="s">
        <v>396</v>
      </c>
      <c r="K2253">
        <v>1986</v>
      </c>
      <c r="O2253">
        <v>-22.18</v>
      </c>
      <c r="P2253" t="str">
        <f t="shared" si="22"/>
        <v>Not consistent</v>
      </c>
      <c r="Q2253" t="s">
        <v>398</v>
      </c>
    </row>
    <row r="2254" spans="1:17">
      <c r="A2254" t="s">
        <v>921</v>
      </c>
      <c r="C2254" t="s">
        <v>393</v>
      </c>
      <c r="D2254" t="s">
        <v>554</v>
      </c>
      <c r="E2254" t="s">
        <v>47</v>
      </c>
      <c r="G2254" t="s">
        <v>1614</v>
      </c>
      <c r="H2254" t="s">
        <v>396</v>
      </c>
      <c r="K2254">
        <v>1986</v>
      </c>
      <c r="O2254">
        <v>-18.55</v>
      </c>
      <c r="P2254" t="str">
        <f t="shared" si="22"/>
        <v>Not consistent</v>
      </c>
      <c r="Q2254" t="s">
        <v>398</v>
      </c>
    </row>
    <row r="2255" spans="1:17">
      <c r="A2255" t="s">
        <v>921</v>
      </c>
      <c r="C2255" t="s">
        <v>393</v>
      </c>
      <c r="D2255" t="s">
        <v>554</v>
      </c>
      <c r="E2255" t="s">
        <v>47</v>
      </c>
      <c r="G2255" t="s">
        <v>1615</v>
      </c>
      <c r="H2255" t="s">
        <v>396</v>
      </c>
      <c r="K2255">
        <v>1986</v>
      </c>
      <c r="O2255">
        <v>-18</v>
      </c>
      <c r="P2255" t="str">
        <f t="shared" si="22"/>
        <v>Not consistent</v>
      </c>
      <c r="Q2255" t="s">
        <v>398</v>
      </c>
    </row>
    <row r="2256" spans="1:17">
      <c r="A2256" t="s">
        <v>921</v>
      </c>
      <c r="C2256" t="s">
        <v>393</v>
      </c>
      <c r="D2256" t="s">
        <v>554</v>
      </c>
      <c r="E2256" t="s">
        <v>47</v>
      </c>
      <c r="G2256" t="s">
        <v>1616</v>
      </c>
      <c r="H2256" t="s">
        <v>396</v>
      </c>
      <c r="K2256">
        <v>1986</v>
      </c>
      <c r="O2256">
        <v>-15.89</v>
      </c>
      <c r="P2256" t="str">
        <f t="shared" si="22"/>
        <v>Not consistent</v>
      </c>
      <c r="Q2256" t="s">
        <v>398</v>
      </c>
    </row>
    <row r="2257" spans="1:17">
      <c r="A2257" t="s">
        <v>921</v>
      </c>
      <c r="C2257" t="s">
        <v>393</v>
      </c>
      <c r="D2257" t="s">
        <v>554</v>
      </c>
      <c r="E2257" t="s">
        <v>47</v>
      </c>
      <c r="G2257" t="s">
        <v>1617</v>
      </c>
      <c r="H2257" t="s">
        <v>396</v>
      </c>
      <c r="K2257">
        <v>1986</v>
      </c>
      <c r="O2257">
        <v>-12.010000000000002</v>
      </c>
      <c r="P2257" t="str">
        <f t="shared" si="22"/>
        <v>Not consistent</v>
      </c>
      <c r="Q2257" t="s">
        <v>398</v>
      </c>
    </row>
    <row r="2258" spans="1:17">
      <c r="A2258" t="s">
        <v>921</v>
      </c>
      <c r="C2258" t="s">
        <v>393</v>
      </c>
      <c r="D2258" t="s">
        <v>554</v>
      </c>
      <c r="E2258" t="s">
        <v>47</v>
      </c>
      <c r="G2258" t="s">
        <v>1612</v>
      </c>
      <c r="H2258" t="s">
        <v>399</v>
      </c>
      <c r="K2258">
        <v>1986</v>
      </c>
      <c r="O2258">
        <v>-10.5</v>
      </c>
      <c r="P2258" t="str">
        <f t="shared" si="22"/>
        <v>Not consistent</v>
      </c>
      <c r="Q2258" t="s">
        <v>398</v>
      </c>
    </row>
    <row r="2259" spans="1:17">
      <c r="A2259" t="s">
        <v>921</v>
      </c>
      <c r="C2259" t="s">
        <v>393</v>
      </c>
      <c r="D2259" t="s">
        <v>554</v>
      </c>
      <c r="E2259" t="s">
        <v>47</v>
      </c>
      <c r="G2259" t="s">
        <v>1618</v>
      </c>
      <c r="H2259" t="s">
        <v>396</v>
      </c>
      <c r="K2259">
        <v>1986</v>
      </c>
      <c r="O2259">
        <v>-9.2000000000000011</v>
      </c>
      <c r="P2259" t="str">
        <f t="shared" si="22"/>
        <v>Not consistent</v>
      </c>
      <c r="Q2259" t="s">
        <v>398</v>
      </c>
    </row>
    <row r="2260" spans="1:17">
      <c r="A2260" t="s">
        <v>921</v>
      </c>
      <c r="C2260" t="s">
        <v>393</v>
      </c>
      <c r="D2260" t="s">
        <v>554</v>
      </c>
      <c r="E2260" t="s">
        <v>47</v>
      </c>
      <c r="G2260" t="s">
        <v>1614</v>
      </c>
      <c r="H2260" t="s">
        <v>399</v>
      </c>
      <c r="K2260">
        <v>1986</v>
      </c>
      <c r="O2260">
        <v>-8.98</v>
      </c>
      <c r="P2260" t="str">
        <f t="shared" si="22"/>
        <v>Not consistent</v>
      </c>
      <c r="Q2260" t="s">
        <v>398</v>
      </c>
    </row>
    <row r="2261" spans="1:17">
      <c r="A2261" t="s">
        <v>921</v>
      </c>
      <c r="C2261" t="s">
        <v>393</v>
      </c>
      <c r="D2261" t="s">
        <v>554</v>
      </c>
      <c r="E2261" t="s">
        <v>47</v>
      </c>
      <c r="G2261" t="s">
        <v>1619</v>
      </c>
      <c r="H2261" t="s">
        <v>396</v>
      </c>
      <c r="K2261">
        <v>1986</v>
      </c>
      <c r="O2261">
        <v>-7.5</v>
      </c>
      <c r="P2261" t="str">
        <f t="shared" si="22"/>
        <v>Not consistent</v>
      </c>
      <c r="Q2261" t="s">
        <v>398</v>
      </c>
    </row>
    <row r="2262" spans="1:17">
      <c r="A2262" t="s">
        <v>921</v>
      </c>
      <c r="C2262" t="s">
        <v>393</v>
      </c>
      <c r="D2262" t="s">
        <v>554</v>
      </c>
      <c r="E2262" t="s">
        <v>47</v>
      </c>
      <c r="G2262" t="s">
        <v>1617</v>
      </c>
      <c r="H2262" t="s">
        <v>399</v>
      </c>
      <c r="K2262">
        <v>1986</v>
      </c>
      <c r="O2262">
        <v>-0.28000000000000003</v>
      </c>
      <c r="P2262" t="str">
        <f t="shared" si="22"/>
        <v>Not consistent</v>
      </c>
      <c r="Q2262" t="s">
        <v>398</v>
      </c>
    </row>
    <row r="2263" spans="1:17">
      <c r="A2263" t="s">
        <v>921</v>
      </c>
      <c r="C2263" t="s">
        <v>393</v>
      </c>
      <c r="D2263" t="s">
        <v>554</v>
      </c>
      <c r="E2263" t="s">
        <v>47</v>
      </c>
      <c r="G2263" t="s">
        <v>1620</v>
      </c>
      <c r="H2263" t="s">
        <v>457</v>
      </c>
      <c r="K2263">
        <v>1986</v>
      </c>
      <c r="O2263">
        <v>1.77</v>
      </c>
      <c r="P2263" t="str">
        <f t="shared" si="22"/>
        <v>Consistent</v>
      </c>
      <c r="Q2263" t="s">
        <v>398</v>
      </c>
    </row>
    <row r="2264" spans="1:17">
      <c r="A2264" t="s">
        <v>921</v>
      </c>
      <c r="C2264" t="s">
        <v>393</v>
      </c>
      <c r="D2264" t="s">
        <v>554</v>
      </c>
      <c r="E2264" t="s">
        <v>47</v>
      </c>
      <c r="G2264" t="s">
        <v>1612</v>
      </c>
      <c r="H2264" t="s">
        <v>396</v>
      </c>
      <c r="K2264">
        <v>1986</v>
      </c>
      <c r="O2264">
        <v>4.7699999999999996</v>
      </c>
      <c r="P2264" t="str">
        <f t="shared" si="22"/>
        <v>Consistent</v>
      </c>
      <c r="Q2264" t="s">
        <v>398</v>
      </c>
    </row>
    <row r="2265" spans="1:17">
      <c r="A2265" t="s">
        <v>921</v>
      </c>
      <c r="C2265" t="s">
        <v>393</v>
      </c>
      <c r="D2265" t="s">
        <v>554</v>
      </c>
      <c r="E2265" t="s">
        <v>47</v>
      </c>
      <c r="G2265" t="s">
        <v>1613</v>
      </c>
      <c r="H2265" t="s">
        <v>399</v>
      </c>
      <c r="K2265">
        <v>1986</v>
      </c>
      <c r="O2265">
        <v>6.36</v>
      </c>
      <c r="P2265" t="str">
        <f t="shared" si="22"/>
        <v>Consistent</v>
      </c>
      <c r="Q2265" t="s">
        <v>398</v>
      </c>
    </row>
    <row r="2266" spans="1:17">
      <c r="A2266" t="s">
        <v>921</v>
      </c>
      <c r="C2266" t="s">
        <v>393</v>
      </c>
      <c r="D2266" t="s">
        <v>554</v>
      </c>
      <c r="E2266" t="s">
        <v>47</v>
      </c>
      <c r="G2266" t="s">
        <v>1621</v>
      </c>
      <c r="H2266" t="s">
        <v>396</v>
      </c>
      <c r="K2266">
        <v>1986</v>
      </c>
      <c r="O2266">
        <v>6.48</v>
      </c>
      <c r="P2266" t="str">
        <f t="shared" si="22"/>
        <v>Consistent</v>
      </c>
      <c r="Q2266" t="s">
        <v>398</v>
      </c>
    </row>
    <row r="2267" spans="1:17">
      <c r="A2267" t="s">
        <v>921</v>
      </c>
      <c r="C2267" t="s">
        <v>393</v>
      </c>
      <c r="D2267" t="s">
        <v>554</v>
      </c>
      <c r="E2267" t="s">
        <v>47</v>
      </c>
      <c r="G2267" t="s">
        <v>1611</v>
      </c>
      <c r="H2267" t="s">
        <v>396</v>
      </c>
      <c r="K2267">
        <v>1986</v>
      </c>
      <c r="O2267">
        <v>6.8999999999999995</v>
      </c>
      <c r="P2267" t="str">
        <f t="shared" si="22"/>
        <v>Consistent</v>
      </c>
      <c r="Q2267" t="s">
        <v>398</v>
      </c>
    </row>
    <row r="2268" spans="1:17">
      <c r="A2268" t="s">
        <v>921</v>
      </c>
      <c r="C2268" t="s">
        <v>393</v>
      </c>
      <c r="D2268" t="s">
        <v>554</v>
      </c>
      <c r="E2268" t="s">
        <v>47</v>
      </c>
      <c r="G2268" t="s">
        <v>1622</v>
      </c>
      <c r="H2268" t="s">
        <v>396</v>
      </c>
      <c r="K2268">
        <v>1986</v>
      </c>
      <c r="O2268">
        <v>7.9300000000000006</v>
      </c>
      <c r="P2268" t="str">
        <f t="shared" si="22"/>
        <v>Consistent</v>
      </c>
      <c r="Q2268" t="s">
        <v>398</v>
      </c>
    </row>
    <row r="2269" spans="1:17">
      <c r="A2269" t="s">
        <v>921</v>
      </c>
      <c r="C2269" t="s">
        <v>393</v>
      </c>
      <c r="D2269" t="s">
        <v>554</v>
      </c>
      <c r="E2269" t="s">
        <v>47</v>
      </c>
      <c r="G2269" t="s">
        <v>1614</v>
      </c>
      <c r="H2269" t="s">
        <v>457</v>
      </c>
      <c r="K2269">
        <v>1986</v>
      </c>
      <c r="O2269">
        <v>9.09</v>
      </c>
      <c r="P2269" t="str">
        <f t="shared" si="22"/>
        <v>Consistent</v>
      </c>
      <c r="Q2269" t="s">
        <v>398</v>
      </c>
    </row>
    <row r="2270" spans="1:17">
      <c r="A2270" t="s">
        <v>921</v>
      </c>
      <c r="C2270" t="s">
        <v>393</v>
      </c>
      <c r="D2270" t="s">
        <v>554</v>
      </c>
      <c r="E2270" t="s">
        <v>47</v>
      </c>
      <c r="G2270" t="s">
        <v>1623</v>
      </c>
      <c r="H2270" t="s">
        <v>396</v>
      </c>
      <c r="K2270">
        <v>1986</v>
      </c>
      <c r="O2270">
        <v>9.93</v>
      </c>
      <c r="P2270" t="str">
        <f t="shared" si="22"/>
        <v>Consistent</v>
      </c>
      <c r="Q2270" t="s">
        <v>398</v>
      </c>
    </row>
    <row r="2271" spans="1:17">
      <c r="A2271" t="s">
        <v>921</v>
      </c>
      <c r="C2271" t="s">
        <v>393</v>
      </c>
      <c r="D2271" t="s">
        <v>554</v>
      </c>
      <c r="E2271" t="s">
        <v>47</v>
      </c>
      <c r="G2271" t="s">
        <v>1620</v>
      </c>
      <c r="H2271" t="s">
        <v>399</v>
      </c>
      <c r="K2271">
        <v>1986</v>
      </c>
      <c r="O2271">
        <v>10.860000000000001</v>
      </c>
      <c r="P2271" t="str">
        <f t="shared" si="22"/>
        <v>Consistent</v>
      </c>
      <c r="Q2271" t="s">
        <v>398</v>
      </c>
    </row>
    <row r="2272" spans="1:17">
      <c r="A2272" t="s">
        <v>921</v>
      </c>
      <c r="C2272" t="s">
        <v>393</v>
      </c>
      <c r="D2272" t="s">
        <v>554</v>
      </c>
      <c r="E2272" t="s">
        <v>47</v>
      </c>
      <c r="G2272" t="s">
        <v>1620</v>
      </c>
      <c r="H2272" t="s">
        <v>396</v>
      </c>
      <c r="K2272">
        <v>1986</v>
      </c>
      <c r="O2272">
        <v>11.11</v>
      </c>
      <c r="P2272" t="str">
        <f t="shared" si="22"/>
        <v>Consistent</v>
      </c>
      <c r="Q2272" t="s">
        <v>398</v>
      </c>
    </row>
    <row r="2273" spans="1:17">
      <c r="A2273" t="s">
        <v>921</v>
      </c>
      <c r="C2273" t="s">
        <v>393</v>
      </c>
      <c r="D2273" t="s">
        <v>554</v>
      </c>
      <c r="E2273" t="s">
        <v>47</v>
      </c>
      <c r="G2273" t="s">
        <v>1616</v>
      </c>
      <c r="H2273" t="s">
        <v>399</v>
      </c>
      <c r="K2273">
        <v>1986</v>
      </c>
      <c r="O2273">
        <v>17.82</v>
      </c>
      <c r="P2273" t="str">
        <f t="shared" si="22"/>
        <v>Consistent</v>
      </c>
      <c r="Q2273" t="s">
        <v>398</v>
      </c>
    </row>
    <row r="2274" spans="1:17">
      <c r="A2274" t="s">
        <v>921</v>
      </c>
      <c r="C2274" t="s">
        <v>393</v>
      </c>
      <c r="D2274" t="s">
        <v>554</v>
      </c>
      <c r="E2274" t="s">
        <v>47</v>
      </c>
      <c r="G2274" t="s">
        <v>1624</v>
      </c>
      <c r="H2274" t="s">
        <v>396</v>
      </c>
      <c r="K2274">
        <v>1986</v>
      </c>
      <c r="O2274">
        <v>19.03</v>
      </c>
      <c r="P2274" t="str">
        <f t="shared" si="22"/>
        <v>Consistent</v>
      </c>
      <c r="Q2274" t="s">
        <v>398</v>
      </c>
    </row>
    <row r="2275" spans="1:17">
      <c r="A2275" t="s">
        <v>921</v>
      </c>
      <c r="C2275" t="s">
        <v>393</v>
      </c>
      <c r="D2275" t="s">
        <v>554</v>
      </c>
      <c r="E2275" t="s">
        <v>47</v>
      </c>
      <c r="G2275" t="s">
        <v>1618</v>
      </c>
      <c r="H2275" t="s">
        <v>399</v>
      </c>
      <c r="K2275">
        <v>1986</v>
      </c>
      <c r="O2275">
        <v>19.21</v>
      </c>
      <c r="P2275" t="str">
        <f t="shared" si="22"/>
        <v>Consistent</v>
      </c>
      <c r="Q2275" t="s">
        <v>398</v>
      </c>
    </row>
    <row r="2276" spans="1:17">
      <c r="A2276" t="s">
        <v>921</v>
      </c>
      <c r="C2276" t="s">
        <v>393</v>
      </c>
      <c r="D2276" t="s">
        <v>554</v>
      </c>
      <c r="E2276" t="s">
        <v>47</v>
      </c>
      <c r="G2276" t="s">
        <v>1617</v>
      </c>
      <c r="H2276" t="s">
        <v>457</v>
      </c>
      <c r="K2276">
        <v>1986</v>
      </c>
      <c r="O2276">
        <v>19.64</v>
      </c>
      <c r="P2276" t="str">
        <f t="shared" si="22"/>
        <v>Consistent</v>
      </c>
      <c r="Q2276" t="s">
        <v>398</v>
      </c>
    </row>
    <row r="2277" spans="1:17">
      <c r="A2277" t="s">
        <v>921</v>
      </c>
      <c r="C2277" t="s">
        <v>393</v>
      </c>
      <c r="D2277" t="s">
        <v>554</v>
      </c>
      <c r="E2277" t="s">
        <v>47</v>
      </c>
      <c r="G2277" t="s">
        <v>1625</v>
      </c>
      <c r="H2277" t="s">
        <v>396</v>
      </c>
      <c r="K2277">
        <v>1986</v>
      </c>
      <c r="O2277">
        <v>21.93</v>
      </c>
      <c r="P2277" t="str">
        <f t="shared" si="22"/>
        <v>Consistent</v>
      </c>
      <c r="Q2277" t="s">
        <v>398</v>
      </c>
    </row>
    <row r="2278" spans="1:17">
      <c r="A2278" t="s">
        <v>921</v>
      </c>
      <c r="C2278" t="s">
        <v>393</v>
      </c>
      <c r="D2278" t="s">
        <v>554</v>
      </c>
      <c r="E2278" t="s">
        <v>47</v>
      </c>
      <c r="G2278" t="s">
        <v>1621</v>
      </c>
      <c r="H2278" t="s">
        <v>399</v>
      </c>
      <c r="K2278">
        <v>1986</v>
      </c>
      <c r="O2278">
        <v>23</v>
      </c>
      <c r="P2278" t="str">
        <f t="shared" si="22"/>
        <v>Consistent</v>
      </c>
      <c r="Q2278" t="s">
        <v>398</v>
      </c>
    </row>
    <row r="2279" spans="1:17">
      <c r="A2279" t="s">
        <v>921</v>
      </c>
      <c r="C2279" t="s">
        <v>393</v>
      </c>
      <c r="D2279" t="s">
        <v>554</v>
      </c>
      <c r="E2279" t="s">
        <v>47</v>
      </c>
      <c r="G2279" t="s">
        <v>1624</v>
      </c>
      <c r="H2279" t="s">
        <v>399</v>
      </c>
      <c r="K2279">
        <v>1986</v>
      </c>
      <c r="O2279">
        <v>30.19</v>
      </c>
      <c r="P2279" t="str">
        <f t="shared" si="22"/>
        <v>Consistent</v>
      </c>
      <c r="Q2279" t="s">
        <v>398</v>
      </c>
    </row>
    <row r="2280" spans="1:17">
      <c r="A2280" t="s">
        <v>921</v>
      </c>
      <c r="C2280" t="s">
        <v>393</v>
      </c>
      <c r="D2280" t="s">
        <v>554</v>
      </c>
      <c r="E2280" t="s">
        <v>47</v>
      </c>
      <c r="G2280" t="s">
        <v>1621</v>
      </c>
      <c r="H2280" t="s">
        <v>457</v>
      </c>
      <c r="K2280">
        <v>1986</v>
      </c>
      <c r="O2280">
        <v>30.72</v>
      </c>
      <c r="P2280" t="str">
        <f t="shared" si="22"/>
        <v>Consistent</v>
      </c>
      <c r="Q2280" t="s">
        <v>398</v>
      </c>
    </row>
    <row r="2281" spans="1:17">
      <c r="A2281" t="s">
        <v>921</v>
      </c>
      <c r="C2281" t="s">
        <v>393</v>
      </c>
      <c r="D2281" t="s">
        <v>554</v>
      </c>
      <c r="E2281" t="s">
        <v>47</v>
      </c>
      <c r="G2281" t="s">
        <v>1618</v>
      </c>
      <c r="H2281" t="s">
        <v>457</v>
      </c>
      <c r="K2281">
        <v>1986</v>
      </c>
      <c r="O2281">
        <v>31.78</v>
      </c>
      <c r="P2281" t="str">
        <f t="shared" si="22"/>
        <v>Consistent</v>
      </c>
      <c r="Q2281" t="s">
        <v>398</v>
      </c>
    </row>
    <row r="2282" spans="1:17">
      <c r="A2282" t="s">
        <v>921</v>
      </c>
      <c r="C2282" t="s">
        <v>393</v>
      </c>
      <c r="D2282" t="s">
        <v>554</v>
      </c>
      <c r="E2282" t="s">
        <v>47</v>
      </c>
      <c r="G2282" t="s">
        <v>1624</v>
      </c>
      <c r="H2282" t="s">
        <v>457</v>
      </c>
      <c r="K2282">
        <v>1986</v>
      </c>
      <c r="O2282">
        <v>34.15</v>
      </c>
      <c r="P2282" t="str">
        <f t="shared" si="22"/>
        <v>Consistent</v>
      </c>
      <c r="Q2282" t="s">
        <v>398</v>
      </c>
    </row>
    <row r="2283" spans="1:17">
      <c r="A2283" t="s">
        <v>921</v>
      </c>
      <c r="C2283" t="s">
        <v>393</v>
      </c>
      <c r="D2283" t="s">
        <v>554</v>
      </c>
      <c r="E2283" t="s">
        <v>47</v>
      </c>
      <c r="G2283" t="s">
        <v>1622</v>
      </c>
      <c r="H2283" t="s">
        <v>399</v>
      </c>
      <c r="K2283">
        <v>1986</v>
      </c>
      <c r="O2283">
        <v>34.72</v>
      </c>
      <c r="P2283" t="str">
        <f t="shared" si="22"/>
        <v>Consistent</v>
      </c>
      <c r="Q2283" t="s">
        <v>398</v>
      </c>
    </row>
    <row r="2284" spans="1:17">
      <c r="A2284" t="s">
        <v>921</v>
      </c>
      <c r="C2284" t="s">
        <v>393</v>
      </c>
      <c r="D2284" t="s">
        <v>554</v>
      </c>
      <c r="E2284" t="s">
        <v>47</v>
      </c>
      <c r="G2284" t="s">
        <v>1615</v>
      </c>
      <c r="H2284" t="s">
        <v>399</v>
      </c>
      <c r="K2284">
        <v>1986</v>
      </c>
      <c r="O2284">
        <v>39.85</v>
      </c>
      <c r="P2284" t="str">
        <f t="shared" si="22"/>
        <v>Consistent</v>
      </c>
      <c r="Q2284" t="s">
        <v>398</v>
      </c>
    </row>
    <row r="2285" spans="1:17">
      <c r="A2285" t="s">
        <v>921</v>
      </c>
      <c r="C2285" t="s">
        <v>393</v>
      </c>
      <c r="D2285" t="s">
        <v>554</v>
      </c>
      <c r="E2285" t="s">
        <v>47</v>
      </c>
      <c r="G2285" t="s">
        <v>1613</v>
      </c>
      <c r="H2285" t="s">
        <v>457</v>
      </c>
      <c r="K2285">
        <v>1986</v>
      </c>
      <c r="O2285">
        <v>49.88</v>
      </c>
      <c r="P2285" t="str">
        <f t="shared" si="22"/>
        <v>Consistent</v>
      </c>
      <c r="Q2285" t="s">
        <v>398</v>
      </c>
    </row>
    <row r="2286" spans="1:17">
      <c r="A2286" t="s">
        <v>921</v>
      </c>
      <c r="C2286" t="s">
        <v>393</v>
      </c>
      <c r="D2286" t="s">
        <v>554</v>
      </c>
      <c r="E2286" t="s">
        <v>47</v>
      </c>
      <c r="G2286" t="s">
        <v>1623</v>
      </c>
      <c r="H2286" t="s">
        <v>399</v>
      </c>
      <c r="K2286">
        <v>1986</v>
      </c>
      <c r="O2286">
        <v>52.019999999999996</v>
      </c>
      <c r="P2286" t="str">
        <f t="shared" si="22"/>
        <v>Consistent</v>
      </c>
      <c r="Q2286" t="s">
        <v>398</v>
      </c>
    </row>
    <row r="2287" spans="1:17">
      <c r="A2287" t="s">
        <v>921</v>
      </c>
      <c r="C2287" t="s">
        <v>393</v>
      </c>
      <c r="D2287" t="s">
        <v>554</v>
      </c>
      <c r="E2287" t="s">
        <v>47</v>
      </c>
      <c r="G2287" t="s">
        <v>1622</v>
      </c>
      <c r="H2287" t="s">
        <v>457</v>
      </c>
      <c r="K2287">
        <v>1986</v>
      </c>
      <c r="O2287">
        <v>72.679999999999993</v>
      </c>
      <c r="P2287" t="str">
        <f t="shared" si="22"/>
        <v>Consistent</v>
      </c>
      <c r="Q2287" t="s">
        <v>398</v>
      </c>
    </row>
    <row r="2288" spans="1:17">
      <c r="A2288" t="s">
        <v>921</v>
      </c>
      <c r="C2288" t="s">
        <v>393</v>
      </c>
      <c r="D2288" t="s">
        <v>554</v>
      </c>
      <c r="E2288" t="s">
        <v>47</v>
      </c>
      <c r="G2288" t="s">
        <v>1616</v>
      </c>
      <c r="H2288" t="s">
        <v>457</v>
      </c>
      <c r="K2288">
        <v>1986</v>
      </c>
      <c r="O2288">
        <v>73.31</v>
      </c>
      <c r="P2288" t="str">
        <f t="shared" si="22"/>
        <v>Consistent</v>
      </c>
      <c r="Q2288" t="s">
        <v>398</v>
      </c>
    </row>
    <row r="2289" spans="1:17">
      <c r="A2289" t="s">
        <v>921</v>
      </c>
      <c r="C2289" t="s">
        <v>393</v>
      </c>
      <c r="D2289" t="s">
        <v>554</v>
      </c>
      <c r="E2289" t="s">
        <v>47</v>
      </c>
      <c r="G2289" t="s">
        <v>1619</v>
      </c>
      <c r="H2289" t="s">
        <v>399</v>
      </c>
      <c r="K2289">
        <v>1986</v>
      </c>
      <c r="O2289">
        <v>73.959999999999994</v>
      </c>
      <c r="P2289" t="str">
        <f t="shared" si="22"/>
        <v>Consistent</v>
      </c>
      <c r="Q2289" t="s">
        <v>398</v>
      </c>
    </row>
    <row r="2290" spans="1:17">
      <c r="A2290" t="s">
        <v>921</v>
      </c>
      <c r="C2290" t="s">
        <v>393</v>
      </c>
      <c r="D2290" t="s">
        <v>554</v>
      </c>
      <c r="E2290" t="s">
        <v>47</v>
      </c>
      <c r="G2290" t="s">
        <v>1623</v>
      </c>
      <c r="H2290" t="s">
        <v>457</v>
      </c>
      <c r="K2290">
        <v>1986</v>
      </c>
      <c r="O2290">
        <v>84.59</v>
      </c>
      <c r="P2290" t="str">
        <f t="shared" si="22"/>
        <v>Consistent</v>
      </c>
      <c r="Q2290" t="s">
        <v>398</v>
      </c>
    </row>
    <row r="2291" spans="1:17">
      <c r="A2291" t="s">
        <v>921</v>
      </c>
      <c r="C2291" t="s">
        <v>393</v>
      </c>
      <c r="D2291" t="s">
        <v>554</v>
      </c>
      <c r="E2291" t="s">
        <v>47</v>
      </c>
      <c r="G2291" t="s">
        <v>1615</v>
      </c>
      <c r="H2291" t="s">
        <v>457</v>
      </c>
      <c r="K2291">
        <v>1986</v>
      </c>
      <c r="O2291">
        <v>93.22</v>
      </c>
      <c r="P2291" t="str">
        <f t="shared" si="22"/>
        <v>Consistent</v>
      </c>
      <c r="Q2291" t="s">
        <v>398</v>
      </c>
    </row>
    <row r="2292" spans="1:17">
      <c r="A2292" t="s">
        <v>921</v>
      </c>
      <c r="C2292" t="s">
        <v>393</v>
      </c>
      <c r="D2292" t="s">
        <v>554</v>
      </c>
      <c r="E2292" t="s">
        <v>47</v>
      </c>
      <c r="G2292" t="s">
        <v>1625</v>
      </c>
      <c r="H2292" t="s">
        <v>399</v>
      </c>
      <c r="K2292">
        <v>1986</v>
      </c>
      <c r="O2292">
        <v>100.31</v>
      </c>
      <c r="P2292" t="str">
        <f t="shared" si="22"/>
        <v>Consistent</v>
      </c>
      <c r="Q2292" t="s">
        <v>398</v>
      </c>
    </row>
    <row r="2293" spans="1:17">
      <c r="A2293" t="s">
        <v>921</v>
      </c>
      <c r="C2293" t="s">
        <v>393</v>
      </c>
      <c r="D2293" t="s">
        <v>554</v>
      </c>
      <c r="E2293" t="s">
        <v>47</v>
      </c>
      <c r="G2293" t="s">
        <v>1625</v>
      </c>
      <c r="H2293" t="s">
        <v>457</v>
      </c>
      <c r="K2293">
        <v>1986</v>
      </c>
      <c r="O2293">
        <v>102.17</v>
      </c>
      <c r="P2293" t="str">
        <f t="shared" si="22"/>
        <v>Consistent</v>
      </c>
      <c r="Q2293" t="s">
        <v>398</v>
      </c>
    </row>
    <row r="2294" spans="1:17">
      <c r="A2294" t="s">
        <v>921</v>
      </c>
      <c r="C2294" t="s">
        <v>393</v>
      </c>
      <c r="D2294" t="s">
        <v>554</v>
      </c>
      <c r="E2294" t="s">
        <v>47</v>
      </c>
      <c r="G2294" t="s">
        <v>1619</v>
      </c>
      <c r="H2294" t="s">
        <v>457</v>
      </c>
      <c r="K2294">
        <v>1986</v>
      </c>
      <c r="O2294">
        <v>191.49</v>
      </c>
      <c r="P2294" t="str">
        <f t="shared" si="22"/>
        <v>Consistent</v>
      </c>
      <c r="Q2294" t="s">
        <v>398</v>
      </c>
    </row>
    <row r="2295" spans="1:17">
      <c r="A2295" t="s">
        <v>1607</v>
      </c>
      <c r="B2295" t="s">
        <v>593</v>
      </c>
      <c r="C2295" t="s">
        <v>393</v>
      </c>
      <c r="D2295" t="s">
        <v>729</v>
      </c>
      <c r="E2295" t="s">
        <v>161</v>
      </c>
      <c r="G2295" t="s">
        <v>1626</v>
      </c>
      <c r="H2295" t="s">
        <v>700</v>
      </c>
      <c r="K2295">
        <v>1977</v>
      </c>
      <c r="L2295">
        <v>2001</v>
      </c>
      <c r="M2295">
        <v>24</v>
      </c>
      <c r="O2295" t="s">
        <v>1169</v>
      </c>
      <c r="P2295" t="s">
        <v>1169</v>
      </c>
      <c r="Q2295" t="s">
        <v>701</v>
      </c>
    </row>
    <row r="2296" spans="1:17">
      <c r="A2296" t="s">
        <v>504</v>
      </c>
      <c r="C2296" t="s">
        <v>393</v>
      </c>
      <c r="D2296" t="s">
        <v>505</v>
      </c>
      <c r="E2296" t="s">
        <v>47</v>
      </c>
      <c r="G2296" t="s">
        <v>1627</v>
      </c>
      <c r="H2296" t="s">
        <v>457</v>
      </c>
      <c r="K2296">
        <v>1993</v>
      </c>
      <c r="O2296">
        <v>-25.5</v>
      </c>
      <c r="P2296" t="str">
        <f t="shared" ref="P2296:P2342" si="23">(IF(O2296&gt;0,"Consistent","Not consistent"))</f>
        <v>Not consistent</v>
      </c>
      <c r="Q2296" t="s">
        <v>398</v>
      </c>
    </row>
    <row r="2297" spans="1:17">
      <c r="A2297" t="s">
        <v>504</v>
      </c>
      <c r="C2297" t="s">
        <v>393</v>
      </c>
      <c r="D2297" t="s">
        <v>505</v>
      </c>
      <c r="E2297" t="s">
        <v>47</v>
      </c>
      <c r="G2297" t="s">
        <v>1628</v>
      </c>
      <c r="H2297" t="s">
        <v>457</v>
      </c>
      <c r="K2297">
        <v>1993</v>
      </c>
      <c r="O2297">
        <v>0</v>
      </c>
      <c r="P2297" t="str">
        <f t="shared" si="23"/>
        <v>Not consistent</v>
      </c>
      <c r="Q2297" t="s">
        <v>398</v>
      </c>
    </row>
    <row r="2298" spans="1:17">
      <c r="A2298" t="s">
        <v>504</v>
      </c>
      <c r="C2298" t="s">
        <v>393</v>
      </c>
      <c r="D2298" t="s">
        <v>505</v>
      </c>
      <c r="E2298" t="s">
        <v>47</v>
      </c>
      <c r="G2298" t="s">
        <v>1629</v>
      </c>
      <c r="H2298" t="s">
        <v>457</v>
      </c>
      <c r="K2298">
        <v>1993</v>
      </c>
      <c r="O2298">
        <v>0</v>
      </c>
      <c r="P2298" t="str">
        <f t="shared" si="23"/>
        <v>Not consistent</v>
      </c>
      <c r="Q2298" t="s">
        <v>398</v>
      </c>
    </row>
    <row r="2299" spans="1:17">
      <c r="A2299" t="s">
        <v>553</v>
      </c>
      <c r="C2299" t="s">
        <v>393</v>
      </c>
      <c r="D2299" t="s">
        <v>554</v>
      </c>
      <c r="E2299" t="s">
        <v>47</v>
      </c>
      <c r="G2299" t="s">
        <v>1630</v>
      </c>
      <c r="H2299" t="s">
        <v>399</v>
      </c>
      <c r="K2299">
        <v>1995</v>
      </c>
      <c r="O2299">
        <v>-120.25</v>
      </c>
      <c r="P2299" t="str">
        <f t="shared" si="23"/>
        <v>Not consistent</v>
      </c>
      <c r="Q2299" t="s">
        <v>398</v>
      </c>
    </row>
    <row r="2300" spans="1:17">
      <c r="A2300" t="s">
        <v>553</v>
      </c>
      <c r="C2300" t="s">
        <v>393</v>
      </c>
      <c r="D2300" t="s">
        <v>554</v>
      </c>
      <c r="E2300" t="s">
        <v>47</v>
      </c>
      <c r="G2300" t="s">
        <v>1631</v>
      </c>
      <c r="H2300" t="s">
        <v>399</v>
      </c>
      <c r="K2300">
        <v>1995</v>
      </c>
      <c r="O2300">
        <v>-120.19999999999999</v>
      </c>
      <c r="P2300" t="str">
        <f t="shared" si="23"/>
        <v>Not consistent</v>
      </c>
      <c r="Q2300" t="s">
        <v>398</v>
      </c>
    </row>
    <row r="2301" spans="1:17">
      <c r="A2301" t="s">
        <v>553</v>
      </c>
      <c r="C2301" t="s">
        <v>393</v>
      </c>
      <c r="D2301" t="s">
        <v>554</v>
      </c>
      <c r="E2301" t="s">
        <v>47</v>
      </c>
      <c r="G2301" t="s">
        <v>1632</v>
      </c>
      <c r="H2301" t="s">
        <v>399</v>
      </c>
      <c r="K2301">
        <v>1995</v>
      </c>
      <c r="O2301">
        <v>-116.50999999999999</v>
      </c>
      <c r="P2301" t="str">
        <f t="shared" si="23"/>
        <v>Not consistent</v>
      </c>
      <c r="Q2301" t="s">
        <v>398</v>
      </c>
    </row>
    <row r="2302" spans="1:17">
      <c r="A2302" t="s">
        <v>553</v>
      </c>
      <c r="C2302" t="s">
        <v>393</v>
      </c>
      <c r="D2302" t="s">
        <v>554</v>
      </c>
      <c r="E2302" t="s">
        <v>47</v>
      </c>
      <c r="G2302" t="s">
        <v>1633</v>
      </c>
      <c r="H2302" t="s">
        <v>399</v>
      </c>
      <c r="K2302">
        <v>1995</v>
      </c>
      <c r="O2302">
        <v>-101.5</v>
      </c>
      <c r="P2302" t="str">
        <f t="shared" si="23"/>
        <v>Not consistent</v>
      </c>
      <c r="Q2302" t="s">
        <v>398</v>
      </c>
    </row>
    <row r="2303" spans="1:17">
      <c r="A2303" t="s">
        <v>553</v>
      </c>
      <c r="C2303" t="s">
        <v>393</v>
      </c>
      <c r="D2303" t="s">
        <v>554</v>
      </c>
      <c r="E2303" t="s">
        <v>47</v>
      </c>
      <c r="G2303" t="s">
        <v>1634</v>
      </c>
      <c r="H2303" t="s">
        <v>399</v>
      </c>
      <c r="K2303">
        <v>1995</v>
      </c>
      <c r="O2303">
        <v>-74.86</v>
      </c>
      <c r="P2303" t="str">
        <f t="shared" si="23"/>
        <v>Not consistent</v>
      </c>
      <c r="Q2303" t="s">
        <v>398</v>
      </c>
    </row>
    <row r="2304" spans="1:17">
      <c r="A2304" t="s">
        <v>553</v>
      </c>
      <c r="C2304" t="s">
        <v>393</v>
      </c>
      <c r="D2304" t="s">
        <v>554</v>
      </c>
      <c r="E2304" t="s">
        <v>47</v>
      </c>
      <c r="G2304" t="s">
        <v>1635</v>
      </c>
      <c r="H2304" t="s">
        <v>399</v>
      </c>
      <c r="K2304">
        <v>1987</v>
      </c>
      <c r="O2304">
        <v>-66.66</v>
      </c>
      <c r="P2304" t="str">
        <f t="shared" si="23"/>
        <v>Not consistent</v>
      </c>
      <c r="Q2304" t="s">
        <v>398</v>
      </c>
    </row>
    <row r="2305" spans="1:17">
      <c r="A2305" t="s">
        <v>553</v>
      </c>
      <c r="C2305" t="s">
        <v>393</v>
      </c>
      <c r="D2305" t="s">
        <v>554</v>
      </c>
      <c r="E2305" t="s">
        <v>47</v>
      </c>
      <c r="G2305" t="s">
        <v>1636</v>
      </c>
      <c r="H2305" t="s">
        <v>399</v>
      </c>
      <c r="K2305">
        <v>1987</v>
      </c>
      <c r="O2305">
        <v>-63.879999999999995</v>
      </c>
      <c r="P2305" t="str">
        <f t="shared" si="23"/>
        <v>Not consistent</v>
      </c>
      <c r="Q2305" t="s">
        <v>398</v>
      </c>
    </row>
    <row r="2306" spans="1:17">
      <c r="A2306" t="s">
        <v>553</v>
      </c>
      <c r="C2306" t="s">
        <v>393</v>
      </c>
      <c r="D2306" t="s">
        <v>554</v>
      </c>
      <c r="E2306" t="s">
        <v>47</v>
      </c>
      <c r="G2306" t="s">
        <v>1637</v>
      </c>
      <c r="H2306" t="s">
        <v>399</v>
      </c>
      <c r="K2306">
        <v>1987</v>
      </c>
      <c r="O2306">
        <v>-59.34</v>
      </c>
      <c r="P2306" t="str">
        <f t="shared" si="23"/>
        <v>Not consistent</v>
      </c>
      <c r="Q2306" t="s">
        <v>398</v>
      </c>
    </row>
    <row r="2307" spans="1:17">
      <c r="A2307" t="s">
        <v>553</v>
      </c>
      <c r="C2307" t="s">
        <v>393</v>
      </c>
      <c r="D2307" t="s">
        <v>554</v>
      </c>
      <c r="E2307" t="s">
        <v>47</v>
      </c>
      <c r="G2307" t="s">
        <v>1638</v>
      </c>
      <c r="H2307" t="s">
        <v>399</v>
      </c>
      <c r="K2307">
        <v>1987</v>
      </c>
      <c r="O2307">
        <v>-47.370000000000005</v>
      </c>
      <c r="P2307" t="str">
        <f t="shared" si="23"/>
        <v>Not consistent</v>
      </c>
      <c r="Q2307" t="s">
        <v>398</v>
      </c>
    </row>
    <row r="2308" spans="1:17">
      <c r="A2308" t="s">
        <v>553</v>
      </c>
      <c r="C2308" t="s">
        <v>393</v>
      </c>
      <c r="D2308" t="s">
        <v>554</v>
      </c>
      <c r="E2308" t="s">
        <v>47</v>
      </c>
      <c r="G2308" t="s">
        <v>1639</v>
      </c>
      <c r="H2308" t="s">
        <v>399</v>
      </c>
      <c r="K2308">
        <v>1984</v>
      </c>
      <c r="O2308">
        <v>-42.1</v>
      </c>
      <c r="P2308" t="str">
        <f t="shared" si="23"/>
        <v>Not consistent</v>
      </c>
      <c r="Q2308" t="s">
        <v>398</v>
      </c>
    </row>
    <row r="2309" spans="1:17">
      <c r="A2309" t="s">
        <v>553</v>
      </c>
      <c r="C2309" t="s">
        <v>393</v>
      </c>
      <c r="D2309" t="s">
        <v>554</v>
      </c>
      <c r="E2309" t="s">
        <v>47</v>
      </c>
      <c r="G2309" t="s">
        <v>1640</v>
      </c>
      <c r="H2309" t="s">
        <v>399</v>
      </c>
      <c r="K2309">
        <v>1995</v>
      </c>
      <c r="O2309">
        <v>-38.17</v>
      </c>
      <c r="P2309" t="str">
        <f t="shared" si="23"/>
        <v>Not consistent</v>
      </c>
      <c r="Q2309" t="s">
        <v>398</v>
      </c>
    </row>
    <row r="2310" spans="1:17">
      <c r="A2310" t="s">
        <v>553</v>
      </c>
      <c r="C2310" t="s">
        <v>393</v>
      </c>
      <c r="D2310" t="s">
        <v>554</v>
      </c>
      <c r="E2310" t="s">
        <v>47</v>
      </c>
      <c r="G2310" t="s">
        <v>1641</v>
      </c>
      <c r="H2310" t="s">
        <v>399</v>
      </c>
      <c r="K2310">
        <v>1987</v>
      </c>
      <c r="O2310">
        <v>-35.510000000000005</v>
      </c>
      <c r="P2310" t="str">
        <f t="shared" si="23"/>
        <v>Not consistent</v>
      </c>
      <c r="Q2310" t="s">
        <v>398</v>
      </c>
    </row>
    <row r="2311" spans="1:17">
      <c r="A2311" t="s">
        <v>553</v>
      </c>
      <c r="C2311" t="s">
        <v>393</v>
      </c>
      <c r="D2311" t="s">
        <v>554</v>
      </c>
      <c r="E2311" t="s">
        <v>47</v>
      </c>
      <c r="G2311" t="s">
        <v>1642</v>
      </c>
      <c r="H2311" t="s">
        <v>399</v>
      </c>
      <c r="K2311">
        <v>1984</v>
      </c>
      <c r="O2311">
        <v>-33.19</v>
      </c>
      <c r="P2311" t="str">
        <f t="shared" si="23"/>
        <v>Not consistent</v>
      </c>
      <c r="Q2311" t="s">
        <v>398</v>
      </c>
    </row>
    <row r="2312" spans="1:17">
      <c r="A2312" t="s">
        <v>553</v>
      </c>
      <c r="C2312" t="s">
        <v>393</v>
      </c>
      <c r="D2312" t="s">
        <v>554</v>
      </c>
      <c r="E2312" t="s">
        <v>47</v>
      </c>
      <c r="G2312" t="s">
        <v>1643</v>
      </c>
      <c r="H2312" t="s">
        <v>399</v>
      </c>
      <c r="K2312">
        <v>1987</v>
      </c>
      <c r="O2312">
        <v>-31.76</v>
      </c>
      <c r="P2312" t="str">
        <f t="shared" si="23"/>
        <v>Not consistent</v>
      </c>
      <c r="Q2312" t="s">
        <v>398</v>
      </c>
    </row>
    <row r="2313" spans="1:17">
      <c r="A2313" t="s">
        <v>553</v>
      </c>
      <c r="C2313" t="s">
        <v>393</v>
      </c>
      <c r="D2313" t="s">
        <v>554</v>
      </c>
      <c r="E2313" t="s">
        <v>47</v>
      </c>
      <c r="G2313" t="s">
        <v>1644</v>
      </c>
      <c r="H2313" t="s">
        <v>399</v>
      </c>
      <c r="K2313">
        <v>1984</v>
      </c>
      <c r="O2313">
        <v>-30.11</v>
      </c>
      <c r="P2313" t="str">
        <f t="shared" si="23"/>
        <v>Not consistent</v>
      </c>
      <c r="Q2313" t="s">
        <v>398</v>
      </c>
    </row>
    <row r="2314" spans="1:17">
      <c r="A2314" t="s">
        <v>553</v>
      </c>
      <c r="C2314" t="s">
        <v>393</v>
      </c>
      <c r="D2314" t="s">
        <v>554</v>
      </c>
      <c r="E2314" t="s">
        <v>47</v>
      </c>
      <c r="G2314" t="s">
        <v>1645</v>
      </c>
      <c r="H2314" t="s">
        <v>399</v>
      </c>
      <c r="K2314">
        <v>1995</v>
      </c>
      <c r="O2314">
        <v>-29.88</v>
      </c>
      <c r="P2314" t="str">
        <f t="shared" si="23"/>
        <v>Not consistent</v>
      </c>
      <c r="Q2314" t="s">
        <v>398</v>
      </c>
    </row>
    <row r="2315" spans="1:17">
      <c r="A2315" t="s">
        <v>553</v>
      </c>
      <c r="C2315" t="s">
        <v>393</v>
      </c>
      <c r="D2315" t="s">
        <v>554</v>
      </c>
      <c r="E2315" t="s">
        <v>47</v>
      </c>
      <c r="G2315" t="s">
        <v>1646</v>
      </c>
      <c r="H2315" t="s">
        <v>399</v>
      </c>
      <c r="K2315">
        <v>1984</v>
      </c>
      <c r="O2315">
        <v>-23.98</v>
      </c>
      <c r="P2315" t="str">
        <f t="shared" si="23"/>
        <v>Not consistent</v>
      </c>
      <c r="Q2315" t="s">
        <v>398</v>
      </c>
    </row>
    <row r="2316" spans="1:17">
      <c r="A2316" t="s">
        <v>553</v>
      </c>
      <c r="C2316" t="s">
        <v>393</v>
      </c>
      <c r="D2316" t="s">
        <v>554</v>
      </c>
      <c r="E2316" t="s">
        <v>47</v>
      </c>
      <c r="G2316" t="s">
        <v>1647</v>
      </c>
      <c r="H2316" t="s">
        <v>399</v>
      </c>
      <c r="K2316">
        <v>1987</v>
      </c>
      <c r="O2316">
        <v>-22.959999999999997</v>
      </c>
      <c r="P2316" t="str">
        <f t="shared" si="23"/>
        <v>Not consistent</v>
      </c>
      <c r="Q2316" t="s">
        <v>398</v>
      </c>
    </row>
    <row r="2317" spans="1:17">
      <c r="A2317" t="s">
        <v>553</v>
      </c>
      <c r="C2317" t="s">
        <v>393</v>
      </c>
      <c r="D2317" t="s">
        <v>554</v>
      </c>
      <c r="E2317" t="s">
        <v>47</v>
      </c>
      <c r="G2317" t="s">
        <v>1642</v>
      </c>
      <c r="H2317" t="s">
        <v>399</v>
      </c>
      <c r="K2317">
        <v>1982</v>
      </c>
      <c r="O2317">
        <v>-22.639999999999997</v>
      </c>
      <c r="P2317" t="str">
        <f t="shared" si="23"/>
        <v>Not consistent</v>
      </c>
      <c r="Q2317" t="s">
        <v>398</v>
      </c>
    </row>
    <row r="2318" spans="1:17">
      <c r="A2318" t="s">
        <v>553</v>
      </c>
      <c r="C2318" t="s">
        <v>393</v>
      </c>
      <c r="D2318" t="s">
        <v>554</v>
      </c>
      <c r="E2318" t="s">
        <v>47</v>
      </c>
      <c r="G2318" t="s">
        <v>1648</v>
      </c>
      <c r="H2318" t="s">
        <v>399</v>
      </c>
      <c r="K2318">
        <v>1977</v>
      </c>
      <c r="O2318">
        <v>-20.440000000000001</v>
      </c>
      <c r="P2318" t="str">
        <f t="shared" si="23"/>
        <v>Not consistent</v>
      </c>
      <c r="Q2318" t="s">
        <v>398</v>
      </c>
    </row>
    <row r="2319" spans="1:17">
      <c r="A2319" t="s">
        <v>553</v>
      </c>
      <c r="C2319" t="s">
        <v>393</v>
      </c>
      <c r="D2319" t="s">
        <v>554</v>
      </c>
      <c r="E2319" t="s">
        <v>47</v>
      </c>
      <c r="G2319" t="s">
        <v>1649</v>
      </c>
      <c r="H2319" t="s">
        <v>399</v>
      </c>
      <c r="K2319">
        <v>1987</v>
      </c>
      <c r="O2319">
        <v>-17.75</v>
      </c>
      <c r="P2319" t="str">
        <f t="shared" si="23"/>
        <v>Not consistent</v>
      </c>
      <c r="Q2319" t="s">
        <v>398</v>
      </c>
    </row>
    <row r="2320" spans="1:17">
      <c r="A2320" t="s">
        <v>553</v>
      </c>
      <c r="C2320" t="s">
        <v>393</v>
      </c>
      <c r="D2320" t="s">
        <v>554</v>
      </c>
      <c r="E2320" t="s">
        <v>47</v>
      </c>
      <c r="G2320" t="s">
        <v>1650</v>
      </c>
      <c r="H2320" t="s">
        <v>399</v>
      </c>
      <c r="K2320">
        <v>1987</v>
      </c>
      <c r="O2320">
        <v>-17.059999999999999</v>
      </c>
      <c r="P2320" t="str">
        <f t="shared" si="23"/>
        <v>Not consistent</v>
      </c>
      <c r="Q2320" t="s">
        <v>398</v>
      </c>
    </row>
    <row r="2321" spans="1:17">
      <c r="A2321" t="s">
        <v>553</v>
      </c>
      <c r="C2321" t="s">
        <v>393</v>
      </c>
      <c r="D2321" t="s">
        <v>554</v>
      </c>
      <c r="E2321" t="s">
        <v>47</v>
      </c>
      <c r="G2321" t="s">
        <v>1651</v>
      </c>
      <c r="H2321" t="s">
        <v>399</v>
      </c>
      <c r="K2321">
        <v>1987</v>
      </c>
      <c r="O2321">
        <v>-16.84</v>
      </c>
      <c r="P2321" t="str">
        <f t="shared" si="23"/>
        <v>Not consistent</v>
      </c>
      <c r="Q2321" t="s">
        <v>398</v>
      </c>
    </row>
    <row r="2322" spans="1:17">
      <c r="A2322" t="s">
        <v>553</v>
      </c>
      <c r="C2322" t="s">
        <v>393</v>
      </c>
      <c r="D2322" t="s">
        <v>554</v>
      </c>
      <c r="E2322" t="s">
        <v>47</v>
      </c>
      <c r="G2322" t="s">
        <v>154</v>
      </c>
      <c r="H2322" t="s">
        <v>399</v>
      </c>
      <c r="K2322">
        <v>1982</v>
      </c>
      <c r="O2322">
        <v>-12.270000000000001</v>
      </c>
      <c r="P2322" t="str">
        <f t="shared" si="23"/>
        <v>Not consistent</v>
      </c>
      <c r="Q2322" t="s">
        <v>398</v>
      </c>
    </row>
    <row r="2323" spans="1:17">
      <c r="A2323" t="s">
        <v>553</v>
      </c>
      <c r="C2323" t="s">
        <v>393</v>
      </c>
      <c r="D2323" t="s">
        <v>554</v>
      </c>
      <c r="E2323" t="s">
        <v>47</v>
      </c>
      <c r="G2323" t="s">
        <v>1652</v>
      </c>
      <c r="H2323" t="s">
        <v>399</v>
      </c>
      <c r="K2323">
        <v>1982</v>
      </c>
      <c r="O2323">
        <v>-5.6899999999999995</v>
      </c>
      <c r="P2323" t="str">
        <f t="shared" si="23"/>
        <v>Not consistent</v>
      </c>
      <c r="Q2323" t="s">
        <v>398</v>
      </c>
    </row>
    <row r="2324" spans="1:17">
      <c r="A2324" t="s">
        <v>553</v>
      </c>
      <c r="C2324" t="s">
        <v>393</v>
      </c>
      <c r="D2324" t="s">
        <v>554</v>
      </c>
      <c r="E2324" t="s">
        <v>47</v>
      </c>
      <c r="G2324" t="s">
        <v>1653</v>
      </c>
      <c r="H2324" t="s">
        <v>399</v>
      </c>
      <c r="K2324">
        <v>1995</v>
      </c>
      <c r="O2324">
        <v>-5.16</v>
      </c>
      <c r="P2324" t="str">
        <f t="shared" si="23"/>
        <v>Not consistent</v>
      </c>
      <c r="Q2324" t="s">
        <v>398</v>
      </c>
    </row>
    <row r="2325" spans="1:17">
      <c r="A2325" t="s">
        <v>553</v>
      </c>
      <c r="C2325" t="s">
        <v>393</v>
      </c>
      <c r="D2325" t="s">
        <v>554</v>
      </c>
      <c r="E2325" t="s">
        <v>47</v>
      </c>
      <c r="G2325" t="s">
        <v>1654</v>
      </c>
      <c r="H2325" t="s">
        <v>399</v>
      </c>
      <c r="K2325">
        <v>1982</v>
      </c>
      <c r="O2325">
        <v>-3.54</v>
      </c>
      <c r="P2325" t="str">
        <f t="shared" si="23"/>
        <v>Not consistent</v>
      </c>
      <c r="Q2325" t="s">
        <v>398</v>
      </c>
    </row>
    <row r="2326" spans="1:17">
      <c r="A2326" t="s">
        <v>553</v>
      </c>
      <c r="C2326" t="s">
        <v>393</v>
      </c>
      <c r="D2326" t="s">
        <v>554</v>
      </c>
      <c r="E2326" t="s">
        <v>47</v>
      </c>
      <c r="G2326" t="s">
        <v>1655</v>
      </c>
      <c r="H2326" t="s">
        <v>399</v>
      </c>
      <c r="K2326">
        <v>1982</v>
      </c>
      <c r="O2326">
        <v>-2.66</v>
      </c>
      <c r="P2326" t="str">
        <f t="shared" si="23"/>
        <v>Not consistent</v>
      </c>
      <c r="Q2326" t="s">
        <v>398</v>
      </c>
    </row>
    <row r="2327" spans="1:17">
      <c r="A2327" t="s">
        <v>553</v>
      </c>
      <c r="C2327" t="s">
        <v>393</v>
      </c>
      <c r="D2327" t="s">
        <v>554</v>
      </c>
      <c r="E2327" t="s">
        <v>47</v>
      </c>
      <c r="G2327" t="s">
        <v>1646</v>
      </c>
      <c r="H2327" t="s">
        <v>399</v>
      </c>
      <c r="K2327">
        <v>1982</v>
      </c>
      <c r="O2327">
        <v>8.66</v>
      </c>
      <c r="P2327" t="str">
        <f t="shared" si="23"/>
        <v>Consistent</v>
      </c>
      <c r="Q2327" t="s">
        <v>398</v>
      </c>
    </row>
    <row r="2328" spans="1:17">
      <c r="A2328" t="s">
        <v>553</v>
      </c>
      <c r="C2328" t="s">
        <v>393</v>
      </c>
      <c r="D2328" t="s">
        <v>554</v>
      </c>
      <c r="E2328" t="s">
        <v>47</v>
      </c>
      <c r="G2328" t="s">
        <v>156</v>
      </c>
      <c r="H2328" t="s">
        <v>399</v>
      </c>
      <c r="K2328">
        <v>1982</v>
      </c>
      <c r="O2328">
        <v>9.26</v>
      </c>
      <c r="P2328" t="str">
        <f t="shared" si="23"/>
        <v>Consistent</v>
      </c>
      <c r="Q2328" t="s">
        <v>398</v>
      </c>
    </row>
    <row r="2329" spans="1:17">
      <c r="A2329" t="s">
        <v>553</v>
      </c>
      <c r="C2329" t="s">
        <v>393</v>
      </c>
      <c r="D2329" t="s">
        <v>554</v>
      </c>
      <c r="E2329" t="s">
        <v>47</v>
      </c>
      <c r="G2329" t="s">
        <v>1656</v>
      </c>
      <c r="H2329" t="s">
        <v>399</v>
      </c>
      <c r="K2329">
        <v>1987</v>
      </c>
      <c r="O2329">
        <v>12.190000000000001</v>
      </c>
      <c r="P2329" t="str">
        <f t="shared" si="23"/>
        <v>Consistent</v>
      </c>
      <c r="Q2329" t="s">
        <v>398</v>
      </c>
    </row>
    <row r="2330" spans="1:17">
      <c r="A2330" t="s">
        <v>553</v>
      </c>
      <c r="C2330" t="s">
        <v>393</v>
      </c>
      <c r="D2330" t="s">
        <v>554</v>
      </c>
      <c r="E2330" t="s">
        <v>47</v>
      </c>
      <c r="G2330" t="s">
        <v>1657</v>
      </c>
      <c r="H2330" t="s">
        <v>399</v>
      </c>
      <c r="K2330">
        <v>1987</v>
      </c>
      <c r="O2330">
        <v>12.84</v>
      </c>
      <c r="P2330" t="str">
        <f t="shared" si="23"/>
        <v>Consistent</v>
      </c>
      <c r="Q2330" t="s">
        <v>398</v>
      </c>
    </row>
    <row r="2331" spans="1:17">
      <c r="A2331" t="s">
        <v>553</v>
      </c>
      <c r="C2331" t="s">
        <v>393</v>
      </c>
      <c r="D2331" t="s">
        <v>554</v>
      </c>
      <c r="E2331" t="s">
        <v>47</v>
      </c>
      <c r="G2331" t="s">
        <v>1658</v>
      </c>
      <c r="H2331" t="s">
        <v>399</v>
      </c>
      <c r="K2331">
        <v>1980</v>
      </c>
      <c r="O2331">
        <v>17.920000000000002</v>
      </c>
      <c r="P2331" t="str">
        <f t="shared" si="23"/>
        <v>Consistent</v>
      </c>
      <c r="Q2331" t="s">
        <v>398</v>
      </c>
    </row>
    <row r="2332" spans="1:17">
      <c r="A2332" t="s">
        <v>553</v>
      </c>
      <c r="C2332" t="s">
        <v>393</v>
      </c>
      <c r="D2332" t="s">
        <v>554</v>
      </c>
      <c r="E2332" t="s">
        <v>47</v>
      </c>
      <c r="G2332" t="s">
        <v>179</v>
      </c>
      <c r="H2332" t="s">
        <v>399</v>
      </c>
      <c r="K2332">
        <v>1982</v>
      </c>
      <c r="O2332">
        <v>20.18</v>
      </c>
      <c r="P2332" t="str">
        <f t="shared" si="23"/>
        <v>Consistent</v>
      </c>
      <c r="Q2332" t="s">
        <v>398</v>
      </c>
    </row>
    <row r="2333" spans="1:17">
      <c r="A2333" t="s">
        <v>553</v>
      </c>
      <c r="C2333" t="s">
        <v>393</v>
      </c>
      <c r="D2333" t="s">
        <v>554</v>
      </c>
      <c r="E2333" t="s">
        <v>47</v>
      </c>
      <c r="G2333" t="s">
        <v>1659</v>
      </c>
      <c r="H2333" t="s">
        <v>399</v>
      </c>
      <c r="K2333">
        <v>1987</v>
      </c>
      <c r="O2333">
        <v>21.57</v>
      </c>
      <c r="P2333" t="str">
        <f t="shared" si="23"/>
        <v>Consistent</v>
      </c>
      <c r="Q2333" t="s">
        <v>398</v>
      </c>
    </row>
    <row r="2334" spans="1:17">
      <c r="A2334" t="s">
        <v>553</v>
      </c>
      <c r="C2334" t="s">
        <v>393</v>
      </c>
      <c r="D2334" t="s">
        <v>554</v>
      </c>
      <c r="E2334" t="s">
        <v>47</v>
      </c>
      <c r="G2334" t="s">
        <v>1660</v>
      </c>
      <c r="H2334" t="s">
        <v>399</v>
      </c>
      <c r="K2334">
        <v>1982</v>
      </c>
      <c r="O2334">
        <v>25.33</v>
      </c>
      <c r="P2334" t="str">
        <f t="shared" si="23"/>
        <v>Consistent</v>
      </c>
      <c r="Q2334" t="s">
        <v>398</v>
      </c>
    </row>
    <row r="2335" spans="1:17">
      <c r="A2335" t="s">
        <v>553</v>
      </c>
      <c r="C2335" t="s">
        <v>393</v>
      </c>
      <c r="D2335" t="s">
        <v>554</v>
      </c>
      <c r="E2335" t="s">
        <v>47</v>
      </c>
      <c r="G2335" t="s">
        <v>1646</v>
      </c>
      <c r="H2335" t="s">
        <v>399</v>
      </c>
      <c r="K2335">
        <v>1980</v>
      </c>
      <c r="O2335">
        <v>28.72</v>
      </c>
      <c r="P2335" t="str">
        <f t="shared" si="23"/>
        <v>Consistent</v>
      </c>
      <c r="Q2335" t="s">
        <v>398</v>
      </c>
    </row>
    <row r="2336" spans="1:17">
      <c r="A2336" t="s">
        <v>553</v>
      </c>
      <c r="C2336" t="s">
        <v>393</v>
      </c>
      <c r="D2336" t="s">
        <v>554</v>
      </c>
      <c r="E2336" t="s">
        <v>47</v>
      </c>
      <c r="G2336" t="s">
        <v>1661</v>
      </c>
      <c r="H2336" t="s">
        <v>399</v>
      </c>
      <c r="K2336">
        <v>1982</v>
      </c>
      <c r="O2336">
        <v>29.089999999999996</v>
      </c>
      <c r="P2336" t="str">
        <f t="shared" si="23"/>
        <v>Consistent</v>
      </c>
      <c r="Q2336" t="s">
        <v>398</v>
      </c>
    </row>
    <row r="2337" spans="1:18">
      <c r="A2337" t="s">
        <v>553</v>
      </c>
      <c r="C2337" t="s">
        <v>393</v>
      </c>
      <c r="D2337" t="s">
        <v>554</v>
      </c>
      <c r="E2337" t="s">
        <v>47</v>
      </c>
      <c r="G2337" t="s">
        <v>1662</v>
      </c>
      <c r="H2337" t="s">
        <v>399</v>
      </c>
      <c r="K2337">
        <v>1995</v>
      </c>
      <c r="O2337">
        <v>33.94</v>
      </c>
      <c r="P2337" t="str">
        <f t="shared" si="23"/>
        <v>Consistent</v>
      </c>
      <c r="Q2337" t="s">
        <v>398</v>
      </c>
      <c r="R2337" t="s">
        <v>1663</v>
      </c>
    </row>
    <row r="2338" spans="1:18">
      <c r="A2338" t="s">
        <v>553</v>
      </c>
      <c r="C2338" t="s">
        <v>393</v>
      </c>
      <c r="D2338" t="s">
        <v>554</v>
      </c>
      <c r="E2338" t="s">
        <v>47</v>
      </c>
      <c r="G2338" t="s">
        <v>1664</v>
      </c>
      <c r="H2338" t="s">
        <v>399</v>
      </c>
      <c r="K2338">
        <v>1982</v>
      </c>
      <c r="O2338">
        <v>49.870000000000005</v>
      </c>
      <c r="P2338" t="str">
        <f t="shared" si="23"/>
        <v>Consistent</v>
      </c>
      <c r="Q2338" t="s">
        <v>398</v>
      </c>
    </row>
    <row r="2339" spans="1:18">
      <c r="A2339" t="s">
        <v>553</v>
      </c>
      <c r="C2339" t="s">
        <v>393</v>
      </c>
      <c r="D2339" t="s">
        <v>554</v>
      </c>
      <c r="E2339" t="s">
        <v>47</v>
      </c>
      <c r="G2339" t="s">
        <v>179</v>
      </c>
      <c r="H2339" t="s">
        <v>399</v>
      </c>
      <c r="K2339">
        <v>1995</v>
      </c>
      <c r="O2339">
        <v>60.300000000000004</v>
      </c>
      <c r="P2339" t="str">
        <f t="shared" si="23"/>
        <v>Consistent</v>
      </c>
      <c r="Q2339" t="s">
        <v>398</v>
      </c>
    </row>
    <row r="2340" spans="1:18">
      <c r="A2340" t="s">
        <v>553</v>
      </c>
      <c r="C2340" t="s">
        <v>393</v>
      </c>
      <c r="D2340" t="s">
        <v>554</v>
      </c>
      <c r="E2340" t="s">
        <v>47</v>
      </c>
      <c r="G2340" t="s">
        <v>1642</v>
      </c>
      <c r="H2340" t="s">
        <v>399</v>
      </c>
      <c r="K2340">
        <v>1980</v>
      </c>
      <c r="O2340">
        <v>68.16</v>
      </c>
      <c r="P2340" t="str">
        <f t="shared" si="23"/>
        <v>Consistent</v>
      </c>
      <c r="Q2340" t="s">
        <v>398</v>
      </c>
    </row>
    <row r="2341" spans="1:18">
      <c r="A2341" t="s">
        <v>553</v>
      </c>
      <c r="C2341" t="s">
        <v>393</v>
      </c>
      <c r="D2341" t="s">
        <v>554</v>
      </c>
      <c r="E2341" t="s">
        <v>47</v>
      </c>
      <c r="G2341" t="s">
        <v>1665</v>
      </c>
      <c r="H2341" t="s">
        <v>399</v>
      </c>
      <c r="K2341">
        <v>1968</v>
      </c>
      <c r="O2341">
        <v>68.849999999999994</v>
      </c>
      <c r="P2341" t="str">
        <f t="shared" si="23"/>
        <v>Consistent</v>
      </c>
      <c r="Q2341" t="s">
        <v>398</v>
      </c>
    </row>
    <row r="2342" spans="1:18">
      <c r="A2342" t="s">
        <v>553</v>
      </c>
      <c r="C2342" t="s">
        <v>393</v>
      </c>
      <c r="D2342" t="s">
        <v>554</v>
      </c>
      <c r="E2342" t="s">
        <v>47</v>
      </c>
      <c r="G2342" t="s">
        <v>1666</v>
      </c>
      <c r="H2342" t="s">
        <v>399</v>
      </c>
      <c r="K2342">
        <v>1995</v>
      </c>
      <c r="O2342">
        <v>72.13</v>
      </c>
      <c r="P2342" t="str">
        <f t="shared" si="23"/>
        <v>Consistent</v>
      </c>
      <c r="Q2342" t="s">
        <v>398</v>
      </c>
    </row>
    <row r="2343" spans="1:18">
      <c r="A2343" t="s">
        <v>1607</v>
      </c>
      <c r="B2343" t="s">
        <v>593</v>
      </c>
      <c r="C2343" t="s">
        <v>393</v>
      </c>
      <c r="D2343" t="s">
        <v>729</v>
      </c>
      <c r="E2343" t="s">
        <v>161</v>
      </c>
      <c r="G2343" t="s">
        <v>771</v>
      </c>
      <c r="H2343" t="s">
        <v>406</v>
      </c>
      <c r="K2343">
        <v>1977</v>
      </c>
      <c r="L2343">
        <v>2001</v>
      </c>
      <c r="M2343">
        <v>24</v>
      </c>
      <c r="O2343" t="s">
        <v>1169</v>
      </c>
      <c r="P2343" t="s">
        <v>1169</v>
      </c>
      <c r="Q2343" t="s">
        <v>701</v>
      </c>
    </row>
    <row r="2344" spans="1:18">
      <c r="A2344" t="s">
        <v>1607</v>
      </c>
      <c r="B2344" t="s">
        <v>593</v>
      </c>
      <c r="C2344" t="s">
        <v>393</v>
      </c>
      <c r="D2344" t="s">
        <v>729</v>
      </c>
      <c r="E2344" t="s">
        <v>161</v>
      </c>
      <c r="G2344" t="s">
        <v>1384</v>
      </c>
      <c r="H2344" t="s">
        <v>700</v>
      </c>
      <c r="K2344">
        <v>1977</v>
      </c>
      <c r="L2344">
        <v>2001</v>
      </c>
      <c r="M2344">
        <v>24</v>
      </c>
      <c r="O2344" t="s">
        <v>1169</v>
      </c>
      <c r="P2344" t="s">
        <v>1169</v>
      </c>
      <c r="Q2344" t="s">
        <v>701</v>
      </c>
    </row>
    <row r="2345" spans="1:18">
      <c r="A2345" t="s">
        <v>1667</v>
      </c>
      <c r="C2345" t="s">
        <v>393</v>
      </c>
      <c r="D2345" t="s">
        <v>554</v>
      </c>
      <c r="E2345" t="s">
        <v>47</v>
      </c>
      <c r="G2345" t="s">
        <v>1642</v>
      </c>
      <c r="H2345" t="s">
        <v>399</v>
      </c>
      <c r="K2345">
        <v>1982</v>
      </c>
      <c r="O2345">
        <v>-12</v>
      </c>
      <c r="P2345" t="str">
        <f t="shared" ref="P2345:P2349" si="24">(IF(O2345&gt;0,"Consistent","Not consistent"))</f>
        <v>Not consistent</v>
      </c>
      <c r="Q2345" t="s">
        <v>398</v>
      </c>
    </row>
    <row r="2346" spans="1:18">
      <c r="A2346" t="s">
        <v>1667</v>
      </c>
      <c r="C2346" t="s">
        <v>393</v>
      </c>
      <c r="D2346" t="s">
        <v>554</v>
      </c>
      <c r="E2346" t="s">
        <v>47</v>
      </c>
      <c r="G2346" t="s">
        <v>1655</v>
      </c>
      <c r="H2346" t="s">
        <v>399</v>
      </c>
      <c r="K2346">
        <v>1982</v>
      </c>
      <c r="O2346">
        <v>0</v>
      </c>
      <c r="P2346" t="str">
        <f t="shared" si="24"/>
        <v>Not consistent</v>
      </c>
      <c r="Q2346" t="s">
        <v>398</v>
      </c>
    </row>
    <row r="2347" spans="1:18">
      <c r="A2347" t="s">
        <v>1667</v>
      </c>
      <c r="C2347" t="s">
        <v>393</v>
      </c>
      <c r="D2347" t="s">
        <v>554</v>
      </c>
      <c r="E2347" t="s">
        <v>47</v>
      </c>
      <c r="G2347" t="s">
        <v>179</v>
      </c>
      <c r="H2347" t="s">
        <v>399</v>
      </c>
      <c r="K2347">
        <v>1982</v>
      </c>
      <c r="O2347">
        <v>10.35</v>
      </c>
      <c r="P2347" t="str">
        <f t="shared" si="24"/>
        <v>Consistent</v>
      </c>
      <c r="Q2347" t="s">
        <v>398</v>
      </c>
    </row>
    <row r="2348" spans="1:18">
      <c r="A2348" t="s">
        <v>1667</v>
      </c>
      <c r="C2348" t="s">
        <v>393</v>
      </c>
      <c r="D2348" t="s">
        <v>554</v>
      </c>
      <c r="E2348" t="s">
        <v>47</v>
      </c>
      <c r="G2348" t="s">
        <v>1664</v>
      </c>
      <c r="H2348" t="s">
        <v>399</v>
      </c>
      <c r="K2348">
        <v>1982</v>
      </c>
      <c r="O2348">
        <v>20.86</v>
      </c>
      <c r="P2348" t="str">
        <f t="shared" si="24"/>
        <v>Consistent</v>
      </c>
      <c r="Q2348" t="s">
        <v>398</v>
      </c>
    </row>
    <row r="2349" spans="1:18">
      <c r="A2349" t="s">
        <v>1668</v>
      </c>
      <c r="C2349" t="s">
        <v>393</v>
      </c>
      <c r="D2349" t="s">
        <v>554</v>
      </c>
      <c r="E2349" t="s">
        <v>47</v>
      </c>
      <c r="G2349" t="s">
        <v>1669</v>
      </c>
      <c r="H2349" t="s">
        <v>396</v>
      </c>
      <c r="K2349">
        <v>1963</v>
      </c>
      <c r="O2349">
        <v>77.78</v>
      </c>
      <c r="P2349" t="str">
        <f t="shared" si="24"/>
        <v>Consistent</v>
      </c>
      <c r="Q2349" t="s">
        <v>398</v>
      </c>
    </row>
    <row r="2350" spans="1:18">
      <c r="A2350" t="s">
        <v>1607</v>
      </c>
      <c r="B2350" t="s">
        <v>593</v>
      </c>
      <c r="C2350" t="s">
        <v>393</v>
      </c>
      <c r="D2350" t="s">
        <v>729</v>
      </c>
      <c r="E2350" t="s">
        <v>161</v>
      </c>
      <c r="G2350" t="s">
        <v>1670</v>
      </c>
      <c r="H2350" t="s">
        <v>700</v>
      </c>
      <c r="K2350">
        <v>1977</v>
      </c>
      <c r="L2350">
        <v>2001</v>
      </c>
      <c r="M2350">
        <v>24</v>
      </c>
      <c r="O2350" t="s">
        <v>1169</v>
      </c>
      <c r="P2350" t="s">
        <v>1169</v>
      </c>
      <c r="Q2350" t="s">
        <v>701</v>
      </c>
    </row>
    <row r="2351" spans="1:18">
      <c r="A2351" t="s">
        <v>651</v>
      </c>
      <c r="C2351" t="s">
        <v>393</v>
      </c>
      <c r="D2351" t="s">
        <v>554</v>
      </c>
      <c r="E2351" t="s">
        <v>47</v>
      </c>
      <c r="G2351" t="s">
        <v>1665</v>
      </c>
      <c r="H2351" t="s">
        <v>399</v>
      </c>
      <c r="K2351">
        <v>1968</v>
      </c>
      <c r="O2351">
        <v>-23.189999999999998</v>
      </c>
      <c r="P2351" t="str">
        <f t="shared" ref="P2351:P2353" si="25">(IF(O2351&gt;0,"Consistent","Not consistent"))</f>
        <v>Not consistent</v>
      </c>
      <c r="Q2351" t="s">
        <v>398</v>
      </c>
    </row>
    <row r="2352" spans="1:18">
      <c r="A2352" t="s">
        <v>651</v>
      </c>
      <c r="C2352" t="s">
        <v>393</v>
      </c>
      <c r="D2352" t="s">
        <v>554</v>
      </c>
      <c r="E2352" t="s">
        <v>47</v>
      </c>
      <c r="G2352" t="s">
        <v>1665</v>
      </c>
      <c r="H2352" t="s">
        <v>399</v>
      </c>
      <c r="K2352">
        <v>1968</v>
      </c>
      <c r="O2352">
        <v>2.2800000000000002</v>
      </c>
      <c r="P2352" t="str">
        <f t="shared" si="25"/>
        <v>Consistent</v>
      </c>
      <c r="Q2352" t="s">
        <v>398</v>
      </c>
    </row>
    <row r="2353" spans="1:17">
      <c r="A2353" t="s">
        <v>651</v>
      </c>
      <c r="C2353" t="s">
        <v>393</v>
      </c>
      <c r="D2353" t="s">
        <v>554</v>
      </c>
      <c r="E2353" t="s">
        <v>47</v>
      </c>
      <c r="G2353" t="s">
        <v>1665</v>
      </c>
      <c r="H2353" t="s">
        <v>399</v>
      </c>
      <c r="K2353">
        <v>1968</v>
      </c>
      <c r="O2353">
        <v>2.7800000000000002</v>
      </c>
      <c r="P2353" t="str">
        <f t="shared" si="25"/>
        <v>Consistent</v>
      </c>
      <c r="Q2353" t="s">
        <v>398</v>
      </c>
    </row>
    <row r="2354" spans="1:17">
      <c r="A2354" t="s">
        <v>1607</v>
      </c>
      <c r="B2354" t="s">
        <v>593</v>
      </c>
      <c r="C2354" t="s">
        <v>393</v>
      </c>
      <c r="D2354" t="s">
        <v>729</v>
      </c>
      <c r="E2354" t="s">
        <v>161</v>
      </c>
      <c r="G2354" t="s">
        <v>1671</v>
      </c>
      <c r="H2354" t="s">
        <v>700</v>
      </c>
      <c r="K2354">
        <v>1977</v>
      </c>
      <c r="L2354">
        <v>2001</v>
      </c>
      <c r="M2354">
        <v>24</v>
      </c>
      <c r="O2354" t="s">
        <v>1169</v>
      </c>
      <c r="P2354" t="s">
        <v>1169</v>
      </c>
      <c r="Q2354" t="s">
        <v>701</v>
      </c>
    </row>
    <row r="2355" spans="1:17">
      <c r="A2355" t="s">
        <v>1672</v>
      </c>
      <c r="C2355" t="s">
        <v>393</v>
      </c>
      <c r="D2355" t="s">
        <v>554</v>
      </c>
      <c r="E2355" t="s">
        <v>47</v>
      </c>
      <c r="G2355" t="s">
        <v>1673</v>
      </c>
      <c r="H2355" t="s">
        <v>399</v>
      </c>
      <c r="K2355">
        <v>1850</v>
      </c>
      <c r="O2355">
        <v>-10.309999999999999</v>
      </c>
      <c r="P2355" t="str">
        <f t="shared" ref="P2355:P2366" si="26">(IF(O2355&gt;0,"Consistent","Not consistent"))</f>
        <v>Not consistent</v>
      </c>
      <c r="Q2355" t="s">
        <v>398</v>
      </c>
    </row>
    <row r="2356" spans="1:17">
      <c r="A2356" t="s">
        <v>1672</v>
      </c>
      <c r="C2356" t="s">
        <v>393</v>
      </c>
      <c r="D2356" t="s">
        <v>554</v>
      </c>
      <c r="E2356" t="s">
        <v>47</v>
      </c>
      <c r="G2356" t="s">
        <v>1674</v>
      </c>
      <c r="H2356" t="s">
        <v>399</v>
      </c>
      <c r="K2356">
        <v>1850</v>
      </c>
      <c r="O2356">
        <v>-7.9</v>
      </c>
      <c r="P2356" t="str">
        <f t="shared" si="26"/>
        <v>Not consistent</v>
      </c>
      <c r="Q2356" t="s">
        <v>398</v>
      </c>
    </row>
    <row r="2357" spans="1:17">
      <c r="A2357" t="s">
        <v>1672</v>
      </c>
      <c r="C2357" t="s">
        <v>393</v>
      </c>
      <c r="D2357" t="s">
        <v>554</v>
      </c>
      <c r="E2357" t="s">
        <v>47</v>
      </c>
      <c r="G2357" t="s">
        <v>1675</v>
      </c>
      <c r="H2357" t="s">
        <v>399</v>
      </c>
      <c r="K2357">
        <v>1850</v>
      </c>
      <c r="O2357">
        <v>0</v>
      </c>
      <c r="P2357" t="str">
        <f t="shared" si="26"/>
        <v>Not consistent</v>
      </c>
      <c r="Q2357" t="s">
        <v>398</v>
      </c>
    </row>
    <row r="2358" spans="1:17">
      <c r="A2358" t="s">
        <v>940</v>
      </c>
      <c r="C2358" t="s">
        <v>393</v>
      </c>
      <c r="D2358" t="s">
        <v>554</v>
      </c>
      <c r="E2358" t="s">
        <v>47</v>
      </c>
      <c r="G2358" t="s">
        <v>1676</v>
      </c>
      <c r="H2358" t="s">
        <v>396</v>
      </c>
      <c r="K2358">
        <v>1993</v>
      </c>
      <c r="O2358">
        <v>0</v>
      </c>
      <c r="P2358" t="str">
        <f t="shared" si="26"/>
        <v>Not consistent</v>
      </c>
      <c r="Q2358" t="s">
        <v>398</v>
      </c>
    </row>
    <row r="2359" spans="1:17">
      <c r="A2359" t="s">
        <v>940</v>
      </c>
      <c r="C2359" t="s">
        <v>393</v>
      </c>
      <c r="D2359" t="s">
        <v>554</v>
      </c>
      <c r="E2359" t="s">
        <v>47</v>
      </c>
      <c r="G2359" t="s">
        <v>1677</v>
      </c>
      <c r="H2359" t="s">
        <v>457</v>
      </c>
      <c r="K2359">
        <v>1993</v>
      </c>
      <c r="O2359">
        <v>0</v>
      </c>
      <c r="P2359" t="str">
        <f t="shared" si="26"/>
        <v>Not consistent</v>
      </c>
      <c r="Q2359" t="s">
        <v>398</v>
      </c>
    </row>
    <row r="2360" spans="1:17">
      <c r="A2360" t="s">
        <v>940</v>
      </c>
      <c r="C2360" t="s">
        <v>393</v>
      </c>
      <c r="D2360" t="s">
        <v>554</v>
      </c>
      <c r="E2360" t="s">
        <v>47</v>
      </c>
      <c r="G2360" t="s">
        <v>1676</v>
      </c>
      <c r="H2360" t="s">
        <v>399</v>
      </c>
      <c r="K2360">
        <v>1993</v>
      </c>
      <c r="O2360">
        <v>0</v>
      </c>
      <c r="P2360" t="str">
        <f t="shared" si="26"/>
        <v>Not consistent</v>
      </c>
      <c r="Q2360" t="s">
        <v>398</v>
      </c>
    </row>
    <row r="2361" spans="1:17">
      <c r="A2361" t="s">
        <v>940</v>
      </c>
      <c r="C2361" t="s">
        <v>393</v>
      </c>
      <c r="D2361" t="s">
        <v>554</v>
      </c>
      <c r="E2361" t="s">
        <v>47</v>
      </c>
      <c r="G2361" t="s">
        <v>1677</v>
      </c>
      <c r="H2361" t="s">
        <v>396</v>
      </c>
      <c r="K2361">
        <v>1993</v>
      </c>
      <c r="O2361">
        <v>0</v>
      </c>
      <c r="P2361" t="str">
        <f t="shared" si="26"/>
        <v>Not consistent</v>
      </c>
      <c r="Q2361" t="s">
        <v>398</v>
      </c>
    </row>
    <row r="2362" spans="1:17">
      <c r="A2362" t="s">
        <v>940</v>
      </c>
      <c r="C2362" t="s">
        <v>393</v>
      </c>
      <c r="D2362" t="s">
        <v>554</v>
      </c>
      <c r="E2362" t="s">
        <v>47</v>
      </c>
      <c r="G2362" t="s">
        <v>1676</v>
      </c>
      <c r="H2362" t="s">
        <v>457</v>
      </c>
      <c r="K2362">
        <v>1993</v>
      </c>
      <c r="O2362">
        <v>0</v>
      </c>
      <c r="P2362" t="str">
        <f t="shared" si="26"/>
        <v>Not consistent</v>
      </c>
      <c r="Q2362" t="s">
        <v>398</v>
      </c>
    </row>
    <row r="2363" spans="1:17">
      <c r="A2363" t="s">
        <v>940</v>
      </c>
      <c r="C2363" t="s">
        <v>393</v>
      </c>
      <c r="D2363" t="s">
        <v>554</v>
      </c>
      <c r="E2363" t="s">
        <v>47</v>
      </c>
      <c r="G2363" t="s">
        <v>1678</v>
      </c>
      <c r="H2363" t="s">
        <v>457</v>
      </c>
      <c r="K2363">
        <v>1993</v>
      </c>
      <c r="O2363">
        <v>0.58000000000000007</v>
      </c>
      <c r="P2363" t="str">
        <f t="shared" si="26"/>
        <v>Consistent</v>
      </c>
      <c r="Q2363" t="s">
        <v>398</v>
      </c>
    </row>
    <row r="2364" spans="1:17">
      <c r="A2364" t="s">
        <v>940</v>
      </c>
      <c r="C2364" t="s">
        <v>393</v>
      </c>
      <c r="D2364" t="s">
        <v>554</v>
      </c>
      <c r="E2364" t="s">
        <v>47</v>
      </c>
      <c r="G2364" t="s">
        <v>1678</v>
      </c>
      <c r="H2364" t="s">
        <v>396</v>
      </c>
      <c r="K2364">
        <v>1993</v>
      </c>
      <c r="O2364">
        <v>72.63</v>
      </c>
      <c r="P2364" t="str">
        <f t="shared" si="26"/>
        <v>Consistent</v>
      </c>
      <c r="Q2364" t="s">
        <v>398</v>
      </c>
    </row>
    <row r="2365" spans="1:17">
      <c r="A2365" t="s">
        <v>940</v>
      </c>
      <c r="C2365" t="s">
        <v>393</v>
      </c>
      <c r="D2365" t="s">
        <v>554</v>
      </c>
      <c r="E2365" t="s">
        <v>47</v>
      </c>
      <c r="G2365" t="s">
        <v>1677</v>
      </c>
      <c r="H2365" t="s">
        <v>399</v>
      </c>
      <c r="K2365">
        <v>1993</v>
      </c>
      <c r="O2365">
        <v>94.82</v>
      </c>
      <c r="P2365" t="str">
        <f t="shared" si="26"/>
        <v>Consistent</v>
      </c>
      <c r="Q2365" t="s">
        <v>398</v>
      </c>
    </row>
    <row r="2366" spans="1:17">
      <c r="A2366" t="s">
        <v>940</v>
      </c>
      <c r="C2366" t="s">
        <v>393</v>
      </c>
      <c r="D2366" t="s">
        <v>554</v>
      </c>
      <c r="E2366" t="s">
        <v>47</v>
      </c>
      <c r="G2366" t="s">
        <v>1678</v>
      </c>
      <c r="H2366" t="s">
        <v>399</v>
      </c>
      <c r="K2366">
        <v>1993</v>
      </c>
      <c r="O2366">
        <v>158.93</v>
      </c>
      <c r="P2366" t="str">
        <f t="shared" si="26"/>
        <v>Consistent</v>
      </c>
      <c r="Q2366" t="s">
        <v>398</v>
      </c>
    </row>
    <row r="2367" spans="1:17">
      <c r="A2367" t="s">
        <v>1679</v>
      </c>
      <c r="C2367" t="s">
        <v>393</v>
      </c>
      <c r="D2367" t="s">
        <v>1680</v>
      </c>
      <c r="E2367" t="s">
        <v>265</v>
      </c>
      <c r="G2367" t="s">
        <v>1681</v>
      </c>
      <c r="H2367" t="s">
        <v>163</v>
      </c>
      <c r="K2367">
        <v>1960</v>
      </c>
      <c r="L2367">
        <v>2019</v>
      </c>
      <c r="M2367">
        <f>L2367-K2367+1</f>
        <v>60</v>
      </c>
      <c r="O2367" t="s">
        <v>163</v>
      </c>
      <c r="P2367" t="s">
        <v>15</v>
      </c>
      <c r="Q2367" t="s">
        <v>1682</v>
      </c>
    </row>
    <row r="2368" spans="1:17">
      <c r="A2368" t="s">
        <v>1607</v>
      </c>
      <c r="B2368" t="s">
        <v>593</v>
      </c>
      <c r="C2368" t="s">
        <v>393</v>
      </c>
      <c r="D2368" t="s">
        <v>729</v>
      </c>
      <c r="E2368" t="s">
        <v>161</v>
      </c>
      <c r="G2368" t="s">
        <v>1683</v>
      </c>
      <c r="H2368" t="s">
        <v>700</v>
      </c>
      <c r="K2368">
        <v>1977</v>
      </c>
      <c r="L2368">
        <v>2001</v>
      </c>
      <c r="M2368">
        <v>24</v>
      </c>
      <c r="O2368" t="s">
        <v>1169</v>
      </c>
      <c r="P2368" t="s">
        <v>1169</v>
      </c>
      <c r="Q2368" t="s">
        <v>701</v>
      </c>
    </row>
    <row r="2369" spans="1:17">
      <c r="A2369" t="s">
        <v>1607</v>
      </c>
      <c r="B2369" t="s">
        <v>593</v>
      </c>
      <c r="C2369" t="s">
        <v>393</v>
      </c>
      <c r="D2369" t="s">
        <v>729</v>
      </c>
      <c r="E2369" t="s">
        <v>161</v>
      </c>
      <c r="G2369" t="s">
        <v>1684</v>
      </c>
      <c r="H2369" t="s">
        <v>700</v>
      </c>
      <c r="K2369">
        <v>1977</v>
      </c>
      <c r="L2369">
        <v>2001</v>
      </c>
      <c r="M2369">
        <v>24</v>
      </c>
      <c r="O2369" t="s">
        <v>1169</v>
      </c>
      <c r="P2369" t="s">
        <v>1169</v>
      </c>
      <c r="Q2369" t="s">
        <v>701</v>
      </c>
    </row>
    <row r="2370" spans="1:17">
      <c r="A2370" t="s">
        <v>1607</v>
      </c>
      <c r="B2370" t="s">
        <v>593</v>
      </c>
      <c r="C2370" t="s">
        <v>393</v>
      </c>
      <c r="D2370" t="s">
        <v>729</v>
      </c>
      <c r="E2370" t="s">
        <v>161</v>
      </c>
      <c r="G2370" t="s">
        <v>1685</v>
      </c>
      <c r="H2370" t="s">
        <v>700</v>
      </c>
      <c r="K2370">
        <v>1977</v>
      </c>
      <c r="L2370">
        <v>2001</v>
      </c>
      <c r="M2370">
        <v>24</v>
      </c>
      <c r="O2370" t="s">
        <v>1169</v>
      </c>
      <c r="P2370" t="s">
        <v>1169</v>
      </c>
      <c r="Q2370" t="s">
        <v>701</v>
      </c>
    </row>
    <row r="2371" spans="1:17">
      <c r="A2371" t="s">
        <v>1607</v>
      </c>
      <c r="B2371" t="s">
        <v>593</v>
      </c>
      <c r="C2371" t="s">
        <v>393</v>
      </c>
      <c r="D2371" t="s">
        <v>729</v>
      </c>
      <c r="E2371" t="s">
        <v>161</v>
      </c>
      <c r="G2371" t="s">
        <v>1359</v>
      </c>
      <c r="H2371" t="s">
        <v>700</v>
      </c>
      <c r="K2371">
        <v>1977</v>
      </c>
      <c r="L2371">
        <v>2001</v>
      </c>
      <c r="M2371">
        <v>24</v>
      </c>
      <c r="O2371" t="s">
        <v>1169</v>
      </c>
      <c r="P2371" t="s">
        <v>1169</v>
      </c>
      <c r="Q2371" t="s">
        <v>701</v>
      </c>
    </row>
    <row r="2372" spans="1:17">
      <c r="A2372" t="s">
        <v>1607</v>
      </c>
      <c r="B2372" t="s">
        <v>593</v>
      </c>
      <c r="C2372" t="s">
        <v>393</v>
      </c>
      <c r="D2372" t="s">
        <v>729</v>
      </c>
      <c r="E2372" t="s">
        <v>161</v>
      </c>
      <c r="G2372" t="s">
        <v>1386</v>
      </c>
      <c r="H2372" t="s">
        <v>700</v>
      </c>
      <c r="K2372">
        <v>1977</v>
      </c>
      <c r="L2372">
        <v>2001</v>
      </c>
      <c r="M2372">
        <v>24</v>
      </c>
      <c r="O2372" t="s">
        <v>1169</v>
      </c>
      <c r="P2372" t="s">
        <v>1169</v>
      </c>
      <c r="Q2372" t="s">
        <v>701</v>
      </c>
    </row>
    <row r="2373" spans="1:17">
      <c r="A2373" t="s">
        <v>1607</v>
      </c>
      <c r="B2373" t="s">
        <v>593</v>
      </c>
      <c r="C2373" t="s">
        <v>393</v>
      </c>
      <c r="D2373" t="s">
        <v>729</v>
      </c>
      <c r="E2373" t="s">
        <v>161</v>
      </c>
      <c r="G2373" t="s">
        <v>1686</v>
      </c>
      <c r="H2373" t="s">
        <v>700</v>
      </c>
      <c r="K2373">
        <v>1977</v>
      </c>
      <c r="L2373">
        <v>2001</v>
      </c>
      <c r="M2373">
        <v>24</v>
      </c>
      <c r="O2373" t="s">
        <v>1169</v>
      </c>
      <c r="P2373" t="s">
        <v>1169</v>
      </c>
      <c r="Q2373" t="s">
        <v>701</v>
      </c>
    </row>
    <row r="2374" spans="1:17">
      <c r="A2374" t="s">
        <v>1607</v>
      </c>
      <c r="B2374" t="s">
        <v>593</v>
      </c>
      <c r="C2374" t="s">
        <v>393</v>
      </c>
      <c r="D2374" t="s">
        <v>729</v>
      </c>
      <c r="E2374" t="s">
        <v>161</v>
      </c>
      <c r="G2374" t="s">
        <v>1687</v>
      </c>
      <c r="H2374" t="s">
        <v>700</v>
      </c>
      <c r="K2374">
        <v>1977</v>
      </c>
      <c r="L2374">
        <v>2001</v>
      </c>
      <c r="M2374">
        <v>24</v>
      </c>
      <c r="O2374" t="s">
        <v>1169</v>
      </c>
      <c r="P2374" t="s">
        <v>1169</v>
      </c>
      <c r="Q2374" t="s">
        <v>701</v>
      </c>
    </row>
    <row r="2375" spans="1:17">
      <c r="A2375" t="s">
        <v>1607</v>
      </c>
      <c r="B2375" t="s">
        <v>593</v>
      </c>
      <c r="C2375" t="s">
        <v>393</v>
      </c>
      <c r="D2375" t="s">
        <v>729</v>
      </c>
      <c r="E2375" t="s">
        <v>161</v>
      </c>
      <c r="G2375" t="s">
        <v>1688</v>
      </c>
      <c r="H2375" t="s">
        <v>700</v>
      </c>
      <c r="K2375">
        <v>1977</v>
      </c>
      <c r="L2375">
        <v>2001</v>
      </c>
      <c r="M2375">
        <v>24</v>
      </c>
      <c r="O2375" t="s">
        <v>1169</v>
      </c>
      <c r="P2375" t="s">
        <v>1169</v>
      </c>
      <c r="Q2375" t="s">
        <v>701</v>
      </c>
    </row>
    <row r="2376" spans="1:17">
      <c r="A2376" t="s">
        <v>1607</v>
      </c>
      <c r="B2376" t="s">
        <v>593</v>
      </c>
      <c r="C2376" t="s">
        <v>393</v>
      </c>
      <c r="D2376" t="s">
        <v>729</v>
      </c>
      <c r="E2376" t="s">
        <v>161</v>
      </c>
      <c r="G2376" t="s">
        <v>1597</v>
      </c>
      <c r="H2376" t="s">
        <v>700</v>
      </c>
      <c r="K2376">
        <v>1977</v>
      </c>
      <c r="L2376">
        <v>2001</v>
      </c>
      <c r="M2376">
        <v>24</v>
      </c>
      <c r="O2376" t="s">
        <v>1169</v>
      </c>
      <c r="P2376" t="s">
        <v>1169</v>
      </c>
      <c r="Q2376" t="s">
        <v>701</v>
      </c>
    </row>
    <row r="2377" spans="1:17">
      <c r="A2377" t="s">
        <v>1607</v>
      </c>
      <c r="B2377" t="s">
        <v>593</v>
      </c>
      <c r="C2377" t="s">
        <v>393</v>
      </c>
      <c r="D2377" t="s">
        <v>729</v>
      </c>
      <c r="E2377" t="s">
        <v>161</v>
      </c>
      <c r="G2377" t="s">
        <v>1689</v>
      </c>
      <c r="H2377" t="s">
        <v>700</v>
      </c>
      <c r="K2377">
        <v>1977</v>
      </c>
      <c r="L2377">
        <v>2001</v>
      </c>
      <c r="M2377">
        <v>24</v>
      </c>
      <c r="O2377" t="s">
        <v>1169</v>
      </c>
      <c r="P2377" t="s">
        <v>1169</v>
      </c>
      <c r="Q2377" t="s">
        <v>701</v>
      </c>
    </row>
    <row r="2378" spans="1:17">
      <c r="A2378" t="s">
        <v>1607</v>
      </c>
      <c r="B2378" t="s">
        <v>593</v>
      </c>
      <c r="C2378" t="s">
        <v>393</v>
      </c>
      <c r="D2378" t="s">
        <v>729</v>
      </c>
      <c r="E2378" t="s">
        <v>161</v>
      </c>
      <c r="G2378" t="s">
        <v>1524</v>
      </c>
      <c r="H2378" t="s">
        <v>700</v>
      </c>
      <c r="K2378">
        <v>1977</v>
      </c>
      <c r="L2378">
        <v>2001</v>
      </c>
      <c r="M2378">
        <v>24</v>
      </c>
      <c r="O2378">
        <v>142.5</v>
      </c>
      <c r="P2378">
        <v>1</v>
      </c>
      <c r="Q2378" t="s">
        <v>701</v>
      </c>
    </row>
    <row r="2379" spans="1:17">
      <c r="A2379" t="s">
        <v>1607</v>
      </c>
      <c r="B2379" t="s">
        <v>593</v>
      </c>
      <c r="C2379" t="s">
        <v>393</v>
      </c>
      <c r="D2379" t="s">
        <v>729</v>
      </c>
      <c r="E2379" t="s">
        <v>161</v>
      </c>
      <c r="G2379" t="s">
        <v>1690</v>
      </c>
      <c r="H2379" t="s">
        <v>700</v>
      </c>
      <c r="K2379">
        <v>1977</v>
      </c>
      <c r="L2379">
        <v>2001</v>
      </c>
      <c r="M2379">
        <v>24</v>
      </c>
      <c r="O2379">
        <v>119</v>
      </c>
      <c r="P2379">
        <v>1</v>
      </c>
      <c r="Q2379" t="s">
        <v>701</v>
      </c>
    </row>
    <row r="2380" spans="1:17">
      <c r="A2380" t="s">
        <v>1607</v>
      </c>
      <c r="B2380" t="s">
        <v>593</v>
      </c>
      <c r="C2380" t="s">
        <v>393</v>
      </c>
      <c r="D2380" t="s">
        <v>729</v>
      </c>
      <c r="E2380" t="s">
        <v>161</v>
      </c>
      <c r="G2380" t="s">
        <v>773</v>
      </c>
      <c r="H2380" t="s">
        <v>700</v>
      </c>
      <c r="K2380">
        <v>1977</v>
      </c>
      <c r="L2380">
        <v>2001</v>
      </c>
      <c r="M2380">
        <v>24</v>
      </c>
      <c r="O2380">
        <v>78</v>
      </c>
      <c r="P2380">
        <v>1</v>
      </c>
      <c r="Q2380" t="s">
        <v>701</v>
      </c>
    </row>
    <row r="2381" spans="1:17">
      <c r="A2381" t="s">
        <v>1607</v>
      </c>
      <c r="B2381" t="s">
        <v>593</v>
      </c>
      <c r="C2381" t="s">
        <v>393</v>
      </c>
      <c r="D2381" t="s">
        <v>729</v>
      </c>
      <c r="E2381" t="s">
        <v>161</v>
      </c>
      <c r="G2381" t="s">
        <v>730</v>
      </c>
      <c r="H2381" t="s">
        <v>700</v>
      </c>
      <c r="K2381">
        <v>1977</v>
      </c>
      <c r="L2381">
        <v>2001</v>
      </c>
      <c r="M2381">
        <v>24</v>
      </c>
      <c r="O2381">
        <v>71.791666669999998</v>
      </c>
      <c r="P2381">
        <v>1</v>
      </c>
      <c r="Q2381" t="s">
        <v>701</v>
      </c>
    </row>
    <row r="2382" spans="1:17">
      <c r="A2382" t="s">
        <v>1607</v>
      </c>
      <c r="B2382" t="s">
        <v>593</v>
      </c>
      <c r="C2382" t="s">
        <v>393</v>
      </c>
      <c r="D2382" t="s">
        <v>729</v>
      </c>
      <c r="E2382" t="s">
        <v>161</v>
      </c>
      <c r="G2382" t="s">
        <v>1691</v>
      </c>
      <c r="H2382" t="s">
        <v>700</v>
      </c>
      <c r="K2382">
        <v>1977</v>
      </c>
      <c r="L2382">
        <v>2001</v>
      </c>
      <c r="M2382">
        <v>24</v>
      </c>
      <c r="O2382">
        <v>71.791666669999998</v>
      </c>
      <c r="P2382">
        <v>1</v>
      </c>
      <c r="Q2382" t="s">
        <v>701</v>
      </c>
    </row>
    <row r="2383" spans="1:17">
      <c r="A2383" t="s">
        <v>1607</v>
      </c>
      <c r="B2383" t="s">
        <v>593</v>
      </c>
      <c r="C2383" t="s">
        <v>393</v>
      </c>
      <c r="D2383" t="s">
        <v>729</v>
      </c>
      <c r="E2383" t="s">
        <v>161</v>
      </c>
      <c r="G2383" t="s">
        <v>1692</v>
      </c>
      <c r="H2383" t="s">
        <v>700</v>
      </c>
      <c r="K2383">
        <v>1977</v>
      </c>
      <c r="L2383">
        <v>2001</v>
      </c>
      <c r="M2383">
        <v>24</v>
      </c>
      <c r="O2383">
        <v>71.791666669999998</v>
      </c>
      <c r="P2383">
        <v>1</v>
      </c>
      <c r="Q2383" t="s">
        <v>701</v>
      </c>
    </row>
    <row r="2384" spans="1:17">
      <c r="A2384" t="s">
        <v>1607</v>
      </c>
      <c r="B2384" t="s">
        <v>593</v>
      </c>
      <c r="C2384" t="s">
        <v>393</v>
      </c>
      <c r="D2384" t="s">
        <v>729</v>
      </c>
      <c r="E2384" t="s">
        <v>161</v>
      </c>
      <c r="G2384" t="s">
        <v>769</v>
      </c>
      <c r="H2384" t="s">
        <v>700</v>
      </c>
      <c r="K2384">
        <v>1977</v>
      </c>
      <c r="L2384">
        <v>2001</v>
      </c>
      <c r="M2384">
        <v>24</v>
      </c>
      <c r="O2384">
        <v>71.791666669999998</v>
      </c>
      <c r="P2384">
        <v>1</v>
      </c>
      <c r="Q2384" t="s">
        <v>701</v>
      </c>
    </row>
    <row r="2385" spans="1:17">
      <c r="A2385" t="s">
        <v>1607</v>
      </c>
      <c r="B2385" t="s">
        <v>593</v>
      </c>
      <c r="C2385" t="s">
        <v>393</v>
      </c>
      <c r="D2385" t="s">
        <v>729</v>
      </c>
      <c r="E2385" t="s">
        <v>161</v>
      </c>
      <c r="G2385" t="s">
        <v>1693</v>
      </c>
      <c r="H2385" t="s">
        <v>700</v>
      </c>
      <c r="K2385">
        <v>1977</v>
      </c>
      <c r="L2385">
        <v>2001</v>
      </c>
      <c r="M2385">
        <v>24</v>
      </c>
      <c r="O2385">
        <v>71.791666669999998</v>
      </c>
      <c r="P2385">
        <v>1</v>
      </c>
      <c r="Q2385" t="s">
        <v>701</v>
      </c>
    </row>
    <row r="2386" spans="1:17">
      <c r="A2386" t="s">
        <v>1607</v>
      </c>
      <c r="B2386" t="s">
        <v>593</v>
      </c>
      <c r="C2386" t="s">
        <v>393</v>
      </c>
      <c r="D2386" t="s">
        <v>729</v>
      </c>
      <c r="E2386" t="s">
        <v>161</v>
      </c>
      <c r="G2386" t="s">
        <v>1694</v>
      </c>
      <c r="H2386" t="s">
        <v>700</v>
      </c>
      <c r="K2386">
        <v>1977</v>
      </c>
      <c r="L2386">
        <v>2001</v>
      </c>
      <c r="M2386">
        <v>24</v>
      </c>
      <c r="O2386">
        <v>71.791666669999998</v>
      </c>
      <c r="P2386">
        <v>1</v>
      </c>
      <c r="Q2386" t="s">
        <v>701</v>
      </c>
    </row>
    <row r="2387" spans="1:17">
      <c r="A2387" t="s">
        <v>1607</v>
      </c>
      <c r="B2387" t="s">
        <v>593</v>
      </c>
      <c r="C2387" t="s">
        <v>393</v>
      </c>
      <c r="D2387" t="s">
        <v>729</v>
      </c>
      <c r="E2387" t="s">
        <v>161</v>
      </c>
      <c r="G2387" t="s">
        <v>1524</v>
      </c>
      <c r="H2387" t="s">
        <v>700</v>
      </c>
      <c r="K2387">
        <v>1977</v>
      </c>
      <c r="L2387">
        <v>2001</v>
      </c>
      <c r="M2387">
        <v>24</v>
      </c>
      <c r="O2387">
        <v>71.791666669999998</v>
      </c>
      <c r="P2387">
        <v>1</v>
      </c>
      <c r="Q2387" t="s">
        <v>701</v>
      </c>
    </row>
    <row r="2388" spans="1:17">
      <c r="A2388" t="s">
        <v>1607</v>
      </c>
      <c r="B2388" t="s">
        <v>593</v>
      </c>
      <c r="C2388" t="s">
        <v>393</v>
      </c>
      <c r="D2388" t="s">
        <v>729</v>
      </c>
      <c r="E2388" t="s">
        <v>161</v>
      </c>
      <c r="G2388" t="s">
        <v>1695</v>
      </c>
      <c r="H2388" t="s">
        <v>700</v>
      </c>
      <c r="K2388">
        <v>1977</v>
      </c>
      <c r="L2388">
        <v>2001</v>
      </c>
      <c r="M2388">
        <v>24</v>
      </c>
      <c r="O2388">
        <v>71.791666669999998</v>
      </c>
      <c r="P2388">
        <v>1</v>
      </c>
      <c r="Q2388" t="s">
        <v>701</v>
      </c>
    </row>
    <row r="2389" spans="1:17">
      <c r="A2389" t="s">
        <v>1607</v>
      </c>
      <c r="B2389" t="s">
        <v>593</v>
      </c>
      <c r="C2389" t="s">
        <v>393</v>
      </c>
      <c r="D2389" t="s">
        <v>729</v>
      </c>
      <c r="E2389" t="s">
        <v>161</v>
      </c>
      <c r="G2389" t="s">
        <v>781</v>
      </c>
      <c r="H2389" t="s">
        <v>700</v>
      </c>
      <c r="K2389">
        <v>1977</v>
      </c>
      <c r="L2389">
        <v>2001</v>
      </c>
      <c r="M2389">
        <v>24</v>
      </c>
      <c r="O2389">
        <v>61</v>
      </c>
      <c r="P2389">
        <v>1</v>
      </c>
      <c r="Q2389" t="s">
        <v>701</v>
      </c>
    </row>
    <row r="2390" spans="1:17">
      <c r="A2390" t="s">
        <v>1607</v>
      </c>
      <c r="B2390" t="s">
        <v>593</v>
      </c>
      <c r="C2390" t="s">
        <v>393</v>
      </c>
      <c r="D2390" t="s">
        <v>729</v>
      </c>
      <c r="E2390" t="s">
        <v>161</v>
      </c>
      <c r="G2390" t="s">
        <v>1696</v>
      </c>
      <c r="H2390" t="s">
        <v>700</v>
      </c>
      <c r="K2390">
        <v>1977</v>
      </c>
      <c r="L2390">
        <v>2001</v>
      </c>
      <c r="M2390">
        <v>24</v>
      </c>
      <c r="O2390">
        <v>39</v>
      </c>
      <c r="P2390">
        <v>1</v>
      </c>
      <c r="Q2390" t="s">
        <v>701</v>
      </c>
    </row>
    <row r="2391" spans="1:17">
      <c r="A2391" t="s">
        <v>1607</v>
      </c>
      <c r="B2391" t="s">
        <v>593</v>
      </c>
      <c r="C2391" t="s">
        <v>393</v>
      </c>
      <c r="D2391" t="s">
        <v>729</v>
      </c>
      <c r="E2391" t="s">
        <v>161</v>
      </c>
      <c r="G2391" t="s">
        <v>798</v>
      </c>
      <c r="H2391" t="s">
        <v>700</v>
      </c>
      <c r="K2391">
        <v>1977</v>
      </c>
      <c r="L2391">
        <v>2001</v>
      </c>
      <c r="M2391">
        <v>24</v>
      </c>
      <c r="O2391">
        <v>39</v>
      </c>
      <c r="P2391">
        <v>1</v>
      </c>
      <c r="Q2391" t="s">
        <v>701</v>
      </c>
    </row>
    <row r="2392" spans="1:17">
      <c r="A2392" t="s">
        <v>1607</v>
      </c>
      <c r="B2392" t="s">
        <v>593</v>
      </c>
      <c r="C2392" t="s">
        <v>393</v>
      </c>
      <c r="D2392" t="s">
        <v>729</v>
      </c>
      <c r="E2392" t="s">
        <v>161</v>
      </c>
      <c r="G2392" t="s">
        <v>1360</v>
      </c>
      <c r="H2392" t="s">
        <v>700</v>
      </c>
      <c r="K2392">
        <v>1977</v>
      </c>
      <c r="L2392">
        <v>2001</v>
      </c>
      <c r="M2392">
        <v>24</v>
      </c>
      <c r="O2392">
        <v>-71.791666669999998</v>
      </c>
      <c r="P2392">
        <v>0</v>
      </c>
      <c r="Q2392" t="s">
        <v>701</v>
      </c>
    </row>
    <row r="2393" spans="1:17">
      <c r="A2393" t="s">
        <v>1607</v>
      </c>
      <c r="B2393" t="s">
        <v>593</v>
      </c>
      <c r="C2393" t="s">
        <v>393</v>
      </c>
      <c r="D2393" t="s">
        <v>729</v>
      </c>
      <c r="E2393" t="s">
        <v>161</v>
      </c>
      <c r="G2393" t="s">
        <v>1697</v>
      </c>
      <c r="H2393" t="s">
        <v>700</v>
      </c>
      <c r="K2393">
        <v>1977</v>
      </c>
      <c r="L2393">
        <v>2001</v>
      </c>
      <c r="M2393">
        <v>24</v>
      </c>
      <c r="O2393">
        <v>-71.791666669999998</v>
      </c>
      <c r="P2393">
        <v>0</v>
      </c>
      <c r="Q2393" t="s">
        <v>701</v>
      </c>
    </row>
    <row r="2394" spans="1:17">
      <c r="A2394" t="s">
        <v>1698</v>
      </c>
      <c r="B2394" t="s">
        <v>593</v>
      </c>
      <c r="C2394" t="s">
        <v>393</v>
      </c>
      <c r="D2394" t="s">
        <v>703</v>
      </c>
      <c r="E2394" t="s">
        <v>161</v>
      </c>
      <c r="G2394" t="s">
        <v>721</v>
      </c>
      <c r="H2394" t="s">
        <v>700</v>
      </c>
      <c r="K2394">
        <v>1968</v>
      </c>
      <c r="L2394">
        <v>2011</v>
      </c>
      <c r="M2394">
        <v>43</v>
      </c>
      <c r="O2394" t="s">
        <v>1169</v>
      </c>
      <c r="P2394" t="s">
        <v>1169</v>
      </c>
      <c r="Q2394" t="s">
        <v>701</v>
      </c>
    </row>
    <row r="2395" spans="1:17">
      <c r="A2395" t="s">
        <v>1699</v>
      </c>
      <c r="B2395" t="s">
        <v>593</v>
      </c>
      <c r="C2395" t="s">
        <v>393</v>
      </c>
      <c r="D2395" t="s">
        <v>554</v>
      </c>
      <c r="E2395" t="s">
        <v>161</v>
      </c>
      <c r="G2395" t="s">
        <v>1700</v>
      </c>
      <c r="H2395" t="s">
        <v>457</v>
      </c>
      <c r="K2395">
        <v>1989</v>
      </c>
      <c r="O2395">
        <v>65.59</v>
      </c>
      <c r="P2395" t="str">
        <f t="shared" ref="P2395:P2418" si="27">IF(O2395&gt;0,"Yes","No")</f>
        <v>Yes</v>
      </c>
      <c r="Q2395" t="s">
        <v>398</v>
      </c>
    </row>
    <row r="2396" spans="1:17">
      <c r="A2396" t="s">
        <v>1699</v>
      </c>
      <c r="B2396" t="s">
        <v>593</v>
      </c>
      <c r="C2396" t="s">
        <v>393</v>
      </c>
      <c r="D2396" t="s">
        <v>554</v>
      </c>
      <c r="E2396" t="s">
        <v>161</v>
      </c>
      <c r="G2396" t="s">
        <v>239</v>
      </c>
      <c r="H2396" t="s">
        <v>457</v>
      </c>
      <c r="K2396">
        <v>1989</v>
      </c>
      <c r="O2396">
        <v>95.86</v>
      </c>
      <c r="P2396" t="str">
        <f t="shared" si="27"/>
        <v>Yes</v>
      </c>
      <c r="Q2396" t="s">
        <v>398</v>
      </c>
    </row>
    <row r="2397" spans="1:17">
      <c r="A2397" t="s">
        <v>1701</v>
      </c>
      <c r="B2397" t="s">
        <v>593</v>
      </c>
      <c r="C2397" t="s">
        <v>393</v>
      </c>
      <c r="E2397" t="s">
        <v>394</v>
      </c>
      <c r="F2397" t="s">
        <v>394</v>
      </c>
      <c r="G2397" t="s">
        <v>591</v>
      </c>
      <c r="H2397" t="s">
        <v>457</v>
      </c>
      <c r="K2397">
        <v>1966</v>
      </c>
      <c r="O2397">
        <v>32.68</v>
      </c>
      <c r="P2397" t="str">
        <f t="shared" si="27"/>
        <v>Yes</v>
      </c>
      <c r="Q2397" t="s">
        <v>398</v>
      </c>
    </row>
    <row r="2398" spans="1:17">
      <c r="A2398" t="s">
        <v>1701</v>
      </c>
      <c r="B2398" t="s">
        <v>593</v>
      </c>
      <c r="C2398" t="s">
        <v>393</v>
      </c>
      <c r="E2398" t="s">
        <v>394</v>
      </c>
      <c r="F2398" t="s">
        <v>394</v>
      </c>
      <c r="G2398" t="s">
        <v>538</v>
      </c>
      <c r="H2398" t="s">
        <v>457</v>
      </c>
      <c r="K2398">
        <v>1966</v>
      </c>
      <c r="O2398">
        <v>-56.589999999999996</v>
      </c>
      <c r="P2398" t="str">
        <f t="shared" si="27"/>
        <v>No</v>
      </c>
      <c r="Q2398" t="s">
        <v>398</v>
      </c>
    </row>
    <row r="2399" spans="1:17">
      <c r="A2399" t="s">
        <v>1701</v>
      </c>
      <c r="B2399" t="s">
        <v>593</v>
      </c>
      <c r="C2399" t="s">
        <v>393</v>
      </c>
      <c r="E2399" t="s">
        <v>394</v>
      </c>
      <c r="F2399" t="s">
        <v>394</v>
      </c>
      <c r="G2399" t="s">
        <v>538</v>
      </c>
      <c r="H2399" t="s">
        <v>457</v>
      </c>
      <c r="K2399">
        <v>1988</v>
      </c>
      <c r="O2399">
        <v>-118.05</v>
      </c>
      <c r="P2399" t="str">
        <f t="shared" si="27"/>
        <v>No</v>
      </c>
      <c r="Q2399" t="s">
        <v>398</v>
      </c>
    </row>
    <row r="2400" spans="1:17">
      <c r="A2400" t="s">
        <v>1701</v>
      </c>
      <c r="B2400" t="s">
        <v>593</v>
      </c>
      <c r="C2400" t="s">
        <v>393</v>
      </c>
      <c r="E2400" t="s">
        <v>394</v>
      </c>
      <c r="F2400" t="s">
        <v>394</v>
      </c>
      <c r="G2400" t="s">
        <v>591</v>
      </c>
      <c r="H2400" t="s">
        <v>457</v>
      </c>
      <c r="K2400">
        <v>1988</v>
      </c>
      <c r="O2400">
        <v>-125.37</v>
      </c>
      <c r="P2400" t="str">
        <f t="shared" si="27"/>
        <v>No</v>
      </c>
      <c r="Q2400" t="s">
        <v>398</v>
      </c>
    </row>
    <row r="2401" spans="1:17">
      <c r="A2401" t="s">
        <v>1702</v>
      </c>
      <c r="B2401" t="s">
        <v>593</v>
      </c>
      <c r="C2401" t="s">
        <v>393</v>
      </c>
      <c r="D2401" t="s">
        <v>554</v>
      </c>
      <c r="E2401" t="s">
        <v>161</v>
      </c>
      <c r="G2401" t="s">
        <v>1156</v>
      </c>
      <c r="H2401" t="s">
        <v>457</v>
      </c>
      <c r="K2401">
        <v>1966</v>
      </c>
      <c r="O2401">
        <v>536.06999999999994</v>
      </c>
      <c r="P2401" t="str">
        <f t="shared" si="27"/>
        <v>Yes</v>
      </c>
      <c r="Q2401" t="s">
        <v>398</v>
      </c>
    </row>
    <row r="2402" spans="1:17">
      <c r="A2402" t="s">
        <v>1667</v>
      </c>
      <c r="B2402" t="s">
        <v>593</v>
      </c>
      <c r="C2402" t="s">
        <v>393</v>
      </c>
      <c r="D2402" t="s">
        <v>554</v>
      </c>
      <c r="E2402" t="s">
        <v>161</v>
      </c>
      <c r="G2402" t="s">
        <v>560</v>
      </c>
      <c r="H2402" t="s">
        <v>399</v>
      </c>
      <c r="K2402">
        <v>1982</v>
      </c>
      <c r="O2402">
        <v>-14.11</v>
      </c>
      <c r="P2402" t="str">
        <f t="shared" si="27"/>
        <v>No</v>
      </c>
      <c r="Q2402" t="s">
        <v>398</v>
      </c>
    </row>
    <row r="2403" spans="1:17">
      <c r="A2403" t="s">
        <v>1667</v>
      </c>
      <c r="B2403" t="s">
        <v>593</v>
      </c>
      <c r="C2403" t="s">
        <v>393</v>
      </c>
      <c r="D2403" t="s">
        <v>554</v>
      </c>
      <c r="E2403" t="s">
        <v>161</v>
      </c>
      <c r="G2403" t="s">
        <v>608</v>
      </c>
      <c r="H2403" t="s">
        <v>399</v>
      </c>
      <c r="K2403">
        <v>1982</v>
      </c>
      <c r="O2403">
        <v>-7.71</v>
      </c>
      <c r="P2403" t="str">
        <f t="shared" si="27"/>
        <v>No</v>
      </c>
      <c r="Q2403" t="s">
        <v>398</v>
      </c>
    </row>
    <row r="2404" spans="1:17">
      <c r="A2404" t="s">
        <v>1667</v>
      </c>
      <c r="B2404" t="s">
        <v>593</v>
      </c>
      <c r="C2404" t="s">
        <v>393</v>
      </c>
      <c r="D2404" t="s">
        <v>554</v>
      </c>
      <c r="E2404" t="s">
        <v>161</v>
      </c>
      <c r="G2404" t="s">
        <v>573</v>
      </c>
      <c r="H2404" t="s">
        <v>399</v>
      </c>
      <c r="K2404">
        <v>1982</v>
      </c>
      <c r="O2404">
        <v>-4.91</v>
      </c>
      <c r="P2404" t="str">
        <f t="shared" si="27"/>
        <v>No</v>
      </c>
      <c r="Q2404" t="s">
        <v>398</v>
      </c>
    </row>
    <row r="2405" spans="1:17">
      <c r="A2405" t="s">
        <v>1667</v>
      </c>
      <c r="B2405" t="s">
        <v>593</v>
      </c>
      <c r="C2405" t="s">
        <v>393</v>
      </c>
      <c r="D2405" t="s">
        <v>554</v>
      </c>
      <c r="E2405" t="s">
        <v>161</v>
      </c>
      <c r="G2405" t="s">
        <v>1113</v>
      </c>
      <c r="H2405" t="s">
        <v>399</v>
      </c>
      <c r="K2405">
        <v>1982</v>
      </c>
      <c r="O2405">
        <v>0</v>
      </c>
      <c r="P2405" t="str">
        <f t="shared" si="27"/>
        <v>No</v>
      </c>
      <c r="Q2405" t="s">
        <v>398</v>
      </c>
    </row>
    <row r="2406" spans="1:17">
      <c r="A2406" t="s">
        <v>1667</v>
      </c>
      <c r="B2406" t="s">
        <v>593</v>
      </c>
      <c r="C2406" t="s">
        <v>393</v>
      </c>
      <c r="D2406" t="s">
        <v>554</v>
      </c>
      <c r="E2406" t="s">
        <v>161</v>
      </c>
      <c r="G2406" t="s">
        <v>1112</v>
      </c>
      <c r="H2406" t="s">
        <v>399</v>
      </c>
      <c r="K2406">
        <v>1982</v>
      </c>
      <c r="O2406">
        <v>0</v>
      </c>
      <c r="P2406" t="str">
        <f t="shared" si="27"/>
        <v>No</v>
      </c>
      <c r="Q2406" t="s">
        <v>398</v>
      </c>
    </row>
    <row r="2407" spans="1:17">
      <c r="A2407" t="s">
        <v>1667</v>
      </c>
      <c r="B2407" t="s">
        <v>593</v>
      </c>
      <c r="C2407" t="s">
        <v>393</v>
      </c>
      <c r="D2407" t="s">
        <v>554</v>
      </c>
      <c r="E2407" t="s">
        <v>161</v>
      </c>
      <c r="G2407" t="s">
        <v>1363</v>
      </c>
      <c r="H2407" t="s">
        <v>399</v>
      </c>
      <c r="K2407">
        <v>1982</v>
      </c>
      <c r="O2407">
        <v>0</v>
      </c>
      <c r="P2407" t="str">
        <f t="shared" si="27"/>
        <v>No</v>
      </c>
      <c r="Q2407" t="s">
        <v>398</v>
      </c>
    </row>
    <row r="2408" spans="1:17">
      <c r="A2408" t="s">
        <v>1667</v>
      </c>
      <c r="B2408" t="s">
        <v>593</v>
      </c>
      <c r="C2408" t="s">
        <v>393</v>
      </c>
      <c r="D2408" t="s">
        <v>554</v>
      </c>
      <c r="E2408" t="s">
        <v>161</v>
      </c>
      <c r="G2408" t="s">
        <v>637</v>
      </c>
      <c r="H2408" t="s">
        <v>399</v>
      </c>
      <c r="K2408">
        <v>1982</v>
      </c>
      <c r="O2408">
        <v>0.55000000000000004</v>
      </c>
      <c r="P2408" t="str">
        <f t="shared" si="27"/>
        <v>Yes</v>
      </c>
      <c r="Q2408" t="s">
        <v>398</v>
      </c>
    </row>
    <row r="2409" spans="1:17">
      <c r="A2409" t="s">
        <v>1667</v>
      </c>
      <c r="B2409" t="s">
        <v>593</v>
      </c>
      <c r="C2409" t="s">
        <v>393</v>
      </c>
      <c r="D2409" t="s">
        <v>554</v>
      </c>
      <c r="E2409" t="s">
        <v>161</v>
      </c>
      <c r="G2409" t="s">
        <v>627</v>
      </c>
      <c r="H2409" t="s">
        <v>399</v>
      </c>
      <c r="K2409">
        <v>1982</v>
      </c>
      <c r="O2409">
        <v>4.3099999999999996</v>
      </c>
      <c r="P2409" t="str">
        <f t="shared" si="27"/>
        <v>Yes</v>
      </c>
      <c r="Q2409" t="s">
        <v>398</v>
      </c>
    </row>
    <row r="2410" spans="1:17">
      <c r="A2410" t="s">
        <v>1667</v>
      </c>
      <c r="B2410" t="s">
        <v>593</v>
      </c>
      <c r="C2410" t="s">
        <v>393</v>
      </c>
      <c r="D2410" t="s">
        <v>554</v>
      </c>
      <c r="E2410" t="s">
        <v>161</v>
      </c>
      <c r="G2410" t="s">
        <v>1264</v>
      </c>
      <c r="H2410" t="s">
        <v>399</v>
      </c>
      <c r="K2410">
        <v>1982</v>
      </c>
      <c r="O2410">
        <v>4.95</v>
      </c>
      <c r="P2410" t="str">
        <f t="shared" si="27"/>
        <v>Yes</v>
      </c>
      <c r="Q2410" t="s">
        <v>398</v>
      </c>
    </row>
    <row r="2411" spans="1:17">
      <c r="A2411" t="s">
        <v>1667</v>
      </c>
      <c r="B2411" t="s">
        <v>593</v>
      </c>
      <c r="C2411" t="s">
        <v>393</v>
      </c>
      <c r="D2411" t="s">
        <v>554</v>
      </c>
      <c r="E2411" t="s">
        <v>161</v>
      </c>
      <c r="G2411" t="s">
        <v>184</v>
      </c>
      <c r="H2411" t="s">
        <v>399</v>
      </c>
      <c r="K2411">
        <v>1982</v>
      </c>
      <c r="O2411">
        <v>7.26</v>
      </c>
      <c r="P2411" t="str">
        <f t="shared" si="27"/>
        <v>Yes</v>
      </c>
      <c r="Q2411" t="s">
        <v>398</v>
      </c>
    </row>
    <row r="2412" spans="1:17">
      <c r="A2412" t="s">
        <v>1667</v>
      </c>
      <c r="B2412" t="s">
        <v>593</v>
      </c>
      <c r="C2412" t="s">
        <v>393</v>
      </c>
      <c r="D2412" t="s">
        <v>554</v>
      </c>
      <c r="E2412" t="s">
        <v>161</v>
      </c>
      <c r="G2412" t="s">
        <v>203</v>
      </c>
      <c r="H2412" t="s">
        <v>399</v>
      </c>
      <c r="K2412">
        <v>1982</v>
      </c>
      <c r="O2412">
        <v>7.31</v>
      </c>
      <c r="P2412" t="str">
        <f t="shared" si="27"/>
        <v>Yes</v>
      </c>
      <c r="Q2412" t="s">
        <v>398</v>
      </c>
    </row>
    <row r="2413" spans="1:17">
      <c r="A2413" t="s">
        <v>1667</v>
      </c>
      <c r="B2413" t="s">
        <v>593</v>
      </c>
      <c r="C2413" t="s">
        <v>393</v>
      </c>
      <c r="D2413" t="s">
        <v>554</v>
      </c>
      <c r="E2413" t="s">
        <v>161</v>
      </c>
      <c r="G2413" t="s">
        <v>605</v>
      </c>
      <c r="H2413" t="s">
        <v>399</v>
      </c>
      <c r="K2413">
        <v>1982</v>
      </c>
      <c r="O2413">
        <v>10.069999999999999</v>
      </c>
      <c r="P2413" t="str">
        <f t="shared" si="27"/>
        <v>Yes</v>
      </c>
      <c r="Q2413" t="s">
        <v>398</v>
      </c>
    </row>
    <row r="2414" spans="1:17">
      <c r="A2414" t="s">
        <v>1667</v>
      </c>
      <c r="B2414" t="s">
        <v>593</v>
      </c>
      <c r="C2414" t="s">
        <v>393</v>
      </c>
      <c r="D2414" t="s">
        <v>554</v>
      </c>
      <c r="E2414" t="s">
        <v>161</v>
      </c>
      <c r="G2414" t="s">
        <v>583</v>
      </c>
      <c r="H2414" t="s">
        <v>399</v>
      </c>
      <c r="K2414">
        <v>1982</v>
      </c>
      <c r="O2414">
        <v>10.489999999999998</v>
      </c>
      <c r="P2414" t="str">
        <f t="shared" si="27"/>
        <v>Yes</v>
      </c>
      <c r="Q2414" t="s">
        <v>398</v>
      </c>
    </row>
    <row r="2415" spans="1:17">
      <c r="A2415" t="s">
        <v>1667</v>
      </c>
      <c r="B2415" t="s">
        <v>593</v>
      </c>
      <c r="C2415" t="s">
        <v>393</v>
      </c>
      <c r="D2415" t="s">
        <v>554</v>
      </c>
      <c r="E2415" t="s">
        <v>161</v>
      </c>
      <c r="G2415" t="s">
        <v>622</v>
      </c>
      <c r="H2415" t="s">
        <v>399</v>
      </c>
      <c r="K2415">
        <v>1982</v>
      </c>
      <c r="O2415">
        <v>10.58</v>
      </c>
      <c r="P2415" t="str">
        <f t="shared" si="27"/>
        <v>Yes</v>
      </c>
      <c r="Q2415" t="s">
        <v>398</v>
      </c>
    </row>
    <row r="2416" spans="1:17">
      <c r="A2416" t="s">
        <v>1667</v>
      </c>
      <c r="B2416" t="s">
        <v>593</v>
      </c>
      <c r="C2416" t="s">
        <v>393</v>
      </c>
      <c r="D2416" t="s">
        <v>554</v>
      </c>
      <c r="E2416" t="s">
        <v>161</v>
      </c>
      <c r="G2416" t="s">
        <v>585</v>
      </c>
      <c r="H2416" t="s">
        <v>399</v>
      </c>
      <c r="K2416">
        <v>1982</v>
      </c>
      <c r="O2416">
        <v>10.96</v>
      </c>
      <c r="P2416" t="str">
        <f t="shared" si="27"/>
        <v>Yes</v>
      </c>
      <c r="Q2416" t="s">
        <v>398</v>
      </c>
    </row>
    <row r="2417" spans="1:18">
      <c r="A2417" t="s">
        <v>1667</v>
      </c>
      <c r="B2417" t="s">
        <v>593</v>
      </c>
      <c r="C2417" t="s">
        <v>393</v>
      </c>
      <c r="D2417" t="s">
        <v>554</v>
      </c>
      <c r="E2417" t="s">
        <v>161</v>
      </c>
      <c r="G2417" t="s">
        <v>578</v>
      </c>
      <c r="H2417" t="s">
        <v>399</v>
      </c>
      <c r="K2417">
        <v>1982</v>
      </c>
      <c r="O2417">
        <v>15.45</v>
      </c>
      <c r="P2417" t="str">
        <f t="shared" si="27"/>
        <v>Yes</v>
      </c>
      <c r="Q2417" t="s">
        <v>398</v>
      </c>
    </row>
    <row r="2418" spans="1:18">
      <c r="A2418" t="s">
        <v>1667</v>
      </c>
      <c r="B2418" t="s">
        <v>593</v>
      </c>
      <c r="C2418" t="s">
        <v>393</v>
      </c>
      <c r="D2418" t="s">
        <v>554</v>
      </c>
      <c r="E2418" t="s">
        <v>161</v>
      </c>
      <c r="G2418" t="s">
        <v>1099</v>
      </c>
      <c r="H2418" t="s">
        <v>399</v>
      </c>
      <c r="K2418">
        <v>1982</v>
      </c>
      <c r="O2418">
        <v>17.95</v>
      </c>
      <c r="P2418" t="str">
        <f t="shared" si="27"/>
        <v>Yes</v>
      </c>
      <c r="Q2418" t="s">
        <v>398</v>
      </c>
    </row>
    <row r="2419" spans="1:18">
      <c r="A2419" t="s">
        <v>1703</v>
      </c>
      <c r="B2419" t="s">
        <v>593</v>
      </c>
      <c r="C2419" t="s">
        <v>393</v>
      </c>
      <c r="D2419" t="s">
        <v>1704</v>
      </c>
      <c r="E2419" t="s">
        <v>161</v>
      </c>
      <c r="G2419" t="s">
        <v>1705</v>
      </c>
      <c r="H2419" t="s">
        <v>706</v>
      </c>
      <c r="K2419">
        <v>1950</v>
      </c>
      <c r="L2419">
        <v>2004</v>
      </c>
      <c r="M2419">
        <v>55</v>
      </c>
      <c r="O2419">
        <v>40</v>
      </c>
      <c r="P2419">
        <v>0</v>
      </c>
      <c r="Q2419" t="s">
        <v>701</v>
      </c>
    </row>
    <row r="2420" spans="1:18">
      <c r="A2420" t="s">
        <v>1706</v>
      </c>
      <c r="B2420" t="s">
        <v>593</v>
      </c>
      <c r="C2420" t="s">
        <v>393</v>
      </c>
      <c r="D2420" t="s">
        <v>468</v>
      </c>
      <c r="E2420" t="s">
        <v>368</v>
      </c>
      <c r="F2420" t="s">
        <v>368</v>
      </c>
      <c r="G2420" t="s">
        <v>369</v>
      </c>
      <c r="I2420">
        <v>59.7121</v>
      </c>
      <c r="J2420">
        <v>-85.253900000000002</v>
      </c>
      <c r="K2420">
        <v>1984</v>
      </c>
      <c r="M2420">
        <v>20</v>
      </c>
      <c r="P2420" t="s">
        <v>595</v>
      </c>
      <c r="Q2420" t="s">
        <v>403</v>
      </c>
      <c r="R2420" t="s">
        <v>1707</v>
      </c>
    </row>
    <row r="2421" spans="1:18">
      <c r="A2421" t="s">
        <v>1708</v>
      </c>
      <c r="B2421" t="s">
        <v>593</v>
      </c>
      <c r="C2421" t="s">
        <v>393</v>
      </c>
      <c r="D2421" t="s">
        <v>468</v>
      </c>
      <c r="E2421" t="s">
        <v>368</v>
      </c>
      <c r="F2421" t="s">
        <v>368</v>
      </c>
      <c r="G2421" t="s">
        <v>369</v>
      </c>
      <c r="I2421">
        <v>58.776612999999998</v>
      </c>
      <c r="J2421">
        <v>-94.154617999999999</v>
      </c>
      <c r="K2421">
        <v>1970</v>
      </c>
      <c r="M2421">
        <v>35</v>
      </c>
      <c r="P2421" t="s">
        <v>595</v>
      </c>
      <c r="Q2421" t="s">
        <v>403</v>
      </c>
      <c r="R2421" t="s">
        <v>1709</v>
      </c>
    </row>
    <row r="2422" spans="1:18">
      <c r="A2422" t="s">
        <v>1710</v>
      </c>
      <c r="B2422" t="s">
        <v>593</v>
      </c>
      <c r="C2422" t="s">
        <v>393</v>
      </c>
      <c r="D2422" t="s">
        <v>554</v>
      </c>
      <c r="E2422" t="s">
        <v>161</v>
      </c>
      <c r="G2422" t="s">
        <v>231</v>
      </c>
      <c r="H2422" t="s">
        <v>399</v>
      </c>
      <c r="K2422">
        <v>1968</v>
      </c>
      <c r="O2422">
        <v>47.88</v>
      </c>
      <c r="P2422" t="str">
        <f>IF(O2422&gt;0,"Yes","No")</f>
        <v>Yes</v>
      </c>
      <c r="Q2422" t="s">
        <v>398</v>
      </c>
    </row>
    <row r="2423" spans="1:18">
      <c r="A2423" t="s">
        <v>1711</v>
      </c>
      <c r="B2423" t="s">
        <v>593</v>
      </c>
      <c r="C2423" t="s">
        <v>393</v>
      </c>
      <c r="D2423" t="s">
        <v>464</v>
      </c>
      <c r="E2423" t="s">
        <v>368</v>
      </c>
      <c r="F2423" t="s">
        <v>368</v>
      </c>
      <c r="G2423" t="s">
        <v>369</v>
      </c>
      <c r="I2423">
        <v>69.822657000000007</v>
      </c>
      <c r="J2423">
        <v>-170.38936899999999</v>
      </c>
      <c r="K2423">
        <v>1986</v>
      </c>
      <c r="M2423">
        <v>28</v>
      </c>
      <c r="P2423" t="s">
        <v>593</v>
      </c>
      <c r="Q2423" t="s">
        <v>403</v>
      </c>
      <c r="R2423" t="s">
        <v>1707</v>
      </c>
    </row>
    <row r="2424" spans="1:18">
      <c r="A2424" t="s">
        <v>1711</v>
      </c>
      <c r="B2424" t="s">
        <v>593</v>
      </c>
      <c r="C2424" t="s">
        <v>393</v>
      </c>
      <c r="D2424" t="s">
        <v>464</v>
      </c>
      <c r="E2424" t="s">
        <v>368</v>
      </c>
      <c r="F2424" t="s">
        <v>368</v>
      </c>
      <c r="G2424" t="s">
        <v>369</v>
      </c>
      <c r="I2424">
        <v>69.822657000000007</v>
      </c>
      <c r="J2424">
        <v>-170.38936899999999</v>
      </c>
      <c r="K2424">
        <v>1986</v>
      </c>
      <c r="M2424">
        <v>28</v>
      </c>
      <c r="P2424" t="s">
        <v>595</v>
      </c>
      <c r="Q2424" t="s">
        <v>403</v>
      </c>
      <c r="R2424" t="s">
        <v>1707</v>
      </c>
    </row>
    <row r="2425" spans="1:18">
      <c r="A2425" t="s">
        <v>1712</v>
      </c>
      <c r="B2425" t="s">
        <v>593</v>
      </c>
      <c r="C2425" t="s">
        <v>393</v>
      </c>
      <c r="D2425" t="s">
        <v>733</v>
      </c>
      <c r="E2425" t="s">
        <v>161</v>
      </c>
      <c r="G2425" t="s">
        <v>736</v>
      </c>
      <c r="H2425" t="s">
        <v>700</v>
      </c>
      <c r="K2425">
        <v>1960</v>
      </c>
      <c r="L2425">
        <v>1999</v>
      </c>
      <c r="M2425">
        <v>39</v>
      </c>
      <c r="O2425" t="s">
        <v>1169</v>
      </c>
      <c r="P2425" t="s">
        <v>1169</v>
      </c>
      <c r="Q2425" t="s">
        <v>701</v>
      </c>
    </row>
    <row r="2426" spans="1:18">
      <c r="A2426" t="s">
        <v>1712</v>
      </c>
      <c r="B2426" t="s">
        <v>593</v>
      </c>
      <c r="C2426" t="s">
        <v>393</v>
      </c>
      <c r="D2426" t="s">
        <v>870</v>
      </c>
      <c r="E2426" t="s">
        <v>161</v>
      </c>
      <c r="G2426" t="s">
        <v>871</v>
      </c>
      <c r="H2426" t="s">
        <v>700</v>
      </c>
      <c r="K2426">
        <v>1960</v>
      </c>
      <c r="L2426">
        <v>1999</v>
      </c>
      <c r="M2426">
        <v>39</v>
      </c>
      <c r="O2426" t="s">
        <v>1169</v>
      </c>
      <c r="P2426" t="s">
        <v>1169</v>
      </c>
      <c r="Q2426" t="s">
        <v>701</v>
      </c>
    </row>
    <row r="2427" spans="1:18">
      <c r="A2427" t="s">
        <v>1712</v>
      </c>
      <c r="B2427" t="s">
        <v>593</v>
      </c>
      <c r="C2427" t="s">
        <v>393</v>
      </c>
      <c r="D2427" t="s">
        <v>870</v>
      </c>
      <c r="E2427" t="s">
        <v>161</v>
      </c>
      <c r="G2427" t="s">
        <v>875</v>
      </c>
      <c r="H2427" t="s">
        <v>700</v>
      </c>
      <c r="K2427">
        <v>1960</v>
      </c>
      <c r="L2427">
        <v>1999</v>
      </c>
      <c r="M2427">
        <v>39</v>
      </c>
      <c r="O2427" t="s">
        <v>1169</v>
      </c>
      <c r="P2427" t="s">
        <v>1169</v>
      </c>
      <c r="Q2427" t="s">
        <v>701</v>
      </c>
    </row>
    <row r="2428" spans="1:18">
      <c r="A2428" t="s">
        <v>1712</v>
      </c>
      <c r="B2428" t="s">
        <v>593</v>
      </c>
      <c r="C2428" t="s">
        <v>393</v>
      </c>
      <c r="D2428" t="s">
        <v>735</v>
      </c>
      <c r="E2428" t="s">
        <v>161</v>
      </c>
      <c r="G2428" t="s">
        <v>875</v>
      </c>
      <c r="H2428" t="s">
        <v>700</v>
      </c>
      <c r="K2428">
        <v>1960</v>
      </c>
      <c r="L2428">
        <v>1999</v>
      </c>
      <c r="M2428">
        <v>39</v>
      </c>
      <c r="O2428" t="s">
        <v>1169</v>
      </c>
      <c r="P2428" t="s">
        <v>1169</v>
      </c>
      <c r="Q2428" t="s">
        <v>701</v>
      </c>
    </row>
    <row r="2429" spans="1:18">
      <c r="A2429" t="s">
        <v>1712</v>
      </c>
      <c r="B2429" t="s">
        <v>593</v>
      </c>
      <c r="C2429" t="s">
        <v>393</v>
      </c>
      <c r="D2429" t="s">
        <v>870</v>
      </c>
      <c r="E2429" t="s">
        <v>161</v>
      </c>
      <c r="G2429" t="s">
        <v>699</v>
      </c>
      <c r="H2429" t="s">
        <v>700</v>
      </c>
      <c r="K2429">
        <v>1960</v>
      </c>
      <c r="L2429">
        <v>1999</v>
      </c>
      <c r="M2429">
        <v>39</v>
      </c>
      <c r="O2429" t="s">
        <v>1169</v>
      </c>
      <c r="P2429" t="s">
        <v>1169</v>
      </c>
      <c r="Q2429" t="s">
        <v>701</v>
      </c>
    </row>
    <row r="2430" spans="1:18">
      <c r="A2430" t="s">
        <v>1712</v>
      </c>
      <c r="B2430" t="s">
        <v>593</v>
      </c>
      <c r="C2430" t="s">
        <v>393</v>
      </c>
      <c r="D2430" t="s">
        <v>735</v>
      </c>
      <c r="E2430" t="s">
        <v>161</v>
      </c>
      <c r="G2430" t="s">
        <v>699</v>
      </c>
      <c r="H2430" t="s">
        <v>700</v>
      </c>
      <c r="K2430">
        <v>1960</v>
      </c>
      <c r="L2430">
        <v>1999</v>
      </c>
      <c r="M2430">
        <v>39</v>
      </c>
      <c r="O2430" t="s">
        <v>1169</v>
      </c>
      <c r="P2430" t="s">
        <v>1169</v>
      </c>
      <c r="Q2430" t="s">
        <v>701</v>
      </c>
    </row>
    <row r="2431" spans="1:18">
      <c r="A2431" t="s">
        <v>1712</v>
      </c>
      <c r="B2431" t="s">
        <v>593</v>
      </c>
      <c r="C2431" t="s">
        <v>393</v>
      </c>
      <c r="D2431" t="s">
        <v>733</v>
      </c>
      <c r="E2431" t="s">
        <v>161</v>
      </c>
      <c r="G2431" t="s">
        <v>699</v>
      </c>
      <c r="H2431" t="s">
        <v>700</v>
      </c>
      <c r="K2431">
        <v>1960</v>
      </c>
      <c r="L2431">
        <v>1999</v>
      </c>
      <c r="M2431">
        <v>39</v>
      </c>
      <c r="O2431" t="s">
        <v>1169</v>
      </c>
      <c r="P2431" t="s">
        <v>1169</v>
      </c>
      <c r="Q2431" t="s">
        <v>701</v>
      </c>
    </row>
    <row r="2432" spans="1:18">
      <c r="A2432" t="s">
        <v>1712</v>
      </c>
      <c r="B2432" t="s">
        <v>593</v>
      </c>
      <c r="C2432" t="s">
        <v>393</v>
      </c>
      <c r="D2432" t="s">
        <v>870</v>
      </c>
      <c r="E2432" t="s">
        <v>161</v>
      </c>
      <c r="G2432" t="s">
        <v>1713</v>
      </c>
      <c r="H2432" t="s">
        <v>700</v>
      </c>
      <c r="K2432">
        <v>1960</v>
      </c>
      <c r="L2432">
        <v>1999</v>
      </c>
      <c r="M2432">
        <v>39</v>
      </c>
      <c r="O2432" t="s">
        <v>1169</v>
      </c>
      <c r="P2432" t="s">
        <v>1169</v>
      </c>
      <c r="Q2432" t="s">
        <v>701</v>
      </c>
    </row>
    <row r="2433" spans="1:17">
      <c r="A2433" t="s">
        <v>1712</v>
      </c>
      <c r="B2433" t="s">
        <v>593</v>
      </c>
      <c r="C2433" t="s">
        <v>393</v>
      </c>
      <c r="D2433" t="s">
        <v>735</v>
      </c>
      <c r="E2433" t="s">
        <v>161</v>
      </c>
      <c r="G2433" t="s">
        <v>1713</v>
      </c>
      <c r="H2433" t="s">
        <v>700</v>
      </c>
      <c r="K2433">
        <v>1960</v>
      </c>
      <c r="L2433">
        <v>1999</v>
      </c>
      <c r="M2433">
        <v>39</v>
      </c>
      <c r="O2433" t="s">
        <v>1169</v>
      </c>
      <c r="P2433" t="s">
        <v>1169</v>
      </c>
      <c r="Q2433" t="s">
        <v>701</v>
      </c>
    </row>
    <row r="2434" spans="1:17">
      <c r="A2434" t="s">
        <v>1712</v>
      </c>
      <c r="B2434" t="s">
        <v>593</v>
      </c>
      <c r="C2434" t="s">
        <v>393</v>
      </c>
      <c r="D2434" t="s">
        <v>733</v>
      </c>
      <c r="E2434" t="s">
        <v>161</v>
      </c>
      <c r="G2434" t="s">
        <v>1713</v>
      </c>
      <c r="H2434" t="s">
        <v>700</v>
      </c>
      <c r="K2434">
        <v>1960</v>
      </c>
      <c r="L2434">
        <v>1999</v>
      </c>
      <c r="M2434">
        <v>39</v>
      </c>
      <c r="O2434" t="s">
        <v>1169</v>
      </c>
      <c r="P2434" t="s">
        <v>1169</v>
      </c>
      <c r="Q2434" t="s">
        <v>701</v>
      </c>
    </row>
    <row r="2435" spans="1:17">
      <c r="A2435" t="s">
        <v>1712</v>
      </c>
      <c r="B2435" t="s">
        <v>593</v>
      </c>
      <c r="C2435" t="s">
        <v>393</v>
      </c>
      <c r="D2435" t="s">
        <v>870</v>
      </c>
      <c r="E2435" t="s">
        <v>161</v>
      </c>
      <c r="G2435" t="s">
        <v>872</v>
      </c>
      <c r="H2435" t="s">
        <v>700</v>
      </c>
      <c r="K2435">
        <v>1960</v>
      </c>
      <c r="L2435">
        <v>1999</v>
      </c>
      <c r="M2435">
        <v>39</v>
      </c>
      <c r="O2435" t="s">
        <v>1169</v>
      </c>
      <c r="P2435" t="s">
        <v>1169</v>
      </c>
      <c r="Q2435" t="s">
        <v>701</v>
      </c>
    </row>
    <row r="2436" spans="1:17">
      <c r="A2436" t="s">
        <v>1712</v>
      </c>
      <c r="B2436" t="s">
        <v>593</v>
      </c>
      <c r="C2436" t="s">
        <v>393</v>
      </c>
      <c r="D2436" t="s">
        <v>870</v>
      </c>
      <c r="E2436" t="s">
        <v>161</v>
      </c>
      <c r="G2436" t="s">
        <v>1714</v>
      </c>
      <c r="H2436" t="s">
        <v>700</v>
      </c>
      <c r="K2436">
        <v>1960</v>
      </c>
      <c r="L2436">
        <v>1999</v>
      </c>
      <c r="M2436">
        <v>39</v>
      </c>
      <c r="O2436" t="s">
        <v>1169</v>
      </c>
      <c r="P2436" t="s">
        <v>1169</v>
      </c>
      <c r="Q2436" t="s">
        <v>701</v>
      </c>
    </row>
    <row r="2437" spans="1:17">
      <c r="A2437" t="s">
        <v>1712</v>
      </c>
      <c r="B2437" t="s">
        <v>593</v>
      </c>
      <c r="C2437" t="s">
        <v>393</v>
      </c>
      <c r="D2437" t="s">
        <v>735</v>
      </c>
      <c r="E2437" t="s">
        <v>161</v>
      </c>
      <c r="G2437" t="s">
        <v>1714</v>
      </c>
      <c r="H2437" t="s">
        <v>700</v>
      </c>
      <c r="K2437">
        <v>1960</v>
      </c>
      <c r="L2437">
        <v>1999</v>
      </c>
      <c r="M2437">
        <v>39</v>
      </c>
      <c r="O2437" t="s">
        <v>1169</v>
      </c>
      <c r="P2437" t="s">
        <v>1169</v>
      </c>
      <c r="Q2437" t="s">
        <v>701</v>
      </c>
    </row>
    <row r="2438" spans="1:17">
      <c r="A2438" t="s">
        <v>1712</v>
      </c>
      <c r="B2438" t="s">
        <v>593</v>
      </c>
      <c r="C2438" t="s">
        <v>393</v>
      </c>
      <c r="D2438" t="s">
        <v>733</v>
      </c>
      <c r="E2438" t="s">
        <v>161</v>
      </c>
      <c r="G2438" t="s">
        <v>1714</v>
      </c>
      <c r="H2438" t="s">
        <v>700</v>
      </c>
      <c r="K2438">
        <v>1960</v>
      </c>
      <c r="L2438">
        <v>1999</v>
      </c>
      <c r="M2438">
        <v>39</v>
      </c>
      <c r="O2438" t="s">
        <v>1169</v>
      </c>
      <c r="P2438" t="s">
        <v>1169</v>
      </c>
      <c r="Q2438" t="s">
        <v>701</v>
      </c>
    </row>
    <row r="2439" spans="1:17">
      <c r="A2439" t="s">
        <v>1712</v>
      </c>
      <c r="B2439" t="s">
        <v>593</v>
      </c>
      <c r="C2439" t="s">
        <v>393</v>
      </c>
      <c r="D2439" t="s">
        <v>870</v>
      </c>
      <c r="E2439" t="s">
        <v>161</v>
      </c>
      <c r="G2439" t="s">
        <v>1715</v>
      </c>
      <c r="H2439" t="s">
        <v>700</v>
      </c>
      <c r="K2439">
        <v>1960</v>
      </c>
      <c r="L2439">
        <v>1999</v>
      </c>
      <c r="M2439">
        <v>39</v>
      </c>
      <c r="O2439" t="s">
        <v>1169</v>
      </c>
      <c r="P2439" t="s">
        <v>1169</v>
      </c>
      <c r="Q2439" t="s">
        <v>701</v>
      </c>
    </row>
    <row r="2440" spans="1:17">
      <c r="A2440" t="s">
        <v>1712</v>
      </c>
      <c r="B2440" t="s">
        <v>593</v>
      </c>
      <c r="C2440" t="s">
        <v>393</v>
      </c>
      <c r="D2440" t="s">
        <v>735</v>
      </c>
      <c r="E2440" t="s">
        <v>161</v>
      </c>
      <c r="G2440" t="s">
        <v>1715</v>
      </c>
      <c r="H2440" t="s">
        <v>700</v>
      </c>
      <c r="K2440">
        <v>1960</v>
      </c>
      <c r="L2440">
        <v>1999</v>
      </c>
      <c r="M2440">
        <v>39</v>
      </c>
      <c r="O2440" t="s">
        <v>1169</v>
      </c>
      <c r="P2440" t="s">
        <v>1169</v>
      </c>
      <c r="Q2440" t="s">
        <v>701</v>
      </c>
    </row>
    <row r="2441" spans="1:17">
      <c r="A2441" t="s">
        <v>1712</v>
      </c>
      <c r="B2441" t="s">
        <v>593</v>
      </c>
      <c r="C2441" t="s">
        <v>393</v>
      </c>
      <c r="D2441" t="s">
        <v>733</v>
      </c>
      <c r="E2441" t="s">
        <v>161</v>
      </c>
      <c r="G2441" t="s">
        <v>1715</v>
      </c>
      <c r="H2441" t="s">
        <v>700</v>
      </c>
      <c r="K2441">
        <v>1960</v>
      </c>
      <c r="L2441">
        <v>1999</v>
      </c>
      <c r="M2441">
        <v>39</v>
      </c>
      <c r="O2441" t="s">
        <v>1169</v>
      </c>
      <c r="P2441" t="s">
        <v>1169</v>
      </c>
      <c r="Q2441" t="s">
        <v>701</v>
      </c>
    </row>
    <row r="2442" spans="1:17">
      <c r="A2442" t="s">
        <v>1716</v>
      </c>
      <c r="B2442" t="s">
        <v>593</v>
      </c>
      <c r="C2442" t="s">
        <v>393</v>
      </c>
      <c r="D2442" t="s">
        <v>739</v>
      </c>
      <c r="E2442" t="s">
        <v>161</v>
      </c>
      <c r="G2442" t="s">
        <v>1717</v>
      </c>
      <c r="H2442" t="s">
        <v>700</v>
      </c>
      <c r="K2442">
        <v>1985</v>
      </c>
      <c r="L2442">
        <v>2010</v>
      </c>
      <c r="M2442">
        <v>25</v>
      </c>
      <c r="O2442" t="s">
        <v>1169</v>
      </c>
      <c r="P2442" t="s">
        <v>1169</v>
      </c>
      <c r="Q2442" t="s">
        <v>701</v>
      </c>
    </row>
    <row r="2443" spans="1:17">
      <c r="A2443" t="s">
        <v>1716</v>
      </c>
      <c r="B2443" t="s">
        <v>593</v>
      </c>
      <c r="C2443" t="s">
        <v>393</v>
      </c>
      <c r="D2443" t="s">
        <v>739</v>
      </c>
      <c r="E2443" t="s">
        <v>161</v>
      </c>
      <c r="G2443" t="s">
        <v>1718</v>
      </c>
      <c r="H2443" t="s">
        <v>700</v>
      </c>
      <c r="K2443">
        <v>1985</v>
      </c>
      <c r="L2443">
        <v>2010</v>
      </c>
      <c r="M2443">
        <v>25</v>
      </c>
      <c r="O2443" t="s">
        <v>1169</v>
      </c>
      <c r="P2443" t="s">
        <v>1169</v>
      </c>
      <c r="Q2443" t="s">
        <v>701</v>
      </c>
    </row>
    <row r="2444" spans="1:17">
      <c r="A2444" t="s">
        <v>1716</v>
      </c>
      <c r="B2444" t="s">
        <v>593</v>
      </c>
      <c r="C2444" t="s">
        <v>393</v>
      </c>
      <c r="D2444" t="s">
        <v>739</v>
      </c>
      <c r="E2444" t="s">
        <v>161</v>
      </c>
      <c r="G2444" t="s">
        <v>1718</v>
      </c>
      <c r="H2444" t="s">
        <v>700</v>
      </c>
      <c r="K2444">
        <v>1985</v>
      </c>
      <c r="L2444">
        <v>2010</v>
      </c>
      <c r="M2444">
        <v>25</v>
      </c>
      <c r="O2444" t="s">
        <v>1169</v>
      </c>
      <c r="P2444" t="s">
        <v>1169</v>
      </c>
      <c r="Q2444" t="s">
        <v>701</v>
      </c>
    </row>
    <row r="2445" spans="1:17">
      <c r="A2445" t="s">
        <v>1716</v>
      </c>
      <c r="B2445" t="s">
        <v>593</v>
      </c>
      <c r="C2445" t="s">
        <v>393</v>
      </c>
      <c r="D2445" t="s">
        <v>739</v>
      </c>
      <c r="E2445" t="s">
        <v>161</v>
      </c>
      <c r="G2445" t="s">
        <v>1719</v>
      </c>
      <c r="H2445" t="s">
        <v>700</v>
      </c>
      <c r="K2445">
        <v>1985</v>
      </c>
      <c r="L2445">
        <v>2010</v>
      </c>
      <c r="M2445">
        <v>25</v>
      </c>
      <c r="O2445" t="s">
        <v>1169</v>
      </c>
      <c r="P2445" t="s">
        <v>1169</v>
      </c>
      <c r="Q2445" t="s">
        <v>701</v>
      </c>
    </row>
    <row r="2446" spans="1:17">
      <c r="A2446" t="s">
        <v>1716</v>
      </c>
      <c r="B2446" t="s">
        <v>593</v>
      </c>
      <c r="C2446" t="s">
        <v>393</v>
      </c>
      <c r="D2446" t="s">
        <v>739</v>
      </c>
      <c r="E2446" t="s">
        <v>161</v>
      </c>
      <c r="G2446" t="s">
        <v>1720</v>
      </c>
      <c r="H2446" t="s">
        <v>700</v>
      </c>
      <c r="K2446">
        <v>1985</v>
      </c>
      <c r="L2446">
        <v>2010</v>
      </c>
      <c r="M2446">
        <v>25</v>
      </c>
      <c r="O2446" t="s">
        <v>1169</v>
      </c>
      <c r="P2446" t="s">
        <v>1169</v>
      </c>
      <c r="Q2446" t="s">
        <v>701</v>
      </c>
    </row>
    <row r="2447" spans="1:17">
      <c r="A2447" t="s">
        <v>1716</v>
      </c>
      <c r="B2447" t="s">
        <v>593</v>
      </c>
      <c r="C2447" t="s">
        <v>393</v>
      </c>
      <c r="D2447" t="s">
        <v>739</v>
      </c>
      <c r="E2447" t="s">
        <v>161</v>
      </c>
      <c r="G2447" t="s">
        <v>740</v>
      </c>
      <c r="H2447" t="s">
        <v>700</v>
      </c>
      <c r="K2447">
        <v>1985</v>
      </c>
      <c r="L2447">
        <v>2010</v>
      </c>
      <c r="M2447">
        <v>25</v>
      </c>
      <c r="O2447" t="s">
        <v>1169</v>
      </c>
      <c r="P2447" t="s">
        <v>1169</v>
      </c>
      <c r="Q2447" t="s">
        <v>701</v>
      </c>
    </row>
    <row r="2448" spans="1:17">
      <c r="A2448" t="s">
        <v>1716</v>
      </c>
      <c r="B2448" t="s">
        <v>593</v>
      </c>
      <c r="C2448" t="s">
        <v>393</v>
      </c>
      <c r="D2448" t="s">
        <v>739</v>
      </c>
      <c r="E2448" t="s">
        <v>161</v>
      </c>
      <c r="G2448" t="s">
        <v>1721</v>
      </c>
      <c r="H2448" t="s">
        <v>700</v>
      </c>
      <c r="K2448">
        <v>1985</v>
      </c>
      <c r="L2448">
        <v>2010</v>
      </c>
      <c r="M2448">
        <v>25</v>
      </c>
      <c r="O2448" t="s">
        <v>1169</v>
      </c>
      <c r="P2448" t="s">
        <v>1169</v>
      </c>
      <c r="Q2448" t="s">
        <v>701</v>
      </c>
    </row>
    <row r="2449" spans="1:17">
      <c r="A2449" t="s">
        <v>1716</v>
      </c>
      <c r="B2449" t="s">
        <v>593</v>
      </c>
      <c r="C2449" t="s">
        <v>393</v>
      </c>
      <c r="D2449" t="s">
        <v>739</v>
      </c>
      <c r="E2449" t="s">
        <v>161</v>
      </c>
      <c r="G2449" t="s">
        <v>1722</v>
      </c>
      <c r="H2449" t="s">
        <v>700</v>
      </c>
      <c r="K2449">
        <v>1985</v>
      </c>
      <c r="L2449">
        <v>2010</v>
      </c>
      <c r="M2449">
        <v>25</v>
      </c>
      <c r="O2449" t="s">
        <v>1169</v>
      </c>
      <c r="P2449" t="s">
        <v>1169</v>
      </c>
      <c r="Q2449" t="s">
        <v>701</v>
      </c>
    </row>
    <row r="2450" spans="1:17">
      <c r="A2450" t="s">
        <v>1716</v>
      </c>
      <c r="B2450" t="s">
        <v>593</v>
      </c>
      <c r="C2450" t="s">
        <v>393</v>
      </c>
      <c r="D2450" t="s">
        <v>739</v>
      </c>
      <c r="E2450" t="s">
        <v>161</v>
      </c>
      <c r="G2450" t="s">
        <v>1723</v>
      </c>
      <c r="H2450" t="s">
        <v>700</v>
      </c>
      <c r="K2450">
        <v>1985</v>
      </c>
      <c r="L2450">
        <v>2010</v>
      </c>
      <c r="M2450">
        <v>25</v>
      </c>
      <c r="O2450" t="s">
        <v>1169</v>
      </c>
      <c r="P2450" t="s">
        <v>1169</v>
      </c>
      <c r="Q2450" t="s">
        <v>701</v>
      </c>
    </row>
    <row r="2451" spans="1:17">
      <c r="A2451" t="s">
        <v>1716</v>
      </c>
      <c r="B2451" t="s">
        <v>593</v>
      </c>
      <c r="C2451" t="s">
        <v>393</v>
      </c>
      <c r="D2451" t="s">
        <v>739</v>
      </c>
      <c r="E2451" t="s">
        <v>161</v>
      </c>
      <c r="G2451" t="s">
        <v>1724</v>
      </c>
      <c r="H2451" t="s">
        <v>700</v>
      </c>
      <c r="K2451">
        <v>1985</v>
      </c>
      <c r="L2451">
        <v>2010</v>
      </c>
      <c r="M2451">
        <v>25</v>
      </c>
      <c r="O2451" t="s">
        <v>1169</v>
      </c>
      <c r="P2451" t="s">
        <v>1169</v>
      </c>
      <c r="Q2451" t="s">
        <v>701</v>
      </c>
    </row>
    <row r="2452" spans="1:17">
      <c r="A2452" t="s">
        <v>1716</v>
      </c>
      <c r="B2452" t="s">
        <v>593</v>
      </c>
      <c r="C2452" t="s">
        <v>393</v>
      </c>
      <c r="D2452" t="s">
        <v>739</v>
      </c>
      <c r="E2452" t="s">
        <v>161</v>
      </c>
      <c r="G2452" t="s">
        <v>1725</v>
      </c>
      <c r="H2452" t="s">
        <v>700</v>
      </c>
      <c r="K2452">
        <v>1985</v>
      </c>
      <c r="L2452">
        <v>2010</v>
      </c>
      <c r="M2452">
        <v>25</v>
      </c>
      <c r="O2452" t="s">
        <v>1169</v>
      </c>
      <c r="P2452" t="s">
        <v>1169</v>
      </c>
      <c r="Q2452" t="s">
        <v>701</v>
      </c>
    </row>
    <row r="2453" spans="1:17">
      <c r="A2453" t="s">
        <v>1716</v>
      </c>
      <c r="B2453" t="s">
        <v>593</v>
      </c>
      <c r="C2453" t="s">
        <v>393</v>
      </c>
      <c r="D2453" t="s">
        <v>739</v>
      </c>
      <c r="E2453" t="s">
        <v>161</v>
      </c>
      <c r="G2453" t="s">
        <v>1726</v>
      </c>
      <c r="H2453" t="s">
        <v>700</v>
      </c>
      <c r="K2453">
        <v>1985</v>
      </c>
      <c r="L2453">
        <v>2010</v>
      </c>
      <c r="M2453">
        <v>25</v>
      </c>
      <c r="O2453" t="s">
        <v>1169</v>
      </c>
      <c r="P2453" t="s">
        <v>1169</v>
      </c>
      <c r="Q2453" t="s">
        <v>701</v>
      </c>
    </row>
    <row r="2454" spans="1:17">
      <c r="A2454" t="s">
        <v>1716</v>
      </c>
      <c r="B2454" t="s">
        <v>593</v>
      </c>
      <c r="C2454" t="s">
        <v>393</v>
      </c>
      <c r="D2454" t="s">
        <v>739</v>
      </c>
      <c r="E2454" t="s">
        <v>161</v>
      </c>
      <c r="G2454" t="s">
        <v>1727</v>
      </c>
      <c r="H2454" t="s">
        <v>700</v>
      </c>
      <c r="K2454">
        <v>1985</v>
      </c>
      <c r="L2454">
        <v>2010</v>
      </c>
      <c r="M2454">
        <v>25</v>
      </c>
      <c r="O2454" t="s">
        <v>1169</v>
      </c>
      <c r="P2454" t="s">
        <v>1169</v>
      </c>
      <c r="Q2454" t="s">
        <v>701</v>
      </c>
    </row>
    <row r="2455" spans="1:17">
      <c r="A2455" t="s">
        <v>1716</v>
      </c>
      <c r="B2455" t="s">
        <v>593</v>
      </c>
      <c r="C2455" t="s">
        <v>393</v>
      </c>
      <c r="D2455" t="s">
        <v>739</v>
      </c>
      <c r="E2455" t="s">
        <v>161</v>
      </c>
      <c r="G2455" t="s">
        <v>1728</v>
      </c>
      <c r="H2455" t="s">
        <v>700</v>
      </c>
      <c r="K2455">
        <v>1985</v>
      </c>
      <c r="L2455">
        <v>2010</v>
      </c>
      <c r="M2455">
        <v>25</v>
      </c>
      <c r="O2455" t="s">
        <v>1169</v>
      </c>
      <c r="P2455" t="s">
        <v>1169</v>
      </c>
      <c r="Q2455" t="s">
        <v>701</v>
      </c>
    </row>
    <row r="2456" spans="1:17">
      <c r="A2456" t="s">
        <v>1716</v>
      </c>
      <c r="B2456" t="s">
        <v>593</v>
      </c>
      <c r="C2456" t="s">
        <v>393</v>
      </c>
      <c r="D2456" t="s">
        <v>739</v>
      </c>
      <c r="E2456" t="s">
        <v>161</v>
      </c>
      <c r="G2456" t="s">
        <v>1729</v>
      </c>
      <c r="H2456" t="s">
        <v>700</v>
      </c>
      <c r="K2456">
        <v>1985</v>
      </c>
      <c r="L2456">
        <v>2010</v>
      </c>
      <c r="M2456">
        <v>25</v>
      </c>
      <c r="O2456" t="s">
        <v>1169</v>
      </c>
      <c r="P2456" t="s">
        <v>1169</v>
      </c>
      <c r="Q2456" t="s">
        <v>701</v>
      </c>
    </row>
    <row r="2457" spans="1:17">
      <c r="A2457" t="s">
        <v>504</v>
      </c>
      <c r="C2457" t="s">
        <v>393</v>
      </c>
      <c r="D2457" t="s">
        <v>505</v>
      </c>
      <c r="E2457" t="s">
        <v>96</v>
      </c>
      <c r="G2457" t="s">
        <v>321</v>
      </c>
      <c r="H2457" t="s">
        <v>457</v>
      </c>
      <c r="K2457">
        <v>1993</v>
      </c>
      <c r="O2457">
        <v>-83.02</v>
      </c>
      <c r="P2457" t="str">
        <f t="shared" ref="P2457:P2513" si="28">(IF(O2457&gt;0,"Consistent","Not consistent"))</f>
        <v>Not consistent</v>
      </c>
      <c r="Q2457" t="s">
        <v>398</v>
      </c>
    </row>
    <row r="2458" spans="1:17">
      <c r="A2458" t="s">
        <v>504</v>
      </c>
      <c r="C2458" t="s">
        <v>393</v>
      </c>
      <c r="D2458" t="s">
        <v>505</v>
      </c>
      <c r="E2458" t="s">
        <v>96</v>
      </c>
      <c r="G2458" t="s">
        <v>1730</v>
      </c>
      <c r="H2458" t="s">
        <v>457</v>
      </c>
      <c r="K2458">
        <v>1993</v>
      </c>
      <c r="O2458">
        <v>-18.560000000000002</v>
      </c>
      <c r="P2458" t="str">
        <f t="shared" si="28"/>
        <v>Not consistent</v>
      </c>
      <c r="Q2458" t="s">
        <v>398</v>
      </c>
    </row>
    <row r="2459" spans="1:17">
      <c r="A2459" t="s">
        <v>504</v>
      </c>
      <c r="C2459" t="s">
        <v>393</v>
      </c>
      <c r="D2459" t="s">
        <v>505</v>
      </c>
      <c r="E2459" t="s">
        <v>96</v>
      </c>
      <c r="G2459" t="s">
        <v>1731</v>
      </c>
      <c r="H2459" t="s">
        <v>457</v>
      </c>
      <c r="K2459">
        <v>1993</v>
      </c>
      <c r="O2459">
        <v>-15.75</v>
      </c>
      <c r="P2459" t="str">
        <f t="shared" si="28"/>
        <v>Not consistent</v>
      </c>
      <c r="Q2459" t="s">
        <v>398</v>
      </c>
    </row>
    <row r="2460" spans="1:17">
      <c r="A2460" t="s">
        <v>504</v>
      </c>
      <c r="C2460" t="s">
        <v>393</v>
      </c>
      <c r="D2460" t="s">
        <v>505</v>
      </c>
      <c r="E2460" t="s">
        <v>96</v>
      </c>
      <c r="G2460" t="s">
        <v>1732</v>
      </c>
      <c r="H2460" t="s">
        <v>457</v>
      </c>
      <c r="K2460">
        <v>1993</v>
      </c>
      <c r="O2460">
        <v>-14.64</v>
      </c>
      <c r="P2460" t="str">
        <f t="shared" si="28"/>
        <v>Not consistent</v>
      </c>
      <c r="Q2460" t="s">
        <v>398</v>
      </c>
    </row>
    <row r="2461" spans="1:17">
      <c r="A2461" t="s">
        <v>504</v>
      </c>
      <c r="C2461" t="s">
        <v>393</v>
      </c>
      <c r="D2461" t="s">
        <v>505</v>
      </c>
      <c r="E2461" t="s">
        <v>96</v>
      </c>
      <c r="G2461" t="s">
        <v>1733</v>
      </c>
      <c r="H2461" t="s">
        <v>457</v>
      </c>
      <c r="K2461">
        <v>1993</v>
      </c>
      <c r="O2461">
        <v>-14.64</v>
      </c>
      <c r="P2461" t="str">
        <f t="shared" si="28"/>
        <v>Not consistent</v>
      </c>
      <c r="Q2461" t="s">
        <v>398</v>
      </c>
    </row>
    <row r="2462" spans="1:17">
      <c r="A2462" t="s">
        <v>504</v>
      </c>
      <c r="C2462" t="s">
        <v>393</v>
      </c>
      <c r="D2462" t="s">
        <v>505</v>
      </c>
      <c r="E2462" t="s">
        <v>96</v>
      </c>
      <c r="G2462" t="s">
        <v>1734</v>
      </c>
      <c r="H2462" t="s">
        <v>457</v>
      </c>
      <c r="K2462">
        <v>1993</v>
      </c>
      <c r="O2462">
        <v>-11.719999999999999</v>
      </c>
      <c r="P2462" t="str">
        <f t="shared" si="28"/>
        <v>Not consistent</v>
      </c>
      <c r="Q2462" t="s">
        <v>398</v>
      </c>
    </row>
    <row r="2463" spans="1:17">
      <c r="A2463" t="s">
        <v>504</v>
      </c>
      <c r="C2463" t="s">
        <v>393</v>
      </c>
      <c r="D2463" t="s">
        <v>505</v>
      </c>
      <c r="E2463" t="s">
        <v>96</v>
      </c>
      <c r="G2463" t="s">
        <v>1735</v>
      </c>
      <c r="H2463" t="s">
        <v>457</v>
      </c>
      <c r="K2463">
        <v>1993</v>
      </c>
      <c r="O2463">
        <v>-9.42</v>
      </c>
      <c r="P2463" t="str">
        <f t="shared" si="28"/>
        <v>Not consistent</v>
      </c>
      <c r="Q2463" t="s">
        <v>398</v>
      </c>
    </row>
    <row r="2464" spans="1:17">
      <c r="A2464" t="s">
        <v>504</v>
      </c>
      <c r="C2464" t="s">
        <v>393</v>
      </c>
      <c r="D2464" t="s">
        <v>505</v>
      </c>
      <c r="E2464" t="s">
        <v>96</v>
      </c>
      <c r="G2464" t="s">
        <v>347</v>
      </c>
      <c r="H2464" t="s">
        <v>457</v>
      </c>
      <c r="K2464">
        <v>1993</v>
      </c>
      <c r="O2464">
        <v>-9.31</v>
      </c>
      <c r="P2464" t="str">
        <f t="shared" si="28"/>
        <v>Not consistent</v>
      </c>
      <c r="Q2464" t="s">
        <v>398</v>
      </c>
    </row>
    <row r="2465" spans="1:17">
      <c r="A2465" t="s">
        <v>504</v>
      </c>
      <c r="C2465" t="s">
        <v>393</v>
      </c>
      <c r="D2465" t="s">
        <v>505</v>
      </c>
      <c r="E2465" t="s">
        <v>96</v>
      </c>
      <c r="G2465" t="s">
        <v>1736</v>
      </c>
      <c r="H2465" t="s">
        <v>457</v>
      </c>
      <c r="K2465">
        <v>1993</v>
      </c>
      <c r="O2465">
        <v>-4.96</v>
      </c>
      <c r="P2465" t="str">
        <f t="shared" si="28"/>
        <v>Not consistent</v>
      </c>
      <c r="Q2465" t="s">
        <v>398</v>
      </c>
    </row>
    <row r="2466" spans="1:17">
      <c r="A2466" t="s">
        <v>504</v>
      </c>
      <c r="C2466" t="s">
        <v>393</v>
      </c>
      <c r="D2466" t="s">
        <v>505</v>
      </c>
      <c r="E2466" t="s">
        <v>96</v>
      </c>
      <c r="G2466" t="s">
        <v>1737</v>
      </c>
      <c r="H2466" t="s">
        <v>457</v>
      </c>
      <c r="K2466">
        <v>1993</v>
      </c>
      <c r="O2466">
        <v>-3.77</v>
      </c>
      <c r="P2466" t="str">
        <f t="shared" si="28"/>
        <v>Not consistent</v>
      </c>
      <c r="Q2466" t="s">
        <v>398</v>
      </c>
    </row>
    <row r="2467" spans="1:17">
      <c r="A2467" t="s">
        <v>504</v>
      </c>
      <c r="C2467" t="s">
        <v>393</v>
      </c>
      <c r="D2467" t="s">
        <v>505</v>
      </c>
      <c r="E2467" t="s">
        <v>96</v>
      </c>
      <c r="G2467" t="s">
        <v>1738</v>
      </c>
      <c r="H2467" t="s">
        <v>457</v>
      </c>
      <c r="K2467">
        <v>1993</v>
      </c>
      <c r="O2467">
        <v>-3.3400000000000003</v>
      </c>
      <c r="P2467" t="str">
        <f t="shared" si="28"/>
        <v>Not consistent</v>
      </c>
      <c r="Q2467" t="s">
        <v>398</v>
      </c>
    </row>
    <row r="2468" spans="1:17">
      <c r="A2468" t="s">
        <v>504</v>
      </c>
      <c r="C2468" t="s">
        <v>393</v>
      </c>
      <c r="D2468" t="s">
        <v>505</v>
      </c>
      <c r="E2468" t="s">
        <v>96</v>
      </c>
      <c r="G2468" t="s">
        <v>1739</v>
      </c>
      <c r="H2468" t="s">
        <v>457</v>
      </c>
      <c r="K2468">
        <v>1993</v>
      </c>
      <c r="O2468">
        <v>-1.2</v>
      </c>
      <c r="P2468" t="str">
        <f t="shared" si="28"/>
        <v>Not consistent</v>
      </c>
      <c r="Q2468" t="s">
        <v>398</v>
      </c>
    </row>
    <row r="2469" spans="1:17">
      <c r="A2469" t="s">
        <v>504</v>
      </c>
      <c r="C2469" t="s">
        <v>393</v>
      </c>
      <c r="D2469" t="s">
        <v>505</v>
      </c>
      <c r="E2469" t="s">
        <v>96</v>
      </c>
      <c r="G2469" t="s">
        <v>1740</v>
      </c>
      <c r="H2469" t="s">
        <v>457</v>
      </c>
      <c r="K2469">
        <v>1993</v>
      </c>
      <c r="O2469">
        <v>-0.41000000000000003</v>
      </c>
      <c r="P2469" t="str">
        <f t="shared" si="28"/>
        <v>Not consistent</v>
      </c>
      <c r="Q2469" t="s">
        <v>398</v>
      </c>
    </row>
    <row r="2470" spans="1:17">
      <c r="A2470" t="s">
        <v>504</v>
      </c>
      <c r="C2470" t="s">
        <v>393</v>
      </c>
      <c r="D2470" t="s">
        <v>505</v>
      </c>
      <c r="E2470" t="s">
        <v>96</v>
      </c>
      <c r="G2470" t="s">
        <v>1741</v>
      </c>
      <c r="H2470" t="s">
        <v>457</v>
      </c>
      <c r="K2470">
        <v>1993</v>
      </c>
      <c r="O2470">
        <v>0</v>
      </c>
      <c r="P2470" t="str">
        <f t="shared" si="28"/>
        <v>Not consistent</v>
      </c>
      <c r="Q2470" t="s">
        <v>398</v>
      </c>
    </row>
    <row r="2471" spans="1:17">
      <c r="A2471" t="s">
        <v>504</v>
      </c>
      <c r="C2471" t="s">
        <v>393</v>
      </c>
      <c r="D2471" t="s">
        <v>505</v>
      </c>
      <c r="E2471" t="s">
        <v>96</v>
      </c>
      <c r="G2471" t="s">
        <v>1742</v>
      </c>
      <c r="H2471" t="s">
        <v>457</v>
      </c>
      <c r="K2471">
        <v>1993</v>
      </c>
      <c r="O2471">
        <v>0</v>
      </c>
      <c r="P2471" t="str">
        <f t="shared" si="28"/>
        <v>Not consistent</v>
      </c>
      <c r="Q2471" t="s">
        <v>398</v>
      </c>
    </row>
    <row r="2472" spans="1:17">
      <c r="A2472" t="s">
        <v>504</v>
      </c>
      <c r="C2472" t="s">
        <v>393</v>
      </c>
      <c r="D2472" t="s">
        <v>505</v>
      </c>
      <c r="E2472" t="s">
        <v>96</v>
      </c>
      <c r="G2472" t="s">
        <v>314</v>
      </c>
      <c r="H2472" t="s">
        <v>457</v>
      </c>
      <c r="K2472">
        <v>1993</v>
      </c>
      <c r="O2472">
        <v>0</v>
      </c>
      <c r="P2472" t="str">
        <f t="shared" si="28"/>
        <v>Not consistent</v>
      </c>
      <c r="Q2472" t="s">
        <v>398</v>
      </c>
    </row>
    <row r="2473" spans="1:17">
      <c r="A2473" t="s">
        <v>504</v>
      </c>
      <c r="C2473" t="s">
        <v>393</v>
      </c>
      <c r="D2473" t="s">
        <v>505</v>
      </c>
      <c r="E2473" t="s">
        <v>96</v>
      </c>
      <c r="G2473" t="s">
        <v>1743</v>
      </c>
      <c r="H2473" t="s">
        <v>457</v>
      </c>
      <c r="K2473">
        <v>1993</v>
      </c>
      <c r="O2473">
        <v>0</v>
      </c>
      <c r="P2473" t="str">
        <f t="shared" si="28"/>
        <v>Not consistent</v>
      </c>
      <c r="Q2473" t="s">
        <v>398</v>
      </c>
    </row>
    <row r="2474" spans="1:17">
      <c r="A2474" t="s">
        <v>504</v>
      </c>
      <c r="C2474" t="s">
        <v>393</v>
      </c>
      <c r="D2474" t="s">
        <v>505</v>
      </c>
      <c r="E2474" t="s">
        <v>96</v>
      </c>
      <c r="G2474" t="s">
        <v>1744</v>
      </c>
      <c r="H2474" t="s">
        <v>457</v>
      </c>
      <c r="K2474">
        <v>1993</v>
      </c>
      <c r="O2474">
        <v>0</v>
      </c>
      <c r="P2474" t="str">
        <f t="shared" si="28"/>
        <v>Not consistent</v>
      </c>
      <c r="Q2474" t="s">
        <v>398</v>
      </c>
    </row>
    <row r="2475" spans="1:17">
      <c r="A2475" t="s">
        <v>504</v>
      </c>
      <c r="C2475" t="s">
        <v>393</v>
      </c>
      <c r="D2475" t="s">
        <v>505</v>
      </c>
      <c r="E2475" t="s">
        <v>96</v>
      </c>
      <c r="G2475" t="s">
        <v>1745</v>
      </c>
      <c r="H2475" t="s">
        <v>457</v>
      </c>
      <c r="K2475">
        <v>1993</v>
      </c>
      <c r="O2475">
        <v>0</v>
      </c>
      <c r="P2475" t="str">
        <f t="shared" si="28"/>
        <v>Not consistent</v>
      </c>
      <c r="Q2475" t="s">
        <v>398</v>
      </c>
    </row>
    <row r="2476" spans="1:17">
      <c r="A2476" t="s">
        <v>504</v>
      </c>
      <c r="C2476" t="s">
        <v>393</v>
      </c>
      <c r="D2476" t="s">
        <v>505</v>
      </c>
      <c r="E2476" t="s">
        <v>96</v>
      </c>
      <c r="G2476" t="s">
        <v>1746</v>
      </c>
      <c r="H2476" t="s">
        <v>457</v>
      </c>
      <c r="K2476">
        <v>1993</v>
      </c>
      <c r="O2476">
        <v>0</v>
      </c>
      <c r="P2476" t="str">
        <f t="shared" si="28"/>
        <v>Not consistent</v>
      </c>
      <c r="Q2476" t="s">
        <v>398</v>
      </c>
    </row>
    <row r="2477" spans="1:17">
      <c r="A2477" t="s">
        <v>504</v>
      </c>
      <c r="C2477" t="s">
        <v>393</v>
      </c>
      <c r="D2477" t="s">
        <v>505</v>
      </c>
      <c r="E2477" t="s">
        <v>96</v>
      </c>
      <c r="G2477" t="s">
        <v>1747</v>
      </c>
      <c r="H2477" t="s">
        <v>457</v>
      </c>
      <c r="K2477">
        <v>1993</v>
      </c>
      <c r="O2477">
        <v>0</v>
      </c>
      <c r="P2477" t="str">
        <f t="shared" si="28"/>
        <v>Not consistent</v>
      </c>
      <c r="Q2477" t="s">
        <v>398</v>
      </c>
    </row>
    <row r="2478" spans="1:17">
      <c r="A2478" t="s">
        <v>504</v>
      </c>
      <c r="C2478" t="s">
        <v>393</v>
      </c>
      <c r="D2478" t="s">
        <v>505</v>
      </c>
      <c r="E2478" t="s">
        <v>96</v>
      </c>
      <c r="G2478" t="s">
        <v>1748</v>
      </c>
      <c r="H2478" t="s">
        <v>457</v>
      </c>
      <c r="K2478">
        <v>1993</v>
      </c>
      <c r="O2478">
        <v>0</v>
      </c>
      <c r="P2478" t="str">
        <f t="shared" si="28"/>
        <v>Not consistent</v>
      </c>
      <c r="Q2478" t="s">
        <v>398</v>
      </c>
    </row>
    <row r="2479" spans="1:17">
      <c r="A2479" t="s">
        <v>504</v>
      </c>
      <c r="C2479" t="s">
        <v>393</v>
      </c>
      <c r="D2479" t="s">
        <v>505</v>
      </c>
      <c r="E2479" t="s">
        <v>96</v>
      </c>
      <c r="G2479" t="s">
        <v>1749</v>
      </c>
      <c r="H2479" t="s">
        <v>457</v>
      </c>
      <c r="K2479">
        <v>1993</v>
      </c>
      <c r="O2479">
        <v>0</v>
      </c>
      <c r="P2479" t="str">
        <f t="shared" si="28"/>
        <v>Not consistent</v>
      </c>
      <c r="Q2479" t="s">
        <v>398</v>
      </c>
    </row>
    <row r="2480" spans="1:17">
      <c r="A2480" t="s">
        <v>504</v>
      </c>
      <c r="C2480" t="s">
        <v>393</v>
      </c>
      <c r="D2480" t="s">
        <v>505</v>
      </c>
      <c r="E2480" t="s">
        <v>96</v>
      </c>
      <c r="G2480" t="s">
        <v>1750</v>
      </c>
      <c r="H2480" t="s">
        <v>457</v>
      </c>
      <c r="K2480">
        <v>1993</v>
      </c>
      <c r="O2480">
        <v>0</v>
      </c>
      <c r="P2480" t="str">
        <f t="shared" si="28"/>
        <v>Not consistent</v>
      </c>
      <c r="Q2480" t="s">
        <v>398</v>
      </c>
    </row>
    <row r="2481" spans="1:17">
      <c r="A2481" t="s">
        <v>504</v>
      </c>
      <c r="C2481" t="s">
        <v>393</v>
      </c>
      <c r="D2481" t="s">
        <v>505</v>
      </c>
      <c r="E2481" t="s">
        <v>96</v>
      </c>
      <c r="G2481" t="s">
        <v>1751</v>
      </c>
      <c r="H2481" t="s">
        <v>457</v>
      </c>
      <c r="K2481">
        <v>1993</v>
      </c>
      <c r="O2481">
        <v>0</v>
      </c>
      <c r="P2481" t="str">
        <f t="shared" si="28"/>
        <v>Not consistent</v>
      </c>
      <c r="Q2481" t="s">
        <v>398</v>
      </c>
    </row>
    <row r="2482" spans="1:17">
      <c r="A2482" t="s">
        <v>504</v>
      </c>
      <c r="C2482" t="s">
        <v>393</v>
      </c>
      <c r="D2482" t="s">
        <v>505</v>
      </c>
      <c r="E2482" t="s">
        <v>96</v>
      </c>
      <c r="G2482" t="s">
        <v>1752</v>
      </c>
      <c r="H2482" t="s">
        <v>457</v>
      </c>
      <c r="K2482">
        <v>1993</v>
      </c>
      <c r="O2482">
        <v>0</v>
      </c>
      <c r="P2482" t="str">
        <f t="shared" si="28"/>
        <v>Not consistent</v>
      </c>
      <c r="Q2482" t="s">
        <v>398</v>
      </c>
    </row>
    <row r="2483" spans="1:17">
      <c r="A2483" t="s">
        <v>504</v>
      </c>
      <c r="C2483" t="s">
        <v>393</v>
      </c>
      <c r="D2483" t="s">
        <v>505</v>
      </c>
      <c r="E2483" t="s">
        <v>96</v>
      </c>
      <c r="G2483" t="s">
        <v>1753</v>
      </c>
      <c r="H2483" t="s">
        <v>457</v>
      </c>
      <c r="K2483">
        <v>1993</v>
      </c>
      <c r="O2483">
        <v>0</v>
      </c>
      <c r="P2483" t="str">
        <f t="shared" si="28"/>
        <v>Not consistent</v>
      </c>
      <c r="Q2483" t="s">
        <v>398</v>
      </c>
    </row>
    <row r="2484" spans="1:17">
      <c r="A2484" t="s">
        <v>504</v>
      </c>
      <c r="C2484" t="s">
        <v>393</v>
      </c>
      <c r="D2484" t="s">
        <v>505</v>
      </c>
      <c r="E2484" t="s">
        <v>96</v>
      </c>
      <c r="G2484" t="s">
        <v>1754</v>
      </c>
      <c r="H2484" t="s">
        <v>457</v>
      </c>
      <c r="K2484">
        <v>1993</v>
      </c>
      <c r="O2484">
        <v>0</v>
      </c>
      <c r="P2484" t="str">
        <f t="shared" si="28"/>
        <v>Not consistent</v>
      </c>
      <c r="Q2484" t="s">
        <v>398</v>
      </c>
    </row>
    <row r="2485" spans="1:17">
      <c r="A2485" t="s">
        <v>504</v>
      </c>
      <c r="C2485" t="s">
        <v>393</v>
      </c>
      <c r="D2485" t="s">
        <v>505</v>
      </c>
      <c r="E2485" t="s">
        <v>96</v>
      </c>
      <c r="G2485" t="s">
        <v>1755</v>
      </c>
      <c r="H2485" t="s">
        <v>457</v>
      </c>
      <c r="K2485">
        <v>1993</v>
      </c>
      <c r="O2485">
        <v>0</v>
      </c>
      <c r="P2485" t="str">
        <f t="shared" si="28"/>
        <v>Not consistent</v>
      </c>
      <c r="Q2485" t="s">
        <v>398</v>
      </c>
    </row>
    <row r="2486" spans="1:17">
      <c r="A2486" t="s">
        <v>504</v>
      </c>
      <c r="C2486" t="s">
        <v>393</v>
      </c>
      <c r="D2486" t="s">
        <v>505</v>
      </c>
      <c r="E2486" t="s">
        <v>96</v>
      </c>
      <c r="G2486" t="s">
        <v>1756</v>
      </c>
      <c r="H2486" t="s">
        <v>457</v>
      </c>
      <c r="K2486">
        <v>1993</v>
      </c>
      <c r="O2486">
        <v>0</v>
      </c>
      <c r="P2486" t="str">
        <f t="shared" si="28"/>
        <v>Not consistent</v>
      </c>
      <c r="Q2486" t="s">
        <v>398</v>
      </c>
    </row>
    <row r="2487" spans="1:17">
      <c r="A2487" t="s">
        <v>504</v>
      </c>
      <c r="C2487" t="s">
        <v>393</v>
      </c>
      <c r="D2487" t="s">
        <v>505</v>
      </c>
      <c r="E2487" t="s">
        <v>96</v>
      </c>
      <c r="G2487" t="s">
        <v>1757</v>
      </c>
      <c r="H2487" t="s">
        <v>457</v>
      </c>
      <c r="K2487">
        <v>1993</v>
      </c>
      <c r="O2487">
        <v>0</v>
      </c>
      <c r="P2487" t="str">
        <f t="shared" si="28"/>
        <v>Not consistent</v>
      </c>
      <c r="Q2487" t="s">
        <v>398</v>
      </c>
    </row>
    <row r="2488" spans="1:17">
      <c r="A2488" t="s">
        <v>504</v>
      </c>
      <c r="C2488" t="s">
        <v>393</v>
      </c>
      <c r="D2488" t="s">
        <v>505</v>
      </c>
      <c r="E2488" t="s">
        <v>96</v>
      </c>
      <c r="G2488" t="s">
        <v>1758</v>
      </c>
      <c r="H2488" t="s">
        <v>457</v>
      </c>
      <c r="K2488">
        <v>1993</v>
      </c>
      <c r="O2488">
        <v>0</v>
      </c>
      <c r="P2488" t="str">
        <f t="shared" si="28"/>
        <v>Not consistent</v>
      </c>
      <c r="Q2488" t="s">
        <v>398</v>
      </c>
    </row>
    <row r="2489" spans="1:17">
      <c r="A2489" t="s">
        <v>504</v>
      </c>
      <c r="C2489" t="s">
        <v>393</v>
      </c>
      <c r="D2489" t="s">
        <v>505</v>
      </c>
      <c r="E2489" t="s">
        <v>96</v>
      </c>
      <c r="G2489" t="s">
        <v>1759</v>
      </c>
      <c r="H2489" t="s">
        <v>457</v>
      </c>
      <c r="K2489">
        <v>1993</v>
      </c>
      <c r="O2489">
        <v>0</v>
      </c>
      <c r="P2489" t="str">
        <f t="shared" si="28"/>
        <v>Not consistent</v>
      </c>
      <c r="Q2489" t="s">
        <v>398</v>
      </c>
    </row>
    <row r="2490" spans="1:17">
      <c r="A2490" t="s">
        <v>504</v>
      </c>
      <c r="C2490" t="s">
        <v>393</v>
      </c>
      <c r="D2490" t="s">
        <v>505</v>
      </c>
      <c r="E2490" t="s">
        <v>96</v>
      </c>
      <c r="G2490" t="s">
        <v>1760</v>
      </c>
      <c r="H2490" t="s">
        <v>457</v>
      </c>
      <c r="K2490">
        <v>1993</v>
      </c>
      <c r="O2490">
        <v>1.2</v>
      </c>
      <c r="P2490" t="str">
        <f t="shared" si="28"/>
        <v>Consistent</v>
      </c>
      <c r="Q2490" t="s">
        <v>398</v>
      </c>
    </row>
    <row r="2491" spans="1:17">
      <c r="A2491" t="s">
        <v>504</v>
      </c>
      <c r="C2491" t="s">
        <v>393</v>
      </c>
      <c r="D2491" t="s">
        <v>505</v>
      </c>
      <c r="E2491" t="s">
        <v>96</v>
      </c>
      <c r="G2491" t="s">
        <v>1761</v>
      </c>
      <c r="H2491" t="s">
        <v>457</v>
      </c>
      <c r="K2491">
        <v>1993</v>
      </c>
      <c r="O2491">
        <v>1.2</v>
      </c>
      <c r="P2491" t="str">
        <f t="shared" si="28"/>
        <v>Consistent</v>
      </c>
      <c r="Q2491" t="s">
        <v>398</v>
      </c>
    </row>
    <row r="2492" spans="1:17">
      <c r="A2492" t="s">
        <v>504</v>
      </c>
      <c r="C2492" t="s">
        <v>393</v>
      </c>
      <c r="D2492" t="s">
        <v>505</v>
      </c>
      <c r="E2492" t="s">
        <v>96</v>
      </c>
      <c r="G2492" t="s">
        <v>1762</v>
      </c>
      <c r="H2492" t="s">
        <v>457</v>
      </c>
      <c r="K2492">
        <v>1993</v>
      </c>
      <c r="O2492">
        <v>3.4200000000000004</v>
      </c>
      <c r="P2492" t="str">
        <f t="shared" si="28"/>
        <v>Consistent</v>
      </c>
      <c r="Q2492" t="s">
        <v>398</v>
      </c>
    </row>
    <row r="2493" spans="1:17">
      <c r="A2493" t="s">
        <v>504</v>
      </c>
      <c r="C2493" t="s">
        <v>393</v>
      </c>
      <c r="D2493" t="s">
        <v>505</v>
      </c>
      <c r="E2493" t="s">
        <v>96</v>
      </c>
      <c r="G2493" t="s">
        <v>332</v>
      </c>
      <c r="H2493" t="s">
        <v>457</v>
      </c>
      <c r="K2493">
        <v>1993</v>
      </c>
      <c r="O2493">
        <v>4.96</v>
      </c>
      <c r="P2493" t="str">
        <f t="shared" si="28"/>
        <v>Consistent</v>
      </c>
      <c r="Q2493" t="s">
        <v>398</v>
      </c>
    </row>
    <row r="2494" spans="1:17">
      <c r="A2494" t="s">
        <v>504</v>
      </c>
      <c r="C2494" t="s">
        <v>393</v>
      </c>
      <c r="D2494" t="s">
        <v>505</v>
      </c>
      <c r="E2494" t="s">
        <v>96</v>
      </c>
      <c r="G2494" t="s">
        <v>1763</v>
      </c>
      <c r="H2494" t="s">
        <v>457</v>
      </c>
      <c r="K2494">
        <v>1993</v>
      </c>
      <c r="O2494">
        <v>5.8999999999999995</v>
      </c>
      <c r="P2494" t="str">
        <f t="shared" si="28"/>
        <v>Consistent</v>
      </c>
      <c r="Q2494" t="s">
        <v>398</v>
      </c>
    </row>
    <row r="2495" spans="1:17">
      <c r="A2495" t="s">
        <v>504</v>
      </c>
      <c r="C2495" t="s">
        <v>393</v>
      </c>
      <c r="D2495" t="s">
        <v>505</v>
      </c>
      <c r="E2495" t="s">
        <v>96</v>
      </c>
      <c r="G2495" t="s">
        <v>1764</v>
      </c>
      <c r="H2495" t="s">
        <v>457</v>
      </c>
      <c r="K2495">
        <v>1993</v>
      </c>
      <c r="O2495">
        <v>7.41</v>
      </c>
      <c r="P2495" t="str">
        <f t="shared" si="28"/>
        <v>Consistent</v>
      </c>
      <c r="Q2495" t="s">
        <v>398</v>
      </c>
    </row>
    <row r="2496" spans="1:17">
      <c r="A2496" t="s">
        <v>504</v>
      </c>
      <c r="C2496" t="s">
        <v>393</v>
      </c>
      <c r="D2496" t="s">
        <v>505</v>
      </c>
      <c r="E2496" t="s">
        <v>96</v>
      </c>
      <c r="G2496" t="s">
        <v>1765</v>
      </c>
      <c r="H2496" t="s">
        <v>457</v>
      </c>
      <c r="K2496">
        <v>1993</v>
      </c>
      <c r="O2496">
        <v>7.57</v>
      </c>
      <c r="P2496" t="str">
        <f t="shared" si="28"/>
        <v>Consistent</v>
      </c>
      <c r="Q2496" t="s">
        <v>398</v>
      </c>
    </row>
    <row r="2497" spans="1:17">
      <c r="A2497" t="s">
        <v>504</v>
      </c>
      <c r="C2497" t="s">
        <v>393</v>
      </c>
      <c r="D2497" t="s">
        <v>505</v>
      </c>
      <c r="E2497" t="s">
        <v>96</v>
      </c>
      <c r="G2497" t="s">
        <v>1766</v>
      </c>
      <c r="H2497" t="s">
        <v>457</v>
      </c>
      <c r="K2497">
        <v>1993</v>
      </c>
      <c r="O2497">
        <v>9.01</v>
      </c>
      <c r="P2497" t="str">
        <f t="shared" si="28"/>
        <v>Consistent</v>
      </c>
      <c r="Q2497" t="s">
        <v>398</v>
      </c>
    </row>
    <row r="2498" spans="1:17">
      <c r="A2498" t="s">
        <v>504</v>
      </c>
      <c r="C2498" t="s">
        <v>393</v>
      </c>
      <c r="D2498" t="s">
        <v>505</v>
      </c>
      <c r="E2498" t="s">
        <v>96</v>
      </c>
      <c r="G2498" t="s">
        <v>1767</v>
      </c>
      <c r="H2498" t="s">
        <v>457</v>
      </c>
      <c r="K2498">
        <v>1993</v>
      </c>
      <c r="O2498">
        <v>10.229999999999999</v>
      </c>
      <c r="P2498" t="str">
        <f t="shared" si="28"/>
        <v>Consistent</v>
      </c>
      <c r="Q2498" t="s">
        <v>398</v>
      </c>
    </row>
    <row r="2499" spans="1:17">
      <c r="A2499" t="s">
        <v>504</v>
      </c>
      <c r="C2499" t="s">
        <v>393</v>
      </c>
      <c r="D2499" t="s">
        <v>505</v>
      </c>
      <c r="E2499" t="s">
        <v>96</v>
      </c>
      <c r="G2499" t="s">
        <v>1768</v>
      </c>
      <c r="H2499" t="s">
        <v>457</v>
      </c>
      <c r="K2499">
        <v>1993</v>
      </c>
      <c r="O2499">
        <v>11.739999999999998</v>
      </c>
      <c r="P2499" t="str">
        <f t="shared" si="28"/>
        <v>Consistent</v>
      </c>
      <c r="Q2499" t="s">
        <v>398</v>
      </c>
    </row>
    <row r="2500" spans="1:17">
      <c r="A2500" t="s">
        <v>504</v>
      </c>
      <c r="C2500" t="s">
        <v>393</v>
      </c>
      <c r="D2500" t="s">
        <v>505</v>
      </c>
      <c r="E2500" t="s">
        <v>96</v>
      </c>
      <c r="G2500" t="s">
        <v>1769</v>
      </c>
      <c r="H2500" t="s">
        <v>457</v>
      </c>
      <c r="K2500">
        <v>1993</v>
      </c>
      <c r="O2500">
        <v>14.64</v>
      </c>
      <c r="P2500" t="str">
        <f t="shared" si="28"/>
        <v>Consistent</v>
      </c>
      <c r="Q2500" t="s">
        <v>398</v>
      </c>
    </row>
    <row r="2501" spans="1:17">
      <c r="A2501" t="s">
        <v>504</v>
      </c>
      <c r="C2501" t="s">
        <v>393</v>
      </c>
      <c r="D2501" t="s">
        <v>505</v>
      </c>
      <c r="E2501" t="s">
        <v>96</v>
      </c>
      <c r="G2501" t="s">
        <v>1770</v>
      </c>
      <c r="H2501" t="s">
        <v>457</v>
      </c>
      <c r="K2501">
        <v>1993</v>
      </c>
      <c r="O2501">
        <v>14.64</v>
      </c>
      <c r="P2501" t="str">
        <f t="shared" si="28"/>
        <v>Consistent</v>
      </c>
      <c r="Q2501" t="s">
        <v>398</v>
      </c>
    </row>
    <row r="2502" spans="1:17">
      <c r="A2502" t="s">
        <v>504</v>
      </c>
      <c r="C2502" t="s">
        <v>393</v>
      </c>
      <c r="D2502" t="s">
        <v>505</v>
      </c>
      <c r="E2502" t="s">
        <v>96</v>
      </c>
      <c r="G2502" t="s">
        <v>319</v>
      </c>
      <c r="H2502" t="s">
        <v>457</v>
      </c>
      <c r="K2502">
        <v>1993</v>
      </c>
      <c r="O2502">
        <v>15.540000000000001</v>
      </c>
      <c r="P2502" t="str">
        <f t="shared" si="28"/>
        <v>Consistent</v>
      </c>
      <c r="Q2502" t="s">
        <v>398</v>
      </c>
    </row>
    <row r="2503" spans="1:17">
      <c r="A2503" t="s">
        <v>504</v>
      </c>
      <c r="C2503" t="s">
        <v>393</v>
      </c>
      <c r="D2503" t="s">
        <v>505</v>
      </c>
      <c r="E2503" t="s">
        <v>96</v>
      </c>
      <c r="G2503" t="s">
        <v>1771</v>
      </c>
      <c r="H2503" t="s">
        <v>457</v>
      </c>
      <c r="K2503">
        <v>1993</v>
      </c>
      <c r="O2503">
        <v>20.54</v>
      </c>
      <c r="P2503" t="str">
        <f t="shared" si="28"/>
        <v>Consistent</v>
      </c>
      <c r="Q2503" t="s">
        <v>398</v>
      </c>
    </row>
    <row r="2504" spans="1:17">
      <c r="A2504" t="s">
        <v>504</v>
      </c>
      <c r="C2504" t="s">
        <v>393</v>
      </c>
      <c r="D2504" t="s">
        <v>505</v>
      </c>
      <c r="E2504" t="s">
        <v>96</v>
      </c>
      <c r="G2504" t="s">
        <v>1772</v>
      </c>
      <c r="H2504" t="s">
        <v>457</v>
      </c>
      <c r="K2504">
        <v>1993</v>
      </c>
      <c r="O2504">
        <v>21.619999999999997</v>
      </c>
      <c r="P2504" t="str">
        <f t="shared" si="28"/>
        <v>Consistent</v>
      </c>
      <c r="Q2504" t="s">
        <v>398</v>
      </c>
    </row>
    <row r="2505" spans="1:17">
      <c r="A2505" t="s">
        <v>504</v>
      </c>
      <c r="C2505" t="s">
        <v>393</v>
      </c>
      <c r="D2505" t="s">
        <v>505</v>
      </c>
      <c r="E2505" t="s">
        <v>96</v>
      </c>
      <c r="G2505" t="s">
        <v>339</v>
      </c>
      <c r="H2505" t="s">
        <v>457</v>
      </c>
      <c r="K2505">
        <v>1993</v>
      </c>
      <c r="O2505">
        <v>31.82</v>
      </c>
      <c r="P2505" t="str">
        <f t="shared" si="28"/>
        <v>Consistent</v>
      </c>
      <c r="Q2505" t="s">
        <v>398</v>
      </c>
    </row>
    <row r="2506" spans="1:17">
      <c r="A2506" t="s">
        <v>504</v>
      </c>
      <c r="C2506" t="s">
        <v>393</v>
      </c>
      <c r="D2506" t="s">
        <v>505</v>
      </c>
      <c r="E2506" t="s">
        <v>96</v>
      </c>
      <c r="G2506" t="s">
        <v>1773</v>
      </c>
      <c r="H2506" t="s">
        <v>457</v>
      </c>
      <c r="K2506">
        <v>1993</v>
      </c>
      <c r="O2506">
        <v>36.68</v>
      </c>
      <c r="P2506" t="str">
        <f t="shared" si="28"/>
        <v>Consistent</v>
      </c>
      <c r="Q2506" t="s">
        <v>398</v>
      </c>
    </row>
    <row r="2507" spans="1:17">
      <c r="A2507" t="s">
        <v>504</v>
      </c>
      <c r="C2507" t="s">
        <v>393</v>
      </c>
      <c r="D2507" t="s">
        <v>505</v>
      </c>
      <c r="E2507" t="s">
        <v>96</v>
      </c>
      <c r="G2507" t="s">
        <v>1774</v>
      </c>
      <c r="H2507" t="s">
        <v>457</v>
      </c>
      <c r="K2507">
        <v>1993</v>
      </c>
      <c r="O2507">
        <v>42.629999999999995</v>
      </c>
      <c r="P2507" t="str">
        <f t="shared" si="28"/>
        <v>Consistent</v>
      </c>
      <c r="Q2507" t="s">
        <v>398</v>
      </c>
    </row>
    <row r="2508" spans="1:17">
      <c r="A2508" t="s">
        <v>504</v>
      </c>
      <c r="C2508" t="s">
        <v>393</v>
      </c>
      <c r="D2508" t="s">
        <v>505</v>
      </c>
      <c r="E2508" t="s">
        <v>96</v>
      </c>
      <c r="G2508" t="s">
        <v>1775</v>
      </c>
      <c r="H2508" t="s">
        <v>457</v>
      </c>
      <c r="K2508">
        <v>1993</v>
      </c>
      <c r="O2508">
        <v>42.809999999999995</v>
      </c>
      <c r="P2508" t="str">
        <f t="shared" si="28"/>
        <v>Consistent</v>
      </c>
      <c r="Q2508" t="s">
        <v>398</v>
      </c>
    </row>
    <row r="2509" spans="1:17">
      <c r="A2509" t="s">
        <v>504</v>
      </c>
      <c r="C2509" t="s">
        <v>393</v>
      </c>
      <c r="D2509" t="s">
        <v>505</v>
      </c>
      <c r="E2509" t="s">
        <v>96</v>
      </c>
      <c r="G2509" t="s">
        <v>1776</v>
      </c>
      <c r="H2509" t="s">
        <v>457</v>
      </c>
      <c r="K2509">
        <v>1993</v>
      </c>
      <c r="O2509">
        <v>99.740000000000009</v>
      </c>
      <c r="P2509" t="str">
        <f t="shared" si="28"/>
        <v>Consistent</v>
      </c>
      <c r="Q2509" t="s">
        <v>398</v>
      </c>
    </row>
    <row r="2510" spans="1:17">
      <c r="A2510" t="s">
        <v>504</v>
      </c>
      <c r="C2510" t="s">
        <v>393</v>
      </c>
      <c r="D2510" t="s">
        <v>505</v>
      </c>
      <c r="E2510" t="s">
        <v>96</v>
      </c>
      <c r="G2510" t="s">
        <v>350</v>
      </c>
      <c r="H2510" t="s">
        <v>457</v>
      </c>
      <c r="K2510">
        <v>1993</v>
      </c>
      <c r="O2510">
        <v>117.32</v>
      </c>
      <c r="P2510" t="str">
        <f t="shared" si="28"/>
        <v>Consistent</v>
      </c>
      <c r="Q2510" t="s">
        <v>398</v>
      </c>
    </row>
    <row r="2511" spans="1:17">
      <c r="A2511" t="s">
        <v>504</v>
      </c>
      <c r="C2511" t="s">
        <v>393</v>
      </c>
      <c r="D2511" t="s">
        <v>505</v>
      </c>
      <c r="E2511" t="s">
        <v>96</v>
      </c>
      <c r="G2511" t="s">
        <v>1777</v>
      </c>
      <c r="H2511" t="s">
        <v>457</v>
      </c>
      <c r="K2511">
        <v>1993</v>
      </c>
      <c r="O2511">
        <v>127.55000000000001</v>
      </c>
      <c r="P2511" t="str">
        <f t="shared" si="28"/>
        <v>Consistent</v>
      </c>
      <c r="Q2511" t="s">
        <v>398</v>
      </c>
    </row>
    <row r="2512" spans="1:17">
      <c r="A2512" t="s">
        <v>504</v>
      </c>
      <c r="C2512" t="s">
        <v>393</v>
      </c>
      <c r="D2512" t="s">
        <v>505</v>
      </c>
      <c r="E2512" t="s">
        <v>96</v>
      </c>
      <c r="G2512" t="s">
        <v>1778</v>
      </c>
      <c r="H2512" t="s">
        <v>457</v>
      </c>
      <c r="K2512">
        <v>1993</v>
      </c>
      <c r="O2512">
        <v>171.75</v>
      </c>
      <c r="P2512" t="str">
        <f t="shared" si="28"/>
        <v>Consistent</v>
      </c>
      <c r="Q2512" t="s">
        <v>398</v>
      </c>
    </row>
    <row r="2513" spans="1:17">
      <c r="A2513" t="s">
        <v>504</v>
      </c>
      <c r="C2513" t="s">
        <v>393</v>
      </c>
      <c r="D2513" t="s">
        <v>505</v>
      </c>
      <c r="E2513" t="s">
        <v>96</v>
      </c>
      <c r="G2513" t="s">
        <v>1779</v>
      </c>
      <c r="H2513" t="s">
        <v>457</v>
      </c>
      <c r="K2513">
        <v>1993</v>
      </c>
      <c r="O2513">
        <v>182.51000000000002</v>
      </c>
      <c r="P2513" t="str">
        <f t="shared" si="28"/>
        <v>Consistent</v>
      </c>
      <c r="Q2513" t="s">
        <v>398</v>
      </c>
    </row>
    <row r="2514" spans="1:17">
      <c r="A2514" t="s">
        <v>1716</v>
      </c>
      <c r="B2514" t="s">
        <v>593</v>
      </c>
      <c r="C2514" t="s">
        <v>393</v>
      </c>
      <c r="D2514" t="s">
        <v>739</v>
      </c>
      <c r="E2514" t="s">
        <v>161</v>
      </c>
      <c r="G2514" t="s">
        <v>1780</v>
      </c>
      <c r="H2514" t="s">
        <v>700</v>
      </c>
      <c r="K2514">
        <v>1985</v>
      </c>
      <c r="L2514">
        <v>2010</v>
      </c>
      <c r="M2514">
        <v>25</v>
      </c>
      <c r="O2514" t="s">
        <v>1169</v>
      </c>
      <c r="P2514" t="s">
        <v>1169</v>
      </c>
      <c r="Q2514" t="s">
        <v>701</v>
      </c>
    </row>
    <row r="2515" spans="1:17">
      <c r="A2515" t="s">
        <v>1781</v>
      </c>
      <c r="C2515" t="s">
        <v>393</v>
      </c>
      <c r="D2515" t="s">
        <v>554</v>
      </c>
      <c r="E2515" t="s">
        <v>96</v>
      </c>
      <c r="G2515" t="s">
        <v>1782</v>
      </c>
      <c r="H2515" t="s">
        <v>399</v>
      </c>
      <c r="K2515">
        <v>1959</v>
      </c>
      <c r="O2515">
        <v>-39.049999999999997</v>
      </c>
      <c r="P2515" t="str">
        <f t="shared" ref="P2515:P2520" si="29">(IF(O2515&gt;0,"Consistent","Not consistent"))</f>
        <v>Not consistent</v>
      </c>
      <c r="Q2515" t="s">
        <v>398</v>
      </c>
    </row>
    <row r="2516" spans="1:17">
      <c r="A2516" t="s">
        <v>1781</v>
      </c>
      <c r="C2516" t="s">
        <v>393</v>
      </c>
      <c r="D2516" t="s">
        <v>554</v>
      </c>
      <c r="E2516" t="s">
        <v>96</v>
      </c>
      <c r="G2516" t="s">
        <v>1782</v>
      </c>
      <c r="H2516" t="s">
        <v>399</v>
      </c>
      <c r="K2516">
        <v>1984</v>
      </c>
      <c r="O2516">
        <v>113.71000000000001</v>
      </c>
      <c r="P2516" t="str">
        <f t="shared" si="29"/>
        <v>Consistent</v>
      </c>
      <c r="Q2516" t="s">
        <v>398</v>
      </c>
    </row>
    <row r="2517" spans="1:17">
      <c r="A2517" t="s">
        <v>1783</v>
      </c>
      <c r="C2517" t="s">
        <v>393</v>
      </c>
      <c r="D2517" t="s">
        <v>1784</v>
      </c>
      <c r="E2517" t="s">
        <v>265</v>
      </c>
      <c r="G2517" t="s">
        <v>373</v>
      </c>
      <c r="H2517" t="s">
        <v>457</v>
      </c>
      <c r="K2517">
        <v>1955</v>
      </c>
      <c r="L2517">
        <v>2025</v>
      </c>
      <c r="O2517">
        <v>9.89</v>
      </c>
      <c r="P2517" t="str">
        <f t="shared" si="29"/>
        <v>Consistent</v>
      </c>
      <c r="Q2517" t="s">
        <v>1785</v>
      </c>
    </row>
    <row r="2518" spans="1:17">
      <c r="A2518" t="s">
        <v>1783</v>
      </c>
      <c r="C2518" t="s">
        <v>393</v>
      </c>
      <c r="D2518" t="s">
        <v>1786</v>
      </c>
      <c r="E2518" t="s">
        <v>265</v>
      </c>
      <c r="G2518" t="s">
        <v>373</v>
      </c>
      <c r="H2518" t="s">
        <v>457</v>
      </c>
      <c r="K2518">
        <v>1955</v>
      </c>
      <c r="L2518">
        <v>2025</v>
      </c>
      <c r="O2518">
        <v>9.8000000000000007</v>
      </c>
      <c r="P2518" t="str">
        <f t="shared" si="29"/>
        <v>Consistent</v>
      </c>
      <c r="Q2518" t="s">
        <v>1785</v>
      </c>
    </row>
    <row r="2519" spans="1:17">
      <c r="A2519" t="s">
        <v>1783</v>
      </c>
      <c r="C2519" t="s">
        <v>393</v>
      </c>
      <c r="D2519" t="s">
        <v>1784</v>
      </c>
      <c r="E2519" t="s">
        <v>265</v>
      </c>
      <c r="G2519" t="s">
        <v>374</v>
      </c>
      <c r="H2519" t="s">
        <v>457</v>
      </c>
      <c r="K2519">
        <v>1955</v>
      </c>
      <c r="L2519">
        <v>2025</v>
      </c>
      <c r="O2519">
        <v>11.9</v>
      </c>
      <c r="P2519" t="str">
        <f t="shared" si="29"/>
        <v>Consistent</v>
      </c>
      <c r="Q2519" t="s">
        <v>1785</v>
      </c>
    </row>
    <row r="2520" spans="1:17">
      <c r="A2520" t="s">
        <v>1783</v>
      </c>
      <c r="C2520" t="s">
        <v>393</v>
      </c>
      <c r="D2520" t="s">
        <v>1786</v>
      </c>
      <c r="E2520" t="s">
        <v>265</v>
      </c>
      <c r="G2520" t="s">
        <v>374</v>
      </c>
      <c r="H2520" t="s">
        <v>457</v>
      </c>
      <c r="K2520">
        <v>1955</v>
      </c>
      <c r="L2520">
        <v>2025</v>
      </c>
      <c r="O2520">
        <v>13.7</v>
      </c>
      <c r="P2520" t="str">
        <f t="shared" si="29"/>
        <v>Consistent</v>
      </c>
      <c r="Q2520" t="s">
        <v>1785</v>
      </c>
    </row>
    <row r="2521" spans="1:17">
      <c r="A2521" t="s">
        <v>1787</v>
      </c>
      <c r="C2521" t="s">
        <v>393</v>
      </c>
      <c r="D2521" t="s">
        <v>1788</v>
      </c>
      <c r="E2521" t="s">
        <v>47</v>
      </c>
      <c r="G2521" t="s">
        <v>135</v>
      </c>
      <c r="H2521" t="s">
        <v>539</v>
      </c>
      <c r="K2521">
        <v>1959</v>
      </c>
      <c r="L2521">
        <v>2000</v>
      </c>
      <c r="M2521">
        <f t="shared" ref="M2521:M2528" si="30">L2521-K2521+1</f>
        <v>42</v>
      </c>
      <c r="O2521" t="s">
        <v>163</v>
      </c>
      <c r="P2521" t="s">
        <v>15</v>
      </c>
      <c r="Q2521" t="s">
        <v>1238</v>
      </c>
    </row>
    <row r="2522" spans="1:17">
      <c r="A2522" t="s">
        <v>1787</v>
      </c>
      <c r="C2522" t="s">
        <v>393</v>
      </c>
      <c r="D2522" t="s">
        <v>1788</v>
      </c>
      <c r="E2522" t="s">
        <v>47</v>
      </c>
      <c r="G2522" t="s">
        <v>135</v>
      </c>
      <c r="H2522" t="s">
        <v>539</v>
      </c>
      <c r="K2522">
        <v>1959</v>
      </c>
      <c r="L2522">
        <v>2000</v>
      </c>
      <c r="M2522">
        <f t="shared" si="30"/>
        <v>42</v>
      </c>
      <c r="O2522" t="s">
        <v>163</v>
      </c>
      <c r="P2522" t="s">
        <v>15</v>
      </c>
      <c r="Q2522" t="s">
        <v>1238</v>
      </c>
    </row>
    <row r="2523" spans="1:17">
      <c r="A2523" t="s">
        <v>1787</v>
      </c>
      <c r="C2523" t="s">
        <v>393</v>
      </c>
      <c r="D2523" t="s">
        <v>1788</v>
      </c>
      <c r="E2523" t="s">
        <v>47</v>
      </c>
      <c r="G2523" t="s">
        <v>136</v>
      </c>
      <c r="H2523" t="s">
        <v>539</v>
      </c>
      <c r="K2523">
        <v>1959</v>
      </c>
      <c r="L2523">
        <v>2000</v>
      </c>
      <c r="M2523">
        <f t="shared" si="30"/>
        <v>42</v>
      </c>
      <c r="O2523" t="s">
        <v>163</v>
      </c>
      <c r="P2523" t="s">
        <v>15</v>
      </c>
      <c r="Q2523" t="s">
        <v>1238</v>
      </c>
    </row>
    <row r="2524" spans="1:17">
      <c r="A2524" t="s">
        <v>1787</v>
      </c>
      <c r="C2524" t="s">
        <v>393</v>
      </c>
      <c r="D2524" t="s">
        <v>1788</v>
      </c>
      <c r="E2524" t="s">
        <v>47</v>
      </c>
      <c r="G2524" t="s">
        <v>136</v>
      </c>
      <c r="H2524" t="s">
        <v>539</v>
      </c>
      <c r="K2524">
        <v>1959</v>
      </c>
      <c r="L2524">
        <v>2000</v>
      </c>
      <c r="M2524">
        <f t="shared" si="30"/>
        <v>42</v>
      </c>
      <c r="O2524" t="s">
        <v>163</v>
      </c>
      <c r="P2524" t="s">
        <v>15</v>
      </c>
      <c r="Q2524" t="s">
        <v>1238</v>
      </c>
    </row>
    <row r="2525" spans="1:17">
      <c r="A2525" t="s">
        <v>1789</v>
      </c>
      <c r="C2525" t="s">
        <v>393</v>
      </c>
      <c r="D2525" t="s">
        <v>1790</v>
      </c>
      <c r="E2525" t="s">
        <v>47</v>
      </c>
      <c r="G2525" t="s">
        <v>1669</v>
      </c>
      <c r="H2525" t="s">
        <v>533</v>
      </c>
      <c r="K2525">
        <v>1951</v>
      </c>
      <c r="L2525">
        <v>1990</v>
      </c>
      <c r="M2525">
        <f t="shared" si="30"/>
        <v>40</v>
      </c>
      <c r="O2525" t="s">
        <v>163</v>
      </c>
      <c r="P2525" t="s">
        <v>85</v>
      </c>
      <c r="Q2525" t="s">
        <v>1238</v>
      </c>
    </row>
    <row r="2526" spans="1:17">
      <c r="A2526" t="s">
        <v>1789</v>
      </c>
      <c r="C2526" t="s">
        <v>393</v>
      </c>
      <c r="D2526" t="s">
        <v>1790</v>
      </c>
      <c r="E2526" t="s">
        <v>47</v>
      </c>
      <c r="G2526" t="s">
        <v>1791</v>
      </c>
      <c r="H2526" t="s">
        <v>539</v>
      </c>
      <c r="K2526">
        <v>1951</v>
      </c>
      <c r="L2526">
        <v>1990</v>
      </c>
      <c r="M2526">
        <f t="shared" si="30"/>
        <v>40</v>
      </c>
      <c r="O2526" t="s">
        <v>163</v>
      </c>
      <c r="P2526" t="s">
        <v>85</v>
      </c>
      <c r="Q2526" t="s">
        <v>1238</v>
      </c>
    </row>
    <row r="2527" spans="1:17">
      <c r="A2527" t="s">
        <v>1789</v>
      </c>
      <c r="C2527" t="s">
        <v>393</v>
      </c>
      <c r="D2527" t="s">
        <v>1790</v>
      </c>
      <c r="E2527" t="s">
        <v>47</v>
      </c>
      <c r="G2527" t="s">
        <v>1601</v>
      </c>
      <c r="H2527" t="s">
        <v>539</v>
      </c>
      <c r="K2527">
        <v>1951</v>
      </c>
      <c r="L2527">
        <v>1990</v>
      </c>
      <c r="M2527">
        <f t="shared" si="30"/>
        <v>40</v>
      </c>
      <c r="O2527" t="s">
        <v>163</v>
      </c>
      <c r="P2527" t="s">
        <v>85</v>
      </c>
      <c r="Q2527" t="s">
        <v>1238</v>
      </c>
    </row>
    <row r="2528" spans="1:17">
      <c r="A2528" t="s">
        <v>1789</v>
      </c>
      <c r="C2528" t="s">
        <v>393</v>
      </c>
      <c r="D2528" t="s">
        <v>1790</v>
      </c>
      <c r="E2528" t="s">
        <v>47</v>
      </c>
      <c r="G2528" t="s">
        <v>57</v>
      </c>
      <c r="H2528" t="s">
        <v>539</v>
      </c>
      <c r="K2528">
        <v>1951</v>
      </c>
      <c r="L2528">
        <v>1990</v>
      </c>
      <c r="M2528">
        <f t="shared" si="30"/>
        <v>40</v>
      </c>
      <c r="O2528" t="s">
        <v>163</v>
      </c>
      <c r="P2528" t="s">
        <v>85</v>
      </c>
      <c r="Q2528" t="s">
        <v>1238</v>
      </c>
    </row>
    <row r="2529" spans="1:17">
      <c r="A2529" t="s">
        <v>1716</v>
      </c>
      <c r="B2529" t="s">
        <v>593</v>
      </c>
      <c r="C2529" t="s">
        <v>393</v>
      </c>
      <c r="D2529" t="s">
        <v>739</v>
      </c>
      <c r="E2529" t="s">
        <v>161</v>
      </c>
      <c r="G2529" t="s">
        <v>1792</v>
      </c>
      <c r="H2529" t="s">
        <v>700</v>
      </c>
      <c r="K2529">
        <v>1985</v>
      </c>
      <c r="L2529">
        <v>2010</v>
      </c>
      <c r="M2529">
        <v>25</v>
      </c>
      <c r="O2529" t="s">
        <v>1169</v>
      </c>
      <c r="P2529" t="s">
        <v>1169</v>
      </c>
      <c r="Q2529" t="s">
        <v>701</v>
      </c>
    </row>
    <row r="2530" spans="1:17">
      <c r="A2530" t="s">
        <v>1716</v>
      </c>
      <c r="B2530" t="s">
        <v>593</v>
      </c>
      <c r="C2530" t="s">
        <v>393</v>
      </c>
      <c r="D2530" t="s">
        <v>739</v>
      </c>
      <c r="E2530" t="s">
        <v>161</v>
      </c>
      <c r="G2530" t="s">
        <v>1793</v>
      </c>
      <c r="H2530" t="s">
        <v>700</v>
      </c>
      <c r="K2530">
        <v>1985</v>
      </c>
      <c r="L2530">
        <v>2010</v>
      </c>
      <c r="M2530">
        <v>25</v>
      </c>
      <c r="O2530" t="s">
        <v>1169</v>
      </c>
      <c r="P2530" t="s">
        <v>1169</v>
      </c>
      <c r="Q2530" t="s">
        <v>701</v>
      </c>
    </row>
    <row r="2531" spans="1:17">
      <c r="A2531" t="s">
        <v>1716</v>
      </c>
      <c r="B2531" t="s">
        <v>593</v>
      </c>
      <c r="C2531" t="s">
        <v>393</v>
      </c>
      <c r="D2531" t="s">
        <v>739</v>
      </c>
      <c r="E2531" t="s">
        <v>161</v>
      </c>
      <c r="G2531" t="s">
        <v>1794</v>
      </c>
      <c r="H2531" t="s">
        <v>700</v>
      </c>
      <c r="K2531">
        <v>1985</v>
      </c>
      <c r="L2531">
        <v>2010</v>
      </c>
      <c r="M2531">
        <v>25</v>
      </c>
      <c r="O2531" t="s">
        <v>1169</v>
      </c>
      <c r="P2531" t="s">
        <v>1169</v>
      </c>
      <c r="Q2531" t="s">
        <v>701</v>
      </c>
    </row>
    <row r="2532" spans="1:17">
      <c r="A2532" t="s">
        <v>1716</v>
      </c>
      <c r="B2532" t="s">
        <v>593</v>
      </c>
      <c r="C2532" t="s">
        <v>393</v>
      </c>
      <c r="D2532" t="s">
        <v>739</v>
      </c>
      <c r="E2532" t="s">
        <v>161</v>
      </c>
      <c r="G2532" t="s">
        <v>1795</v>
      </c>
      <c r="H2532" t="s">
        <v>700</v>
      </c>
      <c r="K2532">
        <v>1985</v>
      </c>
      <c r="L2532">
        <v>2010</v>
      </c>
      <c r="M2532">
        <v>25</v>
      </c>
      <c r="O2532" t="s">
        <v>1169</v>
      </c>
      <c r="P2532" t="s">
        <v>1169</v>
      </c>
      <c r="Q2532" t="s">
        <v>701</v>
      </c>
    </row>
    <row r="2533" spans="1:17">
      <c r="A2533" t="s">
        <v>1716</v>
      </c>
      <c r="B2533" t="s">
        <v>593</v>
      </c>
      <c r="C2533" t="s">
        <v>393</v>
      </c>
      <c r="D2533" t="s">
        <v>739</v>
      </c>
      <c r="E2533" t="s">
        <v>161</v>
      </c>
      <c r="G2533" t="s">
        <v>745</v>
      </c>
      <c r="H2533" t="s">
        <v>700</v>
      </c>
      <c r="K2533">
        <v>1985</v>
      </c>
      <c r="L2533">
        <v>2010</v>
      </c>
      <c r="M2533">
        <v>25</v>
      </c>
      <c r="O2533" t="s">
        <v>1169</v>
      </c>
      <c r="P2533" t="s">
        <v>1169</v>
      </c>
      <c r="Q2533" t="s">
        <v>701</v>
      </c>
    </row>
    <row r="2534" spans="1:17">
      <c r="A2534" t="s">
        <v>1716</v>
      </c>
      <c r="B2534" t="s">
        <v>593</v>
      </c>
      <c r="C2534" t="s">
        <v>393</v>
      </c>
      <c r="D2534" t="s">
        <v>739</v>
      </c>
      <c r="E2534" t="s">
        <v>161</v>
      </c>
      <c r="G2534" t="s">
        <v>742</v>
      </c>
      <c r="H2534" t="s">
        <v>700</v>
      </c>
      <c r="K2534">
        <v>1985</v>
      </c>
      <c r="L2534">
        <v>2010</v>
      </c>
      <c r="M2534">
        <v>25</v>
      </c>
      <c r="O2534" t="s">
        <v>1169</v>
      </c>
      <c r="P2534" t="s">
        <v>1169</v>
      </c>
      <c r="Q2534" t="s">
        <v>701</v>
      </c>
    </row>
    <row r="2535" spans="1:17">
      <c r="A2535" t="s">
        <v>1716</v>
      </c>
      <c r="B2535" t="s">
        <v>593</v>
      </c>
      <c r="C2535" t="s">
        <v>393</v>
      </c>
      <c r="D2535" t="s">
        <v>739</v>
      </c>
      <c r="E2535" t="s">
        <v>161</v>
      </c>
      <c r="G2535" t="s">
        <v>1796</v>
      </c>
      <c r="H2535" t="s">
        <v>700</v>
      </c>
      <c r="K2535">
        <v>1985</v>
      </c>
      <c r="L2535">
        <v>2010</v>
      </c>
      <c r="M2535">
        <v>25</v>
      </c>
      <c r="O2535" t="s">
        <v>1169</v>
      </c>
      <c r="P2535" t="s">
        <v>1169</v>
      </c>
      <c r="Q2535" t="s">
        <v>701</v>
      </c>
    </row>
    <row r="2536" spans="1:17">
      <c r="A2536" t="s">
        <v>1716</v>
      </c>
      <c r="B2536" t="s">
        <v>593</v>
      </c>
      <c r="C2536" t="s">
        <v>393</v>
      </c>
      <c r="D2536" t="s">
        <v>739</v>
      </c>
      <c r="E2536" t="s">
        <v>161</v>
      </c>
      <c r="G2536" t="s">
        <v>895</v>
      </c>
      <c r="H2536" t="s">
        <v>700</v>
      </c>
      <c r="K2536">
        <v>1985</v>
      </c>
      <c r="L2536">
        <v>2010</v>
      </c>
      <c r="M2536">
        <v>25</v>
      </c>
      <c r="O2536" t="s">
        <v>1169</v>
      </c>
      <c r="P2536" t="s">
        <v>1169</v>
      </c>
      <c r="Q2536" t="s">
        <v>701</v>
      </c>
    </row>
    <row r="2537" spans="1:17">
      <c r="A2537" t="s">
        <v>1716</v>
      </c>
      <c r="B2537" t="s">
        <v>593</v>
      </c>
      <c r="C2537" t="s">
        <v>393</v>
      </c>
      <c r="D2537" t="s">
        <v>739</v>
      </c>
      <c r="E2537" t="s">
        <v>161</v>
      </c>
      <c r="G2537" t="s">
        <v>1797</v>
      </c>
      <c r="H2537" t="s">
        <v>700</v>
      </c>
      <c r="K2537">
        <v>1985</v>
      </c>
      <c r="L2537">
        <v>2010</v>
      </c>
      <c r="M2537">
        <v>25</v>
      </c>
      <c r="O2537" t="s">
        <v>1169</v>
      </c>
      <c r="P2537" t="s">
        <v>1169</v>
      </c>
      <c r="Q2537" t="s">
        <v>701</v>
      </c>
    </row>
    <row r="2538" spans="1:17">
      <c r="A2538" t="s">
        <v>1716</v>
      </c>
      <c r="B2538" t="s">
        <v>593</v>
      </c>
      <c r="C2538" t="s">
        <v>393</v>
      </c>
      <c r="D2538" t="s">
        <v>739</v>
      </c>
      <c r="E2538" t="s">
        <v>161</v>
      </c>
      <c r="G2538" t="s">
        <v>1798</v>
      </c>
      <c r="H2538" t="s">
        <v>700</v>
      </c>
      <c r="K2538">
        <v>1985</v>
      </c>
      <c r="L2538">
        <v>2010</v>
      </c>
      <c r="M2538">
        <v>25</v>
      </c>
      <c r="O2538" t="s">
        <v>1169</v>
      </c>
      <c r="P2538" t="s">
        <v>1169</v>
      </c>
      <c r="Q2538" t="s">
        <v>701</v>
      </c>
    </row>
    <row r="2539" spans="1:17">
      <c r="A2539" t="s">
        <v>1716</v>
      </c>
      <c r="B2539" t="s">
        <v>593</v>
      </c>
      <c r="C2539" t="s">
        <v>393</v>
      </c>
      <c r="D2539" t="s">
        <v>739</v>
      </c>
      <c r="E2539" t="s">
        <v>161</v>
      </c>
      <c r="G2539" t="s">
        <v>1799</v>
      </c>
      <c r="H2539" t="s">
        <v>700</v>
      </c>
      <c r="K2539">
        <v>1985</v>
      </c>
      <c r="L2539">
        <v>2010</v>
      </c>
      <c r="M2539">
        <v>25</v>
      </c>
      <c r="O2539" t="s">
        <v>1169</v>
      </c>
      <c r="P2539" t="s">
        <v>1169</v>
      </c>
      <c r="Q2539" t="s">
        <v>701</v>
      </c>
    </row>
    <row r="2540" spans="1:17">
      <c r="A2540" t="s">
        <v>1716</v>
      </c>
      <c r="B2540" t="s">
        <v>593</v>
      </c>
      <c r="C2540" t="s">
        <v>393</v>
      </c>
      <c r="D2540" t="s">
        <v>739</v>
      </c>
      <c r="E2540" t="s">
        <v>161</v>
      </c>
      <c r="G2540" t="s">
        <v>1800</v>
      </c>
      <c r="H2540" t="s">
        <v>700</v>
      </c>
      <c r="K2540">
        <v>1985</v>
      </c>
      <c r="L2540">
        <v>2010</v>
      </c>
      <c r="M2540">
        <v>25</v>
      </c>
      <c r="O2540" t="s">
        <v>1169</v>
      </c>
      <c r="P2540" t="s">
        <v>1169</v>
      </c>
      <c r="Q2540" t="s">
        <v>701</v>
      </c>
    </row>
    <row r="2541" spans="1:17">
      <c r="A2541" t="s">
        <v>1716</v>
      </c>
      <c r="B2541" t="s">
        <v>593</v>
      </c>
      <c r="C2541" t="s">
        <v>393</v>
      </c>
      <c r="D2541" t="s">
        <v>739</v>
      </c>
      <c r="E2541" t="s">
        <v>161</v>
      </c>
      <c r="G2541" t="s">
        <v>1801</v>
      </c>
      <c r="H2541" t="s">
        <v>700</v>
      </c>
      <c r="K2541">
        <v>1985</v>
      </c>
      <c r="L2541">
        <v>2010</v>
      </c>
      <c r="M2541">
        <v>25</v>
      </c>
      <c r="O2541" t="s">
        <v>1169</v>
      </c>
      <c r="P2541" t="s">
        <v>1169</v>
      </c>
      <c r="Q2541" t="s">
        <v>701</v>
      </c>
    </row>
    <row r="2542" spans="1:17">
      <c r="A2542" t="s">
        <v>1716</v>
      </c>
      <c r="B2542" t="s">
        <v>593</v>
      </c>
      <c r="C2542" t="s">
        <v>393</v>
      </c>
      <c r="D2542" t="s">
        <v>739</v>
      </c>
      <c r="E2542" t="s">
        <v>161</v>
      </c>
      <c r="G2542" t="s">
        <v>1802</v>
      </c>
      <c r="H2542" t="s">
        <v>700</v>
      </c>
      <c r="K2542">
        <v>1985</v>
      </c>
      <c r="L2542">
        <v>2010</v>
      </c>
      <c r="M2542">
        <v>25</v>
      </c>
      <c r="O2542" t="s">
        <v>1169</v>
      </c>
      <c r="P2542" t="s">
        <v>1169</v>
      </c>
      <c r="Q2542" t="s">
        <v>701</v>
      </c>
    </row>
    <row r="2543" spans="1:17">
      <c r="A2543" t="s">
        <v>1716</v>
      </c>
      <c r="B2543" t="s">
        <v>593</v>
      </c>
      <c r="C2543" t="s">
        <v>393</v>
      </c>
      <c r="D2543" t="s">
        <v>739</v>
      </c>
      <c r="E2543" t="s">
        <v>161</v>
      </c>
      <c r="G2543" t="s">
        <v>1803</v>
      </c>
      <c r="H2543" t="s">
        <v>700</v>
      </c>
      <c r="K2543">
        <v>1985</v>
      </c>
      <c r="L2543">
        <v>2010</v>
      </c>
      <c r="M2543">
        <v>25</v>
      </c>
      <c r="O2543" t="s">
        <v>1169</v>
      </c>
      <c r="P2543" t="s">
        <v>1169</v>
      </c>
      <c r="Q2543" t="s">
        <v>701</v>
      </c>
    </row>
    <row r="2544" spans="1:17">
      <c r="A2544" t="s">
        <v>1716</v>
      </c>
      <c r="B2544" t="s">
        <v>593</v>
      </c>
      <c r="C2544" t="s">
        <v>393</v>
      </c>
      <c r="D2544" t="s">
        <v>739</v>
      </c>
      <c r="E2544" t="s">
        <v>161</v>
      </c>
      <c r="G2544" t="s">
        <v>1804</v>
      </c>
      <c r="H2544" t="s">
        <v>700</v>
      </c>
      <c r="K2544">
        <v>1985</v>
      </c>
      <c r="L2544">
        <v>2010</v>
      </c>
      <c r="M2544">
        <v>25</v>
      </c>
      <c r="O2544" t="s">
        <v>1169</v>
      </c>
      <c r="P2544" t="s">
        <v>1169</v>
      </c>
      <c r="Q2544" t="s">
        <v>701</v>
      </c>
    </row>
    <row r="2545" spans="1:18">
      <c r="A2545" t="s">
        <v>1716</v>
      </c>
      <c r="B2545" t="s">
        <v>593</v>
      </c>
      <c r="C2545" t="s">
        <v>393</v>
      </c>
      <c r="D2545" t="s">
        <v>739</v>
      </c>
      <c r="E2545" t="s">
        <v>161</v>
      </c>
      <c r="G2545" t="s">
        <v>1805</v>
      </c>
      <c r="H2545" t="s">
        <v>700</v>
      </c>
      <c r="K2545">
        <v>1985</v>
      </c>
      <c r="L2545">
        <v>2010</v>
      </c>
      <c r="M2545">
        <v>25</v>
      </c>
      <c r="O2545" t="s">
        <v>1169</v>
      </c>
      <c r="P2545" t="s">
        <v>1169</v>
      </c>
      <c r="Q2545" t="s">
        <v>701</v>
      </c>
    </row>
    <row r="2546" spans="1:18">
      <c r="A2546" t="s">
        <v>1716</v>
      </c>
      <c r="B2546" t="s">
        <v>593</v>
      </c>
      <c r="C2546" t="s">
        <v>393</v>
      </c>
      <c r="D2546" t="s">
        <v>739</v>
      </c>
      <c r="E2546" t="s">
        <v>161</v>
      </c>
      <c r="G2546" t="s">
        <v>1806</v>
      </c>
      <c r="H2546" t="s">
        <v>700</v>
      </c>
      <c r="K2546">
        <v>1985</v>
      </c>
      <c r="L2546">
        <v>2010</v>
      </c>
      <c r="M2546">
        <v>25</v>
      </c>
      <c r="O2546" t="s">
        <v>1169</v>
      </c>
      <c r="P2546" t="s">
        <v>1169</v>
      </c>
      <c r="Q2546" t="s">
        <v>701</v>
      </c>
    </row>
    <row r="2547" spans="1:18">
      <c r="A2547" t="s">
        <v>1716</v>
      </c>
      <c r="B2547" t="s">
        <v>593</v>
      </c>
      <c r="C2547" t="s">
        <v>393</v>
      </c>
      <c r="D2547" t="s">
        <v>739</v>
      </c>
      <c r="E2547" t="s">
        <v>161</v>
      </c>
      <c r="G2547" t="s">
        <v>1807</v>
      </c>
      <c r="H2547" t="s">
        <v>700</v>
      </c>
      <c r="K2547">
        <v>1985</v>
      </c>
      <c r="L2547">
        <v>2010</v>
      </c>
      <c r="M2547">
        <v>25</v>
      </c>
      <c r="O2547" t="s">
        <v>1169</v>
      </c>
      <c r="P2547" t="s">
        <v>1169</v>
      </c>
      <c r="Q2547" t="s">
        <v>701</v>
      </c>
    </row>
    <row r="2548" spans="1:18">
      <c r="A2548" t="s">
        <v>1716</v>
      </c>
      <c r="B2548" t="s">
        <v>593</v>
      </c>
      <c r="C2548" t="s">
        <v>393</v>
      </c>
      <c r="D2548" t="s">
        <v>739</v>
      </c>
      <c r="E2548" t="s">
        <v>161</v>
      </c>
      <c r="G2548" t="s">
        <v>1808</v>
      </c>
      <c r="H2548" t="s">
        <v>700</v>
      </c>
      <c r="K2548">
        <v>1985</v>
      </c>
      <c r="L2548">
        <v>2010</v>
      </c>
      <c r="M2548">
        <v>25</v>
      </c>
      <c r="O2548" t="s">
        <v>1169</v>
      </c>
      <c r="P2548" t="s">
        <v>1169</v>
      </c>
      <c r="Q2548" t="s">
        <v>701</v>
      </c>
    </row>
    <row r="2549" spans="1:18">
      <c r="A2549" t="s">
        <v>1809</v>
      </c>
      <c r="C2549" t="s">
        <v>393</v>
      </c>
      <c r="D2549" t="s">
        <v>1455</v>
      </c>
      <c r="E2549" t="s">
        <v>47</v>
      </c>
      <c r="G2549" t="s">
        <v>1810</v>
      </c>
      <c r="H2549" t="s">
        <v>536</v>
      </c>
      <c r="K2549">
        <v>1993</v>
      </c>
      <c r="L2549">
        <v>2012</v>
      </c>
      <c r="M2549">
        <f t="shared" ref="M2549:M2612" si="31">L2549-K2549+1</f>
        <v>20</v>
      </c>
      <c r="O2549">
        <v>5.55</v>
      </c>
      <c r="P2549" t="s">
        <v>15</v>
      </c>
      <c r="Q2549" t="s">
        <v>1238</v>
      </c>
    </row>
    <row r="2550" spans="1:18">
      <c r="A2550" t="s">
        <v>1809</v>
      </c>
      <c r="C2550" t="s">
        <v>393</v>
      </c>
      <c r="D2550" t="s">
        <v>1455</v>
      </c>
      <c r="E2550" t="s">
        <v>47</v>
      </c>
      <c r="G2550" t="s">
        <v>1811</v>
      </c>
      <c r="H2550" t="s">
        <v>536</v>
      </c>
      <c r="K2550">
        <v>1993</v>
      </c>
      <c r="L2550">
        <v>2012</v>
      </c>
      <c r="M2550">
        <f t="shared" si="31"/>
        <v>20</v>
      </c>
      <c r="O2550">
        <v>0</v>
      </c>
      <c r="P2550" t="s">
        <v>85</v>
      </c>
      <c r="Q2550" t="s">
        <v>1238</v>
      </c>
    </row>
    <row r="2551" spans="1:18">
      <c r="A2551" t="s">
        <v>1812</v>
      </c>
      <c r="B2551" t="s">
        <v>593</v>
      </c>
      <c r="C2551" t="s">
        <v>393</v>
      </c>
      <c r="D2551" t="s">
        <v>1813</v>
      </c>
      <c r="E2551" t="s">
        <v>265</v>
      </c>
      <c r="G2551" t="s">
        <v>1814</v>
      </c>
      <c r="H2551" t="s">
        <v>533</v>
      </c>
      <c r="K2551">
        <v>1980</v>
      </c>
      <c r="L2551">
        <v>2004</v>
      </c>
      <c r="M2551">
        <f t="shared" si="31"/>
        <v>25</v>
      </c>
      <c r="O2551" t="s">
        <v>163</v>
      </c>
      <c r="P2551" t="s">
        <v>85</v>
      </c>
      <c r="Q2551" t="s">
        <v>1238</v>
      </c>
      <c r="R2551" t="s">
        <v>1815</v>
      </c>
    </row>
    <row r="2552" spans="1:18">
      <c r="A2552" t="s">
        <v>1812</v>
      </c>
      <c r="C2552" t="s">
        <v>393</v>
      </c>
      <c r="D2552" t="s">
        <v>1813</v>
      </c>
      <c r="E2552" t="s">
        <v>265</v>
      </c>
      <c r="G2552" t="s">
        <v>1814</v>
      </c>
      <c r="H2552" t="s">
        <v>539</v>
      </c>
      <c r="K2552">
        <v>1980</v>
      </c>
      <c r="L2552">
        <v>2004</v>
      </c>
      <c r="M2552">
        <f t="shared" si="31"/>
        <v>25</v>
      </c>
      <c r="O2552" t="s">
        <v>163</v>
      </c>
      <c r="P2552" t="s">
        <v>85</v>
      </c>
      <c r="Q2552" t="s">
        <v>1238</v>
      </c>
    </row>
    <row r="2553" spans="1:18">
      <c r="A2553" t="s">
        <v>1812</v>
      </c>
      <c r="B2553" t="s">
        <v>593</v>
      </c>
      <c r="C2553" t="s">
        <v>393</v>
      </c>
      <c r="D2553" t="s">
        <v>1813</v>
      </c>
      <c r="E2553" t="s">
        <v>265</v>
      </c>
      <c r="G2553" t="s">
        <v>1816</v>
      </c>
      <c r="H2553" t="s">
        <v>533</v>
      </c>
      <c r="K2553">
        <v>1980</v>
      </c>
      <c r="L2553">
        <v>2004</v>
      </c>
      <c r="M2553">
        <f t="shared" si="31"/>
        <v>25</v>
      </c>
      <c r="O2553" t="s">
        <v>163</v>
      </c>
      <c r="P2553" t="s">
        <v>85</v>
      </c>
      <c r="Q2553" t="s">
        <v>1238</v>
      </c>
      <c r="R2553" t="s">
        <v>1815</v>
      </c>
    </row>
    <row r="2554" spans="1:18">
      <c r="A2554" t="s">
        <v>1812</v>
      </c>
      <c r="C2554" t="s">
        <v>393</v>
      </c>
      <c r="D2554" t="s">
        <v>1813</v>
      </c>
      <c r="E2554" t="s">
        <v>265</v>
      </c>
      <c r="G2554" t="s">
        <v>1816</v>
      </c>
      <c r="H2554" t="s">
        <v>539</v>
      </c>
      <c r="K2554">
        <v>1980</v>
      </c>
      <c r="L2554">
        <v>2004</v>
      </c>
      <c r="M2554">
        <f t="shared" si="31"/>
        <v>25</v>
      </c>
      <c r="O2554" t="s">
        <v>163</v>
      </c>
      <c r="P2554" t="s">
        <v>85</v>
      </c>
      <c r="Q2554" t="s">
        <v>1238</v>
      </c>
    </row>
    <row r="2555" spans="1:18">
      <c r="A2555" t="s">
        <v>1812</v>
      </c>
      <c r="B2555" t="s">
        <v>593</v>
      </c>
      <c r="C2555" t="s">
        <v>393</v>
      </c>
      <c r="D2555" t="s">
        <v>1813</v>
      </c>
      <c r="E2555" t="s">
        <v>265</v>
      </c>
      <c r="G2555" t="s">
        <v>1817</v>
      </c>
      <c r="H2555" t="s">
        <v>533</v>
      </c>
      <c r="K2555">
        <v>1980</v>
      </c>
      <c r="L2555">
        <v>2004</v>
      </c>
      <c r="M2555">
        <f t="shared" si="31"/>
        <v>25</v>
      </c>
      <c r="O2555" t="s">
        <v>163</v>
      </c>
      <c r="P2555" t="s">
        <v>85</v>
      </c>
      <c r="Q2555" t="s">
        <v>1238</v>
      </c>
      <c r="R2555" t="s">
        <v>1815</v>
      </c>
    </row>
    <row r="2556" spans="1:18">
      <c r="A2556" t="s">
        <v>1812</v>
      </c>
      <c r="C2556" t="s">
        <v>393</v>
      </c>
      <c r="D2556" t="s">
        <v>1813</v>
      </c>
      <c r="E2556" t="s">
        <v>265</v>
      </c>
      <c r="G2556" t="s">
        <v>1817</v>
      </c>
      <c r="H2556" t="s">
        <v>539</v>
      </c>
      <c r="K2556">
        <v>1980</v>
      </c>
      <c r="L2556">
        <v>2004</v>
      </c>
      <c r="M2556">
        <f t="shared" si="31"/>
        <v>25</v>
      </c>
      <c r="O2556" t="s">
        <v>163</v>
      </c>
      <c r="P2556" t="s">
        <v>397</v>
      </c>
      <c r="Q2556" t="s">
        <v>1238</v>
      </c>
    </row>
    <row r="2557" spans="1:18">
      <c r="A2557" t="s">
        <v>1812</v>
      </c>
      <c r="B2557" t="s">
        <v>593</v>
      </c>
      <c r="C2557" t="s">
        <v>393</v>
      </c>
      <c r="D2557" t="s">
        <v>1813</v>
      </c>
      <c r="E2557" t="s">
        <v>265</v>
      </c>
      <c r="G2557" t="s">
        <v>1818</v>
      </c>
      <c r="H2557" t="s">
        <v>533</v>
      </c>
      <c r="K2557">
        <v>1980</v>
      </c>
      <c r="L2557">
        <v>2004</v>
      </c>
      <c r="M2557">
        <f t="shared" si="31"/>
        <v>25</v>
      </c>
      <c r="O2557" t="s">
        <v>163</v>
      </c>
      <c r="P2557" t="s">
        <v>15</v>
      </c>
      <c r="Q2557" t="s">
        <v>1238</v>
      </c>
      <c r="R2557" t="s">
        <v>1815</v>
      </c>
    </row>
    <row r="2558" spans="1:18">
      <c r="A2558" t="s">
        <v>1812</v>
      </c>
      <c r="C2558" t="s">
        <v>393</v>
      </c>
      <c r="D2558" t="s">
        <v>1813</v>
      </c>
      <c r="E2558" t="s">
        <v>265</v>
      </c>
      <c r="G2558" t="s">
        <v>1818</v>
      </c>
      <c r="H2558" t="s">
        <v>539</v>
      </c>
      <c r="K2558">
        <v>1980</v>
      </c>
      <c r="L2558">
        <v>2004</v>
      </c>
      <c r="M2558">
        <f t="shared" si="31"/>
        <v>25</v>
      </c>
      <c r="O2558" t="s">
        <v>163</v>
      </c>
      <c r="P2558" t="s">
        <v>397</v>
      </c>
      <c r="Q2558" t="s">
        <v>1238</v>
      </c>
    </row>
    <row r="2559" spans="1:18">
      <c r="A2559" t="s">
        <v>1812</v>
      </c>
      <c r="B2559" t="s">
        <v>593</v>
      </c>
      <c r="C2559" t="s">
        <v>393</v>
      </c>
      <c r="D2559" t="s">
        <v>1813</v>
      </c>
      <c r="E2559" t="s">
        <v>265</v>
      </c>
      <c r="G2559" t="s">
        <v>1819</v>
      </c>
      <c r="H2559" t="s">
        <v>533</v>
      </c>
      <c r="K2559">
        <v>1980</v>
      </c>
      <c r="L2559">
        <v>2004</v>
      </c>
      <c r="M2559">
        <f t="shared" si="31"/>
        <v>25</v>
      </c>
      <c r="O2559" t="s">
        <v>163</v>
      </c>
      <c r="P2559" t="s">
        <v>397</v>
      </c>
      <c r="Q2559" t="s">
        <v>1238</v>
      </c>
      <c r="R2559" t="s">
        <v>1815</v>
      </c>
    </row>
    <row r="2560" spans="1:18">
      <c r="A2560" t="s">
        <v>1812</v>
      </c>
      <c r="C2560" t="s">
        <v>393</v>
      </c>
      <c r="D2560" t="s">
        <v>1813</v>
      </c>
      <c r="E2560" t="s">
        <v>265</v>
      </c>
      <c r="G2560" t="s">
        <v>1819</v>
      </c>
      <c r="H2560" t="s">
        <v>539</v>
      </c>
      <c r="K2560">
        <v>1980</v>
      </c>
      <c r="L2560">
        <v>2004</v>
      </c>
      <c r="M2560">
        <f t="shared" si="31"/>
        <v>25</v>
      </c>
      <c r="O2560" t="s">
        <v>163</v>
      </c>
      <c r="P2560" t="s">
        <v>397</v>
      </c>
      <c r="Q2560" t="s">
        <v>1238</v>
      </c>
    </row>
    <row r="2561" spans="1:18">
      <c r="A2561" t="s">
        <v>1812</v>
      </c>
      <c r="B2561" t="s">
        <v>593</v>
      </c>
      <c r="C2561" t="s">
        <v>393</v>
      </c>
      <c r="D2561" t="s">
        <v>1813</v>
      </c>
      <c r="E2561" t="s">
        <v>265</v>
      </c>
      <c r="G2561" t="s">
        <v>1820</v>
      </c>
      <c r="H2561" t="s">
        <v>533</v>
      </c>
      <c r="K2561">
        <v>1980</v>
      </c>
      <c r="L2561">
        <v>2004</v>
      </c>
      <c r="M2561">
        <f t="shared" si="31"/>
        <v>25</v>
      </c>
      <c r="O2561" t="s">
        <v>163</v>
      </c>
      <c r="P2561" t="s">
        <v>85</v>
      </c>
      <c r="Q2561" t="s">
        <v>1238</v>
      </c>
      <c r="R2561" t="s">
        <v>1815</v>
      </c>
    </row>
    <row r="2562" spans="1:18">
      <c r="A2562" t="s">
        <v>1812</v>
      </c>
      <c r="B2562" t="s">
        <v>593</v>
      </c>
      <c r="C2562" t="s">
        <v>393</v>
      </c>
      <c r="D2562" t="s">
        <v>1813</v>
      </c>
      <c r="E2562" t="s">
        <v>265</v>
      </c>
      <c r="G2562" t="s">
        <v>1821</v>
      </c>
      <c r="H2562" t="s">
        <v>533</v>
      </c>
      <c r="K2562">
        <v>1980</v>
      </c>
      <c r="L2562">
        <v>2004</v>
      </c>
      <c r="M2562">
        <f t="shared" si="31"/>
        <v>25</v>
      </c>
      <c r="O2562" t="s">
        <v>163</v>
      </c>
      <c r="P2562" t="s">
        <v>15</v>
      </c>
      <c r="Q2562" t="s">
        <v>1238</v>
      </c>
      <c r="R2562" t="s">
        <v>1815</v>
      </c>
    </row>
    <row r="2563" spans="1:18">
      <c r="A2563" t="s">
        <v>1812</v>
      </c>
      <c r="B2563" t="s">
        <v>593</v>
      </c>
      <c r="C2563" t="s">
        <v>393</v>
      </c>
      <c r="D2563" t="s">
        <v>1813</v>
      </c>
      <c r="E2563" t="s">
        <v>265</v>
      </c>
      <c r="G2563" t="s">
        <v>1822</v>
      </c>
      <c r="H2563" t="s">
        <v>533</v>
      </c>
      <c r="K2563">
        <v>1980</v>
      </c>
      <c r="L2563">
        <v>2004</v>
      </c>
      <c r="M2563">
        <f t="shared" si="31"/>
        <v>25</v>
      </c>
      <c r="O2563" t="s">
        <v>163</v>
      </c>
      <c r="P2563" t="s">
        <v>85</v>
      </c>
      <c r="Q2563" t="s">
        <v>1238</v>
      </c>
      <c r="R2563" t="s">
        <v>1815</v>
      </c>
    </row>
    <row r="2564" spans="1:18">
      <c r="A2564" t="s">
        <v>1812</v>
      </c>
      <c r="C2564" t="s">
        <v>393</v>
      </c>
      <c r="D2564" t="s">
        <v>1813</v>
      </c>
      <c r="E2564" t="s">
        <v>265</v>
      </c>
      <c r="G2564" t="s">
        <v>1822</v>
      </c>
      <c r="H2564" t="s">
        <v>539</v>
      </c>
      <c r="K2564">
        <v>1980</v>
      </c>
      <c r="L2564">
        <v>2004</v>
      </c>
      <c r="M2564">
        <f t="shared" si="31"/>
        <v>25</v>
      </c>
      <c r="O2564" t="s">
        <v>163</v>
      </c>
      <c r="P2564" t="s">
        <v>15</v>
      </c>
      <c r="Q2564" t="s">
        <v>1238</v>
      </c>
    </row>
    <row r="2565" spans="1:18">
      <c r="A2565" t="s">
        <v>1812</v>
      </c>
      <c r="B2565" t="s">
        <v>593</v>
      </c>
      <c r="C2565" t="s">
        <v>393</v>
      </c>
      <c r="D2565" t="s">
        <v>1813</v>
      </c>
      <c r="E2565" t="s">
        <v>265</v>
      </c>
      <c r="G2565" t="s">
        <v>1823</v>
      </c>
      <c r="H2565" t="s">
        <v>533</v>
      </c>
      <c r="K2565">
        <v>1980</v>
      </c>
      <c r="L2565">
        <v>2004</v>
      </c>
      <c r="M2565">
        <f t="shared" si="31"/>
        <v>25</v>
      </c>
      <c r="O2565" t="s">
        <v>163</v>
      </c>
      <c r="P2565" t="s">
        <v>397</v>
      </c>
      <c r="Q2565" t="s">
        <v>1238</v>
      </c>
      <c r="R2565" t="s">
        <v>1815</v>
      </c>
    </row>
    <row r="2566" spans="1:18">
      <c r="A2566" t="s">
        <v>1812</v>
      </c>
      <c r="B2566" t="s">
        <v>593</v>
      </c>
      <c r="C2566" t="s">
        <v>393</v>
      </c>
      <c r="D2566" t="s">
        <v>1813</v>
      </c>
      <c r="E2566" t="s">
        <v>265</v>
      </c>
      <c r="G2566" t="s">
        <v>1824</v>
      </c>
      <c r="H2566" t="s">
        <v>533</v>
      </c>
      <c r="K2566">
        <v>1980</v>
      </c>
      <c r="L2566">
        <v>2004</v>
      </c>
      <c r="M2566">
        <f t="shared" si="31"/>
        <v>25</v>
      </c>
      <c r="O2566" t="s">
        <v>163</v>
      </c>
      <c r="P2566" t="s">
        <v>85</v>
      </c>
      <c r="Q2566" t="s">
        <v>1238</v>
      </c>
      <c r="R2566" t="s">
        <v>1815</v>
      </c>
    </row>
    <row r="2567" spans="1:18">
      <c r="A2567" t="s">
        <v>1812</v>
      </c>
      <c r="B2567" t="s">
        <v>593</v>
      </c>
      <c r="C2567" t="s">
        <v>393</v>
      </c>
      <c r="D2567" t="s">
        <v>1813</v>
      </c>
      <c r="E2567" t="s">
        <v>265</v>
      </c>
      <c r="G2567" t="s">
        <v>1825</v>
      </c>
      <c r="H2567" t="s">
        <v>533</v>
      </c>
      <c r="K2567">
        <v>1980</v>
      </c>
      <c r="L2567">
        <v>2004</v>
      </c>
      <c r="M2567">
        <f t="shared" si="31"/>
        <v>25</v>
      </c>
      <c r="O2567" t="s">
        <v>163</v>
      </c>
      <c r="P2567" t="s">
        <v>397</v>
      </c>
      <c r="Q2567" t="s">
        <v>1238</v>
      </c>
      <c r="R2567" t="s">
        <v>1815</v>
      </c>
    </row>
    <row r="2568" spans="1:18">
      <c r="A2568" t="s">
        <v>1812</v>
      </c>
      <c r="B2568" t="s">
        <v>593</v>
      </c>
      <c r="C2568" t="s">
        <v>393</v>
      </c>
      <c r="D2568" t="s">
        <v>1813</v>
      </c>
      <c r="E2568" t="s">
        <v>265</v>
      </c>
      <c r="G2568" t="s">
        <v>1826</v>
      </c>
      <c r="H2568" t="s">
        <v>533</v>
      </c>
      <c r="K2568">
        <v>1980</v>
      </c>
      <c r="L2568">
        <v>2004</v>
      </c>
      <c r="M2568">
        <f t="shared" si="31"/>
        <v>25</v>
      </c>
      <c r="O2568" t="s">
        <v>163</v>
      </c>
      <c r="P2568" t="s">
        <v>397</v>
      </c>
      <c r="Q2568" t="s">
        <v>1238</v>
      </c>
      <c r="R2568" t="s">
        <v>1815</v>
      </c>
    </row>
    <row r="2569" spans="1:18">
      <c r="A2569" t="s">
        <v>1812</v>
      </c>
      <c r="C2569" t="s">
        <v>393</v>
      </c>
      <c r="D2569" t="s">
        <v>1813</v>
      </c>
      <c r="E2569" t="s">
        <v>265</v>
      </c>
      <c r="G2569" t="s">
        <v>1826</v>
      </c>
      <c r="H2569" t="s">
        <v>539</v>
      </c>
      <c r="K2569">
        <v>1980</v>
      </c>
      <c r="L2569">
        <v>2004</v>
      </c>
      <c r="M2569">
        <f t="shared" si="31"/>
        <v>25</v>
      </c>
      <c r="O2569" t="s">
        <v>163</v>
      </c>
      <c r="P2569" t="s">
        <v>85</v>
      </c>
      <c r="Q2569" t="s">
        <v>1238</v>
      </c>
    </row>
    <row r="2570" spans="1:18">
      <c r="A2570" t="s">
        <v>1812</v>
      </c>
      <c r="B2570" t="s">
        <v>593</v>
      </c>
      <c r="C2570" t="s">
        <v>393</v>
      </c>
      <c r="D2570" t="s">
        <v>1813</v>
      </c>
      <c r="E2570" t="s">
        <v>265</v>
      </c>
      <c r="G2570" t="s">
        <v>1827</v>
      </c>
      <c r="H2570" t="s">
        <v>533</v>
      </c>
      <c r="K2570">
        <v>1980</v>
      </c>
      <c r="L2570">
        <v>2004</v>
      </c>
      <c r="M2570">
        <f t="shared" si="31"/>
        <v>25</v>
      </c>
      <c r="O2570" t="s">
        <v>163</v>
      </c>
      <c r="P2570" t="s">
        <v>85</v>
      </c>
      <c r="Q2570" t="s">
        <v>1238</v>
      </c>
      <c r="R2570" t="s">
        <v>1815</v>
      </c>
    </row>
    <row r="2571" spans="1:18">
      <c r="A2571" t="s">
        <v>1812</v>
      </c>
      <c r="B2571" t="s">
        <v>593</v>
      </c>
      <c r="C2571" t="s">
        <v>393</v>
      </c>
      <c r="D2571" t="s">
        <v>1813</v>
      </c>
      <c r="E2571" t="s">
        <v>265</v>
      </c>
      <c r="G2571" t="s">
        <v>1828</v>
      </c>
      <c r="H2571" t="s">
        <v>533</v>
      </c>
      <c r="K2571">
        <v>1980</v>
      </c>
      <c r="L2571">
        <v>2004</v>
      </c>
      <c r="M2571">
        <f t="shared" si="31"/>
        <v>25</v>
      </c>
      <c r="O2571" t="s">
        <v>163</v>
      </c>
      <c r="P2571" t="s">
        <v>397</v>
      </c>
      <c r="Q2571" t="s">
        <v>1238</v>
      </c>
      <c r="R2571" t="s">
        <v>1815</v>
      </c>
    </row>
    <row r="2572" spans="1:18">
      <c r="A2572" t="s">
        <v>1812</v>
      </c>
      <c r="B2572" t="s">
        <v>593</v>
      </c>
      <c r="C2572" t="s">
        <v>393</v>
      </c>
      <c r="D2572" t="s">
        <v>1813</v>
      </c>
      <c r="E2572" t="s">
        <v>265</v>
      </c>
      <c r="G2572" t="s">
        <v>1829</v>
      </c>
      <c r="H2572" t="s">
        <v>533</v>
      </c>
      <c r="K2572">
        <v>1980</v>
      </c>
      <c r="L2572">
        <v>2004</v>
      </c>
      <c r="M2572">
        <f t="shared" si="31"/>
        <v>25</v>
      </c>
      <c r="O2572" t="s">
        <v>163</v>
      </c>
      <c r="P2572" t="s">
        <v>85</v>
      </c>
      <c r="Q2572" t="s">
        <v>1238</v>
      </c>
      <c r="R2572" t="s">
        <v>1815</v>
      </c>
    </row>
    <row r="2573" spans="1:18">
      <c r="A2573" t="s">
        <v>1812</v>
      </c>
      <c r="C2573" t="s">
        <v>393</v>
      </c>
      <c r="D2573" t="s">
        <v>1813</v>
      </c>
      <c r="E2573" t="s">
        <v>265</v>
      </c>
      <c r="G2573" t="s">
        <v>1829</v>
      </c>
      <c r="H2573" t="s">
        <v>539</v>
      </c>
      <c r="K2573">
        <v>1980</v>
      </c>
      <c r="L2573">
        <v>2004</v>
      </c>
      <c r="M2573">
        <f t="shared" si="31"/>
        <v>25</v>
      </c>
      <c r="O2573" t="s">
        <v>163</v>
      </c>
      <c r="P2573" t="s">
        <v>85</v>
      </c>
      <c r="Q2573" t="s">
        <v>1238</v>
      </c>
    </row>
    <row r="2574" spans="1:18">
      <c r="A2574" t="s">
        <v>1812</v>
      </c>
      <c r="B2574" t="s">
        <v>593</v>
      </c>
      <c r="C2574" t="s">
        <v>393</v>
      </c>
      <c r="D2574" t="s">
        <v>1813</v>
      </c>
      <c r="E2574" t="s">
        <v>265</v>
      </c>
      <c r="G2574" t="s">
        <v>1830</v>
      </c>
      <c r="H2574" t="s">
        <v>533</v>
      </c>
      <c r="K2574">
        <v>1980</v>
      </c>
      <c r="L2574">
        <v>2004</v>
      </c>
      <c r="M2574">
        <f t="shared" si="31"/>
        <v>25</v>
      </c>
      <c r="O2574" t="s">
        <v>163</v>
      </c>
      <c r="P2574" t="s">
        <v>85</v>
      </c>
      <c r="Q2574" t="s">
        <v>1238</v>
      </c>
      <c r="R2574" t="s">
        <v>1815</v>
      </c>
    </row>
    <row r="2575" spans="1:18">
      <c r="A2575" t="s">
        <v>1812</v>
      </c>
      <c r="B2575" t="s">
        <v>593</v>
      </c>
      <c r="C2575" t="s">
        <v>393</v>
      </c>
      <c r="D2575" t="s">
        <v>1813</v>
      </c>
      <c r="E2575" t="s">
        <v>265</v>
      </c>
      <c r="G2575" t="s">
        <v>1831</v>
      </c>
      <c r="H2575" t="s">
        <v>533</v>
      </c>
      <c r="K2575">
        <v>1980</v>
      </c>
      <c r="L2575">
        <v>2004</v>
      </c>
      <c r="M2575">
        <f t="shared" si="31"/>
        <v>25</v>
      </c>
      <c r="O2575" t="s">
        <v>163</v>
      </c>
      <c r="P2575" t="s">
        <v>85</v>
      </c>
      <c r="Q2575" t="s">
        <v>1238</v>
      </c>
      <c r="R2575" t="s">
        <v>1815</v>
      </c>
    </row>
    <row r="2576" spans="1:18">
      <c r="A2576" t="s">
        <v>1812</v>
      </c>
      <c r="C2576" t="s">
        <v>393</v>
      </c>
      <c r="D2576" t="s">
        <v>1813</v>
      </c>
      <c r="E2576" t="s">
        <v>265</v>
      </c>
      <c r="G2576" t="s">
        <v>1831</v>
      </c>
      <c r="H2576" t="s">
        <v>539</v>
      </c>
      <c r="K2576">
        <v>1980</v>
      </c>
      <c r="L2576">
        <v>2004</v>
      </c>
      <c r="M2576">
        <f t="shared" si="31"/>
        <v>25</v>
      </c>
      <c r="O2576" t="s">
        <v>163</v>
      </c>
      <c r="P2576" t="s">
        <v>15</v>
      </c>
      <c r="Q2576" t="s">
        <v>1238</v>
      </c>
    </row>
    <row r="2577" spans="1:18">
      <c r="A2577" t="s">
        <v>1812</v>
      </c>
      <c r="B2577" t="s">
        <v>593</v>
      </c>
      <c r="C2577" t="s">
        <v>393</v>
      </c>
      <c r="D2577" t="s">
        <v>1813</v>
      </c>
      <c r="E2577" t="s">
        <v>265</v>
      </c>
      <c r="G2577" t="s">
        <v>1832</v>
      </c>
      <c r="H2577" t="s">
        <v>533</v>
      </c>
      <c r="K2577">
        <v>1980</v>
      </c>
      <c r="L2577">
        <v>2004</v>
      </c>
      <c r="M2577">
        <f t="shared" si="31"/>
        <v>25</v>
      </c>
      <c r="O2577" t="s">
        <v>163</v>
      </c>
      <c r="P2577" t="s">
        <v>397</v>
      </c>
      <c r="Q2577" t="s">
        <v>1238</v>
      </c>
      <c r="R2577" t="s">
        <v>1815</v>
      </c>
    </row>
    <row r="2578" spans="1:18">
      <c r="A2578" t="s">
        <v>1812</v>
      </c>
      <c r="C2578" t="s">
        <v>393</v>
      </c>
      <c r="D2578" t="s">
        <v>1813</v>
      </c>
      <c r="E2578" t="s">
        <v>265</v>
      </c>
      <c r="G2578" t="s">
        <v>1832</v>
      </c>
      <c r="H2578" t="s">
        <v>539</v>
      </c>
      <c r="K2578">
        <v>1980</v>
      </c>
      <c r="L2578">
        <v>2004</v>
      </c>
      <c r="M2578">
        <f t="shared" si="31"/>
        <v>25</v>
      </c>
      <c r="O2578" t="s">
        <v>163</v>
      </c>
      <c r="P2578" t="s">
        <v>397</v>
      </c>
      <c r="Q2578" t="s">
        <v>1238</v>
      </c>
    </row>
    <row r="2579" spans="1:18">
      <c r="A2579" t="s">
        <v>1812</v>
      </c>
      <c r="B2579" t="s">
        <v>593</v>
      </c>
      <c r="C2579" t="s">
        <v>393</v>
      </c>
      <c r="D2579" t="s">
        <v>1813</v>
      </c>
      <c r="E2579" t="s">
        <v>265</v>
      </c>
      <c r="G2579" t="s">
        <v>1833</v>
      </c>
      <c r="H2579" t="s">
        <v>533</v>
      </c>
      <c r="K2579">
        <v>1980</v>
      </c>
      <c r="L2579">
        <v>2004</v>
      </c>
      <c r="M2579">
        <f t="shared" si="31"/>
        <v>25</v>
      </c>
      <c r="O2579" t="s">
        <v>163</v>
      </c>
      <c r="P2579" t="s">
        <v>85</v>
      </c>
      <c r="Q2579" t="s">
        <v>1238</v>
      </c>
      <c r="R2579" t="s">
        <v>1815</v>
      </c>
    </row>
    <row r="2580" spans="1:18">
      <c r="A2580" t="s">
        <v>1812</v>
      </c>
      <c r="C2580" t="s">
        <v>393</v>
      </c>
      <c r="D2580" t="s">
        <v>1813</v>
      </c>
      <c r="E2580" t="s">
        <v>265</v>
      </c>
      <c r="G2580" t="s">
        <v>1833</v>
      </c>
      <c r="H2580" t="s">
        <v>539</v>
      </c>
      <c r="K2580">
        <v>1980</v>
      </c>
      <c r="L2580">
        <v>2004</v>
      </c>
      <c r="M2580">
        <f t="shared" si="31"/>
        <v>25</v>
      </c>
      <c r="O2580" t="s">
        <v>163</v>
      </c>
      <c r="P2580" t="s">
        <v>85</v>
      </c>
      <c r="Q2580" t="s">
        <v>1238</v>
      </c>
    </row>
    <row r="2581" spans="1:18">
      <c r="A2581" t="s">
        <v>1812</v>
      </c>
      <c r="B2581" t="s">
        <v>593</v>
      </c>
      <c r="C2581" t="s">
        <v>393</v>
      </c>
      <c r="D2581" t="s">
        <v>1813</v>
      </c>
      <c r="E2581" t="s">
        <v>265</v>
      </c>
      <c r="G2581" t="s">
        <v>1834</v>
      </c>
      <c r="H2581" t="s">
        <v>533</v>
      </c>
      <c r="K2581">
        <v>1980</v>
      </c>
      <c r="L2581">
        <v>2004</v>
      </c>
      <c r="M2581">
        <f t="shared" si="31"/>
        <v>25</v>
      </c>
      <c r="O2581" t="s">
        <v>163</v>
      </c>
      <c r="P2581" t="s">
        <v>15</v>
      </c>
      <c r="Q2581" t="s">
        <v>1238</v>
      </c>
      <c r="R2581" t="s">
        <v>1815</v>
      </c>
    </row>
    <row r="2582" spans="1:18">
      <c r="A2582" t="s">
        <v>1812</v>
      </c>
      <c r="C2582" t="s">
        <v>393</v>
      </c>
      <c r="D2582" t="s">
        <v>1813</v>
      </c>
      <c r="E2582" t="s">
        <v>265</v>
      </c>
      <c r="G2582" t="s">
        <v>1834</v>
      </c>
      <c r="H2582" t="s">
        <v>539</v>
      </c>
      <c r="K2582">
        <v>1980</v>
      </c>
      <c r="L2582">
        <v>2004</v>
      </c>
      <c r="M2582">
        <f t="shared" si="31"/>
        <v>25</v>
      </c>
      <c r="O2582" t="s">
        <v>163</v>
      </c>
      <c r="P2582" t="s">
        <v>85</v>
      </c>
      <c r="Q2582" t="s">
        <v>1238</v>
      </c>
    </row>
    <row r="2583" spans="1:18">
      <c r="A2583" t="s">
        <v>1812</v>
      </c>
      <c r="B2583" t="s">
        <v>593</v>
      </c>
      <c r="C2583" t="s">
        <v>393</v>
      </c>
      <c r="D2583" t="s">
        <v>1813</v>
      </c>
      <c r="E2583" t="s">
        <v>265</v>
      </c>
      <c r="G2583" t="s">
        <v>1835</v>
      </c>
      <c r="H2583" t="s">
        <v>533</v>
      </c>
      <c r="K2583">
        <v>1980</v>
      </c>
      <c r="L2583">
        <v>2004</v>
      </c>
      <c r="M2583">
        <f t="shared" si="31"/>
        <v>25</v>
      </c>
      <c r="O2583" t="s">
        <v>163</v>
      </c>
      <c r="P2583" t="s">
        <v>397</v>
      </c>
      <c r="Q2583" t="s">
        <v>1238</v>
      </c>
      <c r="R2583" t="s">
        <v>1815</v>
      </c>
    </row>
    <row r="2584" spans="1:18">
      <c r="A2584" t="s">
        <v>1812</v>
      </c>
      <c r="B2584" t="s">
        <v>593</v>
      </c>
      <c r="C2584" t="s">
        <v>393</v>
      </c>
      <c r="D2584" t="s">
        <v>1813</v>
      </c>
      <c r="E2584" t="s">
        <v>265</v>
      </c>
      <c r="G2584" t="s">
        <v>1836</v>
      </c>
      <c r="H2584" t="s">
        <v>533</v>
      </c>
      <c r="K2584">
        <v>1980</v>
      </c>
      <c r="L2584">
        <v>2004</v>
      </c>
      <c r="M2584">
        <f t="shared" si="31"/>
        <v>25</v>
      </c>
      <c r="O2584" t="s">
        <v>163</v>
      </c>
      <c r="P2584" t="s">
        <v>15</v>
      </c>
      <c r="Q2584" t="s">
        <v>1238</v>
      </c>
      <c r="R2584" t="s">
        <v>1815</v>
      </c>
    </row>
    <row r="2585" spans="1:18">
      <c r="A2585" t="s">
        <v>1812</v>
      </c>
      <c r="B2585" t="s">
        <v>593</v>
      </c>
      <c r="C2585" t="s">
        <v>393</v>
      </c>
      <c r="D2585" t="s">
        <v>1813</v>
      </c>
      <c r="E2585" t="s">
        <v>265</v>
      </c>
      <c r="G2585" t="s">
        <v>1837</v>
      </c>
      <c r="H2585" t="s">
        <v>533</v>
      </c>
      <c r="K2585">
        <v>1980</v>
      </c>
      <c r="L2585">
        <v>2004</v>
      </c>
      <c r="M2585">
        <f t="shared" si="31"/>
        <v>25</v>
      </c>
      <c r="O2585" t="s">
        <v>163</v>
      </c>
      <c r="P2585" t="s">
        <v>85</v>
      </c>
      <c r="Q2585" t="s">
        <v>1238</v>
      </c>
      <c r="R2585" t="s">
        <v>1815</v>
      </c>
    </row>
    <row r="2586" spans="1:18">
      <c r="A2586" t="s">
        <v>1812</v>
      </c>
      <c r="C2586" t="s">
        <v>393</v>
      </c>
      <c r="D2586" t="s">
        <v>1813</v>
      </c>
      <c r="E2586" t="s">
        <v>265</v>
      </c>
      <c r="G2586" t="s">
        <v>1837</v>
      </c>
      <c r="H2586" t="s">
        <v>539</v>
      </c>
      <c r="K2586">
        <v>1980</v>
      </c>
      <c r="L2586">
        <v>2004</v>
      </c>
      <c r="M2586">
        <f t="shared" si="31"/>
        <v>25</v>
      </c>
      <c r="O2586" t="s">
        <v>163</v>
      </c>
      <c r="P2586" t="s">
        <v>15</v>
      </c>
      <c r="Q2586" t="s">
        <v>1238</v>
      </c>
    </row>
    <row r="2587" spans="1:18">
      <c r="A2587" t="s">
        <v>1812</v>
      </c>
      <c r="B2587" t="s">
        <v>593</v>
      </c>
      <c r="C2587" t="s">
        <v>393</v>
      </c>
      <c r="D2587" t="s">
        <v>1813</v>
      </c>
      <c r="E2587" t="s">
        <v>265</v>
      </c>
      <c r="G2587" t="s">
        <v>1838</v>
      </c>
      <c r="H2587" t="s">
        <v>533</v>
      </c>
      <c r="K2587">
        <v>1980</v>
      </c>
      <c r="L2587">
        <v>2004</v>
      </c>
      <c r="M2587">
        <f t="shared" si="31"/>
        <v>25</v>
      </c>
      <c r="O2587" t="s">
        <v>163</v>
      </c>
      <c r="P2587" t="s">
        <v>397</v>
      </c>
      <c r="Q2587" t="s">
        <v>1238</v>
      </c>
      <c r="R2587" t="s">
        <v>1815</v>
      </c>
    </row>
    <row r="2588" spans="1:18">
      <c r="A2588" t="s">
        <v>1812</v>
      </c>
      <c r="B2588" t="s">
        <v>593</v>
      </c>
      <c r="C2588" t="s">
        <v>393</v>
      </c>
      <c r="D2588" t="s">
        <v>1813</v>
      </c>
      <c r="E2588" t="s">
        <v>265</v>
      </c>
      <c r="G2588" t="s">
        <v>1839</v>
      </c>
      <c r="H2588" t="s">
        <v>533</v>
      </c>
      <c r="K2588">
        <v>1980</v>
      </c>
      <c r="L2588">
        <v>2004</v>
      </c>
      <c r="M2588">
        <f t="shared" si="31"/>
        <v>25</v>
      </c>
      <c r="O2588" t="s">
        <v>163</v>
      </c>
      <c r="P2588" t="s">
        <v>397</v>
      </c>
      <c r="Q2588" t="s">
        <v>1238</v>
      </c>
      <c r="R2588" t="s">
        <v>1815</v>
      </c>
    </row>
    <row r="2589" spans="1:18">
      <c r="A2589" t="s">
        <v>1812</v>
      </c>
      <c r="B2589" t="s">
        <v>593</v>
      </c>
      <c r="C2589" t="s">
        <v>393</v>
      </c>
      <c r="D2589" t="s">
        <v>1813</v>
      </c>
      <c r="E2589" t="s">
        <v>265</v>
      </c>
      <c r="G2589" t="s">
        <v>1840</v>
      </c>
      <c r="H2589" t="s">
        <v>533</v>
      </c>
      <c r="K2589">
        <v>1980</v>
      </c>
      <c r="L2589">
        <v>2004</v>
      </c>
      <c r="M2589">
        <f t="shared" si="31"/>
        <v>25</v>
      </c>
      <c r="O2589" t="s">
        <v>163</v>
      </c>
      <c r="P2589" t="s">
        <v>85</v>
      </c>
      <c r="Q2589" t="s">
        <v>1238</v>
      </c>
      <c r="R2589" t="s">
        <v>1815</v>
      </c>
    </row>
    <row r="2590" spans="1:18">
      <c r="A2590" t="s">
        <v>1812</v>
      </c>
      <c r="B2590" t="s">
        <v>593</v>
      </c>
      <c r="C2590" t="s">
        <v>393</v>
      </c>
      <c r="D2590" t="s">
        <v>1813</v>
      </c>
      <c r="E2590" t="s">
        <v>265</v>
      </c>
      <c r="G2590" t="s">
        <v>1841</v>
      </c>
      <c r="H2590" t="s">
        <v>533</v>
      </c>
      <c r="K2590">
        <v>1980</v>
      </c>
      <c r="L2590">
        <v>2004</v>
      </c>
      <c r="M2590">
        <f t="shared" si="31"/>
        <v>25</v>
      </c>
      <c r="O2590" t="s">
        <v>163</v>
      </c>
      <c r="P2590" t="s">
        <v>397</v>
      </c>
      <c r="Q2590" t="s">
        <v>1238</v>
      </c>
      <c r="R2590" t="s">
        <v>1815</v>
      </c>
    </row>
    <row r="2591" spans="1:18">
      <c r="A2591" t="s">
        <v>1812</v>
      </c>
      <c r="B2591" t="s">
        <v>593</v>
      </c>
      <c r="C2591" t="s">
        <v>393</v>
      </c>
      <c r="D2591" t="s">
        <v>1813</v>
      </c>
      <c r="E2591" t="s">
        <v>265</v>
      </c>
      <c r="G2591" t="s">
        <v>1842</v>
      </c>
      <c r="H2591" t="s">
        <v>533</v>
      </c>
      <c r="K2591">
        <v>1980</v>
      </c>
      <c r="L2591">
        <v>2004</v>
      </c>
      <c r="M2591">
        <f t="shared" si="31"/>
        <v>25</v>
      </c>
      <c r="O2591" t="s">
        <v>163</v>
      </c>
      <c r="P2591" t="s">
        <v>397</v>
      </c>
      <c r="Q2591" t="s">
        <v>1238</v>
      </c>
      <c r="R2591" t="s">
        <v>1815</v>
      </c>
    </row>
    <row r="2592" spans="1:18">
      <c r="A2592" t="s">
        <v>1812</v>
      </c>
      <c r="C2592" t="s">
        <v>393</v>
      </c>
      <c r="D2592" t="s">
        <v>1813</v>
      </c>
      <c r="E2592" t="s">
        <v>265</v>
      </c>
      <c r="G2592" t="s">
        <v>1842</v>
      </c>
      <c r="H2592" t="s">
        <v>539</v>
      </c>
      <c r="K2592">
        <v>1980</v>
      </c>
      <c r="L2592">
        <v>2004</v>
      </c>
      <c r="M2592">
        <f t="shared" si="31"/>
        <v>25</v>
      </c>
      <c r="O2592" t="s">
        <v>163</v>
      </c>
      <c r="P2592" t="s">
        <v>397</v>
      </c>
      <c r="Q2592" t="s">
        <v>1238</v>
      </c>
    </row>
    <row r="2593" spans="1:18">
      <c r="A2593" t="s">
        <v>1812</v>
      </c>
      <c r="B2593" t="s">
        <v>593</v>
      </c>
      <c r="C2593" t="s">
        <v>393</v>
      </c>
      <c r="D2593" t="s">
        <v>1813</v>
      </c>
      <c r="E2593" t="s">
        <v>265</v>
      </c>
      <c r="G2593" t="s">
        <v>1843</v>
      </c>
      <c r="H2593" t="s">
        <v>533</v>
      </c>
      <c r="K2593">
        <v>1980</v>
      </c>
      <c r="L2593">
        <v>2004</v>
      </c>
      <c r="M2593">
        <f t="shared" si="31"/>
        <v>25</v>
      </c>
      <c r="O2593" t="s">
        <v>163</v>
      </c>
      <c r="P2593" t="s">
        <v>397</v>
      </c>
      <c r="Q2593" t="s">
        <v>1238</v>
      </c>
      <c r="R2593" t="s">
        <v>1815</v>
      </c>
    </row>
    <row r="2594" spans="1:18">
      <c r="A2594" t="s">
        <v>1812</v>
      </c>
      <c r="B2594" t="s">
        <v>593</v>
      </c>
      <c r="C2594" t="s">
        <v>393</v>
      </c>
      <c r="D2594" t="s">
        <v>1813</v>
      </c>
      <c r="E2594" t="s">
        <v>265</v>
      </c>
      <c r="G2594" t="s">
        <v>1844</v>
      </c>
      <c r="H2594" t="s">
        <v>533</v>
      </c>
      <c r="K2594">
        <v>1980</v>
      </c>
      <c r="L2594">
        <v>2004</v>
      </c>
      <c r="M2594">
        <f t="shared" si="31"/>
        <v>25</v>
      </c>
      <c r="O2594" t="s">
        <v>163</v>
      </c>
      <c r="P2594" t="s">
        <v>15</v>
      </c>
      <c r="Q2594" t="s">
        <v>1238</v>
      </c>
      <c r="R2594" t="s">
        <v>1815</v>
      </c>
    </row>
    <row r="2595" spans="1:18">
      <c r="A2595" t="s">
        <v>1812</v>
      </c>
      <c r="B2595" t="s">
        <v>593</v>
      </c>
      <c r="C2595" t="s">
        <v>393</v>
      </c>
      <c r="D2595" t="s">
        <v>1813</v>
      </c>
      <c r="E2595" t="s">
        <v>265</v>
      </c>
      <c r="G2595" t="s">
        <v>1845</v>
      </c>
      <c r="H2595" t="s">
        <v>533</v>
      </c>
      <c r="K2595">
        <v>1980</v>
      </c>
      <c r="L2595">
        <v>2004</v>
      </c>
      <c r="M2595">
        <f t="shared" si="31"/>
        <v>25</v>
      </c>
      <c r="O2595" t="s">
        <v>163</v>
      </c>
      <c r="P2595" t="s">
        <v>397</v>
      </c>
      <c r="Q2595" t="s">
        <v>1238</v>
      </c>
      <c r="R2595" t="s">
        <v>1815</v>
      </c>
    </row>
    <row r="2596" spans="1:18">
      <c r="A2596" t="s">
        <v>1812</v>
      </c>
      <c r="C2596" t="s">
        <v>393</v>
      </c>
      <c r="D2596" t="s">
        <v>1813</v>
      </c>
      <c r="E2596" t="s">
        <v>265</v>
      </c>
      <c r="G2596" t="s">
        <v>1845</v>
      </c>
      <c r="H2596" t="s">
        <v>539</v>
      </c>
      <c r="K2596">
        <v>1980</v>
      </c>
      <c r="L2596">
        <v>2004</v>
      </c>
      <c r="M2596">
        <f t="shared" si="31"/>
        <v>25</v>
      </c>
      <c r="O2596" t="s">
        <v>163</v>
      </c>
      <c r="P2596" t="s">
        <v>15</v>
      </c>
      <c r="Q2596" t="s">
        <v>1238</v>
      </c>
    </row>
    <row r="2597" spans="1:18">
      <c r="A2597" t="s">
        <v>1812</v>
      </c>
      <c r="B2597" t="s">
        <v>593</v>
      </c>
      <c r="C2597" t="s">
        <v>393</v>
      </c>
      <c r="D2597" t="s">
        <v>1813</v>
      </c>
      <c r="E2597" t="s">
        <v>265</v>
      </c>
      <c r="G2597" t="s">
        <v>1846</v>
      </c>
      <c r="H2597" t="s">
        <v>533</v>
      </c>
      <c r="K2597">
        <v>1980</v>
      </c>
      <c r="L2597">
        <v>2004</v>
      </c>
      <c r="M2597">
        <f t="shared" si="31"/>
        <v>25</v>
      </c>
      <c r="O2597" t="s">
        <v>163</v>
      </c>
      <c r="P2597" t="s">
        <v>397</v>
      </c>
      <c r="Q2597" t="s">
        <v>1238</v>
      </c>
      <c r="R2597" t="s">
        <v>1815</v>
      </c>
    </row>
    <row r="2598" spans="1:18">
      <c r="A2598" t="s">
        <v>1812</v>
      </c>
      <c r="C2598" t="s">
        <v>393</v>
      </c>
      <c r="D2598" t="s">
        <v>1813</v>
      </c>
      <c r="E2598" t="s">
        <v>265</v>
      </c>
      <c r="G2598" t="s">
        <v>1846</v>
      </c>
      <c r="H2598" t="s">
        <v>539</v>
      </c>
      <c r="K2598">
        <v>1980</v>
      </c>
      <c r="L2598">
        <v>2004</v>
      </c>
      <c r="M2598">
        <f t="shared" si="31"/>
        <v>25</v>
      </c>
      <c r="O2598" t="s">
        <v>163</v>
      </c>
      <c r="P2598" t="s">
        <v>397</v>
      </c>
      <c r="Q2598" t="s">
        <v>1238</v>
      </c>
    </row>
    <row r="2599" spans="1:18">
      <c r="A2599" t="s">
        <v>1812</v>
      </c>
      <c r="B2599" t="s">
        <v>593</v>
      </c>
      <c r="C2599" t="s">
        <v>393</v>
      </c>
      <c r="D2599" t="s">
        <v>1813</v>
      </c>
      <c r="E2599" t="s">
        <v>265</v>
      </c>
      <c r="G2599" t="s">
        <v>1847</v>
      </c>
      <c r="H2599" t="s">
        <v>533</v>
      </c>
      <c r="K2599">
        <v>1980</v>
      </c>
      <c r="L2599">
        <v>2004</v>
      </c>
      <c r="M2599">
        <f t="shared" si="31"/>
        <v>25</v>
      </c>
      <c r="O2599" t="s">
        <v>163</v>
      </c>
      <c r="P2599" t="s">
        <v>85</v>
      </c>
      <c r="Q2599" t="s">
        <v>1238</v>
      </c>
      <c r="R2599" t="s">
        <v>1815</v>
      </c>
    </row>
    <row r="2600" spans="1:18">
      <c r="A2600" t="s">
        <v>1812</v>
      </c>
      <c r="B2600" t="s">
        <v>593</v>
      </c>
      <c r="C2600" t="s">
        <v>393</v>
      </c>
      <c r="D2600" t="s">
        <v>1813</v>
      </c>
      <c r="E2600" t="s">
        <v>265</v>
      </c>
      <c r="G2600" t="s">
        <v>1848</v>
      </c>
      <c r="H2600" t="s">
        <v>533</v>
      </c>
      <c r="K2600">
        <v>1980</v>
      </c>
      <c r="L2600">
        <v>2004</v>
      </c>
      <c r="M2600">
        <f t="shared" si="31"/>
        <v>25</v>
      </c>
      <c r="O2600" t="s">
        <v>163</v>
      </c>
      <c r="P2600" t="s">
        <v>397</v>
      </c>
      <c r="Q2600" t="s">
        <v>1238</v>
      </c>
      <c r="R2600" t="s">
        <v>1815</v>
      </c>
    </row>
    <row r="2601" spans="1:18">
      <c r="A2601" t="s">
        <v>1812</v>
      </c>
      <c r="C2601" t="s">
        <v>393</v>
      </c>
      <c r="D2601" t="s">
        <v>1813</v>
      </c>
      <c r="E2601" t="s">
        <v>265</v>
      </c>
      <c r="G2601" t="s">
        <v>1848</v>
      </c>
      <c r="H2601" t="s">
        <v>539</v>
      </c>
      <c r="K2601">
        <v>1980</v>
      </c>
      <c r="L2601">
        <v>2004</v>
      </c>
      <c r="M2601">
        <f t="shared" si="31"/>
        <v>25</v>
      </c>
      <c r="O2601" t="s">
        <v>163</v>
      </c>
      <c r="P2601" t="s">
        <v>397</v>
      </c>
      <c r="Q2601" t="s">
        <v>1238</v>
      </c>
    </row>
    <row r="2602" spans="1:18">
      <c r="A2602" t="s">
        <v>1812</v>
      </c>
      <c r="B2602" t="s">
        <v>593</v>
      </c>
      <c r="C2602" t="s">
        <v>393</v>
      </c>
      <c r="D2602" t="s">
        <v>1813</v>
      </c>
      <c r="E2602" t="s">
        <v>265</v>
      </c>
      <c r="G2602" t="s">
        <v>1849</v>
      </c>
      <c r="H2602" t="s">
        <v>533</v>
      </c>
      <c r="K2602">
        <v>1980</v>
      </c>
      <c r="L2602">
        <v>2004</v>
      </c>
      <c r="M2602">
        <f t="shared" si="31"/>
        <v>25</v>
      </c>
      <c r="O2602" t="s">
        <v>163</v>
      </c>
      <c r="P2602" t="s">
        <v>397</v>
      </c>
      <c r="Q2602" t="s">
        <v>1238</v>
      </c>
      <c r="R2602" t="s">
        <v>1815</v>
      </c>
    </row>
    <row r="2603" spans="1:18">
      <c r="A2603" t="s">
        <v>1812</v>
      </c>
      <c r="C2603" t="s">
        <v>393</v>
      </c>
      <c r="D2603" t="s">
        <v>1813</v>
      </c>
      <c r="E2603" t="s">
        <v>265</v>
      </c>
      <c r="G2603" t="s">
        <v>1849</v>
      </c>
      <c r="H2603" t="s">
        <v>539</v>
      </c>
      <c r="K2603">
        <v>1980</v>
      </c>
      <c r="L2603">
        <v>2004</v>
      </c>
      <c r="M2603">
        <f t="shared" si="31"/>
        <v>25</v>
      </c>
      <c r="O2603" t="s">
        <v>163</v>
      </c>
      <c r="P2603" t="s">
        <v>397</v>
      </c>
      <c r="Q2603" t="s">
        <v>1238</v>
      </c>
    </row>
    <row r="2604" spans="1:18">
      <c r="A2604" t="s">
        <v>1812</v>
      </c>
      <c r="B2604" t="s">
        <v>593</v>
      </c>
      <c r="C2604" t="s">
        <v>393</v>
      </c>
      <c r="D2604" t="s">
        <v>1813</v>
      </c>
      <c r="E2604" t="s">
        <v>265</v>
      </c>
      <c r="G2604" t="s">
        <v>1850</v>
      </c>
      <c r="H2604" t="s">
        <v>533</v>
      </c>
      <c r="K2604">
        <v>1980</v>
      </c>
      <c r="L2604">
        <v>2004</v>
      </c>
      <c r="M2604">
        <f t="shared" si="31"/>
        <v>25</v>
      </c>
      <c r="O2604" t="s">
        <v>163</v>
      </c>
      <c r="P2604" t="s">
        <v>85</v>
      </c>
      <c r="Q2604" t="s">
        <v>1238</v>
      </c>
      <c r="R2604" t="s">
        <v>1815</v>
      </c>
    </row>
    <row r="2605" spans="1:18">
      <c r="A2605" t="s">
        <v>1812</v>
      </c>
      <c r="C2605" t="s">
        <v>393</v>
      </c>
      <c r="D2605" t="s">
        <v>1813</v>
      </c>
      <c r="E2605" t="s">
        <v>265</v>
      </c>
      <c r="G2605" t="s">
        <v>1850</v>
      </c>
      <c r="H2605" t="s">
        <v>539</v>
      </c>
      <c r="K2605">
        <v>1980</v>
      </c>
      <c r="L2605">
        <v>2004</v>
      </c>
      <c r="M2605">
        <f t="shared" si="31"/>
        <v>25</v>
      </c>
      <c r="O2605" t="s">
        <v>163</v>
      </c>
      <c r="P2605" t="s">
        <v>15</v>
      </c>
      <c r="Q2605" t="s">
        <v>1238</v>
      </c>
    </row>
    <row r="2606" spans="1:18">
      <c r="A2606" t="s">
        <v>1812</v>
      </c>
      <c r="B2606" t="s">
        <v>593</v>
      </c>
      <c r="C2606" t="s">
        <v>393</v>
      </c>
      <c r="D2606" t="s">
        <v>1813</v>
      </c>
      <c r="E2606" t="s">
        <v>265</v>
      </c>
      <c r="G2606" t="s">
        <v>1851</v>
      </c>
      <c r="H2606" t="s">
        <v>533</v>
      </c>
      <c r="K2606">
        <v>1980</v>
      </c>
      <c r="L2606">
        <v>2004</v>
      </c>
      <c r="M2606">
        <f t="shared" si="31"/>
        <v>25</v>
      </c>
      <c r="O2606" t="s">
        <v>163</v>
      </c>
      <c r="P2606" t="s">
        <v>85</v>
      </c>
      <c r="Q2606" t="s">
        <v>1238</v>
      </c>
      <c r="R2606" t="s">
        <v>1815</v>
      </c>
    </row>
    <row r="2607" spans="1:18">
      <c r="A2607" t="s">
        <v>1812</v>
      </c>
      <c r="C2607" t="s">
        <v>393</v>
      </c>
      <c r="D2607" t="s">
        <v>1813</v>
      </c>
      <c r="E2607" t="s">
        <v>265</v>
      </c>
      <c r="G2607" t="s">
        <v>1851</v>
      </c>
      <c r="H2607" t="s">
        <v>539</v>
      </c>
      <c r="K2607">
        <v>1980</v>
      </c>
      <c r="L2607">
        <v>2004</v>
      </c>
      <c r="M2607">
        <f t="shared" si="31"/>
        <v>25</v>
      </c>
      <c r="O2607" t="s">
        <v>163</v>
      </c>
      <c r="P2607" t="s">
        <v>15</v>
      </c>
      <c r="Q2607" t="s">
        <v>1238</v>
      </c>
    </row>
    <row r="2608" spans="1:18">
      <c r="A2608" t="s">
        <v>1812</v>
      </c>
      <c r="B2608" t="s">
        <v>593</v>
      </c>
      <c r="C2608" t="s">
        <v>393</v>
      </c>
      <c r="D2608" t="s">
        <v>1813</v>
      </c>
      <c r="E2608" t="s">
        <v>265</v>
      </c>
      <c r="G2608" t="s">
        <v>1852</v>
      </c>
      <c r="H2608" t="s">
        <v>533</v>
      </c>
      <c r="K2608">
        <v>1980</v>
      </c>
      <c r="L2608">
        <v>2004</v>
      </c>
      <c r="M2608">
        <f t="shared" si="31"/>
        <v>25</v>
      </c>
      <c r="O2608" t="s">
        <v>163</v>
      </c>
      <c r="P2608" t="s">
        <v>397</v>
      </c>
      <c r="Q2608" t="s">
        <v>1238</v>
      </c>
      <c r="R2608" t="s">
        <v>1815</v>
      </c>
    </row>
    <row r="2609" spans="1:18">
      <c r="A2609" t="s">
        <v>1812</v>
      </c>
      <c r="B2609" t="s">
        <v>593</v>
      </c>
      <c r="C2609" t="s">
        <v>393</v>
      </c>
      <c r="D2609" t="s">
        <v>1813</v>
      </c>
      <c r="E2609" t="s">
        <v>265</v>
      </c>
      <c r="G2609" t="s">
        <v>1853</v>
      </c>
      <c r="H2609" t="s">
        <v>533</v>
      </c>
      <c r="K2609">
        <v>1980</v>
      </c>
      <c r="L2609">
        <v>2004</v>
      </c>
      <c r="M2609">
        <f t="shared" si="31"/>
        <v>25</v>
      </c>
      <c r="O2609" t="s">
        <v>163</v>
      </c>
      <c r="P2609" t="s">
        <v>15</v>
      </c>
      <c r="Q2609" t="s">
        <v>1238</v>
      </c>
      <c r="R2609" t="s">
        <v>1815</v>
      </c>
    </row>
    <row r="2610" spans="1:18">
      <c r="A2610" t="s">
        <v>1812</v>
      </c>
      <c r="B2610" t="s">
        <v>593</v>
      </c>
      <c r="C2610" t="s">
        <v>393</v>
      </c>
      <c r="D2610" t="s">
        <v>1813</v>
      </c>
      <c r="E2610" t="s">
        <v>265</v>
      </c>
      <c r="G2610" t="s">
        <v>1854</v>
      </c>
      <c r="H2610" t="s">
        <v>533</v>
      </c>
      <c r="K2610">
        <v>1980</v>
      </c>
      <c r="L2610">
        <v>2004</v>
      </c>
      <c r="M2610">
        <f t="shared" si="31"/>
        <v>25</v>
      </c>
      <c r="O2610" t="s">
        <v>163</v>
      </c>
      <c r="P2610" t="s">
        <v>85</v>
      </c>
      <c r="Q2610" t="s">
        <v>1238</v>
      </c>
      <c r="R2610" t="s">
        <v>1815</v>
      </c>
    </row>
    <row r="2611" spans="1:18">
      <c r="A2611" t="s">
        <v>1812</v>
      </c>
      <c r="B2611" t="s">
        <v>593</v>
      </c>
      <c r="C2611" t="s">
        <v>393</v>
      </c>
      <c r="D2611" t="s">
        <v>1813</v>
      </c>
      <c r="E2611" t="s">
        <v>265</v>
      </c>
      <c r="G2611" t="s">
        <v>1855</v>
      </c>
      <c r="H2611" t="s">
        <v>533</v>
      </c>
      <c r="K2611">
        <v>1980</v>
      </c>
      <c r="L2611">
        <v>2004</v>
      </c>
      <c r="M2611">
        <f t="shared" si="31"/>
        <v>25</v>
      </c>
      <c r="O2611" t="s">
        <v>163</v>
      </c>
      <c r="P2611" t="s">
        <v>397</v>
      </c>
      <c r="Q2611" t="s">
        <v>1238</v>
      </c>
      <c r="R2611" t="s">
        <v>1815</v>
      </c>
    </row>
    <row r="2612" spans="1:18">
      <c r="A2612" t="s">
        <v>1812</v>
      </c>
      <c r="C2612" t="s">
        <v>393</v>
      </c>
      <c r="D2612" t="s">
        <v>1813</v>
      </c>
      <c r="E2612" t="s">
        <v>265</v>
      </c>
      <c r="G2612" t="s">
        <v>1855</v>
      </c>
      <c r="H2612" t="s">
        <v>539</v>
      </c>
      <c r="K2612">
        <v>1980</v>
      </c>
      <c r="L2612">
        <v>2004</v>
      </c>
      <c r="M2612">
        <f t="shared" si="31"/>
        <v>25</v>
      </c>
      <c r="O2612" t="s">
        <v>163</v>
      </c>
      <c r="P2612" t="s">
        <v>397</v>
      </c>
      <c r="Q2612" t="s">
        <v>1238</v>
      </c>
    </row>
    <row r="2613" spans="1:18">
      <c r="A2613" t="s">
        <v>1812</v>
      </c>
      <c r="B2613" t="s">
        <v>593</v>
      </c>
      <c r="C2613" t="s">
        <v>393</v>
      </c>
      <c r="D2613" t="s">
        <v>1813</v>
      </c>
      <c r="E2613" t="s">
        <v>265</v>
      </c>
      <c r="G2613" t="s">
        <v>1856</v>
      </c>
      <c r="H2613" t="s">
        <v>533</v>
      </c>
      <c r="K2613">
        <v>1980</v>
      </c>
      <c r="L2613">
        <v>2004</v>
      </c>
      <c r="M2613">
        <f t="shared" ref="M2613:M2666" si="32">L2613-K2613+1</f>
        <v>25</v>
      </c>
      <c r="O2613" t="s">
        <v>163</v>
      </c>
      <c r="P2613" t="s">
        <v>397</v>
      </c>
      <c r="Q2613" t="s">
        <v>1238</v>
      </c>
      <c r="R2613" t="s">
        <v>1815</v>
      </c>
    </row>
    <row r="2614" spans="1:18">
      <c r="A2614" t="s">
        <v>1812</v>
      </c>
      <c r="B2614" t="s">
        <v>593</v>
      </c>
      <c r="C2614" t="s">
        <v>393</v>
      </c>
      <c r="D2614" t="s">
        <v>1813</v>
      </c>
      <c r="E2614" t="s">
        <v>265</v>
      </c>
      <c r="G2614" t="s">
        <v>1857</v>
      </c>
      <c r="H2614" t="s">
        <v>533</v>
      </c>
      <c r="K2614">
        <v>1980</v>
      </c>
      <c r="L2614">
        <v>2004</v>
      </c>
      <c r="M2614">
        <f t="shared" si="32"/>
        <v>25</v>
      </c>
      <c r="O2614" t="s">
        <v>163</v>
      </c>
      <c r="P2614" t="s">
        <v>15</v>
      </c>
      <c r="Q2614" t="s">
        <v>1238</v>
      </c>
      <c r="R2614" t="s">
        <v>1815</v>
      </c>
    </row>
    <row r="2615" spans="1:18">
      <c r="A2615" t="s">
        <v>1812</v>
      </c>
      <c r="C2615" t="s">
        <v>393</v>
      </c>
      <c r="D2615" t="s">
        <v>1813</v>
      </c>
      <c r="E2615" t="s">
        <v>265</v>
      </c>
      <c r="G2615" t="s">
        <v>1857</v>
      </c>
      <c r="H2615" t="s">
        <v>539</v>
      </c>
      <c r="K2615">
        <v>1980</v>
      </c>
      <c r="L2615">
        <v>2004</v>
      </c>
      <c r="M2615">
        <f t="shared" si="32"/>
        <v>25</v>
      </c>
      <c r="O2615" t="s">
        <v>163</v>
      </c>
      <c r="P2615" t="s">
        <v>397</v>
      </c>
      <c r="Q2615" t="s">
        <v>1238</v>
      </c>
    </row>
    <row r="2616" spans="1:18">
      <c r="A2616" t="s">
        <v>1812</v>
      </c>
      <c r="B2616" t="s">
        <v>593</v>
      </c>
      <c r="C2616" t="s">
        <v>393</v>
      </c>
      <c r="D2616" t="s">
        <v>1813</v>
      </c>
      <c r="E2616" t="s">
        <v>265</v>
      </c>
      <c r="G2616" t="s">
        <v>1858</v>
      </c>
      <c r="H2616" t="s">
        <v>533</v>
      </c>
      <c r="K2616">
        <v>1980</v>
      </c>
      <c r="L2616">
        <v>2004</v>
      </c>
      <c r="M2616">
        <f t="shared" si="32"/>
        <v>25</v>
      </c>
      <c r="O2616" t="s">
        <v>163</v>
      </c>
      <c r="P2616" t="s">
        <v>85</v>
      </c>
      <c r="Q2616" t="s">
        <v>1238</v>
      </c>
      <c r="R2616" t="s">
        <v>1815</v>
      </c>
    </row>
    <row r="2617" spans="1:18">
      <c r="A2617" t="s">
        <v>1812</v>
      </c>
      <c r="C2617" t="s">
        <v>393</v>
      </c>
      <c r="D2617" t="s">
        <v>1813</v>
      </c>
      <c r="E2617" t="s">
        <v>265</v>
      </c>
      <c r="G2617" t="s">
        <v>1858</v>
      </c>
      <c r="H2617" t="s">
        <v>539</v>
      </c>
      <c r="K2617">
        <v>1980</v>
      </c>
      <c r="L2617">
        <v>2004</v>
      </c>
      <c r="M2617">
        <f t="shared" si="32"/>
        <v>25</v>
      </c>
      <c r="O2617" t="s">
        <v>163</v>
      </c>
      <c r="P2617" t="s">
        <v>15</v>
      </c>
      <c r="Q2617" t="s">
        <v>1238</v>
      </c>
    </row>
    <row r="2618" spans="1:18">
      <c r="A2618" t="s">
        <v>1812</v>
      </c>
      <c r="B2618" t="s">
        <v>593</v>
      </c>
      <c r="C2618" t="s">
        <v>393</v>
      </c>
      <c r="D2618" t="s">
        <v>1813</v>
      </c>
      <c r="E2618" t="s">
        <v>265</v>
      </c>
      <c r="G2618" t="s">
        <v>1859</v>
      </c>
      <c r="H2618" t="s">
        <v>533</v>
      </c>
      <c r="K2618">
        <v>1980</v>
      </c>
      <c r="L2618">
        <v>2004</v>
      </c>
      <c r="M2618">
        <f t="shared" si="32"/>
        <v>25</v>
      </c>
      <c r="O2618" t="s">
        <v>163</v>
      </c>
      <c r="P2618" t="s">
        <v>397</v>
      </c>
      <c r="Q2618" t="s">
        <v>1238</v>
      </c>
      <c r="R2618" t="s">
        <v>1815</v>
      </c>
    </row>
    <row r="2619" spans="1:18">
      <c r="A2619" t="s">
        <v>1812</v>
      </c>
      <c r="C2619" t="s">
        <v>393</v>
      </c>
      <c r="D2619" t="s">
        <v>1813</v>
      </c>
      <c r="E2619" t="s">
        <v>265</v>
      </c>
      <c r="G2619" t="s">
        <v>1859</v>
      </c>
      <c r="H2619" t="s">
        <v>539</v>
      </c>
      <c r="K2619">
        <v>1980</v>
      </c>
      <c r="L2619">
        <v>2004</v>
      </c>
      <c r="M2619">
        <f t="shared" si="32"/>
        <v>25</v>
      </c>
      <c r="O2619" t="s">
        <v>163</v>
      </c>
      <c r="P2619" t="s">
        <v>397</v>
      </c>
      <c r="Q2619" t="s">
        <v>1238</v>
      </c>
    </row>
    <row r="2620" spans="1:18">
      <c r="A2620" t="s">
        <v>1812</v>
      </c>
      <c r="B2620" t="s">
        <v>593</v>
      </c>
      <c r="C2620" t="s">
        <v>393</v>
      </c>
      <c r="D2620" t="s">
        <v>1813</v>
      </c>
      <c r="E2620" t="s">
        <v>265</v>
      </c>
      <c r="G2620" t="s">
        <v>1860</v>
      </c>
      <c r="H2620" t="s">
        <v>533</v>
      </c>
      <c r="K2620">
        <v>1980</v>
      </c>
      <c r="L2620">
        <v>2004</v>
      </c>
      <c r="M2620">
        <f t="shared" si="32"/>
        <v>25</v>
      </c>
      <c r="O2620" t="s">
        <v>163</v>
      </c>
      <c r="P2620" t="s">
        <v>15</v>
      </c>
      <c r="Q2620" t="s">
        <v>1238</v>
      </c>
      <c r="R2620" t="s">
        <v>1815</v>
      </c>
    </row>
    <row r="2621" spans="1:18">
      <c r="A2621" t="s">
        <v>1812</v>
      </c>
      <c r="B2621" t="s">
        <v>593</v>
      </c>
      <c r="C2621" t="s">
        <v>393</v>
      </c>
      <c r="D2621" t="s">
        <v>1813</v>
      </c>
      <c r="E2621" t="s">
        <v>265</v>
      </c>
      <c r="G2621" t="s">
        <v>1861</v>
      </c>
      <c r="H2621" t="s">
        <v>533</v>
      </c>
      <c r="K2621">
        <v>1980</v>
      </c>
      <c r="L2621">
        <v>2004</v>
      </c>
      <c r="M2621">
        <f t="shared" si="32"/>
        <v>25</v>
      </c>
      <c r="O2621" t="s">
        <v>163</v>
      </c>
      <c r="P2621" t="s">
        <v>85</v>
      </c>
      <c r="Q2621" t="s">
        <v>1238</v>
      </c>
      <c r="R2621" t="s">
        <v>1815</v>
      </c>
    </row>
    <row r="2622" spans="1:18">
      <c r="A2622" t="s">
        <v>1812</v>
      </c>
      <c r="C2622" t="s">
        <v>393</v>
      </c>
      <c r="D2622" t="s">
        <v>1813</v>
      </c>
      <c r="E2622" t="s">
        <v>265</v>
      </c>
      <c r="G2622" t="s">
        <v>1861</v>
      </c>
      <c r="H2622" t="s">
        <v>539</v>
      </c>
      <c r="K2622">
        <v>1980</v>
      </c>
      <c r="L2622">
        <v>2004</v>
      </c>
      <c r="M2622">
        <f t="shared" si="32"/>
        <v>25</v>
      </c>
      <c r="O2622" t="s">
        <v>163</v>
      </c>
      <c r="P2622" t="s">
        <v>15</v>
      </c>
      <c r="Q2622" t="s">
        <v>1238</v>
      </c>
    </row>
    <row r="2623" spans="1:18">
      <c r="A2623" t="s">
        <v>1812</v>
      </c>
      <c r="B2623" t="s">
        <v>593</v>
      </c>
      <c r="C2623" t="s">
        <v>393</v>
      </c>
      <c r="D2623" t="s">
        <v>1813</v>
      </c>
      <c r="E2623" t="s">
        <v>265</v>
      </c>
      <c r="G2623" t="s">
        <v>1862</v>
      </c>
      <c r="H2623" t="s">
        <v>533</v>
      </c>
      <c r="K2623">
        <v>1980</v>
      </c>
      <c r="L2623">
        <v>2004</v>
      </c>
      <c r="M2623">
        <f t="shared" si="32"/>
        <v>25</v>
      </c>
      <c r="O2623" t="s">
        <v>163</v>
      </c>
      <c r="P2623" t="s">
        <v>15</v>
      </c>
      <c r="Q2623" t="s">
        <v>1238</v>
      </c>
      <c r="R2623" t="s">
        <v>1815</v>
      </c>
    </row>
    <row r="2624" spans="1:18">
      <c r="A2624" t="s">
        <v>1812</v>
      </c>
      <c r="C2624" t="s">
        <v>393</v>
      </c>
      <c r="D2624" t="s">
        <v>1813</v>
      </c>
      <c r="E2624" t="s">
        <v>265</v>
      </c>
      <c r="G2624" t="s">
        <v>1862</v>
      </c>
      <c r="H2624" t="s">
        <v>539</v>
      </c>
      <c r="K2624">
        <v>1980</v>
      </c>
      <c r="L2624">
        <v>2004</v>
      </c>
      <c r="M2624">
        <f t="shared" si="32"/>
        <v>25</v>
      </c>
      <c r="O2624" t="s">
        <v>163</v>
      </c>
      <c r="P2624" t="s">
        <v>15</v>
      </c>
      <c r="Q2624" t="s">
        <v>1238</v>
      </c>
    </row>
    <row r="2625" spans="1:18">
      <c r="A2625" t="s">
        <v>1812</v>
      </c>
      <c r="B2625" t="s">
        <v>593</v>
      </c>
      <c r="C2625" t="s">
        <v>393</v>
      </c>
      <c r="D2625" t="s">
        <v>1813</v>
      </c>
      <c r="E2625" t="s">
        <v>265</v>
      </c>
      <c r="G2625" t="s">
        <v>1863</v>
      </c>
      <c r="H2625" t="s">
        <v>533</v>
      </c>
      <c r="K2625">
        <v>1980</v>
      </c>
      <c r="L2625">
        <v>2004</v>
      </c>
      <c r="M2625">
        <f t="shared" si="32"/>
        <v>25</v>
      </c>
      <c r="O2625" t="s">
        <v>163</v>
      </c>
      <c r="P2625" t="s">
        <v>397</v>
      </c>
      <c r="Q2625" t="s">
        <v>1238</v>
      </c>
      <c r="R2625" t="s">
        <v>1815</v>
      </c>
    </row>
    <row r="2626" spans="1:18">
      <c r="A2626" t="s">
        <v>1812</v>
      </c>
      <c r="B2626" t="s">
        <v>593</v>
      </c>
      <c r="C2626" t="s">
        <v>393</v>
      </c>
      <c r="D2626" t="s">
        <v>1813</v>
      </c>
      <c r="E2626" t="s">
        <v>265</v>
      </c>
      <c r="G2626" t="s">
        <v>1864</v>
      </c>
      <c r="H2626" t="s">
        <v>533</v>
      </c>
      <c r="K2626">
        <v>1980</v>
      </c>
      <c r="L2626">
        <v>2004</v>
      </c>
      <c r="M2626">
        <f t="shared" si="32"/>
        <v>25</v>
      </c>
      <c r="O2626" t="s">
        <v>163</v>
      </c>
      <c r="P2626" t="s">
        <v>15</v>
      </c>
      <c r="Q2626" t="s">
        <v>1238</v>
      </c>
      <c r="R2626" t="s">
        <v>1815</v>
      </c>
    </row>
    <row r="2627" spans="1:18">
      <c r="A2627" t="s">
        <v>1812</v>
      </c>
      <c r="B2627" t="s">
        <v>593</v>
      </c>
      <c r="C2627" t="s">
        <v>393</v>
      </c>
      <c r="D2627" t="s">
        <v>1813</v>
      </c>
      <c r="E2627" t="s">
        <v>265</v>
      </c>
      <c r="G2627" t="s">
        <v>1865</v>
      </c>
      <c r="H2627" t="s">
        <v>533</v>
      </c>
      <c r="K2627">
        <v>1980</v>
      </c>
      <c r="L2627">
        <v>2004</v>
      </c>
      <c r="M2627">
        <f t="shared" si="32"/>
        <v>25</v>
      </c>
      <c r="O2627" t="s">
        <v>163</v>
      </c>
      <c r="P2627" t="s">
        <v>85</v>
      </c>
      <c r="Q2627" t="s">
        <v>1238</v>
      </c>
      <c r="R2627" t="s">
        <v>1815</v>
      </c>
    </row>
    <row r="2628" spans="1:18">
      <c r="A2628" t="s">
        <v>1812</v>
      </c>
      <c r="B2628" t="s">
        <v>593</v>
      </c>
      <c r="C2628" t="s">
        <v>393</v>
      </c>
      <c r="D2628" t="s">
        <v>1813</v>
      </c>
      <c r="E2628" t="s">
        <v>265</v>
      </c>
      <c r="G2628" t="s">
        <v>1866</v>
      </c>
      <c r="H2628" t="s">
        <v>533</v>
      </c>
      <c r="K2628">
        <v>1980</v>
      </c>
      <c r="L2628">
        <v>2004</v>
      </c>
      <c r="M2628">
        <f t="shared" si="32"/>
        <v>25</v>
      </c>
      <c r="O2628" t="s">
        <v>163</v>
      </c>
      <c r="P2628" t="s">
        <v>397</v>
      </c>
      <c r="Q2628" t="s">
        <v>1238</v>
      </c>
      <c r="R2628" t="s">
        <v>1815</v>
      </c>
    </row>
    <row r="2629" spans="1:18">
      <c r="A2629" t="s">
        <v>1812</v>
      </c>
      <c r="C2629" t="s">
        <v>393</v>
      </c>
      <c r="D2629" t="s">
        <v>1813</v>
      </c>
      <c r="E2629" t="s">
        <v>265</v>
      </c>
      <c r="G2629" t="s">
        <v>1866</v>
      </c>
      <c r="H2629" t="s">
        <v>539</v>
      </c>
      <c r="K2629">
        <v>1980</v>
      </c>
      <c r="L2629">
        <v>2004</v>
      </c>
      <c r="M2629">
        <f t="shared" si="32"/>
        <v>25</v>
      </c>
      <c r="O2629" t="s">
        <v>163</v>
      </c>
      <c r="P2629" t="s">
        <v>15</v>
      </c>
      <c r="Q2629" t="s">
        <v>1238</v>
      </c>
    </row>
    <row r="2630" spans="1:18">
      <c r="A2630" t="s">
        <v>1812</v>
      </c>
      <c r="B2630" t="s">
        <v>593</v>
      </c>
      <c r="C2630" t="s">
        <v>393</v>
      </c>
      <c r="D2630" t="s">
        <v>1813</v>
      </c>
      <c r="E2630" t="s">
        <v>265</v>
      </c>
      <c r="G2630" t="s">
        <v>1867</v>
      </c>
      <c r="H2630" t="s">
        <v>533</v>
      </c>
      <c r="K2630">
        <v>1980</v>
      </c>
      <c r="L2630">
        <v>2004</v>
      </c>
      <c r="M2630">
        <f t="shared" si="32"/>
        <v>25</v>
      </c>
      <c r="O2630" t="s">
        <v>163</v>
      </c>
      <c r="P2630" t="s">
        <v>85</v>
      </c>
      <c r="Q2630" t="s">
        <v>1238</v>
      </c>
      <c r="R2630" t="s">
        <v>1815</v>
      </c>
    </row>
    <row r="2631" spans="1:18">
      <c r="A2631" t="s">
        <v>1812</v>
      </c>
      <c r="C2631" t="s">
        <v>393</v>
      </c>
      <c r="D2631" t="s">
        <v>1813</v>
      </c>
      <c r="E2631" t="s">
        <v>265</v>
      </c>
      <c r="G2631" t="s">
        <v>1867</v>
      </c>
      <c r="H2631" t="s">
        <v>539</v>
      </c>
      <c r="K2631">
        <v>1980</v>
      </c>
      <c r="L2631">
        <v>2004</v>
      </c>
      <c r="M2631">
        <f t="shared" si="32"/>
        <v>25</v>
      </c>
      <c r="O2631" t="s">
        <v>163</v>
      </c>
      <c r="P2631" t="s">
        <v>15</v>
      </c>
      <c r="Q2631" t="s">
        <v>1238</v>
      </c>
    </row>
    <row r="2632" spans="1:18">
      <c r="A2632" t="s">
        <v>1812</v>
      </c>
      <c r="B2632" t="s">
        <v>593</v>
      </c>
      <c r="C2632" t="s">
        <v>393</v>
      </c>
      <c r="D2632" t="s">
        <v>1813</v>
      </c>
      <c r="E2632" t="s">
        <v>265</v>
      </c>
      <c r="G2632" t="s">
        <v>1868</v>
      </c>
      <c r="H2632" t="s">
        <v>533</v>
      </c>
      <c r="K2632">
        <v>1980</v>
      </c>
      <c r="L2632">
        <v>2004</v>
      </c>
      <c r="M2632">
        <f t="shared" si="32"/>
        <v>25</v>
      </c>
      <c r="O2632" t="s">
        <v>163</v>
      </c>
      <c r="P2632" t="s">
        <v>397</v>
      </c>
      <c r="Q2632" t="s">
        <v>1238</v>
      </c>
      <c r="R2632" t="s">
        <v>1815</v>
      </c>
    </row>
    <row r="2633" spans="1:18">
      <c r="A2633" t="s">
        <v>1812</v>
      </c>
      <c r="C2633" t="s">
        <v>393</v>
      </c>
      <c r="D2633" t="s">
        <v>1813</v>
      </c>
      <c r="E2633" t="s">
        <v>265</v>
      </c>
      <c r="G2633" t="s">
        <v>1868</v>
      </c>
      <c r="H2633" t="s">
        <v>539</v>
      </c>
      <c r="K2633">
        <v>1980</v>
      </c>
      <c r="L2633">
        <v>2004</v>
      </c>
      <c r="M2633">
        <f t="shared" si="32"/>
        <v>25</v>
      </c>
      <c r="O2633" t="s">
        <v>163</v>
      </c>
      <c r="P2633" t="s">
        <v>15</v>
      </c>
      <c r="Q2633" t="s">
        <v>1238</v>
      </c>
    </row>
    <row r="2634" spans="1:18">
      <c r="A2634" t="s">
        <v>1812</v>
      </c>
      <c r="B2634" t="s">
        <v>593</v>
      </c>
      <c r="C2634" t="s">
        <v>393</v>
      </c>
      <c r="D2634" t="s">
        <v>1813</v>
      </c>
      <c r="E2634" t="s">
        <v>265</v>
      </c>
      <c r="G2634" t="s">
        <v>1869</v>
      </c>
      <c r="H2634" t="s">
        <v>533</v>
      </c>
      <c r="K2634">
        <v>1980</v>
      </c>
      <c r="L2634">
        <v>2004</v>
      </c>
      <c r="M2634">
        <f t="shared" si="32"/>
        <v>25</v>
      </c>
      <c r="O2634" t="s">
        <v>163</v>
      </c>
      <c r="P2634" t="s">
        <v>15</v>
      </c>
      <c r="Q2634" t="s">
        <v>1238</v>
      </c>
      <c r="R2634" t="s">
        <v>1815</v>
      </c>
    </row>
    <row r="2635" spans="1:18">
      <c r="A2635" t="s">
        <v>1870</v>
      </c>
      <c r="C2635" t="s">
        <v>393</v>
      </c>
      <c r="D2635" t="s">
        <v>1871</v>
      </c>
      <c r="E2635" t="s">
        <v>265</v>
      </c>
      <c r="G2635" t="s">
        <v>1872</v>
      </c>
      <c r="H2635" t="s">
        <v>539</v>
      </c>
      <c r="K2635">
        <v>1958</v>
      </c>
      <c r="L2635">
        <v>2003</v>
      </c>
      <c r="M2635">
        <f t="shared" si="32"/>
        <v>46</v>
      </c>
      <c r="O2635" t="s">
        <v>163</v>
      </c>
      <c r="P2635" t="s">
        <v>85</v>
      </c>
      <c r="Q2635" t="s">
        <v>1238</v>
      </c>
    </row>
    <row r="2636" spans="1:18">
      <c r="A2636" t="s">
        <v>1873</v>
      </c>
      <c r="C2636" t="s">
        <v>393</v>
      </c>
      <c r="D2636" t="s">
        <v>1874</v>
      </c>
      <c r="E2636" t="s">
        <v>265</v>
      </c>
      <c r="G2636" t="s">
        <v>1875</v>
      </c>
      <c r="H2636" t="s">
        <v>539</v>
      </c>
      <c r="K2636">
        <v>1932</v>
      </c>
      <c r="L2636">
        <v>1994</v>
      </c>
      <c r="M2636">
        <f t="shared" si="32"/>
        <v>63</v>
      </c>
      <c r="O2636" t="s">
        <v>163</v>
      </c>
      <c r="P2636" t="s">
        <v>15</v>
      </c>
      <c r="Q2636" t="s">
        <v>1238</v>
      </c>
    </row>
    <row r="2637" spans="1:18">
      <c r="A2637" t="s">
        <v>1873</v>
      </c>
      <c r="C2637" t="s">
        <v>393</v>
      </c>
      <c r="D2637" t="s">
        <v>1874</v>
      </c>
      <c r="E2637" t="s">
        <v>265</v>
      </c>
      <c r="G2637" t="s">
        <v>1876</v>
      </c>
      <c r="H2637" t="s">
        <v>533</v>
      </c>
      <c r="K2637">
        <v>1932</v>
      </c>
      <c r="L2637">
        <v>1994</v>
      </c>
      <c r="M2637">
        <f t="shared" si="32"/>
        <v>63</v>
      </c>
      <c r="O2637" t="s">
        <v>163</v>
      </c>
      <c r="P2637" t="s">
        <v>15</v>
      </c>
      <c r="Q2637" t="s">
        <v>1238</v>
      </c>
    </row>
    <row r="2638" spans="1:18">
      <c r="A2638" t="s">
        <v>1873</v>
      </c>
      <c r="C2638" t="s">
        <v>393</v>
      </c>
      <c r="D2638" t="s">
        <v>1874</v>
      </c>
      <c r="E2638" t="s">
        <v>265</v>
      </c>
      <c r="G2638" t="s">
        <v>1875</v>
      </c>
      <c r="H2638" t="s">
        <v>533</v>
      </c>
      <c r="K2638">
        <v>1932</v>
      </c>
      <c r="L2638">
        <v>1994</v>
      </c>
      <c r="M2638">
        <f t="shared" si="32"/>
        <v>63</v>
      </c>
      <c r="O2638" t="s">
        <v>163</v>
      </c>
      <c r="P2638" t="s">
        <v>15</v>
      </c>
      <c r="Q2638" t="s">
        <v>1238</v>
      </c>
    </row>
    <row r="2639" spans="1:18">
      <c r="A2639" t="s">
        <v>1873</v>
      </c>
      <c r="C2639" t="s">
        <v>393</v>
      </c>
      <c r="D2639" t="s">
        <v>1874</v>
      </c>
      <c r="E2639" t="s">
        <v>265</v>
      </c>
      <c r="G2639" t="s">
        <v>1877</v>
      </c>
      <c r="H2639" t="s">
        <v>539</v>
      </c>
      <c r="K2639">
        <v>1932</v>
      </c>
      <c r="L2639">
        <v>1994</v>
      </c>
      <c r="M2639">
        <f t="shared" si="32"/>
        <v>63</v>
      </c>
      <c r="O2639" t="s">
        <v>163</v>
      </c>
      <c r="P2639" t="s">
        <v>15</v>
      </c>
      <c r="Q2639" t="s">
        <v>1238</v>
      </c>
    </row>
    <row r="2640" spans="1:18">
      <c r="A2640" t="s">
        <v>1878</v>
      </c>
      <c r="C2640" t="s">
        <v>393</v>
      </c>
      <c r="D2640" t="s">
        <v>1879</v>
      </c>
      <c r="E2640" t="s">
        <v>47</v>
      </c>
      <c r="G2640" t="s">
        <v>1880</v>
      </c>
      <c r="H2640" t="s">
        <v>539</v>
      </c>
      <c r="K2640">
        <v>1959</v>
      </c>
      <c r="L2640">
        <v>2002</v>
      </c>
      <c r="M2640">
        <f t="shared" si="32"/>
        <v>44</v>
      </c>
      <c r="O2640" t="s">
        <v>163</v>
      </c>
      <c r="P2640" t="s">
        <v>15</v>
      </c>
      <c r="Q2640" t="s">
        <v>1238</v>
      </c>
    </row>
    <row r="2641" spans="1:17">
      <c r="A2641" t="s">
        <v>1878</v>
      </c>
      <c r="C2641" t="s">
        <v>393</v>
      </c>
      <c r="D2641" t="s">
        <v>1879</v>
      </c>
      <c r="E2641" t="s">
        <v>47</v>
      </c>
      <c r="G2641" t="s">
        <v>1880</v>
      </c>
      <c r="H2641" t="s">
        <v>539</v>
      </c>
      <c r="K2641">
        <v>1959</v>
      </c>
      <c r="L2641">
        <v>2002</v>
      </c>
      <c r="M2641">
        <f t="shared" si="32"/>
        <v>44</v>
      </c>
      <c r="O2641" t="s">
        <v>163</v>
      </c>
      <c r="P2641" t="s">
        <v>15</v>
      </c>
      <c r="Q2641" t="s">
        <v>1238</v>
      </c>
    </row>
    <row r="2642" spans="1:17">
      <c r="A2642" t="s">
        <v>1878</v>
      </c>
      <c r="C2642" t="s">
        <v>393</v>
      </c>
      <c r="D2642" t="s">
        <v>1879</v>
      </c>
      <c r="E2642" t="s">
        <v>47</v>
      </c>
      <c r="G2642" t="s">
        <v>1881</v>
      </c>
      <c r="H2642" t="s">
        <v>539</v>
      </c>
      <c r="K2642">
        <v>1959</v>
      </c>
      <c r="L2642">
        <v>2002</v>
      </c>
      <c r="M2642">
        <f t="shared" si="32"/>
        <v>44</v>
      </c>
      <c r="O2642" t="s">
        <v>163</v>
      </c>
      <c r="P2642" t="s">
        <v>15</v>
      </c>
      <c r="Q2642" t="s">
        <v>1238</v>
      </c>
    </row>
    <row r="2643" spans="1:17">
      <c r="A2643" t="s">
        <v>1878</v>
      </c>
      <c r="C2643" t="s">
        <v>393</v>
      </c>
      <c r="D2643" t="s">
        <v>1879</v>
      </c>
      <c r="E2643" t="s">
        <v>47</v>
      </c>
      <c r="G2643" t="s">
        <v>1881</v>
      </c>
      <c r="H2643" t="s">
        <v>539</v>
      </c>
      <c r="K2643">
        <v>1959</v>
      </c>
      <c r="L2643">
        <v>2002</v>
      </c>
      <c r="M2643">
        <f t="shared" si="32"/>
        <v>44</v>
      </c>
      <c r="O2643" t="s">
        <v>163</v>
      </c>
      <c r="P2643" t="s">
        <v>15</v>
      </c>
      <c r="Q2643" t="s">
        <v>1238</v>
      </c>
    </row>
    <row r="2644" spans="1:17">
      <c r="A2644" t="s">
        <v>1882</v>
      </c>
      <c r="C2644" t="s">
        <v>393</v>
      </c>
      <c r="D2644" t="s">
        <v>1871</v>
      </c>
      <c r="E2644" t="s">
        <v>47</v>
      </c>
      <c r="G2644" t="s">
        <v>1883</v>
      </c>
      <c r="H2644" t="s">
        <v>533</v>
      </c>
      <c r="K2644">
        <v>1958</v>
      </c>
      <c r="L2644">
        <v>2003</v>
      </c>
      <c r="M2644">
        <f t="shared" si="32"/>
        <v>46</v>
      </c>
      <c r="O2644" t="s">
        <v>163</v>
      </c>
      <c r="P2644" t="s">
        <v>15</v>
      </c>
      <c r="Q2644" t="s">
        <v>1238</v>
      </c>
    </row>
    <row r="2645" spans="1:17">
      <c r="A2645" t="s">
        <v>1882</v>
      </c>
      <c r="C2645" t="s">
        <v>393</v>
      </c>
      <c r="D2645" t="s">
        <v>1871</v>
      </c>
      <c r="E2645" t="s">
        <v>47</v>
      </c>
      <c r="G2645" t="s">
        <v>1669</v>
      </c>
      <c r="H2645" t="s">
        <v>533</v>
      </c>
      <c r="K2645">
        <v>1958</v>
      </c>
      <c r="L2645">
        <v>2003</v>
      </c>
      <c r="M2645">
        <f t="shared" si="32"/>
        <v>46</v>
      </c>
      <c r="O2645" t="s">
        <v>163</v>
      </c>
      <c r="P2645" t="s">
        <v>85</v>
      </c>
      <c r="Q2645" t="s">
        <v>1238</v>
      </c>
    </row>
    <row r="2646" spans="1:17">
      <c r="A2646" t="s">
        <v>1873</v>
      </c>
      <c r="C2646" t="s">
        <v>393</v>
      </c>
      <c r="D2646" t="s">
        <v>1874</v>
      </c>
      <c r="E2646" t="s">
        <v>47</v>
      </c>
      <c r="G2646" t="s">
        <v>48</v>
      </c>
      <c r="H2646" t="s">
        <v>539</v>
      </c>
      <c r="K2646">
        <v>1932</v>
      </c>
      <c r="L2646">
        <v>1994</v>
      </c>
      <c r="M2646">
        <f t="shared" si="32"/>
        <v>63</v>
      </c>
      <c r="O2646" t="s">
        <v>163</v>
      </c>
      <c r="P2646" t="s">
        <v>15</v>
      </c>
      <c r="Q2646" t="s">
        <v>1238</v>
      </c>
    </row>
    <row r="2647" spans="1:17">
      <c r="A2647" t="s">
        <v>1873</v>
      </c>
      <c r="C2647" t="s">
        <v>393</v>
      </c>
      <c r="D2647" t="s">
        <v>1874</v>
      </c>
      <c r="E2647" t="s">
        <v>47</v>
      </c>
      <c r="G2647" t="s">
        <v>1884</v>
      </c>
      <c r="H2647" t="s">
        <v>533</v>
      </c>
      <c r="K2647">
        <v>1932</v>
      </c>
      <c r="L2647">
        <v>1994</v>
      </c>
      <c r="M2647">
        <f t="shared" si="32"/>
        <v>63</v>
      </c>
      <c r="O2647" t="s">
        <v>163</v>
      </c>
      <c r="P2647" t="s">
        <v>15</v>
      </c>
      <c r="Q2647" t="s">
        <v>1238</v>
      </c>
    </row>
    <row r="2648" spans="1:17">
      <c r="A2648" t="s">
        <v>1873</v>
      </c>
      <c r="C2648" t="s">
        <v>393</v>
      </c>
      <c r="D2648" t="s">
        <v>1874</v>
      </c>
      <c r="E2648" t="s">
        <v>47</v>
      </c>
      <c r="G2648" t="s">
        <v>1885</v>
      </c>
      <c r="H2648" t="s">
        <v>539</v>
      </c>
      <c r="K2648">
        <v>1932</v>
      </c>
      <c r="L2648">
        <v>1994</v>
      </c>
      <c r="M2648">
        <f t="shared" si="32"/>
        <v>63</v>
      </c>
      <c r="O2648" t="s">
        <v>163</v>
      </c>
      <c r="P2648" t="s">
        <v>397</v>
      </c>
      <c r="Q2648" t="s">
        <v>1238</v>
      </c>
    </row>
    <row r="2649" spans="1:17">
      <c r="A2649" t="s">
        <v>1886</v>
      </c>
      <c r="C2649" t="s">
        <v>393</v>
      </c>
      <c r="D2649" t="s">
        <v>1887</v>
      </c>
      <c r="E2649" t="s">
        <v>47</v>
      </c>
      <c r="G2649" t="s">
        <v>1888</v>
      </c>
      <c r="H2649" t="s">
        <v>533</v>
      </c>
      <c r="K2649">
        <v>1900</v>
      </c>
      <c r="L2649">
        <v>2011</v>
      </c>
      <c r="M2649">
        <f t="shared" si="32"/>
        <v>112</v>
      </c>
      <c r="O2649" t="s">
        <v>163</v>
      </c>
      <c r="P2649" t="s">
        <v>397</v>
      </c>
      <c r="Q2649" t="s">
        <v>1238</v>
      </c>
    </row>
    <row r="2650" spans="1:17">
      <c r="A2650" t="s">
        <v>1886</v>
      </c>
      <c r="C2650" t="s">
        <v>393</v>
      </c>
      <c r="D2650" t="s">
        <v>1887</v>
      </c>
      <c r="E2650" t="s">
        <v>47</v>
      </c>
      <c r="G2650" t="s">
        <v>1889</v>
      </c>
      <c r="H2650" t="s">
        <v>539</v>
      </c>
      <c r="K2650">
        <v>1900</v>
      </c>
      <c r="L2650">
        <v>2011</v>
      </c>
      <c r="M2650">
        <f t="shared" si="32"/>
        <v>112</v>
      </c>
      <c r="O2650" t="s">
        <v>163</v>
      </c>
      <c r="P2650" t="s">
        <v>15</v>
      </c>
      <c r="Q2650" t="s">
        <v>1238</v>
      </c>
    </row>
    <row r="2651" spans="1:17">
      <c r="A2651" t="s">
        <v>1886</v>
      </c>
      <c r="C2651" t="s">
        <v>393</v>
      </c>
      <c r="D2651" t="s">
        <v>1887</v>
      </c>
      <c r="E2651" t="s">
        <v>47</v>
      </c>
      <c r="G2651" t="s">
        <v>1890</v>
      </c>
      <c r="H2651" t="s">
        <v>533</v>
      </c>
      <c r="K2651">
        <v>1900</v>
      </c>
      <c r="L2651">
        <v>2011</v>
      </c>
      <c r="M2651">
        <f t="shared" si="32"/>
        <v>112</v>
      </c>
      <c r="O2651" t="s">
        <v>163</v>
      </c>
      <c r="P2651" t="s">
        <v>397</v>
      </c>
      <c r="Q2651" t="s">
        <v>1238</v>
      </c>
    </row>
    <row r="2652" spans="1:17">
      <c r="A2652" t="s">
        <v>1891</v>
      </c>
      <c r="C2652" t="s">
        <v>393</v>
      </c>
      <c r="D2652" t="s">
        <v>1892</v>
      </c>
      <c r="E2652" t="s">
        <v>47</v>
      </c>
      <c r="G2652" t="s">
        <v>25</v>
      </c>
      <c r="H2652" t="s">
        <v>536</v>
      </c>
      <c r="K2652">
        <v>1960</v>
      </c>
      <c r="L2652">
        <v>2010</v>
      </c>
      <c r="M2652">
        <f t="shared" si="32"/>
        <v>51</v>
      </c>
      <c r="O2652" t="s">
        <v>163</v>
      </c>
      <c r="P2652" t="s">
        <v>15</v>
      </c>
      <c r="Q2652" t="s">
        <v>1238</v>
      </c>
    </row>
    <row r="2653" spans="1:17">
      <c r="A2653" t="s">
        <v>1891</v>
      </c>
      <c r="C2653" t="s">
        <v>393</v>
      </c>
      <c r="D2653" t="s">
        <v>1892</v>
      </c>
      <c r="E2653" t="s">
        <v>47</v>
      </c>
      <c r="G2653" t="s">
        <v>42</v>
      </c>
      <c r="H2653" t="s">
        <v>536</v>
      </c>
      <c r="K2653">
        <v>1960</v>
      </c>
      <c r="L2653">
        <v>2010</v>
      </c>
      <c r="M2653">
        <f t="shared" si="32"/>
        <v>51</v>
      </c>
      <c r="O2653" t="s">
        <v>163</v>
      </c>
      <c r="P2653" t="s">
        <v>15</v>
      </c>
      <c r="Q2653" t="s">
        <v>1238</v>
      </c>
    </row>
    <row r="2654" spans="1:17">
      <c r="A2654" t="s">
        <v>1893</v>
      </c>
      <c r="C2654" t="s">
        <v>393</v>
      </c>
      <c r="D2654" t="s">
        <v>1894</v>
      </c>
      <c r="E2654" t="s">
        <v>47</v>
      </c>
      <c r="G2654" t="s">
        <v>1895</v>
      </c>
      <c r="H2654" t="s">
        <v>533</v>
      </c>
      <c r="K2654">
        <v>1959</v>
      </c>
      <c r="L2654">
        <v>2007</v>
      </c>
      <c r="M2654">
        <f t="shared" si="32"/>
        <v>49</v>
      </c>
      <c r="O2654" t="s">
        <v>163</v>
      </c>
      <c r="P2654" t="s">
        <v>397</v>
      </c>
      <c r="Q2654" t="s">
        <v>1238</v>
      </c>
    </row>
    <row r="2655" spans="1:17">
      <c r="A2655" t="s">
        <v>1893</v>
      </c>
      <c r="C2655" t="s">
        <v>393</v>
      </c>
      <c r="D2655" t="s">
        <v>1894</v>
      </c>
      <c r="E2655" t="s">
        <v>47</v>
      </c>
      <c r="G2655" t="s">
        <v>1895</v>
      </c>
      <c r="H2655" t="s">
        <v>539</v>
      </c>
      <c r="K2655">
        <v>1959</v>
      </c>
      <c r="L2655">
        <v>2012.5</v>
      </c>
      <c r="M2655">
        <f t="shared" si="32"/>
        <v>54.5</v>
      </c>
      <c r="O2655" t="s">
        <v>163</v>
      </c>
      <c r="P2655" t="s">
        <v>15</v>
      </c>
      <c r="Q2655" t="s">
        <v>1238</v>
      </c>
    </row>
    <row r="2656" spans="1:17">
      <c r="A2656" t="s">
        <v>1809</v>
      </c>
      <c r="C2656" t="s">
        <v>393</v>
      </c>
      <c r="D2656" t="s">
        <v>1455</v>
      </c>
      <c r="E2656" t="s">
        <v>47</v>
      </c>
      <c r="G2656" t="s">
        <v>1811</v>
      </c>
      <c r="H2656" t="s">
        <v>536</v>
      </c>
      <c r="K2656">
        <v>1993</v>
      </c>
      <c r="L2656">
        <v>2012</v>
      </c>
      <c r="M2656">
        <f t="shared" si="32"/>
        <v>20</v>
      </c>
      <c r="O2656" t="s">
        <v>163</v>
      </c>
      <c r="P2656" t="s">
        <v>85</v>
      </c>
      <c r="Q2656" t="s">
        <v>1238</v>
      </c>
    </row>
    <row r="2657" spans="1:17">
      <c r="A2657" t="s">
        <v>1809</v>
      </c>
      <c r="C2657" t="s">
        <v>393</v>
      </c>
      <c r="D2657" t="s">
        <v>1455</v>
      </c>
      <c r="E2657" t="s">
        <v>47</v>
      </c>
      <c r="G2657" t="s">
        <v>1810</v>
      </c>
      <c r="H2657" t="s">
        <v>536</v>
      </c>
      <c r="K2657">
        <v>1993</v>
      </c>
      <c r="L2657">
        <v>2012</v>
      </c>
      <c r="M2657">
        <f t="shared" si="32"/>
        <v>20</v>
      </c>
      <c r="O2657" t="s">
        <v>163</v>
      </c>
      <c r="P2657" t="s">
        <v>88</v>
      </c>
      <c r="Q2657" t="s">
        <v>1238</v>
      </c>
    </row>
    <row r="2658" spans="1:17">
      <c r="A2658" t="s">
        <v>1809</v>
      </c>
      <c r="C2658" t="s">
        <v>393</v>
      </c>
      <c r="D2658" t="s">
        <v>1455</v>
      </c>
      <c r="E2658" t="s">
        <v>47</v>
      </c>
      <c r="G2658" t="s">
        <v>1810</v>
      </c>
      <c r="H2658" t="s">
        <v>536</v>
      </c>
      <c r="K2658">
        <v>1993</v>
      </c>
      <c r="L2658">
        <v>2012</v>
      </c>
      <c r="M2658">
        <f t="shared" si="32"/>
        <v>20</v>
      </c>
      <c r="O2658">
        <v>0</v>
      </c>
      <c r="P2658" t="s">
        <v>85</v>
      </c>
      <c r="Q2658" t="s">
        <v>1238</v>
      </c>
    </row>
    <row r="2659" spans="1:17">
      <c r="A2659" t="s">
        <v>1809</v>
      </c>
      <c r="C2659" t="s">
        <v>393</v>
      </c>
      <c r="D2659" t="s">
        <v>1455</v>
      </c>
      <c r="E2659" t="s">
        <v>47</v>
      </c>
      <c r="G2659" t="s">
        <v>1811</v>
      </c>
      <c r="H2659" t="s">
        <v>536</v>
      </c>
      <c r="K2659">
        <v>1993</v>
      </c>
      <c r="L2659">
        <v>2012</v>
      </c>
      <c r="M2659">
        <f t="shared" si="32"/>
        <v>20</v>
      </c>
      <c r="O2659">
        <v>0</v>
      </c>
      <c r="P2659" t="s">
        <v>85</v>
      </c>
      <c r="Q2659" t="s">
        <v>1238</v>
      </c>
    </row>
    <row r="2660" spans="1:17">
      <c r="A2660" t="s">
        <v>1896</v>
      </c>
      <c r="C2660" t="s">
        <v>393</v>
      </c>
      <c r="D2660" t="s">
        <v>1897</v>
      </c>
      <c r="E2660" t="s">
        <v>36</v>
      </c>
      <c r="G2660" t="s">
        <v>1898</v>
      </c>
      <c r="H2660" t="s">
        <v>533</v>
      </c>
      <c r="K2660">
        <v>1975</v>
      </c>
      <c r="L2660">
        <v>2002</v>
      </c>
      <c r="M2660">
        <f t="shared" si="32"/>
        <v>28</v>
      </c>
      <c r="O2660" t="s">
        <v>163</v>
      </c>
      <c r="P2660" t="s">
        <v>15</v>
      </c>
      <c r="Q2660" t="s">
        <v>1196</v>
      </c>
    </row>
    <row r="2661" spans="1:17">
      <c r="A2661" t="s">
        <v>1896</v>
      </c>
      <c r="C2661" t="s">
        <v>393</v>
      </c>
      <c r="D2661" t="s">
        <v>1897</v>
      </c>
      <c r="E2661" t="s">
        <v>36</v>
      </c>
      <c r="G2661" t="s">
        <v>1899</v>
      </c>
      <c r="H2661" t="s">
        <v>533</v>
      </c>
      <c r="K2661">
        <v>1975</v>
      </c>
      <c r="L2661">
        <v>2002</v>
      </c>
      <c r="M2661">
        <f t="shared" si="32"/>
        <v>28</v>
      </c>
      <c r="O2661" t="s">
        <v>163</v>
      </c>
      <c r="P2661" t="s">
        <v>15</v>
      </c>
      <c r="Q2661" t="s">
        <v>1196</v>
      </c>
    </row>
    <row r="2662" spans="1:17">
      <c r="A2662" t="s">
        <v>1882</v>
      </c>
      <c r="C2662" t="s">
        <v>393</v>
      </c>
      <c r="D2662" t="s">
        <v>1871</v>
      </c>
      <c r="E2662" t="s">
        <v>36</v>
      </c>
      <c r="G2662" t="s">
        <v>1900</v>
      </c>
      <c r="H2662" t="s">
        <v>539</v>
      </c>
      <c r="K2662">
        <v>1958</v>
      </c>
      <c r="L2662">
        <v>2003</v>
      </c>
      <c r="M2662">
        <f t="shared" si="32"/>
        <v>46</v>
      </c>
      <c r="O2662" t="s">
        <v>163</v>
      </c>
      <c r="P2662" t="s">
        <v>85</v>
      </c>
      <c r="Q2662" t="s">
        <v>1196</v>
      </c>
    </row>
    <row r="2663" spans="1:17">
      <c r="A2663" t="s">
        <v>1882</v>
      </c>
      <c r="C2663" t="s">
        <v>393</v>
      </c>
      <c r="D2663" t="s">
        <v>1871</v>
      </c>
      <c r="E2663" t="s">
        <v>36</v>
      </c>
      <c r="G2663" t="s">
        <v>1901</v>
      </c>
      <c r="H2663" t="s">
        <v>539</v>
      </c>
      <c r="K2663">
        <v>1958</v>
      </c>
      <c r="L2663">
        <v>2003</v>
      </c>
      <c r="M2663">
        <f t="shared" si="32"/>
        <v>46</v>
      </c>
      <c r="O2663" t="s">
        <v>163</v>
      </c>
      <c r="P2663" t="s">
        <v>85</v>
      </c>
      <c r="Q2663" t="s">
        <v>1196</v>
      </c>
    </row>
    <row r="2664" spans="1:17">
      <c r="A2664" t="s">
        <v>1882</v>
      </c>
      <c r="C2664" t="s">
        <v>393</v>
      </c>
      <c r="D2664" t="s">
        <v>1871</v>
      </c>
      <c r="E2664" t="s">
        <v>36</v>
      </c>
      <c r="G2664" t="s">
        <v>1902</v>
      </c>
      <c r="H2664" t="s">
        <v>533</v>
      </c>
      <c r="K2664">
        <v>1958</v>
      </c>
      <c r="L2664">
        <v>2003</v>
      </c>
      <c r="M2664">
        <f t="shared" si="32"/>
        <v>46</v>
      </c>
      <c r="O2664" t="s">
        <v>163</v>
      </c>
      <c r="P2664" t="s">
        <v>15</v>
      </c>
      <c r="Q2664" t="s">
        <v>1196</v>
      </c>
    </row>
    <row r="2665" spans="1:17">
      <c r="A2665" t="s">
        <v>1882</v>
      </c>
      <c r="C2665" t="s">
        <v>393</v>
      </c>
      <c r="D2665" t="s">
        <v>1871</v>
      </c>
      <c r="E2665" t="s">
        <v>36</v>
      </c>
      <c r="G2665" t="s">
        <v>1050</v>
      </c>
      <c r="H2665" t="s">
        <v>539</v>
      </c>
      <c r="K2665">
        <v>1958</v>
      </c>
      <c r="L2665">
        <v>2003</v>
      </c>
      <c r="M2665">
        <f t="shared" si="32"/>
        <v>46</v>
      </c>
      <c r="O2665" t="s">
        <v>163</v>
      </c>
      <c r="P2665" t="s">
        <v>85</v>
      </c>
      <c r="Q2665" t="s">
        <v>1196</v>
      </c>
    </row>
    <row r="2666" spans="1:17">
      <c r="A2666" t="s">
        <v>1882</v>
      </c>
      <c r="C2666" t="s">
        <v>393</v>
      </c>
      <c r="D2666" t="s">
        <v>1871</v>
      </c>
      <c r="E2666" t="s">
        <v>36</v>
      </c>
      <c r="G2666" t="s">
        <v>1563</v>
      </c>
      <c r="H2666" t="s">
        <v>533</v>
      </c>
      <c r="K2666">
        <v>1958</v>
      </c>
      <c r="L2666">
        <v>2003</v>
      </c>
      <c r="M2666">
        <f t="shared" si="32"/>
        <v>46</v>
      </c>
      <c r="O2666" t="s">
        <v>163</v>
      </c>
      <c r="P2666" t="s">
        <v>85</v>
      </c>
      <c r="Q2666" t="s">
        <v>1196</v>
      </c>
    </row>
    <row r="2667" spans="1:17">
      <c r="A2667" t="s">
        <v>1716</v>
      </c>
      <c r="B2667" t="s">
        <v>593</v>
      </c>
      <c r="C2667" t="s">
        <v>393</v>
      </c>
      <c r="D2667" t="s">
        <v>739</v>
      </c>
      <c r="E2667" t="s">
        <v>161</v>
      </c>
      <c r="G2667" t="s">
        <v>1903</v>
      </c>
      <c r="H2667" t="s">
        <v>700</v>
      </c>
      <c r="K2667">
        <v>1985</v>
      </c>
      <c r="L2667">
        <v>2010</v>
      </c>
      <c r="M2667">
        <v>25</v>
      </c>
      <c r="O2667" t="s">
        <v>1169</v>
      </c>
      <c r="P2667" t="s">
        <v>1169</v>
      </c>
      <c r="Q2667" t="s">
        <v>701</v>
      </c>
    </row>
    <row r="2668" spans="1:17">
      <c r="A2668" t="s">
        <v>1716</v>
      </c>
      <c r="B2668" t="s">
        <v>593</v>
      </c>
      <c r="C2668" t="s">
        <v>393</v>
      </c>
      <c r="D2668" t="s">
        <v>739</v>
      </c>
      <c r="E2668" t="s">
        <v>161</v>
      </c>
      <c r="G2668" t="s">
        <v>1904</v>
      </c>
      <c r="H2668" t="s">
        <v>700</v>
      </c>
      <c r="K2668">
        <v>1985</v>
      </c>
      <c r="L2668">
        <v>2010</v>
      </c>
      <c r="M2668">
        <v>25</v>
      </c>
      <c r="O2668" t="s">
        <v>1169</v>
      </c>
      <c r="P2668" t="s">
        <v>1169</v>
      </c>
      <c r="Q2668" t="s">
        <v>701</v>
      </c>
    </row>
    <row r="2669" spans="1:17">
      <c r="A2669" t="s">
        <v>1716</v>
      </c>
      <c r="B2669" t="s">
        <v>593</v>
      </c>
      <c r="C2669" t="s">
        <v>393</v>
      </c>
      <c r="D2669" t="s">
        <v>739</v>
      </c>
      <c r="E2669" t="s">
        <v>161</v>
      </c>
      <c r="G2669" t="s">
        <v>1597</v>
      </c>
      <c r="H2669" t="s">
        <v>700</v>
      </c>
      <c r="K2669">
        <v>1985</v>
      </c>
      <c r="L2669">
        <v>2010</v>
      </c>
      <c r="M2669">
        <v>25</v>
      </c>
      <c r="O2669" t="s">
        <v>1169</v>
      </c>
      <c r="P2669" t="s">
        <v>1169</v>
      </c>
      <c r="Q2669" t="s">
        <v>701</v>
      </c>
    </row>
    <row r="2670" spans="1:17">
      <c r="A2670" t="s">
        <v>1716</v>
      </c>
      <c r="B2670" t="s">
        <v>593</v>
      </c>
      <c r="C2670" t="s">
        <v>393</v>
      </c>
      <c r="D2670" t="s">
        <v>739</v>
      </c>
      <c r="E2670" t="s">
        <v>161</v>
      </c>
      <c r="G2670" t="s">
        <v>880</v>
      </c>
      <c r="H2670" t="s">
        <v>700</v>
      </c>
      <c r="K2670">
        <v>1985</v>
      </c>
      <c r="L2670">
        <v>2010</v>
      </c>
      <c r="M2670">
        <v>25</v>
      </c>
      <c r="O2670" t="s">
        <v>1169</v>
      </c>
      <c r="P2670" t="s">
        <v>1169</v>
      </c>
      <c r="Q2670" t="s">
        <v>701</v>
      </c>
    </row>
    <row r="2671" spans="1:17">
      <c r="A2671" t="s">
        <v>1716</v>
      </c>
      <c r="B2671" t="s">
        <v>593</v>
      </c>
      <c r="C2671" t="s">
        <v>393</v>
      </c>
      <c r="D2671" t="s">
        <v>739</v>
      </c>
      <c r="E2671" t="s">
        <v>161</v>
      </c>
      <c r="G2671" t="s">
        <v>1905</v>
      </c>
      <c r="H2671" t="s">
        <v>700</v>
      </c>
      <c r="K2671">
        <v>1985</v>
      </c>
      <c r="L2671">
        <v>2010</v>
      </c>
      <c r="M2671">
        <v>25</v>
      </c>
      <c r="O2671" t="s">
        <v>1169</v>
      </c>
      <c r="P2671" t="s">
        <v>1169</v>
      </c>
      <c r="Q2671" t="s">
        <v>701</v>
      </c>
    </row>
    <row r="2672" spans="1:17">
      <c r="A2672" t="s">
        <v>1454</v>
      </c>
      <c r="C2672" t="s">
        <v>393</v>
      </c>
      <c r="D2672" t="s">
        <v>1455</v>
      </c>
      <c r="E2672" t="s">
        <v>36</v>
      </c>
      <c r="G2672" t="s">
        <v>1906</v>
      </c>
      <c r="H2672" t="s">
        <v>536</v>
      </c>
      <c r="K2672">
        <v>1993</v>
      </c>
      <c r="L2672">
        <v>2012</v>
      </c>
      <c r="M2672">
        <f>L2672-K2672+1</f>
        <v>20</v>
      </c>
      <c r="O2672">
        <v>0</v>
      </c>
      <c r="P2672" t="s">
        <v>85</v>
      </c>
      <c r="Q2672" t="s">
        <v>1196</v>
      </c>
    </row>
    <row r="2673" spans="1:17">
      <c r="A2673" t="s">
        <v>1454</v>
      </c>
      <c r="C2673" t="s">
        <v>393</v>
      </c>
      <c r="D2673" t="s">
        <v>1455</v>
      </c>
      <c r="E2673" t="s">
        <v>36</v>
      </c>
      <c r="G2673" t="s">
        <v>1906</v>
      </c>
      <c r="H2673" t="s">
        <v>536</v>
      </c>
      <c r="K2673">
        <v>1993</v>
      </c>
      <c r="L2673">
        <v>2012</v>
      </c>
      <c r="M2673">
        <f>L2673-K2673+1</f>
        <v>20</v>
      </c>
      <c r="O2673" t="s">
        <v>163</v>
      </c>
      <c r="P2673" t="s">
        <v>85</v>
      </c>
      <c r="Q2673" t="s">
        <v>1196</v>
      </c>
    </row>
    <row r="2674" spans="1:17">
      <c r="A2674" t="s">
        <v>1454</v>
      </c>
      <c r="C2674" t="s">
        <v>393</v>
      </c>
      <c r="D2674" t="s">
        <v>1455</v>
      </c>
      <c r="E2674" t="s">
        <v>36</v>
      </c>
      <c r="G2674" t="s">
        <v>1906</v>
      </c>
      <c r="H2674" t="s">
        <v>536</v>
      </c>
      <c r="K2674">
        <v>1993</v>
      </c>
      <c r="L2674">
        <v>2012</v>
      </c>
      <c r="M2674">
        <f>L2674-K2674+1</f>
        <v>20</v>
      </c>
      <c r="O2674">
        <v>-1.277E-2</v>
      </c>
      <c r="P2674" t="s">
        <v>397</v>
      </c>
      <c r="Q2674" t="s">
        <v>1196</v>
      </c>
    </row>
    <row r="2675" spans="1:17">
      <c r="A2675" t="s">
        <v>1716</v>
      </c>
      <c r="B2675" t="s">
        <v>593</v>
      </c>
      <c r="C2675" t="s">
        <v>393</v>
      </c>
      <c r="D2675" t="s">
        <v>739</v>
      </c>
      <c r="E2675" t="s">
        <v>161</v>
      </c>
      <c r="G2675" t="s">
        <v>1907</v>
      </c>
      <c r="H2675" t="s">
        <v>700</v>
      </c>
      <c r="K2675">
        <v>1985</v>
      </c>
      <c r="L2675">
        <v>2010</v>
      </c>
      <c r="M2675">
        <v>25</v>
      </c>
      <c r="O2675" t="s">
        <v>1169</v>
      </c>
      <c r="P2675" t="s">
        <v>1169</v>
      </c>
      <c r="Q2675" t="s">
        <v>701</v>
      </c>
    </row>
    <row r="2676" spans="1:17">
      <c r="A2676" t="s">
        <v>1716</v>
      </c>
      <c r="B2676" t="s">
        <v>593</v>
      </c>
      <c r="C2676" t="s">
        <v>393</v>
      </c>
      <c r="D2676" t="s">
        <v>739</v>
      </c>
      <c r="E2676" t="s">
        <v>161</v>
      </c>
      <c r="G2676" t="s">
        <v>892</v>
      </c>
      <c r="H2676" t="s">
        <v>700</v>
      </c>
      <c r="K2676">
        <v>1985</v>
      </c>
      <c r="L2676">
        <v>2010</v>
      </c>
      <c r="M2676">
        <v>25</v>
      </c>
      <c r="O2676" t="s">
        <v>1169</v>
      </c>
      <c r="P2676" t="s">
        <v>1169</v>
      </c>
      <c r="Q2676" t="s">
        <v>701</v>
      </c>
    </row>
    <row r="2677" spans="1:17">
      <c r="A2677" t="s">
        <v>1716</v>
      </c>
      <c r="B2677" t="s">
        <v>593</v>
      </c>
      <c r="C2677" t="s">
        <v>393</v>
      </c>
      <c r="D2677" t="s">
        <v>739</v>
      </c>
      <c r="E2677" t="s">
        <v>161</v>
      </c>
      <c r="G2677" t="s">
        <v>1908</v>
      </c>
      <c r="H2677" t="s">
        <v>700</v>
      </c>
      <c r="K2677">
        <v>1985</v>
      </c>
      <c r="L2677">
        <v>2010</v>
      </c>
      <c r="M2677">
        <v>25</v>
      </c>
      <c r="O2677" t="s">
        <v>1169</v>
      </c>
      <c r="P2677" t="s">
        <v>1169</v>
      </c>
      <c r="Q2677" t="s">
        <v>701</v>
      </c>
    </row>
    <row r="2678" spans="1:17">
      <c r="A2678" t="s">
        <v>1716</v>
      </c>
      <c r="B2678" t="s">
        <v>593</v>
      </c>
      <c r="C2678" t="s">
        <v>393</v>
      </c>
      <c r="D2678" t="s">
        <v>739</v>
      </c>
      <c r="E2678" t="s">
        <v>161</v>
      </c>
      <c r="G2678" t="s">
        <v>1909</v>
      </c>
      <c r="H2678" t="s">
        <v>700</v>
      </c>
      <c r="K2678">
        <v>1985</v>
      </c>
      <c r="L2678">
        <v>2010</v>
      </c>
      <c r="M2678">
        <v>25</v>
      </c>
      <c r="O2678" t="s">
        <v>1169</v>
      </c>
      <c r="P2678" t="s">
        <v>1169</v>
      </c>
      <c r="Q2678" t="s">
        <v>701</v>
      </c>
    </row>
    <row r="2679" spans="1:17">
      <c r="A2679" t="s">
        <v>1716</v>
      </c>
      <c r="B2679" t="s">
        <v>593</v>
      </c>
      <c r="C2679" t="s">
        <v>393</v>
      </c>
      <c r="D2679" t="s">
        <v>739</v>
      </c>
      <c r="E2679" t="s">
        <v>161</v>
      </c>
      <c r="G2679" t="s">
        <v>900</v>
      </c>
      <c r="H2679" t="s">
        <v>700</v>
      </c>
      <c r="K2679">
        <v>1985</v>
      </c>
      <c r="L2679">
        <v>2010</v>
      </c>
      <c r="M2679">
        <v>25</v>
      </c>
      <c r="O2679" t="s">
        <v>1169</v>
      </c>
      <c r="P2679" t="s">
        <v>1169</v>
      </c>
      <c r="Q2679" t="s">
        <v>701</v>
      </c>
    </row>
    <row r="2680" spans="1:17">
      <c r="A2680" t="s">
        <v>921</v>
      </c>
      <c r="C2680" t="s">
        <v>393</v>
      </c>
      <c r="D2680" t="s">
        <v>554</v>
      </c>
      <c r="E2680" t="s">
        <v>138</v>
      </c>
      <c r="F2680" t="s">
        <v>1492</v>
      </c>
      <c r="G2680" t="s">
        <v>1910</v>
      </c>
      <c r="H2680" t="s">
        <v>457</v>
      </c>
      <c r="K2680">
        <v>1986</v>
      </c>
      <c r="O2680">
        <v>-86.22</v>
      </c>
      <c r="P2680" t="str">
        <f t="shared" ref="P2680:P2743" si="33">(IF(O2680&gt;0,"Consistent","Not consistent"))</f>
        <v>Not consistent</v>
      </c>
      <c r="Q2680" t="s">
        <v>398</v>
      </c>
    </row>
    <row r="2681" spans="1:17">
      <c r="A2681" t="s">
        <v>921</v>
      </c>
      <c r="C2681" t="s">
        <v>393</v>
      </c>
      <c r="D2681" t="s">
        <v>554</v>
      </c>
      <c r="E2681" t="s">
        <v>138</v>
      </c>
      <c r="F2681" t="s">
        <v>1911</v>
      </c>
      <c r="G2681" t="s">
        <v>1912</v>
      </c>
      <c r="H2681" t="s">
        <v>396</v>
      </c>
      <c r="K2681">
        <v>1986</v>
      </c>
      <c r="O2681">
        <v>-44.690000000000005</v>
      </c>
      <c r="P2681" t="str">
        <f t="shared" si="33"/>
        <v>Not consistent</v>
      </c>
      <c r="Q2681" t="s">
        <v>398</v>
      </c>
    </row>
    <row r="2682" spans="1:17">
      <c r="A2682" t="s">
        <v>921</v>
      </c>
      <c r="C2682" t="s">
        <v>393</v>
      </c>
      <c r="D2682" t="s">
        <v>554</v>
      </c>
      <c r="E2682" t="s">
        <v>138</v>
      </c>
      <c r="F2682" t="s">
        <v>1911</v>
      </c>
      <c r="G2682" t="s">
        <v>1913</v>
      </c>
      <c r="H2682" t="s">
        <v>457</v>
      </c>
      <c r="K2682">
        <v>1986</v>
      </c>
      <c r="O2682">
        <v>-41.91</v>
      </c>
      <c r="P2682" t="str">
        <f t="shared" si="33"/>
        <v>Not consistent</v>
      </c>
      <c r="Q2682" t="s">
        <v>398</v>
      </c>
    </row>
    <row r="2683" spans="1:17">
      <c r="A2683" t="s">
        <v>921</v>
      </c>
      <c r="C2683" t="s">
        <v>393</v>
      </c>
      <c r="D2683" t="s">
        <v>554</v>
      </c>
      <c r="E2683" t="s">
        <v>138</v>
      </c>
      <c r="F2683" t="s">
        <v>1492</v>
      </c>
      <c r="G2683" t="s">
        <v>1910</v>
      </c>
      <c r="H2683" t="s">
        <v>399</v>
      </c>
      <c r="K2683">
        <v>1986</v>
      </c>
      <c r="O2683">
        <v>-36.770000000000003</v>
      </c>
      <c r="P2683" t="str">
        <f t="shared" si="33"/>
        <v>Not consistent</v>
      </c>
      <c r="Q2683" t="s">
        <v>398</v>
      </c>
    </row>
    <row r="2684" spans="1:17">
      <c r="A2684" t="s">
        <v>921</v>
      </c>
      <c r="C2684" t="s">
        <v>393</v>
      </c>
      <c r="D2684" t="s">
        <v>554</v>
      </c>
      <c r="E2684" t="s">
        <v>138</v>
      </c>
      <c r="F2684" t="s">
        <v>1911</v>
      </c>
      <c r="G2684" t="s">
        <v>1914</v>
      </c>
      <c r="H2684" t="s">
        <v>457</v>
      </c>
      <c r="K2684">
        <v>1986</v>
      </c>
      <c r="O2684">
        <v>-30.459999999999997</v>
      </c>
      <c r="P2684" t="str">
        <f t="shared" si="33"/>
        <v>Not consistent</v>
      </c>
      <c r="Q2684" t="s">
        <v>398</v>
      </c>
    </row>
    <row r="2685" spans="1:17">
      <c r="A2685" t="s">
        <v>921</v>
      </c>
      <c r="C2685" t="s">
        <v>393</v>
      </c>
      <c r="D2685" t="s">
        <v>554</v>
      </c>
      <c r="E2685" t="s">
        <v>138</v>
      </c>
      <c r="F2685" t="s">
        <v>1911</v>
      </c>
      <c r="G2685" t="s">
        <v>1915</v>
      </c>
      <c r="H2685" t="s">
        <v>396</v>
      </c>
      <c r="K2685">
        <v>1986</v>
      </c>
      <c r="O2685">
        <v>-28.95</v>
      </c>
      <c r="P2685" t="str">
        <f t="shared" si="33"/>
        <v>Not consistent</v>
      </c>
      <c r="Q2685" t="s">
        <v>398</v>
      </c>
    </row>
    <row r="2686" spans="1:17">
      <c r="A2686" t="s">
        <v>921</v>
      </c>
      <c r="C2686" t="s">
        <v>393</v>
      </c>
      <c r="D2686" t="s">
        <v>554</v>
      </c>
      <c r="E2686" t="s">
        <v>138</v>
      </c>
      <c r="F2686" t="s">
        <v>1911</v>
      </c>
      <c r="G2686" t="s">
        <v>1916</v>
      </c>
      <c r="H2686" t="s">
        <v>396</v>
      </c>
      <c r="K2686">
        <v>1986</v>
      </c>
      <c r="O2686">
        <v>-19.119999999999997</v>
      </c>
      <c r="P2686" t="str">
        <f t="shared" si="33"/>
        <v>Not consistent</v>
      </c>
      <c r="Q2686" t="s">
        <v>398</v>
      </c>
    </row>
    <row r="2687" spans="1:17">
      <c r="A2687" t="s">
        <v>921</v>
      </c>
      <c r="C2687" t="s">
        <v>393</v>
      </c>
      <c r="D2687" t="s">
        <v>554</v>
      </c>
      <c r="E2687" t="s">
        <v>138</v>
      </c>
      <c r="F2687" t="s">
        <v>1911</v>
      </c>
      <c r="G2687" t="s">
        <v>1917</v>
      </c>
      <c r="H2687" t="s">
        <v>399</v>
      </c>
      <c r="K2687">
        <v>1986</v>
      </c>
      <c r="O2687">
        <v>-17.91</v>
      </c>
      <c r="P2687" t="str">
        <f t="shared" si="33"/>
        <v>Not consistent</v>
      </c>
      <c r="Q2687" t="s">
        <v>398</v>
      </c>
    </row>
    <row r="2688" spans="1:17">
      <c r="A2688" t="s">
        <v>921</v>
      </c>
      <c r="C2688" t="s">
        <v>393</v>
      </c>
      <c r="D2688" t="s">
        <v>554</v>
      </c>
      <c r="E2688" t="s">
        <v>138</v>
      </c>
      <c r="F2688" t="s">
        <v>1911</v>
      </c>
      <c r="G2688" t="s">
        <v>1917</v>
      </c>
      <c r="H2688" t="s">
        <v>396</v>
      </c>
      <c r="K2688">
        <v>1986</v>
      </c>
      <c r="O2688">
        <v>-17.170000000000002</v>
      </c>
      <c r="P2688" t="str">
        <f t="shared" si="33"/>
        <v>Not consistent</v>
      </c>
      <c r="Q2688" t="s">
        <v>398</v>
      </c>
    </row>
    <row r="2689" spans="1:17">
      <c r="A2689" t="s">
        <v>921</v>
      </c>
      <c r="C2689" t="s">
        <v>393</v>
      </c>
      <c r="D2689" t="s">
        <v>554</v>
      </c>
      <c r="E2689" t="s">
        <v>138</v>
      </c>
      <c r="F2689" t="s">
        <v>1911</v>
      </c>
      <c r="G2689" t="s">
        <v>1916</v>
      </c>
      <c r="H2689" t="s">
        <v>399</v>
      </c>
      <c r="K2689">
        <v>1986</v>
      </c>
      <c r="O2689">
        <v>-16.21</v>
      </c>
      <c r="P2689" t="str">
        <f t="shared" si="33"/>
        <v>Not consistent</v>
      </c>
      <c r="Q2689" t="s">
        <v>398</v>
      </c>
    </row>
    <row r="2690" spans="1:17">
      <c r="A2690" t="s">
        <v>921</v>
      </c>
      <c r="C2690" t="s">
        <v>393</v>
      </c>
      <c r="D2690" t="s">
        <v>554</v>
      </c>
      <c r="E2690" t="s">
        <v>138</v>
      </c>
      <c r="F2690" t="s">
        <v>1492</v>
      </c>
      <c r="G2690" t="s">
        <v>1910</v>
      </c>
      <c r="H2690" t="s">
        <v>396</v>
      </c>
      <c r="K2690">
        <v>1986</v>
      </c>
      <c r="O2690">
        <v>-12.709999999999999</v>
      </c>
      <c r="P2690" t="str">
        <f t="shared" si="33"/>
        <v>Not consistent</v>
      </c>
      <c r="Q2690" t="s">
        <v>398</v>
      </c>
    </row>
    <row r="2691" spans="1:17">
      <c r="A2691" t="s">
        <v>921</v>
      </c>
      <c r="C2691" t="s">
        <v>393</v>
      </c>
      <c r="D2691" t="s">
        <v>554</v>
      </c>
      <c r="E2691" t="s">
        <v>138</v>
      </c>
      <c r="F2691" t="s">
        <v>1911</v>
      </c>
      <c r="G2691" t="s">
        <v>1914</v>
      </c>
      <c r="H2691" t="s">
        <v>399</v>
      </c>
      <c r="K2691">
        <v>1986</v>
      </c>
      <c r="O2691">
        <v>-9.58</v>
      </c>
      <c r="P2691" t="str">
        <f t="shared" si="33"/>
        <v>Not consistent</v>
      </c>
      <c r="Q2691" t="s">
        <v>398</v>
      </c>
    </row>
    <row r="2692" spans="1:17">
      <c r="A2692" t="s">
        <v>921</v>
      </c>
      <c r="C2692" t="s">
        <v>393</v>
      </c>
      <c r="D2692" t="s">
        <v>554</v>
      </c>
      <c r="E2692" t="s">
        <v>138</v>
      </c>
      <c r="F2692" t="s">
        <v>1911</v>
      </c>
      <c r="G2692" t="s">
        <v>1918</v>
      </c>
      <c r="H2692" t="s">
        <v>457</v>
      </c>
      <c r="K2692">
        <v>1986</v>
      </c>
      <c r="O2692">
        <v>-6.9099999999999993</v>
      </c>
      <c r="P2692" t="str">
        <f t="shared" si="33"/>
        <v>Not consistent</v>
      </c>
      <c r="Q2692" t="s">
        <v>398</v>
      </c>
    </row>
    <row r="2693" spans="1:17">
      <c r="A2693" t="s">
        <v>921</v>
      </c>
      <c r="C2693" t="s">
        <v>393</v>
      </c>
      <c r="D2693" t="s">
        <v>554</v>
      </c>
      <c r="E2693" t="s">
        <v>138</v>
      </c>
      <c r="F2693" t="s">
        <v>1911</v>
      </c>
      <c r="G2693" t="s">
        <v>1919</v>
      </c>
      <c r="H2693" t="s">
        <v>396</v>
      </c>
      <c r="K2693">
        <v>1986</v>
      </c>
      <c r="O2693">
        <v>-6.62</v>
      </c>
      <c r="P2693" t="str">
        <f t="shared" si="33"/>
        <v>Not consistent</v>
      </c>
      <c r="Q2693" t="s">
        <v>398</v>
      </c>
    </row>
    <row r="2694" spans="1:17">
      <c r="A2694" t="s">
        <v>921</v>
      </c>
      <c r="C2694" t="s">
        <v>393</v>
      </c>
      <c r="D2694" t="s">
        <v>554</v>
      </c>
      <c r="E2694" t="s">
        <v>138</v>
      </c>
      <c r="F2694" t="s">
        <v>1911</v>
      </c>
      <c r="G2694" t="s">
        <v>1920</v>
      </c>
      <c r="H2694" t="s">
        <v>396</v>
      </c>
      <c r="K2694">
        <v>1986</v>
      </c>
      <c r="O2694">
        <v>-6.58</v>
      </c>
      <c r="P2694" t="str">
        <f t="shared" si="33"/>
        <v>Not consistent</v>
      </c>
      <c r="Q2694" t="s">
        <v>398</v>
      </c>
    </row>
    <row r="2695" spans="1:17">
      <c r="A2695" t="s">
        <v>921</v>
      </c>
      <c r="C2695" t="s">
        <v>393</v>
      </c>
      <c r="D2695" t="s">
        <v>554</v>
      </c>
      <c r="E2695" t="s">
        <v>138</v>
      </c>
      <c r="F2695" t="s">
        <v>1911</v>
      </c>
      <c r="G2695" t="s">
        <v>1917</v>
      </c>
      <c r="H2695" t="s">
        <v>457</v>
      </c>
      <c r="K2695">
        <v>1986</v>
      </c>
      <c r="O2695">
        <v>-3.01</v>
      </c>
      <c r="P2695" t="str">
        <f t="shared" si="33"/>
        <v>Not consistent</v>
      </c>
      <c r="Q2695" t="s">
        <v>398</v>
      </c>
    </row>
    <row r="2696" spans="1:17">
      <c r="A2696" t="s">
        <v>921</v>
      </c>
      <c r="C2696" t="s">
        <v>393</v>
      </c>
      <c r="D2696" t="s">
        <v>554</v>
      </c>
      <c r="E2696" t="s">
        <v>138</v>
      </c>
      <c r="F2696" t="s">
        <v>1492</v>
      </c>
      <c r="G2696" t="s">
        <v>1921</v>
      </c>
      <c r="H2696" t="s">
        <v>396</v>
      </c>
      <c r="K2696">
        <v>1986</v>
      </c>
      <c r="O2696">
        <v>-2.6</v>
      </c>
      <c r="P2696" t="str">
        <f t="shared" si="33"/>
        <v>Not consistent</v>
      </c>
      <c r="Q2696" t="s">
        <v>398</v>
      </c>
    </row>
    <row r="2697" spans="1:17">
      <c r="A2697" t="s">
        <v>921</v>
      </c>
      <c r="C2697" t="s">
        <v>393</v>
      </c>
      <c r="D2697" t="s">
        <v>554</v>
      </c>
      <c r="E2697" t="s">
        <v>138</v>
      </c>
      <c r="F2697" t="s">
        <v>1911</v>
      </c>
      <c r="G2697" t="s">
        <v>1915</v>
      </c>
      <c r="H2697" t="s">
        <v>399</v>
      </c>
      <c r="K2697">
        <v>1986</v>
      </c>
      <c r="O2697">
        <v>0.94</v>
      </c>
      <c r="P2697" t="str">
        <f t="shared" si="33"/>
        <v>Consistent</v>
      </c>
      <c r="Q2697" t="s">
        <v>398</v>
      </c>
    </row>
    <row r="2698" spans="1:17">
      <c r="A2698" t="s">
        <v>921</v>
      </c>
      <c r="C2698" t="s">
        <v>393</v>
      </c>
      <c r="D2698" t="s">
        <v>554</v>
      </c>
      <c r="E2698" t="s">
        <v>138</v>
      </c>
      <c r="F2698" t="s">
        <v>1911</v>
      </c>
      <c r="G2698" t="s">
        <v>1922</v>
      </c>
      <c r="H2698" t="s">
        <v>396</v>
      </c>
      <c r="K2698">
        <v>1986</v>
      </c>
      <c r="O2698">
        <v>3.17</v>
      </c>
      <c r="P2698" t="str">
        <f t="shared" si="33"/>
        <v>Consistent</v>
      </c>
      <c r="Q2698" t="s">
        <v>398</v>
      </c>
    </row>
    <row r="2699" spans="1:17">
      <c r="A2699" t="s">
        <v>921</v>
      </c>
      <c r="C2699" t="s">
        <v>393</v>
      </c>
      <c r="D2699" t="s">
        <v>554</v>
      </c>
      <c r="E2699" t="s">
        <v>138</v>
      </c>
      <c r="F2699" t="s">
        <v>1911</v>
      </c>
      <c r="G2699" t="s">
        <v>1922</v>
      </c>
      <c r="H2699" t="s">
        <v>457</v>
      </c>
      <c r="K2699">
        <v>1986</v>
      </c>
      <c r="O2699">
        <v>6.34</v>
      </c>
      <c r="P2699" t="str">
        <f t="shared" si="33"/>
        <v>Consistent</v>
      </c>
      <c r="Q2699" t="s">
        <v>398</v>
      </c>
    </row>
    <row r="2700" spans="1:17">
      <c r="A2700" t="s">
        <v>921</v>
      </c>
      <c r="C2700" t="s">
        <v>393</v>
      </c>
      <c r="D2700" t="s">
        <v>554</v>
      </c>
      <c r="E2700" t="s">
        <v>138</v>
      </c>
      <c r="F2700" t="s">
        <v>1911</v>
      </c>
      <c r="G2700" t="s">
        <v>1922</v>
      </c>
      <c r="H2700" t="s">
        <v>399</v>
      </c>
      <c r="K2700">
        <v>1986</v>
      </c>
      <c r="O2700">
        <v>6.7700000000000005</v>
      </c>
      <c r="P2700" t="str">
        <f t="shared" si="33"/>
        <v>Consistent</v>
      </c>
      <c r="Q2700" t="s">
        <v>398</v>
      </c>
    </row>
    <row r="2701" spans="1:17">
      <c r="A2701" t="s">
        <v>921</v>
      </c>
      <c r="C2701" t="s">
        <v>393</v>
      </c>
      <c r="D2701" t="s">
        <v>554</v>
      </c>
      <c r="E2701" t="s">
        <v>138</v>
      </c>
      <c r="F2701" t="s">
        <v>1911</v>
      </c>
      <c r="G2701" t="s">
        <v>1923</v>
      </c>
      <c r="H2701" t="s">
        <v>396</v>
      </c>
      <c r="K2701">
        <v>1986</v>
      </c>
      <c r="O2701">
        <v>8.02</v>
      </c>
      <c r="P2701" t="str">
        <f t="shared" si="33"/>
        <v>Consistent</v>
      </c>
      <c r="Q2701" t="s">
        <v>398</v>
      </c>
    </row>
    <row r="2702" spans="1:17">
      <c r="A2702" t="s">
        <v>921</v>
      </c>
      <c r="C2702" t="s">
        <v>393</v>
      </c>
      <c r="D2702" t="s">
        <v>554</v>
      </c>
      <c r="E2702" t="s">
        <v>138</v>
      </c>
      <c r="F2702" t="s">
        <v>1492</v>
      </c>
      <c r="G2702" t="s">
        <v>1924</v>
      </c>
      <c r="H2702" t="s">
        <v>396</v>
      </c>
      <c r="K2702">
        <v>1986</v>
      </c>
      <c r="O2702">
        <v>9.68</v>
      </c>
      <c r="P2702" t="str">
        <f t="shared" si="33"/>
        <v>Consistent</v>
      </c>
      <c r="Q2702" t="s">
        <v>398</v>
      </c>
    </row>
    <row r="2703" spans="1:17">
      <c r="A2703" t="s">
        <v>921</v>
      </c>
      <c r="C2703" t="s">
        <v>393</v>
      </c>
      <c r="D2703" t="s">
        <v>554</v>
      </c>
      <c r="E2703" t="s">
        <v>138</v>
      </c>
      <c r="F2703" t="s">
        <v>1911</v>
      </c>
      <c r="G2703" t="s">
        <v>1925</v>
      </c>
      <c r="H2703" t="s">
        <v>396</v>
      </c>
      <c r="K2703">
        <v>1986</v>
      </c>
      <c r="O2703">
        <v>9.9</v>
      </c>
      <c r="P2703" t="str">
        <f t="shared" si="33"/>
        <v>Consistent</v>
      </c>
      <c r="Q2703" t="s">
        <v>398</v>
      </c>
    </row>
    <row r="2704" spans="1:17">
      <c r="A2704" t="s">
        <v>921</v>
      </c>
      <c r="C2704" t="s">
        <v>393</v>
      </c>
      <c r="D2704" t="s">
        <v>554</v>
      </c>
      <c r="E2704" t="s">
        <v>138</v>
      </c>
      <c r="F2704" t="s">
        <v>1911</v>
      </c>
      <c r="G2704" t="s">
        <v>1926</v>
      </c>
      <c r="H2704" t="s">
        <v>396</v>
      </c>
      <c r="K2704">
        <v>1986</v>
      </c>
      <c r="O2704">
        <v>10.049999999999999</v>
      </c>
      <c r="P2704" t="str">
        <f t="shared" si="33"/>
        <v>Consistent</v>
      </c>
      <c r="Q2704" t="s">
        <v>398</v>
      </c>
    </row>
    <row r="2705" spans="1:17">
      <c r="A2705" t="s">
        <v>921</v>
      </c>
      <c r="C2705" t="s">
        <v>393</v>
      </c>
      <c r="D2705" t="s">
        <v>554</v>
      </c>
      <c r="E2705" t="s">
        <v>138</v>
      </c>
      <c r="F2705" t="s">
        <v>1911</v>
      </c>
      <c r="G2705" t="s">
        <v>1927</v>
      </c>
      <c r="H2705" t="s">
        <v>396</v>
      </c>
      <c r="K2705">
        <v>1986</v>
      </c>
      <c r="O2705">
        <v>10.809999999999999</v>
      </c>
      <c r="P2705" t="str">
        <f t="shared" si="33"/>
        <v>Consistent</v>
      </c>
      <c r="Q2705" t="s">
        <v>398</v>
      </c>
    </row>
    <row r="2706" spans="1:17">
      <c r="A2706" t="s">
        <v>921</v>
      </c>
      <c r="C2706" t="s">
        <v>393</v>
      </c>
      <c r="D2706" t="s">
        <v>554</v>
      </c>
      <c r="E2706" t="s">
        <v>138</v>
      </c>
      <c r="F2706" t="s">
        <v>1911</v>
      </c>
      <c r="G2706" t="s">
        <v>1928</v>
      </c>
      <c r="H2706" t="s">
        <v>396</v>
      </c>
      <c r="K2706">
        <v>1986</v>
      </c>
      <c r="O2706">
        <v>11.03</v>
      </c>
      <c r="P2706" t="str">
        <f t="shared" si="33"/>
        <v>Consistent</v>
      </c>
      <c r="Q2706" t="s">
        <v>398</v>
      </c>
    </row>
    <row r="2707" spans="1:17">
      <c r="A2707" t="s">
        <v>921</v>
      </c>
      <c r="C2707" t="s">
        <v>393</v>
      </c>
      <c r="D2707" t="s">
        <v>554</v>
      </c>
      <c r="E2707" t="s">
        <v>138</v>
      </c>
      <c r="F2707" t="s">
        <v>1492</v>
      </c>
      <c r="G2707" t="s">
        <v>1929</v>
      </c>
      <c r="H2707" t="s">
        <v>396</v>
      </c>
      <c r="K2707">
        <v>1986</v>
      </c>
      <c r="O2707">
        <v>16.599999999999998</v>
      </c>
      <c r="P2707" t="str">
        <f t="shared" si="33"/>
        <v>Consistent</v>
      </c>
      <c r="Q2707" t="s">
        <v>398</v>
      </c>
    </row>
    <row r="2708" spans="1:17">
      <c r="A2708" t="s">
        <v>921</v>
      </c>
      <c r="C2708" t="s">
        <v>393</v>
      </c>
      <c r="D2708" t="s">
        <v>554</v>
      </c>
      <c r="E2708" t="s">
        <v>138</v>
      </c>
      <c r="F2708" t="s">
        <v>1911</v>
      </c>
      <c r="G2708" t="s">
        <v>1930</v>
      </c>
      <c r="H2708" t="s">
        <v>399</v>
      </c>
      <c r="K2708">
        <v>1986</v>
      </c>
      <c r="O2708">
        <v>16.98</v>
      </c>
      <c r="P2708" t="str">
        <f t="shared" si="33"/>
        <v>Consistent</v>
      </c>
      <c r="Q2708" t="s">
        <v>398</v>
      </c>
    </row>
    <row r="2709" spans="1:17">
      <c r="A2709" t="s">
        <v>921</v>
      </c>
      <c r="C2709" t="s">
        <v>393</v>
      </c>
      <c r="D2709" t="s">
        <v>554</v>
      </c>
      <c r="E2709" t="s">
        <v>138</v>
      </c>
      <c r="F2709" t="s">
        <v>1492</v>
      </c>
      <c r="G2709" t="s">
        <v>1924</v>
      </c>
      <c r="H2709" t="s">
        <v>399</v>
      </c>
      <c r="K2709">
        <v>1986</v>
      </c>
      <c r="O2709">
        <v>17.54</v>
      </c>
      <c r="P2709" t="str">
        <f t="shared" si="33"/>
        <v>Consistent</v>
      </c>
      <c r="Q2709" t="s">
        <v>398</v>
      </c>
    </row>
    <row r="2710" spans="1:17">
      <c r="A2710" t="s">
        <v>921</v>
      </c>
      <c r="C2710" t="s">
        <v>393</v>
      </c>
      <c r="D2710" t="s">
        <v>554</v>
      </c>
      <c r="E2710" t="s">
        <v>138</v>
      </c>
      <c r="F2710" t="s">
        <v>1911</v>
      </c>
      <c r="G2710" t="s">
        <v>1913</v>
      </c>
      <c r="H2710" t="s">
        <v>399</v>
      </c>
      <c r="K2710">
        <v>1986</v>
      </c>
      <c r="O2710">
        <v>18.740000000000002</v>
      </c>
      <c r="P2710" t="str">
        <f t="shared" si="33"/>
        <v>Consistent</v>
      </c>
      <c r="Q2710" t="s">
        <v>398</v>
      </c>
    </row>
    <row r="2711" spans="1:17">
      <c r="A2711" t="s">
        <v>921</v>
      </c>
      <c r="C2711" t="s">
        <v>393</v>
      </c>
      <c r="D2711" t="s">
        <v>554</v>
      </c>
      <c r="E2711" t="s">
        <v>138</v>
      </c>
      <c r="F2711" t="s">
        <v>1911</v>
      </c>
      <c r="G2711" t="s">
        <v>1931</v>
      </c>
      <c r="H2711" t="s">
        <v>396</v>
      </c>
      <c r="K2711">
        <v>1986</v>
      </c>
      <c r="O2711">
        <v>18.93</v>
      </c>
      <c r="P2711" t="str">
        <f t="shared" si="33"/>
        <v>Consistent</v>
      </c>
      <c r="Q2711" t="s">
        <v>398</v>
      </c>
    </row>
    <row r="2712" spans="1:17">
      <c r="A2712" t="s">
        <v>921</v>
      </c>
      <c r="C2712" t="s">
        <v>393</v>
      </c>
      <c r="D2712" t="s">
        <v>554</v>
      </c>
      <c r="E2712" t="s">
        <v>138</v>
      </c>
      <c r="F2712" t="s">
        <v>1911</v>
      </c>
      <c r="G2712" t="s">
        <v>1932</v>
      </c>
      <c r="H2712" t="s">
        <v>396</v>
      </c>
      <c r="K2712">
        <v>1986</v>
      </c>
      <c r="O2712">
        <v>20.22</v>
      </c>
      <c r="P2712" t="str">
        <f t="shared" si="33"/>
        <v>Consistent</v>
      </c>
      <c r="Q2712" t="s">
        <v>398</v>
      </c>
    </row>
    <row r="2713" spans="1:17">
      <c r="A2713" t="s">
        <v>921</v>
      </c>
      <c r="C2713" t="s">
        <v>393</v>
      </c>
      <c r="D2713" t="s">
        <v>554</v>
      </c>
      <c r="E2713" t="s">
        <v>138</v>
      </c>
      <c r="F2713" t="s">
        <v>1911</v>
      </c>
      <c r="G2713" t="s">
        <v>1933</v>
      </c>
      <c r="H2713" t="s">
        <v>396</v>
      </c>
      <c r="K2713">
        <v>1986</v>
      </c>
      <c r="O2713">
        <v>20.350000000000001</v>
      </c>
      <c r="P2713" t="str">
        <f t="shared" si="33"/>
        <v>Consistent</v>
      </c>
      <c r="Q2713" t="s">
        <v>398</v>
      </c>
    </row>
    <row r="2714" spans="1:17">
      <c r="A2714" t="s">
        <v>921</v>
      </c>
      <c r="C2714" t="s">
        <v>393</v>
      </c>
      <c r="D2714" t="s">
        <v>554</v>
      </c>
      <c r="E2714" t="s">
        <v>138</v>
      </c>
      <c r="F2714" t="s">
        <v>1911</v>
      </c>
      <c r="G2714" t="s">
        <v>1916</v>
      </c>
      <c r="H2714" t="s">
        <v>457</v>
      </c>
      <c r="K2714">
        <v>1986</v>
      </c>
      <c r="O2714">
        <v>21.8</v>
      </c>
      <c r="P2714" t="str">
        <f t="shared" si="33"/>
        <v>Consistent</v>
      </c>
      <c r="Q2714" t="s">
        <v>398</v>
      </c>
    </row>
    <row r="2715" spans="1:17">
      <c r="A2715" t="s">
        <v>921</v>
      </c>
      <c r="C2715" t="s">
        <v>393</v>
      </c>
      <c r="D2715" t="s">
        <v>554</v>
      </c>
      <c r="E2715" t="s">
        <v>138</v>
      </c>
      <c r="F2715" t="s">
        <v>1911</v>
      </c>
      <c r="G2715" t="s">
        <v>1928</v>
      </c>
      <c r="H2715" t="s">
        <v>457</v>
      </c>
      <c r="K2715">
        <v>1986</v>
      </c>
      <c r="O2715">
        <v>22.05</v>
      </c>
      <c r="P2715" t="str">
        <f t="shared" si="33"/>
        <v>Consistent</v>
      </c>
      <c r="Q2715" t="s">
        <v>398</v>
      </c>
    </row>
    <row r="2716" spans="1:17">
      <c r="A2716" t="s">
        <v>921</v>
      </c>
      <c r="C2716" t="s">
        <v>393</v>
      </c>
      <c r="D2716" t="s">
        <v>554</v>
      </c>
      <c r="E2716" t="s">
        <v>138</v>
      </c>
      <c r="F2716" t="s">
        <v>1911</v>
      </c>
      <c r="G2716" t="s">
        <v>1915</v>
      </c>
      <c r="H2716" t="s">
        <v>457</v>
      </c>
      <c r="K2716">
        <v>1986</v>
      </c>
      <c r="O2716">
        <v>22.68</v>
      </c>
      <c r="P2716" t="str">
        <f t="shared" si="33"/>
        <v>Consistent</v>
      </c>
      <c r="Q2716" t="s">
        <v>398</v>
      </c>
    </row>
    <row r="2717" spans="1:17">
      <c r="A2717" t="s">
        <v>921</v>
      </c>
      <c r="C2717" t="s">
        <v>393</v>
      </c>
      <c r="D2717" t="s">
        <v>554</v>
      </c>
      <c r="E2717" t="s">
        <v>138</v>
      </c>
      <c r="F2717" t="s">
        <v>1911</v>
      </c>
      <c r="G2717" t="s">
        <v>1930</v>
      </c>
      <c r="H2717" t="s">
        <v>396</v>
      </c>
      <c r="K2717">
        <v>1986</v>
      </c>
      <c r="O2717">
        <v>22.85</v>
      </c>
      <c r="P2717" t="str">
        <f t="shared" si="33"/>
        <v>Consistent</v>
      </c>
      <c r="Q2717" t="s">
        <v>398</v>
      </c>
    </row>
    <row r="2718" spans="1:17">
      <c r="A2718" t="s">
        <v>921</v>
      </c>
      <c r="C2718" t="s">
        <v>393</v>
      </c>
      <c r="D2718" t="s">
        <v>554</v>
      </c>
      <c r="E2718" t="s">
        <v>138</v>
      </c>
      <c r="F2718" t="s">
        <v>1911</v>
      </c>
      <c r="G2718" t="s">
        <v>1920</v>
      </c>
      <c r="H2718" t="s">
        <v>399</v>
      </c>
      <c r="K2718">
        <v>1986</v>
      </c>
      <c r="O2718">
        <v>23.4</v>
      </c>
      <c r="P2718" t="str">
        <f t="shared" si="33"/>
        <v>Consistent</v>
      </c>
      <c r="Q2718" t="s">
        <v>398</v>
      </c>
    </row>
    <row r="2719" spans="1:17">
      <c r="A2719" t="s">
        <v>921</v>
      </c>
      <c r="C2719" t="s">
        <v>393</v>
      </c>
      <c r="D2719" t="s">
        <v>554</v>
      </c>
      <c r="E2719" t="s">
        <v>138</v>
      </c>
      <c r="F2719" t="s">
        <v>1911</v>
      </c>
      <c r="G2719" t="s">
        <v>1914</v>
      </c>
      <c r="H2719" t="s">
        <v>396</v>
      </c>
      <c r="K2719">
        <v>1986</v>
      </c>
      <c r="O2719">
        <v>26.07</v>
      </c>
      <c r="P2719" t="str">
        <f t="shared" si="33"/>
        <v>Consistent</v>
      </c>
      <c r="Q2719" t="s">
        <v>398</v>
      </c>
    </row>
    <row r="2720" spans="1:17">
      <c r="A2720" t="s">
        <v>921</v>
      </c>
      <c r="C2720" t="s">
        <v>393</v>
      </c>
      <c r="D2720" t="s">
        <v>554</v>
      </c>
      <c r="E2720" t="s">
        <v>138</v>
      </c>
      <c r="F2720" t="s">
        <v>1911</v>
      </c>
      <c r="G2720" t="s">
        <v>1918</v>
      </c>
      <c r="H2720" t="s">
        <v>399</v>
      </c>
      <c r="K2720">
        <v>1986</v>
      </c>
      <c r="O2720">
        <v>28.32</v>
      </c>
      <c r="P2720" t="str">
        <f t="shared" si="33"/>
        <v>Consistent</v>
      </c>
      <c r="Q2720" t="s">
        <v>398</v>
      </c>
    </row>
    <row r="2721" spans="1:17">
      <c r="A2721" t="s">
        <v>921</v>
      </c>
      <c r="C2721" t="s">
        <v>393</v>
      </c>
      <c r="D2721" t="s">
        <v>554</v>
      </c>
      <c r="E2721" t="s">
        <v>138</v>
      </c>
      <c r="F2721" t="s">
        <v>1492</v>
      </c>
      <c r="G2721" t="s">
        <v>1921</v>
      </c>
      <c r="H2721" t="s">
        <v>399</v>
      </c>
      <c r="K2721">
        <v>1986</v>
      </c>
      <c r="O2721">
        <v>28.64</v>
      </c>
      <c r="P2721" t="str">
        <f t="shared" si="33"/>
        <v>Consistent</v>
      </c>
      <c r="Q2721" t="s">
        <v>398</v>
      </c>
    </row>
    <row r="2722" spans="1:17">
      <c r="A2722" t="s">
        <v>921</v>
      </c>
      <c r="C2722" t="s">
        <v>393</v>
      </c>
      <c r="D2722" t="s">
        <v>554</v>
      </c>
      <c r="E2722" t="s">
        <v>138</v>
      </c>
      <c r="F2722" t="s">
        <v>1911</v>
      </c>
      <c r="G2722" t="s">
        <v>1934</v>
      </c>
      <c r="H2722" t="s">
        <v>457</v>
      </c>
      <c r="K2722">
        <v>1986</v>
      </c>
      <c r="O2722">
        <v>30.87</v>
      </c>
      <c r="P2722" t="str">
        <f t="shared" si="33"/>
        <v>Consistent</v>
      </c>
      <c r="Q2722" t="s">
        <v>398</v>
      </c>
    </row>
    <row r="2723" spans="1:17">
      <c r="A2723" t="s">
        <v>921</v>
      </c>
      <c r="C2723" t="s">
        <v>393</v>
      </c>
      <c r="D2723" t="s">
        <v>554</v>
      </c>
      <c r="E2723" t="s">
        <v>138</v>
      </c>
      <c r="F2723" t="s">
        <v>1911</v>
      </c>
      <c r="G2723" t="s">
        <v>1935</v>
      </c>
      <c r="H2723" t="s">
        <v>457</v>
      </c>
      <c r="K2723">
        <v>1986</v>
      </c>
      <c r="O2723">
        <v>31.150000000000002</v>
      </c>
      <c r="P2723" t="str">
        <f t="shared" si="33"/>
        <v>Consistent</v>
      </c>
      <c r="Q2723" t="s">
        <v>398</v>
      </c>
    </row>
    <row r="2724" spans="1:17">
      <c r="A2724" t="s">
        <v>921</v>
      </c>
      <c r="C2724" t="s">
        <v>393</v>
      </c>
      <c r="D2724" t="s">
        <v>554</v>
      </c>
      <c r="E2724" t="s">
        <v>138</v>
      </c>
      <c r="F2724" t="s">
        <v>1911</v>
      </c>
      <c r="G2724" t="s">
        <v>1936</v>
      </c>
      <c r="H2724" t="s">
        <v>396</v>
      </c>
      <c r="K2724">
        <v>1986</v>
      </c>
      <c r="O2724">
        <v>32.08</v>
      </c>
      <c r="P2724" t="str">
        <f t="shared" si="33"/>
        <v>Consistent</v>
      </c>
      <c r="Q2724" t="s">
        <v>398</v>
      </c>
    </row>
    <row r="2725" spans="1:17">
      <c r="A2725" t="s">
        <v>921</v>
      </c>
      <c r="C2725" t="s">
        <v>393</v>
      </c>
      <c r="D2725" t="s">
        <v>554</v>
      </c>
      <c r="E2725" t="s">
        <v>138</v>
      </c>
      <c r="F2725" t="s">
        <v>1911</v>
      </c>
      <c r="G2725" t="s">
        <v>1928</v>
      </c>
      <c r="H2725" t="s">
        <v>399</v>
      </c>
      <c r="K2725">
        <v>1986</v>
      </c>
      <c r="O2725">
        <v>32.53</v>
      </c>
      <c r="P2725" t="str">
        <f t="shared" si="33"/>
        <v>Consistent</v>
      </c>
      <c r="Q2725" t="s">
        <v>398</v>
      </c>
    </row>
    <row r="2726" spans="1:17">
      <c r="A2726" t="s">
        <v>921</v>
      </c>
      <c r="C2726" t="s">
        <v>393</v>
      </c>
      <c r="D2726" t="s">
        <v>554</v>
      </c>
      <c r="E2726" t="s">
        <v>138</v>
      </c>
      <c r="F2726" t="s">
        <v>1911</v>
      </c>
      <c r="G2726" t="s">
        <v>1919</v>
      </c>
      <c r="H2726" t="s">
        <v>399</v>
      </c>
      <c r="K2726">
        <v>1986</v>
      </c>
      <c r="O2726">
        <v>32.78</v>
      </c>
      <c r="P2726" t="str">
        <f t="shared" si="33"/>
        <v>Consistent</v>
      </c>
      <c r="Q2726" t="s">
        <v>398</v>
      </c>
    </row>
    <row r="2727" spans="1:17">
      <c r="A2727" t="s">
        <v>921</v>
      </c>
      <c r="C2727" t="s">
        <v>393</v>
      </c>
      <c r="D2727" t="s">
        <v>554</v>
      </c>
      <c r="E2727" t="s">
        <v>138</v>
      </c>
      <c r="F2727" t="s">
        <v>1911</v>
      </c>
      <c r="G2727" t="s">
        <v>1937</v>
      </c>
      <c r="H2727" t="s">
        <v>457</v>
      </c>
      <c r="K2727">
        <v>1986</v>
      </c>
      <c r="O2727">
        <v>34.06</v>
      </c>
      <c r="P2727" t="str">
        <f t="shared" si="33"/>
        <v>Consistent</v>
      </c>
      <c r="Q2727" t="s">
        <v>398</v>
      </c>
    </row>
    <row r="2728" spans="1:17">
      <c r="A2728" t="s">
        <v>921</v>
      </c>
      <c r="C2728" t="s">
        <v>393</v>
      </c>
      <c r="D2728" t="s">
        <v>554</v>
      </c>
      <c r="E2728" t="s">
        <v>138</v>
      </c>
      <c r="F2728" t="s">
        <v>1911</v>
      </c>
      <c r="G2728" t="s">
        <v>1938</v>
      </c>
      <c r="H2728" t="s">
        <v>396</v>
      </c>
      <c r="K2728">
        <v>1986</v>
      </c>
      <c r="O2728">
        <v>36.44</v>
      </c>
      <c r="P2728" t="str">
        <f t="shared" si="33"/>
        <v>Consistent</v>
      </c>
      <c r="Q2728" t="s">
        <v>398</v>
      </c>
    </row>
    <row r="2729" spans="1:17">
      <c r="A2729" t="s">
        <v>921</v>
      </c>
      <c r="C2729" t="s">
        <v>393</v>
      </c>
      <c r="D2729" t="s">
        <v>554</v>
      </c>
      <c r="E2729" t="s">
        <v>138</v>
      </c>
      <c r="F2729" t="s">
        <v>1911</v>
      </c>
      <c r="G2729" t="s">
        <v>1939</v>
      </c>
      <c r="H2729" t="s">
        <v>396</v>
      </c>
      <c r="K2729">
        <v>1986</v>
      </c>
      <c r="O2729">
        <v>37.99</v>
      </c>
      <c r="P2729" t="str">
        <f t="shared" si="33"/>
        <v>Consistent</v>
      </c>
      <c r="Q2729" t="s">
        <v>398</v>
      </c>
    </row>
    <row r="2730" spans="1:17">
      <c r="A2730" t="s">
        <v>921</v>
      </c>
      <c r="C2730" t="s">
        <v>393</v>
      </c>
      <c r="D2730" t="s">
        <v>554</v>
      </c>
      <c r="E2730" t="s">
        <v>138</v>
      </c>
      <c r="F2730" t="s">
        <v>1911</v>
      </c>
      <c r="G2730" t="s">
        <v>1940</v>
      </c>
      <c r="H2730" t="s">
        <v>396</v>
      </c>
      <c r="K2730">
        <v>1986</v>
      </c>
      <c r="O2730">
        <v>38.21</v>
      </c>
      <c r="P2730" t="str">
        <f t="shared" si="33"/>
        <v>Consistent</v>
      </c>
      <c r="Q2730" t="s">
        <v>398</v>
      </c>
    </row>
    <row r="2731" spans="1:17">
      <c r="A2731" t="s">
        <v>921</v>
      </c>
      <c r="C2731" t="s">
        <v>393</v>
      </c>
      <c r="D2731" t="s">
        <v>554</v>
      </c>
      <c r="E2731" t="s">
        <v>138</v>
      </c>
      <c r="F2731" t="s">
        <v>1911</v>
      </c>
      <c r="G2731" t="s">
        <v>1938</v>
      </c>
      <c r="H2731" t="s">
        <v>399</v>
      </c>
      <c r="K2731">
        <v>1986</v>
      </c>
      <c r="O2731">
        <v>39.36</v>
      </c>
      <c r="P2731" t="str">
        <f t="shared" si="33"/>
        <v>Consistent</v>
      </c>
      <c r="Q2731" t="s">
        <v>398</v>
      </c>
    </row>
    <row r="2732" spans="1:17">
      <c r="A2732" t="s">
        <v>921</v>
      </c>
      <c r="C2732" t="s">
        <v>393</v>
      </c>
      <c r="D2732" t="s">
        <v>554</v>
      </c>
      <c r="E2732" t="s">
        <v>138</v>
      </c>
      <c r="F2732" t="s">
        <v>1911</v>
      </c>
      <c r="G2732" t="s">
        <v>1919</v>
      </c>
      <c r="H2732" t="s">
        <v>457</v>
      </c>
      <c r="K2732">
        <v>1986</v>
      </c>
      <c r="O2732">
        <v>41.210000000000008</v>
      </c>
      <c r="P2732" t="str">
        <f t="shared" si="33"/>
        <v>Consistent</v>
      </c>
      <c r="Q2732" t="s">
        <v>398</v>
      </c>
    </row>
    <row r="2733" spans="1:17">
      <c r="A2733" t="s">
        <v>921</v>
      </c>
      <c r="C2733" t="s">
        <v>393</v>
      </c>
      <c r="D2733" t="s">
        <v>554</v>
      </c>
      <c r="E2733" t="s">
        <v>138</v>
      </c>
      <c r="F2733" t="s">
        <v>1911</v>
      </c>
      <c r="G2733" t="s">
        <v>1935</v>
      </c>
      <c r="H2733" t="s">
        <v>396</v>
      </c>
      <c r="K2733">
        <v>1986</v>
      </c>
      <c r="O2733">
        <v>41.3</v>
      </c>
      <c r="P2733" t="str">
        <f t="shared" si="33"/>
        <v>Consistent</v>
      </c>
      <c r="Q2733" t="s">
        <v>398</v>
      </c>
    </row>
    <row r="2734" spans="1:17">
      <c r="A2734" t="s">
        <v>921</v>
      </c>
      <c r="C2734" t="s">
        <v>393</v>
      </c>
      <c r="D2734" t="s">
        <v>554</v>
      </c>
      <c r="E2734" t="s">
        <v>138</v>
      </c>
      <c r="F2734" t="s">
        <v>1492</v>
      </c>
      <c r="G2734" t="s">
        <v>1929</v>
      </c>
      <c r="H2734" t="s">
        <v>399</v>
      </c>
      <c r="K2734">
        <v>1986</v>
      </c>
      <c r="O2734">
        <v>41.97</v>
      </c>
      <c r="P2734" t="str">
        <f t="shared" si="33"/>
        <v>Consistent</v>
      </c>
      <c r="Q2734" t="s">
        <v>398</v>
      </c>
    </row>
    <row r="2735" spans="1:17">
      <c r="A2735" t="s">
        <v>921</v>
      </c>
      <c r="C2735" t="s">
        <v>393</v>
      </c>
      <c r="D2735" t="s">
        <v>554</v>
      </c>
      <c r="E2735" t="s">
        <v>138</v>
      </c>
      <c r="F2735" t="s">
        <v>1911</v>
      </c>
      <c r="G2735" t="s">
        <v>1941</v>
      </c>
      <c r="H2735" t="s">
        <v>399</v>
      </c>
      <c r="K2735">
        <v>1986</v>
      </c>
      <c r="O2735">
        <v>43.33</v>
      </c>
      <c r="P2735" t="str">
        <f t="shared" si="33"/>
        <v>Consistent</v>
      </c>
      <c r="Q2735" t="s">
        <v>398</v>
      </c>
    </row>
    <row r="2736" spans="1:17">
      <c r="A2736" t="s">
        <v>921</v>
      </c>
      <c r="C2736" t="s">
        <v>393</v>
      </c>
      <c r="D2736" t="s">
        <v>554</v>
      </c>
      <c r="E2736" t="s">
        <v>138</v>
      </c>
      <c r="F2736" t="s">
        <v>1911</v>
      </c>
      <c r="G2736" t="s">
        <v>1934</v>
      </c>
      <c r="H2736" t="s">
        <v>399</v>
      </c>
      <c r="K2736">
        <v>1986</v>
      </c>
      <c r="O2736">
        <v>47.61</v>
      </c>
      <c r="P2736" t="str">
        <f t="shared" si="33"/>
        <v>Consistent</v>
      </c>
      <c r="Q2736" t="s">
        <v>398</v>
      </c>
    </row>
    <row r="2737" spans="1:17">
      <c r="A2737" t="s">
        <v>921</v>
      </c>
      <c r="C2737" t="s">
        <v>393</v>
      </c>
      <c r="D2737" t="s">
        <v>554</v>
      </c>
      <c r="E2737" t="s">
        <v>138</v>
      </c>
      <c r="F2737" t="s">
        <v>1911</v>
      </c>
      <c r="G2737" t="s">
        <v>1912</v>
      </c>
      <c r="H2737" t="s">
        <v>399</v>
      </c>
      <c r="K2737">
        <v>1986</v>
      </c>
      <c r="O2737">
        <v>48.97</v>
      </c>
      <c r="P2737" t="str">
        <f t="shared" si="33"/>
        <v>Consistent</v>
      </c>
      <c r="Q2737" t="s">
        <v>398</v>
      </c>
    </row>
    <row r="2738" spans="1:17">
      <c r="A2738" t="s">
        <v>921</v>
      </c>
      <c r="C2738" t="s">
        <v>393</v>
      </c>
      <c r="D2738" t="s">
        <v>554</v>
      </c>
      <c r="E2738" t="s">
        <v>138</v>
      </c>
      <c r="F2738" t="s">
        <v>1911</v>
      </c>
      <c r="G2738" t="s">
        <v>1934</v>
      </c>
      <c r="H2738" t="s">
        <v>396</v>
      </c>
      <c r="K2738">
        <v>1986</v>
      </c>
      <c r="O2738">
        <v>51.16</v>
      </c>
      <c r="P2738" t="str">
        <f t="shared" si="33"/>
        <v>Consistent</v>
      </c>
      <c r="Q2738" t="s">
        <v>398</v>
      </c>
    </row>
    <row r="2739" spans="1:17">
      <c r="A2739" t="s">
        <v>921</v>
      </c>
      <c r="C2739" t="s">
        <v>393</v>
      </c>
      <c r="D2739" t="s">
        <v>554</v>
      </c>
      <c r="E2739" t="s">
        <v>138</v>
      </c>
      <c r="F2739" t="s">
        <v>1911</v>
      </c>
      <c r="G2739" t="s">
        <v>1942</v>
      </c>
      <c r="H2739" t="s">
        <v>396</v>
      </c>
      <c r="K2739">
        <v>1986</v>
      </c>
      <c r="O2739">
        <v>51.239999999999995</v>
      </c>
      <c r="P2739" t="str">
        <f t="shared" si="33"/>
        <v>Consistent</v>
      </c>
      <c r="Q2739" t="s">
        <v>398</v>
      </c>
    </row>
    <row r="2740" spans="1:17">
      <c r="A2740" t="s">
        <v>921</v>
      </c>
      <c r="C2740" t="s">
        <v>393</v>
      </c>
      <c r="D2740" t="s">
        <v>554</v>
      </c>
      <c r="E2740" t="s">
        <v>138</v>
      </c>
      <c r="F2740" t="s">
        <v>1492</v>
      </c>
      <c r="G2740" t="s">
        <v>1929</v>
      </c>
      <c r="H2740" t="s">
        <v>457</v>
      </c>
      <c r="K2740">
        <v>1986</v>
      </c>
      <c r="O2740">
        <v>52.45</v>
      </c>
      <c r="P2740" t="str">
        <f t="shared" si="33"/>
        <v>Consistent</v>
      </c>
      <c r="Q2740" t="s">
        <v>398</v>
      </c>
    </row>
    <row r="2741" spans="1:17">
      <c r="A2741" t="s">
        <v>921</v>
      </c>
      <c r="C2741" t="s">
        <v>393</v>
      </c>
      <c r="D2741" t="s">
        <v>554</v>
      </c>
      <c r="E2741" t="s">
        <v>138</v>
      </c>
      <c r="F2741" t="s">
        <v>1911</v>
      </c>
      <c r="G2741" t="s">
        <v>1942</v>
      </c>
      <c r="H2741" t="s">
        <v>457</v>
      </c>
      <c r="K2741">
        <v>1986</v>
      </c>
      <c r="O2741">
        <v>54.65</v>
      </c>
      <c r="P2741" t="str">
        <f t="shared" si="33"/>
        <v>Consistent</v>
      </c>
      <c r="Q2741" t="s">
        <v>398</v>
      </c>
    </row>
    <row r="2742" spans="1:17">
      <c r="A2742" t="s">
        <v>921</v>
      </c>
      <c r="C2742" t="s">
        <v>393</v>
      </c>
      <c r="D2742" t="s">
        <v>554</v>
      </c>
      <c r="E2742" t="s">
        <v>138</v>
      </c>
      <c r="F2742" t="s">
        <v>1911</v>
      </c>
      <c r="G2742" t="s">
        <v>1920</v>
      </c>
      <c r="H2742" t="s">
        <v>457</v>
      </c>
      <c r="K2742">
        <v>1986</v>
      </c>
      <c r="O2742">
        <v>55.010000000000005</v>
      </c>
      <c r="P2742" t="str">
        <f t="shared" si="33"/>
        <v>Consistent</v>
      </c>
      <c r="Q2742" t="s">
        <v>398</v>
      </c>
    </row>
    <row r="2743" spans="1:17">
      <c r="A2743" t="s">
        <v>921</v>
      </c>
      <c r="C2743" t="s">
        <v>393</v>
      </c>
      <c r="D2743" t="s">
        <v>554</v>
      </c>
      <c r="E2743" t="s">
        <v>138</v>
      </c>
      <c r="F2743" t="s">
        <v>1911</v>
      </c>
      <c r="G2743" t="s">
        <v>1931</v>
      </c>
      <c r="H2743" t="s">
        <v>399</v>
      </c>
      <c r="K2743">
        <v>1986</v>
      </c>
      <c r="O2743">
        <v>55.86</v>
      </c>
      <c r="P2743" t="str">
        <f t="shared" si="33"/>
        <v>Consistent</v>
      </c>
      <c r="Q2743" t="s">
        <v>398</v>
      </c>
    </row>
    <row r="2744" spans="1:17">
      <c r="A2744" t="s">
        <v>921</v>
      </c>
      <c r="C2744" t="s">
        <v>393</v>
      </c>
      <c r="D2744" t="s">
        <v>554</v>
      </c>
      <c r="E2744" t="s">
        <v>138</v>
      </c>
      <c r="F2744" t="s">
        <v>1911</v>
      </c>
      <c r="G2744" t="s">
        <v>1935</v>
      </c>
      <c r="H2744" t="s">
        <v>399</v>
      </c>
      <c r="K2744">
        <v>1986</v>
      </c>
      <c r="O2744">
        <v>56.11</v>
      </c>
      <c r="P2744" t="str">
        <f t="shared" ref="P2744:P2802" si="34">(IF(O2744&gt;0,"Consistent","Not consistent"))</f>
        <v>Consistent</v>
      </c>
      <c r="Q2744" t="s">
        <v>398</v>
      </c>
    </row>
    <row r="2745" spans="1:17">
      <c r="A2745" t="s">
        <v>921</v>
      </c>
      <c r="C2745" t="s">
        <v>393</v>
      </c>
      <c r="D2745" t="s">
        <v>554</v>
      </c>
      <c r="E2745" t="s">
        <v>138</v>
      </c>
      <c r="F2745" t="s">
        <v>1911</v>
      </c>
      <c r="G2745" t="s">
        <v>1925</v>
      </c>
      <c r="H2745" t="s">
        <v>399</v>
      </c>
      <c r="K2745">
        <v>1986</v>
      </c>
      <c r="O2745">
        <v>58.81</v>
      </c>
      <c r="P2745" t="str">
        <f t="shared" si="34"/>
        <v>Consistent</v>
      </c>
      <c r="Q2745" t="s">
        <v>398</v>
      </c>
    </row>
    <row r="2746" spans="1:17">
      <c r="A2746" t="s">
        <v>921</v>
      </c>
      <c r="C2746" t="s">
        <v>393</v>
      </c>
      <c r="D2746" t="s">
        <v>554</v>
      </c>
      <c r="E2746" t="s">
        <v>138</v>
      </c>
      <c r="F2746" t="s">
        <v>1911</v>
      </c>
      <c r="G2746" t="s">
        <v>1936</v>
      </c>
      <c r="H2746" t="s">
        <v>399</v>
      </c>
      <c r="K2746">
        <v>1986</v>
      </c>
      <c r="O2746">
        <v>59.19</v>
      </c>
      <c r="P2746" t="str">
        <f t="shared" si="34"/>
        <v>Consistent</v>
      </c>
      <c r="Q2746" t="s">
        <v>398</v>
      </c>
    </row>
    <row r="2747" spans="1:17">
      <c r="A2747" t="s">
        <v>921</v>
      </c>
      <c r="C2747" t="s">
        <v>393</v>
      </c>
      <c r="D2747" t="s">
        <v>554</v>
      </c>
      <c r="E2747" t="s">
        <v>138</v>
      </c>
      <c r="F2747" t="s">
        <v>1911</v>
      </c>
      <c r="G2747" t="s">
        <v>1938</v>
      </c>
      <c r="H2747" t="s">
        <v>457</v>
      </c>
      <c r="K2747">
        <v>1986</v>
      </c>
      <c r="O2747">
        <v>59.5</v>
      </c>
      <c r="P2747" t="str">
        <f t="shared" si="34"/>
        <v>Consistent</v>
      </c>
      <c r="Q2747" t="s">
        <v>398</v>
      </c>
    </row>
    <row r="2748" spans="1:17">
      <c r="A2748" t="s">
        <v>921</v>
      </c>
      <c r="C2748" t="s">
        <v>393</v>
      </c>
      <c r="D2748" t="s">
        <v>554</v>
      </c>
      <c r="E2748" t="s">
        <v>138</v>
      </c>
      <c r="F2748" t="s">
        <v>1911</v>
      </c>
      <c r="G2748" t="s">
        <v>1942</v>
      </c>
      <c r="H2748" t="s">
        <v>399</v>
      </c>
      <c r="K2748">
        <v>1986</v>
      </c>
      <c r="O2748">
        <v>60.35</v>
      </c>
      <c r="P2748" t="str">
        <f t="shared" si="34"/>
        <v>Consistent</v>
      </c>
      <c r="Q2748" t="s">
        <v>398</v>
      </c>
    </row>
    <row r="2749" spans="1:17">
      <c r="A2749" t="s">
        <v>921</v>
      </c>
      <c r="C2749" t="s">
        <v>393</v>
      </c>
      <c r="D2749" t="s">
        <v>554</v>
      </c>
      <c r="E2749" t="s">
        <v>138</v>
      </c>
      <c r="F2749" t="s">
        <v>1911</v>
      </c>
      <c r="G2749" t="s">
        <v>1925</v>
      </c>
      <c r="H2749" t="s">
        <v>457</v>
      </c>
      <c r="K2749">
        <v>1986</v>
      </c>
      <c r="O2749">
        <v>66.040000000000006</v>
      </c>
      <c r="P2749" t="str">
        <f t="shared" si="34"/>
        <v>Consistent</v>
      </c>
      <c r="Q2749" t="s">
        <v>398</v>
      </c>
    </row>
    <row r="2750" spans="1:17">
      <c r="A2750" t="s">
        <v>921</v>
      </c>
      <c r="C2750" t="s">
        <v>393</v>
      </c>
      <c r="D2750" t="s">
        <v>554</v>
      </c>
      <c r="E2750" t="s">
        <v>138</v>
      </c>
      <c r="F2750" t="s">
        <v>1911</v>
      </c>
      <c r="G2750" t="s">
        <v>1918</v>
      </c>
      <c r="H2750" t="s">
        <v>396</v>
      </c>
      <c r="K2750">
        <v>1986</v>
      </c>
      <c r="O2750">
        <v>66.3</v>
      </c>
      <c r="P2750" t="str">
        <f t="shared" si="34"/>
        <v>Consistent</v>
      </c>
      <c r="Q2750" t="s">
        <v>398</v>
      </c>
    </row>
    <row r="2751" spans="1:17">
      <c r="A2751" t="s">
        <v>921</v>
      </c>
      <c r="C2751" t="s">
        <v>393</v>
      </c>
      <c r="D2751" t="s">
        <v>554</v>
      </c>
      <c r="E2751" t="s">
        <v>138</v>
      </c>
      <c r="F2751" t="s">
        <v>1911</v>
      </c>
      <c r="G2751" t="s">
        <v>1937</v>
      </c>
      <c r="H2751" t="s">
        <v>399</v>
      </c>
      <c r="K2751">
        <v>1986</v>
      </c>
      <c r="O2751">
        <v>71.66</v>
      </c>
      <c r="P2751" t="str">
        <f t="shared" si="34"/>
        <v>Consistent</v>
      </c>
      <c r="Q2751" t="s">
        <v>398</v>
      </c>
    </row>
    <row r="2752" spans="1:17">
      <c r="A2752" t="s">
        <v>921</v>
      </c>
      <c r="C2752" t="s">
        <v>393</v>
      </c>
      <c r="D2752" t="s">
        <v>554</v>
      </c>
      <c r="E2752" t="s">
        <v>138</v>
      </c>
      <c r="F2752" t="s">
        <v>1911</v>
      </c>
      <c r="G2752" t="s">
        <v>1939</v>
      </c>
      <c r="H2752" t="s">
        <v>399</v>
      </c>
      <c r="K2752">
        <v>1986</v>
      </c>
      <c r="O2752">
        <v>74.429999999999993</v>
      </c>
      <c r="P2752" t="str">
        <f t="shared" si="34"/>
        <v>Consistent</v>
      </c>
      <c r="Q2752" t="s">
        <v>398</v>
      </c>
    </row>
    <row r="2753" spans="1:17">
      <c r="A2753" t="s">
        <v>921</v>
      </c>
      <c r="C2753" t="s">
        <v>393</v>
      </c>
      <c r="D2753" t="s">
        <v>554</v>
      </c>
      <c r="E2753" t="s">
        <v>138</v>
      </c>
      <c r="F2753" t="s">
        <v>1911</v>
      </c>
      <c r="G2753" t="s">
        <v>1939</v>
      </c>
      <c r="H2753" t="s">
        <v>457</v>
      </c>
      <c r="K2753">
        <v>1986</v>
      </c>
      <c r="O2753">
        <v>77.84</v>
      </c>
      <c r="P2753" t="str">
        <f t="shared" si="34"/>
        <v>Consistent</v>
      </c>
      <c r="Q2753" t="s">
        <v>398</v>
      </c>
    </row>
    <row r="2754" spans="1:17">
      <c r="A2754" t="s">
        <v>921</v>
      </c>
      <c r="C2754" t="s">
        <v>393</v>
      </c>
      <c r="D2754" t="s">
        <v>554</v>
      </c>
      <c r="E2754" t="s">
        <v>138</v>
      </c>
      <c r="F2754" t="s">
        <v>1911</v>
      </c>
      <c r="G2754" t="s">
        <v>1930</v>
      </c>
      <c r="H2754" t="s">
        <v>457</v>
      </c>
      <c r="K2754">
        <v>1986</v>
      </c>
      <c r="O2754">
        <v>79.77000000000001</v>
      </c>
      <c r="P2754" t="str">
        <f t="shared" si="34"/>
        <v>Consistent</v>
      </c>
      <c r="Q2754" t="s">
        <v>398</v>
      </c>
    </row>
    <row r="2755" spans="1:17">
      <c r="A2755" t="s">
        <v>921</v>
      </c>
      <c r="C2755" t="s">
        <v>393</v>
      </c>
      <c r="D2755" t="s">
        <v>554</v>
      </c>
      <c r="E2755" t="s">
        <v>138</v>
      </c>
      <c r="F2755" t="s">
        <v>1492</v>
      </c>
      <c r="G2755" t="s">
        <v>1921</v>
      </c>
      <c r="H2755" t="s">
        <v>457</v>
      </c>
      <c r="K2755">
        <v>1986</v>
      </c>
      <c r="O2755">
        <v>82.8</v>
      </c>
      <c r="P2755" t="str">
        <f t="shared" si="34"/>
        <v>Consistent</v>
      </c>
      <c r="Q2755" t="s">
        <v>398</v>
      </c>
    </row>
    <row r="2756" spans="1:17">
      <c r="A2756" t="s">
        <v>921</v>
      </c>
      <c r="C2756" t="s">
        <v>393</v>
      </c>
      <c r="D2756" t="s">
        <v>554</v>
      </c>
      <c r="E2756" t="s">
        <v>138</v>
      </c>
      <c r="F2756" t="s">
        <v>1911</v>
      </c>
      <c r="G2756" t="s">
        <v>1926</v>
      </c>
      <c r="H2756" t="s">
        <v>399</v>
      </c>
      <c r="K2756">
        <v>1986</v>
      </c>
      <c r="O2756">
        <v>90.109999999999985</v>
      </c>
      <c r="P2756" t="str">
        <f t="shared" si="34"/>
        <v>Consistent</v>
      </c>
      <c r="Q2756" t="s">
        <v>398</v>
      </c>
    </row>
    <row r="2757" spans="1:17">
      <c r="A2757" t="s">
        <v>921</v>
      </c>
      <c r="C2757" t="s">
        <v>393</v>
      </c>
      <c r="D2757" t="s">
        <v>554</v>
      </c>
      <c r="E2757" t="s">
        <v>138</v>
      </c>
      <c r="F2757" t="s">
        <v>1911</v>
      </c>
      <c r="G2757" t="s">
        <v>1941</v>
      </c>
      <c r="H2757" t="s">
        <v>396</v>
      </c>
      <c r="K2757">
        <v>1986</v>
      </c>
      <c r="O2757">
        <v>91.16</v>
      </c>
      <c r="P2757" t="str">
        <f t="shared" si="34"/>
        <v>Consistent</v>
      </c>
      <c r="Q2757" t="s">
        <v>398</v>
      </c>
    </row>
    <row r="2758" spans="1:17">
      <c r="A2758" t="s">
        <v>921</v>
      </c>
      <c r="C2758" t="s">
        <v>393</v>
      </c>
      <c r="D2758" t="s">
        <v>554</v>
      </c>
      <c r="E2758" t="s">
        <v>138</v>
      </c>
      <c r="F2758" t="s">
        <v>1911</v>
      </c>
      <c r="G2758" t="s">
        <v>1933</v>
      </c>
      <c r="H2758" t="s">
        <v>399</v>
      </c>
      <c r="K2758">
        <v>1986</v>
      </c>
      <c r="O2758">
        <v>93.350000000000009</v>
      </c>
      <c r="P2758" t="str">
        <f t="shared" si="34"/>
        <v>Consistent</v>
      </c>
      <c r="Q2758" t="s">
        <v>398</v>
      </c>
    </row>
    <row r="2759" spans="1:17">
      <c r="A2759" t="s">
        <v>921</v>
      </c>
      <c r="C2759" t="s">
        <v>393</v>
      </c>
      <c r="D2759" t="s">
        <v>554</v>
      </c>
      <c r="E2759" t="s">
        <v>138</v>
      </c>
      <c r="F2759" t="s">
        <v>1911</v>
      </c>
      <c r="G2759" t="s">
        <v>1936</v>
      </c>
      <c r="H2759" t="s">
        <v>457</v>
      </c>
      <c r="K2759">
        <v>1986</v>
      </c>
      <c r="O2759">
        <v>98.36</v>
      </c>
      <c r="P2759" t="str">
        <f t="shared" si="34"/>
        <v>Consistent</v>
      </c>
      <c r="Q2759" t="s">
        <v>398</v>
      </c>
    </row>
    <row r="2760" spans="1:17">
      <c r="A2760" t="s">
        <v>921</v>
      </c>
      <c r="C2760" t="s">
        <v>393</v>
      </c>
      <c r="D2760" t="s">
        <v>554</v>
      </c>
      <c r="E2760" t="s">
        <v>138</v>
      </c>
      <c r="F2760" t="s">
        <v>1911</v>
      </c>
      <c r="G2760" t="s">
        <v>1941</v>
      </c>
      <c r="H2760" t="s">
        <v>457</v>
      </c>
      <c r="K2760">
        <v>1986</v>
      </c>
      <c r="O2760">
        <v>99.25</v>
      </c>
      <c r="P2760" t="str">
        <f t="shared" si="34"/>
        <v>Consistent</v>
      </c>
      <c r="Q2760" t="s">
        <v>398</v>
      </c>
    </row>
    <row r="2761" spans="1:17">
      <c r="A2761" t="s">
        <v>921</v>
      </c>
      <c r="C2761" t="s">
        <v>393</v>
      </c>
      <c r="D2761" t="s">
        <v>554</v>
      </c>
      <c r="E2761" t="s">
        <v>138</v>
      </c>
      <c r="F2761" t="s">
        <v>1911</v>
      </c>
      <c r="G2761" t="s">
        <v>1937</v>
      </c>
      <c r="H2761" t="s">
        <v>396</v>
      </c>
      <c r="K2761">
        <v>1986</v>
      </c>
      <c r="O2761">
        <v>102.72</v>
      </c>
      <c r="P2761" t="str">
        <f t="shared" si="34"/>
        <v>Consistent</v>
      </c>
      <c r="Q2761" t="s">
        <v>398</v>
      </c>
    </row>
    <row r="2762" spans="1:17">
      <c r="A2762" t="s">
        <v>921</v>
      </c>
      <c r="C2762" t="s">
        <v>393</v>
      </c>
      <c r="D2762" t="s">
        <v>554</v>
      </c>
      <c r="E2762" t="s">
        <v>138</v>
      </c>
      <c r="F2762" t="s">
        <v>1911</v>
      </c>
      <c r="G2762" t="s">
        <v>1926</v>
      </c>
      <c r="H2762" t="s">
        <v>457</v>
      </c>
      <c r="K2762">
        <v>1986</v>
      </c>
      <c r="O2762">
        <v>106.05000000000001</v>
      </c>
      <c r="P2762" t="str">
        <f t="shared" si="34"/>
        <v>Consistent</v>
      </c>
      <c r="Q2762" t="s">
        <v>398</v>
      </c>
    </row>
    <row r="2763" spans="1:17">
      <c r="A2763" t="s">
        <v>921</v>
      </c>
      <c r="C2763" t="s">
        <v>393</v>
      </c>
      <c r="D2763" t="s">
        <v>554</v>
      </c>
      <c r="E2763" t="s">
        <v>138</v>
      </c>
      <c r="F2763" t="s">
        <v>1911</v>
      </c>
      <c r="G2763" t="s">
        <v>1913</v>
      </c>
      <c r="H2763" t="s">
        <v>396</v>
      </c>
      <c r="K2763">
        <v>1986</v>
      </c>
      <c r="O2763">
        <v>109.75</v>
      </c>
      <c r="P2763" t="str">
        <f t="shared" si="34"/>
        <v>Consistent</v>
      </c>
      <c r="Q2763" t="s">
        <v>398</v>
      </c>
    </row>
    <row r="2764" spans="1:17">
      <c r="A2764" t="s">
        <v>921</v>
      </c>
      <c r="C2764" t="s">
        <v>393</v>
      </c>
      <c r="D2764" t="s">
        <v>554</v>
      </c>
      <c r="E2764" t="s">
        <v>138</v>
      </c>
      <c r="F2764" t="s">
        <v>1911</v>
      </c>
      <c r="G2764" t="s">
        <v>1932</v>
      </c>
      <c r="H2764" t="s">
        <v>399</v>
      </c>
      <c r="K2764">
        <v>1986</v>
      </c>
      <c r="O2764">
        <v>111.01</v>
      </c>
      <c r="P2764" t="str">
        <f t="shared" si="34"/>
        <v>Consistent</v>
      </c>
      <c r="Q2764" t="s">
        <v>398</v>
      </c>
    </row>
    <row r="2765" spans="1:17">
      <c r="A2765" t="s">
        <v>921</v>
      </c>
      <c r="C2765" t="s">
        <v>393</v>
      </c>
      <c r="D2765" t="s">
        <v>554</v>
      </c>
      <c r="E2765" t="s">
        <v>138</v>
      </c>
      <c r="F2765" t="s">
        <v>1492</v>
      </c>
      <c r="G2765" t="s">
        <v>1924</v>
      </c>
      <c r="H2765" t="s">
        <v>457</v>
      </c>
      <c r="K2765">
        <v>1986</v>
      </c>
      <c r="O2765">
        <v>115.77</v>
      </c>
      <c r="P2765" t="str">
        <f t="shared" si="34"/>
        <v>Consistent</v>
      </c>
      <c r="Q2765" t="s">
        <v>398</v>
      </c>
    </row>
    <row r="2766" spans="1:17">
      <c r="A2766" t="s">
        <v>921</v>
      </c>
      <c r="C2766" t="s">
        <v>393</v>
      </c>
      <c r="D2766" t="s">
        <v>554</v>
      </c>
      <c r="E2766" t="s">
        <v>138</v>
      </c>
      <c r="F2766" t="s">
        <v>1911</v>
      </c>
      <c r="G2766" t="s">
        <v>1932</v>
      </c>
      <c r="H2766" t="s">
        <v>457</v>
      </c>
      <c r="K2766">
        <v>1986</v>
      </c>
      <c r="O2766">
        <v>116.11000000000001</v>
      </c>
      <c r="P2766" t="str">
        <f t="shared" si="34"/>
        <v>Consistent</v>
      </c>
      <c r="Q2766" t="s">
        <v>398</v>
      </c>
    </row>
    <row r="2767" spans="1:17">
      <c r="A2767" t="s">
        <v>921</v>
      </c>
      <c r="C2767" t="s">
        <v>393</v>
      </c>
      <c r="D2767" t="s">
        <v>554</v>
      </c>
      <c r="E2767" t="s">
        <v>138</v>
      </c>
      <c r="F2767" t="s">
        <v>1911</v>
      </c>
      <c r="G2767" t="s">
        <v>1933</v>
      </c>
      <c r="H2767" t="s">
        <v>457</v>
      </c>
      <c r="K2767">
        <v>1986</v>
      </c>
      <c r="O2767">
        <v>121.30000000000001</v>
      </c>
      <c r="P2767" t="str">
        <f t="shared" si="34"/>
        <v>Consistent</v>
      </c>
      <c r="Q2767" t="s">
        <v>398</v>
      </c>
    </row>
    <row r="2768" spans="1:17">
      <c r="A2768" t="s">
        <v>921</v>
      </c>
      <c r="C2768" t="s">
        <v>393</v>
      </c>
      <c r="D2768" t="s">
        <v>554</v>
      </c>
      <c r="E2768" t="s">
        <v>138</v>
      </c>
      <c r="F2768" t="s">
        <v>1911</v>
      </c>
      <c r="G2768" t="s">
        <v>1923</v>
      </c>
      <c r="H2768" t="s">
        <v>399</v>
      </c>
      <c r="K2768">
        <v>1986</v>
      </c>
      <c r="O2768">
        <v>135.54</v>
      </c>
      <c r="P2768" t="str">
        <f t="shared" si="34"/>
        <v>Consistent</v>
      </c>
      <c r="Q2768" t="s">
        <v>398</v>
      </c>
    </row>
    <row r="2769" spans="1:17">
      <c r="A2769" t="s">
        <v>921</v>
      </c>
      <c r="C2769" t="s">
        <v>393</v>
      </c>
      <c r="D2769" t="s">
        <v>554</v>
      </c>
      <c r="E2769" t="s">
        <v>138</v>
      </c>
      <c r="F2769" t="s">
        <v>1911</v>
      </c>
      <c r="G2769" t="s">
        <v>1927</v>
      </c>
      <c r="H2769" t="s">
        <v>399</v>
      </c>
      <c r="K2769">
        <v>1986</v>
      </c>
      <c r="O2769">
        <v>143.39000000000001</v>
      </c>
      <c r="P2769" t="str">
        <f t="shared" si="34"/>
        <v>Consistent</v>
      </c>
      <c r="Q2769" t="s">
        <v>398</v>
      </c>
    </row>
    <row r="2770" spans="1:17">
      <c r="A2770" t="s">
        <v>921</v>
      </c>
      <c r="C2770" t="s">
        <v>393</v>
      </c>
      <c r="D2770" t="s">
        <v>554</v>
      </c>
      <c r="E2770" t="s">
        <v>138</v>
      </c>
      <c r="F2770" t="s">
        <v>1911</v>
      </c>
      <c r="G2770" t="s">
        <v>1912</v>
      </c>
      <c r="H2770" t="s">
        <v>457</v>
      </c>
      <c r="K2770">
        <v>1986</v>
      </c>
      <c r="O2770">
        <v>148.12</v>
      </c>
      <c r="P2770" t="str">
        <f t="shared" si="34"/>
        <v>Consistent</v>
      </c>
      <c r="Q2770" t="s">
        <v>398</v>
      </c>
    </row>
    <row r="2771" spans="1:17">
      <c r="A2771" t="s">
        <v>921</v>
      </c>
      <c r="C2771" t="s">
        <v>393</v>
      </c>
      <c r="D2771" t="s">
        <v>554</v>
      </c>
      <c r="E2771" t="s">
        <v>138</v>
      </c>
      <c r="F2771" t="s">
        <v>1911</v>
      </c>
      <c r="G2771" t="s">
        <v>1927</v>
      </c>
      <c r="H2771" t="s">
        <v>457</v>
      </c>
      <c r="K2771">
        <v>1986</v>
      </c>
      <c r="O2771">
        <v>162.77000000000001</v>
      </c>
      <c r="P2771" t="str">
        <f t="shared" si="34"/>
        <v>Consistent</v>
      </c>
      <c r="Q2771" t="s">
        <v>398</v>
      </c>
    </row>
    <row r="2772" spans="1:17">
      <c r="A2772" t="s">
        <v>921</v>
      </c>
      <c r="C2772" t="s">
        <v>393</v>
      </c>
      <c r="D2772" t="s">
        <v>554</v>
      </c>
      <c r="E2772" t="s">
        <v>138</v>
      </c>
      <c r="F2772" t="s">
        <v>1911</v>
      </c>
      <c r="G2772" t="s">
        <v>1940</v>
      </c>
      <c r="H2772" t="s">
        <v>457</v>
      </c>
      <c r="K2772">
        <v>1986</v>
      </c>
      <c r="O2772">
        <v>175.39000000000001</v>
      </c>
      <c r="P2772" t="str">
        <f t="shared" si="34"/>
        <v>Consistent</v>
      </c>
      <c r="Q2772" t="s">
        <v>398</v>
      </c>
    </row>
    <row r="2773" spans="1:17">
      <c r="A2773" t="s">
        <v>921</v>
      </c>
      <c r="C2773" t="s">
        <v>393</v>
      </c>
      <c r="D2773" t="s">
        <v>554</v>
      </c>
      <c r="E2773" t="s">
        <v>138</v>
      </c>
      <c r="F2773" t="s">
        <v>1911</v>
      </c>
      <c r="G2773" t="s">
        <v>1940</v>
      </c>
      <c r="H2773" t="s">
        <v>399</v>
      </c>
      <c r="K2773">
        <v>1986</v>
      </c>
      <c r="O2773">
        <v>176.87</v>
      </c>
      <c r="P2773" t="str">
        <f t="shared" si="34"/>
        <v>Consistent</v>
      </c>
      <c r="Q2773" t="s">
        <v>398</v>
      </c>
    </row>
    <row r="2774" spans="1:17">
      <c r="A2774" t="s">
        <v>921</v>
      </c>
      <c r="C2774" t="s">
        <v>393</v>
      </c>
      <c r="D2774" t="s">
        <v>554</v>
      </c>
      <c r="E2774" t="s">
        <v>138</v>
      </c>
      <c r="F2774" t="s">
        <v>1911</v>
      </c>
      <c r="G2774" t="s">
        <v>1931</v>
      </c>
      <c r="H2774" t="s">
        <v>457</v>
      </c>
      <c r="K2774">
        <v>1986</v>
      </c>
      <c r="O2774">
        <v>181.28</v>
      </c>
      <c r="P2774" t="str">
        <f t="shared" si="34"/>
        <v>Consistent</v>
      </c>
      <c r="Q2774" t="s">
        <v>398</v>
      </c>
    </row>
    <row r="2775" spans="1:17">
      <c r="A2775" t="s">
        <v>921</v>
      </c>
      <c r="C2775" t="s">
        <v>393</v>
      </c>
      <c r="D2775" t="s">
        <v>554</v>
      </c>
      <c r="E2775" t="s">
        <v>138</v>
      </c>
      <c r="F2775" t="s">
        <v>1911</v>
      </c>
      <c r="G2775" t="s">
        <v>1923</v>
      </c>
      <c r="H2775" t="s">
        <v>457</v>
      </c>
      <c r="K2775">
        <v>1986</v>
      </c>
      <c r="O2775">
        <v>198.45</v>
      </c>
      <c r="P2775" t="str">
        <f t="shared" si="34"/>
        <v>Consistent</v>
      </c>
      <c r="Q2775" t="s">
        <v>398</v>
      </c>
    </row>
    <row r="2776" spans="1:17">
      <c r="A2776" t="s">
        <v>504</v>
      </c>
      <c r="C2776" t="s">
        <v>393</v>
      </c>
      <c r="D2776" t="s">
        <v>505</v>
      </c>
      <c r="E2776" t="s">
        <v>138</v>
      </c>
      <c r="F2776" t="s">
        <v>1492</v>
      </c>
      <c r="G2776" t="s">
        <v>1943</v>
      </c>
      <c r="H2776" t="s">
        <v>457</v>
      </c>
      <c r="K2776">
        <v>1993</v>
      </c>
      <c r="O2776">
        <v>-11.719999999999999</v>
      </c>
      <c r="P2776" t="str">
        <f t="shared" si="34"/>
        <v>Not consistent</v>
      </c>
      <c r="Q2776" t="s">
        <v>398</v>
      </c>
    </row>
    <row r="2777" spans="1:17">
      <c r="A2777" t="s">
        <v>504</v>
      </c>
      <c r="C2777" t="s">
        <v>393</v>
      </c>
      <c r="D2777" t="s">
        <v>505</v>
      </c>
      <c r="E2777" t="s">
        <v>138</v>
      </c>
      <c r="F2777" t="s">
        <v>1492</v>
      </c>
      <c r="G2777" t="s">
        <v>1944</v>
      </c>
      <c r="H2777" t="s">
        <v>457</v>
      </c>
      <c r="K2777">
        <v>1993</v>
      </c>
      <c r="O2777">
        <v>-6.44</v>
      </c>
      <c r="P2777" t="str">
        <f t="shared" si="34"/>
        <v>Not consistent</v>
      </c>
      <c r="Q2777" t="s">
        <v>398</v>
      </c>
    </row>
    <row r="2778" spans="1:17">
      <c r="A2778" t="s">
        <v>504</v>
      </c>
      <c r="C2778" t="s">
        <v>393</v>
      </c>
      <c r="D2778" t="s">
        <v>505</v>
      </c>
      <c r="E2778" t="s">
        <v>138</v>
      </c>
      <c r="F2778" t="s">
        <v>1492</v>
      </c>
      <c r="G2778" t="s">
        <v>1945</v>
      </c>
      <c r="H2778" t="s">
        <v>457</v>
      </c>
      <c r="K2778">
        <v>1993</v>
      </c>
      <c r="O2778">
        <v>-5.8999999999999995</v>
      </c>
      <c r="P2778" t="str">
        <f t="shared" si="34"/>
        <v>Not consistent</v>
      </c>
      <c r="Q2778" t="s">
        <v>398</v>
      </c>
    </row>
    <row r="2779" spans="1:17">
      <c r="A2779" t="s">
        <v>504</v>
      </c>
      <c r="C2779" t="s">
        <v>393</v>
      </c>
      <c r="D2779" t="s">
        <v>505</v>
      </c>
      <c r="E2779" t="s">
        <v>138</v>
      </c>
      <c r="F2779" t="s">
        <v>1492</v>
      </c>
      <c r="G2779" t="s">
        <v>1946</v>
      </c>
      <c r="H2779" t="s">
        <v>457</v>
      </c>
      <c r="K2779">
        <v>1993</v>
      </c>
      <c r="O2779">
        <v>-3.3400000000000003</v>
      </c>
      <c r="P2779" t="str">
        <f t="shared" si="34"/>
        <v>Not consistent</v>
      </c>
      <c r="Q2779" t="s">
        <v>398</v>
      </c>
    </row>
    <row r="2780" spans="1:17">
      <c r="A2780" t="s">
        <v>504</v>
      </c>
      <c r="C2780" t="s">
        <v>393</v>
      </c>
      <c r="D2780" t="s">
        <v>505</v>
      </c>
      <c r="E2780" t="s">
        <v>138</v>
      </c>
      <c r="F2780" t="s">
        <v>1492</v>
      </c>
      <c r="G2780" t="s">
        <v>1947</v>
      </c>
      <c r="H2780" t="s">
        <v>457</v>
      </c>
      <c r="K2780">
        <v>1993</v>
      </c>
      <c r="O2780">
        <v>-0.73</v>
      </c>
      <c r="P2780" t="str">
        <f t="shared" si="34"/>
        <v>Not consistent</v>
      </c>
      <c r="Q2780" t="s">
        <v>398</v>
      </c>
    </row>
    <row r="2781" spans="1:17">
      <c r="A2781" t="s">
        <v>504</v>
      </c>
      <c r="C2781" t="s">
        <v>393</v>
      </c>
      <c r="D2781" t="s">
        <v>505</v>
      </c>
      <c r="E2781" t="s">
        <v>138</v>
      </c>
      <c r="F2781" t="s">
        <v>1492</v>
      </c>
      <c r="G2781" t="s">
        <v>1948</v>
      </c>
      <c r="H2781" t="s">
        <v>457</v>
      </c>
      <c r="K2781">
        <v>1993</v>
      </c>
      <c r="O2781">
        <v>-0.34</v>
      </c>
      <c r="P2781" t="str">
        <f t="shared" si="34"/>
        <v>Not consistent</v>
      </c>
      <c r="Q2781" t="s">
        <v>398</v>
      </c>
    </row>
    <row r="2782" spans="1:17">
      <c r="A2782" t="s">
        <v>504</v>
      </c>
      <c r="C2782" t="s">
        <v>393</v>
      </c>
      <c r="D2782" t="s">
        <v>505</v>
      </c>
      <c r="E2782" t="s">
        <v>138</v>
      </c>
      <c r="F2782" t="s">
        <v>1492</v>
      </c>
      <c r="G2782" t="s">
        <v>1949</v>
      </c>
      <c r="H2782" t="s">
        <v>457</v>
      </c>
      <c r="K2782">
        <v>1993</v>
      </c>
      <c r="O2782">
        <v>0</v>
      </c>
      <c r="P2782" t="str">
        <f t="shared" si="34"/>
        <v>Not consistent</v>
      </c>
      <c r="Q2782" t="s">
        <v>398</v>
      </c>
    </row>
    <row r="2783" spans="1:17">
      <c r="A2783" t="s">
        <v>504</v>
      </c>
      <c r="C2783" t="s">
        <v>393</v>
      </c>
      <c r="D2783" t="s">
        <v>505</v>
      </c>
      <c r="E2783" t="s">
        <v>138</v>
      </c>
      <c r="F2783" t="s">
        <v>1492</v>
      </c>
      <c r="G2783" t="s">
        <v>1950</v>
      </c>
      <c r="H2783" t="s">
        <v>457</v>
      </c>
      <c r="K2783">
        <v>1993</v>
      </c>
      <c r="O2783">
        <v>0</v>
      </c>
      <c r="P2783" t="str">
        <f t="shared" si="34"/>
        <v>Not consistent</v>
      </c>
      <c r="Q2783" t="s">
        <v>398</v>
      </c>
    </row>
    <row r="2784" spans="1:17">
      <c r="A2784" t="s">
        <v>504</v>
      </c>
      <c r="C2784" t="s">
        <v>393</v>
      </c>
      <c r="D2784" t="s">
        <v>505</v>
      </c>
      <c r="E2784" t="s">
        <v>138</v>
      </c>
      <c r="F2784" t="s">
        <v>1492</v>
      </c>
      <c r="G2784" t="s">
        <v>1951</v>
      </c>
      <c r="H2784" t="s">
        <v>457</v>
      </c>
      <c r="K2784">
        <v>1993</v>
      </c>
      <c r="O2784">
        <v>0</v>
      </c>
      <c r="P2784" t="str">
        <f t="shared" si="34"/>
        <v>Not consistent</v>
      </c>
      <c r="Q2784" t="s">
        <v>398</v>
      </c>
    </row>
    <row r="2785" spans="1:17">
      <c r="A2785" t="s">
        <v>504</v>
      </c>
      <c r="C2785" t="s">
        <v>393</v>
      </c>
      <c r="D2785" t="s">
        <v>505</v>
      </c>
      <c r="E2785" t="s">
        <v>138</v>
      </c>
      <c r="F2785" t="s">
        <v>1492</v>
      </c>
      <c r="G2785" t="s">
        <v>1952</v>
      </c>
      <c r="H2785" t="s">
        <v>457</v>
      </c>
      <c r="K2785">
        <v>1993</v>
      </c>
      <c r="O2785">
        <v>0</v>
      </c>
      <c r="P2785" t="str">
        <f t="shared" si="34"/>
        <v>Not consistent</v>
      </c>
      <c r="Q2785" t="s">
        <v>398</v>
      </c>
    </row>
    <row r="2786" spans="1:17">
      <c r="A2786" t="s">
        <v>504</v>
      </c>
      <c r="C2786" t="s">
        <v>393</v>
      </c>
      <c r="D2786" t="s">
        <v>505</v>
      </c>
      <c r="E2786" t="s">
        <v>138</v>
      </c>
      <c r="F2786" t="s">
        <v>1492</v>
      </c>
      <c r="G2786" t="s">
        <v>1953</v>
      </c>
      <c r="H2786" t="s">
        <v>457</v>
      </c>
      <c r="K2786">
        <v>1993</v>
      </c>
      <c r="O2786">
        <v>0.64</v>
      </c>
      <c r="P2786" t="str">
        <f t="shared" si="34"/>
        <v>Consistent</v>
      </c>
      <c r="Q2786" t="s">
        <v>398</v>
      </c>
    </row>
    <row r="2787" spans="1:17">
      <c r="A2787" t="s">
        <v>504</v>
      </c>
      <c r="C2787" t="s">
        <v>393</v>
      </c>
      <c r="D2787" t="s">
        <v>505</v>
      </c>
      <c r="E2787" t="s">
        <v>138</v>
      </c>
      <c r="F2787" t="s">
        <v>1492</v>
      </c>
      <c r="G2787" t="s">
        <v>140</v>
      </c>
      <c r="H2787" t="s">
        <v>457</v>
      </c>
      <c r="K2787">
        <v>1993</v>
      </c>
      <c r="O2787">
        <v>0.94</v>
      </c>
      <c r="P2787" t="str">
        <f t="shared" si="34"/>
        <v>Consistent</v>
      </c>
      <c r="Q2787" t="s">
        <v>398</v>
      </c>
    </row>
    <row r="2788" spans="1:17">
      <c r="A2788" t="s">
        <v>504</v>
      </c>
      <c r="C2788" t="s">
        <v>393</v>
      </c>
      <c r="D2788" t="s">
        <v>505</v>
      </c>
      <c r="E2788" t="s">
        <v>138</v>
      </c>
      <c r="F2788" t="s">
        <v>1492</v>
      </c>
      <c r="G2788" t="s">
        <v>1954</v>
      </c>
      <c r="H2788" t="s">
        <v>457</v>
      </c>
      <c r="K2788">
        <v>1993</v>
      </c>
      <c r="O2788">
        <v>1.2</v>
      </c>
      <c r="P2788" t="str">
        <f t="shared" si="34"/>
        <v>Consistent</v>
      </c>
      <c r="Q2788" t="s">
        <v>398</v>
      </c>
    </row>
    <row r="2789" spans="1:17">
      <c r="A2789" t="s">
        <v>504</v>
      </c>
      <c r="C2789" t="s">
        <v>393</v>
      </c>
      <c r="D2789" t="s">
        <v>505</v>
      </c>
      <c r="E2789" t="s">
        <v>138</v>
      </c>
      <c r="F2789" t="s">
        <v>1492</v>
      </c>
      <c r="G2789" t="s">
        <v>1955</v>
      </c>
      <c r="H2789" t="s">
        <v>457</v>
      </c>
      <c r="K2789">
        <v>1993</v>
      </c>
      <c r="O2789">
        <v>2.82</v>
      </c>
      <c r="P2789" t="str">
        <f t="shared" si="34"/>
        <v>Consistent</v>
      </c>
      <c r="Q2789" t="s">
        <v>398</v>
      </c>
    </row>
    <row r="2790" spans="1:17">
      <c r="A2790" t="s">
        <v>504</v>
      </c>
      <c r="C2790" t="s">
        <v>393</v>
      </c>
      <c r="D2790" t="s">
        <v>505</v>
      </c>
      <c r="E2790" t="s">
        <v>138</v>
      </c>
      <c r="F2790" t="s">
        <v>1492</v>
      </c>
      <c r="G2790" t="s">
        <v>1956</v>
      </c>
      <c r="H2790" t="s">
        <v>457</v>
      </c>
      <c r="K2790">
        <v>1993</v>
      </c>
      <c r="O2790">
        <v>11.23</v>
      </c>
      <c r="P2790" t="str">
        <f t="shared" si="34"/>
        <v>Consistent</v>
      </c>
      <c r="Q2790" t="s">
        <v>398</v>
      </c>
    </row>
    <row r="2791" spans="1:17">
      <c r="A2791" t="s">
        <v>504</v>
      </c>
      <c r="C2791" t="s">
        <v>393</v>
      </c>
      <c r="D2791" t="s">
        <v>505</v>
      </c>
      <c r="E2791" t="s">
        <v>138</v>
      </c>
      <c r="F2791" t="s">
        <v>1492</v>
      </c>
      <c r="G2791" t="s">
        <v>1957</v>
      </c>
      <c r="H2791" t="s">
        <v>457</v>
      </c>
      <c r="K2791">
        <v>1993</v>
      </c>
      <c r="O2791">
        <v>14.64</v>
      </c>
      <c r="P2791" t="str">
        <f t="shared" si="34"/>
        <v>Consistent</v>
      </c>
      <c r="Q2791" t="s">
        <v>398</v>
      </c>
    </row>
    <row r="2792" spans="1:17">
      <c r="A2792" t="s">
        <v>504</v>
      </c>
      <c r="C2792" t="s">
        <v>393</v>
      </c>
      <c r="D2792" t="s">
        <v>505</v>
      </c>
      <c r="E2792" t="s">
        <v>138</v>
      </c>
      <c r="F2792" t="s">
        <v>1492</v>
      </c>
      <c r="G2792" t="s">
        <v>1958</v>
      </c>
      <c r="H2792" t="s">
        <v>457</v>
      </c>
      <c r="K2792">
        <v>1993</v>
      </c>
      <c r="O2792">
        <v>14.64</v>
      </c>
      <c r="P2792" t="str">
        <f t="shared" si="34"/>
        <v>Consistent</v>
      </c>
      <c r="Q2792" t="s">
        <v>398</v>
      </c>
    </row>
    <row r="2793" spans="1:17">
      <c r="A2793" t="s">
        <v>504</v>
      </c>
      <c r="C2793" t="s">
        <v>393</v>
      </c>
      <c r="D2793" t="s">
        <v>505</v>
      </c>
      <c r="E2793" t="s">
        <v>138</v>
      </c>
      <c r="F2793" t="s">
        <v>1492</v>
      </c>
      <c r="G2793" t="s">
        <v>1959</v>
      </c>
      <c r="H2793" t="s">
        <v>457</v>
      </c>
      <c r="K2793">
        <v>1993</v>
      </c>
      <c r="O2793">
        <v>14.64</v>
      </c>
      <c r="P2793" t="str">
        <f t="shared" si="34"/>
        <v>Consistent</v>
      </c>
      <c r="Q2793" t="s">
        <v>398</v>
      </c>
    </row>
    <row r="2794" spans="1:17">
      <c r="A2794" t="s">
        <v>504</v>
      </c>
      <c r="C2794" t="s">
        <v>393</v>
      </c>
      <c r="D2794" t="s">
        <v>505</v>
      </c>
      <c r="E2794" t="s">
        <v>138</v>
      </c>
      <c r="F2794" t="s">
        <v>1492</v>
      </c>
      <c r="G2794" t="s">
        <v>1960</v>
      </c>
      <c r="H2794" t="s">
        <v>457</v>
      </c>
      <c r="K2794">
        <v>1993</v>
      </c>
      <c r="O2794">
        <v>19.43</v>
      </c>
      <c r="P2794" t="str">
        <f t="shared" si="34"/>
        <v>Consistent</v>
      </c>
      <c r="Q2794" t="s">
        <v>398</v>
      </c>
    </row>
    <row r="2795" spans="1:17">
      <c r="A2795" t="s">
        <v>504</v>
      </c>
      <c r="C2795" t="s">
        <v>393</v>
      </c>
      <c r="D2795" t="s">
        <v>505</v>
      </c>
      <c r="E2795" t="s">
        <v>138</v>
      </c>
      <c r="F2795" t="s">
        <v>1492</v>
      </c>
      <c r="G2795" t="s">
        <v>1961</v>
      </c>
      <c r="H2795" t="s">
        <v>457</v>
      </c>
      <c r="K2795">
        <v>1993</v>
      </c>
      <c r="O2795">
        <v>21.490000000000002</v>
      </c>
      <c r="P2795" t="str">
        <f t="shared" si="34"/>
        <v>Consistent</v>
      </c>
      <c r="Q2795" t="s">
        <v>398</v>
      </c>
    </row>
    <row r="2796" spans="1:17">
      <c r="A2796" t="s">
        <v>504</v>
      </c>
      <c r="C2796" t="s">
        <v>393</v>
      </c>
      <c r="D2796" t="s">
        <v>505</v>
      </c>
      <c r="E2796" t="s">
        <v>138</v>
      </c>
      <c r="F2796" t="s">
        <v>1492</v>
      </c>
      <c r="G2796" t="s">
        <v>1962</v>
      </c>
      <c r="H2796" t="s">
        <v>457</v>
      </c>
      <c r="K2796">
        <v>1993</v>
      </c>
      <c r="O2796">
        <v>111.15</v>
      </c>
      <c r="P2796" t="str">
        <f t="shared" si="34"/>
        <v>Consistent</v>
      </c>
      <c r="Q2796" t="s">
        <v>398</v>
      </c>
    </row>
    <row r="2797" spans="1:17">
      <c r="A2797" t="s">
        <v>553</v>
      </c>
      <c r="C2797" t="s">
        <v>393</v>
      </c>
      <c r="D2797" t="s">
        <v>554</v>
      </c>
      <c r="E2797" t="s">
        <v>138</v>
      </c>
      <c r="F2797" t="s">
        <v>1492</v>
      </c>
      <c r="G2797" t="s">
        <v>1494</v>
      </c>
      <c r="H2797" t="s">
        <v>399</v>
      </c>
      <c r="K2797">
        <v>1984</v>
      </c>
      <c r="O2797">
        <v>-39.519999999999996</v>
      </c>
      <c r="P2797" t="str">
        <f t="shared" si="34"/>
        <v>Not consistent</v>
      </c>
      <c r="Q2797" t="s">
        <v>398</v>
      </c>
    </row>
    <row r="2798" spans="1:17">
      <c r="A2798" t="s">
        <v>553</v>
      </c>
      <c r="C2798" t="s">
        <v>393</v>
      </c>
      <c r="D2798" t="s">
        <v>554</v>
      </c>
      <c r="E2798" t="s">
        <v>138</v>
      </c>
      <c r="F2798" t="s">
        <v>1492</v>
      </c>
      <c r="G2798" t="s">
        <v>1495</v>
      </c>
      <c r="H2798" t="s">
        <v>399</v>
      </c>
      <c r="K2798">
        <v>1982</v>
      </c>
      <c r="O2798">
        <v>-2.2200000000000002</v>
      </c>
      <c r="P2798" t="str">
        <f t="shared" si="34"/>
        <v>Not consistent</v>
      </c>
      <c r="Q2798" t="s">
        <v>398</v>
      </c>
    </row>
    <row r="2799" spans="1:17">
      <c r="A2799" t="s">
        <v>553</v>
      </c>
      <c r="C2799" t="s">
        <v>393</v>
      </c>
      <c r="D2799" t="s">
        <v>554</v>
      </c>
      <c r="E2799" t="s">
        <v>138</v>
      </c>
      <c r="F2799" t="s">
        <v>1492</v>
      </c>
      <c r="G2799" t="s">
        <v>1493</v>
      </c>
      <c r="H2799" t="s">
        <v>399</v>
      </c>
      <c r="K2799">
        <v>1982</v>
      </c>
      <c r="O2799">
        <v>4.9800000000000004</v>
      </c>
      <c r="P2799" t="str">
        <f t="shared" si="34"/>
        <v>Consistent</v>
      </c>
      <c r="Q2799" t="s">
        <v>398</v>
      </c>
    </row>
    <row r="2800" spans="1:17">
      <c r="A2800" t="s">
        <v>553</v>
      </c>
      <c r="C2800" t="s">
        <v>393</v>
      </c>
      <c r="D2800" t="s">
        <v>554</v>
      </c>
      <c r="E2800" t="s">
        <v>138</v>
      </c>
      <c r="F2800" t="s">
        <v>1492</v>
      </c>
      <c r="G2800" t="s">
        <v>1494</v>
      </c>
      <c r="H2800" t="s">
        <v>399</v>
      </c>
      <c r="K2800">
        <v>1982</v>
      </c>
      <c r="O2800">
        <v>21.98</v>
      </c>
      <c r="P2800" t="str">
        <f t="shared" si="34"/>
        <v>Consistent</v>
      </c>
      <c r="Q2800" t="s">
        <v>398</v>
      </c>
    </row>
    <row r="2801" spans="1:17">
      <c r="A2801" t="s">
        <v>1963</v>
      </c>
      <c r="C2801" t="s">
        <v>393</v>
      </c>
      <c r="D2801" t="s">
        <v>554</v>
      </c>
      <c r="E2801" t="s">
        <v>138</v>
      </c>
      <c r="F2801" t="s">
        <v>1911</v>
      </c>
      <c r="G2801" t="s">
        <v>365</v>
      </c>
      <c r="H2801" t="s">
        <v>457</v>
      </c>
      <c r="K2801">
        <v>1898</v>
      </c>
      <c r="O2801">
        <v>-15.48</v>
      </c>
      <c r="P2801" t="str">
        <f t="shared" si="34"/>
        <v>Not consistent</v>
      </c>
      <c r="Q2801" t="s">
        <v>398</v>
      </c>
    </row>
    <row r="2802" spans="1:17">
      <c r="A2802" t="s">
        <v>1963</v>
      </c>
      <c r="C2802" t="s">
        <v>393</v>
      </c>
      <c r="D2802" t="s">
        <v>554</v>
      </c>
      <c r="E2802" t="s">
        <v>138</v>
      </c>
      <c r="F2802" t="s">
        <v>1911</v>
      </c>
      <c r="G2802" t="s">
        <v>1964</v>
      </c>
      <c r="H2802" t="s">
        <v>457</v>
      </c>
      <c r="K2802">
        <v>1898</v>
      </c>
      <c r="O2802">
        <v>41.67</v>
      </c>
      <c r="P2802" t="str">
        <f t="shared" si="34"/>
        <v>Consistent</v>
      </c>
      <c r="Q2802" t="s">
        <v>398</v>
      </c>
    </row>
    <row r="2803" spans="1:17">
      <c r="A2803" t="s">
        <v>1716</v>
      </c>
      <c r="B2803" t="s">
        <v>593</v>
      </c>
      <c r="C2803" t="s">
        <v>393</v>
      </c>
      <c r="D2803" t="s">
        <v>739</v>
      </c>
      <c r="E2803" t="s">
        <v>161</v>
      </c>
      <c r="G2803" t="s">
        <v>1965</v>
      </c>
      <c r="H2803" t="s">
        <v>700</v>
      </c>
      <c r="K2803">
        <v>1985</v>
      </c>
      <c r="L2803">
        <v>2010</v>
      </c>
      <c r="M2803">
        <v>25</v>
      </c>
      <c r="O2803" t="s">
        <v>1169</v>
      </c>
      <c r="P2803" t="s">
        <v>1169</v>
      </c>
      <c r="Q2803" t="s">
        <v>701</v>
      </c>
    </row>
    <row r="2804" spans="1:17">
      <c r="A2804" t="s">
        <v>1716</v>
      </c>
      <c r="B2804" t="s">
        <v>593</v>
      </c>
      <c r="C2804" t="s">
        <v>393</v>
      </c>
      <c r="D2804" t="s">
        <v>739</v>
      </c>
      <c r="E2804" t="s">
        <v>161</v>
      </c>
      <c r="G2804" t="s">
        <v>1966</v>
      </c>
      <c r="H2804" t="s">
        <v>700</v>
      </c>
      <c r="K2804">
        <v>1985</v>
      </c>
      <c r="L2804">
        <v>2010</v>
      </c>
      <c r="M2804">
        <v>25</v>
      </c>
      <c r="O2804" t="s">
        <v>1169</v>
      </c>
      <c r="P2804" t="s">
        <v>1169</v>
      </c>
      <c r="Q2804" t="s">
        <v>701</v>
      </c>
    </row>
    <row r="2805" spans="1:17">
      <c r="A2805" t="s">
        <v>940</v>
      </c>
      <c r="C2805" t="s">
        <v>393</v>
      </c>
      <c r="D2805" t="s">
        <v>554</v>
      </c>
      <c r="E2805" t="s">
        <v>138</v>
      </c>
      <c r="F2805" t="s">
        <v>1911</v>
      </c>
      <c r="G2805" t="s">
        <v>1967</v>
      </c>
      <c r="H2805" t="s">
        <v>396</v>
      </c>
      <c r="K2805">
        <v>1993</v>
      </c>
      <c r="O2805">
        <v>-631.76</v>
      </c>
      <c r="P2805" t="str">
        <f t="shared" ref="P2805:P2858" si="35">(IF(O2805&gt;0,"Consistent","Not consistent"))</f>
        <v>Not consistent</v>
      </c>
      <c r="Q2805" t="s">
        <v>398</v>
      </c>
    </row>
    <row r="2806" spans="1:17">
      <c r="A2806" t="s">
        <v>940</v>
      </c>
      <c r="C2806" t="s">
        <v>393</v>
      </c>
      <c r="D2806" t="s">
        <v>554</v>
      </c>
      <c r="E2806" t="s">
        <v>138</v>
      </c>
      <c r="F2806" t="s">
        <v>1911</v>
      </c>
      <c r="G2806" t="s">
        <v>1968</v>
      </c>
      <c r="H2806" t="s">
        <v>396</v>
      </c>
      <c r="K2806">
        <v>1993</v>
      </c>
      <c r="O2806">
        <v>-254.45</v>
      </c>
      <c r="P2806" t="str">
        <f t="shared" si="35"/>
        <v>Not consistent</v>
      </c>
      <c r="Q2806" t="s">
        <v>398</v>
      </c>
    </row>
    <row r="2807" spans="1:17">
      <c r="A2807" t="s">
        <v>940</v>
      </c>
      <c r="C2807" t="s">
        <v>393</v>
      </c>
      <c r="D2807" t="s">
        <v>554</v>
      </c>
      <c r="E2807" t="s">
        <v>138</v>
      </c>
      <c r="F2807" t="s">
        <v>1911</v>
      </c>
      <c r="G2807" t="s">
        <v>1967</v>
      </c>
      <c r="H2807" t="s">
        <v>399</v>
      </c>
      <c r="K2807">
        <v>1993</v>
      </c>
      <c r="O2807">
        <v>-226.03000000000003</v>
      </c>
      <c r="P2807" t="str">
        <f t="shared" si="35"/>
        <v>Not consistent</v>
      </c>
      <c r="Q2807" t="s">
        <v>398</v>
      </c>
    </row>
    <row r="2808" spans="1:17">
      <c r="A2808" t="s">
        <v>940</v>
      </c>
      <c r="C2808" t="s">
        <v>393</v>
      </c>
      <c r="D2808" t="s">
        <v>554</v>
      </c>
      <c r="E2808" t="s">
        <v>138</v>
      </c>
      <c r="F2808" t="s">
        <v>1911</v>
      </c>
      <c r="G2808" t="s">
        <v>1969</v>
      </c>
      <c r="H2808" t="s">
        <v>396</v>
      </c>
      <c r="K2808">
        <v>1993</v>
      </c>
      <c r="O2808">
        <v>-215.57</v>
      </c>
      <c r="P2808" t="str">
        <f t="shared" si="35"/>
        <v>Not consistent</v>
      </c>
      <c r="Q2808" t="s">
        <v>398</v>
      </c>
    </row>
    <row r="2809" spans="1:17">
      <c r="A2809" t="s">
        <v>940</v>
      </c>
      <c r="C2809" t="s">
        <v>393</v>
      </c>
      <c r="D2809" t="s">
        <v>554</v>
      </c>
      <c r="E2809" t="s">
        <v>138</v>
      </c>
      <c r="F2809" t="s">
        <v>1911</v>
      </c>
      <c r="G2809" t="s">
        <v>1970</v>
      </c>
      <c r="H2809" t="s">
        <v>399</v>
      </c>
      <c r="K2809">
        <v>1993</v>
      </c>
      <c r="O2809">
        <v>-83.179999999999993</v>
      </c>
      <c r="P2809" t="str">
        <f t="shared" si="35"/>
        <v>Not consistent</v>
      </c>
      <c r="Q2809" t="s">
        <v>398</v>
      </c>
    </row>
    <row r="2810" spans="1:17">
      <c r="A2810" t="s">
        <v>940</v>
      </c>
      <c r="C2810" t="s">
        <v>393</v>
      </c>
      <c r="D2810" t="s">
        <v>554</v>
      </c>
      <c r="E2810" t="s">
        <v>138</v>
      </c>
      <c r="F2810" t="s">
        <v>1911</v>
      </c>
      <c r="G2810" t="s">
        <v>1971</v>
      </c>
      <c r="H2810" t="s">
        <v>399</v>
      </c>
      <c r="K2810">
        <v>1993</v>
      </c>
      <c r="O2810">
        <v>-40.159999999999997</v>
      </c>
      <c r="P2810" t="str">
        <f t="shared" si="35"/>
        <v>Not consistent</v>
      </c>
      <c r="Q2810" t="s">
        <v>398</v>
      </c>
    </row>
    <row r="2811" spans="1:17">
      <c r="A2811" t="s">
        <v>940</v>
      </c>
      <c r="C2811" t="s">
        <v>393</v>
      </c>
      <c r="D2811" t="s">
        <v>554</v>
      </c>
      <c r="E2811" t="s">
        <v>138</v>
      </c>
      <c r="F2811" t="s">
        <v>1911</v>
      </c>
      <c r="G2811" t="s">
        <v>1972</v>
      </c>
      <c r="H2811" t="s">
        <v>399</v>
      </c>
      <c r="K2811">
        <v>1993</v>
      </c>
      <c r="O2811">
        <v>-36.840000000000003</v>
      </c>
      <c r="P2811" t="str">
        <f t="shared" si="35"/>
        <v>Not consistent</v>
      </c>
      <c r="Q2811" t="s">
        <v>398</v>
      </c>
    </row>
    <row r="2812" spans="1:17">
      <c r="A2812" t="s">
        <v>940</v>
      </c>
      <c r="C2812" t="s">
        <v>393</v>
      </c>
      <c r="D2812" t="s">
        <v>554</v>
      </c>
      <c r="E2812" t="s">
        <v>138</v>
      </c>
      <c r="F2812" t="s">
        <v>1911</v>
      </c>
      <c r="G2812" t="s">
        <v>1930</v>
      </c>
      <c r="H2812" t="s">
        <v>457</v>
      </c>
      <c r="K2812">
        <v>1993</v>
      </c>
      <c r="O2812">
        <v>-21.080000000000002</v>
      </c>
      <c r="P2812" t="str">
        <f t="shared" si="35"/>
        <v>Not consistent</v>
      </c>
      <c r="Q2812" t="s">
        <v>398</v>
      </c>
    </row>
    <row r="2813" spans="1:17">
      <c r="A2813" t="s">
        <v>940</v>
      </c>
      <c r="C2813" t="s">
        <v>393</v>
      </c>
      <c r="D2813" t="s">
        <v>554</v>
      </c>
      <c r="E2813" t="s">
        <v>138</v>
      </c>
      <c r="F2813" t="s">
        <v>1911</v>
      </c>
      <c r="G2813" t="s">
        <v>1973</v>
      </c>
      <c r="H2813" t="s">
        <v>457</v>
      </c>
      <c r="K2813">
        <v>1993</v>
      </c>
      <c r="O2813">
        <v>-11.370000000000001</v>
      </c>
      <c r="P2813" t="str">
        <f t="shared" si="35"/>
        <v>Not consistent</v>
      </c>
      <c r="Q2813" t="s">
        <v>398</v>
      </c>
    </row>
    <row r="2814" spans="1:17">
      <c r="A2814" t="s">
        <v>940</v>
      </c>
      <c r="C2814" t="s">
        <v>393</v>
      </c>
      <c r="D2814" t="s">
        <v>554</v>
      </c>
      <c r="E2814" t="s">
        <v>138</v>
      </c>
      <c r="F2814" t="s">
        <v>1911</v>
      </c>
      <c r="G2814" t="s">
        <v>1974</v>
      </c>
      <c r="H2814" t="s">
        <v>457</v>
      </c>
      <c r="K2814">
        <v>1993</v>
      </c>
      <c r="O2814">
        <v>-2.84</v>
      </c>
      <c r="P2814" t="str">
        <f t="shared" si="35"/>
        <v>Not consistent</v>
      </c>
      <c r="Q2814" t="s">
        <v>398</v>
      </c>
    </row>
    <row r="2815" spans="1:17">
      <c r="A2815" t="s">
        <v>940</v>
      </c>
      <c r="C2815" t="s">
        <v>393</v>
      </c>
      <c r="D2815" t="s">
        <v>554</v>
      </c>
      <c r="E2815" t="s">
        <v>138</v>
      </c>
      <c r="F2815" t="s">
        <v>1911</v>
      </c>
      <c r="G2815" t="s">
        <v>1975</v>
      </c>
      <c r="H2815" t="s">
        <v>457</v>
      </c>
      <c r="K2815">
        <v>1993</v>
      </c>
      <c r="O2815">
        <v>-2.2400000000000002</v>
      </c>
      <c r="P2815" t="str">
        <f t="shared" si="35"/>
        <v>Not consistent</v>
      </c>
      <c r="Q2815" t="s">
        <v>398</v>
      </c>
    </row>
    <row r="2816" spans="1:17">
      <c r="A2816" t="s">
        <v>940</v>
      </c>
      <c r="C2816" t="s">
        <v>393</v>
      </c>
      <c r="D2816" t="s">
        <v>554</v>
      </c>
      <c r="E2816" t="s">
        <v>138</v>
      </c>
      <c r="F2816" t="s">
        <v>1911</v>
      </c>
      <c r="G2816" t="s">
        <v>1976</v>
      </c>
      <c r="H2816" t="s">
        <v>457</v>
      </c>
      <c r="K2816">
        <v>1993</v>
      </c>
      <c r="O2816">
        <v>-0.52</v>
      </c>
      <c r="P2816" t="str">
        <f t="shared" si="35"/>
        <v>Not consistent</v>
      </c>
      <c r="Q2816" t="s">
        <v>398</v>
      </c>
    </row>
    <row r="2817" spans="1:17">
      <c r="A2817" t="s">
        <v>940</v>
      </c>
      <c r="C2817" t="s">
        <v>393</v>
      </c>
      <c r="D2817" t="s">
        <v>554</v>
      </c>
      <c r="E2817" t="s">
        <v>138</v>
      </c>
      <c r="F2817" t="s">
        <v>1911</v>
      </c>
      <c r="G2817" t="s">
        <v>1977</v>
      </c>
      <c r="H2817" t="s">
        <v>399</v>
      </c>
      <c r="K2817">
        <v>1993</v>
      </c>
      <c r="O2817">
        <v>0</v>
      </c>
      <c r="P2817" t="str">
        <f t="shared" si="35"/>
        <v>Not consistent</v>
      </c>
      <c r="Q2817" t="s">
        <v>398</v>
      </c>
    </row>
    <row r="2818" spans="1:17">
      <c r="A2818" t="s">
        <v>940</v>
      </c>
      <c r="C2818" t="s">
        <v>393</v>
      </c>
      <c r="D2818" t="s">
        <v>554</v>
      </c>
      <c r="E2818" t="s">
        <v>138</v>
      </c>
      <c r="F2818" t="s">
        <v>1911</v>
      </c>
      <c r="G2818" t="s">
        <v>1978</v>
      </c>
      <c r="H2818" t="s">
        <v>457</v>
      </c>
      <c r="K2818">
        <v>1993</v>
      </c>
      <c r="O2818">
        <v>0</v>
      </c>
      <c r="P2818" t="str">
        <f t="shared" si="35"/>
        <v>Not consistent</v>
      </c>
      <c r="Q2818" t="s">
        <v>398</v>
      </c>
    </row>
    <row r="2819" spans="1:17">
      <c r="A2819" t="s">
        <v>940</v>
      </c>
      <c r="C2819" t="s">
        <v>393</v>
      </c>
      <c r="D2819" t="s">
        <v>554</v>
      </c>
      <c r="E2819" t="s">
        <v>138</v>
      </c>
      <c r="F2819" t="s">
        <v>1911</v>
      </c>
      <c r="G2819" t="s">
        <v>1977</v>
      </c>
      <c r="H2819" t="s">
        <v>396</v>
      </c>
      <c r="K2819">
        <v>1993</v>
      </c>
      <c r="O2819">
        <v>0</v>
      </c>
      <c r="P2819" t="str">
        <f t="shared" si="35"/>
        <v>Not consistent</v>
      </c>
      <c r="Q2819" t="s">
        <v>398</v>
      </c>
    </row>
    <row r="2820" spans="1:17">
      <c r="A2820" t="s">
        <v>940</v>
      </c>
      <c r="C2820" t="s">
        <v>393</v>
      </c>
      <c r="D2820" t="s">
        <v>554</v>
      </c>
      <c r="E2820" t="s">
        <v>138</v>
      </c>
      <c r="F2820" t="s">
        <v>1911</v>
      </c>
      <c r="G2820" t="s">
        <v>1977</v>
      </c>
      <c r="H2820" t="s">
        <v>457</v>
      </c>
      <c r="K2820">
        <v>1993</v>
      </c>
      <c r="O2820">
        <v>0</v>
      </c>
      <c r="P2820" t="str">
        <f t="shared" si="35"/>
        <v>Not consistent</v>
      </c>
      <c r="Q2820" t="s">
        <v>398</v>
      </c>
    </row>
    <row r="2821" spans="1:17">
      <c r="A2821" t="s">
        <v>940</v>
      </c>
      <c r="C2821" t="s">
        <v>393</v>
      </c>
      <c r="D2821" t="s">
        <v>554</v>
      </c>
      <c r="E2821" t="s">
        <v>138</v>
      </c>
      <c r="F2821" t="s">
        <v>1911</v>
      </c>
      <c r="G2821" t="s">
        <v>1979</v>
      </c>
      <c r="H2821" t="s">
        <v>457</v>
      </c>
      <c r="K2821">
        <v>1993</v>
      </c>
      <c r="O2821">
        <v>0</v>
      </c>
      <c r="P2821" t="str">
        <f t="shared" si="35"/>
        <v>Not consistent</v>
      </c>
      <c r="Q2821" t="s">
        <v>398</v>
      </c>
    </row>
    <row r="2822" spans="1:17">
      <c r="A2822" t="s">
        <v>940</v>
      </c>
      <c r="C2822" t="s">
        <v>393</v>
      </c>
      <c r="D2822" t="s">
        <v>554</v>
      </c>
      <c r="E2822" t="s">
        <v>138</v>
      </c>
      <c r="F2822" t="s">
        <v>1911</v>
      </c>
      <c r="G2822" t="s">
        <v>1979</v>
      </c>
      <c r="H2822" t="s">
        <v>399</v>
      </c>
      <c r="K2822">
        <v>1993</v>
      </c>
      <c r="O2822">
        <v>0</v>
      </c>
      <c r="P2822" t="str">
        <f t="shared" si="35"/>
        <v>Not consistent</v>
      </c>
      <c r="Q2822" t="s">
        <v>398</v>
      </c>
    </row>
    <row r="2823" spans="1:17">
      <c r="A2823" t="s">
        <v>940</v>
      </c>
      <c r="C2823" t="s">
        <v>393</v>
      </c>
      <c r="D2823" t="s">
        <v>554</v>
      </c>
      <c r="E2823" t="s">
        <v>138</v>
      </c>
      <c r="F2823" t="s">
        <v>1911</v>
      </c>
      <c r="G2823" t="s">
        <v>1980</v>
      </c>
      <c r="H2823" t="s">
        <v>399</v>
      </c>
      <c r="K2823">
        <v>1993</v>
      </c>
      <c r="O2823">
        <v>0</v>
      </c>
      <c r="P2823" t="str">
        <f t="shared" si="35"/>
        <v>Not consistent</v>
      </c>
      <c r="Q2823" t="s">
        <v>398</v>
      </c>
    </row>
    <row r="2824" spans="1:17">
      <c r="A2824" t="s">
        <v>940</v>
      </c>
      <c r="C2824" t="s">
        <v>393</v>
      </c>
      <c r="D2824" t="s">
        <v>554</v>
      </c>
      <c r="E2824" t="s">
        <v>138</v>
      </c>
      <c r="F2824" t="s">
        <v>1911</v>
      </c>
      <c r="G2824" t="s">
        <v>1978</v>
      </c>
      <c r="H2824" t="s">
        <v>399</v>
      </c>
      <c r="K2824">
        <v>1993</v>
      </c>
      <c r="O2824">
        <v>0</v>
      </c>
      <c r="P2824" t="str">
        <f t="shared" si="35"/>
        <v>Not consistent</v>
      </c>
      <c r="Q2824" t="s">
        <v>398</v>
      </c>
    </row>
    <row r="2825" spans="1:17">
      <c r="A2825" t="s">
        <v>940</v>
      </c>
      <c r="C2825" t="s">
        <v>393</v>
      </c>
      <c r="D2825" t="s">
        <v>554</v>
      </c>
      <c r="E2825" t="s">
        <v>138</v>
      </c>
      <c r="F2825" t="s">
        <v>1911</v>
      </c>
      <c r="G2825" t="s">
        <v>1979</v>
      </c>
      <c r="H2825" t="s">
        <v>396</v>
      </c>
      <c r="K2825">
        <v>1993</v>
      </c>
      <c r="O2825">
        <v>0</v>
      </c>
      <c r="P2825" t="str">
        <f t="shared" si="35"/>
        <v>Not consistent</v>
      </c>
      <c r="Q2825" t="s">
        <v>398</v>
      </c>
    </row>
    <row r="2826" spans="1:17">
      <c r="A2826" t="s">
        <v>940</v>
      </c>
      <c r="C2826" t="s">
        <v>393</v>
      </c>
      <c r="D2826" t="s">
        <v>554</v>
      </c>
      <c r="E2826" t="s">
        <v>138</v>
      </c>
      <c r="F2826" t="s">
        <v>1911</v>
      </c>
      <c r="G2826" t="s">
        <v>1980</v>
      </c>
      <c r="H2826" t="s">
        <v>396</v>
      </c>
      <c r="K2826">
        <v>1993</v>
      </c>
      <c r="O2826">
        <v>0</v>
      </c>
      <c r="P2826" t="str">
        <f t="shared" si="35"/>
        <v>Not consistent</v>
      </c>
      <c r="Q2826" t="s">
        <v>398</v>
      </c>
    </row>
    <row r="2827" spans="1:17">
      <c r="A2827" t="s">
        <v>940</v>
      </c>
      <c r="C2827" t="s">
        <v>393</v>
      </c>
      <c r="D2827" t="s">
        <v>554</v>
      </c>
      <c r="E2827" t="s">
        <v>138</v>
      </c>
      <c r="F2827" t="s">
        <v>1911</v>
      </c>
      <c r="G2827" t="s">
        <v>1978</v>
      </c>
      <c r="H2827" t="s">
        <v>396</v>
      </c>
      <c r="K2827">
        <v>1993</v>
      </c>
      <c r="O2827">
        <v>0</v>
      </c>
      <c r="P2827" t="str">
        <f t="shared" si="35"/>
        <v>Not consistent</v>
      </c>
      <c r="Q2827" t="s">
        <v>398</v>
      </c>
    </row>
    <row r="2828" spans="1:17">
      <c r="A2828" t="s">
        <v>940</v>
      </c>
      <c r="C2828" t="s">
        <v>393</v>
      </c>
      <c r="D2828" t="s">
        <v>554</v>
      </c>
      <c r="E2828" t="s">
        <v>138</v>
      </c>
      <c r="F2828" t="s">
        <v>1911</v>
      </c>
      <c r="G2828" t="s">
        <v>1980</v>
      </c>
      <c r="H2828" t="s">
        <v>457</v>
      </c>
      <c r="K2828">
        <v>1993</v>
      </c>
      <c r="O2828">
        <v>0</v>
      </c>
      <c r="P2828" t="str">
        <f t="shared" si="35"/>
        <v>Not consistent</v>
      </c>
      <c r="Q2828" t="s">
        <v>398</v>
      </c>
    </row>
    <row r="2829" spans="1:17">
      <c r="A2829" t="s">
        <v>940</v>
      </c>
      <c r="C2829" t="s">
        <v>393</v>
      </c>
      <c r="D2829" t="s">
        <v>554</v>
      </c>
      <c r="E2829" t="s">
        <v>138</v>
      </c>
      <c r="F2829" t="s">
        <v>1911</v>
      </c>
      <c r="G2829" t="s">
        <v>1976</v>
      </c>
      <c r="H2829" t="s">
        <v>399</v>
      </c>
      <c r="K2829">
        <v>1993</v>
      </c>
      <c r="O2829">
        <v>3.21</v>
      </c>
      <c r="P2829" t="str">
        <f t="shared" si="35"/>
        <v>Consistent</v>
      </c>
      <c r="Q2829" t="s">
        <v>398</v>
      </c>
    </row>
    <row r="2830" spans="1:17">
      <c r="A2830" t="s">
        <v>940</v>
      </c>
      <c r="C2830" t="s">
        <v>393</v>
      </c>
      <c r="D2830" t="s">
        <v>554</v>
      </c>
      <c r="E2830" t="s">
        <v>138</v>
      </c>
      <c r="F2830" t="s">
        <v>1911</v>
      </c>
      <c r="G2830" t="s">
        <v>1981</v>
      </c>
      <c r="H2830" t="s">
        <v>396</v>
      </c>
      <c r="K2830">
        <v>1993</v>
      </c>
      <c r="O2830">
        <v>5.26</v>
      </c>
      <c r="P2830" t="str">
        <f t="shared" si="35"/>
        <v>Consistent</v>
      </c>
      <c r="Q2830" t="s">
        <v>398</v>
      </c>
    </row>
    <row r="2831" spans="1:17">
      <c r="A2831" t="s">
        <v>940</v>
      </c>
      <c r="C2831" t="s">
        <v>393</v>
      </c>
      <c r="D2831" t="s">
        <v>554</v>
      </c>
      <c r="E2831" t="s">
        <v>138</v>
      </c>
      <c r="F2831" t="s">
        <v>1911</v>
      </c>
      <c r="G2831" t="s">
        <v>1982</v>
      </c>
      <c r="H2831" t="s">
        <v>457</v>
      </c>
      <c r="K2831">
        <v>1993</v>
      </c>
      <c r="O2831">
        <v>6.8000000000000007</v>
      </c>
      <c r="P2831" t="str">
        <f t="shared" si="35"/>
        <v>Consistent</v>
      </c>
      <c r="Q2831" t="s">
        <v>398</v>
      </c>
    </row>
    <row r="2832" spans="1:17">
      <c r="A2832" t="s">
        <v>940</v>
      </c>
      <c r="C2832" t="s">
        <v>393</v>
      </c>
      <c r="D2832" t="s">
        <v>554</v>
      </c>
      <c r="E2832" t="s">
        <v>138</v>
      </c>
      <c r="F2832" t="s">
        <v>1911</v>
      </c>
      <c r="G2832" t="s">
        <v>1972</v>
      </c>
      <c r="H2832" t="s">
        <v>457</v>
      </c>
      <c r="K2832">
        <v>1993</v>
      </c>
      <c r="O2832">
        <v>6.8000000000000007</v>
      </c>
      <c r="P2832" t="str">
        <f t="shared" si="35"/>
        <v>Consistent</v>
      </c>
      <c r="Q2832" t="s">
        <v>398</v>
      </c>
    </row>
    <row r="2833" spans="1:17">
      <c r="A2833" t="s">
        <v>940</v>
      </c>
      <c r="C2833" t="s">
        <v>393</v>
      </c>
      <c r="D2833" t="s">
        <v>554</v>
      </c>
      <c r="E2833" t="s">
        <v>138</v>
      </c>
      <c r="F2833" t="s">
        <v>1911</v>
      </c>
      <c r="G2833" t="s">
        <v>1970</v>
      </c>
      <c r="H2833" t="s">
        <v>457</v>
      </c>
      <c r="K2833">
        <v>1993</v>
      </c>
      <c r="O2833">
        <v>6.8000000000000007</v>
      </c>
      <c r="P2833" t="str">
        <f t="shared" si="35"/>
        <v>Consistent</v>
      </c>
      <c r="Q2833" t="s">
        <v>398</v>
      </c>
    </row>
    <row r="2834" spans="1:17">
      <c r="A2834" t="s">
        <v>940</v>
      </c>
      <c r="C2834" t="s">
        <v>393</v>
      </c>
      <c r="D2834" t="s">
        <v>554</v>
      </c>
      <c r="E2834" t="s">
        <v>138</v>
      </c>
      <c r="F2834" t="s">
        <v>1911</v>
      </c>
      <c r="G2834" t="s">
        <v>1971</v>
      </c>
      <c r="H2834" t="s">
        <v>457</v>
      </c>
      <c r="K2834">
        <v>1993</v>
      </c>
      <c r="O2834">
        <v>6.8000000000000007</v>
      </c>
      <c r="P2834" t="str">
        <f t="shared" si="35"/>
        <v>Consistent</v>
      </c>
      <c r="Q2834" t="s">
        <v>398</v>
      </c>
    </row>
    <row r="2835" spans="1:17">
      <c r="A2835" t="s">
        <v>940</v>
      </c>
      <c r="C2835" t="s">
        <v>393</v>
      </c>
      <c r="D2835" t="s">
        <v>554</v>
      </c>
      <c r="E2835" t="s">
        <v>138</v>
      </c>
      <c r="F2835" t="s">
        <v>1911</v>
      </c>
      <c r="G2835" t="s">
        <v>1981</v>
      </c>
      <c r="H2835" t="s">
        <v>457</v>
      </c>
      <c r="K2835">
        <v>1993</v>
      </c>
      <c r="O2835">
        <v>6.9099999999999993</v>
      </c>
      <c r="P2835" t="str">
        <f t="shared" si="35"/>
        <v>Consistent</v>
      </c>
      <c r="Q2835" t="s">
        <v>398</v>
      </c>
    </row>
    <row r="2836" spans="1:17">
      <c r="A2836" t="s">
        <v>940</v>
      </c>
      <c r="C2836" t="s">
        <v>393</v>
      </c>
      <c r="D2836" t="s">
        <v>554</v>
      </c>
      <c r="E2836" t="s">
        <v>138</v>
      </c>
      <c r="F2836" t="s">
        <v>1911</v>
      </c>
      <c r="G2836" t="s">
        <v>1969</v>
      </c>
      <c r="H2836" t="s">
        <v>457</v>
      </c>
      <c r="K2836">
        <v>1993</v>
      </c>
      <c r="O2836">
        <v>6.9399999999999995</v>
      </c>
      <c r="P2836" t="str">
        <f t="shared" si="35"/>
        <v>Consistent</v>
      </c>
      <c r="Q2836" t="s">
        <v>398</v>
      </c>
    </row>
    <row r="2837" spans="1:17">
      <c r="A2837" t="s">
        <v>940</v>
      </c>
      <c r="C2837" t="s">
        <v>393</v>
      </c>
      <c r="D2837" t="s">
        <v>554</v>
      </c>
      <c r="E2837" t="s">
        <v>138</v>
      </c>
      <c r="F2837" t="s">
        <v>1911</v>
      </c>
      <c r="G2837" t="s">
        <v>1983</v>
      </c>
      <c r="H2837" t="s">
        <v>457</v>
      </c>
      <c r="K2837">
        <v>1993</v>
      </c>
      <c r="O2837">
        <v>10.02</v>
      </c>
      <c r="P2837" t="str">
        <f t="shared" si="35"/>
        <v>Consistent</v>
      </c>
      <c r="Q2837" t="s">
        <v>398</v>
      </c>
    </row>
    <row r="2838" spans="1:17">
      <c r="A2838" t="s">
        <v>940</v>
      </c>
      <c r="C2838" t="s">
        <v>393</v>
      </c>
      <c r="D2838" t="s">
        <v>554</v>
      </c>
      <c r="E2838" t="s">
        <v>138</v>
      </c>
      <c r="F2838" t="s">
        <v>1911</v>
      </c>
      <c r="G2838" t="s">
        <v>1968</v>
      </c>
      <c r="H2838" t="s">
        <v>457</v>
      </c>
      <c r="K2838">
        <v>1993</v>
      </c>
      <c r="O2838">
        <v>14.05</v>
      </c>
      <c r="P2838" t="str">
        <f t="shared" si="35"/>
        <v>Consistent</v>
      </c>
      <c r="Q2838" t="s">
        <v>398</v>
      </c>
    </row>
    <row r="2839" spans="1:17">
      <c r="A2839" t="s">
        <v>940</v>
      </c>
      <c r="C2839" t="s">
        <v>393</v>
      </c>
      <c r="D2839" t="s">
        <v>554</v>
      </c>
      <c r="E2839" t="s">
        <v>138</v>
      </c>
      <c r="F2839" t="s">
        <v>1911</v>
      </c>
      <c r="G2839" t="s">
        <v>1967</v>
      </c>
      <c r="H2839" t="s">
        <v>457</v>
      </c>
      <c r="K2839">
        <v>1993</v>
      </c>
      <c r="O2839">
        <v>19.2</v>
      </c>
      <c r="P2839" t="str">
        <f t="shared" si="35"/>
        <v>Consistent</v>
      </c>
      <c r="Q2839" t="s">
        <v>398</v>
      </c>
    </row>
    <row r="2840" spans="1:17">
      <c r="A2840" t="s">
        <v>940</v>
      </c>
      <c r="C2840" t="s">
        <v>393</v>
      </c>
      <c r="D2840" t="s">
        <v>554</v>
      </c>
      <c r="E2840" t="s">
        <v>138</v>
      </c>
      <c r="F2840" t="s">
        <v>1911</v>
      </c>
      <c r="G2840" t="s">
        <v>1972</v>
      </c>
      <c r="H2840" t="s">
        <v>396</v>
      </c>
      <c r="K2840">
        <v>1993</v>
      </c>
      <c r="O2840">
        <v>37.26</v>
      </c>
      <c r="P2840" t="str">
        <f t="shared" si="35"/>
        <v>Consistent</v>
      </c>
      <c r="Q2840" t="s">
        <v>398</v>
      </c>
    </row>
    <row r="2841" spans="1:17">
      <c r="A2841" t="s">
        <v>940</v>
      </c>
      <c r="C2841" t="s">
        <v>393</v>
      </c>
      <c r="D2841" t="s">
        <v>554</v>
      </c>
      <c r="E2841" t="s">
        <v>138</v>
      </c>
      <c r="F2841" t="s">
        <v>1911</v>
      </c>
      <c r="G2841" t="s">
        <v>1971</v>
      </c>
      <c r="H2841" t="s">
        <v>396</v>
      </c>
      <c r="K2841">
        <v>1993</v>
      </c>
      <c r="O2841">
        <v>37.26</v>
      </c>
      <c r="P2841" t="str">
        <f t="shared" si="35"/>
        <v>Consistent</v>
      </c>
      <c r="Q2841" t="s">
        <v>398</v>
      </c>
    </row>
    <row r="2842" spans="1:17">
      <c r="A2842" t="s">
        <v>940</v>
      </c>
      <c r="C2842" t="s">
        <v>393</v>
      </c>
      <c r="D2842" t="s">
        <v>554</v>
      </c>
      <c r="E2842" t="s">
        <v>138</v>
      </c>
      <c r="F2842" t="s">
        <v>1911</v>
      </c>
      <c r="G2842" t="s">
        <v>1973</v>
      </c>
      <c r="H2842" t="s">
        <v>399</v>
      </c>
      <c r="K2842">
        <v>1993</v>
      </c>
      <c r="O2842">
        <v>45.129999999999995</v>
      </c>
      <c r="P2842" t="str">
        <f t="shared" si="35"/>
        <v>Consistent</v>
      </c>
      <c r="Q2842" t="s">
        <v>398</v>
      </c>
    </row>
    <row r="2843" spans="1:17">
      <c r="A2843" t="s">
        <v>940</v>
      </c>
      <c r="C2843" t="s">
        <v>393</v>
      </c>
      <c r="D2843" t="s">
        <v>554</v>
      </c>
      <c r="E2843" t="s">
        <v>138</v>
      </c>
      <c r="F2843" t="s">
        <v>1911</v>
      </c>
      <c r="G2843" t="s">
        <v>1970</v>
      </c>
      <c r="H2843" t="s">
        <v>396</v>
      </c>
      <c r="K2843">
        <v>1993</v>
      </c>
      <c r="O2843">
        <v>58.680000000000007</v>
      </c>
      <c r="P2843" t="str">
        <f t="shared" si="35"/>
        <v>Consistent</v>
      </c>
      <c r="Q2843" t="s">
        <v>398</v>
      </c>
    </row>
    <row r="2844" spans="1:17">
      <c r="A2844" t="s">
        <v>940</v>
      </c>
      <c r="C2844" t="s">
        <v>393</v>
      </c>
      <c r="D2844" t="s">
        <v>554</v>
      </c>
      <c r="E2844" t="s">
        <v>138</v>
      </c>
      <c r="F2844" t="s">
        <v>1911</v>
      </c>
      <c r="G2844" t="s">
        <v>1982</v>
      </c>
      <c r="H2844" t="s">
        <v>396</v>
      </c>
      <c r="K2844">
        <v>1993</v>
      </c>
      <c r="O2844">
        <v>72.63</v>
      </c>
      <c r="P2844" t="str">
        <f t="shared" si="35"/>
        <v>Consistent</v>
      </c>
      <c r="Q2844" t="s">
        <v>398</v>
      </c>
    </row>
    <row r="2845" spans="1:17">
      <c r="A2845" t="s">
        <v>940</v>
      </c>
      <c r="C2845" t="s">
        <v>393</v>
      </c>
      <c r="D2845" t="s">
        <v>554</v>
      </c>
      <c r="E2845" t="s">
        <v>138</v>
      </c>
      <c r="F2845" t="s">
        <v>1911</v>
      </c>
      <c r="G2845" t="s">
        <v>1975</v>
      </c>
      <c r="H2845" t="s">
        <v>399</v>
      </c>
      <c r="K2845">
        <v>1993</v>
      </c>
      <c r="O2845">
        <v>76.61</v>
      </c>
      <c r="P2845" t="str">
        <f t="shared" si="35"/>
        <v>Consistent</v>
      </c>
      <c r="Q2845" t="s">
        <v>398</v>
      </c>
    </row>
    <row r="2846" spans="1:17">
      <c r="A2846" t="s">
        <v>940</v>
      </c>
      <c r="C2846" t="s">
        <v>393</v>
      </c>
      <c r="D2846" t="s">
        <v>554</v>
      </c>
      <c r="E2846" t="s">
        <v>138</v>
      </c>
      <c r="F2846" t="s">
        <v>1911</v>
      </c>
      <c r="G2846" t="s">
        <v>1981</v>
      </c>
      <c r="H2846" t="s">
        <v>399</v>
      </c>
      <c r="K2846">
        <v>1993</v>
      </c>
      <c r="O2846">
        <v>77.960000000000008</v>
      </c>
      <c r="P2846" t="str">
        <f t="shared" si="35"/>
        <v>Consistent</v>
      </c>
      <c r="Q2846" t="s">
        <v>398</v>
      </c>
    </row>
    <row r="2847" spans="1:17">
      <c r="A2847" t="s">
        <v>940</v>
      </c>
      <c r="C2847" t="s">
        <v>393</v>
      </c>
      <c r="D2847" t="s">
        <v>554</v>
      </c>
      <c r="E2847" t="s">
        <v>138</v>
      </c>
      <c r="F2847" t="s">
        <v>1911</v>
      </c>
      <c r="G2847" t="s">
        <v>1974</v>
      </c>
      <c r="H2847" t="s">
        <v>396</v>
      </c>
      <c r="K2847">
        <v>1993</v>
      </c>
      <c r="O2847">
        <v>82.98</v>
      </c>
      <c r="P2847" t="str">
        <f t="shared" si="35"/>
        <v>Consistent</v>
      </c>
      <c r="Q2847" t="s">
        <v>398</v>
      </c>
    </row>
    <row r="2848" spans="1:17">
      <c r="A2848" t="s">
        <v>940</v>
      </c>
      <c r="C2848" t="s">
        <v>393</v>
      </c>
      <c r="D2848" t="s">
        <v>554</v>
      </c>
      <c r="E2848" t="s">
        <v>138</v>
      </c>
      <c r="F2848" t="s">
        <v>1911</v>
      </c>
      <c r="G2848" t="s">
        <v>1969</v>
      </c>
      <c r="H2848" t="s">
        <v>399</v>
      </c>
      <c r="K2848">
        <v>1993</v>
      </c>
      <c r="O2848">
        <v>99.97999999999999</v>
      </c>
      <c r="P2848" t="str">
        <f t="shared" si="35"/>
        <v>Consistent</v>
      </c>
      <c r="Q2848" t="s">
        <v>398</v>
      </c>
    </row>
    <row r="2849" spans="1:17">
      <c r="A2849" t="s">
        <v>940</v>
      </c>
      <c r="C2849" t="s">
        <v>393</v>
      </c>
      <c r="D2849" t="s">
        <v>554</v>
      </c>
      <c r="E2849" t="s">
        <v>138</v>
      </c>
      <c r="F2849" t="s">
        <v>1911</v>
      </c>
      <c r="G2849" t="s">
        <v>1930</v>
      </c>
      <c r="H2849" t="s">
        <v>399</v>
      </c>
      <c r="K2849">
        <v>1993</v>
      </c>
      <c r="O2849">
        <v>101.34</v>
      </c>
      <c r="P2849" t="str">
        <f t="shared" si="35"/>
        <v>Consistent</v>
      </c>
      <c r="Q2849" t="s">
        <v>398</v>
      </c>
    </row>
    <row r="2850" spans="1:17">
      <c r="A2850" t="s">
        <v>940</v>
      </c>
      <c r="C2850" t="s">
        <v>393</v>
      </c>
      <c r="D2850" t="s">
        <v>554</v>
      </c>
      <c r="E2850" t="s">
        <v>138</v>
      </c>
      <c r="F2850" t="s">
        <v>1911</v>
      </c>
      <c r="G2850" t="s">
        <v>1982</v>
      </c>
      <c r="H2850" t="s">
        <v>399</v>
      </c>
      <c r="K2850">
        <v>1993</v>
      </c>
      <c r="O2850">
        <v>123.84</v>
      </c>
      <c r="P2850" t="str">
        <f t="shared" si="35"/>
        <v>Consistent</v>
      </c>
      <c r="Q2850" t="s">
        <v>398</v>
      </c>
    </row>
    <row r="2851" spans="1:17">
      <c r="A2851" t="s">
        <v>940</v>
      </c>
      <c r="C2851" t="s">
        <v>393</v>
      </c>
      <c r="D2851" t="s">
        <v>554</v>
      </c>
      <c r="E2851" t="s">
        <v>138</v>
      </c>
      <c r="F2851" t="s">
        <v>1911</v>
      </c>
      <c r="G2851" t="s">
        <v>1976</v>
      </c>
      <c r="H2851" t="s">
        <v>396</v>
      </c>
      <c r="K2851">
        <v>1993</v>
      </c>
      <c r="O2851">
        <v>127.8</v>
      </c>
      <c r="P2851" t="str">
        <f t="shared" si="35"/>
        <v>Consistent</v>
      </c>
      <c r="Q2851" t="s">
        <v>398</v>
      </c>
    </row>
    <row r="2852" spans="1:17">
      <c r="A2852" t="s">
        <v>940</v>
      </c>
      <c r="C2852" t="s">
        <v>393</v>
      </c>
      <c r="D2852" t="s">
        <v>554</v>
      </c>
      <c r="E2852" t="s">
        <v>138</v>
      </c>
      <c r="F2852" t="s">
        <v>1911</v>
      </c>
      <c r="G2852" t="s">
        <v>1983</v>
      </c>
      <c r="H2852" t="s">
        <v>396</v>
      </c>
      <c r="K2852">
        <v>1993</v>
      </c>
      <c r="O2852">
        <v>141.17000000000002</v>
      </c>
      <c r="P2852" t="str">
        <f t="shared" si="35"/>
        <v>Consistent</v>
      </c>
      <c r="Q2852" t="s">
        <v>398</v>
      </c>
    </row>
    <row r="2853" spans="1:17">
      <c r="A2853" t="s">
        <v>940</v>
      </c>
      <c r="C2853" t="s">
        <v>393</v>
      </c>
      <c r="D2853" t="s">
        <v>554</v>
      </c>
      <c r="E2853" t="s">
        <v>138</v>
      </c>
      <c r="F2853" t="s">
        <v>1911</v>
      </c>
      <c r="G2853" t="s">
        <v>1974</v>
      </c>
      <c r="H2853" t="s">
        <v>399</v>
      </c>
      <c r="K2853">
        <v>1993</v>
      </c>
      <c r="O2853">
        <v>142.82999999999998</v>
      </c>
      <c r="P2853" t="str">
        <f t="shared" si="35"/>
        <v>Consistent</v>
      </c>
      <c r="Q2853" t="s">
        <v>398</v>
      </c>
    </row>
    <row r="2854" spans="1:17">
      <c r="A2854" t="s">
        <v>940</v>
      </c>
      <c r="C2854" t="s">
        <v>393</v>
      </c>
      <c r="D2854" t="s">
        <v>554</v>
      </c>
      <c r="E2854" t="s">
        <v>138</v>
      </c>
      <c r="F2854" t="s">
        <v>1911</v>
      </c>
      <c r="G2854" t="s">
        <v>1968</v>
      </c>
      <c r="H2854" t="s">
        <v>399</v>
      </c>
      <c r="K2854">
        <v>1993</v>
      </c>
      <c r="O2854">
        <v>143.32</v>
      </c>
      <c r="P2854" t="str">
        <f t="shared" si="35"/>
        <v>Consistent</v>
      </c>
      <c r="Q2854" t="s">
        <v>398</v>
      </c>
    </row>
    <row r="2855" spans="1:17">
      <c r="A2855" t="s">
        <v>940</v>
      </c>
      <c r="C2855" t="s">
        <v>393</v>
      </c>
      <c r="D2855" t="s">
        <v>554</v>
      </c>
      <c r="E2855" t="s">
        <v>138</v>
      </c>
      <c r="F2855" t="s">
        <v>1911</v>
      </c>
      <c r="G2855" t="s">
        <v>1975</v>
      </c>
      <c r="H2855" t="s">
        <v>396</v>
      </c>
      <c r="K2855">
        <v>1993</v>
      </c>
      <c r="O2855">
        <v>257.47000000000003</v>
      </c>
      <c r="P2855" t="str">
        <f t="shared" si="35"/>
        <v>Consistent</v>
      </c>
      <c r="Q2855" t="s">
        <v>398</v>
      </c>
    </row>
    <row r="2856" spans="1:17">
      <c r="A2856" t="s">
        <v>940</v>
      </c>
      <c r="C2856" t="s">
        <v>393</v>
      </c>
      <c r="D2856" t="s">
        <v>554</v>
      </c>
      <c r="E2856" t="s">
        <v>138</v>
      </c>
      <c r="F2856" t="s">
        <v>1911</v>
      </c>
      <c r="G2856" t="s">
        <v>1930</v>
      </c>
      <c r="H2856" t="s">
        <v>396</v>
      </c>
      <c r="K2856">
        <v>1993</v>
      </c>
      <c r="O2856">
        <v>277.24</v>
      </c>
      <c r="P2856" t="str">
        <f t="shared" si="35"/>
        <v>Consistent</v>
      </c>
      <c r="Q2856" t="s">
        <v>398</v>
      </c>
    </row>
    <row r="2857" spans="1:17">
      <c r="A2857" t="s">
        <v>940</v>
      </c>
      <c r="C2857" t="s">
        <v>393</v>
      </c>
      <c r="D2857" t="s">
        <v>554</v>
      </c>
      <c r="E2857" t="s">
        <v>138</v>
      </c>
      <c r="F2857" t="s">
        <v>1911</v>
      </c>
      <c r="G2857" t="s">
        <v>1973</v>
      </c>
      <c r="H2857" t="s">
        <v>396</v>
      </c>
      <c r="K2857">
        <v>1993</v>
      </c>
      <c r="O2857">
        <v>284.43</v>
      </c>
      <c r="P2857" t="str">
        <f t="shared" si="35"/>
        <v>Consistent</v>
      </c>
      <c r="Q2857" t="s">
        <v>398</v>
      </c>
    </row>
    <row r="2858" spans="1:17">
      <c r="A2858" t="s">
        <v>940</v>
      </c>
      <c r="C2858" t="s">
        <v>393</v>
      </c>
      <c r="D2858" t="s">
        <v>554</v>
      </c>
      <c r="E2858" t="s">
        <v>138</v>
      </c>
      <c r="F2858" t="s">
        <v>1911</v>
      </c>
      <c r="G2858" t="s">
        <v>1983</v>
      </c>
      <c r="H2858" t="s">
        <v>399</v>
      </c>
      <c r="K2858">
        <v>1993</v>
      </c>
      <c r="O2858">
        <v>398.41999999999996</v>
      </c>
      <c r="P2858" t="str">
        <f t="shared" si="35"/>
        <v>Consistent</v>
      </c>
      <c r="Q2858" t="s">
        <v>398</v>
      </c>
    </row>
    <row r="2859" spans="1:17">
      <c r="A2859" t="s">
        <v>1716</v>
      </c>
      <c r="B2859" t="s">
        <v>593</v>
      </c>
      <c r="C2859" t="s">
        <v>393</v>
      </c>
      <c r="D2859" t="s">
        <v>739</v>
      </c>
      <c r="E2859" t="s">
        <v>161</v>
      </c>
      <c r="G2859" t="s">
        <v>1966</v>
      </c>
      <c r="H2859" t="s">
        <v>700</v>
      </c>
      <c r="K2859">
        <v>1985</v>
      </c>
      <c r="L2859">
        <v>2010</v>
      </c>
      <c r="M2859">
        <v>25</v>
      </c>
      <c r="O2859" t="s">
        <v>1169</v>
      </c>
      <c r="P2859" t="s">
        <v>1169</v>
      </c>
      <c r="Q2859" t="s">
        <v>701</v>
      </c>
    </row>
    <row r="2860" spans="1:17">
      <c r="A2860" t="s">
        <v>553</v>
      </c>
      <c r="C2860" t="s">
        <v>393</v>
      </c>
      <c r="D2860" t="s">
        <v>1491</v>
      </c>
      <c r="E2860" t="s">
        <v>138</v>
      </c>
      <c r="F2860" t="s">
        <v>1492</v>
      </c>
      <c r="G2860" t="s">
        <v>1494</v>
      </c>
      <c r="H2860" t="s">
        <v>527</v>
      </c>
      <c r="K2860">
        <v>1980</v>
      </c>
      <c r="L2860">
        <v>2010</v>
      </c>
      <c r="M2860">
        <f>L2860-K2860+1</f>
        <v>31</v>
      </c>
      <c r="O2860">
        <v>-39.431196</v>
      </c>
      <c r="P2860" t="s">
        <v>88</v>
      </c>
      <c r="Q2860" t="s">
        <v>1196</v>
      </c>
    </row>
    <row r="2861" spans="1:17">
      <c r="A2861" t="s">
        <v>553</v>
      </c>
      <c r="C2861" t="s">
        <v>393</v>
      </c>
      <c r="D2861" t="s">
        <v>1491</v>
      </c>
      <c r="E2861" t="s">
        <v>138</v>
      </c>
      <c r="F2861" t="s">
        <v>1492</v>
      </c>
      <c r="G2861" t="s">
        <v>1493</v>
      </c>
      <c r="H2861" t="s">
        <v>527</v>
      </c>
      <c r="K2861">
        <v>1980</v>
      </c>
      <c r="L2861">
        <v>2010</v>
      </c>
      <c r="M2861">
        <f>L2861-K2861+1</f>
        <v>31</v>
      </c>
      <c r="O2861">
        <v>8.3675241000000007</v>
      </c>
      <c r="P2861" t="s">
        <v>88</v>
      </c>
      <c r="Q2861" t="s">
        <v>1196</v>
      </c>
    </row>
    <row r="2862" spans="1:17">
      <c r="A2862" t="s">
        <v>553</v>
      </c>
      <c r="C2862" t="s">
        <v>393</v>
      </c>
      <c r="D2862" t="s">
        <v>1491</v>
      </c>
      <c r="E2862" t="s">
        <v>138</v>
      </c>
      <c r="F2862" t="s">
        <v>1492</v>
      </c>
      <c r="G2862" t="s">
        <v>1495</v>
      </c>
      <c r="H2862" t="s">
        <v>527</v>
      </c>
      <c r="K2862">
        <v>1980</v>
      </c>
      <c r="L2862">
        <v>2010</v>
      </c>
      <c r="M2862">
        <f>L2862-K2862+1</f>
        <v>31</v>
      </c>
      <c r="O2862">
        <v>-29.796174000000001</v>
      </c>
      <c r="P2862" t="s">
        <v>88</v>
      </c>
      <c r="Q2862" t="s">
        <v>1196</v>
      </c>
    </row>
    <row r="2863" spans="1:17">
      <c r="A2863" t="s">
        <v>1716</v>
      </c>
      <c r="B2863" t="s">
        <v>593</v>
      </c>
      <c r="C2863" t="s">
        <v>393</v>
      </c>
      <c r="D2863" t="s">
        <v>739</v>
      </c>
      <c r="E2863" t="s">
        <v>161</v>
      </c>
      <c r="G2863" t="s">
        <v>1984</v>
      </c>
      <c r="H2863" t="s">
        <v>700</v>
      </c>
      <c r="K2863">
        <v>1985</v>
      </c>
      <c r="L2863">
        <v>2010</v>
      </c>
      <c r="M2863">
        <v>25</v>
      </c>
      <c r="O2863" t="s">
        <v>1169</v>
      </c>
      <c r="P2863" t="s">
        <v>1169</v>
      </c>
      <c r="Q2863" t="s">
        <v>701</v>
      </c>
    </row>
    <row r="2864" spans="1:17">
      <c r="A2864" t="s">
        <v>553</v>
      </c>
      <c r="C2864" t="s">
        <v>393</v>
      </c>
      <c r="D2864" t="s">
        <v>1491</v>
      </c>
      <c r="E2864" t="s">
        <v>138</v>
      </c>
      <c r="F2864" t="s">
        <v>1492</v>
      </c>
      <c r="G2864" t="s">
        <v>1493</v>
      </c>
      <c r="H2864" t="s">
        <v>527</v>
      </c>
      <c r="K2864">
        <v>1980</v>
      </c>
      <c r="L2864">
        <v>2010</v>
      </c>
      <c r="M2864">
        <f>L2864-K2864+1</f>
        <v>31</v>
      </c>
      <c r="O2864">
        <v>-1.8388790000000001E-3</v>
      </c>
      <c r="P2864" t="s">
        <v>397</v>
      </c>
      <c r="Q2864" t="s">
        <v>1196</v>
      </c>
    </row>
    <row r="2865" spans="1:18">
      <c r="A2865" t="s">
        <v>553</v>
      </c>
      <c r="C2865" t="s">
        <v>393</v>
      </c>
      <c r="D2865" t="s">
        <v>1491</v>
      </c>
      <c r="E2865" t="s">
        <v>138</v>
      </c>
      <c r="F2865" t="s">
        <v>1492</v>
      </c>
      <c r="G2865" t="s">
        <v>1494</v>
      </c>
      <c r="H2865" t="s">
        <v>527</v>
      </c>
      <c r="K2865">
        <v>1980</v>
      </c>
      <c r="L2865">
        <v>2010</v>
      </c>
      <c r="M2865">
        <f>L2865-K2865+1</f>
        <v>31</v>
      </c>
      <c r="O2865">
        <v>-3.7976849999999999E-3</v>
      </c>
      <c r="P2865" t="s">
        <v>397</v>
      </c>
      <c r="Q2865" t="s">
        <v>1196</v>
      </c>
    </row>
    <row r="2866" spans="1:18">
      <c r="A2866" t="s">
        <v>553</v>
      </c>
      <c r="C2866" t="s">
        <v>393</v>
      </c>
      <c r="D2866" t="s">
        <v>1491</v>
      </c>
      <c r="E2866" t="s">
        <v>138</v>
      </c>
      <c r="F2866" t="s">
        <v>1492</v>
      </c>
      <c r="G2866" t="s">
        <v>1495</v>
      </c>
      <c r="H2866" t="s">
        <v>527</v>
      </c>
      <c r="K2866">
        <v>1980</v>
      </c>
      <c r="L2866">
        <v>2010</v>
      </c>
      <c r="M2866">
        <f>L2866-K2866+1</f>
        <v>31</v>
      </c>
      <c r="O2866">
        <v>1.847392E-3</v>
      </c>
      <c r="P2866" t="s">
        <v>15</v>
      </c>
      <c r="Q2866" t="s">
        <v>1196</v>
      </c>
    </row>
    <row r="2867" spans="1:18">
      <c r="A2867" t="s">
        <v>1716</v>
      </c>
      <c r="B2867" t="s">
        <v>593</v>
      </c>
      <c r="C2867" t="s">
        <v>393</v>
      </c>
      <c r="D2867" t="s">
        <v>739</v>
      </c>
      <c r="E2867" t="s">
        <v>161</v>
      </c>
      <c r="G2867" t="s">
        <v>1985</v>
      </c>
      <c r="H2867" t="s">
        <v>700</v>
      </c>
      <c r="K2867">
        <v>1985</v>
      </c>
      <c r="L2867">
        <v>2010</v>
      </c>
      <c r="M2867">
        <v>25</v>
      </c>
      <c r="O2867" t="s">
        <v>1169</v>
      </c>
      <c r="P2867" t="s">
        <v>1169</v>
      </c>
      <c r="Q2867" t="s">
        <v>701</v>
      </c>
    </row>
    <row r="2868" spans="1:18">
      <c r="A2868" t="s">
        <v>553</v>
      </c>
      <c r="C2868" t="s">
        <v>393</v>
      </c>
      <c r="D2868" t="s">
        <v>1496</v>
      </c>
      <c r="E2868" t="s">
        <v>138</v>
      </c>
      <c r="F2868" t="s">
        <v>1492</v>
      </c>
      <c r="G2868" t="s">
        <v>1494</v>
      </c>
      <c r="H2868" t="s">
        <v>527</v>
      </c>
      <c r="K2868">
        <v>1984</v>
      </c>
      <c r="L2868">
        <v>2011</v>
      </c>
      <c r="M2868">
        <f>L2868-K2868+1</f>
        <v>28</v>
      </c>
      <c r="O2868">
        <v>-4.37179E-4</v>
      </c>
      <c r="P2868" t="s">
        <v>397</v>
      </c>
      <c r="Q2868" t="s">
        <v>1196</v>
      </c>
    </row>
    <row r="2869" spans="1:18">
      <c r="A2869" t="s">
        <v>553</v>
      </c>
      <c r="C2869" t="s">
        <v>393</v>
      </c>
      <c r="D2869" t="s">
        <v>1496</v>
      </c>
      <c r="E2869" t="s">
        <v>138</v>
      </c>
      <c r="F2869" t="s">
        <v>1492</v>
      </c>
      <c r="G2869" t="s">
        <v>1494</v>
      </c>
      <c r="H2869" t="s">
        <v>527</v>
      </c>
      <c r="K2869">
        <v>1984</v>
      </c>
      <c r="L2869">
        <v>2011</v>
      </c>
      <c r="M2869">
        <f>L2869-K2869+1</f>
        <v>28</v>
      </c>
      <c r="O2869">
        <v>-190.014906</v>
      </c>
      <c r="P2869" t="s">
        <v>88</v>
      </c>
      <c r="Q2869" t="s">
        <v>1196</v>
      </c>
    </row>
    <row r="2870" spans="1:18">
      <c r="A2870" t="s">
        <v>1986</v>
      </c>
      <c r="B2870" t="s">
        <v>593</v>
      </c>
      <c r="C2870" t="s">
        <v>393</v>
      </c>
      <c r="D2870" t="s">
        <v>1987</v>
      </c>
      <c r="E2870" t="s">
        <v>368</v>
      </c>
      <c r="F2870" t="s">
        <v>368</v>
      </c>
      <c r="G2870" t="s">
        <v>1988</v>
      </c>
      <c r="I2870">
        <v>69.192407000000003</v>
      </c>
      <c r="J2870">
        <v>-80.916330000000002</v>
      </c>
      <c r="K2870">
        <v>1990</v>
      </c>
      <c r="M2870">
        <v>22</v>
      </c>
      <c r="P2870" t="s">
        <v>593</v>
      </c>
      <c r="Q2870" t="s">
        <v>403</v>
      </c>
      <c r="R2870" t="s">
        <v>1989</v>
      </c>
    </row>
    <row r="2871" spans="1:18">
      <c r="A2871" t="s">
        <v>1990</v>
      </c>
      <c r="C2871" t="s">
        <v>393</v>
      </c>
      <c r="D2871" t="s">
        <v>1991</v>
      </c>
      <c r="E2871" t="s">
        <v>138</v>
      </c>
      <c r="F2871" t="s">
        <v>1492</v>
      </c>
      <c r="G2871" t="s">
        <v>140</v>
      </c>
      <c r="H2871" t="s">
        <v>539</v>
      </c>
      <c r="K2871">
        <v>1974</v>
      </c>
      <c r="L2871">
        <v>2000</v>
      </c>
      <c r="M2871">
        <f t="shared" ref="M2871:M2886" si="36">L2871-K2871+1</f>
        <v>27</v>
      </c>
      <c r="O2871" t="s">
        <v>163</v>
      </c>
      <c r="P2871" t="s">
        <v>15</v>
      </c>
      <c r="Q2871" t="s">
        <v>1196</v>
      </c>
    </row>
    <row r="2872" spans="1:18">
      <c r="A2872" t="s">
        <v>1990</v>
      </c>
      <c r="C2872" t="s">
        <v>393</v>
      </c>
      <c r="D2872" t="s">
        <v>1991</v>
      </c>
      <c r="E2872" t="s">
        <v>138</v>
      </c>
      <c r="F2872" t="s">
        <v>1492</v>
      </c>
      <c r="G2872" t="s">
        <v>140</v>
      </c>
      <c r="H2872" t="s">
        <v>539</v>
      </c>
      <c r="K2872">
        <v>1974</v>
      </c>
      <c r="L2872">
        <v>2000</v>
      </c>
      <c r="M2872">
        <f t="shared" si="36"/>
        <v>27</v>
      </c>
      <c r="O2872" t="s">
        <v>163</v>
      </c>
      <c r="P2872" t="s">
        <v>15</v>
      </c>
      <c r="Q2872" t="s">
        <v>1196</v>
      </c>
    </row>
    <row r="2873" spans="1:18">
      <c r="A2873" t="s">
        <v>1992</v>
      </c>
      <c r="C2873" t="s">
        <v>393</v>
      </c>
      <c r="D2873" t="s">
        <v>1993</v>
      </c>
      <c r="E2873" t="s">
        <v>138</v>
      </c>
      <c r="F2873" t="s">
        <v>1492</v>
      </c>
      <c r="G2873" t="s">
        <v>1921</v>
      </c>
      <c r="H2873" t="s">
        <v>539</v>
      </c>
      <c r="K2873">
        <v>1949</v>
      </c>
      <c r="L2873">
        <v>2002</v>
      </c>
      <c r="M2873">
        <f t="shared" si="36"/>
        <v>54</v>
      </c>
      <c r="O2873" t="s">
        <v>163</v>
      </c>
      <c r="P2873" t="s">
        <v>15</v>
      </c>
      <c r="Q2873" t="s">
        <v>1196</v>
      </c>
    </row>
    <row r="2874" spans="1:18">
      <c r="A2874" t="s">
        <v>1992</v>
      </c>
      <c r="C2874" t="s">
        <v>393</v>
      </c>
      <c r="D2874" t="s">
        <v>1993</v>
      </c>
      <c r="E2874" t="s">
        <v>138</v>
      </c>
      <c r="F2874" t="s">
        <v>1492</v>
      </c>
      <c r="G2874" t="s">
        <v>1921</v>
      </c>
      <c r="H2874" t="s">
        <v>533</v>
      </c>
      <c r="K2874">
        <v>1949</v>
      </c>
      <c r="L2874">
        <v>2002</v>
      </c>
      <c r="M2874">
        <f t="shared" si="36"/>
        <v>54</v>
      </c>
      <c r="O2874" t="s">
        <v>163</v>
      </c>
      <c r="P2874" t="s">
        <v>15</v>
      </c>
      <c r="Q2874" t="s">
        <v>1196</v>
      </c>
    </row>
    <row r="2875" spans="1:18">
      <c r="A2875" t="s">
        <v>1870</v>
      </c>
      <c r="C2875" t="s">
        <v>393</v>
      </c>
      <c r="D2875" t="s">
        <v>1871</v>
      </c>
      <c r="E2875" t="s">
        <v>138</v>
      </c>
      <c r="F2875" t="s">
        <v>1911</v>
      </c>
      <c r="G2875" t="s">
        <v>1994</v>
      </c>
      <c r="H2875" t="s">
        <v>539</v>
      </c>
      <c r="K2875">
        <v>1958</v>
      </c>
      <c r="L2875">
        <v>2003</v>
      </c>
      <c r="M2875">
        <f t="shared" si="36"/>
        <v>46</v>
      </c>
      <c r="O2875" t="s">
        <v>163</v>
      </c>
      <c r="P2875" t="s">
        <v>85</v>
      </c>
      <c r="Q2875" t="s">
        <v>1196</v>
      </c>
    </row>
    <row r="2876" spans="1:18">
      <c r="A2876" t="s">
        <v>1870</v>
      </c>
      <c r="C2876" t="s">
        <v>393</v>
      </c>
      <c r="D2876" t="s">
        <v>1871</v>
      </c>
      <c r="E2876" t="s">
        <v>138</v>
      </c>
      <c r="F2876" t="s">
        <v>1492</v>
      </c>
      <c r="G2876" t="s">
        <v>1995</v>
      </c>
      <c r="H2876" t="s">
        <v>539</v>
      </c>
      <c r="K2876">
        <v>1958</v>
      </c>
      <c r="L2876">
        <v>2003</v>
      </c>
      <c r="M2876">
        <f t="shared" si="36"/>
        <v>46</v>
      </c>
      <c r="O2876" t="s">
        <v>163</v>
      </c>
      <c r="P2876" t="s">
        <v>397</v>
      </c>
      <c r="Q2876" t="s">
        <v>1196</v>
      </c>
    </row>
    <row r="2877" spans="1:18">
      <c r="A2877" t="s">
        <v>1996</v>
      </c>
      <c r="C2877" t="s">
        <v>393</v>
      </c>
      <c r="D2877" t="s">
        <v>1887</v>
      </c>
      <c r="E2877" t="s">
        <v>138</v>
      </c>
      <c r="F2877" t="s">
        <v>1997</v>
      </c>
      <c r="G2877" t="s">
        <v>1998</v>
      </c>
      <c r="H2877" t="s">
        <v>539</v>
      </c>
      <c r="K2877">
        <v>1978.5</v>
      </c>
      <c r="L2877">
        <v>2004.5</v>
      </c>
      <c r="M2877">
        <f t="shared" si="36"/>
        <v>27</v>
      </c>
      <c r="O2877" t="s">
        <v>163</v>
      </c>
      <c r="P2877" t="s">
        <v>15</v>
      </c>
      <c r="Q2877" t="s">
        <v>1196</v>
      </c>
    </row>
    <row r="2878" spans="1:18">
      <c r="A2878" t="s">
        <v>1996</v>
      </c>
      <c r="C2878" t="s">
        <v>393</v>
      </c>
      <c r="D2878" t="s">
        <v>1887</v>
      </c>
      <c r="E2878" t="s">
        <v>138</v>
      </c>
      <c r="F2878" t="s">
        <v>1997</v>
      </c>
      <c r="G2878" t="s">
        <v>1998</v>
      </c>
      <c r="H2878" t="s">
        <v>533</v>
      </c>
      <c r="K2878">
        <v>1978.5</v>
      </c>
      <c r="L2878">
        <v>2004.5</v>
      </c>
      <c r="M2878">
        <f t="shared" si="36"/>
        <v>27</v>
      </c>
      <c r="O2878" t="s">
        <v>163</v>
      </c>
      <c r="P2878" t="s">
        <v>15</v>
      </c>
      <c r="Q2878" t="s">
        <v>1196</v>
      </c>
    </row>
    <row r="2879" spans="1:18">
      <c r="A2879" t="s">
        <v>1996</v>
      </c>
      <c r="C2879" t="s">
        <v>393</v>
      </c>
      <c r="D2879" t="s">
        <v>1887</v>
      </c>
      <c r="E2879" t="s">
        <v>138</v>
      </c>
      <c r="F2879" t="s">
        <v>1997</v>
      </c>
      <c r="G2879" t="s">
        <v>1999</v>
      </c>
      <c r="H2879" t="s">
        <v>533</v>
      </c>
      <c r="K2879">
        <v>1978.5</v>
      </c>
      <c r="L2879">
        <v>2004.5</v>
      </c>
      <c r="M2879">
        <f t="shared" si="36"/>
        <v>27</v>
      </c>
      <c r="O2879" t="s">
        <v>163</v>
      </c>
      <c r="P2879" t="s">
        <v>15</v>
      </c>
      <c r="Q2879" t="s">
        <v>1196</v>
      </c>
    </row>
    <row r="2880" spans="1:18">
      <c r="A2880" t="s">
        <v>1996</v>
      </c>
      <c r="C2880" t="s">
        <v>393</v>
      </c>
      <c r="D2880" t="s">
        <v>1887</v>
      </c>
      <c r="E2880" t="s">
        <v>138</v>
      </c>
      <c r="F2880" t="s">
        <v>1997</v>
      </c>
      <c r="G2880" t="s">
        <v>1999</v>
      </c>
      <c r="H2880" t="s">
        <v>539</v>
      </c>
      <c r="K2880">
        <v>1978.5</v>
      </c>
      <c r="L2880">
        <v>2004.5</v>
      </c>
      <c r="M2880">
        <f t="shared" si="36"/>
        <v>27</v>
      </c>
      <c r="O2880" t="s">
        <v>163</v>
      </c>
      <c r="P2880" t="s">
        <v>397</v>
      </c>
      <c r="Q2880" t="s">
        <v>1196</v>
      </c>
    </row>
    <row r="2881" spans="1:17">
      <c r="A2881" t="s">
        <v>2000</v>
      </c>
      <c r="C2881" t="s">
        <v>393</v>
      </c>
      <c r="D2881" t="s">
        <v>2001</v>
      </c>
      <c r="E2881" t="s">
        <v>138</v>
      </c>
      <c r="F2881" t="s">
        <v>1911</v>
      </c>
      <c r="G2881" t="s">
        <v>2002</v>
      </c>
      <c r="H2881" t="s">
        <v>539</v>
      </c>
      <c r="K2881">
        <v>1894</v>
      </c>
      <c r="L2881">
        <v>2006</v>
      </c>
      <c r="M2881">
        <f t="shared" si="36"/>
        <v>113</v>
      </c>
      <c r="O2881" t="s">
        <v>163</v>
      </c>
      <c r="P2881" t="s">
        <v>15</v>
      </c>
      <c r="Q2881" t="s">
        <v>1196</v>
      </c>
    </row>
    <row r="2882" spans="1:17">
      <c r="A2882" t="s">
        <v>2000</v>
      </c>
      <c r="C2882" t="s">
        <v>393</v>
      </c>
      <c r="D2882" t="s">
        <v>2001</v>
      </c>
      <c r="E2882" t="s">
        <v>138</v>
      </c>
      <c r="F2882" t="s">
        <v>1911</v>
      </c>
      <c r="G2882" t="s">
        <v>365</v>
      </c>
      <c r="H2882" t="s">
        <v>539</v>
      </c>
      <c r="K2882">
        <v>1894</v>
      </c>
      <c r="L2882">
        <v>2006</v>
      </c>
      <c r="M2882">
        <f t="shared" si="36"/>
        <v>113</v>
      </c>
      <c r="O2882">
        <v>-11.5044247787611</v>
      </c>
      <c r="P2882" t="s">
        <v>397</v>
      </c>
      <c r="Q2882" t="s">
        <v>1196</v>
      </c>
    </row>
    <row r="2883" spans="1:17">
      <c r="A2883" t="s">
        <v>2000</v>
      </c>
      <c r="C2883" t="s">
        <v>393</v>
      </c>
      <c r="D2883" t="s">
        <v>2001</v>
      </c>
      <c r="E2883" t="s">
        <v>138</v>
      </c>
      <c r="F2883" t="s">
        <v>1911</v>
      </c>
      <c r="G2883" t="s">
        <v>2003</v>
      </c>
      <c r="H2883" t="s">
        <v>539</v>
      </c>
      <c r="K2883">
        <v>1894</v>
      </c>
      <c r="L2883">
        <v>2006</v>
      </c>
      <c r="M2883">
        <f t="shared" si="36"/>
        <v>113</v>
      </c>
      <c r="O2883" t="s">
        <v>163</v>
      </c>
      <c r="P2883" t="s">
        <v>15</v>
      </c>
      <c r="Q2883" t="s">
        <v>1196</v>
      </c>
    </row>
    <row r="2884" spans="1:17">
      <c r="A2884" t="s">
        <v>1873</v>
      </c>
      <c r="C2884" t="s">
        <v>393</v>
      </c>
      <c r="D2884" t="s">
        <v>1874</v>
      </c>
      <c r="E2884" t="s">
        <v>138</v>
      </c>
      <c r="F2884" t="s">
        <v>2004</v>
      </c>
      <c r="G2884" t="s">
        <v>2005</v>
      </c>
      <c r="H2884" t="s">
        <v>539</v>
      </c>
      <c r="K2884">
        <v>1932</v>
      </c>
      <c r="L2884">
        <v>1994</v>
      </c>
      <c r="M2884">
        <f t="shared" si="36"/>
        <v>63</v>
      </c>
      <c r="O2884" t="s">
        <v>163</v>
      </c>
      <c r="P2884" t="s">
        <v>85</v>
      </c>
      <c r="Q2884" t="s">
        <v>1196</v>
      </c>
    </row>
    <row r="2885" spans="1:17">
      <c r="A2885" t="s">
        <v>1873</v>
      </c>
      <c r="C2885" t="s">
        <v>393</v>
      </c>
      <c r="D2885" t="s">
        <v>1874</v>
      </c>
      <c r="E2885" t="s">
        <v>138</v>
      </c>
      <c r="F2885" t="s">
        <v>1492</v>
      </c>
      <c r="G2885" t="s">
        <v>2006</v>
      </c>
      <c r="H2885" t="s">
        <v>533</v>
      </c>
      <c r="K2885">
        <v>1932</v>
      </c>
      <c r="L2885">
        <v>1994</v>
      </c>
      <c r="M2885">
        <f t="shared" si="36"/>
        <v>63</v>
      </c>
      <c r="O2885" t="s">
        <v>163</v>
      </c>
      <c r="P2885" t="s">
        <v>15</v>
      </c>
      <c r="Q2885" t="s">
        <v>1196</v>
      </c>
    </row>
    <row r="2886" spans="1:17">
      <c r="A2886" t="s">
        <v>1873</v>
      </c>
      <c r="C2886" t="s">
        <v>393</v>
      </c>
      <c r="D2886" t="s">
        <v>1874</v>
      </c>
      <c r="E2886" t="s">
        <v>138</v>
      </c>
      <c r="F2886" t="s">
        <v>1492</v>
      </c>
      <c r="G2886" t="s">
        <v>2007</v>
      </c>
      <c r="H2886" t="s">
        <v>539</v>
      </c>
      <c r="K2886">
        <v>1932</v>
      </c>
      <c r="L2886">
        <v>1994</v>
      </c>
      <c r="M2886">
        <f t="shared" si="36"/>
        <v>63</v>
      </c>
      <c r="O2886" t="s">
        <v>163</v>
      </c>
      <c r="P2886" t="s">
        <v>85</v>
      </c>
      <c r="Q2886" t="s">
        <v>1196</v>
      </c>
    </row>
  </sheetData>
  <autoFilter ref="A1:R2886" xr:uid="{00000000-0001-0000-0000-000000000000}"/>
  <hyperlinks>
    <hyperlink ref="A680" r:id="rId1" xr:uid="{83995058-E6DE-476B-BEE2-A2A1F8F8637B}"/>
    <hyperlink ref="A679" r:id="rId2" location="bib0069 " xr:uid="{BCA46B45-691C-4F13-A647-3159BE07526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FEE5F-6DA0-4A8A-A0A4-D646F49706B8}">
  <dimension ref="A1:CN1269"/>
  <sheetViews>
    <sheetView tabSelected="1" topLeftCell="B1" workbookViewId="0">
      <selection activeCell="B1" sqref="A1:XFD1"/>
    </sheetView>
  </sheetViews>
  <sheetFormatPr defaultColWidth="11.6328125" defaultRowHeight="14.5"/>
  <cols>
    <col min="1" max="1" width="12.7265625" hidden="1" customWidth="1"/>
    <col min="2" max="2" width="10.08984375" customWidth="1"/>
    <col min="3" max="3" width="11.90625" customWidth="1"/>
    <col min="4" max="4" width="12" customWidth="1"/>
    <col min="5" max="5" width="9.453125" customWidth="1"/>
    <col min="6" max="6" width="17.453125" customWidth="1"/>
    <col min="7" max="7" width="9.7265625" customWidth="1"/>
    <col min="8" max="8" width="8.54296875" style="6" bestFit="1" customWidth="1"/>
    <col min="9" max="9" width="10" style="6" bestFit="1" customWidth="1"/>
    <col min="10" max="10" width="11.6328125" style="6"/>
    <col min="11" max="11" width="10.36328125" style="6" customWidth="1"/>
    <col min="12" max="12" width="10.453125" style="6" customWidth="1"/>
    <col min="13" max="13" width="16" customWidth="1"/>
    <col min="14" max="14" width="13.7265625" customWidth="1"/>
    <col min="15" max="15" width="16" customWidth="1"/>
    <col min="16" max="16" width="15.26953125" customWidth="1"/>
    <col min="17" max="17" width="25.54296875" customWidth="1"/>
    <col min="18" max="18" width="16.90625" customWidth="1"/>
    <col min="19" max="19" width="11.26953125" hidden="1" customWidth="1"/>
    <col min="20" max="20" width="8.1796875" hidden="1" customWidth="1"/>
    <col min="21" max="21" width="8.90625" hidden="1" customWidth="1"/>
    <col min="22" max="22" width="10.90625" customWidth="1"/>
    <col min="23" max="23" width="13.26953125" bestFit="1" customWidth="1"/>
    <col min="25" max="26" width="0" hidden="1" customWidth="1"/>
    <col min="29" max="29" width="10.90625" customWidth="1"/>
    <col min="30" max="30" width="13.26953125" hidden="1" customWidth="1"/>
    <col min="31" max="31" width="8" hidden="1" customWidth="1"/>
    <col min="32" max="32" width="6.54296875" hidden="1" customWidth="1"/>
    <col min="33" max="33" width="0" hidden="1" customWidth="1"/>
  </cols>
  <sheetData>
    <row r="1" spans="1:33" ht="15.5">
      <c r="A1" s="4" t="s">
        <v>2008</v>
      </c>
      <c r="B1" s="4" t="s">
        <v>2</v>
      </c>
      <c r="C1" s="4" t="s">
        <v>2009</v>
      </c>
      <c r="D1" s="4" t="s">
        <v>2010</v>
      </c>
      <c r="E1" s="4" t="s">
        <v>2011</v>
      </c>
      <c r="F1" s="4" t="s">
        <v>2012</v>
      </c>
      <c r="G1" s="4" t="s">
        <v>2013</v>
      </c>
      <c r="H1" s="5" t="s">
        <v>8</v>
      </c>
      <c r="I1" s="5" t="s">
        <v>9</v>
      </c>
      <c r="J1" s="5" t="s">
        <v>2014</v>
      </c>
      <c r="K1" s="5" t="s">
        <v>2015</v>
      </c>
      <c r="L1" s="5" t="s">
        <v>2016</v>
      </c>
      <c r="M1" s="4" t="s">
        <v>2017</v>
      </c>
      <c r="N1" s="4" t="s">
        <v>2018</v>
      </c>
      <c r="O1" s="4" t="s">
        <v>2019</v>
      </c>
      <c r="P1" s="4" t="s">
        <v>4</v>
      </c>
      <c r="Q1" s="4" t="s">
        <v>6</v>
      </c>
      <c r="R1" s="4" t="s">
        <v>2020</v>
      </c>
      <c r="S1" s="4" t="s">
        <v>2021</v>
      </c>
      <c r="T1" s="4" t="s">
        <v>2022</v>
      </c>
      <c r="U1" s="4" t="s">
        <v>2023</v>
      </c>
      <c r="V1" s="4" t="s">
        <v>13</v>
      </c>
      <c r="W1" s="4" t="s">
        <v>15</v>
      </c>
      <c r="X1" s="4" t="s">
        <v>1</v>
      </c>
      <c r="Y1" s="4" t="s">
        <v>2024</v>
      </c>
      <c r="Z1" s="4" t="s">
        <v>2025</v>
      </c>
      <c r="AA1" s="4" t="s">
        <v>2026</v>
      </c>
      <c r="AB1" s="4" t="s">
        <v>2027</v>
      </c>
      <c r="AC1" s="4" t="s">
        <v>2028</v>
      </c>
      <c r="AD1" s="4" t="s">
        <v>2029</v>
      </c>
      <c r="AE1" s="4" t="s">
        <v>2030</v>
      </c>
      <c r="AF1" s="4" t="s">
        <v>2031</v>
      </c>
      <c r="AG1" s="4" t="s">
        <v>2032</v>
      </c>
    </row>
    <row r="2" spans="1:33">
      <c r="A2">
        <v>1</v>
      </c>
      <c r="B2" t="s">
        <v>19</v>
      </c>
      <c r="C2" t="s">
        <v>2033</v>
      </c>
      <c r="E2">
        <v>2019</v>
      </c>
      <c r="F2" t="s">
        <v>2034</v>
      </c>
      <c r="G2" t="s">
        <v>2035</v>
      </c>
      <c r="H2" s="6">
        <v>49.650599999999997</v>
      </c>
      <c r="I2" s="6">
        <v>-125.4494</v>
      </c>
      <c r="J2" s="6">
        <v>1982</v>
      </c>
      <c r="K2" s="6">
        <v>2015</v>
      </c>
      <c r="L2" s="6">
        <f t="shared" ref="L2:L65" si="0">K2-J2+1</f>
        <v>34</v>
      </c>
      <c r="M2" t="s">
        <v>2036</v>
      </c>
      <c r="N2" t="s">
        <v>161</v>
      </c>
      <c r="O2" t="s">
        <v>161</v>
      </c>
      <c r="P2" t="s">
        <v>2037</v>
      </c>
      <c r="Q2" t="s">
        <v>1134</v>
      </c>
      <c r="R2" t="s">
        <v>2038</v>
      </c>
      <c r="S2" t="s">
        <v>2039</v>
      </c>
      <c r="T2">
        <v>332</v>
      </c>
      <c r="U2" t="s">
        <v>2040</v>
      </c>
      <c r="V2">
        <v>-4.3</v>
      </c>
      <c r="W2" t="s">
        <v>2041</v>
      </c>
      <c r="X2" t="s">
        <v>2041</v>
      </c>
      <c r="Y2" t="s">
        <v>19</v>
      </c>
      <c r="Z2" t="str">
        <f t="shared" ref="Z2:Z65" si="1">IF(L2&gt;=19,"Y","N")</f>
        <v>Y</v>
      </c>
      <c r="AA2" t="s">
        <v>2042</v>
      </c>
      <c r="AB2" t="s">
        <v>2043</v>
      </c>
      <c r="AC2" t="s">
        <v>2044</v>
      </c>
      <c r="AD2" t="s">
        <v>593</v>
      </c>
      <c r="AE2" t="s">
        <v>2045</v>
      </c>
      <c r="AF2" t="s">
        <v>2041</v>
      </c>
      <c r="AG2" t="s">
        <v>595</v>
      </c>
    </row>
    <row r="3" spans="1:33">
      <c r="A3">
        <v>2</v>
      </c>
      <c r="B3" t="s">
        <v>19</v>
      </c>
      <c r="C3" t="s">
        <v>2033</v>
      </c>
      <c r="E3">
        <v>2019</v>
      </c>
      <c r="F3" t="s">
        <v>2034</v>
      </c>
      <c r="G3" t="s">
        <v>2035</v>
      </c>
      <c r="H3" s="6">
        <v>49.650599999999997</v>
      </c>
      <c r="I3" s="6">
        <v>-125.4494</v>
      </c>
      <c r="J3" s="6">
        <v>1982</v>
      </c>
      <c r="K3" s="6">
        <v>2015</v>
      </c>
      <c r="L3" s="6">
        <f t="shared" si="0"/>
        <v>34</v>
      </c>
      <c r="M3" t="s">
        <v>2036</v>
      </c>
      <c r="N3" t="s">
        <v>161</v>
      </c>
      <c r="O3" t="s">
        <v>161</v>
      </c>
      <c r="P3" t="s">
        <v>2046</v>
      </c>
      <c r="Q3" t="s">
        <v>2047</v>
      </c>
      <c r="R3" t="s">
        <v>2038</v>
      </c>
      <c r="S3" t="s">
        <v>2039</v>
      </c>
      <c r="T3">
        <v>332</v>
      </c>
      <c r="U3" t="s">
        <v>2040</v>
      </c>
      <c r="V3">
        <v>-8</v>
      </c>
      <c r="W3" t="s">
        <v>2041</v>
      </c>
      <c r="X3" t="s">
        <v>2041</v>
      </c>
      <c r="Y3" t="s">
        <v>19</v>
      </c>
      <c r="Z3" t="str">
        <f t="shared" si="1"/>
        <v>Y</v>
      </c>
      <c r="AA3" t="s">
        <v>2042</v>
      </c>
      <c r="AB3" t="s">
        <v>2043</v>
      </c>
      <c r="AC3" t="s">
        <v>2048</v>
      </c>
      <c r="AD3" t="s">
        <v>593</v>
      </c>
      <c r="AE3" t="s">
        <v>2045</v>
      </c>
      <c r="AF3" t="s">
        <v>2041</v>
      </c>
      <c r="AG3" t="s">
        <v>595</v>
      </c>
    </row>
    <row r="4" spans="1:33" ht="15.5">
      <c r="A4">
        <v>4</v>
      </c>
      <c r="B4" t="s">
        <v>19</v>
      </c>
      <c r="C4" t="s">
        <v>2049</v>
      </c>
      <c r="E4">
        <v>2017</v>
      </c>
      <c r="F4" t="s">
        <v>2050</v>
      </c>
      <c r="G4" t="s">
        <v>2035</v>
      </c>
      <c r="H4" s="7">
        <v>53.5</v>
      </c>
      <c r="I4" s="6">
        <v>-5</v>
      </c>
      <c r="J4" s="6">
        <v>1983</v>
      </c>
      <c r="K4" s="6">
        <v>2014</v>
      </c>
      <c r="L4" s="6">
        <f t="shared" si="0"/>
        <v>32</v>
      </c>
      <c r="M4" t="s">
        <v>2036</v>
      </c>
      <c r="N4" t="s">
        <v>161</v>
      </c>
      <c r="O4" t="s">
        <v>161</v>
      </c>
      <c r="P4" t="s">
        <v>2051</v>
      </c>
      <c r="Q4" t="s">
        <v>210</v>
      </c>
      <c r="R4" t="s">
        <v>2052</v>
      </c>
      <c r="S4" s="8" t="s">
        <v>2039</v>
      </c>
      <c r="T4" t="s">
        <v>163</v>
      </c>
      <c r="U4" t="s">
        <v>2053</v>
      </c>
      <c r="V4">
        <f>-(1.03+0.81)/2*7</f>
        <v>-6.44</v>
      </c>
      <c r="W4" t="s">
        <v>2041</v>
      </c>
      <c r="X4" t="s">
        <v>2041</v>
      </c>
      <c r="Y4" t="s">
        <v>19</v>
      </c>
      <c r="Z4" t="str">
        <f t="shared" si="1"/>
        <v>Y</v>
      </c>
      <c r="AA4" t="s">
        <v>2054</v>
      </c>
      <c r="AB4" t="s">
        <v>2055</v>
      </c>
      <c r="AC4" t="s">
        <v>2056</v>
      </c>
      <c r="AD4" s="9" t="s">
        <v>595</v>
      </c>
      <c r="AE4" s="9" t="s">
        <v>2057</v>
      </c>
      <c r="AF4" s="9" t="s">
        <v>2058</v>
      </c>
      <c r="AG4" t="s">
        <v>595</v>
      </c>
    </row>
    <row r="5" spans="1:33" ht="15.5">
      <c r="A5">
        <v>5</v>
      </c>
      <c r="B5" t="s">
        <v>19</v>
      </c>
      <c r="C5" s="10" t="s">
        <v>2049</v>
      </c>
      <c r="E5">
        <v>2017</v>
      </c>
      <c r="F5" t="s">
        <v>2059</v>
      </c>
      <c r="G5" t="s">
        <v>2035</v>
      </c>
      <c r="H5" s="7">
        <v>55.5</v>
      </c>
      <c r="I5" s="6">
        <v>2.5</v>
      </c>
      <c r="J5" s="6">
        <v>1985</v>
      </c>
      <c r="K5" s="6">
        <v>2014</v>
      </c>
      <c r="L5" s="6">
        <f t="shared" si="0"/>
        <v>30</v>
      </c>
      <c r="M5" t="s">
        <v>2036</v>
      </c>
      <c r="N5" t="s">
        <v>161</v>
      </c>
      <c r="O5" t="s">
        <v>161</v>
      </c>
      <c r="P5" t="s">
        <v>2051</v>
      </c>
      <c r="Q5" t="s">
        <v>210</v>
      </c>
      <c r="R5" t="s">
        <v>2052</v>
      </c>
      <c r="S5" s="8" t="s">
        <v>2039</v>
      </c>
      <c r="T5" t="s">
        <v>163</v>
      </c>
      <c r="U5" t="s">
        <v>2053</v>
      </c>
      <c r="V5">
        <f>-(1.76+2.44)/2*7</f>
        <v>-14.700000000000001</v>
      </c>
      <c r="W5" t="s">
        <v>2041</v>
      </c>
      <c r="X5" t="s">
        <v>2041</v>
      </c>
      <c r="Y5" t="s">
        <v>19</v>
      </c>
      <c r="Z5" t="str">
        <f t="shared" si="1"/>
        <v>Y</v>
      </c>
      <c r="AA5" t="s">
        <v>2054</v>
      </c>
      <c r="AB5" t="s">
        <v>2055</v>
      </c>
      <c r="AC5" t="s">
        <v>2060</v>
      </c>
      <c r="AD5" s="9" t="s">
        <v>595</v>
      </c>
      <c r="AE5" s="9" t="s">
        <v>2057</v>
      </c>
      <c r="AF5" s="9" t="s">
        <v>2058</v>
      </c>
      <c r="AG5" t="s">
        <v>595</v>
      </c>
    </row>
    <row r="6" spans="1:33" ht="15.5">
      <c r="A6">
        <v>6</v>
      </c>
      <c r="B6" t="s">
        <v>19</v>
      </c>
      <c r="C6" t="s">
        <v>2049</v>
      </c>
      <c r="E6">
        <v>2017</v>
      </c>
      <c r="F6" t="s">
        <v>2061</v>
      </c>
      <c r="G6" t="s">
        <v>2035</v>
      </c>
      <c r="H6" s="7">
        <v>60</v>
      </c>
      <c r="I6" s="6">
        <v>1</v>
      </c>
      <c r="J6" s="6">
        <v>1985</v>
      </c>
      <c r="K6" s="6">
        <v>2014</v>
      </c>
      <c r="L6" s="6">
        <f t="shared" si="0"/>
        <v>30</v>
      </c>
      <c r="M6" t="s">
        <v>2036</v>
      </c>
      <c r="N6" t="s">
        <v>161</v>
      </c>
      <c r="O6" t="s">
        <v>161</v>
      </c>
      <c r="P6" t="s">
        <v>2051</v>
      </c>
      <c r="Q6" t="s">
        <v>210</v>
      </c>
      <c r="R6" t="s">
        <v>2052</v>
      </c>
      <c r="S6" s="8" t="s">
        <v>2039</v>
      </c>
      <c r="T6" t="s">
        <v>163</v>
      </c>
      <c r="U6" t="s">
        <v>2053</v>
      </c>
      <c r="V6">
        <f>-0.94*7</f>
        <v>-6.58</v>
      </c>
      <c r="W6" t="s">
        <v>2041</v>
      </c>
      <c r="X6" t="s">
        <v>2041</v>
      </c>
      <c r="Y6" t="s">
        <v>19</v>
      </c>
      <c r="Z6" t="str">
        <f t="shared" si="1"/>
        <v>Y</v>
      </c>
      <c r="AA6" t="s">
        <v>2054</v>
      </c>
      <c r="AB6" t="s">
        <v>2055</v>
      </c>
      <c r="AC6" t="s">
        <v>2056</v>
      </c>
      <c r="AD6" s="9" t="s">
        <v>595</v>
      </c>
      <c r="AE6" s="9" t="s">
        <v>2057</v>
      </c>
      <c r="AF6" s="9" t="s">
        <v>2041</v>
      </c>
      <c r="AG6" t="s">
        <v>595</v>
      </c>
    </row>
    <row r="7" spans="1:33">
      <c r="A7">
        <v>7</v>
      </c>
      <c r="B7" t="s">
        <v>19</v>
      </c>
      <c r="C7" t="s">
        <v>2062</v>
      </c>
      <c r="E7">
        <v>2013</v>
      </c>
      <c r="F7" t="s">
        <v>2063</v>
      </c>
      <c r="G7" t="s">
        <v>2035</v>
      </c>
      <c r="H7" s="6">
        <v>51</v>
      </c>
      <c r="I7" s="6">
        <v>-4.75</v>
      </c>
      <c r="J7" s="6">
        <v>1983</v>
      </c>
      <c r="K7" s="6">
        <v>2009</v>
      </c>
      <c r="L7" s="6">
        <f t="shared" si="0"/>
        <v>27</v>
      </c>
      <c r="N7" t="s">
        <v>161</v>
      </c>
      <c r="O7" t="s">
        <v>161</v>
      </c>
      <c r="P7" t="s">
        <v>2064</v>
      </c>
      <c r="Q7" t="s">
        <v>165</v>
      </c>
      <c r="R7" t="s">
        <v>2065</v>
      </c>
      <c r="V7">
        <f>-(21.5-18)*7/(L7/10)</f>
        <v>-9.0740740740740726</v>
      </c>
      <c r="W7" t="s">
        <v>2041</v>
      </c>
      <c r="X7" t="s">
        <v>2041</v>
      </c>
      <c r="Y7" t="s">
        <v>19</v>
      </c>
      <c r="Z7" t="str">
        <f t="shared" si="1"/>
        <v>Y</v>
      </c>
      <c r="AC7" t="s">
        <v>2066</v>
      </c>
      <c r="AD7" t="s">
        <v>2067</v>
      </c>
    </row>
    <row r="8" spans="1:33">
      <c r="A8">
        <v>8</v>
      </c>
      <c r="B8" t="s">
        <v>19</v>
      </c>
      <c r="C8" t="s">
        <v>2062</v>
      </c>
      <c r="E8">
        <v>2013</v>
      </c>
      <c r="F8" t="s">
        <v>2068</v>
      </c>
      <c r="G8" t="s">
        <v>2035</v>
      </c>
      <c r="H8" s="6">
        <v>54.5</v>
      </c>
      <c r="I8" s="6">
        <v>8</v>
      </c>
      <c r="J8" s="6">
        <v>1970</v>
      </c>
      <c r="K8" s="6">
        <v>2010</v>
      </c>
      <c r="L8" s="6">
        <f t="shared" si="0"/>
        <v>41</v>
      </c>
      <c r="N8" t="s">
        <v>161</v>
      </c>
      <c r="O8" t="s">
        <v>161</v>
      </c>
      <c r="P8" t="s">
        <v>2064</v>
      </c>
      <c r="Q8" t="s">
        <v>165</v>
      </c>
      <c r="R8" t="s">
        <v>2065</v>
      </c>
      <c r="V8">
        <f>-(26-20.5)*7/(L8/10)</f>
        <v>-9.3902439024390247</v>
      </c>
      <c r="W8" t="s">
        <v>2041</v>
      </c>
      <c r="X8" t="s">
        <v>2041</v>
      </c>
      <c r="Y8" t="s">
        <v>19</v>
      </c>
      <c r="Z8" t="str">
        <f t="shared" si="1"/>
        <v>Y</v>
      </c>
      <c r="AC8" t="s">
        <v>2069</v>
      </c>
    </row>
    <row r="9" spans="1:33">
      <c r="A9">
        <v>9</v>
      </c>
      <c r="B9" t="s">
        <v>19</v>
      </c>
      <c r="C9" t="s">
        <v>2062</v>
      </c>
      <c r="E9">
        <v>2013</v>
      </c>
      <c r="F9" t="s">
        <v>2070</v>
      </c>
      <c r="G9" t="s">
        <v>2035</v>
      </c>
      <c r="H9" s="6">
        <v>54</v>
      </c>
      <c r="I9" s="6">
        <v>0</v>
      </c>
      <c r="J9" s="6">
        <v>1983</v>
      </c>
      <c r="K9" s="6">
        <v>2009</v>
      </c>
      <c r="L9" s="6">
        <f t="shared" si="0"/>
        <v>27</v>
      </c>
      <c r="N9" t="s">
        <v>161</v>
      </c>
      <c r="O9" t="s">
        <v>161</v>
      </c>
      <c r="P9" t="s">
        <v>2064</v>
      </c>
      <c r="Q9" t="s">
        <v>165</v>
      </c>
      <c r="R9" t="s">
        <v>2065</v>
      </c>
      <c r="V9">
        <f>-(23-20)*7/(L9/10)</f>
        <v>-7.7777777777777777</v>
      </c>
      <c r="W9" t="s">
        <v>2041</v>
      </c>
      <c r="X9" t="s">
        <v>2041</v>
      </c>
      <c r="Y9" t="s">
        <v>19</v>
      </c>
      <c r="Z9" t="str">
        <f t="shared" si="1"/>
        <v>Y</v>
      </c>
      <c r="AC9" t="s">
        <v>2069</v>
      </c>
    </row>
    <row r="10" spans="1:33">
      <c r="A10">
        <v>10</v>
      </c>
      <c r="B10" t="s">
        <v>19</v>
      </c>
      <c r="C10" t="s">
        <v>2062</v>
      </c>
      <c r="E10">
        <v>2013</v>
      </c>
      <c r="F10" t="s">
        <v>2071</v>
      </c>
      <c r="G10" t="s">
        <v>2035</v>
      </c>
      <c r="H10" s="6">
        <v>51.5</v>
      </c>
      <c r="I10" s="6">
        <v>3</v>
      </c>
      <c r="J10" s="6">
        <v>1970</v>
      </c>
      <c r="K10" s="6">
        <v>2009</v>
      </c>
      <c r="L10" s="6">
        <f t="shared" si="0"/>
        <v>40</v>
      </c>
      <c r="N10" t="s">
        <v>161</v>
      </c>
      <c r="O10" t="s">
        <v>161</v>
      </c>
      <c r="P10" t="s">
        <v>2064</v>
      </c>
      <c r="Q10" t="s">
        <v>165</v>
      </c>
      <c r="R10" t="s">
        <v>2065</v>
      </c>
      <c r="V10">
        <f>-(22-18.5)*7/(L10/10)</f>
        <v>-6.125</v>
      </c>
      <c r="W10" t="s">
        <v>2041</v>
      </c>
      <c r="X10" t="s">
        <v>2041</v>
      </c>
      <c r="Y10" t="s">
        <v>19</v>
      </c>
      <c r="Z10" t="str">
        <f t="shared" si="1"/>
        <v>Y</v>
      </c>
      <c r="AC10" t="s">
        <v>2069</v>
      </c>
    </row>
    <row r="11" spans="1:33">
      <c r="A11">
        <v>11</v>
      </c>
      <c r="B11" t="s">
        <v>19</v>
      </c>
      <c r="C11" t="s">
        <v>2062</v>
      </c>
      <c r="E11">
        <v>2013</v>
      </c>
      <c r="F11" t="s">
        <v>2072</v>
      </c>
      <c r="G11" t="s">
        <v>2035</v>
      </c>
      <c r="H11" s="6">
        <v>50.5</v>
      </c>
      <c r="I11" s="6">
        <v>-0.25</v>
      </c>
      <c r="J11" s="6">
        <v>1983</v>
      </c>
      <c r="K11" s="6">
        <v>2009</v>
      </c>
      <c r="L11" s="6">
        <f t="shared" si="0"/>
        <v>27</v>
      </c>
      <c r="N11" t="s">
        <v>161</v>
      </c>
      <c r="O11" t="s">
        <v>161</v>
      </c>
      <c r="P11" t="s">
        <v>2064</v>
      </c>
      <c r="Q11" t="s">
        <v>165</v>
      </c>
      <c r="R11" t="s">
        <v>2065</v>
      </c>
      <c r="V11">
        <f>-(19-15)*7/(L11/10)</f>
        <v>-10.37037037037037</v>
      </c>
      <c r="W11" t="s">
        <v>2041</v>
      </c>
      <c r="X11" t="s">
        <v>2041</v>
      </c>
      <c r="Y11" t="s">
        <v>19</v>
      </c>
      <c r="Z11" t="str">
        <f t="shared" si="1"/>
        <v>Y</v>
      </c>
      <c r="AC11" t="s">
        <v>2069</v>
      </c>
    </row>
    <row r="12" spans="1:33">
      <c r="A12">
        <v>12</v>
      </c>
      <c r="B12" t="s">
        <v>19</v>
      </c>
      <c r="C12" t="s">
        <v>2062</v>
      </c>
      <c r="E12">
        <v>2013</v>
      </c>
      <c r="F12" t="s">
        <v>2073</v>
      </c>
      <c r="G12" t="s">
        <v>2035</v>
      </c>
      <c r="H12" s="6">
        <v>49.8</v>
      </c>
      <c r="I12" s="6">
        <v>-4.25</v>
      </c>
      <c r="J12" s="6">
        <v>1984</v>
      </c>
      <c r="K12" s="6">
        <v>2008</v>
      </c>
      <c r="L12" s="6">
        <f t="shared" si="0"/>
        <v>25</v>
      </c>
      <c r="N12" t="s">
        <v>161</v>
      </c>
      <c r="O12" t="s">
        <v>161</v>
      </c>
      <c r="P12" t="s">
        <v>2064</v>
      </c>
      <c r="Q12" t="s">
        <v>165</v>
      </c>
      <c r="R12" t="s">
        <v>2065</v>
      </c>
      <c r="V12">
        <f>-(12.5-12)*7/(L12/10)</f>
        <v>-1.4</v>
      </c>
      <c r="W12" t="s">
        <v>2041</v>
      </c>
      <c r="X12" t="s">
        <v>2041</v>
      </c>
      <c r="Y12" t="s">
        <v>19</v>
      </c>
      <c r="Z12" t="str">
        <f t="shared" si="1"/>
        <v>Y</v>
      </c>
      <c r="AC12" t="s">
        <v>2069</v>
      </c>
    </row>
    <row r="13" spans="1:33">
      <c r="A13">
        <v>336</v>
      </c>
      <c r="B13" t="s">
        <v>2074</v>
      </c>
      <c r="C13" t="s">
        <v>2075</v>
      </c>
      <c r="E13">
        <v>2001</v>
      </c>
      <c r="F13" t="s">
        <v>2076</v>
      </c>
      <c r="G13" t="s">
        <v>2035</v>
      </c>
      <c r="H13" s="6">
        <v>50.87</v>
      </c>
      <c r="I13" s="6">
        <v>-129.08000000000001</v>
      </c>
      <c r="J13" s="6">
        <v>1975</v>
      </c>
      <c r="K13" s="6">
        <v>1999</v>
      </c>
      <c r="L13" s="6">
        <f t="shared" si="0"/>
        <v>25</v>
      </c>
      <c r="M13" t="s">
        <v>2077</v>
      </c>
      <c r="N13" t="s">
        <v>394</v>
      </c>
      <c r="O13" t="s">
        <v>394</v>
      </c>
      <c r="P13" t="s">
        <v>2078</v>
      </c>
      <c r="Q13" t="s">
        <v>2079</v>
      </c>
      <c r="V13">
        <v>0</v>
      </c>
      <c r="W13" t="s">
        <v>2080</v>
      </c>
      <c r="X13" t="s">
        <v>2041</v>
      </c>
      <c r="Y13" t="s">
        <v>2081</v>
      </c>
      <c r="Z13" t="str">
        <f t="shared" si="1"/>
        <v>Y</v>
      </c>
    </row>
    <row r="14" spans="1:33">
      <c r="A14">
        <v>337</v>
      </c>
      <c r="B14" t="s">
        <v>2074</v>
      </c>
      <c r="C14" t="s">
        <v>2075</v>
      </c>
      <c r="E14">
        <v>2001</v>
      </c>
      <c r="F14" t="s">
        <v>2076</v>
      </c>
      <c r="G14" t="s">
        <v>2035</v>
      </c>
      <c r="H14" s="6">
        <v>50.87</v>
      </c>
      <c r="I14" s="6">
        <v>-129.08000000000001</v>
      </c>
      <c r="J14" s="6">
        <v>1975</v>
      </c>
      <c r="K14" s="6">
        <v>1999</v>
      </c>
      <c r="L14" s="6">
        <f t="shared" si="0"/>
        <v>25</v>
      </c>
      <c r="M14" t="s">
        <v>2077</v>
      </c>
      <c r="N14" t="s">
        <v>394</v>
      </c>
      <c r="O14" t="s">
        <v>394</v>
      </c>
      <c r="P14" t="s">
        <v>2082</v>
      </c>
      <c r="Q14" t="s">
        <v>2083</v>
      </c>
      <c r="V14">
        <v>-9</v>
      </c>
      <c r="W14" t="s">
        <v>2041</v>
      </c>
      <c r="X14" t="s">
        <v>2041</v>
      </c>
      <c r="Y14" t="s">
        <v>2081</v>
      </c>
      <c r="Z14" t="str">
        <f t="shared" si="1"/>
        <v>Y</v>
      </c>
    </row>
    <row r="15" spans="1:33">
      <c r="A15">
        <v>338</v>
      </c>
      <c r="B15" t="s">
        <v>2074</v>
      </c>
      <c r="C15" t="s">
        <v>2075</v>
      </c>
      <c r="E15">
        <v>2001</v>
      </c>
      <c r="F15" t="s">
        <v>2076</v>
      </c>
      <c r="G15" t="s">
        <v>2035</v>
      </c>
      <c r="H15" s="6">
        <v>50.87</v>
      </c>
      <c r="I15" s="6">
        <v>-129.08000000000001</v>
      </c>
      <c r="J15" s="6">
        <v>1975</v>
      </c>
      <c r="K15" s="6">
        <v>1999</v>
      </c>
      <c r="L15" s="6">
        <f t="shared" si="0"/>
        <v>25</v>
      </c>
      <c r="M15" t="s">
        <v>2077</v>
      </c>
      <c r="N15" t="s">
        <v>394</v>
      </c>
      <c r="O15" t="s">
        <v>394</v>
      </c>
      <c r="P15" t="s">
        <v>2084</v>
      </c>
      <c r="Q15" t="s">
        <v>2085</v>
      </c>
      <c r="V15">
        <v>-14</v>
      </c>
      <c r="W15" t="s">
        <v>2041</v>
      </c>
      <c r="X15" t="s">
        <v>2041</v>
      </c>
      <c r="Y15" t="s">
        <v>2081</v>
      </c>
      <c r="Z15" t="str">
        <f t="shared" si="1"/>
        <v>Y</v>
      </c>
    </row>
    <row r="16" spans="1:33">
      <c r="A16">
        <v>16</v>
      </c>
      <c r="B16" t="s">
        <v>19</v>
      </c>
      <c r="C16" t="s">
        <v>2086</v>
      </c>
      <c r="E16">
        <v>2008</v>
      </c>
      <c r="F16" t="s">
        <v>2087</v>
      </c>
      <c r="G16" t="s">
        <v>2035</v>
      </c>
      <c r="H16" s="6">
        <v>58.383299999999998</v>
      </c>
      <c r="I16" s="6">
        <v>-134.6558</v>
      </c>
      <c r="J16" s="6">
        <v>1972</v>
      </c>
      <c r="K16" s="6">
        <v>2005</v>
      </c>
      <c r="L16" s="6">
        <f t="shared" si="0"/>
        <v>34</v>
      </c>
      <c r="N16" t="s">
        <v>161</v>
      </c>
      <c r="O16" t="s">
        <v>161</v>
      </c>
      <c r="P16" t="s">
        <v>2088</v>
      </c>
      <c r="Q16" t="s">
        <v>2089</v>
      </c>
      <c r="R16" s="11"/>
      <c r="S16" s="11"/>
      <c r="T16" s="11"/>
      <c r="U16" s="11"/>
      <c r="V16">
        <f>-0.5*10</f>
        <v>-5</v>
      </c>
      <c r="W16" t="s">
        <v>2041</v>
      </c>
      <c r="X16" t="s">
        <v>2041</v>
      </c>
      <c r="Y16" t="s">
        <v>19</v>
      </c>
      <c r="Z16" t="str">
        <f t="shared" si="1"/>
        <v>Y</v>
      </c>
      <c r="AC16" t="s">
        <v>2090</v>
      </c>
      <c r="AD16" t="s">
        <v>2041</v>
      </c>
    </row>
    <row r="17" spans="1:33">
      <c r="A17">
        <v>401</v>
      </c>
      <c r="B17" t="s">
        <v>2074</v>
      </c>
      <c r="C17" t="s">
        <v>2091</v>
      </c>
      <c r="E17">
        <v>2001</v>
      </c>
      <c r="F17" t="s">
        <v>1496</v>
      </c>
      <c r="G17" t="s">
        <v>2035</v>
      </c>
      <c r="H17" s="6">
        <v>52.89</v>
      </c>
      <c r="I17" s="6">
        <v>-131.65</v>
      </c>
      <c r="J17" s="6">
        <v>1984</v>
      </c>
      <c r="K17" s="6">
        <v>1999</v>
      </c>
      <c r="L17" s="6">
        <f t="shared" si="0"/>
        <v>16</v>
      </c>
      <c r="M17" t="s">
        <v>2036</v>
      </c>
      <c r="N17" t="s">
        <v>394</v>
      </c>
      <c r="O17" t="s">
        <v>394</v>
      </c>
      <c r="P17" t="s">
        <v>2092</v>
      </c>
      <c r="Q17" t="s">
        <v>2093</v>
      </c>
      <c r="V17">
        <v>-3.4210526319999999</v>
      </c>
      <c r="W17" t="s">
        <v>2041</v>
      </c>
      <c r="X17" t="s">
        <v>2041</v>
      </c>
      <c r="Y17" t="s">
        <v>2081</v>
      </c>
      <c r="Z17" t="str">
        <f t="shared" si="1"/>
        <v>N</v>
      </c>
    </row>
    <row r="18" spans="1:33">
      <c r="A18">
        <v>165</v>
      </c>
      <c r="B18" t="s">
        <v>19</v>
      </c>
      <c r="C18" t="s">
        <v>2094</v>
      </c>
      <c r="E18">
        <v>2003</v>
      </c>
      <c r="F18" t="s">
        <v>1165</v>
      </c>
      <c r="G18" t="s">
        <v>2035</v>
      </c>
      <c r="H18" s="6">
        <v>50.87</v>
      </c>
      <c r="I18" s="6">
        <v>-129.08000000000001</v>
      </c>
      <c r="J18" s="6">
        <v>1975</v>
      </c>
      <c r="K18" s="6">
        <v>2002</v>
      </c>
      <c r="L18" s="6">
        <f t="shared" si="0"/>
        <v>28</v>
      </c>
      <c r="N18" t="s">
        <v>394</v>
      </c>
      <c r="O18" t="s">
        <v>394</v>
      </c>
      <c r="Q18" t="s">
        <v>2095</v>
      </c>
      <c r="V18">
        <f>-0.79*10</f>
        <v>-7.9</v>
      </c>
      <c r="W18" t="s">
        <v>2041</v>
      </c>
      <c r="X18" s="11" t="s">
        <v>2041</v>
      </c>
      <c r="Y18" t="s">
        <v>19</v>
      </c>
      <c r="Z18" t="str">
        <f t="shared" si="1"/>
        <v>Y</v>
      </c>
      <c r="AC18" t="s">
        <v>2096</v>
      </c>
      <c r="AD18" s="11"/>
      <c r="AE18" s="11"/>
      <c r="AF18" s="11"/>
    </row>
    <row r="19" spans="1:33">
      <c r="A19">
        <v>22</v>
      </c>
      <c r="B19" t="s">
        <v>19</v>
      </c>
      <c r="C19" t="s">
        <v>2097</v>
      </c>
      <c r="E19">
        <v>2017</v>
      </c>
      <c r="F19" t="s">
        <v>2098</v>
      </c>
      <c r="G19" t="s">
        <v>2035</v>
      </c>
      <c r="H19" s="6">
        <v>48.879899999999999</v>
      </c>
      <c r="I19" s="6">
        <v>0.17130000000000001</v>
      </c>
      <c r="J19" s="6">
        <v>1987</v>
      </c>
      <c r="K19" s="6">
        <v>2013</v>
      </c>
      <c r="L19" s="6">
        <f t="shared" si="0"/>
        <v>27</v>
      </c>
      <c r="M19" t="s">
        <v>2036</v>
      </c>
      <c r="N19" t="s">
        <v>161</v>
      </c>
      <c r="O19" t="s">
        <v>161</v>
      </c>
      <c r="P19" t="s">
        <v>2099</v>
      </c>
      <c r="Q19" t="s">
        <v>2100</v>
      </c>
      <c r="R19" t="s">
        <v>2038</v>
      </c>
      <c r="S19" t="s">
        <v>2039</v>
      </c>
      <c r="T19">
        <v>160</v>
      </c>
      <c r="U19" t="s">
        <v>2101</v>
      </c>
      <c r="V19">
        <f>35/2.7</f>
        <v>12.962962962962962</v>
      </c>
      <c r="W19" t="s">
        <v>2058</v>
      </c>
      <c r="X19" t="s">
        <v>2041</v>
      </c>
      <c r="Y19" t="s">
        <v>19</v>
      </c>
      <c r="Z19" t="str">
        <f t="shared" si="1"/>
        <v>Y</v>
      </c>
      <c r="AA19" t="s">
        <v>2102</v>
      </c>
      <c r="AB19" t="s">
        <v>2103</v>
      </c>
      <c r="AC19" t="s">
        <v>2104</v>
      </c>
      <c r="AD19" s="9" t="s">
        <v>593</v>
      </c>
      <c r="AE19" s="9" t="s">
        <v>2102</v>
      </c>
      <c r="AF19" s="9" t="s">
        <v>2058</v>
      </c>
      <c r="AG19" t="s">
        <v>595</v>
      </c>
    </row>
    <row r="20" spans="1:33">
      <c r="A20">
        <v>23</v>
      </c>
      <c r="B20" t="s">
        <v>19</v>
      </c>
      <c r="C20" t="s">
        <v>2097</v>
      </c>
      <c r="E20">
        <v>2017</v>
      </c>
      <c r="F20" t="s">
        <v>2105</v>
      </c>
      <c r="G20" t="s">
        <v>2035</v>
      </c>
      <c r="H20" s="6">
        <v>48.201999999999998</v>
      </c>
      <c r="I20" s="6">
        <v>-2.9325999999999999</v>
      </c>
      <c r="J20" s="6">
        <v>1987</v>
      </c>
      <c r="K20" s="6">
        <v>2013</v>
      </c>
      <c r="L20" s="6">
        <f t="shared" si="0"/>
        <v>27</v>
      </c>
      <c r="M20" t="s">
        <v>2036</v>
      </c>
      <c r="N20" t="s">
        <v>161</v>
      </c>
      <c r="O20" t="s">
        <v>161</v>
      </c>
      <c r="P20" t="s">
        <v>2099</v>
      </c>
      <c r="Q20" t="s">
        <v>2100</v>
      </c>
      <c r="R20" t="s">
        <v>2038</v>
      </c>
      <c r="S20" t="s">
        <v>2039</v>
      </c>
      <c r="T20">
        <v>160</v>
      </c>
      <c r="U20" t="s">
        <v>2101</v>
      </c>
      <c r="V20">
        <f>35/2.7</f>
        <v>12.962962962962962</v>
      </c>
      <c r="W20" t="s">
        <v>2058</v>
      </c>
      <c r="X20" t="s">
        <v>2041</v>
      </c>
      <c r="Y20" t="s">
        <v>19</v>
      </c>
      <c r="Z20" t="str">
        <f t="shared" si="1"/>
        <v>Y</v>
      </c>
      <c r="AA20" t="s">
        <v>2102</v>
      </c>
      <c r="AB20" t="s">
        <v>2103</v>
      </c>
      <c r="AC20" t="s">
        <v>2106</v>
      </c>
      <c r="AD20" s="9" t="s">
        <v>593</v>
      </c>
      <c r="AE20" s="9" t="s">
        <v>2102</v>
      </c>
      <c r="AF20" s="9" t="s">
        <v>2041</v>
      </c>
      <c r="AG20" t="s">
        <v>595</v>
      </c>
    </row>
    <row r="21" spans="1:33">
      <c r="A21">
        <v>24</v>
      </c>
      <c r="B21" t="s">
        <v>19</v>
      </c>
      <c r="C21" t="s">
        <v>2097</v>
      </c>
      <c r="E21">
        <v>2017</v>
      </c>
      <c r="F21" t="s">
        <v>2107</v>
      </c>
      <c r="G21" t="s">
        <v>2035</v>
      </c>
      <c r="H21" s="6">
        <v>44.700200000000002</v>
      </c>
      <c r="I21" s="6">
        <v>-0.29959999999999998</v>
      </c>
      <c r="J21" s="6">
        <v>1987</v>
      </c>
      <c r="K21" s="6">
        <v>2013</v>
      </c>
      <c r="L21" s="6">
        <f t="shared" si="0"/>
        <v>27</v>
      </c>
      <c r="M21" t="s">
        <v>2036</v>
      </c>
      <c r="N21" t="s">
        <v>161</v>
      </c>
      <c r="O21" t="s">
        <v>161</v>
      </c>
      <c r="P21" t="s">
        <v>2099</v>
      </c>
      <c r="Q21" t="s">
        <v>2100</v>
      </c>
      <c r="R21" t="s">
        <v>2038</v>
      </c>
      <c r="S21" t="s">
        <v>2039</v>
      </c>
      <c r="T21">
        <v>180</v>
      </c>
      <c r="U21" t="s">
        <v>2101</v>
      </c>
      <c r="V21">
        <f>20/2.7</f>
        <v>7.4074074074074066</v>
      </c>
      <c r="W21" t="s">
        <v>2058</v>
      </c>
      <c r="X21" t="s">
        <v>2041</v>
      </c>
      <c r="Y21" t="s">
        <v>19</v>
      </c>
      <c r="Z21" t="str">
        <f t="shared" si="1"/>
        <v>Y</v>
      </c>
      <c r="AA21" t="s">
        <v>2102</v>
      </c>
      <c r="AB21" t="s">
        <v>2103</v>
      </c>
      <c r="AC21" t="s">
        <v>2108</v>
      </c>
      <c r="AD21" s="9" t="s">
        <v>593</v>
      </c>
      <c r="AE21" s="9" t="s">
        <v>2102</v>
      </c>
      <c r="AF21" s="9" t="s">
        <v>2058</v>
      </c>
      <c r="AG21" t="s">
        <v>595</v>
      </c>
    </row>
    <row r="22" spans="1:33" ht="15.5">
      <c r="A22">
        <v>28</v>
      </c>
      <c r="B22" t="s">
        <v>19</v>
      </c>
      <c r="C22" t="s">
        <v>2109</v>
      </c>
      <c r="E22">
        <v>2017</v>
      </c>
      <c r="F22" t="s">
        <v>2110</v>
      </c>
      <c r="G22" t="s">
        <v>2035</v>
      </c>
      <c r="H22" s="7">
        <v>45.427700000000002</v>
      </c>
      <c r="I22" s="6">
        <v>-0.86129999999999995</v>
      </c>
      <c r="J22" s="6">
        <v>1985</v>
      </c>
      <c r="K22" s="6">
        <v>2010</v>
      </c>
      <c r="L22" s="6">
        <f t="shared" si="0"/>
        <v>26</v>
      </c>
      <c r="M22" t="s">
        <v>2036</v>
      </c>
      <c r="N22" t="s">
        <v>161</v>
      </c>
      <c r="O22" t="s">
        <v>161</v>
      </c>
      <c r="P22" t="s">
        <v>161</v>
      </c>
      <c r="Q22" t="s">
        <v>2111</v>
      </c>
      <c r="R22" t="s">
        <v>2112</v>
      </c>
      <c r="S22" s="8" t="s">
        <v>2039</v>
      </c>
      <c r="T22">
        <v>349</v>
      </c>
      <c r="U22" t="s">
        <v>2113</v>
      </c>
      <c r="V22" t="s">
        <v>163</v>
      </c>
      <c r="W22" t="s">
        <v>2080</v>
      </c>
      <c r="X22" t="s">
        <v>2041</v>
      </c>
      <c r="Y22" t="s">
        <v>19</v>
      </c>
      <c r="Z22" t="str">
        <f t="shared" si="1"/>
        <v>Y</v>
      </c>
      <c r="AA22" t="s">
        <v>2102</v>
      </c>
      <c r="AB22" t="s">
        <v>2114</v>
      </c>
      <c r="AC22" t="s">
        <v>2115</v>
      </c>
      <c r="AD22" s="9" t="s">
        <v>593</v>
      </c>
      <c r="AE22" s="9" t="s">
        <v>2116</v>
      </c>
      <c r="AF22" s="9" t="s">
        <v>2041</v>
      </c>
      <c r="AG22" t="s">
        <v>595</v>
      </c>
    </row>
    <row r="23" spans="1:33" ht="15.5">
      <c r="A23">
        <v>29</v>
      </c>
      <c r="B23" t="s">
        <v>19</v>
      </c>
      <c r="C23" t="s">
        <v>2109</v>
      </c>
      <c r="E23">
        <v>2017</v>
      </c>
      <c r="F23" t="s">
        <v>2110</v>
      </c>
      <c r="G23" t="s">
        <v>2035</v>
      </c>
      <c r="H23" s="7">
        <v>45.427700000000002</v>
      </c>
      <c r="I23" s="6">
        <v>-0.86129999999999995</v>
      </c>
      <c r="J23" s="6">
        <v>1985</v>
      </c>
      <c r="K23" s="6">
        <v>2010</v>
      </c>
      <c r="L23" s="6">
        <f t="shared" si="0"/>
        <v>26</v>
      </c>
      <c r="M23" t="s">
        <v>2036</v>
      </c>
      <c r="N23" t="s">
        <v>161</v>
      </c>
      <c r="O23" t="s">
        <v>161</v>
      </c>
      <c r="P23" t="s">
        <v>161</v>
      </c>
      <c r="Q23" t="s">
        <v>2117</v>
      </c>
      <c r="R23" t="s">
        <v>2112</v>
      </c>
      <c r="S23" s="8" t="s">
        <v>2039</v>
      </c>
      <c r="T23">
        <v>46</v>
      </c>
      <c r="U23" t="s">
        <v>2113</v>
      </c>
      <c r="V23" t="s">
        <v>163</v>
      </c>
      <c r="W23" t="s">
        <v>2080</v>
      </c>
      <c r="X23" t="s">
        <v>2041</v>
      </c>
      <c r="Y23" t="s">
        <v>19</v>
      </c>
      <c r="Z23" t="str">
        <f t="shared" si="1"/>
        <v>Y</v>
      </c>
      <c r="AA23" t="s">
        <v>2102</v>
      </c>
      <c r="AB23" t="s">
        <v>2114</v>
      </c>
      <c r="AC23" t="s">
        <v>2115</v>
      </c>
      <c r="AD23" s="9" t="s">
        <v>593</v>
      </c>
      <c r="AE23" s="9" t="s">
        <v>2116</v>
      </c>
      <c r="AF23" s="9" t="s">
        <v>2041</v>
      </c>
      <c r="AG23" t="s">
        <v>595</v>
      </c>
    </row>
    <row r="24" spans="1:33" ht="15.5">
      <c r="A24">
        <v>30</v>
      </c>
      <c r="B24" t="s">
        <v>19</v>
      </c>
      <c r="C24" t="s">
        <v>2109</v>
      </c>
      <c r="E24">
        <v>2017</v>
      </c>
      <c r="F24" t="s">
        <v>2110</v>
      </c>
      <c r="G24" t="s">
        <v>2035</v>
      </c>
      <c r="H24" s="7">
        <v>45.427700000000002</v>
      </c>
      <c r="I24" s="6">
        <v>-0.86129999999999995</v>
      </c>
      <c r="J24" s="6">
        <v>1985</v>
      </c>
      <c r="K24" s="6">
        <v>2010</v>
      </c>
      <c r="L24" s="6">
        <f t="shared" si="0"/>
        <v>26</v>
      </c>
      <c r="M24" t="s">
        <v>2036</v>
      </c>
      <c r="N24" t="s">
        <v>161</v>
      </c>
      <c r="O24" t="s">
        <v>161</v>
      </c>
      <c r="P24" t="s">
        <v>161</v>
      </c>
      <c r="Q24" t="s">
        <v>2118</v>
      </c>
      <c r="R24" t="s">
        <v>2112</v>
      </c>
      <c r="S24" s="8" t="s">
        <v>2039</v>
      </c>
      <c r="T24">
        <v>15</v>
      </c>
      <c r="U24" t="s">
        <v>2113</v>
      </c>
      <c r="V24" t="s">
        <v>163</v>
      </c>
      <c r="W24" t="s">
        <v>2041</v>
      </c>
      <c r="X24" t="s">
        <v>2041</v>
      </c>
      <c r="Y24" t="s">
        <v>19</v>
      </c>
      <c r="Z24" t="str">
        <f t="shared" si="1"/>
        <v>Y</v>
      </c>
      <c r="AA24" t="s">
        <v>2102</v>
      </c>
      <c r="AB24" t="s">
        <v>2114</v>
      </c>
      <c r="AC24" t="s">
        <v>2115</v>
      </c>
      <c r="AD24" s="9" t="s">
        <v>593</v>
      </c>
      <c r="AE24" s="9" t="s">
        <v>2116</v>
      </c>
      <c r="AF24" s="9" t="s">
        <v>2041</v>
      </c>
      <c r="AG24" t="s">
        <v>595</v>
      </c>
    </row>
    <row r="25" spans="1:33" ht="15.5">
      <c r="A25">
        <v>31</v>
      </c>
      <c r="B25" t="s">
        <v>19</v>
      </c>
      <c r="C25" t="s">
        <v>2109</v>
      </c>
      <c r="E25">
        <v>2017</v>
      </c>
      <c r="F25" t="s">
        <v>2110</v>
      </c>
      <c r="G25" t="s">
        <v>2035</v>
      </c>
      <c r="H25" s="7">
        <v>45.427700000000002</v>
      </c>
      <c r="I25" s="6">
        <v>-0.86129999999999995</v>
      </c>
      <c r="J25" s="6">
        <v>1985</v>
      </c>
      <c r="K25" s="6">
        <v>2010</v>
      </c>
      <c r="L25" s="6">
        <f t="shared" si="0"/>
        <v>26</v>
      </c>
      <c r="M25" t="s">
        <v>2036</v>
      </c>
      <c r="N25" t="s">
        <v>161</v>
      </c>
      <c r="O25" t="s">
        <v>161</v>
      </c>
      <c r="P25" t="s">
        <v>161</v>
      </c>
      <c r="Q25" t="s">
        <v>2119</v>
      </c>
      <c r="R25" t="s">
        <v>2112</v>
      </c>
      <c r="S25" s="8" t="s">
        <v>2039</v>
      </c>
      <c r="T25">
        <v>258</v>
      </c>
      <c r="U25" t="s">
        <v>2040</v>
      </c>
      <c r="V25" t="s">
        <v>163</v>
      </c>
      <c r="W25" t="s">
        <v>2041</v>
      </c>
      <c r="X25" t="s">
        <v>2041</v>
      </c>
      <c r="Y25" t="s">
        <v>19</v>
      </c>
      <c r="Z25" t="str">
        <f t="shared" si="1"/>
        <v>Y</v>
      </c>
      <c r="AA25" t="s">
        <v>2102</v>
      </c>
      <c r="AB25" t="s">
        <v>2114</v>
      </c>
      <c r="AC25" t="s">
        <v>2115</v>
      </c>
      <c r="AD25" s="9" t="s">
        <v>593</v>
      </c>
      <c r="AE25" s="9" t="s">
        <v>2116</v>
      </c>
      <c r="AF25" s="9" t="s">
        <v>2041</v>
      </c>
      <c r="AG25" t="s">
        <v>595</v>
      </c>
    </row>
    <row r="26" spans="1:33" ht="15.5">
      <c r="A26">
        <v>32</v>
      </c>
      <c r="B26" t="s">
        <v>19</v>
      </c>
      <c r="C26" t="s">
        <v>2109</v>
      </c>
      <c r="E26">
        <v>2017</v>
      </c>
      <c r="F26" t="s">
        <v>2110</v>
      </c>
      <c r="G26" t="s">
        <v>2035</v>
      </c>
      <c r="H26" s="7">
        <v>45.427700000000002</v>
      </c>
      <c r="I26" s="6">
        <v>-0.86129999999999995</v>
      </c>
      <c r="J26" s="6">
        <v>1985</v>
      </c>
      <c r="K26" s="6">
        <v>2010</v>
      </c>
      <c r="L26" s="6">
        <f t="shared" si="0"/>
        <v>26</v>
      </c>
      <c r="M26" t="s">
        <v>2036</v>
      </c>
      <c r="N26" t="s">
        <v>161</v>
      </c>
      <c r="O26" t="s">
        <v>161</v>
      </c>
      <c r="P26" t="s">
        <v>161</v>
      </c>
      <c r="Q26" t="s">
        <v>2120</v>
      </c>
      <c r="R26" t="s">
        <v>2112</v>
      </c>
      <c r="S26" s="8" t="s">
        <v>2039</v>
      </c>
      <c r="T26">
        <v>258</v>
      </c>
      <c r="U26" t="s">
        <v>2040</v>
      </c>
      <c r="V26" t="s">
        <v>163</v>
      </c>
      <c r="W26" t="s">
        <v>2041</v>
      </c>
      <c r="X26" t="s">
        <v>2041</v>
      </c>
      <c r="Y26" t="s">
        <v>19</v>
      </c>
      <c r="Z26" t="str">
        <f t="shared" si="1"/>
        <v>Y</v>
      </c>
      <c r="AA26" t="s">
        <v>2102</v>
      </c>
      <c r="AB26" t="s">
        <v>2114</v>
      </c>
      <c r="AC26" t="s">
        <v>2115</v>
      </c>
      <c r="AD26" s="9" t="s">
        <v>593</v>
      </c>
      <c r="AE26" s="9" t="s">
        <v>2116</v>
      </c>
      <c r="AF26" s="9" t="s">
        <v>2041</v>
      </c>
      <c r="AG26" t="s">
        <v>595</v>
      </c>
    </row>
    <row r="27" spans="1:33" ht="15.5">
      <c r="A27">
        <v>33</v>
      </c>
      <c r="B27" t="s">
        <v>19</v>
      </c>
      <c r="C27" t="s">
        <v>2109</v>
      </c>
      <c r="E27">
        <v>2017</v>
      </c>
      <c r="F27" t="s">
        <v>2110</v>
      </c>
      <c r="G27" t="s">
        <v>2035</v>
      </c>
      <c r="H27" s="7">
        <v>45.427700000000002</v>
      </c>
      <c r="I27" s="6">
        <v>-0.86129999999999995</v>
      </c>
      <c r="J27" s="6">
        <v>1985</v>
      </c>
      <c r="K27" s="6">
        <v>2010</v>
      </c>
      <c r="L27" s="6">
        <f t="shared" si="0"/>
        <v>26</v>
      </c>
      <c r="M27" t="s">
        <v>2036</v>
      </c>
      <c r="N27" t="s">
        <v>161</v>
      </c>
      <c r="O27" t="s">
        <v>161</v>
      </c>
      <c r="P27" t="s">
        <v>161</v>
      </c>
      <c r="Q27" t="s">
        <v>2121</v>
      </c>
      <c r="R27" t="s">
        <v>2112</v>
      </c>
      <c r="S27" s="8" t="s">
        <v>2039</v>
      </c>
      <c r="T27">
        <v>196</v>
      </c>
      <c r="U27" t="s">
        <v>2101</v>
      </c>
      <c r="V27" t="s">
        <v>163</v>
      </c>
      <c r="W27" t="s">
        <v>2080</v>
      </c>
      <c r="X27" t="s">
        <v>2041</v>
      </c>
      <c r="Y27" t="s">
        <v>19</v>
      </c>
      <c r="Z27" t="str">
        <f t="shared" si="1"/>
        <v>Y</v>
      </c>
      <c r="AA27" t="s">
        <v>2102</v>
      </c>
      <c r="AB27" t="s">
        <v>2114</v>
      </c>
      <c r="AC27" t="s">
        <v>2115</v>
      </c>
      <c r="AD27" s="9" t="s">
        <v>593</v>
      </c>
      <c r="AE27" s="9" t="s">
        <v>2116</v>
      </c>
      <c r="AF27" s="9" t="s">
        <v>2041</v>
      </c>
      <c r="AG27" t="s">
        <v>595</v>
      </c>
    </row>
    <row r="28" spans="1:33" ht="15.5">
      <c r="A28">
        <v>34</v>
      </c>
      <c r="B28" t="s">
        <v>19</v>
      </c>
      <c r="C28" t="s">
        <v>2109</v>
      </c>
      <c r="E28">
        <v>2017</v>
      </c>
      <c r="F28" t="s">
        <v>2110</v>
      </c>
      <c r="G28" t="s">
        <v>2035</v>
      </c>
      <c r="H28" s="7">
        <v>45.427700000000002</v>
      </c>
      <c r="I28" s="6">
        <v>-0.86129999999999995</v>
      </c>
      <c r="J28" s="6">
        <v>1985</v>
      </c>
      <c r="K28" s="6">
        <v>2010</v>
      </c>
      <c r="L28" s="6">
        <f t="shared" si="0"/>
        <v>26</v>
      </c>
      <c r="M28" t="s">
        <v>2036</v>
      </c>
      <c r="N28" t="s">
        <v>161</v>
      </c>
      <c r="O28" t="s">
        <v>161</v>
      </c>
      <c r="P28" t="s">
        <v>161</v>
      </c>
      <c r="Q28" t="s">
        <v>2122</v>
      </c>
      <c r="R28" t="s">
        <v>2112</v>
      </c>
      <c r="S28" s="8" t="s">
        <v>2039</v>
      </c>
      <c r="T28">
        <v>196</v>
      </c>
      <c r="U28" t="s">
        <v>2101</v>
      </c>
      <c r="V28" t="s">
        <v>163</v>
      </c>
      <c r="W28" t="s">
        <v>2041</v>
      </c>
      <c r="X28" t="s">
        <v>2041</v>
      </c>
      <c r="Y28" t="s">
        <v>19</v>
      </c>
      <c r="Z28" t="str">
        <f t="shared" si="1"/>
        <v>Y</v>
      </c>
      <c r="AA28" t="s">
        <v>2102</v>
      </c>
      <c r="AB28" t="s">
        <v>2114</v>
      </c>
      <c r="AC28" t="s">
        <v>2115</v>
      </c>
      <c r="AD28" s="9" t="s">
        <v>593</v>
      </c>
      <c r="AE28" s="9" t="s">
        <v>2116</v>
      </c>
      <c r="AF28" s="9" t="s">
        <v>2041</v>
      </c>
      <c r="AG28" t="s">
        <v>595</v>
      </c>
    </row>
    <row r="29" spans="1:33" ht="15.5">
      <c r="A29">
        <v>35</v>
      </c>
      <c r="B29" t="s">
        <v>19</v>
      </c>
      <c r="C29" t="s">
        <v>2109</v>
      </c>
      <c r="E29">
        <v>2017</v>
      </c>
      <c r="F29" t="s">
        <v>2110</v>
      </c>
      <c r="G29" t="s">
        <v>2035</v>
      </c>
      <c r="H29" s="7">
        <v>45.427700000000002</v>
      </c>
      <c r="I29" s="6">
        <v>-0.86129999999999995</v>
      </c>
      <c r="J29" s="6">
        <v>1985</v>
      </c>
      <c r="K29" s="6">
        <v>2010</v>
      </c>
      <c r="L29" s="6">
        <f t="shared" si="0"/>
        <v>26</v>
      </c>
      <c r="M29" t="s">
        <v>2036</v>
      </c>
      <c r="N29" t="s">
        <v>161</v>
      </c>
      <c r="O29" t="s">
        <v>161</v>
      </c>
      <c r="P29" t="s">
        <v>161</v>
      </c>
      <c r="Q29" t="s">
        <v>2123</v>
      </c>
      <c r="R29" t="s">
        <v>2112</v>
      </c>
      <c r="S29" s="8" t="s">
        <v>2039</v>
      </c>
      <c r="T29">
        <v>166</v>
      </c>
      <c r="U29" t="s">
        <v>2101</v>
      </c>
      <c r="V29" t="s">
        <v>163</v>
      </c>
      <c r="W29" t="s">
        <v>2080</v>
      </c>
      <c r="X29" t="s">
        <v>2041</v>
      </c>
      <c r="Y29" t="s">
        <v>19</v>
      </c>
      <c r="Z29" t="str">
        <f t="shared" si="1"/>
        <v>Y</v>
      </c>
      <c r="AA29" t="s">
        <v>2102</v>
      </c>
      <c r="AB29" t="s">
        <v>2114</v>
      </c>
      <c r="AC29" t="s">
        <v>2115</v>
      </c>
      <c r="AD29" s="9" t="s">
        <v>593</v>
      </c>
      <c r="AE29" s="9" t="s">
        <v>2116</v>
      </c>
      <c r="AF29" s="9" t="s">
        <v>2041</v>
      </c>
      <c r="AG29" t="s">
        <v>595</v>
      </c>
    </row>
    <row r="30" spans="1:33" ht="15.5">
      <c r="A30">
        <v>36</v>
      </c>
      <c r="B30" t="s">
        <v>19</v>
      </c>
      <c r="C30" t="s">
        <v>2109</v>
      </c>
      <c r="E30">
        <v>2017</v>
      </c>
      <c r="F30" t="s">
        <v>2110</v>
      </c>
      <c r="G30" t="s">
        <v>2035</v>
      </c>
      <c r="H30" s="7">
        <v>45.427700000000002</v>
      </c>
      <c r="I30" s="6">
        <v>-0.86129999999999995</v>
      </c>
      <c r="J30" s="6">
        <v>1985</v>
      </c>
      <c r="K30" s="6">
        <v>2010</v>
      </c>
      <c r="L30" s="6">
        <f t="shared" si="0"/>
        <v>26</v>
      </c>
      <c r="M30" t="s">
        <v>2036</v>
      </c>
      <c r="N30" t="s">
        <v>161</v>
      </c>
      <c r="O30" t="s">
        <v>161</v>
      </c>
      <c r="P30" t="s">
        <v>161</v>
      </c>
      <c r="Q30" t="s">
        <v>2124</v>
      </c>
      <c r="R30" t="s">
        <v>2112</v>
      </c>
      <c r="S30" s="8" t="s">
        <v>2039</v>
      </c>
      <c r="T30">
        <v>227</v>
      </c>
      <c r="U30" t="s">
        <v>2101</v>
      </c>
      <c r="V30" t="s">
        <v>163</v>
      </c>
      <c r="W30" t="s">
        <v>2080</v>
      </c>
      <c r="X30" t="s">
        <v>2041</v>
      </c>
      <c r="Y30" t="s">
        <v>19</v>
      </c>
      <c r="Z30" t="str">
        <f t="shared" si="1"/>
        <v>Y</v>
      </c>
      <c r="AA30" t="s">
        <v>2102</v>
      </c>
      <c r="AB30" t="s">
        <v>2114</v>
      </c>
      <c r="AC30" t="s">
        <v>2115</v>
      </c>
      <c r="AD30" s="9" t="s">
        <v>593</v>
      </c>
      <c r="AE30" s="9" t="s">
        <v>2116</v>
      </c>
      <c r="AF30" s="9" t="s">
        <v>2041</v>
      </c>
      <c r="AG30" t="s">
        <v>595</v>
      </c>
    </row>
    <row r="31" spans="1:33" ht="15.5">
      <c r="A31">
        <v>37</v>
      </c>
      <c r="B31" t="s">
        <v>19</v>
      </c>
      <c r="C31" t="s">
        <v>2109</v>
      </c>
      <c r="E31">
        <v>2017</v>
      </c>
      <c r="F31" t="s">
        <v>2110</v>
      </c>
      <c r="G31" t="s">
        <v>2035</v>
      </c>
      <c r="H31" s="7">
        <v>45.427700000000002</v>
      </c>
      <c r="I31" s="6">
        <v>-0.86129999999999995</v>
      </c>
      <c r="J31" s="6">
        <v>1985</v>
      </c>
      <c r="K31" s="6">
        <v>2010</v>
      </c>
      <c r="L31" s="6">
        <f t="shared" si="0"/>
        <v>26</v>
      </c>
      <c r="M31" t="s">
        <v>2036</v>
      </c>
      <c r="N31" t="s">
        <v>161</v>
      </c>
      <c r="O31" t="s">
        <v>161</v>
      </c>
      <c r="P31" t="s">
        <v>161</v>
      </c>
      <c r="Q31" t="s">
        <v>2125</v>
      </c>
      <c r="R31" t="s">
        <v>2112</v>
      </c>
      <c r="S31" s="8" t="s">
        <v>2039</v>
      </c>
      <c r="T31">
        <v>166</v>
      </c>
      <c r="U31" t="s">
        <v>2101</v>
      </c>
      <c r="V31" t="s">
        <v>163</v>
      </c>
      <c r="W31" t="s">
        <v>2058</v>
      </c>
      <c r="X31" t="s">
        <v>2041</v>
      </c>
      <c r="Y31" t="s">
        <v>19</v>
      </c>
      <c r="Z31" t="str">
        <f t="shared" si="1"/>
        <v>Y</v>
      </c>
      <c r="AA31" t="s">
        <v>2102</v>
      </c>
      <c r="AB31" t="s">
        <v>2114</v>
      </c>
      <c r="AC31" t="s">
        <v>2115</v>
      </c>
      <c r="AD31" s="9" t="s">
        <v>593</v>
      </c>
      <c r="AE31" s="9" t="s">
        <v>2116</v>
      </c>
      <c r="AF31" s="9" t="s">
        <v>2041</v>
      </c>
      <c r="AG31" t="s">
        <v>595</v>
      </c>
    </row>
    <row r="32" spans="1:33" ht="15.5">
      <c r="A32">
        <v>38</v>
      </c>
      <c r="B32" t="s">
        <v>19</v>
      </c>
      <c r="C32" t="s">
        <v>2109</v>
      </c>
      <c r="E32">
        <v>2017</v>
      </c>
      <c r="F32" t="s">
        <v>2110</v>
      </c>
      <c r="G32" t="s">
        <v>2035</v>
      </c>
      <c r="H32" s="7">
        <v>45.427700000000002</v>
      </c>
      <c r="I32" s="6">
        <v>-0.86129999999999995</v>
      </c>
      <c r="J32" s="6">
        <v>1985</v>
      </c>
      <c r="K32" s="6">
        <v>2010</v>
      </c>
      <c r="L32" s="6">
        <f t="shared" si="0"/>
        <v>26</v>
      </c>
      <c r="M32" t="s">
        <v>2036</v>
      </c>
      <c r="N32" t="s">
        <v>161</v>
      </c>
      <c r="O32" t="s">
        <v>161</v>
      </c>
      <c r="P32" t="s">
        <v>161</v>
      </c>
      <c r="Q32" t="s">
        <v>2126</v>
      </c>
      <c r="R32" t="s">
        <v>2112</v>
      </c>
      <c r="S32" s="8" t="s">
        <v>2039</v>
      </c>
      <c r="T32">
        <v>227</v>
      </c>
      <c r="U32" t="s">
        <v>2101</v>
      </c>
      <c r="V32" t="s">
        <v>163</v>
      </c>
      <c r="W32" t="s">
        <v>2080</v>
      </c>
      <c r="X32" t="s">
        <v>2041</v>
      </c>
      <c r="Y32" t="s">
        <v>19</v>
      </c>
      <c r="Z32" t="str">
        <f t="shared" si="1"/>
        <v>Y</v>
      </c>
      <c r="AA32" t="s">
        <v>2102</v>
      </c>
      <c r="AB32" t="s">
        <v>2114</v>
      </c>
      <c r="AC32" t="s">
        <v>2115</v>
      </c>
      <c r="AD32" s="9" t="s">
        <v>593</v>
      </c>
      <c r="AE32" s="9" t="s">
        <v>2116</v>
      </c>
      <c r="AF32" s="9" t="s">
        <v>2041</v>
      </c>
      <c r="AG32" t="s">
        <v>595</v>
      </c>
    </row>
    <row r="33" spans="1:33" ht="15.5">
      <c r="A33">
        <v>39</v>
      </c>
      <c r="B33" t="s">
        <v>19</v>
      </c>
      <c r="C33" t="s">
        <v>2109</v>
      </c>
      <c r="E33">
        <v>2017</v>
      </c>
      <c r="F33" t="s">
        <v>2110</v>
      </c>
      <c r="G33" t="s">
        <v>2035</v>
      </c>
      <c r="H33" s="7">
        <v>45.427700000000002</v>
      </c>
      <c r="I33" s="6">
        <v>-0.86129999999999995</v>
      </c>
      <c r="J33" s="6">
        <v>1985</v>
      </c>
      <c r="K33" s="6">
        <v>2010</v>
      </c>
      <c r="L33" s="6">
        <f t="shared" si="0"/>
        <v>26</v>
      </c>
      <c r="M33" t="s">
        <v>2036</v>
      </c>
      <c r="N33" t="s">
        <v>161</v>
      </c>
      <c r="O33" t="s">
        <v>161</v>
      </c>
      <c r="P33" t="s">
        <v>161</v>
      </c>
      <c r="Q33" t="s">
        <v>2127</v>
      </c>
      <c r="R33" t="s">
        <v>2112</v>
      </c>
      <c r="S33" s="8" t="s">
        <v>2039</v>
      </c>
      <c r="T33">
        <v>196</v>
      </c>
      <c r="U33" t="s">
        <v>2101</v>
      </c>
      <c r="V33" t="s">
        <v>163</v>
      </c>
      <c r="W33" t="s">
        <v>2080</v>
      </c>
      <c r="X33" t="s">
        <v>2041</v>
      </c>
      <c r="Y33" t="s">
        <v>19</v>
      </c>
      <c r="Z33" t="str">
        <f t="shared" si="1"/>
        <v>Y</v>
      </c>
      <c r="AA33" t="s">
        <v>2102</v>
      </c>
      <c r="AB33" t="s">
        <v>2114</v>
      </c>
      <c r="AC33" t="s">
        <v>2115</v>
      </c>
      <c r="AD33" s="9" t="s">
        <v>593</v>
      </c>
      <c r="AE33" s="9" t="s">
        <v>2116</v>
      </c>
      <c r="AF33" s="9" t="s">
        <v>2041</v>
      </c>
      <c r="AG33" t="s">
        <v>595</v>
      </c>
    </row>
    <row r="34" spans="1:33" ht="15.5">
      <c r="A34">
        <v>40</v>
      </c>
      <c r="B34" t="s">
        <v>19</v>
      </c>
      <c r="C34" t="s">
        <v>2109</v>
      </c>
      <c r="E34">
        <v>2017</v>
      </c>
      <c r="F34" t="s">
        <v>2110</v>
      </c>
      <c r="G34" t="s">
        <v>2035</v>
      </c>
      <c r="H34" s="7">
        <v>45.427700000000002</v>
      </c>
      <c r="I34" s="6">
        <v>-0.86129999999999995</v>
      </c>
      <c r="J34" s="6">
        <v>1985</v>
      </c>
      <c r="K34" s="6">
        <v>2010</v>
      </c>
      <c r="L34" s="6">
        <f t="shared" si="0"/>
        <v>26</v>
      </c>
      <c r="M34" t="s">
        <v>2036</v>
      </c>
      <c r="N34" t="s">
        <v>161</v>
      </c>
      <c r="O34" t="s">
        <v>161</v>
      </c>
      <c r="P34" t="s">
        <v>161</v>
      </c>
      <c r="Q34" t="s">
        <v>2128</v>
      </c>
      <c r="R34" t="s">
        <v>2112</v>
      </c>
      <c r="S34" s="8" t="s">
        <v>2039</v>
      </c>
      <c r="T34">
        <v>166</v>
      </c>
      <c r="U34" t="s">
        <v>2101</v>
      </c>
      <c r="V34" t="s">
        <v>163</v>
      </c>
      <c r="W34" t="s">
        <v>2080</v>
      </c>
      <c r="X34" t="s">
        <v>2041</v>
      </c>
      <c r="Y34" t="s">
        <v>19</v>
      </c>
      <c r="Z34" t="str">
        <f t="shared" si="1"/>
        <v>Y</v>
      </c>
      <c r="AA34" t="s">
        <v>2102</v>
      </c>
      <c r="AB34" t="s">
        <v>2114</v>
      </c>
      <c r="AC34" t="s">
        <v>2115</v>
      </c>
      <c r="AD34" s="9" t="s">
        <v>593</v>
      </c>
      <c r="AE34" s="9" t="s">
        <v>2116</v>
      </c>
      <c r="AF34" s="9" t="s">
        <v>2041</v>
      </c>
      <c r="AG34" t="s">
        <v>595</v>
      </c>
    </row>
    <row r="35" spans="1:33" ht="15.5">
      <c r="A35">
        <v>41</v>
      </c>
      <c r="B35" t="s">
        <v>19</v>
      </c>
      <c r="C35" t="s">
        <v>2109</v>
      </c>
      <c r="E35">
        <v>2017</v>
      </c>
      <c r="F35" t="s">
        <v>2110</v>
      </c>
      <c r="G35" t="s">
        <v>2035</v>
      </c>
      <c r="H35" s="7">
        <v>45.427700000000002</v>
      </c>
      <c r="I35" s="6">
        <v>-0.86129999999999995</v>
      </c>
      <c r="J35" s="6">
        <v>1985</v>
      </c>
      <c r="K35" s="6">
        <v>2010</v>
      </c>
      <c r="L35" s="6">
        <f t="shared" si="0"/>
        <v>26</v>
      </c>
      <c r="M35" t="s">
        <v>2036</v>
      </c>
      <c r="N35" t="s">
        <v>161</v>
      </c>
      <c r="O35" t="s">
        <v>161</v>
      </c>
      <c r="P35" t="s">
        <v>161</v>
      </c>
      <c r="Q35" t="s">
        <v>2129</v>
      </c>
      <c r="R35" t="s">
        <v>2112</v>
      </c>
      <c r="S35" s="8" t="s">
        <v>2039</v>
      </c>
      <c r="T35">
        <v>258</v>
      </c>
      <c r="U35" t="s">
        <v>2040</v>
      </c>
      <c r="V35" t="s">
        <v>163</v>
      </c>
      <c r="W35" t="s">
        <v>2080</v>
      </c>
      <c r="X35" t="s">
        <v>2041</v>
      </c>
      <c r="Y35" t="s">
        <v>19</v>
      </c>
      <c r="Z35" t="str">
        <f t="shared" si="1"/>
        <v>Y</v>
      </c>
      <c r="AA35" t="s">
        <v>2102</v>
      </c>
      <c r="AB35" t="s">
        <v>2114</v>
      </c>
      <c r="AC35" t="s">
        <v>2115</v>
      </c>
      <c r="AD35" s="9" t="s">
        <v>593</v>
      </c>
      <c r="AE35" s="9" t="s">
        <v>2116</v>
      </c>
      <c r="AF35" s="9" t="s">
        <v>2041</v>
      </c>
      <c r="AG35" t="s">
        <v>595</v>
      </c>
    </row>
    <row r="36" spans="1:33" ht="15.5">
      <c r="B36" t="s">
        <v>19</v>
      </c>
      <c r="C36" t="s">
        <v>2130</v>
      </c>
      <c r="E36">
        <v>2019</v>
      </c>
      <c r="F36" t="s">
        <v>2131</v>
      </c>
      <c r="G36" t="s">
        <v>2035</v>
      </c>
      <c r="H36" s="6">
        <v>45.557000000000002</v>
      </c>
      <c r="I36" s="6">
        <v>-3.1631999999999998</v>
      </c>
      <c r="J36" s="6">
        <v>1970</v>
      </c>
      <c r="K36" s="6">
        <v>2012</v>
      </c>
      <c r="L36" s="6">
        <f t="shared" si="0"/>
        <v>43</v>
      </c>
      <c r="M36" t="s">
        <v>2036</v>
      </c>
      <c r="N36" t="s">
        <v>2132</v>
      </c>
      <c r="O36" s="12" t="s">
        <v>2133</v>
      </c>
      <c r="P36" t="s">
        <v>2134</v>
      </c>
      <c r="Q36" t="s">
        <v>2135</v>
      </c>
      <c r="R36" t="s">
        <v>2112</v>
      </c>
      <c r="S36" t="s">
        <v>2039</v>
      </c>
      <c r="T36">
        <v>210</v>
      </c>
      <c r="U36" t="s">
        <v>2101</v>
      </c>
      <c r="V36">
        <f>(210-140)/(1970-2012)*10</f>
        <v>-16.666666666666668</v>
      </c>
      <c r="W36" t="s">
        <v>2041</v>
      </c>
      <c r="X36" t="s">
        <v>2041</v>
      </c>
      <c r="Y36" t="s">
        <v>19</v>
      </c>
      <c r="Z36" t="str">
        <f t="shared" si="1"/>
        <v>Y</v>
      </c>
      <c r="AA36" t="s">
        <v>2136</v>
      </c>
      <c r="AB36" t="s">
        <v>2137</v>
      </c>
      <c r="AC36" t="s">
        <v>2138</v>
      </c>
      <c r="AD36" t="s">
        <v>595</v>
      </c>
      <c r="AE36" t="s">
        <v>2045</v>
      </c>
      <c r="AF36" t="s">
        <v>2041</v>
      </c>
      <c r="AG36" t="s">
        <v>595</v>
      </c>
    </row>
    <row r="37" spans="1:33" ht="15.5">
      <c r="A37">
        <v>42</v>
      </c>
      <c r="B37" t="s">
        <v>19</v>
      </c>
      <c r="C37" t="s">
        <v>2109</v>
      </c>
      <c r="E37">
        <v>2017</v>
      </c>
      <c r="F37" t="s">
        <v>2110</v>
      </c>
      <c r="G37" t="s">
        <v>2035</v>
      </c>
      <c r="H37" s="7">
        <v>45.427700000000002</v>
      </c>
      <c r="I37" s="6">
        <v>-0.86129999999999995</v>
      </c>
      <c r="J37" s="6">
        <v>1985</v>
      </c>
      <c r="K37" s="6">
        <v>2010</v>
      </c>
      <c r="L37" s="6">
        <f t="shared" si="0"/>
        <v>26</v>
      </c>
      <c r="M37" t="s">
        <v>2036</v>
      </c>
      <c r="N37" t="s">
        <v>2132</v>
      </c>
      <c r="O37" t="s">
        <v>2133</v>
      </c>
      <c r="P37" t="s">
        <v>2133</v>
      </c>
      <c r="Q37" t="s">
        <v>2139</v>
      </c>
      <c r="R37" t="s">
        <v>2112</v>
      </c>
      <c r="S37" s="8" t="s">
        <v>2039</v>
      </c>
      <c r="T37">
        <v>135</v>
      </c>
      <c r="U37" t="s">
        <v>2053</v>
      </c>
      <c r="V37" t="s">
        <v>163</v>
      </c>
      <c r="W37" t="s">
        <v>2080</v>
      </c>
      <c r="X37" t="s">
        <v>2041</v>
      </c>
      <c r="Y37" t="s">
        <v>19</v>
      </c>
      <c r="Z37" t="str">
        <f t="shared" si="1"/>
        <v>Y</v>
      </c>
      <c r="AA37" t="s">
        <v>2102</v>
      </c>
      <c r="AB37" t="s">
        <v>2114</v>
      </c>
      <c r="AC37" t="s">
        <v>2115</v>
      </c>
      <c r="AD37" s="9" t="s">
        <v>593</v>
      </c>
      <c r="AE37" s="9" t="s">
        <v>2116</v>
      </c>
      <c r="AF37" s="9" t="s">
        <v>2041</v>
      </c>
      <c r="AG37" t="s">
        <v>595</v>
      </c>
    </row>
    <row r="38" spans="1:33" ht="15.5">
      <c r="A38">
        <v>43</v>
      </c>
      <c r="B38" t="s">
        <v>19</v>
      </c>
      <c r="C38" t="s">
        <v>2109</v>
      </c>
      <c r="E38">
        <v>2017</v>
      </c>
      <c r="F38" t="s">
        <v>2110</v>
      </c>
      <c r="G38" t="s">
        <v>2035</v>
      </c>
      <c r="H38" s="7">
        <v>45.427700000000002</v>
      </c>
      <c r="I38" s="6">
        <v>-0.86129999999999995</v>
      </c>
      <c r="J38" s="6">
        <v>1985</v>
      </c>
      <c r="K38" s="6">
        <v>2010</v>
      </c>
      <c r="L38" s="6">
        <f t="shared" si="0"/>
        <v>26</v>
      </c>
      <c r="M38" t="s">
        <v>2036</v>
      </c>
      <c r="N38" t="s">
        <v>2132</v>
      </c>
      <c r="O38" t="s">
        <v>2133</v>
      </c>
      <c r="P38" t="s">
        <v>2133</v>
      </c>
      <c r="Q38" t="s">
        <v>2140</v>
      </c>
      <c r="R38" t="s">
        <v>2112</v>
      </c>
      <c r="S38" s="8" t="s">
        <v>2039</v>
      </c>
      <c r="T38">
        <v>227</v>
      </c>
      <c r="U38" t="s">
        <v>2101</v>
      </c>
      <c r="V38" t="s">
        <v>163</v>
      </c>
      <c r="W38" t="s">
        <v>2041</v>
      </c>
      <c r="X38" t="s">
        <v>2041</v>
      </c>
      <c r="Y38" t="s">
        <v>19</v>
      </c>
      <c r="Z38" t="str">
        <f t="shared" si="1"/>
        <v>Y</v>
      </c>
      <c r="AA38" t="s">
        <v>2102</v>
      </c>
      <c r="AB38" t="s">
        <v>2114</v>
      </c>
      <c r="AC38" t="s">
        <v>2115</v>
      </c>
      <c r="AD38" s="9" t="s">
        <v>593</v>
      </c>
      <c r="AE38" s="9" t="s">
        <v>2116</v>
      </c>
      <c r="AF38" s="9" t="s">
        <v>2041</v>
      </c>
      <c r="AG38" t="s">
        <v>595</v>
      </c>
    </row>
    <row r="39" spans="1:33" ht="15.5">
      <c r="A39">
        <v>45</v>
      </c>
      <c r="B39" t="s">
        <v>19</v>
      </c>
      <c r="C39" t="s">
        <v>2109</v>
      </c>
      <c r="E39">
        <v>2017</v>
      </c>
      <c r="F39" t="s">
        <v>2110</v>
      </c>
      <c r="G39" t="s">
        <v>2035</v>
      </c>
      <c r="H39" s="7">
        <v>45.427700000000002</v>
      </c>
      <c r="I39" s="6">
        <v>-0.86129999999999995</v>
      </c>
      <c r="J39" s="6">
        <v>1985</v>
      </c>
      <c r="K39" s="6">
        <v>2010</v>
      </c>
      <c r="L39" s="6">
        <f t="shared" si="0"/>
        <v>26</v>
      </c>
      <c r="M39" t="s">
        <v>2036</v>
      </c>
      <c r="N39" t="s">
        <v>2141</v>
      </c>
      <c r="O39" t="s">
        <v>2142</v>
      </c>
      <c r="P39" t="s">
        <v>2143</v>
      </c>
      <c r="Q39" t="s">
        <v>2144</v>
      </c>
      <c r="R39" t="s">
        <v>2112</v>
      </c>
      <c r="S39" s="8" t="s">
        <v>2039</v>
      </c>
      <c r="T39">
        <v>196</v>
      </c>
      <c r="U39" t="s">
        <v>2101</v>
      </c>
      <c r="V39" t="s">
        <v>163</v>
      </c>
      <c r="W39" t="s">
        <v>2041</v>
      </c>
      <c r="X39" t="s">
        <v>2041</v>
      </c>
      <c r="Y39" t="s">
        <v>19</v>
      </c>
      <c r="Z39" t="str">
        <f t="shared" si="1"/>
        <v>Y</v>
      </c>
      <c r="AA39" t="s">
        <v>2102</v>
      </c>
      <c r="AB39" t="s">
        <v>2114</v>
      </c>
      <c r="AC39" t="s">
        <v>2115</v>
      </c>
      <c r="AD39" s="9" t="s">
        <v>593</v>
      </c>
      <c r="AE39" s="9" t="s">
        <v>2116</v>
      </c>
      <c r="AF39" s="9" t="s">
        <v>2041</v>
      </c>
      <c r="AG39" t="s">
        <v>595</v>
      </c>
    </row>
    <row r="40" spans="1:33" ht="15.5">
      <c r="A40">
        <v>46</v>
      </c>
      <c r="B40" t="s">
        <v>19</v>
      </c>
      <c r="C40" t="s">
        <v>2109</v>
      </c>
      <c r="E40">
        <v>2017</v>
      </c>
      <c r="F40" t="s">
        <v>2110</v>
      </c>
      <c r="G40" t="s">
        <v>2035</v>
      </c>
      <c r="H40" s="7">
        <v>45.427700000000002</v>
      </c>
      <c r="I40" s="6">
        <v>-0.86129999999999995</v>
      </c>
      <c r="J40" s="6">
        <v>1985</v>
      </c>
      <c r="K40" s="6">
        <v>2010</v>
      </c>
      <c r="L40" s="6">
        <f t="shared" si="0"/>
        <v>26</v>
      </c>
      <c r="M40" t="s">
        <v>2036</v>
      </c>
      <c r="N40" t="s">
        <v>2141</v>
      </c>
      <c r="O40" t="s">
        <v>2142</v>
      </c>
      <c r="P40" t="s">
        <v>2143</v>
      </c>
      <c r="Q40" t="s">
        <v>2145</v>
      </c>
      <c r="R40" t="s">
        <v>2112</v>
      </c>
      <c r="S40" s="8" t="s">
        <v>2039</v>
      </c>
      <c r="T40">
        <v>227</v>
      </c>
      <c r="U40" t="s">
        <v>2101</v>
      </c>
      <c r="V40" t="s">
        <v>163</v>
      </c>
      <c r="W40" t="s">
        <v>2080</v>
      </c>
      <c r="X40" t="s">
        <v>2041</v>
      </c>
      <c r="Y40" t="s">
        <v>19</v>
      </c>
      <c r="Z40" t="str">
        <f t="shared" si="1"/>
        <v>Y</v>
      </c>
      <c r="AA40" t="s">
        <v>2102</v>
      </c>
      <c r="AB40" t="s">
        <v>2114</v>
      </c>
      <c r="AC40" t="s">
        <v>2115</v>
      </c>
      <c r="AD40" s="9" t="s">
        <v>593</v>
      </c>
      <c r="AE40" s="9" t="s">
        <v>2116</v>
      </c>
      <c r="AF40" s="9" t="s">
        <v>2041</v>
      </c>
      <c r="AG40" t="s">
        <v>595</v>
      </c>
    </row>
    <row r="41" spans="1:33" ht="15.5">
      <c r="A41">
        <v>47</v>
      </c>
      <c r="B41" t="s">
        <v>19</v>
      </c>
      <c r="C41" t="s">
        <v>2146</v>
      </c>
      <c r="E41">
        <v>2016</v>
      </c>
      <c r="F41" t="s">
        <v>2147</v>
      </c>
      <c r="G41" t="s">
        <v>2035</v>
      </c>
      <c r="H41" s="7">
        <v>58.25</v>
      </c>
      <c r="I41" s="6">
        <v>11.35</v>
      </c>
      <c r="J41" s="6">
        <v>1971</v>
      </c>
      <c r="K41" s="6">
        <v>2006</v>
      </c>
      <c r="L41" s="6">
        <f t="shared" si="0"/>
        <v>36</v>
      </c>
      <c r="M41" t="s">
        <v>2148</v>
      </c>
      <c r="N41" t="s">
        <v>36</v>
      </c>
      <c r="O41" t="s">
        <v>2149</v>
      </c>
      <c r="P41" t="s">
        <v>2150</v>
      </c>
      <c r="Q41" t="s">
        <v>2151</v>
      </c>
      <c r="R41" t="s">
        <v>2152</v>
      </c>
      <c r="S41" s="8" t="s">
        <v>2039</v>
      </c>
      <c r="T41">
        <v>196</v>
      </c>
      <c r="U41" s="13" t="s">
        <v>2101</v>
      </c>
      <c r="V41">
        <f>-21/3.6</f>
        <v>-5.833333333333333</v>
      </c>
      <c r="W41" t="s">
        <v>2041</v>
      </c>
      <c r="X41" t="s">
        <v>2041</v>
      </c>
      <c r="Y41" t="s">
        <v>19</v>
      </c>
      <c r="Z41" t="str">
        <f t="shared" si="1"/>
        <v>Y</v>
      </c>
      <c r="AA41" t="s">
        <v>2054</v>
      </c>
      <c r="AB41" t="s">
        <v>2153</v>
      </c>
      <c r="AC41" t="s">
        <v>2154</v>
      </c>
      <c r="AD41" t="s">
        <v>595</v>
      </c>
      <c r="AE41" s="9" t="s">
        <v>2045</v>
      </c>
      <c r="AF41" s="9" t="s">
        <v>2041</v>
      </c>
      <c r="AG41" t="s">
        <v>595</v>
      </c>
    </row>
    <row r="42" spans="1:33">
      <c r="A42">
        <v>321</v>
      </c>
      <c r="B42" t="s">
        <v>2074</v>
      </c>
      <c r="C42" t="s">
        <v>2155</v>
      </c>
      <c r="E42">
        <v>2004</v>
      </c>
      <c r="F42" t="s">
        <v>2076</v>
      </c>
      <c r="G42" t="s">
        <v>2035</v>
      </c>
      <c r="H42" s="6">
        <v>38.700000000000003</v>
      </c>
      <c r="I42" s="6">
        <v>-123</v>
      </c>
      <c r="J42" s="6">
        <v>1973</v>
      </c>
      <c r="K42" s="6">
        <v>2001</v>
      </c>
      <c r="L42" s="6">
        <f t="shared" si="0"/>
        <v>29</v>
      </c>
      <c r="M42" t="s">
        <v>2036</v>
      </c>
      <c r="N42" t="s">
        <v>394</v>
      </c>
      <c r="O42" t="s">
        <v>394</v>
      </c>
      <c r="P42" t="s">
        <v>2078</v>
      </c>
      <c r="Q42" t="s">
        <v>2079</v>
      </c>
      <c r="V42">
        <v>0</v>
      </c>
      <c r="W42" t="s">
        <v>2080</v>
      </c>
      <c r="X42" t="s">
        <v>2041</v>
      </c>
      <c r="Y42" t="s">
        <v>2081</v>
      </c>
      <c r="Z42" t="str">
        <f t="shared" si="1"/>
        <v>Y</v>
      </c>
    </row>
    <row r="43" spans="1:33">
      <c r="A43">
        <v>49</v>
      </c>
      <c r="B43" t="s">
        <v>19</v>
      </c>
      <c r="C43" t="s">
        <v>2156</v>
      </c>
      <c r="E43">
        <v>2011</v>
      </c>
      <c r="F43" t="s">
        <v>2157</v>
      </c>
      <c r="G43" t="s">
        <v>2035</v>
      </c>
      <c r="H43" s="6">
        <v>50.5</v>
      </c>
      <c r="I43" s="6">
        <v>-4.5</v>
      </c>
      <c r="J43" s="6">
        <v>1946</v>
      </c>
      <c r="K43" s="6">
        <v>2007</v>
      </c>
      <c r="L43" s="6">
        <f t="shared" si="0"/>
        <v>62</v>
      </c>
      <c r="N43" t="s">
        <v>36</v>
      </c>
      <c r="O43" t="s">
        <v>2158</v>
      </c>
      <c r="P43" t="s">
        <v>2159</v>
      </c>
      <c r="Q43" t="s">
        <v>2160</v>
      </c>
      <c r="V43">
        <v>-10.199999999999999</v>
      </c>
      <c r="W43" t="s">
        <v>2041</v>
      </c>
      <c r="X43" t="s">
        <v>2041</v>
      </c>
      <c r="Y43" t="s">
        <v>19</v>
      </c>
      <c r="Z43" t="str">
        <f t="shared" si="1"/>
        <v>Y</v>
      </c>
      <c r="AC43" t="s">
        <v>2161</v>
      </c>
    </row>
    <row r="44" spans="1:33">
      <c r="A44">
        <v>50</v>
      </c>
      <c r="B44" t="s">
        <v>19</v>
      </c>
      <c r="C44" t="s">
        <v>2156</v>
      </c>
      <c r="E44">
        <v>2011</v>
      </c>
      <c r="F44" t="s">
        <v>2157</v>
      </c>
      <c r="G44" t="s">
        <v>2035</v>
      </c>
      <c r="H44" s="6">
        <v>50.5</v>
      </c>
      <c r="I44" s="6">
        <v>-4.5</v>
      </c>
      <c r="J44" s="6">
        <v>1946</v>
      </c>
      <c r="K44" s="6">
        <v>2007</v>
      </c>
      <c r="L44" s="6">
        <f t="shared" si="0"/>
        <v>62</v>
      </c>
      <c r="N44" t="s">
        <v>36</v>
      </c>
      <c r="O44" t="s">
        <v>2158</v>
      </c>
      <c r="P44" t="s">
        <v>2162</v>
      </c>
      <c r="Q44" t="s">
        <v>935</v>
      </c>
      <c r="V44">
        <v>3.3</v>
      </c>
      <c r="W44" t="s">
        <v>2058</v>
      </c>
      <c r="X44" t="s">
        <v>2041</v>
      </c>
      <c r="Y44" t="s">
        <v>19</v>
      </c>
      <c r="Z44" t="str">
        <f t="shared" si="1"/>
        <v>Y</v>
      </c>
      <c r="AC44" t="s">
        <v>2163</v>
      </c>
    </row>
    <row r="45" spans="1:33" ht="15.5">
      <c r="A45">
        <v>51</v>
      </c>
      <c r="B45" t="s">
        <v>19</v>
      </c>
      <c r="C45" t="s">
        <v>2164</v>
      </c>
      <c r="E45">
        <v>2017</v>
      </c>
      <c r="F45" t="s">
        <v>2165</v>
      </c>
      <c r="G45" t="s">
        <v>2035</v>
      </c>
      <c r="H45" s="7">
        <v>40</v>
      </c>
      <c r="I45" s="6">
        <v>-71</v>
      </c>
      <c r="J45" s="6">
        <v>1967</v>
      </c>
      <c r="K45" s="6">
        <v>2014</v>
      </c>
      <c r="L45" s="6">
        <f t="shared" si="0"/>
        <v>48</v>
      </c>
      <c r="M45" t="s">
        <v>2036</v>
      </c>
      <c r="N45" t="s">
        <v>161</v>
      </c>
      <c r="O45" t="s">
        <v>161</v>
      </c>
      <c r="P45" t="s">
        <v>2166</v>
      </c>
      <c r="R45" t="s">
        <v>2167</v>
      </c>
      <c r="S45" s="8" t="s">
        <v>2039</v>
      </c>
      <c r="T45" t="s">
        <v>163</v>
      </c>
      <c r="U45" t="s">
        <v>2053</v>
      </c>
      <c r="V45" t="s">
        <v>163</v>
      </c>
      <c r="W45" t="s">
        <v>2041</v>
      </c>
      <c r="X45" t="s">
        <v>2041</v>
      </c>
      <c r="Y45" t="s">
        <v>19</v>
      </c>
      <c r="Z45" t="str">
        <f t="shared" si="1"/>
        <v>Y</v>
      </c>
      <c r="AA45" t="s">
        <v>2054</v>
      </c>
      <c r="AB45" t="s">
        <v>2168</v>
      </c>
      <c r="AC45" t="s">
        <v>2169</v>
      </c>
      <c r="AD45" s="9" t="s">
        <v>595</v>
      </c>
      <c r="AE45" s="9" t="s">
        <v>2170</v>
      </c>
      <c r="AF45" s="9" t="s">
        <v>2041</v>
      </c>
      <c r="AG45" t="s">
        <v>595</v>
      </c>
    </row>
    <row r="46" spans="1:33" ht="15.5">
      <c r="A46">
        <v>52</v>
      </c>
      <c r="B46" t="s">
        <v>19</v>
      </c>
      <c r="C46" t="s">
        <v>2164</v>
      </c>
      <c r="E46">
        <v>2017</v>
      </c>
      <c r="F46" t="s">
        <v>2165</v>
      </c>
      <c r="G46" t="s">
        <v>2035</v>
      </c>
      <c r="H46" s="7">
        <v>40</v>
      </c>
      <c r="I46" s="6">
        <v>-71</v>
      </c>
      <c r="J46" s="6">
        <v>1967</v>
      </c>
      <c r="K46" s="6">
        <v>2014</v>
      </c>
      <c r="L46" s="6">
        <f t="shared" si="0"/>
        <v>48</v>
      </c>
      <c r="M46" t="s">
        <v>2036</v>
      </c>
      <c r="N46" t="s">
        <v>161</v>
      </c>
      <c r="O46" t="s">
        <v>161</v>
      </c>
      <c r="P46" t="s">
        <v>2171</v>
      </c>
      <c r="R46" t="s">
        <v>2167</v>
      </c>
      <c r="S46" s="8" t="s">
        <v>2039</v>
      </c>
      <c r="T46" t="s">
        <v>163</v>
      </c>
      <c r="U46" t="s">
        <v>2053</v>
      </c>
      <c r="V46" t="s">
        <v>163</v>
      </c>
      <c r="W46" t="s">
        <v>2041</v>
      </c>
      <c r="X46" t="s">
        <v>2041</v>
      </c>
      <c r="Y46" t="s">
        <v>19</v>
      </c>
      <c r="Z46" t="str">
        <f t="shared" si="1"/>
        <v>Y</v>
      </c>
      <c r="AA46" t="s">
        <v>2054</v>
      </c>
      <c r="AB46" t="s">
        <v>2168</v>
      </c>
      <c r="AC46" t="s">
        <v>2169</v>
      </c>
      <c r="AD46" s="9" t="s">
        <v>595</v>
      </c>
      <c r="AE46" s="9" t="s">
        <v>2170</v>
      </c>
      <c r="AF46" s="9" t="s">
        <v>2041</v>
      </c>
      <c r="AG46" t="s">
        <v>595</v>
      </c>
    </row>
    <row r="47" spans="1:33" ht="15.5">
      <c r="A47">
        <v>53</v>
      </c>
      <c r="B47" t="s">
        <v>19</v>
      </c>
      <c r="C47" t="s">
        <v>2164</v>
      </c>
      <c r="E47">
        <v>2017</v>
      </c>
      <c r="F47" t="s">
        <v>2165</v>
      </c>
      <c r="G47" t="s">
        <v>2035</v>
      </c>
      <c r="H47" s="7">
        <v>40</v>
      </c>
      <c r="I47" s="6">
        <v>-71</v>
      </c>
      <c r="J47" s="6">
        <v>1967</v>
      </c>
      <c r="K47" s="6">
        <v>2014</v>
      </c>
      <c r="L47" s="6">
        <f t="shared" si="0"/>
        <v>48</v>
      </c>
      <c r="M47" t="s">
        <v>2036</v>
      </c>
      <c r="N47" t="s">
        <v>161</v>
      </c>
      <c r="O47" t="s">
        <v>161</v>
      </c>
      <c r="P47" t="s">
        <v>2172</v>
      </c>
      <c r="R47" t="s">
        <v>2167</v>
      </c>
      <c r="S47" s="8" t="s">
        <v>2039</v>
      </c>
      <c r="T47" t="s">
        <v>163</v>
      </c>
      <c r="U47" t="s">
        <v>2053</v>
      </c>
      <c r="V47" t="s">
        <v>163</v>
      </c>
      <c r="W47" t="s">
        <v>2041</v>
      </c>
      <c r="X47" t="s">
        <v>2041</v>
      </c>
      <c r="Y47" t="s">
        <v>19</v>
      </c>
      <c r="Z47" t="str">
        <f t="shared" si="1"/>
        <v>Y</v>
      </c>
      <c r="AA47" t="s">
        <v>2054</v>
      </c>
      <c r="AB47" t="s">
        <v>2168</v>
      </c>
      <c r="AC47" t="s">
        <v>2169</v>
      </c>
      <c r="AD47" s="9" t="s">
        <v>595</v>
      </c>
      <c r="AE47" s="9" t="s">
        <v>2170</v>
      </c>
      <c r="AF47" s="9" t="s">
        <v>2041</v>
      </c>
      <c r="AG47" t="s">
        <v>595</v>
      </c>
    </row>
    <row r="48" spans="1:33" ht="15.5">
      <c r="A48">
        <v>54</v>
      </c>
      <c r="B48" t="s">
        <v>19</v>
      </c>
      <c r="C48" t="s">
        <v>2164</v>
      </c>
      <c r="E48">
        <v>2017</v>
      </c>
      <c r="F48" t="s">
        <v>2165</v>
      </c>
      <c r="G48" t="s">
        <v>2035</v>
      </c>
      <c r="H48" s="7">
        <v>40</v>
      </c>
      <c r="I48" s="6">
        <v>-71</v>
      </c>
      <c r="J48" s="6">
        <v>1967</v>
      </c>
      <c r="K48" s="6">
        <v>2014</v>
      </c>
      <c r="L48" s="6">
        <f t="shared" si="0"/>
        <v>48</v>
      </c>
      <c r="M48" t="s">
        <v>2036</v>
      </c>
      <c r="N48" t="s">
        <v>161</v>
      </c>
      <c r="O48" t="s">
        <v>161</v>
      </c>
      <c r="P48" t="s">
        <v>2173</v>
      </c>
      <c r="R48" t="s">
        <v>2167</v>
      </c>
      <c r="S48" s="8" t="s">
        <v>2039</v>
      </c>
      <c r="T48" t="s">
        <v>163</v>
      </c>
      <c r="U48" t="s">
        <v>2053</v>
      </c>
      <c r="V48" t="s">
        <v>163</v>
      </c>
      <c r="W48" t="s">
        <v>2041</v>
      </c>
      <c r="X48" t="s">
        <v>2041</v>
      </c>
      <c r="Y48" t="s">
        <v>19</v>
      </c>
      <c r="Z48" t="str">
        <f t="shared" si="1"/>
        <v>Y</v>
      </c>
      <c r="AA48" t="s">
        <v>2054</v>
      </c>
      <c r="AB48" t="s">
        <v>2168</v>
      </c>
      <c r="AC48" t="s">
        <v>2169</v>
      </c>
      <c r="AD48" s="9" t="s">
        <v>595</v>
      </c>
      <c r="AE48" s="9" t="s">
        <v>2170</v>
      </c>
      <c r="AF48" s="9" t="s">
        <v>2041</v>
      </c>
      <c r="AG48" t="s">
        <v>595</v>
      </c>
    </row>
    <row r="49" spans="1:33" ht="15.5">
      <c r="A49">
        <v>55</v>
      </c>
      <c r="B49" t="s">
        <v>19</v>
      </c>
      <c r="C49" t="s">
        <v>2164</v>
      </c>
      <c r="E49">
        <v>2017</v>
      </c>
      <c r="F49" t="s">
        <v>2165</v>
      </c>
      <c r="G49" t="s">
        <v>2035</v>
      </c>
      <c r="H49" s="7">
        <v>40</v>
      </c>
      <c r="I49" s="6">
        <v>-71</v>
      </c>
      <c r="J49" s="6">
        <v>1967</v>
      </c>
      <c r="K49" s="6">
        <v>2014</v>
      </c>
      <c r="L49" s="6">
        <f t="shared" si="0"/>
        <v>48</v>
      </c>
      <c r="M49" t="s">
        <v>2036</v>
      </c>
      <c r="N49" t="s">
        <v>161</v>
      </c>
      <c r="O49" t="s">
        <v>161</v>
      </c>
      <c r="P49" t="s">
        <v>2174</v>
      </c>
      <c r="R49" t="s">
        <v>2167</v>
      </c>
      <c r="S49" s="8" t="s">
        <v>2039</v>
      </c>
      <c r="T49" t="s">
        <v>163</v>
      </c>
      <c r="U49" t="s">
        <v>2053</v>
      </c>
      <c r="V49" t="s">
        <v>163</v>
      </c>
      <c r="W49" t="s">
        <v>2041</v>
      </c>
      <c r="X49" t="s">
        <v>2041</v>
      </c>
      <c r="Y49" t="s">
        <v>19</v>
      </c>
      <c r="Z49" t="str">
        <f t="shared" si="1"/>
        <v>Y</v>
      </c>
      <c r="AA49" t="s">
        <v>2054</v>
      </c>
      <c r="AB49" t="s">
        <v>2168</v>
      </c>
      <c r="AC49" t="s">
        <v>2169</v>
      </c>
      <c r="AD49" s="9" t="s">
        <v>595</v>
      </c>
      <c r="AE49" s="9" t="s">
        <v>2170</v>
      </c>
      <c r="AF49" s="9" t="s">
        <v>2041</v>
      </c>
      <c r="AG49" t="s">
        <v>595</v>
      </c>
    </row>
    <row r="50" spans="1:33" ht="15.5">
      <c r="A50">
        <v>56</v>
      </c>
      <c r="B50" t="s">
        <v>19</v>
      </c>
      <c r="C50" t="s">
        <v>2164</v>
      </c>
      <c r="E50">
        <v>2017</v>
      </c>
      <c r="F50" t="s">
        <v>2165</v>
      </c>
      <c r="G50" t="s">
        <v>2035</v>
      </c>
      <c r="H50" s="7">
        <v>40</v>
      </c>
      <c r="I50" s="6">
        <v>-71</v>
      </c>
      <c r="J50" s="6">
        <v>1967</v>
      </c>
      <c r="K50" s="6">
        <v>2014</v>
      </c>
      <c r="L50" s="6">
        <f t="shared" si="0"/>
        <v>48</v>
      </c>
      <c r="M50" t="s">
        <v>2036</v>
      </c>
      <c r="N50" t="s">
        <v>161</v>
      </c>
      <c r="O50" t="s">
        <v>161</v>
      </c>
      <c r="P50" t="s">
        <v>2175</v>
      </c>
      <c r="R50" t="s">
        <v>2167</v>
      </c>
      <c r="S50" s="8" t="s">
        <v>2039</v>
      </c>
      <c r="T50" t="s">
        <v>163</v>
      </c>
      <c r="U50" t="s">
        <v>2053</v>
      </c>
      <c r="V50" t="s">
        <v>163</v>
      </c>
      <c r="W50" t="s">
        <v>2041</v>
      </c>
      <c r="X50" t="s">
        <v>2041</v>
      </c>
      <c r="Y50" t="s">
        <v>19</v>
      </c>
      <c r="Z50" t="str">
        <f t="shared" si="1"/>
        <v>Y</v>
      </c>
      <c r="AA50" t="s">
        <v>2054</v>
      </c>
      <c r="AB50" t="s">
        <v>2168</v>
      </c>
      <c r="AC50" t="s">
        <v>2169</v>
      </c>
      <c r="AD50" s="9" t="s">
        <v>595</v>
      </c>
      <c r="AE50" s="9" t="s">
        <v>2170</v>
      </c>
      <c r="AF50" s="9" t="s">
        <v>2041</v>
      </c>
      <c r="AG50" t="s">
        <v>595</v>
      </c>
    </row>
    <row r="51" spans="1:33" ht="15.5">
      <c r="A51">
        <v>57</v>
      </c>
      <c r="B51" t="s">
        <v>19</v>
      </c>
      <c r="C51" t="s">
        <v>2164</v>
      </c>
      <c r="E51">
        <v>2017</v>
      </c>
      <c r="F51" t="s">
        <v>2165</v>
      </c>
      <c r="G51" t="s">
        <v>2035</v>
      </c>
      <c r="H51" s="7">
        <v>40</v>
      </c>
      <c r="I51" s="6">
        <v>-71</v>
      </c>
      <c r="J51" s="6">
        <v>1967</v>
      </c>
      <c r="K51" s="6">
        <v>2014</v>
      </c>
      <c r="L51" s="6">
        <f t="shared" si="0"/>
        <v>48</v>
      </c>
      <c r="M51" t="s">
        <v>2036</v>
      </c>
      <c r="N51" t="s">
        <v>161</v>
      </c>
      <c r="O51" t="s">
        <v>161</v>
      </c>
      <c r="P51" t="s">
        <v>2176</v>
      </c>
      <c r="R51" t="s">
        <v>2167</v>
      </c>
      <c r="S51" s="8" t="s">
        <v>2039</v>
      </c>
      <c r="T51" t="s">
        <v>163</v>
      </c>
      <c r="U51" t="s">
        <v>2053</v>
      </c>
      <c r="V51" t="s">
        <v>163</v>
      </c>
      <c r="W51" t="s">
        <v>2041</v>
      </c>
      <c r="X51" t="s">
        <v>2041</v>
      </c>
      <c r="Y51" t="s">
        <v>19</v>
      </c>
      <c r="Z51" t="str">
        <f t="shared" si="1"/>
        <v>Y</v>
      </c>
      <c r="AA51" t="s">
        <v>2054</v>
      </c>
      <c r="AB51" t="s">
        <v>2168</v>
      </c>
      <c r="AC51" t="s">
        <v>2169</v>
      </c>
      <c r="AD51" s="9" t="s">
        <v>595</v>
      </c>
      <c r="AE51" s="9" t="s">
        <v>2170</v>
      </c>
      <c r="AF51" s="9" t="s">
        <v>2041</v>
      </c>
      <c r="AG51" t="s">
        <v>595</v>
      </c>
    </row>
    <row r="52" spans="1:33" ht="15.5">
      <c r="A52">
        <v>58</v>
      </c>
      <c r="B52" t="s">
        <v>19</v>
      </c>
      <c r="C52" t="s">
        <v>2164</v>
      </c>
      <c r="E52">
        <v>2017</v>
      </c>
      <c r="F52" t="s">
        <v>2165</v>
      </c>
      <c r="G52" t="s">
        <v>2035</v>
      </c>
      <c r="H52" s="7">
        <v>40</v>
      </c>
      <c r="I52" s="6">
        <v>-71</v>
      </c>
      <c r="J52" s="6">
        <v>1967</v>
      </c>
      <c r="K52" s="6">
        <v>2014</v>
      </c>
      <c r="L52" s="6">
        <f t="shared" si="0"/>
        <v>48</v>
      </c>
      <c r="M52" t="s">
        <v>2036</v>
      </c>
      <c r="N52" t="s">
        <v>161</v>
      </c>
      <c r="O52" t="s">
        <v>161</v>
      </c>
      <c r="P52" t="s">
        <v>2177</v>
      </c>
      <c r="R52" t="s">
        <v>2167</v>
      </c>
      <c r="S52" s="8" t="s">
        <v>2039</v>
      </c>
      <c r="T52" t="s">
        <v>163</v>
      </c>
      <c r="U52" t="s">
        <v>2053</v>
      </c>
      <c r="V52" t="s">
        <v>163</v>
      </c>
      <c r="W52" t="s">
        <v>2041</v>
      </c>
      <c r="X52" t="s">
        <v>2041</v>
      </c>
      <c r="Y52" t="s">
        <v>19</v>
      </c>
      <c r="Z52" t="str">
        <f t="shared" si="1"/>
        <v>Y</v>
      </c>
      <c r="AA52" t="s">
        <v>2054</v>
      </c>
      <c r="AB52" t="s">
        <v>2168</v>
      </c>
      <c r="AC52" t="s">
        <v>2169</v>
      </c>
      <c r="AD52" s="9" t="s">
        <v>595</v>
      </c>
      <c r="AE52" s="9" t="s">
        <v>2170</v>
      </c>
      <c r="AF52" s="9" t="s">
        <v>2041</v>
      </c>
      <c r="AG52" t="s">
        <v>595</v>
      </c>
    </row>
    <row r="53" spans="1:33" ht="15.5">
      <c r="A53">
        <v>59</v>
      </c>
      <c r="B53" t="s">
        <v>19</v>
      </c>
      <c r="C53" t="s">
        <v>2164</v>
      </c>
      <c r="E53">
        <v>2017</v>
      </c>
      <c r="F53" t="s">
        <v>2165</v>
      </c>
      <c r="G53" t="s">
        <v>2035</v>
      </c>
      <c r="H53" s="7">
        <v>40</v>
      </c>
      <c r="I53" s="6">
        <v>-71</v>
      </c>
      <c r="J53" s="6">
        <v>1967</v>
      </c>
      <c r="K53" s="6">
        <v>2014</v>
      </c>
      <c r="L53" s="6">
        <f t="shared" si="0"/>
        <v>48</v>
      </c>
      <c r="M53" t="s">
        <v>2036</v>
      </c>
      <c r="N53" t="s">
        <v>161</v>
      </c>
      <c r="O53" t="s">
        <v>161</v>
      </c>
      <c r="P53" t="s">
        <v>2178</v>
      </c>
      <c r="R53" t="s">
        <v>2167</v>
      </c>
      <c r="S53" s="8" t="s">
        <v>2039</v>
      </c>
      <c r="T53" t="s">
        <v>163</v>
      </c>
      <c r="U53" t="s">
        <v>2053</v>
      </c>
      <c r="V53" t="s">
        <v>163</v>
      </c>
      <c r="W53" t="s">
        <v>2058</v>
      </c>
      <c r="X53" t="s">
        <v>2041</v>
      </c>
      <c r="Y53" t="s">
        <v>19</v>
      </c>
      <c r="Z53" t="str">
        <f t="shared" si="1"/>
        <v>Y</v>
      </c>
      <c r="AA53" t="s">
        <v>2054</v>
      </c>
      <c r="AB53" t="s">
        <v>2168</v>
      </c>
      <c r="AC53" t="s">
        <v>2169</v>
      </c>
      <c r="AD53" s="9" t="s">
        <v>595</v>
      </c>
      <c r="AE53" s="9" t="s">
        <v>2170</v>
      </c>
      <c r="AF53" s="9" t="s">
        <v>2041</v>
      </c>
      <c r="AG53" t="s">
        <v>595</v>
      </c>
    </row>
    <row r="54" spans="1:33" ht="15.5">
      <c r="A54">
        <v>60</v>
      </c>
      <c r="B54" t="s">
        <v>19</v>
      </c>
      <c r="C54" t="s">
        <v>2164</v>
      </c>
      <c r="E54">
        <v>2017</v>
      </c>
      <c r="F54" t="s">
        <v>2165</v>
      </c>
      <c r="G54" t="s">
        <v>2035</v>
      </c>
      <c r="H54" s="7">
        <v>40</v>
      </c>
      <c r="I54" s="6">
        <v>-71</v>
      </c>
      <c r="J54" s="6">
        <v>1967</v>
      </c>
      <c r="K54" s="6">
        <v>2014</v>
      </c>
      <c r="L54" s="6">
        <f t="shared" si="0"/>
        <v>48</v>
      </c>
      <c r="M54" t="s">
        <v>2036</v>
      </c>
      <c r="N54" t="s">
        <v>161</v>
      </c>
      <c r="O54" t="s">
        <v>161</v>
      </c>
      <c r="P54" t="s">
        <v>2179</v>
      </c>
      <c r="R54" t="s">
        <v>2167</v>
      </c>
      <c r="S54" s="8" t="s">
        <v>2039</v>
      </c>
      <c r="T54" t="s">
        <v>163</v>
      </c>
      <c r="U54" t="s">
        <v>2053</v>
      </c>
      <c r="V54" t="s">
        <v>163</v>
      </c>
      <c r="W54" t="s">
        <v>2041</v>
      </c>
      <c r="X54" t="s">
        <v>2041</v>
      </c>
      <c r="Y54" t="s">
        <v>19</v>
      </c>
      <c r="Z54" t="str">
        <f t="shared" si="1"/>
        <v>Y</v>
      </c>
      <c r="AA54" t="s">
        <v>2054</v>
      </c>
      <c r="AB54" t="s">
        <v>2168</v>
      </c>
      <c r="AC54" t="s">
        <v>2169</v>
      </c>
      <c r="AD54" s="9" t="s">
        <v>595</v>
      </c>
      <c r="AE54" s="9" t="s">
        <v>2170</v>
      </c>
      <c r="AF54" s="9" t="s">
        <v>2041</v>
      </c>
      <c r="AG54" t="s">
        <v>595</v>
      </c>
    </row>
    <row r="55" spans="1:33" ht="15.5">
      <c r="A55">
        <v>61</v>
      </c>
      <c r="B55" t="s">
        <v>19</v>
      </c>
      <c r="C55" t="s">
        <v>2164</v>
      </c>
      <c r="E55">
        <v>2017</v>
      </c>
      <c r="F55" t="s">
        <v>2165</v>
      </c>
      <c r="G55" t="s">
        <v>2035</v>
      </c>
      <c r="H55" s="7">
        <v>40</v>
      </c>
      <c r="I55" s="6">
        <v>-71</v>
      </c>
      <c r="J55" s="6">
        <v>1967</v>
      </c>
      <c r="K55" s="6">
        <v>2014</v>
      </c>
      <c r="L55" s="6">
        <f t="shared" si="0"/>
        <v>48</v>
      </c>
      <c r="M55" t="s">
        <v>2036</v>
      </c>
      <c r="N55" t="s">
        <v>161</v>
      </c>
      <c r="O55" t="s">
        <v>161</v>
      </c>
      <c r="P55" t="s">
        <v>2180</v>
      </c>
      <c r="R55" t="s">
        <v>2167</v>
      </c>
      <c r="S55" s="8" t="s">
        <v>2039</v>
      </c>
      <c r="T55" t="s">
        <v>163</v>
      </c>
      <c r="U55" t="s">
        <v>2053</v>
      </c>
      <c r="V55" t="s">
        <v>163</v>
      </c>
      <c r="W55" t="s">
        <v>2058</v>
      </c>
      <c r="X55" t="s">
        <v>2041</v>
      </c>
      <c r="Y55" t="s">
        <v>19</v>
      </c>
      <c r="Z55" t="str">
        <f t="shared" si="1"/>
        <v>Y</v>
      </c>
      <c r="AA55" t="s">
        <v>2054</v>
      </c>
      <c r="AB55" t="s">
        <v>2168</v>
      </c>
      <c r="AC55" t="s">
        <v>2169</v>
      </c>
      <c r="AD55" s="9" t="s">
        <v>595</v>
      </c>
      <c r="AE55" s="9" t="s">
        <v>2170</v>
      </c>
      <c r="AF55" s="9" t="s">
        <v>2041</v>
      </c>
      <c r="AG55" t="s">
        <v>595</v>
      </c>
    </row>
    <row r="56" spans="1:33" ht="15.5">
      <c r="A56">
        <v>62</v>
      </c>
      <c r="B56" t="s">
        <v>19</v>
      </c>
      <c r="C56" t="s">
        <v>2164</v>
      </c>
      <c r="E56">
        <v>2017</v>
      </c>
      <c r="F56" t="s">
        <v>2165</v>
      </c>
      <c r="G56" t="s">
        <v>2035</v>
      </c>
      <c r="H56" s="7">
        <v>40</v>
      </c>
      <c r="I56" s="6">
        <v>-71</v>
      </c>
      <c r="J56" s="6">
        <v>1967</v>
      </c>
      <c r="K56" s="6">
        <v>2014</v>
      </c>
      <c r="L56" s="6">
        <f t="shared" si="0"/>
        <v>48</v>
      </c>
      <c r="M56" t="s">
        <v>2036</v>
      </c>
      <c r="N56" t="s">
        <v>161</v>
      </c>
      <c r="O56" t="s">
        <v>161</v>
      </c>
      <c r="P56" t="s">
        <v>2181</v>
      </c>
      <c r="R56" t="s">
        <v>2167</v>
      </c>
      <c r="S56" s="8" t="s">
        <v>2039</v>
      </c>
      <c r="T56" t="s">
        <v>163</v>
      </c>
      <c r="U56" t="s">
        <v>2053</v>
      </c>
      <c r="V56" t="s">
        <v>163</v>
      </c>
      <c r="W56" t="s">
        <v>2041</v>
      </c>
      <c r="X56" t="s">
        <v>2041</v>
      </c>
      <c r="Y56" t="s">
        <v>19</v>
      </c>
      <c r="Z56" t="str">
        <f t="shared" si="1"/>
        <v>Y</v>
      </c>
      <c r="AA56" t="s">
        <v>2054</v>
      </c>
      <c r="AB56" t="s">
        <v>2168</v>
      </c>
      <c r="AC56" t="s">
        <v>2169</v>
      </c>
      <c r="AD56" s="9" t="s">
        <v>595</v>
      </c>
      <c r="AE56" s="9" t="s">
        <v>2170</v>
      </c>
      <c r="AF56" s="9" t="s">
        <v>2041</v>
      </c>
      <c r="AG56" t="s">
        <v>595</v>
      </c>
    </row>
    <row r="57" spans="1:33" ht="15.5">
      <c r="A57">
        <v>63</v>
      </c>
      <c r="B57" t="s">
        <v>19</v>
      </c>
      <c r="C57" t="s">
        <v>2164</v>
      </c>
      <c r="E57">
        <v>2017</v>
      </c>
      <c r="F57" t="s">
        <v>2165</v>
      </c>
      <c r="G57" t="s">
        <v>2035</v>
      </c>
      <c r="H57" s="7">
        <v>40</v>
      </c>
      <c r="I57" s="6">
        <v>-71</v>
      </c>
      <c r="J57" s="6">
        <v>1967</v>
      </c>
      <c r="K57" s="6">
        <v>2014</v>
      </c>
      <c r="L57" s="6">
        <f t="shared" si="0"/>
        <v>48</v>
      </c>
      <c r="M57" t="s">
        <v>2036</v>
      </c>
      <c r="N57" t="s">
        <v>161</v>
      </c>
      <c r="O57" t="s">
        <v>161</v>
      </c>
      <c r="P57" t="s">
        <v>2182</v>
      </c>
      <c r="R57" t="s">
        <v>2167</v>
      </c>
      <c r="S57" s="8" t="s">
        <v>2039</v>
      </c>
      <c r="T57" t="s">
        <v>163</v>
      </c>
      <c r="U57" t="s">
        <v>2053</v>
      </c>
      <c r="V57" t="s">
        <v>163</v>
      </c>
      <c r="W57" t="s">
        <v>2041</v>
      </c>
      <c r="X57" t="s">
        <v>2041</v>
      </c>
      <c r="Y57" t="s">
        <v>19</v>
      </c>
      <c r="Z57" t="str">
        <f t="shared" si="1"/>
        <v>Y</v>
      </c>
      <c r="AA57" t="s">
        <v>2054</v>
      </c>
      <c r="AB57" t="s">
        <v>2168</v>
      </c>
      <c r="AC57" t="s">
        <v>2169</v>
      </c>
      <c r="AD57" s="9" t="s">
        <v>595</v>
      </c>
      <c r="AE57" s="9" t="s">
        <v>2170</v>
      </c>
      <c r="AF57" s="9" t="s">
        <v>2041</v>
      </c>
      <c r="AG57" t="s">
        <v>595</v>
      </c>
    </row>
    <row r="58" spans="1:33" ht="15.5">
      <c r="A58">
        <v>64</v>
      </c>
      <c r="B58" t="s">
        <v>19</v>
      </c>
      <c r="C58" t="s">
        <v>2164</v>
      </c>
      <c r="E58">
        <v>2017</v>
      </c>
      <c r="F58" t="s">
        <v>2165</v>
      </c>
      <c r="G58" t="s">
        <v>2035</v>
      </c>
      <c r="H58" s="7">
        <v>40</v>
      </c>
      <c r="I58" s="6">
        <v>-71</v>
      </c>
      <c r="J58" s="6">
        <v>1967</v>
      </c>
      <c r="K58" s="6">
        <v>2014</v>
      </c>
      <c r="L58" s="6">
        <f t="shared" si="0"/>
        <v>48</v>
      </c>
      <c r="M58" t="s">
        <v>2036</v>
      </c>
      <c r="N58" t="s">
        <v>161</v>
      </c>
      <c r="O58" t="s">
        <v>161</v>
      </c>
      <c r="P58" t="s">
        <v>2183</v>
      </c>
      <c r="R58" t="s">
        <v>2167</v>
      </c>
      <c r="S58" s="8" t="s">
        <v>2039</v>
      </c>
      <c r="T58" t="s">
        <v>163</v>
      </c>
      <c r="U58" t="s">
        <v>2053</v>
      </c>
      <c r="V58" t="s">
        <v>163</v>
      </c>
      <c r="W58" t="s">
        <v>2058</v>
      </c>
      <c r="X58" t="s">
        <v>2041</v>
      </c>
      <c r="Y58" t="s">
        <v>19</v>
      </c>
      <c r="Z58" t="str">
        <f t="shared" si="1"/>
        <v>Y</v>
      </c>
      <c r="AA58" t="s">
        <v>2054</v>
      </c>
      <c r="AB58" t="s">
        <v>2168</v>
      </c>
      <c r="AC58" t="s">
        <v>2169</v>
      </c>
      <c r="AD58" s="9" t="s">
        <v>595</v>
      </c>
      <c r="AE58" s="9" t="s">
        <v>2170</v>
      </c>
      <c r="AF58" s="9" t="s">
        <v>2041</v>
      </c>
      <c r="AG58" t="s">
        <v>595</v>
      </c>
    </row>
    <row r="59" spans="1:33" ht="15.5">
      <c r="A59">
        <v>65</v>
      </c>
      <c r="B59" t="s">
        <v>19</v>
      </c>
      <c r="C59" t="s">
        <v>2164</v>
      </c>
      <c r="E59">
        <v>2017</v>
      </c>
      <c r="F59" t="s">
        <v>2165</v>
      </c>
      <c r="G59" t="s">
        <v>2035</v>
      </c>
      <c r="H59" s="7">
        <v>40</v>
      </c>
      <c r="I59" s="6">
        <v>-71</v>
      </c>
      <c r="J59" s="6">
        <v>1967</v>
      </c>
      <c r="K59" s="6">
        <v>2014</v>
      </c>
      <c r="L59" s="6">
        <f t="shared" si="0"/>
        <v>48</v>
      </c>
      <c r="M59" t="s">
        <v>2036</v>
      </c>
      <c r="N59" t="s">
        <v>161</v>
      </c>
      <c r="O59" t="s">
        <v>161</v>
      </c>
      <c r="P59" t="s">
        <v>2184</v>
      </c>
      <c r="R59" t="s">
        <v>2167</v>
      </c>
      <c r="S59" s="8" t="s">
        <v>2039</v>
      </c>
      <c r="T59" t="s">
        <v>163</v>
      </c>
      <c r="U59" t="s">
        <v>2053</v>
      </c>
      <c r="V59" t="s">
        <v>163</v>
      </c>
      <c r="W59" t="s">
        <v>2041</v>
      </c>
      <c r="X59" t="s">
        <v>2041</v>
      </c>
      <c r="Y59" t="s">
        <v>19</v>
      </c>
      <c r="Z59" t="str">
        <f t="shared" si="1"/>
        <v>Y</v>
      </c>
      <c r="AA59" t="s">
        <v>2054</v>
      </c>
      <c r="AB59" t="s">
        <v>2168</v>
      </c>
      <c r="AC59" t="s">
        <v>2169</v>
      </c>
      <c r="AD59" s="9" t="s">
        <v>595</v>
      </c>
      <c r="AE59" s="9" t="s">
        <v>2170</v>
      </c>
      <c r="AF59" s="9" t="s">
        <v>2041</v>
      </c>
      <c r="AG59" t="s">
        <v>595</v>
      </c>
    </row>
    <row r="60" spans="1:33" ht="15.5">
      <c r="A60">
        <v>66</v>
      </c>
      <c r="B60" t="s">
        <v>19</v>
      </c>
      <c r="C60" t="s">
        <v>2164</v>
      </c>
      <c r="E60">
        <v>2017</v>
      </c>
      <c r="F60" t="s">
        <v>2165</v>
      </c>
      <c r="G60" t="s">
        <v>2035</v>
      </c>
      <c r="H60" s="7">
        <v>40</v>
      </c>
      <c r="I60" s="6">
        <v>-71</v>
      </c>
      <c r="J60" s="6">
        <v>1967</v>
      </c>
      <c r="K60" s="6">
        <v>2014</v>
      </c>
      <c r="L60" s="6">
        <f t="shared" si="0"/>
        <v>48</v>
      </c>
      <c r="M60" t="s">
        <v>2036</v>
      </c>
      <c r="N60" t="s">
        <v>161</v>
      </c>
      <c r="O60" t="s">
        <v>161</v>
      </c>
      <c r="P60" t="s">
        <v>2185</v>
      </c>
      <c r="R60" t="s">
        <v>2167</v>
      </c>
      <c r="S60" s="8" t="s">
        <v>2039</v>
      </c>
      <c r="T60" t="s">
        <v>163</v>
      </c>
      <c r="U60" t="s">
        <v>2053</v>
      </c>
      <c r="V60" t="s">
        <v>163</v>
      </c>
      <c r="W60" t="s">
        <v>2041</v>
      </c>
      <c r="X60" t="s">
        <v>2041</v>
      </c>
      <c r="Y60" t="s">
        <v>19</v>
      </c>
      <c r="Z60" t="str">
        <f t="shared" si="1"/>
        <v>Y</v>
      </c>
      <c r="AA60" t="s">
        <v>2054</v>
      </c>
      <c r="AB60" t="s">
        <v>2168</v>
      </c>
      <c r="AC60" t="s">
        <v>2169</v>
      </c>
      <c r="AD60" s="9" t="s">
        <v>595</v>
      </c>
      <c r="AE60" s="9" t="s">
        <v>2170</v>
      </c>
      <c r="AF60" s="9" t="s">
        <v>2041</v>
      </c>
      <c r="AG60" t="s">
        <v>595</v>
      </c>
    </row>
    <row r="61" spans="1:33" ht="15.5">
      <c r="A61">
        <v>67</v>
      </c>
      <c r="B61" t="s">
        <v>19</v>
      </c>
      <c r="C61" t="s">
        <v>2164</v>
      </c>
      <c r="E61">
        <v>2017</v>
      </c>
      <c r="F61" t="s">
        <v>2165</v>
      </c>
      <c r="G61" t="s">
        <v>2035</v>
      </c>
      <c r="H61" s="7">
        <v>40</v>
      </c>
      <c r="I61" s="6">
        <v>-71</v>
      </c>
      <c r="J61" s="6">
        <v>1967</v>
      </c>
      <c r="K61" s="6">
        <v>2014</v>
      </c>
      <c r="L61" s="6">
        <f t="shared" si="0"/>
        <v>48</v>
      </c>
      <c r="M61" t="s">
        <v>2036</v>
      </c>
      <c r="N61" t="s">
        <v>161</v>
      </c>
      <c r="O61" t="s">
        <v>161</v>
      </c>
      <c r="P61" t="s">
        <v>2186</v>
      </c>
      <c r="R61" t="s">
        <v>2167</v>
      </c>
      <c r="S61" s="8" t="s">
        <v>2039</v>
      </c>
      <c r="T61" t="s">
        <v>163</v>
      </c>
      <c r="U61" t="s">
        <v>2053</v>
      </c>
      <c r="V61" t="s">
        <v>163</v>
      </c>
      <c r="W61" t="s">
        <v>2041</v>
      </c>
      <c r="X61" t="s">
        <v>2041</v>
      </c>
      <c r="Y61" t="s">
        <v>19</v>
      </c>
      <c r="Z61" t="str">
        <f t="shared" si="1"/>
        <v>Y</v>
      </c>
      <c r="AA61" t="s">
        <v>2054</v>
      </c>
      <c r="AB61" t="s">
        <v>2168</v>
      </c>
      <c r="AC61" t="s">
        <v>2169</v>
      </c>
      <c r="AD61" s="9" t="s">
        <v>595</v>
      </c>
      <c r="AE61" s="9" t="s">
        <v>2170</v>
      </c>
      <c r="AF61" s="9" t="s">
        <v>2041</v>
      </c>
      <c r="AG61" t="s">
        <v>595</v>
      </c>
    </row>
    <row r="62" spans="1:33" ht="15.5">
      <c r="A62">
        <v>68</v>
      </c>
      <c r="B62" t="s">
        <v>19</v>
      </c>
      <c r="C62" t="s">
        <v>2164</v>
      </c>
      <c r="E62">
        <v>2017</v>
      </c>
      <c r="F62" t="s">
        <v>2165</v>
      </c>
      <c r="G62" t="s">
        <v>2035</v>
      </c>
      <c r="H62" s="7">
        <v>40</v>
      </c>
      <c r="I62" s="6">
        <v>-71</v>
      </c>
      <c r="J62" s="6">
        <v>1967</v>
      </c>
      <c r="K62" s="6">
        <v>2014</v>
      </c>
      <c r="L62" s="6">
        <f t="shared" si="0"/>
        <v>48</v>
      </c>
      <c r="M62" t="s">
        <v>2036</v>
      </c>
      <c r="N62" t="s">
        <v>161</v>
      </c>
      <c r="O62" t="s">
        <v>161</v>
      </c>
      <c r="P62" t="s">
        <v>2187</v>
      </c>
      <c r="R62" t="s">
        <v>2167</v>
      </c>
      <c r="S62" s="8" t="s">
        <v>2039</v>
      </c>
      <c r="T62" t="s">
        <v>163</v>
      </c>
      <c r="U62" t="s">
        <v>2053</v>
      </c>
      <c r="V62" t="s">
        <v>163</v>
      </c>
      <c r="W62" t="s">
        <v>2058</v>
      </c>
      <c r="X62" t="s">
        <v>2041</v>
      </c>
      <c r="Y62" t="s">
        <v>19</v>
      </c>
      <c r="Z62" t="str">
        <f t="shared" si="1"/>
        <v>Y</v>
      </c>
      <c r="AA62" t="s">
        <v>2054</v>
      </c>
      <c r="AB62" t="s">
        <v>2168</v>
      </c>
      <c r="AC62" t="s">
        <v>2169</v>
      </c>
      <c r="AD62" s="9" t="s">
        <v>595</v>
      </c>
      <c r="AE62" s="9" t="s">
        <v>2170</v>
      </c>
      <c r="AF62" s="9" t="s">
        <v>2041</v>
      </c>
      <c r="AG62" t="s">
        <v>595</v>
      </c>
    </row>
    <row r="63" spans="1:33" ht="15.5">
      <c r="A63">
        <v>69</v>
      </c>
      <c r="B63" t="s">
        <v>19</v>
      </c>
      <c r="C63" t="s">
        <v>2164</v>
      </c>
      <c r="E63">
        <v>2017</v>
      </c>
      <c r="F63" t="s">
        <v>2165</v>
      </c>
      <c r="G63" t="s">
        <v>2035</v>
      </c>
      <c r="H63" s="7">
        <v>40</v>
      </c>
      <c r="I63" s="6">
        <v>-71</v>
      </c>
      <c r="J63" s="6">
        <v>1967</v>
      </c>
      <c r="K63" s="6">
        <v>2014</v>
      </c>
      <c r="L63" s="6">
        <f t="shared" si="0"/>
        <v>48</v>
      </c>
      <c r="M63" t="s">
        <v>2036</v>
      </c>
      <c r="N63" t="s">
        <v>161</v>
      </c>
      <c r="O63" t="s">
        <v>161</v>
      </c>
      <c r="P63" t="s">
        <v>2188</v>
      </c>
      <c r="R63" t="s">
        <v>2167</v>
      </c>
      <c r="S63" s="8" t="s">
        <v>2039</v>
      </c>
      <c r="T63" t="s">
        <v>163</v>
      </c>
      <c r="U63" t="s">
        <v>2053</v>
      </c>
      <c r="V63" t="s">
        <v>163</v>
      </c>
      <c r="W63" t="s">
        <v>2041</v>
      </c>
      <c r="X63" t="s">
        <v>2041</v>
      </c>
      <c r="Y63" t="s">
        <v>19</v>
      </c>
      <c r="Z63" t="str">
        <f t="shared" si="1"/>
        <v>Y</v>
      </c>
      <c r="AA63" t="s">
        <v>2054</v>
      </c>
      <c r="AB63" t="s">
        <v>2168</v>
      </c>
      <c r="AC63" t="s">
        <v>2169</v>
      </c>
      <c r="AD63" s="9" t="s">
        <v>595</v>
      </c>
      <c r="AE63" s="9" t="s">
        <v>2170</v>
      </c>
      <c r="AF63" s="9" t="s">
        <v>2041</v>
      </c>
      <c r="AG63" t="s">
        <v>595</v>
      </c>
    </row>
    <row r="64" spans="1:33" ht="15.5">
      <c r="A64">
        <v>70</v>
      </c>
      <c r="B64" t="s">
        <v>19</v>
      </c>
      <c r="C64" t="s">
        <v>2164</v>
      </c>
      <c r="E64">
        <v>2017</v>
      </c>
      <c r="F64" t="s">
        <v>2165</v>
      </c>
      <c r="G64" t="s">
        <v>2035</v>
      </c>
      <c r="H64" s="7">
        <v>40</v>
      </c>
      <c r="I64" s="6">
        <v>-71</v>
      </c>
      <c r="J64" s="6">
        <v>1967</v>
      </c>
      <c r="K64" s="6">
        <v>2014</v>
      </c>
      <c r="L64" s="6">
        <f t="shared" si="0"/>
        <v>48</v>
      </c>
      <c r="M64" t="s">
        <v>2036</v>
      </c>
      <c r="N64" t="s">
        <v>161</v>
      </c>
      <c r="O64" t="s">
        <v>161</v>
      </c>
      <c r="P64" t="s">
        <v>2189</v>
      </c>
      <c r="R64" t="s">
        <v>2167</v>
      </c>
      <c r="S64" s="8" t="s">
        <v>2039</v>
      </c>
      <c r="T64" t="s">
        <v>163</v>
      </c>
      <c r="U64" t="s">
        <v>2053</v>
      </c>
      <c r="V64" t="s">
        <v>163</v>
      </c>
      <c r="W64" t="s">
        <v>2041</v>
      </c>
      <c r="X64" t="s">
        <v>2041</v>
      </c>
      <c r="Y64" t="s">
        <v>19</v>
      </c>
      <c r="Z64" t="str">
        <f t="shared" si="1"/>
        <v>Y</v>
      </c>
      <c r="AA64" t="s">
        <v>2054</v>
      </c>
      <c r="AB64" t="s">
        <v>2168</v>
      </c>
      <c r="AC64" t="s">
        <v>2169</v>
      </c>
      <c r="AD64" s="9" t="s">
        <v>595</v>
      </c>
      <c r="AE64" s="9" t="s">
        <v>2170</v>
      </c>
      <c r="AF64" s="9" t="s">
        <v>2041</v>
      </c>
      <c r="AG64" t="s">
        <v>595</v>
      </c>
    </row>
    <row r="65" spans="1:33" ht="15.5">
      <c r="A65">
        <v>71</v>
      </c>
      <c r="B65" t="s">
        <v>19</v>
      </c>
      <c r="C65" t="s">
        <v>2164</v>
      </c>
      <c r="E65">
        <v>2017</v>
      </c>
      <c r="F65" t="s">
        <v>2165</v>
      </c>
      <c r="G65" t="s">
        <v>2035</v>
      </c>
      <c r="H65" s="7">
        <v>40</v>
      </c>
      <c r="I65" s="6">
        <v>-71</v>
      </c>
      <c r="J65" s="6">
        <v>1967</v>
      </c>
      <c r="K65" s="6">
        <v>2014</v>
      </c>
      <c r="L65" s="6">
        <f t="shared" si="0"/>
        <v>48</v>
      </c>
      <c r="M65" t="s">
        <v>2036</v>
      </c>
      <c r="N65" t="s">
        <v>161</v>
      </c>
      <c r="O65" t="s">
        <v>161</v>
      </c>
      <c r="P65" t="s">
        <v>2190</v>
      </c>
      <c r="R65" t="s">
        <v>2167</v>
      </c>
      <c r="S65" s="8" t="s">
        <v>2039</v>
      </c>
      <c r="T65" t="s">
        <v>163</v>
      </c>
      <c r="U65" t="s">
        <v>2053</v>
      </c>
      <c r="V65" t="s">
        <v>163</v>
      </c>
      <c r="W65" t="s">
        <v>2058</v>
      </c>
      <c r="X65" t="s">
        <v>2041</v>
      </c>
      <c r="Y65" t="s">
        <v>19</v>
      </c>
      <c r="Z65" t="str">
        <f t="shared" si="1"/>
        <v>Y</v>
      </c>
      <c r="AA65" t="s">
        <v>2054</v>
      </c>
      <c r="AB65" t="s">
        <v>2168</v>
      </c>
      <c r="AC65" t="s">
        <v>2169</v>
      </c>
      <c r="AD65" s="9" t="s">
        <v>595</v>
      </c>
      <c r="AE65" s="9" t="s">
        <v>2170</v>
      </c>
      <c r="AF65" s="9" t="s">
        <v>2041</v>
      </c>
      <c r="AG65" t="s">
        <v>595</v>
      </c>
    </row>
    <row r="66" spans="1:33" ht="15.5">
      <c r="A66">
        <v>72</v>
      </c>
      <c r="B66" t="s">
        <v>19</v>
      </c>
      <c r="C66" t="s">
        <v>2164</v>
      </c>
      <c r="E66">
        <v>2017</v>
      </c>
      <c r="F66" t="s">
        <v>2165</v>
      </c>
      <c r="G66" t="s">
        <v>2035</v>
      </c>
      <c r="H66" s="7">
        <v>40</v>
      </c>
      <c r="I66" s="6">
        <v>-71</v>
      </c>
      <c r="J66" s="6">
        <v>1967</v>
      </c>
      <c r="K66" s="6">
        <v>2014</v>
      </c>
      <c r="L66" s="6">
        <f t="shared" ref="L66:L129" si="2">K66-J66+1</f>
        <v>48</v>
      </c>
      <c r="M66" t="s">
        <v>2036</v>
      </c>
      <c r="N66" t="s">
        <v>161</v>
      </c>
      <c r="O66" t="s">
        <v>161</v>
      </c>
      <c r="P66" t="s">
        <v>2191</v>
      </c>
      <c r="R66" t="s">
        <v>2167</v>
      </c>
      <c r="S66" s="8" t="s">
        <v>2039</v>
      </c>
      <c r="T66" t="s">
        <v>163</v>
      </c>
      <c r="U66" t="s">
        <v>2053</v>
      </c>
      <c r="V66" t="s">
        <v>163</v>
      </c>
      <c r="W66" t="s">
        <v>2058</v>
      </c>
      <c r="X66" t="s">
        <v>2041</v>
      </c>
      <c r="Y66" t="s">
        <v>19</v>
      </c>
      <c r="Z66" t="str">
        <f t="shared" ref="Z66:Z129" si="3">IF(L66&gt;=19,"Y","N")</f>
        <v>Y</v>
      </c>
      <c r="AA66" t="s">
        <v>2054</v>
      </c>
      <c r="AB66" t="s">
        <v>2168</v>
      </c>
      <c r="AC66" t="s">
        <v>2169</v>
      </c>
      <c r="AD66" s="9" t="s">
        <v>595</v>
      </c>
      <c r="AE66" s="9" t="s">
        <v>2170</v>
      </c>
      <c r="AF66" s="9" t="s">
        <v>2041</v>
      </c>
      <c r="AG66" t="s">
        <v>595</v>
      </c>
    </row>
    <row r="67" spans="1:33" ht="15.5">
      <c r="A67">
        <v>73</v>
      </c>
      <c r="B67" t="s">
        <v>19</v>
      </c>
      <c r="C67" t="s">
        <v>2164</v>
      </c>
      <c r="E67">
        <v>2017</v>
      </c>
      <c r="F67" t="s">
        <v>2165</v>
      </c>
      <c r="G67" t="s">
        <v>2035</v>
      </c>
      <c r="H67" s="7">
        <v>40</v>
      </c>
      <c r="I67" s="6">
        <v>-71</v>
      </c>
      <c r="J67" s="6">
        <v>1967</v>
      </c>
      <c r="K67" s="6">
        <v>2014</v>
      </c>
      <c r="L67" s="6">
        <f t="shared" si="2"/>
        <v>48</v>
      </c>
      <c r="M67" t="s">
        <v>2036</v>
      </c>
      <c r="N67" t="s">
        <v>161</v>
      </c>
      <c r="O67" t="s">
        <v>161</v>
      </c>
      <c r="P67" t="s">
        <v>2192</v>
      </c>
      <c r="R67" t="s">
        <v>2167</v>
      </c>
      <c r="S67" s="8" t="s">
        <v>2039</v>
      </c>
      <c r="T67" t="s">
        <v>163</v>
      </c>
      <c r="U67" t="s">
        <v>2053</v>
      </c>
      <c r="V67" t="s">
        <v>163</v>
      </c>
      <c r="W67" t="s">
        <v>2058</v>
      </c>
      <c r="X67" t="s">
        <v>2041</v>
      </c>
      <c r="Y67" t="s">
        <v>19</v>
      </c>
      <c r="Z67" t="str">
        <f t="shared" si="3"/>
        <v>Y</v>
      </c>
      <c r="AA67" t="s">
        <v>2054</v>
      </c>
      <c r="AB67" t="s">
        <v>2168</v>
      </c>
      <c r="AC67" t="s">
        <v>2169</v>
      </c>
      <c r="AD67" s="9" t="s">
        <v>595</v>
      </c>
      <c r="AE67" s="9" t="s">
        <v>2170</v>
      </c>
      <c r="AF67" s="9" t="s">
        <v>2041</v>
      </c>
      <c r="AG67" t="s">
        <v>595</v>
      </c>
    </row>
    <row r="68" spans="1:33" ht="15.5">
      <c r="A68">
        <v>74</v>
      </c>
      <c r="B68" t="s">
        <v>19</v>
      </c>
      <c r="C68" t="s">
        <v>2164</v>
      </c>
      <c r="E68">
        <v>2017</v>
      </c>
      <c r="F68" t="s">
        <v>2165</v>
      </c>
      <c r="G68" t="s">
        <v>2035</v>
      </c>
      <c r="H68" s="7">
        <v>40</v>
      </c>
      <c r="I68" s="6">
        <v>-71</v>
      </c>
      <c r="J68" s="6">
        <v>1967</v>
      </c>
      <c r="K68" s="6">
        <v>2014</v>
      </c>
      <c r="L68" s="6">
        <f t="shared" si="2"/>
        <v>48</v>
      </c>
      <c r="M68" t="s">
        <v>2036</v>
      </c>
      <c r="N68" t="s">
        <v>161</v>
      </c>
      <c r="O68" t="s">
        <v>161</v>
      </c>
      <c r="P68" t="s">
        <v>2193</v>
      </c>
      <c r="R68" t="s">
        <v>2167</v>
      </c>
      <c r="S68" s="8" t="s">
        <v>2039</v>
      </c>
      <c r="T68" t="s">
        <v>163</v>
      </c>
      <c r="U68" t="s">
        <v>2053</v>
      </c>
      <c r="V68" t="s">
        <v>163</v>
      </c>
      <c r="W68" t="s">
        <v>2041</v>
      </c>
      <c r="X68" t="s">
        <v>2041</v>
      </c>
      <c r="Y68" t="s">
        <v>19</v>
      </c>
      <c r="Z68" t="str">
        <f t="shared" si="3"/>
        <v>Y</v>
      </c>
      <c r="AA68" t="s">
        <v>2054</v>
      </c>
      <c r="AB68" t="s">
        <v>2168</v>
      </c>
      <c r="AC68" t="s">
        <v>2169</v>
      </c>
      <c r="AD68" s="9" t="s">
        <v>595</v>
      </c>
      <c r="AE68" s="9" t="s">
        <v>2170</v>
      </c>
      <c r="AF68" s="9" t="s">
        <v>2041</v>
      </c>
      <c r="AG68" t="s">
        <v>595</v>
      </c>
    </row>
    <row r="69" spans="1:33" ht="15.5">
      <c r="A69">
        <v>75</v>
      </c>
      <c r="B69" t="s">
        <v>19</v>
      </c>
      <c r="C69" t="s">
        <v>2164</v>
      </c>
      <c r="E69">
        <v>2017</v>
      </c>
      <c r="F69" t="s">
        <v>2165</v>
      </c>
      <c r="G69" t="s">
        <v>2035</v>
      </c>
      <c r="H69" s="7">
        <v>40</v>
      </c>
      <c r="I69" s="6">
        <v>-71</v>
      </c>
      <c r="J69" s="6">
        <v>1967</v>
      </c>
      <c r="K69" s="6">
        <v>2014</v>
      </c>
      <c r="L69" s="6">
        <f t="shared" si="2"/>
        <v>48</v>
      </c>
      <c r="M69" t="s">
        <v>2036</v>
      </c>
      <c r="N69" t="s">
        <v>161</v>
      </c>
      <c r="O69" t="s">
        <v>161</v>
      </c>
      <c r="P69" t="s">
        <v>2194</v>
      </c>
      <c r="R69" t="s">
        <v>2167</v>
      </c>
      <c r="S69" s="8" t="s">
        <v>2039</v>
      </c>
      <c r="T69" t="s">
        <v>163</v>
      </c>
      <c r="U69" t="s">
        <v>2053</v>
      </c>
      <c r="V69" t="s">
        <v>163</v>
      </c>
      <c r="W69" t="s">
        <v>2041</v>
      </c>
      <c r="X69" t="s">
        <v>2041</v>
      </c>
      <c r="Y69" t="s">
        <v>19</v>
      </c>
      <c r="Z69" t="str">
        <f t="shared" si="3"/>
        <v>Y</v>
      </c>
      <c r="AA69" t="s">
        <v>2054</v>
      </c>
      <c r="AB69" t="s">
        <v>2168</v>
      </c>
      <c r="AC69" t="s">
        <v>2169</v>
      </c>
      <c r="AD69" s="9" t="s">
        <v>595</v>
      </c>
      <c r="AE69" s="9" t="s">
        <v>2170</v>
      </c>
      <c r="AF69" s="9" t="s">
        <v>2041</v>
      </c>
      <c r="AG69" t="s">
        <v>595</v>
      </c>
    </row>
    <row r="70" spans="1:33" ht="15.5">
      <c r="A70">
        <v>76</v>
      </c>
      <c r="B70" t="s">
        <v>19</v>
      </c>
      <c r="C70" t="s">
        <v>2164</v>
      </c>
      <c r="E70">
        <v>2017</v>
      </c>
      <c r="F70" t="s">
        <v>2165</v>
      </c>
      <c r="G70" t="s">
        <v>2035</v>
      </c>
      <c r="H70" s="7">
        <v>40</v>
      </c>
      <c r="I70" s="6">
        <v>-71</v>
      </c>
      <c r="J70" s="6">
        <v>1967</v>
      </c>
      <c r="K70" s="6">
        <v>2014</v>
      </c>
      <c r="L70" s="6">
        <f t="shared" si="2"/>
        <v>48</v>
      </c>
      <c r="M70" t="s">
        <v>2036</v>
      </c>
      <c r="N70" t="s">
        <v>161</v>
      </c>
      <c r="O70" t="s">
        <v>161</v>
      </c>
      <c r="P70" t="s">
        <v>2195</v>
      </c>
      <c r="R70" t="s">
        <v>2167</v>
      </c>
      <c r="S70" s="8" t="s">
        <v>2039</v>
      </c>
      <c r="T70" t="s">
        <v>163</v>
      </c>
      <c r="U70" t="s">
        <v>2053</v>
      </c>
      <c r="V70" t="s">
        <v>163</v>
      </c>
      <c r="W70" t="s">
        <v>2041</v>
      </c>
      <c r="X70" t="s">
        <v>2041</v>
      </c>
      <c r="Y70" t="s">
        <v>19</v>
      </c>
      <c r="Z70" t="str">
        <f t="shared" si="3"/>
        <v>Y</v>
      </c>
      <c r="AA70" t="s">
        <v>2054</v>
      </c>
      <c r="AB70" t="s">
        <v>2168</v>
      </c>
      <c r="AC70" t="s">
        <v>2169</v>
      </c>
      <c r="AD70" s="9" t="s">
        <v>595</v>
      </c>
      <c r="AE70" s="9" t="s">
        <v>2170</v>
      </c>
      <c r="AF70" s="9" t="s">
        <v>2041</v>
      </c>
      <c r="AG70" t="s">
        <v>595</v>
      </c>
    </row>
    <row r="71" spans="1:33" ht="15.5">
      <c r="A71">
        <v>77</v>
      </c>
      <c r="B71" t="s">
        <v>19</v>
      </c>
      <c r="C71" t="s">
        <v>2164</v>
      </c>
      <c r="E71">
        <v>2017</v>
      </c>
      <c r="F71" t="s">
        <v>2165</v>
      </c>
      <c r="G71" t="s">
        <v>2035</v>
      </c>
      <c r="H71" s="7">
        <v>40</v>
      </c>
      <c r="I71" s="6">
        <v>-71</v>
      </c>
      <c r="J71" s="6">
        <v>1967</v>
      </c>
      <c r="K71" s="6">
        <v>2014</v>
      </c>
      <c r="L71" s="6">
        <f t="shared" si="2"/>
        <v>48</v>
      </c>
      <c r="M71" t="s">
        <v>2036</v>
      </c>
      <c r="N71" t="s">
        <v>161</v>
      </c>
      <c r="O71" t="s">
        <v>161</v>
      </c>
      <c r="P71" t="s">
        <v>2196</v>
      </c>
      <c r="R71" t="s">
        <v>2167</v>
      </c>
      <c r="S71" s="8" t="s">
        <v>2039</v>
      </c>
      <c r="T71" t="s">
        <v>163</v>
      </c>
      <c r="U71" t="s">
        <v>2053</v>
      </c>
      <c r="V71" t="s">
        <v>163</v>
      </c>
      <c r="W71" t="s">
        <v>2058</v>
      </c>
      <c r="X71" t="s">
        <v>2041</v>
      </c>
      <c r="Y71" t="s">
        <v>19</v>
      </c>
      <c r="Z71" t="str">
        <f t="shared" si="3"/>
        <v>Y</v>
      </c>
      <c r="AA71" t="s">
        <v>2054</v>
      </c>
      <c r="AB71" t="s">
        <v>2168</v>
      </c>
      <c r="AC71" t="s">
        <v>2169</v>
      </c>
      <c r="AD71" s="9" t="s">
        <v>595</v>
      </c>
      <c r="AE71" s="9" t="s">
        <v>2170</v>
      </c>
      <c r="AF71" s="9" t="s">
        <v>2041</v>
      </c>
      <c r="AG71" t="s">
        <v>595</v>
      </c>
    </row>
    <row r="72" spans="1:33" ht="15.5">
      <c r="A72">
        <v>78</v>
      </c>
      <c r="B72" t="s">
        <v>19</v>
      </c>
      <c r="C72" t="s">
        <v>2164</v>
      </c>
      <c r="E72">
        <v>2017</v>
      </c>
      <c r="F72" t="s">
        <v>2165</v>
      </c>
      <c r="G72" t="s">
        <v>2035</v>
      </c>
      <c r="H72" s="7">
        <v>40</v>
      </c>
      <c r="I72" s="6">
        <v>-71</v>
      </c>
      <c r="J72" s="6">
        <v>1967</v>
      </c>
      <c r="K72" s="6">
        <v>2014</v>
      </c>
      <c r="L72" s="6">
        <f t="shared" si="2"/>
        <v>48</v>
      </c>
      <c r="M72" t="s">
        <v>2036</v>
      </c>
      <c r="N72" t="s">
        <v>161</v>
      </c>
      <c r="O72" t="s">
        <v>161</v>
      </c>
      <c r="P72" t="s">
        <v>2197</v>
      </c>
      <c r="R72" t="s">
        <v>2167</v>
      </c>
      <c r="S72" s="8" t="s">
        <v>2039</v>
      </c>
      <c r="T72" t="s">
        <v>163</v>
      </c>
      <c r="U72" t="s">
        <v>2053</v>
      </c>
      <c r="V72" t="s">
        <v>163</v>
      </c>
      <c r="W72" t="s">
        <v>2041</v>
      </c>
      <c r="X72" t="s">
        <v>2041</v>
      </c>
      <c r="Y72" t="s">
        <v>19</v>
      </c>
      <c r="Z72" t="str">
        <f t="shared" si="3"/>
        <v>Y</v>
      </c>
      <c r="AA72" t="s">
        <v>2054</v>
      </c>
      <c r="AB72" t="s">
        <v>2168</v>
      </c>
      <c r="AC72" t="s">
        <v>2169</v>
      </c>
      <c r="AD72" s="9" t="s">
        <v>595</v>
      </c>
      <c r="AE72" s="9" t="s">
        <v>2170</v>
      </c>
      <c r="AF72" s="9" t="s">
        <v>2041</v>
      </c>
      <c r="AG72" t="s">
        <v>595</v>
      </c>
    </row>
    <row r="73" spans="1:33" ht="15.5">
      <c r="A73">
        <v>79</v>
      </c>
      <c r="B73" t="s">
        <v>19</v>
      </c>
      <c r="C73" t="s">
        <v>2164</v>
      </c>
      <c r="E73">
        <v>2017</v>
      </c>
      <c r="F73" t="s">
        <v>2165</v>
      </c>
      <c r="G73" t="s">
        <v>2035</v>
      </c>
      <c r="H73" s="7">
        <v>40</v>
      </c>
      <c r="I73" s="6">
        <v>-71</v>
      </c>
      <c r="J73" s="6">
        <v>1967</v>
      </c>
      <c r="K73" s="6">
        <v>2014</v>
      </c>
      <c r="L73" s="6">
        <f t="shared" si="2"/>
        <v>48</v>
      </c>
      <c r="M73" t="s">
        <v>2036</v>
      </c>
      <c r="N73" t="s">
        <v>161</v>
      </c>
      <c r="O73" t="s">
        <v>161</v>
      </c>
      <c r="P73" t="s">
        <v>2198</v>
      </c>
      <c r="R73" t="s">
        <v>2167</v>
      </c>
      <c r="S73" s="8" t="s">
        <v>2039</v>
      </c>
      <c r="T73" t="s">
        <v>163</v>
      </c>
      <c r="U73" t="s">
        <v>2053</v>
      </c>
      <c r="V73" t="s">
        <v>163</v>
      </c>
      <c r="W73" t="s">
        <v>2058</v>
      </c>
      <c r="X73" t="s">
        <v>2041</v>
      </c>
      <c r="Y73" t="s">
        <v>19</v>
      </c>
      <c r="Z73" t="str">
        <f t="shared" si="3"/>
        <v>Y</v>
      </c>
      <c r="AA73" t="s">
        <v>2054</v>
      </c>
      <c r="AB73" t="s">
        <v>2168</v>
      </c>
      <c r="AC73" t="s">
        <v>2169</v>
      </c>
      <c r="AD73" s="9" t="s">
        <v>595</v>
      </c>
      <c r="AE73" s="9" t="s">
        <v>2170</v>
      </c>
      <c r="AF73" s="9" t="s">
        <v>2041</v>
      </c>
      <c r="AG73" t="s">
        <v>595</v>
      </c>
    </row>
    <row r="74" spans="1:33" ht="15.5">
      <c r="A74">
        <v>80</v>
      </c>
      <c r="B74" t="s">
        <v>19</v>
      </c>
      <c r="C74" t="s">
        <v>2164</v>
      </c>
      <c r="E74">
        <v>2017</v>
      </c>
      <c r="F74" t="s">
        <v>2165</v>
      </c>
      <c r="G74" t="s">
        <v>2035</v>
      </c>
      <c r="H74" s="7">
        <v>40</v>
      </c>
      <c r="I74" s="6">
        <v>-71</v>
      </c>
      <c r="J74" s="6">
        <v>1967</v>
      </c>
      <c r="K74" s="6">
        <v>2014</v>
      </c>
      <c r="L74" s="6">
        <f t="shared" si="2"/>
        <v>48</v>
      </c>
      <c r="M74" t="s">
        <v>2036</v>
      </c>
      <c r="N74" t="s">
        <v>161</v>
      </c>
      <c r="O74" t="s">
        <v>161</v>
      </c>
      <c r="P74" t="s">
        <v>2199</v>
      </c>
      <c r="R74" t="s">
        <v>2167</v>
      </c>
      <c r="S74" s="8" t="s">
        <v>2039</v>
      </c>
      <c r="T74" t="s">
        <v>163</v>
      </c>
      <c r="U74" t="s">
        <v>2053</v>
      </c>
      <c r="V74" t="s">
        <v>163</v>
      </c>
      <c r="W74" t="s">
        <v>2041</v>
      </c>
      <c r="X74" t="s">
        <v>2041</v>
      </c>
      <c r="Y74" t="s">
        <v>19</v>
      </c>
      <c r="Z74" t="str">
        <f t="shared" si="3"/>
        <v>Y</v>
      </c>
      <c r="AA74" t="s">
        <v>2054</v>
      </c>
      <c r="AB74" t="s">
        <v>2168</v>
      </c>
      <c r="AC74" t="s">
        <v>2169</v>
      </c>
      <c r="AD74" s="9" t="s">
        <v>595</v>
      </c>
      <c r="AE74" s="9" t="s">
        <v>2170</v>
      </c>
      <c r="AF74" s="9" t="s">
        <v>2041</v>
      </c>
      <c r="AG74" t="s">
        <v>595</v>
      </c>
    </row>
    <row r="75" spans="1:33" ht="15.5">
      <c r="A75">
        <v>81</v>
      </c>
      <c r="B75" t="s">
        <v>19</v>
      </c>
      <c r="C75" t="s">
        <v>2164</v>
      </c>
      <c r="E75">
        <v>2017</v>
      </c>
      <c r="F75" t="s">
        <v>2165</v>
      </c>
      <c r="G75" t="s">
        <v>2035</v>
      </c>
      <c r="H75" s="7">
        <v>40</v>
      </c>
      <c r="I75" s="6">
        <v>-71</v>
      </c>
      <c r="J75" s="6">
        <v>1967</v>
      </c>
      <c r="K75" s="6">
        <v>2014</v>
      </c>
      <c r="L75" s="6">
        <f t="shared" si="2"/>
        <v>48</v>
      </c>
      <c r="M75" t="s">
        <v>2036</v>
      </c>
      <c r="N75" t="s">
        <v>161</v>
      </c>
      <c r="O75" t="s">
        <v>161</v>
      </c>
      <c r="P75" t="s">
        <v>2200</v>
      </c>
      <c r="R75" t="s">
        <v>2167</v>
      </c>
      <c r="S75" s="8" t="s">
        <v>2039</v>
      </c>
      <c r="T75" t="s">
        <v>163</v>
      </c>
      <c r="U75" t="s">
        <v>2053</v>
      </c>
      <c r="V75" t="s">
        <v>163</v>
      </c>
      <c r="W75" t="s">
        <v>2041</v>
      </c>
      <c r="X75" t="s">
        <v>2041</v>
      </c>
      <c r="Y75" t="s">
        <v>19</v>
      </c>
      <c r="Z75" t="str">
        <f t="shared" si="3"/>
        <v>Y</v>
      </c>
      <c r="AA75" t="s">
        <v>2054</v>
      </c>
      <c r="AB75" t="s">
        <v>2168</v>
      </c>
      <c r="AC75" t="s">
        <v>2169</v>
      </c>
      <c r="AD75" s="9" t="s">
        <v>595</v>
      </c>
      <c r="AE75" s="9" t="s">
        <v>2170</v>
      </c>
      <c r="AF75" s="9" t="s">
        <v>2041</v>
      </c>
      <c r="AG75" t="s">
        <v>595</v>
      </c>
    </row>
    <row r="76" spans="1:33" ht="15.5">
      <c r="A76">
        <v>82</v>
      </c>
      <c r="B76" t="s">
        <v>19</v>
      </c>
      <c r="C76" t="s">
        <v>2164</v>
      </c>
      <c r="E76">
        <v>2017</v>
      </c>
      <c r="F76" t="s">
        <v>2165</v>
      </c>
      <c r="G76" t="s">
        <v>2035</v>
      </c>
      <c r="H76" s="7">
        <v>40</v>
      </c>
      <c r="I76" s="6">
        <v>-71</v>
      </c>
      <c r="J76" s="6">
        <v>1967</v>
      </c>
      <c r="K76" s="6">
        <v>2014</v>
      </c>
      <c r="L76" s="6">
        <f t="shared" si="2"/>
        <v>48</v>
      </c>
      <c r="M76" t="s">
        <v>2036</v>
      </c>
      <c r="N76" t="s">
        <v>161</v>
      </c>
      <c r="O76" t="s">
        <v>161</v>
      </c>
      <c r="P76" t="s">
        <v>2201</v>
      </c>
      <c r="R76" t="s">
        <v>2167</v>
      </c>
      <c r="S76" s="8" t="s">
        <v>2039</v>
      </c>
      <c r="T76" t="s">
        <v>163</v>
      </c>
      <c r="U76" t="s">
        <v>2053</v>
      </c>
      <c r="V76" t="s">
        <v>163</v>
      </c>
      <c r="W76" t="s">
        <v>2058</v>
      </c>
      <c r="X76" t="s">
        <v>2041</v>
      </c>
      <c r="Y76" t="s">
        <v>19</v>
      </c>
      <c r="Z76" t="str">
        <f t="shared" si="3"/>
        <v>Y</v>
      </c>
      <c r="AA76" t="s">
        <v>2054</v>
      </c>
      <c r="AB76" t="s">
        <v>2168</v>
      </c>
      <c r="AC76" t="s">
        <v>2169</v>
      </c>
      <c r="AD76" s="9" t="s">
        <v>595</v>
      </c>
      <c r="AE76" s="9" t="s">
        <v>2170</v>
      </c>
      <c r="AF76" s="9" t="s">
        <v>2041</v>
      </c>
      <c r="AG76" t="s">
        <v>595</v>
      </c>
    </row>
    <row r="77" spans="1:33" ht="15.5">
      <c r="A77">
        <v>83</v>
      </c>
      <c r="B77" t="s">
        <v>19</v>
      </c>
      <c r="C77" t="s">
        <v>2164</v>
      </c>
      <c r="E77">
        <v>2017</v>
      </c>
      <c r="F77" t="s">
        <v>2165</v>
      </c>
      <c r="G77" t="s">
        <v>2035</v>
      </c>
      <c r="H77" s="7">
        <v>40</v>
      </c>
      <c r="I77" s="6">
        <v>-71</v>
      </c>
      <c r="J77" s="6">
        <v>1967</v>
      </c>
      <c r="K77" s="6">
        <v>2014</v>
      </c>
      <c r="L77" s="6">
        <f t="shared" si="2"/>
        <v>48</v>
      </c>
      <c r="M77" t="s">
        <v>2036</v>
      </c>
      <c r="N77" t="s">
        <v>161</v>
      </c>
      <c r="O77" t="s">
        <v>161</v>
      </c>
      <c r="P77" t="s">
        <v>2202</v>
      </c>
      <c r="R77" t="s">
        <v>2167</v>
      </c>
      <c r="S77" s="8" t="s">
        <v>2039</v>
      </c>
      <c r="T77" t="s">
        <v>163</v>
      </c>
      <c r="U77" t="s">
        <v>2053</v>
      </c>
      <c r="V77" t="s">
        <v>163</v>
      </c>
      <c r="W77" t="s">
        <v>2041</v>
      </c>
      <c r="X77" t="s">
        <v>2041</v>
      </c>
      <c r="Y77" t="s">
        <v>19</v>
      </c>
      <c r="Z77" t="str">
        <f t="shared" si="3"/>
        <v>Y</v>
      </c>
      <c r="AA77" t="s">
        <v>2054</v>
      </c>
      <c r="AB77" t="s">
        <v>2168</v>
      </c>
      <c r="AC77" t="s">
        <v>2169</v>
      </c>
      <c r="AD77" s="9" t="s">
        <v>595</v>
      </c>
      <c r="AE77" s="9" t="s">
        <v>2170</v>
      </c>
      <c r="AF77" s="9" t="s">
        <v>2041</v>
      </c>
      <c r="AG77" t="s">
        <v>595</v>
      </c>
    </row>
    <row r="78" spans="1:33" ht="15.5">
      <c r="A78">
        <v>84</v>
      </c>
      <c r="B78" t="s">
        <v>19</v>
      </c>
      <c r="C78" t="s">
        <v>2164</v>
      </c>
      <c r="E78">
        <v>2017</v>
      </c>
      <c r="F78" t="s">
        <v>2165</v>
      </c>
      <c r="G78" t="s">
        <v>2035</v>
      </c>
      <c r="H78" s="7">
        <v>40</v>
      </c>
      <c r="I78" s="6">
        <v>-71</v>
      </c>
      <c r="J78" s="6">
        <v>1967</v>
      </c>
      <c r="K78" s="6">
        <v>2014</v>
      </c>
      <c r="L78" s="6">
        <f t="shared" si="2"/>
        <v>48</v>
      </c>
      <c r="M78" t="s">
        <v>2036</v>
      </c>
      <c r="N78" t="s">
        <v>161</v>
      </c>
      <c r="O78" t="s">
        <v>161</v>
      </c>
      <c r="P78" t="s">
        <v>2203</v>
      </c>
      <c r="R78" t="s">
        <v>2167</v>
      </c>
      <c r="S78" s="8" t="s">
        <v>2039</v>
      </c>
      <c r="T78" t="s">
        <v>163</v>
      </c>
      <c r="U78" t="s">
        <v>2053</v>
      </c>
      <c r="V78" t="s">
        <v>163</v>
      </c>
      <c r="W78" t="s">
        <v>2058</v>
      </c>
      <c r="X78" t="s">
        <v>2041</v>
      </c>
      <c r="Y78" t="s">
        <v>19</v>
      </c>
      <c r="Z78" t="str">
        <f t="shared" si="3"/>
        <v>Y</v>
      </c>
      <c r="AA78" t="s">
        <v>2054</v>
      </c>
      <c r="AB78" t="s">
        <v>2168</v>
      </c>
      <c r="AC78" t="s">
        <v>2169</v>
      </c>
      <c r="AD78" s="9" t="s">
        <v>595</v>
      </c>
      <c r="AE78" s="9" t="s">
        <v>2170</v>
      </c>
      <c r="AF78" s="9" t="s">
        <v>2041</v>
      </c>
      <c r="AG78" t="s">
        <v>595</v>
      </c>
    </row>
    <row r="79" spans="1:33" ht="15.5">
      <c r="A79">
        <v>85</v>
      </c>
      <c r="B79" t="s">
        <v>19</v>
      </c>
      <c r="C79" t="s">
        <v>2164</v>
      </c>
      <c r="E79">
        <v>2017</v>
      </c>
      <c r="F79" t="s">
        <v>2165</v>
      </c>
      <c r="G79" t="s">
        <v>2035</v>
      </c>
      <c r="H79" s="7">
        <v>40</v>
      </c>
      <c r="I79" s="6">
        <v>-71</v>
      </c>
      <c r="J79" s="6">
        <v>1967</v>
      </c>
      <c r="K79" s="6">
        <v>2014</v>
      </c>
      <c r="L79" s="6">
        <f t="shared" si="2"/>
        <v>48</v>
      </c>
      <c r="M79" t="s">
        <v>2036</v>
      </c>
      <c r="N79" t="s">
        <v>161</v>
      </c>
      <c r="O79" t="s">
        <v>161</v>
      </c>
      <c r="P79" t="s">
        <v>2204</v>
      </c>
      <c r="R79" t="s">
        <v>2167</v>
      </c>
      <c r="S79" s="8" t="s">
        <v>2039</v>
      </c>
      <c r="T79" t="s">
        <v>163</v>
      </c>
      <c r="U79" t="s">
        <v>2053</v>
      </c>
      <c r="V79" t="s">
        <v>163</v>
      </c>
      <c r="W79" t="s">
        <v>2041</v>
      </c>
      <c r="X79" t="s">
        <v>2041</v>
      </c>
      <c r="Y79" t="s">
        <v>19</v>
      </c>
      <c r="Z79" t="str">
        <f t="shared" si="3"/>
        <v>Y</v>
      </c>
      <c r="AA79" t="s">
        <v>2054</v>
      </c>
      <c r="AB79" t="s">
        <v>2168</v>
      </c>
      <c r="AC79" t="s">
        <v>2169</v>
      </c>
      <c r="AD79" s="9" t="s">
        <v>595</v>
      </c>
      <c r="AE79" s="9" t="s">
        <v>2170</v>
      </c>
      <c r="AF79" s="9" t="s">
        <v>2041</v>
      </c>
      <c r="AG79" t="s">
        <v>595</v>
      </c>
    </row>
    <row r="80" spans="1:33" ht="15.5">
      <c r="A80">
        <v>86</v>
      </c>
      <c r="B80" t="s">
        <v>19</v>
      </c>
      <c r="C80" t="s">
        <v>2164</v>
      </c>
      <c r="E80">
        <v>2017</v>
      </c>
      <c r="F80" t="s">
        <v>2165</v>
      </c>
      <c r="G80" t="s">
        <v>2035</v>
      </c>
      <c r="H80" s="7">
        <v>40</v>
      </c>
      <c r="I80" s="6">
        <v>-71</v>
      </c>
      <c r="J80" s="6">
        <v>1967</v>
      </c>
      <c r="K80" s="6">
        <v>2014</v>
      </c>
      <c r="L80" s="6">
        <f t="shared" si="2"/>
        <v>48</v>
      </c>
      <c r="M80" t="s">
        <v>2036</v>
      </c>
      <c r="N80" t="s">
        <v>161</v>
      </c>
      <c r="O80" t="s">
        <v>161</v>
      </c>
      <c r="P80" t="s">
        <v>2205</v>
      </c>
      <c r="R80" t="s">
        <v>2167</v>
      </c>
      <c r="S80" s="8" t="s">
        <v>2039</v>
      </c>
      <c r="T80" t="s">
        <v>163</v>
      </c>
      <c r="U80" t="s">
        <v>2053</v>
      </c>
      <c r="V80" t="s">
        <v>163</v>
      </c>
      <c r="W80" t="s">
        <v>2041</v>
      </c>
      <c r="X80" t="s">
        <v>2041</v>
      </c>
      <c r="Y80" t="s">
        <v>19</v>
      </c>
      <c r="Z80" t="str">
        <f t="shared" si="3"/>
        <v>Y</v>
      </c>
      <c r="AA80" t="s">
        <v>2054</v>
      </c>
      <c r="AB80" t="s">
        <v>2168</v>
      </c>
      <c r="AC80" t="s">
        <v>2169</v>
      </c>
      <c r="AD80" s="9" t="s">
        <v>595</v>
      </c>
      <c r="AE80" s="9" t="s">
        <v>2170</v>
      </c>
      <c r="AF80" s="9" t="s">
        <v>2041</v>
      </c>
      <c r="AG80" t="s">
        <v>595</v>
      </c>
    </row>
    <row r="81" spans="1:33" ht="15.5">
      <c r="A81">
        <v>87</v>
      </c>
      <c r="B81" t="s">
        <v>19</v>
      </c>
      <c r="C81" t="s">
        <v>2164</v>
      </c>
      <c r="E81">
        <v>2017</v>
      </c>
      <c r="F81" t="s">
        <v>2165</v>
      </c>
      <c r="G81" t="s">
        <v>2035</v>
      </c>
      <c r="H81" s="7">
        <v>40</v>
      </c>
      <c r="I81" s="6">
        <v>-71</v>
      </c>
      <c r="J81" s="6">
        <v>1967</v>
      </c>
      <c r="K81" s="6">
        <v>2014</v>
      </c>
      <c r="L81" s="6">
        <f t="shared" si="2"/>
        <v>48</v>
      </c>
      <c r="M81" t="s">
        <v>2036</v>
      </c>
      <c r="N81" t="s">
        <v>161</v>
      </c>
      <c r="O81" t="s">
        <v>161</v>
      </c>
      <c r="P81" t="s">
        <v>2206</v>
      </c>
      <c r="R81" t="s">
        <v>2167</v>
      </c>
      <c r="S81" s="8" t="s">
        <v>2039</v>
      </c>
      <c r="T81" t="s">
        <v>163</v>
      </c>
      <c r="U81" t="s">
        <v>2053</v>
      </c>
      <c r="V81" t="s">
        <v>163</v>
      </c>
      <c r="W81" t="s">
        <v>2041</v>
      </c>
      <c r="X81" t="s">
        <v>2041</v>
      </c>
      <c r="Y81" t="s">
        <v>19</v>
      </c>
      <c r="Z81" t="str">
        <f t="shared" si="3"/>
        <v>Y</v>
      </c>
      <c r="AA81" t="s">
        <v>2054</v>
      </c>
      <c r="AB81" t="s">
        <v>2168</v>
      </c>
      <c r="AC81" t="s">
        <v>2169</v>
      </c>
      <c r="AD81" s="9" t="s">
        <v>595</v>
      </c>
      <c r="AE81" s="9" t="s">
        <v>2170</v>
      </c>
      <c r="AF81" s="9" t="s">
        <v>2041</v>
      </c>
      <c r="AG81" t="s">
        <v>595</v>
      </c>
    </row>
    <row r="82" spans="1:33" ht="15.5">
      <c r="A82">
        <v>88</v>
      </c>
      <c r="B82" t="s">
        <v>19</v>
      </c>
      <c r="C82" t="s">
        <v>2164</v>
      </c>
      <c r="E82">
        <v>2017</v>
      </c>
      <c r="F82" t="s">
        <v>2165</v>
      </c>
      <c r="G82" t="s">
        <v>2035</v>
      </c>
      <c r="H82" s="7">
        <v>40</v>
      </c>
      <c r="I82" s="6">
        <v>-71</v>
      </c>
      <c r="J82" s="6">
        <v>1967</v>
      </c>
      <c r="K82" s="6">
        <v>2014</v>
      </c>
      <c r="L82" s="6">
        <f t="shared" si="2"/>
        <v>48</v>
      </c>
      <c r="M82" t="s">
        <v>2036</v>
      </c>
      <c r="N82" t="s">
        <v>161</v>
      </c>
      <c r="O82" t="s">
        <v>161</v>
      </c>
      <c r="P82" t="s">
        <v>2207</v>
      </c>
      <c r="R82" t="s">
        <v>2167</v>
      </c>
      <c r="S82" s="8" t="s">
        <v>2039</v>
      </c>
      <c r="T82" t="s">
        <v>163</v>
      </c>
      <c r="U82" t="s">
        <v>2053</v>
      </c>
      <c r="V82" t="s">
        <v>163</v>
      </c>
      <c r="W82" t="s">
        <v>2041</v>
      </c>
      <c r="X82" t="s">
        <v>2041</v>
      </c>
      <c r="Y82" t="s">
        <v>19</v>
      </c>
      <c r="Z82" t="str">
        <f t="shared" si="3"/>
        <v>Y</v>
      </c>
      <c r="AA82" t="s">
        <v>2054</v>
      </c>
      <c r="AB82" t="s">
        <v>2168</v>
      </c>
      <c r="AC82" t="s">
        <v>2169</v>
      </c>
      <c r="AD82" s="9" t="s">
        <v>595</v>
      </c>
      <c r="AE82" s="9" t="s">
        <v>2170</v>
      </c>
      <c r="AF82" s="9" t="s">
        <v>2041</v>
      </c>
      <c r="AG82" t="s">
        <v>595</v>
      </c>
    </row>
    <row r="83" spans="1:33" ht="15.5">
      <c r="A83">
        <v>89</v>
      </c>
      <c r="B83" t="s">
        <v>19</v>
      </c>
      <c r="C83" t="s">
        <v>2164</v>
      </c>
      <c r="E83">
        <v>2017</v>
      </c>
      <c r="F83" t="s">
        <v>2165</v>
      </c>
      <c r="G83" t="s">
        <v>2035</v>
      </c>
      <c r="H83" s="7">
        <v>40</v>
      </c>
      <c r="I83" s="6">
        <v>-71</v>
      </c>
      <c r="J83" s="6">
        <v>1967</v>
      </c>
      <c r="K83" s="6">
        <v>2014</v>
      </c>
      <c r="L83" s="6">
        <f t="shared" si="2"/>
        <v>48</v>
      </c>
      <c r="M83" t="s">
        <v>2036</v>
      </c>
      <c r="N83" t="s">
        <v>161</v>
      </c>
      <c r="O83" t="s">
        <v>161</v>
      </c>
      <c r="P83" t="s">
        <v>2208</v>
      </c>
      <c r="R83" t="s">
        <v>2167</v>
      </c>
      <c r="S83" s="8" t="s">
        <v>2039</v>
      </c>
      <c r="T83" t="s">
        <v>163</v>
      </c>
      <c r="U83" t="s">
        <v>2053</v>
      </c>
      <c r="V83" t="s">
        <v>163</v>
      </c>
      <c r="W83" t="s">
        <v>2041</v>
      </c>
      <c r="X83" t="s">
        <v>2041</v>
      </c>
      <c r="Y83" t="s">
        <v>19</v>
      </c>
      <c r="Z83" t="str">
        <f t="shared" si="3"/>
        <v>Y</v>
      </c>
      <c r="AA83" t="s">
        <v>2054</v>
      </c>
      <c r="AB83" t="s">
        <v>2168</v>
      </c>
      <c r="AC83" t="s">
        <v>2169</v>
      </c>
      <c r="AD83" s="9" t="s">
        <v>595</v>
      </c>
      <c r="AE83" s="9" t="s">
        <v>2170</v>
      </c>
      <c r="AF83" s="9" t="s">
        <v>2041</v>
      </c>
      <c r="AG83" t="s">
        <v>595</v>
      </c>
    </row>
    <row r="84" spans="1:33" ht="15.5">
      <c r="A84">
        <v>90</v>
      </c>
      <c r="B84" t="s">
        <v>19</v>
      </c>
      <c r="C84" t="s">
        <v>2164</v>
      </c>
      <c r="E84">
        <v>2017</v>
      </c>
      <c r="F84" t="s">
        <v>2165</v>
      </c>
      <c r="G84" t="s">
        <v>2035</v>
      </c>
      <c r="H84" s="7">
        <v>40</v>
      </c>
      <c r="I84" s="6">
        <v>-71</v>
      </c>
      <c r="J84" s="6">
        <v>1967</v>
      </c>
      <c r="K84" s="6">
        <v>2014</v>
      </c>
      <c r="L84" s="6">
        <f t="shared" si="2"/>
        <v>48</v>
      </c>
      <c r="M84" t="s">
        <v>2036</v>
      </c>
      <c r="N84" t="s">
        <v>161</v>
      </c>
      <c r="O84" t="s">
        <v>161</v>
      </c>
      <c r="P84" t="s">
        <v>2209</v>
      </c>
      <c r="R84" t="s">
        <v>2167</v>
      </c>
      <c r="S84" s="8" t="s">
        <v>2039</v>
      </c>
      <c r="T84" t="s">
        <v>163</v>
      </c>
      <c r="U84" t="s">
        <v>2053</v>
      </c>
      <c r="V84" t="s">
        <v>163</v>
      </c>
      <c r="W84" t="s">
        <v>2041</v>
      </c>
      <c r="X84" t="s">
        <v>2041</v>
      </c>
      <c r="Y84" t="s">
        <v>19</v>
      </c>
      <c r="Z84" t="str">
        <f t="shared" si="3"/>
        <v>Y</v>
      </c>
      <c r="AA84" t="s">
        <v>2054</v>
      </c>
      <c r="AB84" t="s">
        <v>2168</v>
      </c>
      <c r="AC84" t="s">
        <v>2169</v>
      </c>
      <c r="AD84" s="9" t="s">
        <v>595</v>
      </c>
      <c r="AE84" s="9" t="s">
        <v>2170</v>
      </c>
      <c r="AF84" s="9" t="s">
        <v>2041</v>
      </c>
      <c r="AG84" t="s">
        <v>595</v>
      </c>
    </row>
    <row r="85" spans="1:33" ht="15.5">
      <c r="A85">
        <v>91</v>
      </c>
      <c r="B85" t="s">
        <v>19</v>
      </c>
      <c r="C85" t="s">
        <v>2164</v>
      </c>
      <c r="E85">
        <v>2017</v>
      </c>
      <c r="F85" t="s">
        <v>2165</v>
      </c>
      <c r="G85" t="s">
        <v>2035</v>
      </c>
      <c r="H85" s="7">
        <v>40</v>
      </c>
      <c r="I85" s="6">
        <v>-71</v>
      </c>
      <c r="J85" s="6">
        <v>1967</v>
      </c>
      <c r="K85" s="6">
        <v>2014</v>
      </c>
      <c r="L85" s="6">
        <f t="shared" si="2"/>
        <v>48</v>
      </c>
      <c r="M85" t="s">
        <v>2036</v>
      </c>
      <c r="N85" t="s">
        <v>161</v>
      </c>
      <c r="O85" t="s">
        <v>161</v>
      </c>
      <c r="P85" t="s">
        <v>2210</v>
      </c>
      <c r="R85" t="s">
        <v>2167</v>
      </c>
      <c r="S85" s="8" t="s">
        <v>2039</v>
      </c>
      <c r="T85" t="s">
        <v>163</v>
      </c>
      <c r="U85" t="s">
        <v>2053</v>
      </c>
      <c r="V85" t="s">
        <v>163</v>
      </c>
      <c r="W85" t="s">
        <v>2041</v>
      </c>
      <c r="X85" t="s">
        <v>2041</v>
      </c>
      <c r="Y85" t="s">
        <v>19</v>
      </c>
      <c r="Z85" t="str">
        <f t="shared" si="3"/>
        <v>Y</v>
      </c>
      <c r="AA85" t="s">
        <v>2054</v>
      </c>
      <c r="AB85" t="s">
        <v>2168</v>
      </c>
      <c r="AC85" t="s">
        <v>2169</v>
      </c>
      <c r="AD85" s="9" t="s">
        <v>595</v>
      </c>
      <c r="AE85" s="9" t="s">
        <v>2170</v>
      </c>
      <c r="AF85" s="9" t="s">
        <v>2041</v>
      </c>
      <c r="AG85" t="s">
        <v>595</v>
      </c>
    </row>
    <row r="86" spans="1:33" ht="15.5">
      <c r="A86">
        <v>92</v>
      </c>
      <c r="B86" t="s">
        <v>19</v>
      </c>
      <c r="C86" t="s">
        <v>2164</v>
      </c>
      <c r="E86">
        <v>2017</v>
      </c>
      <c r="F86" t="s">
        <v>2165</v>
      </c>
      <c r="G86" t="s">
        <v>2035</v>
      </c>
      <c r="H86" s="7">
        <v>40</v>
      </c>
      <c r="I86" s="6">
        <v>-71</v>
      </c>
      <c r="J86" s="6">
        <v>1967</v>
      </c>
      <c r="K86" s="6">
        <v>2014</v>
      </c>
      <c r="L86" s="6">
        <f t="shared" si="2"/>
        <v>48</v>
      </c>
      <c r="M86" t="s">
        <v>2036</v>
      </c>
      <c r="N86" t="s">
        <v>161</v>
      </c>
      <c r="O86" t="s">
        <v>161</v>
      </c>
      <c r="P86" t="s">
        <v>696</v>
      </c>
      <c r="R86" t="s">
        <v>2167</v>
      </c>
      <c r="S86" s="8" t="s">
        <v>2039</v>
      </c>
      <c r="T86" t="s">
        <v>163</v>
      </c>
      <c r="U86" t="s">
        <v>2053</v>
      </c>
      <c r="V86" t="s">
        <v>163</v>
      </c>
      <c r="W86" t="s">
        <v>2041</v>
      </c>
      <c r="X86" t="s">
        <v>2041</v>
      </c>
      <c r="Y86" t="s">
        <v>19</v>
      </c>
      <c r="Z86" t="str">
        <f t="shared" si="3"/>
        <v>Y</v>
      </c>
      <c r="AA86" t="s">
        <v>2054</v>
      </c>
      <c r="AB86" t="s">
        <v>2168</v>
      </c>
      <c r="AC86" t="s">
        <v>2169</v>
      </c>
      <c r="AD86" s="9" t="s">
        <v>595</v>
      </c>
      <c r="AE86" s="9" t="s">
        <v>2170</v>
      </c>
      <c r="AF86" s="9" t="s">
        <v>2041</v>
      </c>
      <c r="AG86" t="s">
        <v>595</v>
      </c>
    </row>
    <row r="87" spans="1:33" ht="15.5">
      <c r="A87">
        <v>93</v>
      </c>
      <c r="B87" t="s">
        <v>19</v>
      </c>
      <c r="C87" t="s">
        <v>2164</v>
      </c>
      <c r="E87">
        <v>2017</v>
      </c>
      <c r="F87" t="s">
        <v>2165</v>
      </c>
      <c r="G87" t="s">
        <v>2035</v>
      </c>
      <c r="H87" s="7">
        <v>40</v>
      </c>
      <c r="I87" s="6">
        <v>-71</v>
      </c>
      <c r="J87" s="6">
        <v>1967</v>
      </c>
      <c r="K87" s="6">
        <v>2014</v>
      </c>
      <c r="L87" s="6">
        <f t="shared" si="2"/>
        <v>48</v>
      </c>
      <c r="M87" t="s">
        <v>2036</v>
      </c>
      <c r="N87" t="s">
        <v>161</v>
      </c>
      <c r="O87" t="s">
        <v>161</v>
      </c>
      <c r="P87" t="s">
        <v>694</v>
      </c>
      <c r="R87" t="s">
        <v>2167</v>
      </c>
      <c r="S87" s="8" t="s">
        <v>2039</v>
      </c>
      <c r="T87" t="s">
        <v>163</v>
      </c>
      <c r="U87" t="s">
        <v>2053</v>
      </c>
      <c r="V87" t="s">
        <v>163</v>
      </c>
      <c r="W87" t="s">
        <v>2041</v>
      </c>
      <c r="X87" t="s">
        <v>2041</v>
      </c>
      <c r="Y87" t="s">
        <v>19</v>
      </c>
      <c r="Z87" t="str">
        <f t="shared" si="3"/>
        <v>Y</v>
      </c>
      <c r="AA87" t="s">
        <v>2054</v>
      </c>
      <c r="AB87" t="s">
        <v>2168</v>
      </c>
      <c r="AC87" t="s">
        <v>2169</v>
      </c>
      <c r="AD87" s="9" t="s">
        <v>595</v>
      </c>
      <c r="AE87" s="9" t="s">
        <v>2170</v>
      </c>
      <c r="AF87" s="9" t="s">
        <v>2041</v>
      </c>
      <c r="AG87" t="s">
        <v>595</v>
      </c>
    </row>
    <row r="88" spans="1:33">
      <c r="A88">
        <v>94</v>
      </c>
      <c r="B88" t="s">
        <v>19</v>
      </c>
      <c r="C88" t="s">
        <v>2211</v>
      </c>
      <c r="E88">
        <v>2010</v>
      </c>
      <c r="F88" t="s">
        <v>2131</v>
      </c>
      <c r="G88" t="s">
        <v>2035</v>
      </c>
      <c r="H88" s="6">
        <v>45.557000000000002</v>
      </c>
      <c r="I88" s="6">
        <v>-3.1631999999999998</v>
      </c>
      <c r="J88" s="6">
        <v>1967</v>
      </c>
      <c r="K88" s="6">
        <v>2005</v>
      </c>
      <c r="L88" s="6">
        <f t="shared" si="2"/>
        <v>39</v>
      </c>
      <c r="N88" t="s">
        <v>161</v>
      </c>
      <c r="O88" t="s">
        <v>161</v>
      </c>
      <c r="P88" t="s">
        <v>2212</v>
      </c>
      <c r="V88">
        <f>-8/(L88/10)</f>
        <v>-2.0512820512820515</v>
      </c>
      <c r="W88" t="s">
        <v>2041</v>
      </c>
      <c r="X88" t="s">
        <v>2041</v>
      </c>
      <c r="Y88" t="s">
        <v>19</v>
      </c>
      <c r="Z88" t="str">
        <f t="shared" si="3"/>
        <v>Y</v>
      </c>
      <c r="AC88" t="s">
        <v>2213</v>
      </c>
    </row>
    <row r="89" spans="1:33">
      <c r="A89">
        <v>95</v>
      </c>
      <c r="B89" t="s">
        <v>19</v>
      </c>
      <c r="C89" t="s">
        <v>2211</v>
      </c>
      <c r="E89">
        <v>2010</v>
      </c>
      <c r="F89" t="s">
        <v>2131</v>
      </c>
      <c r="G89" t="s">
        <v>2035</v>
      </c>
      <c r="H89" s="6">
        <v>45.557000000000002</v>
      </c>
      <c r="I89" s="6">
        <v>-3.1631999999999998</v>
      </c>
      <c r="J89" s="6">
        <v>1981</v>
      </c>
      <c r="K89" s="6">
        <v>2005</v>
      </c>
      <c r="L89" s="6">
        <f t="shared" si="2"/>
        <v>25</v>
      </c>
      <c r="N89" t="s">
        <v>161</v>
      </c>
      <c r="O89" t="s">
        <v>161</v>
      </c>
      <c r="P89" t="s">
        <v>2214</v>
      </c>
      <c r="V89">
        <f>-14/(L89/10)</f>
        <v>-5.6</v>
      </c>
      <c r="W89" t="s">
        <v>2041</v>
      </c>
      <c r="X89" t="s">
        <v>2041</v>
      </c>
      <c r="Y89" t="s">
        <v>19</v>
      </c>
      <c r="Z89" t="str">
        <f t="shared" si="3"/>
        <v>Y</v>
      </c>
      <c r="AC89" t="s">
        <v>2213</v>
      </c>
    </row>
    <row r="90" spans="1:33" ht="15.5">
      <c r="A90">
        <v>96</v>
      </c>
      <c r="B90" t="s">
        <v>19</v>
      </c>
      <c r="C90" t="s">
        <v>2215</v>
      </c>
      <c r="E90">
        <v>2015</v>
      </c>
      <c r="F90" t="s">
        <v>2216</v>
      </c>
      <c r="G90" t="s">
        <v>2035</v>
      </c>
      <c r="H90" s="7">
        <v>34</v>
      </c>
      <c r="I90" s="6">
        <v>-122</v>
      </c>
      <c r="J90" s="6">
        <v>1951</v>
      </c>
      <c r="K90" s="6">
        <v>2008</v>
      </c>
      <c r="L90" s="6">
        <f t="shared" si="2"/>
        <v>58</v>
      </c>
      <c r="M90" t="s">
        <v>2036</v>
      </c>
      <c r="N90" t="s">
        <v>2141</v>
      </c>
      <c r="O90" t="s">
        <v>2217</v>
      </c>
      <c r="P90" t="s">
        <v>161</v>
      </c>
      <c r="Q90" t="s">
        <v>68</v>
      </c>
      <c r="R90" s="8" t="s">
        <v>2218</v>
      </c>
      <c r="S90" s="8" t="s">
        <v>2039</v>
      </c>
      <c r="T90">
        <v>74</v>
      </c>
      <c r="U90" s="13" t="s">
        <v>2053</v>
      </c>
      <c r="V90">
        <v>-3</v>
      </c>
      <c r="W90" t="s">
        <v>2041</v>
      </c>
      <c r="X90" t="s">
        <v>2041</v>
      </c>
      <c r="Y90" t="s">
        <v>19</v>
      </c>
      <c r="Z90" t="str">
        <f t="shared" si="3"/>
        <v>Y</v>
      </c>
      <c r="AA90" t="s">
        <v>2219</v>
      </c>
      <c r="AB90" t="s">
        <v>2220</v>
      </c>
      <c r="AC90" t="s">
        <v>2221</v>
      </c>
      <c r="AD90" t="s">
        <v>595</v>
      </c>
      <c r="AE90" s="9" t="s">
        <v>2045</v>
      </c>
      <c r="AF90" s="9" t="s">
        <v>2041</v>
      </c>
      <c r="AG90" t="s">
        <v>595</v>
      </c>
    </row>
    <row r="91" spans="1:33" ht="15.5">
      <c r="A91">
        <v>97</v>
      </c>
      <c r="B91" t="s">
        <v>19</v>
      </c>
      <c r="C91" t="s">
        <v>2222</v>
      </c>
      <c r="E91">
        <v>2015</v>
      </c>
      <c r="F91" t="s">
        <v>2216</v>
      </c>
      <c r="G91" t="s">
        <v>2035</v>
      </c>
      <c r="H91" s="7">
        <v>34</v>
      </c>
      <c r="I91" s="6">
        <v>-122</v>
      </c>
      <c r="J91" s="6">
        <v>1951</v>
      </c>
      <c r="K91" s="6">
        <v>2008</v>
      </c>
      <c r="L91" s="6">
        <f t="shared" si="2"/>
        <v>58</v>
      </c>
      <c r="M91" t="s">
        <v>2036</v>
      </c>
      <c r="N91" t="s">
        <v>2141</v>
      </c>
      <c r="O91" t="s">
        <v>2217</v>
      </c>
      <c r="P91" t="s">
        <v>161</v>
      </c>
      <c r="Q91" t="s">
        <v>78</v>
      </c>
      <c r="R91" s="8" t="s">
        <v>2218</v>
      </c>
      <c r="S91" s="8" t="s">
        <v>2039</v>
      </c>
      <c r="T91">
        <v>105</v>
      </c>
      <c r="U91" s="13" t="s">
        <v>2053</v>
      </c>
      <c r="V91">
        <v>-11.1</v>
      </c>
      <c r="W91" t="s">
        <v>2041</v>
      </c>
      <c r="X91" t="s">
        <v>2041</v>
      </c>
      <c r="Y91" t="s">
        <v>19</v>
      </c>
      <c r="Z91" t="str">
        <f t="shared" si="3"/>
        <v>Y</v>
      </c>
      <c r="AA91" t="s">
        <v>2219</v>
      </c>
      <c r="AB91" t="s">
        <v>2220</v>
      </c>
      <c r="AC91" t="s">
        <v>2221</v>
      </c>
      <c r="AD91" t="s">
        <v>595</v>
      </c>
      <c r="AE91" s="9" t="s">
        <v>2045</v>
      </c>
      <c r="AF91" s="9" t="s">
        <v>2041</v>
      </c>
      <c r="AG91" t="s">
        <v>595</v>
      </c>
    </row>
    <row r="92" spans="1:33" ht="15.5">
      <c r="A92">
        <v>98</v>
      </c>
      <c r="B92" t="s">
        <v>19</v>
      </c>
      <c r="C92" t="s">
        <v>2223</v>
      </c>
      <c r="E92">
        <v>2015</v>
      </c>
      <c r="F92" t="s">
        <v>2216</v>
      </c>
      <c r="G92" t="s">
        <v>2035</v>
      </c>
      <c r="H92" s="7">
        <v>34</v>
      </c>
      <c r="I92" s="6">
        <v>-122</v>
      </c>
      <c r="J92" s="6">
        <v>1951</v>
      </c>
      <c r="K92" s="6">
        <v>2008</v>
      </c>
      <c r="L92" s="6">
        <f t="shared" si="2"/>
        <v>58</v>
      </c>
      <c r="M92" t="s">
        <v>2036</v>
      </c>
      <c r="N92" t="s">
        <v>2141</v>
      </c>
      <c r="O92" t="s">
        <v>2217</v>
      </c>
      <c r="P92" t="s">
        <v>161</v>
      </c>
      <c r="Q92" t="s">
        <v>72</v>
      </c>
      <c r="R92" s="8" t="s">
        <v>2218</v>
      </c>
      <c r="S92" s="8" t="s">
        <v>2039</v>
      </c>
      <c r="T92">
        <v>74</v>
      </c>
      <c r="U92" s="13" t="s">
        <v>2053</v>
      </c>
      <c r="V92">
        <v>2</v>
      </c>
      <c r="W92" s="12" t="s">
        <v>2058</v>
      </c>
      <c r="X92" s="12" t="s">
        <v>2041</v>
      </c>
      <c r="Y92" t="s">
        <v>19</v>
      </c>
      <c r="Z92" t="str">
        <f t="shared" si="3"/>
        <v>Y</v>
      </c>
      <c r="AA92" t="s">
        <v>2219</v>
      </c>
      <c r="AB92" t="s">
        <v>2220</v>
      </c>
      <c r="AC92" s="12" t="s">
        <v>2221</v>
      </c>
      <c r="AD92" t="s">
        <v>595</v>
      </c>
      <c r="AE92" s="9" t="s">
        <v>2045</v>
      </c>
      <c r="AF92" s="9" t="s">
        <v>2041</v>
      </c>
      <c r="AG92" t="s">
        <v>595</v>
      </c>
    </row>
    <row r="93" spans="1:33" ht="15.5">
      <c r="A93">
        <v>99</v>
      </c>
      <c r="B93" t="s">
        <v>19</v>
      </c>
      <c r="C93" t="s">
        <v>2224</v>
      </c>
      <c r="E93">
        <v>2015</v>
      </c>
      <c r="F93" t="s">
        <v>2216</v>
      </c>
      <c r="G93" t="s">
        <v>2035</v>
      </c>
      <c r="H93" s="7">
        <v>34</v>
      </c>
      <c r="I93" s="6">
        <v>-122</v>
      </c>
      <c r="J93" s="6">
        <v>1951</v>
      </c>
      <c r="K93" s="6">
        <v>2008</v>
      </c>
      <c r="L93" s="6">
        <f t="shared" si="2"/>
        <v>58</v>
      </c>
      <c r="M93" t="s">
        <v>2036</v>
      </c>
      <c r="N93" t="s">
        <v>2141</v>
      </c>
      <c r="O93" t="s">
        <v>2217</v>
      </c>
      <c r="P93" t="s">
        <v>161</v>
      </c>
      <c r="Q93" t="s">
        <v>1176</v>
      </c>
      <c r="R93" s="8" t="s">
        <v>2218</v>
      </c>
      <c r="S93" s="8" t="s">
        <v>2039</v>
      </c>
      <c r="T93">
        <v>74</v>
      </c>
      <c r="U93" s="13" t="s">
        <v>2053</v>
      </c>
      <c r="V93">
        <v>4.5999999999999996</v>
      </c>
      <c r="W93" s="12" t="s">
        <v>2058</v>
      </c>
      <c r="X93" t="s">
        <v>2041</v>
      </c>
      <c r="Y93" t="s">
        <v>19</v>
      </c>
      <c r="Z93" t="str">
        <f t="shared" si="3"/>
        <v>Y</v>
      </c>
      <c r="AA93" t="s">
        <v>2219</v>
      </c>
      <c r="AB93" t="s">
        <v>2220</v>
      </c>
      <c r="AC93" t="s">
        <v>2221</v>
      </c>
      <c r="AD93" t="s">
        <v>595</v>
      </c>
      <c r="AE93" s="9" t="s">
        <v>2045</v>
      </c>
      <c r="AF93" s="9" t="s">
        <v>2041</v>
      </c>
      <c r="AG93" t="s">
        <v>595</v>
      </c>
    </row>
    <row r="94" spans="1:33" ht="15.5">
      <c r="A94">
        <v>100</v>
      </c>
      <c r="B94" t="s">
        <v>19</v>
      </c>
      <c r="C94" t="s">
        <v>2225</v>
      </c>
      <c r="E94">
        <v>2015</v>
      </c>
      <c r="F94" t="s">
        <v>2216</v>
      </c>
      <c r="G94" t="s">
        <v>2035</v>
      </c>
      <c r="H94" s="7">
        <v>34</v>
      </c>
      <c r="I94" s="6">
        <v>-122</v>
      </c>
      <c r="J94" s="6">
        <v>1951</v>
      </c>
      <c r="K94" s="6">
        <v>2008</v>
      </c>
      <c r="L94" s="6">
        <f t="shared" si="2"/>
        <v>58</v>
      </c>
      <c r="M94" t="s">
        <v>2036</v>
      </c>
      <c r="N94" t="s">
        <v>2141</v>
      </c>
      <c r="O94" t="s">
        <v>2217</v>
      </c>
      <c r="P94" t="s">
        <v>161</v>
      </c>
      <c r="Q94" t="s">
        <v>2226</v>
      </c>
      <c r="R94" s="8" t="s">
        <v>2218</v>
      </c>
      <c r="S94" s="8" t="s">
        <v>2039</v>
      </c>
      <c r="T94">
        <v>196</v>
      </c>
      <c r="U94" s="13" t="s">
        <v>2101</v>
      </c>
      <c r="V94">
        <v>4.4000000000000004</v>
      </c>
      <c r="W94" s="12" t="s">
        <v>2058</v>
      </c>
      <c r="X94" t="s">
        <v>2041</v>
      </c>
      <c r="Y94" t="s">
        <v>19</v>
      </c>
      <c r="Z94" t="str">
        <f t="shared" si="3"/>
        <v>Y</v>
      </c>
      <c r="AA94" t="s">
        <v>2219</v>
      </c>
      <c r="AB94" t="s">
        <v>2220</v>
      </c>
      <c r="AC94" t="s">
        <v>2221</v>
      </c>
      <c r="AD94" t="s">
        <v>595</v>
      </c>
      <c r="AE94" s="9" t="s">
        <v>2045</v>
      </c>
      <c r="AF94" s="9" t="s">
        <v>2041</v>
      </c>
      <c r="AG94" t="s">
        <v>595</v>
      </c>
    </row>
    <row r="95" spans="1:33" ht="15.5">
      <c r="A95">
        <v>101</v>
      </c>
      <c r="B95" t="s">
        <v>19</v>
      </c>
      <c r="C95" t="s">
        <v>2227</v>
      </c>
      <c r="E95">
        <v>2015</v>
      </c>
      <c r="F95" t="s">
        <v>2216</v>
      </c>
      <c r="G95" t="s">
        <v>2035</v>
      </c>
      <c r="H95" s="7">
        <v>34</v>
      </c>
      <c r="I95" s="6">
        <v>-122</v>
      </c>
      <c r="J95" s="6">
        <v>1951</v>
      </c>
      <c r="K95" s="6">
        <v>2008</v>
      </c>
      <c r="L95" s="6">
        <f t="shared" si="2"/>
        <v>58</v>
      </c>
      <c r="M95" t="s">
        <v>2036</v>
      </c>
      <c r="N95" t="s">
        <v>2141</v>
      </c>
      <c r="O95" t="s">
        <v>2217</v>
      </c>
      <c r="P95" t="s">
        <v>161</v>
      </c>
      <c r="Q95" t="s">
        <v>65</v>
      </c>
      <c r="R95" s="8" t="s">
        <v>2218</v>
      </c>
      <c r="S95" s="8" t="s">
        <v>2039</v>
      </c>
      <c r="T95">
        <v>74</v>
      </c>
      <c r="U95" s="13" t="s">
        <v>2053</v>
      </c>
      <c r="V95">
        <v>1.2</v>
      </c>
      <c r="W95" s="12" t="s">
        <v>2058</v>
      </c>
      <c r="X95" t="s">
        <v>2041</v>
      </c>
      <c r="Y95" t="s">
        <v>19</v>
      </c>
      <c r="Z95" t="str">
        <f t="shared" si="3"/>
        <v>Y</v>
      </c>
      <c r="AA95" t="s">
        <v>2219</v>
      </c>
      <c r="AB95" t="s">
        <v>2220</v>
      </c>
      <c r="AC95" t="s">
        <v>2221</v>
      </c>
      <c r="AD95" t="s">
        <v>595</v>
      </c>
      <c r="AE95" s="9" t="s">
        <v>2045</v>
      </c>
      <c r="AF95" s="9" t="s">
        <v>2041</v>
      </c>
      <c r="AG95" t="s">
        <v>595</v>
      </c>
    </row>
    <row r="96" spans="1:33" ht="15.5">
      <c r="A96">
        <v>102</v>
      </c>
      <c r="B96" t="s">
        <v>19</v>
      </c>
      <c r="C96" t="s">
        <v>2228</v>
      </c>
      <c r="E96">
        <v>2015</v>
      </c>
      <c r="F96" t="s">
        <v>2216</v>
      </c>
      <c r="G96" t="s">
        <v>2035</v>
      </c>
      <c r="H96" s="7">
        <v>34</v>
      </c>
      <c r="I96" s="6">
        <v>-122</v>
      </c>
      <c r="J96" s="6">
        <v>1951</v>
      </c>
      <c r="K96" s="6">
        <v>2008</v>
      </c>
      <c r="L96" s="6">
        <f t="shared" si="2"/>
        <v>58</v>
      </c>
      <c r="M96" t="s">
        <v>2036</v>
      </c>
      <c r="N96" t="s">
        <v>2141</v>
      </c>
      <c r="O96" t="s">
        <v>2217</v>
      </c>
      <c r="P96" t="s">
        <v>161</v>
      </c>
      <c r="Q96" t="s">
        <v>1221</v>
      </c>
      <c r="R96" s="8" t="s">
        <v>2218</v>
      </c>
      <c r="S96" s="8" t="s">
        <v>2039</v>
      </c>
      <c r="T96">
        <v>74</v>
      </c>
      <c r="U96" s="13" t="s">
        <v>2053</v>
      </c>
      <c r="V96">
        <v>-3.2</v>
      </c>
      <c r="W96" t="s">
        <v>2041</v>
      </c>
      <c r="X96" t="s">
        <v>2041</v>
      </c>
      <c r="Y96" t="s">
        <v>19</v>
      </c>
      <c r="Z96" t="str">
        <f t="shared" si="3"/>
        <v>Y</v>
      </c>
      <c r="AA96" t="s">
        <v>2219</v>
      </c>
      <c r="AB96" t="s">
        <v>2220</v>
      </c>
      <c r="AC96" t="s">
        <v>2221</v>
      </c>
      <c r="AD96" t="s">
        <v>595</v>
      </c>
      <c r="AE96" s="9" t="s">
        <v>2045</v>
      </c>
      <c r="AF96" s="9" t="s">
        <v>2041</v>
      </c>
      <c r="AG96" t="s">
        <v>595</v>
      </c>
    </row>
    <row r="97" spans="1:33" ht="15.5">
      <c r="A97">
        <v>103</v>
      </c>
      <c r="B97" t="s">
        <v>19</v>
      </c>
      <c r="C97" t="s">
        <v>2229</v>
      </c>
      <c r="E97">
        <v>2015</v>
      </c>
      <c r="F97" t="s">
        <v>2216</v>
      </c>
      <c r="G97" t="s">
        <v>2035</v>
      </c>
      <c r="H97" s="7">
        <v>34</v>
      </c>
      <c r="I97" s="6">
        <v>-122</v>
      </c>
      <c r="J97" s="6">
        <v>1951</v>
      </c>
      <c r="K97" s="6">
        <v>2008</v>
      </c>
      <c r="L97" s="6">
        <f t="shared" si="2"/>
        <v>58</v>
      </c>
      <c r="M97" t="s">
        <v>2036</v>
      </c>
      <c r="N97" t="s">
        <v>2141</v>
      </c>
      <c r="O97" t="s">
        <v>2217</v>
      </c>
      <c r="P97" t="s">
        <v>161</v>
      </c>
      <c r="Q97" t="s">
        <v>2230</v>
      </c>
      <c r="R97" s="8" t="s">
        <v>2218</v>
      </c>
      <c r="S97" s="8" t="s">
        <v>2039</v>
      </c>
      <c r="T97">
        <v>74</v>
      </c>
      <c r="U97" s="13" t="s">
        <v>2053</v>
      </c>
      <c r="V97">
        <v>-1.7</v>
      </c>
      <c r="W97" t="s">
        <v>2041</v>
      </c>
      <c r="X97" t="s">
        <v>2041</v>
      </c>
      <c r="Y97" t="s">
        <v>19</v>
      </c>
      <c r="Z97" t="str">
        <f t="shared" si="3"/>
        <v>Y</v>
      </c>
      <c r="AA97" t="s">
        <v>2219</v>
      </c>
      <c r="AB97" t="s">
        <v>2220</v>
      </c>
      <c r="AC97" t="s">
        <v>2221</v>
      </c>
      <c r="AD97" t="s">
        <v>595</v>
      </c>
      <c r="AE97" s="9" t="s">
        <v>2045</v>
      </c>
      <c r="AF97" s="9" t="s">
        <v>2041</v>
      </c>
      <c r="AG97" t="s">
        <v>595</v>
      </c>
    </row>
    <row r="98" spans="1:33" ht="15.5">
      <c r="A98">
        <v>104</v>
      </c>
      <c r="B98" t="s">
        <v>19</v>
      </c>
      <c r="C98" t="s">
        <v>2231</v>
      </c>
      <c r="E98">
        <v>2015</v>
      </c>
      <c r="F98" t="s">
        <v>2216</v>
      </c>
      <c r="G98" t="s">
        <v>2035</v>
      </c>
      <c r="H98" s="7">
        <v>34</v>
      </c>
      <c r="I98" s="6">
        <v>-122</v>
      </c>
      <c r="J98" s="6">
        <v>1951</v>
      </c>
      <c r="K98" s="6">
        <v>2008</v>
      </c>
      <c r="L98" s="6">
        <f t="shared" si="2"/>
        <v>58</v>
      </c>
      <c r="M98" t="s">
        <v>2036</v>
      </c>
      <c r="N98" t="s">
        <v>2141</v>
      </c>
      <c r="O98" t="s">
        <v>2217</v>
      </c>
      <c r="P98" t="s">
        <v>161</v>
      </c>
      <c r="Q98" t="s">
        <v>2232</v>
      </c>
      <c r="R98" s="8" t="s">
        <v>2218</v>
      </c>
      <c r="S98" s="8" t="s">
        <v>2039</v>
      </c>
      <c r="T98">
        <v>74</v>
      </c>
      <c r="U98" s="13" t="s">
        <v>2053</v>
      </c>
      <c r="V98">
        <v>-3.8</v>
      </c>
      <c r="W98" t="s">
        <v>2041</v>
      </c>
      <c r="X98" t="s">
        <v>2041</v>
      </c>
      <c r="Y98" t="s">
        <v>19</v>
      </c>
      <c r="Z98" t="str">
        <f t="shared" si="3"/>
        <v>Y</v>
      </c>
      <c r="AA98" t="s">
        <v>2219</v>
      </c>
      <c r="AB98" t="s">
        <v>2220</v>
      </c>
      <c r="AC98" t="s">
        <v>2221</v>
      </c>
      <c r="AD98" t="s">
        <v>595</v>
      </c>
      <c r="AE98" s="9" t="s">
        <v>2045</v>
      </c>
      <c r="AF98" s="9" t="s">
        <v>2041</v>
      </c>
      <c r="AG98" t="s">
        <v>595</v>
      </c>
    </row>
    <row r="99" spans="1:33" ht="15.5">
      <c r="A99">
        <v>105</v>
      </c>
      <c r="B99" t="s">
        <v>19</v>
      </c>
      <c r="C99" t="s">
        <v>2233</v>
      </c>
      <c r="E99">
        <v>2015</v>
      </c>
      <c r="F99" t="s">
        <v>2216</v>
      </c>
      <c r="G99" t="s">
        <v>2035</v>
      </c>
      <c r="H99" s="7">
        <v>34</v>
      </c>
      <c r="I99" s="6">
        <v>-122</v>
      </c>
      <c r="J99" s="6">
        <v>1951</v>
      </c>
      <c r="K99" s="6">
        <v>2008</v>
      </c>
      <c r="L99" s="6">
        <f t="shared" si="2"/>
        <v>58</v>
      </c>
      <c r="M99" t="s">
        <v>2036</v>
      </c>
      <c r="N99" t="s">
        <v>2141</v>
      </c>
      <c r="O99" t="s">
        <v>2217</v>
      </c>
      <c r="P99" t="s">
        <v>161</v>
      </c>
      <c r="Q99" t="s">
        <v>2234</v>
      </c>
      <c r="R99" s="8" t="s">
        <v>2218</v>
      </c>
      <c r="S99" s="8" t="s">
        <v>2039</v>
      </c>
      <c r="T99">
        <v>319</v>
      </c>
      <c r="U99" s="13" t="s">
        <v>2040</v>
      </c>
      <c r="V99">
        <v>-9.3000000000000007</v>
      </c>
      <c r="W99" t="s">
        <v>2041</v>
      </c>
      <c r="X99" t="s">
        <v>2041</v>
      </c>
      <c r="Y99" t="s">
        <v>19</v>
      </c>
      <c r="Z99" t="str">
        <f t="shared" si="3"/>
        <v>Y</v>
      </c>
      <c r="AA99" t="s">
        <v>2219</v>
      </c>
      <c r="AB99" t="s">
        <v>2220</v>
      </c>
      <c r="AC99" t="s">
        <v>2221</v>
      </c>
      <c r="AD99" t="s">
        <v>595</v>
      </c>
      <c r="AE99" s="9" t="s">
        <v>2045</v>
      </c>
      <c r="AF99" s="9" t="s">
        <v>2041</v>
      </c>
      <c r="AG99" t="s">
        <v>595</v>
      </c>
    </row>
    <row r="100" spans="1:33" ht="15.5">
      <c r="A100">
        <v>106</v>
      </c>
      <c r="B100" t="s">
        <v>19</v>
      </c>
      <c r="C100" t="s">
        <v>2235</v>
      </c>
      <c r="E100">
        <v>2015</v>
      </c>
      <c r="F100" t="s">
        <v>2216</v>
      </c>
      <c r="G100" t="s">
        <v>2035</v>
      </c>
      <c r="H100" s="7">
        <v>34</v>
      </c>
      <c r="I100" s="6">
        <v>-122</v>
      </c>
      <c r="J100" s="6">
        <v>1951</v>
      </c>
      <c r="K100" s="6">
        <v>2008</v>
      </c>
      <c r="L100" s="6">
        <f t="shared" si="2"/>
        <v>58</v>
      </c>
      <c r="M100" t="s">
        <v>2036</v>
      </c>
      <c r="N100" t="s">
        <v>2141</v>
      </c>
      <c r="O100" t="s">
        <v>2217</v>
      </c>
      <c r="P100" t="s">
        <v>161</v>
      </c>
      <c r="Q100" t="s">
        <v>1182</v>
      </c>
      <c r="R100" s="8" t="s">
        <v>2218</v>
      </c>
      <c r="S100" s="8" t="s">
        <v>2039</v>
      </c>
      <c r="T100">
        <v>227</v>
      </c>
      <c r="U100" s="13" t="s">
        <v>2101</v>
      </c>
      <c r="V100">
        <v>-5.6</v>
      </c>
      <c r="W100" t="s">
        <v>2041</v>
      </c>
      <c r="X100" t="s">
        <v>2041</v>
      </c>
      <c r="Y100" t="s">
        <v>19</v>
      </c>
      <c r="Z100" t="str">
        <f t="shared" si="3"/>
        <v>Y</v>
      </c>
      <c r="AA100" t="s">
        <v>2219</v>
      </c>
      <c r="AB100" t="s">
        <v>2220</v>
      </c>
      <c r="AC100" t="s">
        <v>2221</v>
      </c>
      <c r="AD100" t="s">
        <v>595</v>
      </c>
      <c r="AE100" s="9" t="s">
        <v>2045</v>
      </c>
      <c r="AF100" s="9" t="s">
        <v>2041</v>
      </c>
      <c r="AG100" t="s">
        <v>595</v>
      </c>
    </row>
    <row r="101" spans="1:33" ht="15.5">
      <c r="A101">
        <v>107</v>
      </c>
      <c r="B101" t="s">
        <v>19</v>
      </c>
      <c r="C101" t="s">
        <v>2236</v>
      </c>
      <c r="E101">
        <v>2015</v>
      </c>
      <c r="F101" t="s">
        <v>2216</v>
      </c>
      <c r="G101" t="s">
        <v>2035</v>
      </c>
      <c r="H101" s="7">
        <v>34</v>
      </c>
      <c r="I101" s="6">
        <v>-122</v>
      </c>
      <c r="J101" s="6">
        <v>1951</v>
      </c>
      <c r="K101" s="6">
        <v>2008</v>
      </c>
      <c r="L101" s="6">
        <f t="shared" si="2"/>
        <v>58</v>
      </c>
      <c r="M101" t="s">
        <v>2036</v>
      </c>
      <c r="N101" t="s">
        <v>2141</v>
      </c>
      <c r="O101" t="s">
        <v>2217</v>
      </c>
      <c r="P101" t="s">
        <v>161</v>
      </c>
      <c r="Q101" t="s">
        <v>1191</v>
      </c>
      <c r="R101" s="8" t="s">
        <v>2218</v>
      </c>
      <c r="S101" s="8" t="s">
        <v>2039</v>
      </c>
      <c r="T101">
        <v>227</v>
      </c>
      <c r="U101" s="13" t="s">
        <v>2101</v>
      </c>
      <c r="V101">
        <v>-0.6</v>
      </c>
      <c r="W101" t="s">
        <v>2041</v>
      </c>
      <c r="X101" t="s">
        <v>2041</v>
      </c>
      <c r="Y101" t="s">
        <v>19</v>
      </c>
      <c r="Z101" t="str">
        <f t="shared" si="3"/>
        <v>Y</v>
      </c>
      <c r="AA101" t="s">
        <v>2219</v>
      </c>
      <c r="AB101" t="s">
        <v>2220</v>
      </c>
      <c r="AC101" t="s">
        <v>2221</v>
      </c>
      <c r="AD101" t="s">
        <v>595</v>
      </c>
      <c r="AE101" s="9" t="s">
        <v>2045</v>
      </c>
      <c r="AF101" s="9" t="s">
        <v>2041</v>
      </c>
      <c r="AG101" t="s">
        <v>595</v>
      </c>
    </row>
    <row r="102" spans="1:33" ht="15.5">
      <c r="A102">
        <v>108</v>
      </c>
      <c r="B102" t="s">
        <v>19</v>
      </c>
      <c r="C102" t="s">
        <v>2237</v>
      </c>
      <c r="E102">
        <v>2015</v>
      </c>
      <c r="F102" t="s">
        <v>2216</v>
      </c>
      <c r="G102" t="s">
        <v>2035</v>
      </c>
      <c r="H102" s="7">
        <v>34</v>
      </c>
      <c r="I102" s="6">
        <v>-122</v>
      </c>
      <c r="J102" s="6">
        <v>1951</v>
      </c>
      <c r="K102" s="6">
        <v>2008</v>
      </c>
      <c r="L102" s="6">
        <f t="shared" si="2"/>
        <v>58</v>
      </c>
      <c r="M102" t="s">
        <v>2036</v>
      </c>
      <c r="N102" t="s">
        <v>2141</v>
      </c>
      <c r="O102" t="s">
        <v>2217</v>
      </c>
      <c r="P102" t="s">
        <v>161</v>
      </c>
      <c r="Q102" t="s">
        <v>1227</v>
      </c>
      <c r="R102" s="8" t="s">
        <v>2218</v>
      </c>
      <c r="S102" s="8" t="s">
        <v>2039</v>
      </c>
      <c r="T102">
        <v>227</v>
      </c>
      <c r="U102" s="13" t="s">
        <v>2101</v>
      </c>
      <c r="V102">
        <v>-3</v>
      </c>
      <c r="W102" t="s">
        <v>2041</v>
      </c>
      <c r="X102" t="s">
        <v>2041</v>
      </c>
      <c r="Y102" t="s">
        <v>19</v>
      </c>
      <c r="Z102" t="str">
        <f t="shared" si="3"/>
        <v>Y</v>
      </c>
      <c r="AA102" t="s">
        <v>2219</v>
      </c>
      <c r="AB102" t="s">
        <v>2220</v>
      </c>
      <c r="AC102" t="s">
        <v>2221</v>
      </c>
      <c r="AD102" t="s">
        <v>595</v>
      </c>
      <c r="AE102" s="9" t="s">
        <v>2045</v>
      </c>
      <c r="AF102" s="9" t="s">
        <v>2041</v>
      </c>
      <c r="AG102" t="s">
        <v>595</v>
      </c>
    </row>
    <row r="103" spans="1:33" ht="15.5">
      <c r="A103">
        <v>109</v>
      </c>
      <c r="B103" t="s">
        <v>19</v>
      </c>
      <c r="C103" t="s">
        <v>2238</v>
      </c>
      <c r="E103">
        <v>2015</v>
      </c>
      <c r="F103" t="s">
        <v>2216</v>
      </c>
      <c r="G103" t="s">
        <v>2035</v>
      </c>
      <c r="H103" s="7">
        <v>34</v>
      </c>
      <c r="I103" s="6">
        <v>-122</v>
      </c>
      <c r="J103" s="6">
        <v>1951</v>
      </c>
      <c r="K103" s="6">
        <v>2008</v>
      </c>
      <c r="L103" s="6">
        <f t="shared" si="2"/>
        <v>58</v>
      </c>
      <c r="M103" t="s">
        <v>2036</v>
      </c>
      <c r="N103" t="s">
        <v>2141</v>
      </c>
      <c r="O103" t="s">
        <v>2217</v>
      </c>
      <c r="P103" t="s">
        <v>161</v>
      </c>
      <c r="Q103" t="s">
        <v>1183</v>
      </c>
      <c r="R103" s="8" t="s">
        <v>2218</v>
      </c>
      <c r="S103" s="8" t="s">
        <v>2039</v>
      </c>
      <c r="T103">
        <v>74</v>
      </c>
      <c r="U103" s="13" t="s">
        <v>2053</v>
      </c>
      <c r="V103">
        <v>1.2</v>
      </c>
      <c r="W103" s="12" t="s">
        <v>2058</v>
      </c>
      <c r="X103" t="s">
        <v>2041</v>
      </c>
      <c r="Y103" t="s">
        <v>19</v>
      </c>
      <c r="Z103" t="str">
        <f t="shared" si="3"/>
        <v>Y</v>
      </c>
      <c r="AA103" t="s">
        <v>2219</v>
      </c>
      <c r="AB103" t="s">
        <v>2220</v>
      </c>
      <c r="AC103" t="s">
        <v>2221</v>
      </c>
      <c r="AD103" t="s">
        <v>595</v>
      </c>
      <c r="AE103" s="9" t="s">
        <v>2045</v>
      </c>
      <c r="AF103" s="9" t="s">
        <v>2041</v>
      </c>
      <c r="AG103" t="s">
        <v>595</v>
      </c>
    </row>
    <row r="104" spans="1:33" ht="15.5">
      <c r="A104">
        <v>110</v>
      </c>
      <c r="B104" t="s">
        <v>19</v>
      </c>
      <c r="C104" t="s">
        <v>2239</v>
      </c>
      <c r="E104">
        <v>2015</v>
      </c>
      <c r="F104" t="s">
        <v>2216</v>
      </c>
      <c r="G104" t="s">
        <v>2035</v>
      </c>
      <c r="H104" s="7">
        <v>34</v>
      </c>
      <c r="I104" s="6">
        <v>-122</v>
      </c>
      <c r="J104" s="6">
        <v>1951</v>
      </c>
      <c r="K104" s="6">
        <v>2008</v>
      </c>
      <c r="L104" s="6">
        <f t="shared" si="2"/>
        <v>58</v>
      </c>
      <c r="M104" t="s">
        <v>2036</v>
      </c>
      <c r="N104" t="s">
        <v>2141</v>
      </c>
      <c r="O104" t="s">
        <v>2217</v>
      </c>
      <c r="P104" t="s">
        <v>161</v>
      </c>
      <c r="Q104" t="s">
        <v>1185</v>
      </c>
      <c r="R104" s="8" t="s">
        <v>2218</v>
      </c>
      <c r="S104" s="8" t="s">
        <v>2039</v>
      </c>
      <c r="T104">
        <v>227</v>
      </c>
      <c r="U104" s="13" t="s">
        <v>2101</v>
      </c>
      <c r="V104">
        <v>-7.3</v>
      </c>
      <c r="W104" t="s">
        <v>2041</v>
      </c>
      <c r="X104" t="s">
        <v>2041</v>
      </c>
      <c r="Y104" t="s">
        <v>19</v>
      </c>
      <c r="Z104" t="str">
        <f t="shared" si="3"/>
        <v>Y</v>
      </c>
      <c r="AA104" t="s">
        <v>2219</v>
      </c>
      <c r="AB104" t="s">
        <v>2220</v>
      </c>
      <c r="AC104" t="s">
        <v>2221</v>
      </c>
      <c r="AD104" t="s">
        <v>595</v>
      </c>
      <c r="AE104" s="9" t="s">
        <v>2045</v>
      </c>
      <c r="AF104" s="9" t="s">
        <v>2041</v>
      </c>
      <c r="AG104" t="s">
        <v>595</v>
      </c>
    </row>
    <row r="105" spans="1:33" ht="15.5">
      <c r="A105">
        <v>111</v>
      </c>
      <c r="B105" t="s">
        <v>19</v>
      </c>
      <c r="C105" t="s">
        <v>2240</v>
      </c>
      <c r="E105">
        <v>2015</v>
      </c>
      <c r="F105" t="s">
        <v>2216</v>
      </c>
      <c r="G105" t="s">
        <v>2035</v>
      </c>
      <c r="H105" s="7">
        <v>34</v>
      </c>
      <c r="I105" s="6">
        <v>-122</v>
      </c>
      <c r="J105" s="6">
        <v>1951</v>
      </c>
      <c r="K105" s="6">
        <v>2008</v>
      </c>
      <c r="L105" s="6">
        <f t="shared" si="2"/>
        <v>58</v>
      </c>
      <c r="M105" t="s">
        <v>2036</v>
      </c>
      <c r="N105" t="s">
        <v>2141</v>
      </c>
      <c r="O105" t="s">
        <v>2217</v>
      </c>
      <c r="P105" t="s">
        <v>161</v>
      </c>
      <c r="Q105" t="s">
        <v>1179</v>
      </c>
      <c r="R105" s="8" t="s">
        <v>2218</v>
      </c>
      <c r="S105" s="8" t="s">
        <v>2039</v>
      </c>
      <c r="T105">
        <v>227</v>
      </c>
      <c r="U105" s="13" t="s">
        <v>2101</v>
      </c>
      <c r="V105">
        <v>-0.7</v>
      </c>
      <c r="W105" t="s">
        <v>2041</v>
      </c>
      <c r="X105" t="s">
        <v>2041</v>
      </c>
      <c r="Y105" t="s">
        <v>19</v>
      </c>
      <c r="Z105" t="str">
        <f t="shared" si="3"/>
        <v>Y</v>
      </c>
      <c r="AA105" t="s">
        <v>2219</v>
      </c>
      <c r="AB105" t="s">
        <v>2220</v>
      </c>
      <c r="AC105" t="s">
        <v>2221</v>
      </c>
      <c r="AD105" t="s">
        <v>595</v>
      </c>
      <c r="AE105" s="9" t="s">
        <v>2045</v>
      </c>
      <c r="AF105" s="9" t="s">
        <v>2041</v>
      </c>
      <c r="AG105" t="s">
        <v>595</v>
      </c>
    </row>
    <row r="106" spans="1:33" ht="15.5">
      <c r="A106">
        <v>112</v>
      </c>
      <c r="B106" t="s">
        <v>19</v>
      </c>
      <c r="C106" t="s">
        <v>2241</v>
      </c>
      <c r="E106">
        <v>2015</v>
      </c>
      <c r="F106" t="s">
        <v>2216</v>
      </c>
      <c r="G106" t="s">
        <v>2035</v>
      </c>
      <c r="H106" s="7">
        <v>34</v>
      </c>
      <c r="I106" s="6">
        <v>-122</v>
      </c>
      <c r="J106" s="6">
        <v>1951</v>
      </c>
      <c r="K106" s="6">
        <v>2008</v>
      </c>
      <c r="L106" s="6">
        <f t="shared" si="2"/>
        <v>58</v>
      </c>
      <c r="M106" t="s">
        <v>2036</v>
      </c>
      <c r="N106" t="s">
        <v>2141</v>
      </c>
      <c r="O106" t="s">
        <v>2217</v>
      </c>
      <c r="P106" t="s">
        <v>161</v>
      </c>
      <c r="Q106" t="s">
        <v>2242</v>
      </c>
      <c r="R106" s="8" t="s">
        <v>2218</v>
      </c>
      <c r="S106" s="8" t="s">
        <v>2039</v>
      </c>
      <c r="T106">
        <v>105</v>
      </c>
      <c r="U106" s="13" t="s">
        <v>2053</v>
      </c>
      <c r="V106">
        <v>-7.6</v>
      </c>
      <c r="W106" t="s">
        <v>2041</v>
      </c>
      <c r="X106" t="s">
        <v>2041</v>
      </c>
      <c r="Y106" t="s">
        <v>19</v>
      </c>
      <c r="Z106" t="str">
        <f t="shared" si="3"/>
        <v>Y</v>
      </c>
      <c r="AA106" t="s">
        <v>2219</v>
      </c>
      <c r="AB106" t="s">
        <v>2220</v>
      </c>
      <c r="AC106" t="s">
        <v>2221</v>
      </c>
      <c r="AD106" t="s">
        <v>595</v>
      </c>
      <c r="AE106" s="9" t="s">
        <v>2045</v>
      </c>
      <c r="AF106" s="9" t="s">
        <v>2041</v>
      </c>
      <c r="AG106" t="s">
        <v>595</v>
      </c>
    </row>
    <row r="107" spans="1:33" ht="15.5">
      <c r="A107">
        <v>113</v>
      </c>
      <c r="B107" t="s">
        <v>19</v>
      </c>
      <c r="C107" t="s">
        <v>2243</v>
      </c>
      <c r="E107">
        <v>2015</v>
      </c>
      <c r="F107" t="s">
        <v>2216</v>
      </c>
      <c r="G107" t="s">
        <v>2035</v>
      </c>
      <c r="H107" s="7">
        <v>34</v>
      </c>
      <c r="I107" s="6">
        <v>-122</v>
      </c>
      <c r="J107" s="6">
        <v>1951</v>
      </c>
      <c r="K107" s="6">
        <v>2008</v>
      </c>
      <c r="L107" s="6">
        <f t="shared" si="2"/>
        <v>58</v>
      </c>
      <c r="M107" t="s">
        <v>2036</v>
      </c>
      <c r="N107" t="s">
        <v>2141</v>
      </c>
      <c r="O107" t="s">
        <v>2217</v>
      </c>
      <c r="P107" t="s">
        <v>161</v>
      </c>
      <c r="Q107" t="s">
        <v>2244</v>
      </c>
      <c r="R107" s="8" t="s">
        <v>2218</v>
      </c>
      <c r="S107" s="8" t="s">
        <v>2039</v>
      </c>
      <c r="T107">
        <v>196</v>
      </c>
      <c r="U107" s="13" t="s">
        <v>2101</v>
      </c>
      <c r="V107">
        <v>0.7</v>
      </c>
      <c r="W107" s="12" t="s">
        <v>2058</v>
      </c>
      <c r="X107" t="s">
        <v>2041</v>
      </c>
      <c r="Y107" t="s">
        <v>19</v>
      </c>
      <c r="Z107" t="str">
        <f t="shared" si="3"/>
        <v>Y</v>
      </c>
      <c r="AA107" t="s">
        <v>2219</v>
      </c>
      <c r="AB107" t="s">
        <v>2220</v>
      </c>
      <c r="AC107" t="s">
        <v>2221</v>
      </c>
      <c r="AD107" t="s">
        <v>595</v>
      </c>
      <c r="AE107" s="9" t="s">
        <v>2045</v>
      </c>
      <c r="AF107" s="9" t="s">
        <v>2041</v>
      </c>
      <c r="AG107" t="s">
        <v>595</v>
      </c>
    </row>
    <row r="108" spans="1:33" ht="15.5">
      <c r="A108">
        <v>114</v>
      </c>
      <c r="B108" t="s">
        <v>19</v>
      </c>
      <c r="C108" t="s">
        <v>2245</v>
      </c>
      <c r="E108">
        <v>2015</v>
      </c>
      <c r="F108" t="s">
        <v>2216</v>
      </c>
      <c r="G108" t="s">
        <v>2035</v>
      </c>
      <c r="H108" s="7">
        <v>34</v>
      </c>
      <c r="I108" s="6">
        <v>-122</v>
      </c>
      <c r="J108" s="6">
        <v>1951</v>
      </c>
      <c r="K108" s="6">
        <v>2008</v>
      </c>
      <c r="L108" s="6">
        <f t="shared" si="2"/>
        <v>58</v>
      </c>
      <c r="M108" t="s">
        <v>2036</v>
      </c>
      <c r="N108" t="s">
        <v>2141</v>
      </c>
      <c r="O108" t="s">
        <v>2217</v>
      </c>
      <c r="P108" t="s">
        <v>161</v>
      </c>
      <c r="Q108" t="s">
        <v>1186</v>
      </c>
      <c r="R108" s="8" t="s">
        <v>2218</v>
      </c>
      <c r="S108" s="8" t="s">
        <v>2039</v>
      </c>
      <c r="T108">
        <v>74</v>
      </c>
      <c r="U108" s="13" t="s">
        <v>2053</v>
      </c>
      <c r="V108">
        <v>-4.8</v>
      </c>
      <c r="W108" t="s">
        <v>2041</v>
      </c>
      <c r="X108" t="s">
        <v>2041</v>
      </c>
      <c r="Y108" t="s">
        <v>19</v>
      </c>
      <c r="Z108" t="str">
        <f t="shared" si="3"/>
        <v>Y</v>
      </c>
      <c r="AA108" t="s">
        <v>2219</v>
      </c>
      <c r="AB108" t="s">
        <v>2220</v>
      </c>
      <c r="AC108" t="s">
        <v>2221</v>
      </c>
      <c r="AD108" t="s">
        <v>595</v>
      </c>
      <c r="AE108" s="9" t="s">
        <v>2045</v>
      </c>
      <c r="AF108" s="9" t="s">
        <v>2041</v>
      </c>
      <c r="AG108" t="s">
        <v>595</v>
      </c>
    </row>
    <row r="109" spans="1:33" ht="15.5">
      <c r="A109">
        <v>115</v>
      </c>
      <c r="B109" t="s">
        <v>19</v>
      </c>
      <c r="C109" t="s">
        <v>2246</v>
      </c>
      <c r="E109">
        <v>2015</v>
      </c>
      <c r="F109" t="s">
        <v>2216</v>
      </c>
      <c r="G109" t="s">
        <v>2035</v>
      </c>
      <c r="H109" s="7">
        <v>34</v>
      </c>
      <c r="I109" s="6">
        <v>-122</v>
      </c>
      <c r="J109" s="6">
        <v>1951</v>
      </c>
      <c r="K109" s="6">
        <v>2008</v>
      </c>
      <c r="L109" s="6">
        <f t="shared" si="2"/>
        <v>58</v>
      </c>
      <c r="M109" t="s">
        <v>2036</v>
      </c>
      <c r="N109" t="s">
        <v>2141</v>
      </c>
      <c r="O109" t="s">
        <v>2217</v>
      </c>
      <c r="P109" t="s">
        <v>161</v>
      </c>
      <c r="Q109" t="s">
        <v>1187</v>
      </c>
      <c r="R109" s="8" t="s">
        <v>2218</v>
      </c>
      <c r="S109" s="8" t="s">
        <v>2039</v>
      </c>
      <c r="T109">
        <v>15</v>
      </c>
      <c r="U109" s="13" t="s">
        <v>2113</v>
      </c>
      <c r="V109">
        <v>-1.4</v>
      </c>
      <c r="W109" t="s">
        <v>2041</v>
      </c>
      <c r="X109" t="s">
        <v>2041</v>
      </c>
      <c r="Y109" t="s">
        <v>19</v>
      </c>
      <c r="Z109" t="str">
        <f t="shared" si="3"/>
        <v>Y</v>
      </c>
      <c r="AA109" t="s">
        <v>2219</v>
      </c>
      <c r="AB109" t="s">
        <v>2220</v>
      </c>
      <c r="AC109" t="s">
        <v>2221</v>
      </c>
      <c r="AD109" t="s">
        <v>595</v>
      </c>
      <c r="AE109" s="9" t="s">
        <v>2045</v>
      </c>
      <c r="AF109" s="9" t="s">
        <v>2041</v>
      </c>
      <c r="AG109" t="s">
        <v>595</v>
      </c>
    </row>
    <row r="110" spans="1:33" ht="15.5">
      <c r="A110">
        <v>116</v>
      </c>
      <c r="B110" t="s">
        <v>19</v>
      </c>
      <c r="C110" t="s">
        <v>2247</v>
      </c>
      <c r="E110">
        <v>2015</v>
      </c>
      <c r="F110" t="s">
        <v>2216</v>
      </c>
      <c r="G110" t="s">
        <v>2035</v>
      </c>
      <c r="H110" s="7">
        <v>34</v>
      </c>
      <c r="I110" s="6">
        <v>-122</v>
      </c>
      <c r="J110" s="6">
        <v>1951</v>
      </c>
      <c r="K110" s="6">
        <v>2008</v>
      </c>
      <c r="L110" s="6">
        <f t="shared" si="2"/>
        <v>58</v>
      </c>
      <c r="M110" t="s">
        <v>2036</v>
      </c>
      <c r="N110" t="s">
        <v>2141</v>
      </c>
      <c r="O110" t="s">
        <v>2217</v>
      </c>
      <c r="P110" t="s">
        <v>161</v>
      </c>
      <c r="Q110" t="s">
        <v>1222</v>
      </c>
      <c r="R110" s="8" t="s">
        <v>2218</v>
      </c>
      <c r="S110" s="8" t="s">
        <v>2039</v>
      </c>
      <c r="T110">
        <v>74</v>
      </c>
      <c r="U110" s="13" t="s">
        <v>2053</v>
      </c>
      <c r="V110">
        <v>-1.7</v>
      </c>
      <c r="W110" t="s">
        <v>2041</v>
      </c>
      <c r="X110" t="s">
        <v>2041</v>
      </c>
      <c r="Y110" t="s">
        <v>19</v>
      </c>
      <c r="Z110" t="str">
        <f t="shared" si="3"/>
        <v>Y</v>
      </c>
      <c r="AA110" t="s">
        <v>2219</v>
      </c>
      <c r="AB110" t="s">
        <v>2220</v>
      </c>
      <c r="AC110" t="s">
        <v>2221</v>
      </c>
      <c r="AD110" t="s">
        <v>595</v>
      </c>
      <c r="AE110" s="9" t="s">
        <v>2045</v>
      </c>
      <c r="AF110" s="9" t="s">
        <v>2041</v>
      </c>
      <c r="AG110" t="s">
        <v>595</v>
      </c>
    </row>
    <row r="111" spans="1:33" ht="15.5">
      <c r="A111">
        <v>117</v>
      </c>
      <c r="B111" t="s">
        <v>19</v>
      </c>
      <c r="C111" t="s">
        <v>2248</v>
      </c>
      <c r="E111">
        <v>2015</v>
      </c>
      <c r="F111" t="s">
        <v>2216</v>
      </c>
      <c r="G111" t="s">
        <v>2035</v>
      </c>
      <c r="H111" s="7">
        <v>34</v>
      </c>
      <c r="I111" s="6">
        <v>-122</v>
      </c>
      <c r="J111" s="6">
        <v>1951</v>
      </c>
      <c r="K111" s="6">
        <v>2008</v>
      </c>
      <c r="L111" s="6">
        <f t="shared" si="2"/>
        <v>58</v>
      </c>
      <c r="M111" t="s">
        <v>2036</v>
      </c>
      <c r="N111" t="s">
        <v>2141</v>
      </c>
      <c r="O111" t="s">
        <v>2217</v>
      </c>
      <c r="P111" t="s">
        <v>161</v>
      </c>
      <c r="Q111" t="s">
        <v>2249</v>
      </c>
      <c r="R111" s="8" t="s">
        <v>2218</v>
      </c>
      <c r="S111" s="8" t="s">
        <v>2039</v>
      </c>
      <c r="T111">
        <v>105</v>
      </c>
      <c r="U111" s="13" t="s">
        <v>2053</v>
      </c>
      <c r="V111">
        <v>-8.1999999999999993</v>
      </c>
      <c r="W111" t="s">
        <v>2041</v>
      </c>
      <c r="X111" t="s">
        <v>2041</v>
      </c>
      <c r="Y111" t="s">
        <v>19</v>
      </c>
      <c r="Z111" t="str">
        <f t="shared" si="3"/>
        <v>Y</v>
      </c>
      <c r="AA111" t="s">
        <v>2219</v>
      </c>
      <c r="AB111" t="s">
        <v>2220</v>
      </c>
      <c r="AC111" t="s">
        <v>2221</v>
      </c>
      <c r="AD111" t="s">
        <v>595</v>
      </c>
      <c r="AE111" s="9" t="s">
        <v>2045</v>
      </c>
      <c r="AF111" s="9" t="s">
        <v>2041</v>
      </c>
      <c r="AG111" t="s">
        <v>595</v>
      </c>
    </row>
    <row r="112" spans="1:33" ht="15.5">
      <c r="A112">
        <v>118</v>
      </c>
      <c r="B112" t="s">
        <v>19</v>
      </c>
      <c r="C112" t="s">
        <v>2250</v>
      </c>
      <c r="E112">
        <v>2015</v>
      </c>
      <c r="F112" t="s">
        <v>2216</v>
      </c>
      <c r="G112" t="s">
        <v>2035</v>
      </c>
      <c r="H112" s="7">
        <v>34</v>
      </c>
      <c r="I112" s="6">
        <v>-122</v>
      </c>
      <c r="J112" s="6">
        <v>1951</v>
      </c>
      <c r="K112" s="6">
        <v>2008</v>
      </c>
      <c r="L112" s="6">
        <f t="shared" si="2"/>
        <v>58</v>
      </c>
      <c r="M112" t="s">
        <v>2036</v>
      </c>
      <c r="N112" t="s">
        <v>2141</v>
      </c>
      <c r="O112" t="s">
        <v>2217</v>
      </c>
      <c r="P112" t="s">
        <v>161</v>
      </c>
      <c r="Q112" t="s">
        <v>2251</v>
      </c>
      <c r="R112" s="8" t="s">
        <v>2218</v>
      </c>
      <c r="S112" s="8" t="s">
        <v>2039</v>
      </c>
      <c r="T112">
        <v>74</v>
      </c>
      <c r="U112" s="13" t="s">
        <v>2053</v>
      </c>
      <c r="V112">
        <v>-2.4</v>
      </c>
      <c r="W112" t="s">
        <v>2041</v>
      </c>
      <c r="X112" t="s">
        <v>2041</v>
      </c>
      <c r="Y112" t="s">
        <v>19</v>
      </c>
      <c r="Z112" t="str">
        <f t="shared" si="3"/>
        <v>Y</v>
      </c>
      <c r="AA112" t="s">
        <v>2219</v>
      </c>
      <c r="AB112" t="s">
        <v>2220</v>
      </c>
      <c r="AC112" t="s">
        <v>2221</v>
      </c>
      <c r="AD112" t="s">
        <v>595</v>
      </c>
      <c r="AE112" s="9" t="s">
        <v>2045</v>
      </c>
      <c r="AF112" s="9" t="s">
        <v>2041</v>
      </c>
      <c r="AG112" t="s">
        <v>595</v>
      </c>
    </row>
    <row r="113" spans="1:33" ht="15.5">
      <c r="A113">
        <v>119</v>
      </c>
      <c r="B113" t="s">
        <v>19</v>
      </c>
      <c r="C113" t="s">
        <v>2252</v>
      </c>
      <c r="E113">
        <v>2015</v>
      </c>
      <c r="F113" t="s">
        <v>2216</v>
      </c>
      <c r="G113" t="s">
        <v>2035</v>
      </c>
      <c r="H113" s="7">
        <v>34</v>
      </c>
      <c r="I113" s="6">
        <v>-122</v>
      </c>
      <c r="J113" s="6">
        <v>1951</v>
      </c>
      <c r="K113" s="6">
        <v>2008</v>
      </c>
      <c r="L113" s="6">
        <f t="shared" si="2"/>
        <v>58</v>
      </c>
      <c r="M113" t="s">
        <v>2036</v>
      </c>
      <c r="N113" t="s">
        <v>2141</v>
      </c>
      <c r="O113" t="s">
        <v>2217</v>
      </c>
      <c r="P113" t="s">
        <v>161</v>
      </c>
      <c r="Q113" t="s">
        <v>1189</v>
      </c>
      <c r="R113" s="8" t="s">
        <v>2218</v>
      </c>
      <c r="S113" s="8" t="s">
        <v>2039</v>
      </c>
      <c r="T113">
        <v>258</v>
      </c>
      <c r="U113" s="13" t="s">
        <v>2040</v>
      </c>
      <c r="V113">
        <v>-6.2</v>
      </c>
      <c r="W113" t="s">
        <v>2041</v>
      </c>
      <c r="X113" t="s">
        <v>2041</v>
      </c>
      <c r="Y113" t="s">
        <v>19</v>
      </c>
      <c r="Z113" t="str">
        <f t="shared" si="3"/>
        <v>Y</v>
      </c>
      <c r="AA113" t="s">
        <v>2219</v>
      </c>
      <c r="AB113" t="s">
        <v>2220</v>
      </c>
      <c r="AC113" t="s">
        <v>2221</v>
      </c>
      <c r="AD113" t="s">
        <v>595</v>
      </c>
      <c r="AE113" s="9" t="s">
        <v>2045</v>
      </c>
      <c r="AF113" s="9" t="s">
        <v>2041</v>
      </c>
      <c r="AG113" t="s">
        <v>595</v>
      </c>
    </row>
    <row r="114" spans="1:33" ht="15.5">
      <c r="A114">
        <v>120</v>
      </c>
      <c r="B114" t="s">
        <v>19</v>
      </c>
      <c r="C114" t="s">
        <v>2253</v>
      </c>
      <c r="E114">
        <v>2015</v>
      </c>
      <c r="F114" t="s">
        <v>2216</v>
      </c>
      <c r="G114" t="s">
        <v>2035</v>
      </c>
      <c r="H114" s="7">
        <v>34</v>
      </c>
      <c r="I114" s="6">
        <v>-122</v>
      </c>
      <c r="J114" s="6">
        <v>1951</v>
      </c>
      <c r="K114" s="6">
        <v>2008</v>
      </c>
      <c r="L114" s="6">
        <f t="shared" si="2"/>
        <v>58</v>
      </c>
      <c r="M114" t="s">
        <v>2036</v>
      </c>
      <c r="N114" t="s">
        <v>2141</v>
      </c>
      <c r="O114" t="s">
        <v>2217</v>
      </c>
      <c r="P114" t="s">
        <v>161</v>
      </c>
      <c r="Q114" t="s">
        <v>82</v>
      </c>
      <c r="R114" s="8" t="s">
        <v>2218</v>
      </c>
      <c r="S114" s="8" t="s">
        <v>2039</v>
      </c>
      <c r="T114">
        <v>46</v>
      </c>
      <c r="U114" s="13" t="s">
        <v>2113</v>
      </c>
      <c r="V114">
        <v>-3</v>
      </c>
      <c r="W114" t="s">
        <v>2041</v>
      </c>
      <c r="X114" t="s">
        <v>2041</v>
      </c>
      <c r="Y114" t="s">
        <v>19</v>
      </c>
      <c r="Z114" t="str">
        <f t="shared" si="3"/>
        <v>Y</v>
      </c>
      <c r="AA114" t="s">
        <v>2219</v>
      </c>
      <c r="AB114" t="s">
        <v>2220</v>
      </c>
      <c r="AC114" t="s">
        <v>2221</v>
      </c>
      <c r="AD114" t="s">
        <v>595</v>
      </c>
      <c r="AE114" s="9" t="s">
        <v>2045</v>
      </c>
      <c r="AF114" s="9" t="s">
        <v>2041</v>
      </c>
      <c r="AG114" t="s">
        <v>595</v>
      </c>
    </row>
    <row r="115" spans="1:33" ht="15.5">
      <c r="A115">
        <v>121</v>
      </c>
      <c r="B115" t="s">
        <v>19</v>
      </c>
      <c r="C115" t="s">
        <v>2254</v>
      </c>
      <c r="E115">
        <v>2015</v>
      </c>
      <c r="F115" t="s">
        <v>2216</v>
      </c>
      <c r="G115" t="s">
        <v>2035</v>
      </c>
      <c r="H115" s="7">
        <v>34</v>
      </c>
      <c r="I115" s="6">
        <v>-122</v>
      </c>
      <c r="J115" s="6">
        <v>1951</v>
      </c>
      <c r="K115" s="6">
        <v>2008</v>
      </c>
      <c r="L115" s="6">
        <f t="shared" si="2"/>
        <v>58</v>
      </c>
      <c r="M115" t="s">
        <v>2036</v>
      </c>
      <c r="N115" t="s">
        <v>2141</v>
      </c>
      <c r="O115" t="s">
        <v>2217</v>
      </c>
      <c r="P115" t="s">
        <v>161</v>
      </c>
      <c r="Q115" t="s">
        <v>2255</v>
      </c>
      <c r="R115" s="8" t="s">
        <v>2218</v>
      </c>
      <c r="S115" s="8" t="s">
        <v>2039</v>
      </c>
      <c r="T115">
        <v>74</v>
      </c>
      <c r="U115" s="13" t="s">
        <v>2053</v>
      </c>
      <c r="V115">
        <v>0.4</v>
      </c>
      <c r="W115" s="12" t="s">
        <v>2058</v>
      </c>
      <c r="X115" t="s">
        <v>2041</v>
      </c>
      <c r="Y115" t="s">
        <v>19</v>
      </c>
      <c r="Z115" t="str">
        <f t="shared" si="3"/>
        <v>Y</v>
      </c>
      <c r="AA115" t="s">
        <v>2219</v>
      </c>
      <c r="AB115" t="s">
        <v>2220</v>
      </c>
      <c r="AC115" t="s">
        <v>2221</v>
      </c>
      <c r="AD115" t="s">
        <v>595</v>
      </c>
      <c r="AE115" s="9" t="s">
        <v>2045</v>
      </c>
      <c r="AF115" s="9" t="s">
        <v>2041</v>
      </c>
      <c r="AG115" t="s">
        <v>595</v>
      </c>
    </row>
    <row r="116" spans="1:33" ht="15.5">
      <c r="A116">
        <v>122</v>
      </c>
      <c r="B116" t="s">
        <v>19</v>
      </c>
      <c r="C116" t="s">
        <v>2256</v>
      </c>
      <c r="E116">
        <v>2015</v>
      </c>
      <c r="F116" t="s">
        <v>2216</v>
      </c>
      <c r="G116" t="s">
        <v>2035</v>
      </c>
      <c r="H116" s="7">
        <v>34</v>
      </c>
      <c r="I116" s="6">
        <v>-122</v>
      </c>
      <c r="J116" s="6">
        <v>1951</v>
      </c>
      <c r="K116" s="6">
        <v>2008</v>
      </c>
      <c r="L116" s="6">
        <f t="shared" si="2"/>
        <v>58</v>
      </c>
      <c r="M116" t="s">
        <v>2036</v>
      </c>
      <c r="N116" t="s">
        <v>2141</v>
      </c>
      <c r="O116" t="s">
        <v>2217</v>
      </c>
      <c r="P116" t="s">
        <v>161</v>
      </c>
      <c r="Q116" t="s">
        <v>70</v>
      </c>
      <c r="R116" s="8" t="s">
        <v>2218</v>
      </c>
      <c r="S116" s="8" t="s">
        <v>2039</v>
      </c>
      <c r="T116">
        <v>135</v>
      </c>
      <c r="U116" s="13" t="s">
        <v>2053</v>
      </c>
      <c r="V116">
        <v>-5.4</v>
      </c>
      <c r="W116" t="s">
        <v>2041</v>
      </c>
      <c r="X116" t="s">
        <v>2041</v>
      </c>
      <c r="Y116" t="s">
        <v>19</v>
      </c>
      <c r="Z116" t="str">
        <f t="shared" si="3"/>
        <v>Y</v>
      </c>
      <c r="AA116" t="s">
        <v>2219</v>
      </c>
      <c r="AB116" t="s">
        <v>2220</v>
      </c>
      <c r="AC116" t="s">
        <v>2221</v>
      </c>
      <c r="AD116" t="s">
        <v>595</v>
      </c>
      <c r="AE116" s="9" t="s">
        <v>2045</v>
      </c>
      <c r="AF116" s="9" t="s">
        <v>2041</v>
      </c>
      <c r="AG116" t="s">
        <v>595</v>
      </c>
    </row>
    <row r="117" spans="1:33" ht="15.5">
      <c r="A117">
        <v>123</v>
      </c>
      <c r="B117" t="s">
        <v>19</v>
      </c>
      <c r="C117" t="s">
        <v>2257</v>
      </c>
      <c r="E117">
        <v>2015</v>
      </c>
      <c r="F117" t="s">
        <v>2216</v>
      </c>
      <c r="G117" t="s">
        <v>2035</v>
      </c>
      <c r="H117" s="7">
        <v>34</v>
      </c>
      <c r="I117" s="6">
        <v>-122</v>
      </c>
      <c r="J117" s="6">
        <v>1951</v>
      </c>
      <c r="K117" s="6">
        <v>2008</v>
      </c>
      <c r="L117" s="6">
        <f t="shared" si="2"/>
        <v>58</v>
      </c>
      <c r="M117" t="s">
        <v>2036</v>
      </c>
      <c r="N117" t="s">
        <v>2141</v>
      </c>
      <c r="O117" t="s">
        <v>2217</v>
      </c>
      <c r="P117" t="s">
        <v>161</v>
      </c>
      <c r="Q117" t="s">
        <v>1135</v>
      </c>
      <c r="R117" s="8" t="s">
        <v>2218</v>
      </c>
      <c r="S117" s="8" t="s">
        <v>2039</v>
      </c>
      <c r="T117">
        <v>288</v>
      </c>
      <c r="U117" s="13" t="s">
        <v>2040</v>
      </c>
      <c r="V117">
        <v>-12.3</v>
      </c>
      <c r="W117" t="s">
        <v>2041</v>
      </c>
      <c r="X117" t="s">
        <v>2041</v>
      </c>
      <c r="Y117" t="s">
        <v>19</v>
      </c>
      <c r="Z117" t="str">
        <f t="shared" si="3"/>
        <v>Y</v>
      </c>
      <c r="AA117" t="s">
        <v>2219</v>
      </c>
      <c r="AB117" t="s">
        <v>2220</v>
      </c>
      <c r="AC117" t="s">
        <v>2221</v>
      </c>
      <c r="AD117" t="s">
        <v>595</v>
      </c>
      <c r="AE117" s="9" t="s">
        <v>2045</v>
      </c>
      <c r="AF117" s="9" t="s">
        <v>2041</v>
      </c>
      <c r="AG117" t="s">
        <v>595</v>
      </c>
    </row>
    <row r="118" spans="1:33" ht="15.5">
      <c r="A118">
        <v>124</v>
      </c>
      <c r="B118" t="s">
        <v>19</v>
      </c>
      <c r="C118" t="s">
        <v>2258</v>
      </c>
      <c r="E118">
        <v>2015</v>
      </c>
      <c r="F118" t="s">
        <v>2216</v>
      </c>
      <c r="G118" t="s">
        <v>2035</v>
      </c>
      <c r="H118" s="7">
        <v>34</v>
      </c>
      <c r="I118" s="6">
        <v>-122</v>
      </c>
      <c r="J118" s="6">
        <v>1951</v>
      </c>
      <c r="K118" s="6">
        <v>2008</v>
      </c>
      <c r="L118" s="6">
        <f t="shared" si="2"/>
        <v>58</v>
      </c>
      <c r="M118" t="s">
        <v>2036</v>
      </c>
      <c r="N118" t="s">
        <v>2141</v>
      </c>
      <c r="O118" t="s">
        <v>2217</v>
      </c>
      <c r="P118" t="s">
        <v>161</v>
      </c>
      <c r="Q118" t="s">
        <v>1125</v>
      </c>
      <c r="R118" s="8" t="s">
        <v>2218</v>
      </c>
      <c r="S118" s="8" t="s">
        <v>2039</v>
      </c>
      <c r="T118">
        <v>46</v>
      </c>
      <c r="U118" s="13" t="s">
        <v>2113</v>
      </c>
      <c r="V118">
        <v>6.7</v>
      </c>
      <c r="W118" s="12" t="s">
        <v>2058</v>
      </c>
      <c r="X118" t="s">
        <v>2041</v>
      </c>
      <c r="Y118" t="s">
        <v>19</v>
      </c>
      <c r="Z118" t="str">
        <f t="shared" si="3"/>
        <v>Y</v>
      </c>
      <c r="AA118" t="s">
        <v>2219</v>
      </c>
      <c r="AB118" t="s">
        <v>2220</v>
      </c>
      <c r="AC118" t="s">
        <v>2221</v>
      </c>
      <c r="AD118" t="s">
        <v>595</v>
      </c>
      <c r="AE118" s="9" t="s">
        <v>2045</v>
      </c>
      <c r="AF118" s="9" t="s">
        <v>2041</v>
      </c>
      <c r="AG118" t="s">
        <v>595</v>
      </c>
    </row>
    <row r="119" spans="1:33" ht="15.5">
      <c r="A119">
        <v>125</v>
      </c>
      <c r="B119" t="s">
        <v>19</v>
      </c>
      <c r="C119" t="s">
        <v>2259</v>
      </c>
      <c r="E119">
        <v>2015</v>
      </c>
      <c r="F119" t="s">
        <v>2216</v>
      </c>
      <c r="G119" t="s">
        <v>2035</v>
      </c>
      <c r="H119" s="7">
        <v>34</v>
      </c>
      <c r="I119" s="6">
        <v>-122</v>
      </c>
      <c r="J119" s="6">
        <v>1951</v>
      </c>
      <c r="K119" s="6">
        <v>2008</v>
      </c>
      <c r="L119" s="6">
        <f t="shared" si="2"/>
        <v>58</v>
      </c>
      <c r="M119" t="s">
        <v>2036</v>
      </c>
      <c r="N119" t="s">
        <v>2141</v>
      </c>
      <c r="O119" t="s">
        <v>2217</v>
      </c>
      <c r="P119" t="s">
        <v>161</v>
      </c>
      <c r="Q119" t="s">
        <v>64</v>
      </c>
      <c r="R119" s="8" t="s">
        <v>2218</v>
      </c>
      <c r="S119" s="8" t="s">
        <v>2039</v>
      </c>
      <c r="T119">
        <v>46</v>
      </c>
      <c r="U119" s="13" t="s">
        <v>2113</v>
      </c>
      <c r="V119">
        <v>-2.8</v>
      </c>
      <c r="W119" t="s">
        <v>2041</v>
      </c>
      <c r="X119" t="s">
        <v>2041</v>
      </c>
      <c r="Y119" t="s">
        <v>19</v>
      </c>
      <c r="Z119" t="str">
        <f t="shared" si="3"/>
        <v>Y</v>
      </c>
      <c r="AA119" t="s">
        <v>2219</v>
      </c>
      <c r="AB119" t="s">
        <v>2220</v>
      </c>
      <c r="AC119" t="s">
        <v>2221</v>
      </c>
      <c r="AD119" t="s">
        <v>595</v>
      </c>
      <c r="AE119" s="9" t="s">
        <v>2045</v>
      </c>
      <c r="AF119" s="9" t="s">
        <v>2041</v>
      </c>
      <c r="AG119" t="s">
        <v>595</v>
      </c>
    </row>
    <row r="120" spans="1:33" ht="15.5">
      <c r="A120">
        <v>126</v>
      </c>
      <c r="B120" t="s">
        <v>19</v>
      </c>
      <c r="C120" t="s">
        <v>2260</v>
      </c>
      <c r="E120">
        <v>2015</v>
      </c>
      <c r="F120" t="s">
        <v>2216</v>
      </c>
      <c r="G120" t="s">
        <v>2035</v>
      </c>
      <c r="H120" s="7">
        <v>34</v>
      </c>
      <c r="I120" s="6">
        <v>-122</v>
      </c>
      <c r="J120" s="6">
        <v>1951</v>
      </c>
      <c r="K120" s="6">
        <v>2008</v>
      </c>
      <c r="L120" s="6">
        <f t="shared" si="2"/>
        <v>58</v>
      </c>
      <c r="M120" t="s">
        <v>2036</v>
      </c>
      <c r="N120" t="s">
        <v>2141</v>
      </c>
      <c r="O120" t="s">
        <v>2217</v>
      </c>
      <c r="P120" t="s">
        <v>161</v>
      </c>
      <c r="Q120" t="s">
        <v>89</v>
      </c>
      <c r="R120" s="8" t="s">
        <v>2218</v>
      </c>
      <c r="S120" s="8" t="s">
        <v>2039</v>
      </c>
      <c r="T120">
        <v>15</v>
      </c>
      <c r="U120" s="13" t="s">
        <v>2113</v>
      </c>
      <c r="V120">
        <v>1.6</v>
      </c>
      <c r="W120" s="12" t="s">
        <v>2058</v>
      </c>
      <c r="X120" t="s">
        <v>2041</v>
      </c>
      <c r="Y120" t="s">
        <v>19</v>
      </c>
      <c r="Z120" t="str">
        <f t="shared" si="3"/>
        <v>Y</v>
      </c>
      <c r="AA120" t="s">
        <v>2219</v>
      </c>
      <c r="AB120" t="s">
        <v>2220</v>
      </c>
      <c r="AC120" t="s">
        <v>2221</v>
      </c>
      <c r="AD120" t="s">
        <v>595</v>
      </c>
      <c r="AE120" s="9" t="s">
        <v>2045</v>
      </c>
      <c r="AF120" s="9" t="s">
        <v>2041</v>
      </c>
      <c r="AG120" t="s">
        <v>595</v>
      </c>
    </row>
    <row r="121" spans="1:33" ht="15.5">
      <c r="A121">
        <v>127</v>
      </c>
      <c r="B121" t="s">
        <v>19</v>
      </c>
      <c r="C121" t="s">
        <v>2261</v>
      </c>
      <c r="E121">
        <v>2015</v>
      </c>
      <c r="F121" t="s">
        <v>2216</v>
      </c>
      <c r="G121" t="s">
        <v>2035</v>
      </c>
      <c r="H121" s="7">
        <v>34</v>
      </c>
      <c r="I121" s="6">
        <v>-122</v>
      </c>
      <c r="J121" s="6">
        <v>1951</v>
      </c>
      <c r="K121" s="6">
        <v>2008</v>
      </c>
      <c r="L121" s="6">
        <f t="shared" si="2"/>
        <v>58</v>
      </c>
      <c r="M121" t="s">
        <v>2036</v>
      </c>
      <c r="N121" t="s">
        <v>2141</v>
      </c>
      <c r="O121" t="s">
        <v>2217</v>
      </c>
      <c r="P121" t="s">
        <v>161</v>
      </c>
      <c r="Q121" t="s">
        <v>71</v>
      </c>
      <c r="R121" s="8" t="s">
        <v>2218</v>
      </c>
      <c r="S121" s="8" t="s">
        <v>2039</v>
      </c>
      <c r="T121">
        <v>166</v>
      </c>
      <c r="U121" s="13" t="s">
        <v>2101</v>
      </c>
      <c r="V121">
        <v>-6.7</v>
      </c>
      <c r="W121" t="s">
        <v>2041</v>
      </c>
      <c r="X121" t="s">
        <v>2041</v>
      </c>
      <c r="Y121" t="s">
        <v>19</v>
      </c>
      <c r="Z121" t="str">
        <f t="shared" si="3"/>
        <v>Y</v>
      </c>
      <c r="AA121" t="s">
        <v>2219</v>
      </c>
      <c r="AB121" t="s">
        <v>2220</v>
      </c>
      <c r="AC121" t="s">
        <v>2221</v>
      </c>
      <c r="AD121" t="s">
        <v>595</v>
      </c>
      <c r="AE121" s="9" t="s">
        <v>2045</v>
      </c>
      <c r="AF121" s="9" t="s">
        <v>2041</v>
      </c>
      <c r="AG121" t="s">
        <v>595</v>
      </c>
    </row>
    <row r="122" spans="1:33" ht="15.5">
      <c r="A122">
        <v>128</v>
      </c>
      <c r="B122" t="s">
        <v>19</v>
      </c>
      <c r="C122" t="s">
        <v>2262</v>
      </c>
      <c r="E122">
        <v>2015</v>
      </c>
      <c r="F122" t="s">
        <v>2216</v>
      </c>
      <c r="G122" t="s">
        <v>2035</v>
      </c>
      <c r="H122" s="7">
        <v>34</v>
      </c>
      <c r="I122" s="6">
        <v>-122</v>
      </c>
      <c r="J122" s="6">
        <v>1951</v>
      </c>
      <c r="K122" s="6">
        <v>2008</v>
      </c>
      <c r="L122" s="6">
        <f t="shared" si="2"/>
        <v>58</v>
      </c>
      <c r="M122" t="s">
        <v>2036</v>
      </c>
      <c r="N122" t="s">
        <v>2141</v>
      </c>
      <c r="O122" t="s">
        <v>2217</v>
      </c>
      <c r="P122" t="s">
        <v>161</v>
      </c>
      <c r="Q122" t="s">
        <v>1173</v>
      </c>
      <c r="R122" s="8" t="s">
        <v>2218</v>
      </c>
      <c r="S122" s="8" t="s">
        <v>2039</v>
      </c>
      <c r="T122">
        <v>227</v>
      </c>
      <c r="U122" s="13" t="s">
        <v>2101</v>
      </c>
      <c r="V122">
        <v>3</v>
      </c>
      <c r="W122" s="12" t="s">
        <v>2058</v>
      </c>
      <c r="X122" t="s">
        <v>2041</v>
      </c>
      <c r="Y122" t="s">
        <v>19</v>
      </c>
      <c r="Z122" t="str">
        <f t="shared" si="3"/>
        <v>Y</v>
      </c>
      <c r="AA122" t="s">
        <v>2219</v>
      </c>
      <c r="AB122" t="s">
        <v>2220</v>
      </c>
      <c r="AC122" t="s">
        <v>2221</v>
      </c>
      <c r="AD122" t="s">
        <v>595</v>
      </c>
      <c r="AE122" s="9" t="s">
        <v>2045</v>
      </c>
      <c r="AF122" s="9" t="s">
        <v>2041</v>
      </c>
      <c r="AG122" t="s">
        <v>595</v>
      </c>
    </row>
    <row r="123" spans="1:33" ht="15.5">
      <c r="A123">
        <v>129</v>
      </c>
      <c r="B123" t="s">
        <v>19</v>
      </c>
      <c r="C123" t="s">
        <v>2263</v>
      </c>
      <c r="E123">
        <v>2015</v>
      </c>
      <c r="F123" t="s">
        <v>2216</v>
      </c>
      <c r="G123" t="s">
        <v>2035</v>
      </c>
      <c r="H123" s="7">
        <v>34</v>
      </c>
      <c r="I123" s="6">
        <v>-122</v>
      </c>
      <c r="J123" s="6">
        <v>1951</v>
      </c>
      <c r="K123" s="6">
        <v>2008</v>
      </c>
      <c r="L123" s="6">
        <f t="shared" si="2"/>
        <v>58</v>
      </c>
      <c r="M123" t="s">
        <v>2036</v>
      </c>
      <c r="N123" t="s">
        <v>2141</v>
      </c>
      <c r="O123" t="s">
        <v>2217</v>
      </c>
      <c r="P123" t="s">
        <v>161</v>
      </c>
      <c r="Q123" t="s">
        <v>2264</v>
      </c>
      <c r="R123" s="8" t="s">
        <v>2218</v>
      </c>
      <c r="S123" s="8" t="s">
        <v>2039</v>
      </c>
      <c r="T123">
        <v>227</v>
      </c>
      <c r="U123" s="13" t="s">
        <v>2101</v>
      </c>
      <c r="V123">
        <v>-6.9</v>
      </c>
      <c r="W123" t="s">
        <v>2041</v>
      </c>
      <c r="X123" t="s">
        <v>2041</v>
      </c>
      <c r="Y123" t="s">
        <v>19</v>
      </c>
      <c r="Z123" t="str">
        <f t="shared" si="3"/>
        <v>Y</v>
      </c>
      <c r="AA123" t="s">
        <v>2219</v>
      </c>
      <c r="AB123" t="s">
        <v>2220</v>
      </c>
      <c r="AC123" t="s">
        <v>2221</v>
      </c>
      <c r="AD123" t="s">
        <v>595</v>
      </c>
      <c r="AE123" s="9" t="s">
        <v>2045</v>
      </c>
      <c r="AF123" s="9" t="s">
        <v>2041</v>
      </c>
      <c r="AG123" t="s">
        <v>595</v>
      </c>
    </row>
    <row r="124" spans="1:33" ht="15.5">
      <c r="A124">
        <v>130</v>
      </c>
      <c r="B124" t="s">
        <v>19</v>
      </c>
      <c r="C124" t="s">
        <v>2265</v>
      </c>
      <c r="E124">
        <v>2015</v>
      </c>
      <c r="F124" t="s">
        <v>2216</v>
      </c>
      <c r="G124" t="s">
        <v>2035</v>
      </c>
      <c r="H124" s="7">
        <v>34</v>
      </c>
      <c r="I124" s="6">
        <v>-122</v>
      </c>
      <c r="J124" s="6">
        <v>1951</v>
      </c>
      <c r="K124" s="6">
        <v>2008</v>
      </c>
      <c r="L124" s="6">
        <f t="shared" si="2"/>
        <v>58</v>
      </c>
      <c r="M124" t="s">
        <v>2036</v>
      </c>
      <c r="N124" t="s">
        <v>2141</v>
      </c>
      <c r="O124" t="s">
        <v>2217</v>
      </c>
      <c r="P124" t="s">
        <v>161</v>
      </c>
      <c r="Q124" t="s">
        <v>61</v>
      </c>
      <c r="R124" s="8" t="s">
        <v>2218</v>
      </c>
      <c r="S124" s="8" t="s">
        <v>2039</v>
      </c>
      <c r="T124">
        <v>135</v>
      </c>
      <c r="U124" s="13" t="s">
        <v>2053</v>
      </c>
      <c r="V124">
        <v>-1</v>
      </c>
      <c r="W124" t="s">
        <v>2041</v>
      </c>
      <c r="X124" t="s">
        <v>2041</v>
      </c>
      <c r="Y124" t="s">
        <v>19</v>
      </c>
      <c r="Z124" t="str">
        <f t="shared" si="3"/>
        <v>Y</v>
      </c>
      <c r="AA124" t="s">
        <v>2219</v>
      </c>
      <c r="AB124" t="s">
        <v>2220</v>
      </c>
      <c r="AC124" t="s">
        <v>2221</v>
      </c>
      <c r="AD124" t="s">
        <v>595</v>
      </c>
      <c r="AE124" s="9" t="s">
        <v>2045</v>
      </c>
      <c r="AF124" s="9" t="s">
        <v>2041</v>
      </c>
      <c r="AG124" t="s">
        <v>595</v>
      </c>
    </row>
    <row r="125" spans="1:33" ht="15.5">
      <c r="A125">
        <v>131</v>
      </c>
      <c r="B125" t="s">
        <v>19</v>
      </c>
      <c r="C125" t="s">
        <v>2266</v>
      </c>
      <c r="E125">
        <v>2015</v>
      </c>
      <c r="F125" t="s">
        <v>2216</v>
      </c>
      <c r="G125" t="s">
        <v>2035</v>
      </c>
      <c r="H125" s="7">
        <v>34</v>
      </c>
      <c r="I125" s="6">
        <v>-122</v>
      </c>
      <c r="J125" s="6">
        <v>1951</v>
      </c>
      <c r="K125" s="6">
        <v>2008</v>
      </c>
      <c r="L125" s="6">
        <f t="shared" si="2"/>
        <v>58</v>
      </c>
      <c r="M125" t="s">
        <v>2036</v>
      </c>
      <c r="N125" t="s">
        <v>2141</v>
      </c>
      <c r="O125" t="s">
        <v>2217</v>
      </c>
      <c r="P125" t="s">
        <v>161</v>
      </c>
      <c r="Q125" t="s">
        <v>74</v>
      </c>
      <c r="R125" s="8" t="s">
        <v>2218</v>
      </c>
      <c r="S125" s="8" t="s">
        <v>2039</v>
      </c>
      <c r="T125">
        <v>166</v>
      </c>
      <c r="U125" s="13" t="s">
        <v>2101</v>
      </c>
      <c r="V125">
        <v>-5.6</v>
      </c>
      <c r="W125" t="s">
        <v>2041</v>
      </c>
      <c r="X125" t="s">
        <v>2041</v>
      </c>
      <c r="Y125" t="s">
        <v>19</v>
      </c>
      <c r="Z125" t="str">
        <f t="shared" si="3"/>
        <v>Y</v>
      </c>
      <c r="AA125" t="s">
        <v>2219</v>
      </c>
      <c r="AB125" t="s">
        <v>2220</v>
      </c>
      <c r="AC125" t="s">
        <v>2221</v>
      </c>
      <c r="AD125" t="s">
        <v>595</v>
      </c>
      <c r="AE125" s="9" t="s">
        <v>2045</v>
      </c>
      <c r="AF125" s="9" t="s">
        <v>2041</v>
      </c>
      <c r="AG125" t="s">
        <v>595</v>
      </c>
    </row>
    <row r="126" spans="1:33" ht="15.5">
      <c r="A126">
        <v>132</v>
      </c>
      <c r="B126" t="s">
        <v>19</v>
      </c>
      <c r="C126" t="s">
        <v>2267</v>
      </c>
      <c r="E126">
        <v>2015</v>
      </c>
      <c r="F126" t="s">
        <v>2216</v>
      </c>
      <c r="G126" t="s">
        <v>2035</v>
      </c>
      <c r="H126" s="7">
        <v>34</v>
      </c>
      <c r="I126" s="6">
        <v>-122</v>
      </c>
      <c r="J126" s="6">
        <v>1951</v>
      </c>
      <c r="K126" s="6">
        <v>2008</v>
      </c>
      <c r="L126" s="6">
        <f t="shared" si="2"/>
        <v>58</v>
      </c>
      <c r="M126" t="s">
        <v>2036</v>
      </c>
      <c r="N126" t="s">
        <v>2141</v>
      </c>
      <c r="O126" t="s">
        <v>2217</v>
      </c>
      <c r="P126" t="s">
        <v>161</v>
      </c>
      <c r="Q126" t="s">
        <v>86</v>
      </c>
      <c r="R126" s="8" t="s">
        <v>2218</v>
      </c>
      <c r="S126" s="8" t="s">
        <v>2039</v>
      </c>
      <c r="T126">
        <v>288</v>
      </c>
      <c r="U126" s="13" t="s">
        <v>2040</v>
      </c>
      <c r="V126">
        <v>3.5</v>
      </c>
      <c r="W126" s="12" t="s">
        <v>2058</v>
      </c>
      <c r="X126" t="s">
        <v>2041</v>
      </c>
      <c r="Y126" t="s">
        <v>19</v>
      </c>
      <c r="Z126" t="str">
        <f t="shared" si="3"/>
        <v>Y</v>
      </c>
      <c r="AA126" t="s">
        <v>2219</v>
      </c>
      <c r="AB126" t="s">
        <v>2220</v>
      </c>
      <c r="AC126" t="s">
        <v>2221</v>
      </c>
      <c r="AD126" t="s">
        <v>595</v>
      </c>
      <c r="AE126" s="9" t="s">
        <v>2045</v>
      </c>
      <c r="AF126" s="9" t="s">
        <v>2041</v>
      </c>
      <c r="AG126" t="s">
        <v>595</v>
      </c>
    </row>
    <row r="127" spans="1:33" ht="15.5">
      <c r="A127">
        <v>133</v>
      </c>
      <c r="B127" t="s">
        <v>19</v>
      </c>
      <c r="C127" t="s">
        <v>2268</v>
      </c>
      <c r="E127">
        <v>2015</v>
      </c>
      <c r="F127" t="s">
        <v>2216</v>
      </c>
      <c r="G127" t="s">
        <v>2035</v>
      </c>
      <c r="H127" s="7">
        <v>34</v>
      </c>
      <c r="I127" s="6">
        <v>-122</v>
      </c>
      <c r="J127" s="6">
        <v>1951</v>
      </c>
      <c r="K127" s="6">
        <v>2008</v>
      </c>
      <c r="L127" s="6">
        <f t="shared" si="2"/>
        <v>58</v>
      </c>
      <c r="M127" t="s">
        <v>2036</v>
      </c>
      <c r="N127" t="s">
        <v>2141</v>
      </c>
      <c r="O127" t="s">
        <v>2217</v>
      </c>
      <c r="P127" t="s">
        <v>161</v>
      </c>
      <c r="Q127" t="s">
        <v>2269</v>
      </c>
      <c r="R127" s="8" t="s">
        <v>2218</v>
      </c>
      <c r="S127" s="8" t="s">
        <v>2039</v>
      </c>
      <c r="T127">
        <v>46</v>
      </c>
      <c r="U127" s="13" t="s">
        <v>2113</v>
      </c>
      <c r="V127">
        <v>0.5</v>
      </c>
      <c r="W127" s="12" t="s">
        <v>2058</v>
      </c>
      <c r="X127" t="s">
        <v>2041</v>
      </c>
      <c r="Y127" t="s">
        <v>19</v>
      </c>
      <c r="Z127" t="str">
        <f t="shared" si="3"/>
        <v>Y</v>
      </c>
      <c r="AA127" t="s">
        <v>2219</v>
      </c>
      <c r="AB127" t="s">
        <v>2220</v>
      </c>
      <c r="AC127" t="s">
        <v>2221</v>
      </c>
      <c r="AD127" t="s">
        <v>595</v>
      </c>
      <c r="AE127" s="9" t="s">
        <v>2045</v>
      </c>
      <c r="AF127" s="9" t="s">
        <v>2041</v>
      </c>
      <c r="AG127" t="s">
        <v>595</v>
      </c>
    </row>
    <row r="128" spans="1:33" ht="15.5">
      <c r="A128">
        <v>133</v>
      </c>
      <c r="B128" t="s">
        <v>19</v>
      </c>
      <c r="C128" t="s">
        <v>2268</v>
      </c>
      <c r="E128">
        <v>2015</v>
      </c>
      <c r="F128" t="s">
        <v>2216</v>
      </c>
      <c r="G128" t="s">
        <v>2035</v>
      </c>
      <c r="H128" s="7">
        <v>34</v>
      </c>
      <c r="I128" s="6">
        <v>-122</v>
      </c>
      <c r="J128" s="6">
        <v>1951</v>
      </c>
      <c r="K128" s="6">
        <v>2008</v>
      </c>
      <c r="L128" s="6">
        <f t="shared" si="2"/>
        <v>58</v>
      </c>
      <c r="M128" t="s">
        <v>2036</v>
      </c>
      <c r="N128" t="s">
        <v>2141</v>
      </c>
      <c r="O128" t="s">
        <v>2217</v>
      </c>
      <c r="P128" t="s">
        <v>161</v>
      </c>
      <c r="Q128" t="s">
        <v>2270</v>
      </c>
      <c r="R128" s="8" t="s">
        <v>2218</v>
      </c>
      <c r="S128" s="8" t="s">
        <v>2039</v>
      </c>
      <c r="T128">
        <v>288</v>
      </c>
      <c r="U128" s="13" t="s">
        <v>2040</v>
      </c>
      <c r="V128">
        <v>5.4</v>
      </c>
      <c r="W128" s="12" t="s">
        <v>2058</v>
      </c>
      <c r="X128" t="s">
        <v>2041</v>
      </c>
      <c r="Y128" t="s">
        <v>19</v>
      </c>
      <c r="Z128" t="str">
        <f t="shared" si="3"/>
        <v>Y</v>
      </c>
      <c r="AA128" t="s">
        <v>2219</v>
      </c>
      <c r="AB128" t="s">
        <v>2220</v>
      </c>
      <c r="AD128" t="s">
        <v>595</v>
      </c>
      <c r="AE128" s="9" t="s">
        <v>2045</v>
      </c>
      <c r="AF128" s="9" t="s">
        <v>2058</v>
      </c>
      <c r="AG128" t="s">
        <v>595</v>
      </c>
    </row>
    <row r="129" spans="1:33" ht="15.5">
      <c r="A129">
        <v>134</v>
      </c>
      <c r="B129" t="s">
        <v>19</v>
      </c>
      <c r="C129" t="s">
        <v>2271</v>
      </c>
      <c r="E129">
        <v>2015</v>
      </c>
      <c r="F129" t="s">
        <v>2216</v>
      </c>
      <c r="G129" t="s">
        <v>2035</v>
      </c>
      <c r="H129" s="7">
        <v>34</v>
      </c>
      <c r="I129" s="6">
        <v>-122</v>
      </c>
      <c r="J129" s="6">
        <v>1951</v>
      </c>
      <c r="K129" s="6">
        <v>2008</v>
      </c>
      <c r="L129" s="6">
        <f t="shared" si="2"/>
        <v>58</v>
      </c>
      <c r="M129" t="s">
        <v>2036</v>
      </c>
      <c r="N129" t="s">
        <v>2141</v>
      </c>
      <c r="O129" t="s">
        <v>2217</v>
      </c>
      <c r="P129" t="s">
        <v>161</v>
      </c>
      <c r="Q129" t="s">
        <v>2272</v>
      </c>
      <c r="R129" s="8" t="s">
        <v>2218</v>
      </c>
      <c r="S129" s="8" t="s">
        <v>2039</v>
      </c>
      <c r="T129">
        <v>288</v>
      </c>
      <c r="U129" s="13" t="s">
        <v>2040</v>
      </c>
      <c r="V129">
        <v>16</v>
      </c>
      <c r="W129" s="12" t="s">
        <v>2058</v>
      </c>
      <c r="X129" t="s">
        <v>2041</v>
      </c>
      <c r="Y129" t="s">
        <v>19</v>
      </c>
      <c r="Z129" t="str">
        <f t="shared" si="3"/>
        <v>Y</v>
      </c>
      <c r="AA129" t="s">
        <v>2219</v>
      </c>
      <c r="AB129" t="s">
        <v>2220</v>
      </c>
      <c r="AC129" t="s">
        <v>2221</v>
      </c>
      <c r="AD129" t="s">
        <v>595</v>
      </c>
      <c r="AE129" s="9" t="s">
        <v>2045</v>
      </c>
      <c r="AF129" s="9" t="s">
        <v>2041</v>
      </c>
      <c r="AG129" t="s">
        <v>595</v>
      </c>
    </row>
    <row r="130" spans="1:33" ht="15.5">
      <c r="A130">
        <v>135</v>
      </c>
      <c r="B130" t="s">
        <v>19</v>
      </c>
      <c r="C130" t="s">
        <v>2273</v>
      </c>
      <c r="E130">
        <v>2015</v>
      </c>
      <c r="F130" t="s">
        <v>2216</v>
      </c>
      <c r="G130" t="s">
        <v>2035</v>
      </c>
      <c r="H130" s="7">
        <v>34</v>
      </c>
      <c r="I130" s="6">
        <v>-122</v>
      </c>
      <c r="J130" s="6">
        <v>1951</v>
      </c>
      <c r="K130" s="6">
        <v>2008</v>
      </c>
      <c r="L130" s="6">
        <f t="shared" ref="L130:L193" si="4">K130-J130+1</f>
        <v>58</v>
      </c>
      <c r="M130" t="s">
        <v>2036</v>
      </c>
      <c r="N130" t="s">
        <v>2141</v>
      </c>
      <c r="O130" t="s">
        <v>2217</v>
      </c>
      <c r="P130" t="s">
        <v>161</v>
      </c>
      <c r="Q130" t="s">
        <v>2274</v>
      </c>
      <c r="R130" s="8" t="s">
        <v>2218</v>
      </c>
      <c r="S130" s="8" t="s">
        <v>2039</v>
      </c>
      <c r="T130">
        <v>258</v>
      </c>
      <c r="U130" s="13" t="s">
        <v>2040</v>
      </c>
      <c r="V130">
        <v>-7</v>
      </c>
      <c r="W130" s="12" t="s">
        <v>2041</v>
      </c>
      <c r="X130" t="s">
        <v>2041</v>
      </c>
      <c r="Y130" t="s">
        <v>19</v>
      </c>
      <c r="Z130" t="str">
        <f t="shared" ref="Z130:Z193" si="5">IF(L130&gt;=19,"Y","N")</f>
        <v>Y</v>
      </c>
      <c r="AA130" t="s">
        <v>2219</v>
      </c>
      <c r="AB130" t="s">
        <v>2220</v>
      </c>
      <c r="AD130" t="s">
        <v>595</v>
      </c>
      <c r="AE130" s="9" t="s">
        <v>2045</v>
      </c>
      <c r="AF130" s="9" t="s">
        <v>2058</v>
      </c>
      <c r="AG130" t="s">
        <v>595</v>
      </c>
    </row>
    <row r="131" spans="1:33" ht="15.5">
      <c r="A131">
        <v>135</v>
      </c>
      <c r="B131" t="s">
        <v>19</v>
      </c>
      <c r="C131" t="s">
        <v>2273</v>
      </c>
      <c r="E131">
        <v>2015</v>
      </c>
      <c r="F131" t="s">
        <v>2216</v>
      </c>
      <c r="G131" t="s">
        <v>2035</v>
      </c>
      <c r="H131" s="7">
        <v>34</v>
      </c>
      <c r="I131" s="6">
        <v>-122</v>
      </c>
      <c r="J131" s="6">
        <v>1951</v>
      </c>
      <c r="K131" s="6">
        <v>2008</v>
      </c>
      <c r="L131" s="6">
        <f t="shared" si="4"/>
        <v>58</v>
      </c>
      <c r="M131" t="s">
        <v>2036</v>
      </c>
      <c r="N131" t="s">
        <v>2141</v>
      </c>
      <c r="O131" t="s">
        <v>2217</v>
      </c>
      <c r="P131" t="s">
        <v>161</v>
      </c>
      <c r="Q131" t="s">
        <v>2275</v>
      </c>
      <c r="R131" s="8" t="s">
        <v>2218</v>
      </c>
      <c r="S131" s="8" t="s">
        <v>2039</v>
      </c>
      <c r="T131">
        <v>319</v>
      </c>
      <c r="U131" s="13" t="s">
        <v>2040</v>
      </c>
      <c r="V131">
        <v>-7.9</v>
      </c>
      <c r="W131" t="s">
        <v>2041</v>
      </c>
      <c r="X131" t="s">
        <v>2041</v>
      </c>
      <c r="Y131" t="s">
        <v>19</v>
      </c>
      <c r="Z131" t="str">
        <f t="shared" si="5"/>
        <v>Y</v>
      </c>
      <c r="AA131" t="s">
        <v>2219</v>
      </c>
      <c r="AB131" t="s">
        <v>2220</v>
      </c>
      <c r="AD131" t="s">
        <v>595</v>
      </c>
      <c r="AE131" s="9" t="s">
        <v>2045</v>
      </c>
      <c r="AF131" s="9" t="s">
        <v>2058</v>
      </c>
      <c r="AG131" t="s">
        <v>595</v>
      </c>
    </row>
    <row r="132" spans="1:33" ht="15.5">
      <c r="A132">
        <v>135</v>
      </c>
      <c r="B132" t="s">
        <v>19</v>
      </c>
      <c r="C132" t="s">
        <v>2273</v>
      </c>
      <c r="E132">
        <v>2015</v>
      </c>
      <c r="F132" t="s">
        <v>2216</v>
      </c>
      <c r="G132" t="s">
        <v>2035</v>
      </c>
      <c r="H132" s="7">
        <v>34</v>
      </c>
      <c r="I132" s="6">
        <v>-122</v>
      </c>
      <c r="J132" s="6">
        <v>1951</v>
      </c>
      <c r="K132" s="6">
        <v>2008</v>
      </c>
      <c r="L132" s="6">
        <f t="shared" si="4"/>
        <v>58</v>
      </c>
      <c r="M132" t="s">
        <v>2036</v>
      </c>
      <c r="N132" t="s">
        <v>2141</v>
      </c>
      <c r="O132" t="s">
        <v>2217</v>
      </c>
      <c r="P132" t="s">
        <v>161</v>
      </c>
      <c r="Q132" t="s">
        <v>2276</v>
      </c>
      <c r="R132" s="8" t="s">
        <v>2218</v>
      </c>
      <c r="S132" s="8" t="s">
        <v>2039</v>
      </c>
      <c r="T132">
        <v>258</v>
      </c>
      <c r="U132" s="13" t="s">
        <v>2040</v>
      </c>
      <c r="V132">
        <v>3</v>
      </c>
      <c r="W132" t="s">
        <v>2058</v>
      </c>
      <c r="X132" t="s">
        <v>2041</v>
      </c>
      <c r="Y132" t="s">
        <v>19</v>
      </c>
      <c r="Z132" t="str">
        <f t="shared" si="5"/>
        <v>Y</v>
      </c>
      <c r="AA132" t="s">
        <v>2219</v>
      </c>
      <c r="AB132" t="s">
        <v>2220</v>
      </c>
      <c r="AD132" t="s">
        <v>595</v>
      </c>
      <c r="AE132" s="9" t="s">
        <v>2045</v>
      </c>
      <c r="AF132" s="9" t="s">
        <v>2058</v>
      </c>
      <c r="AG132" t="s">
        <v>595</v>
      </c>
    </row>
    <row r="133" spans="1:33" ht="15.5">
      <c r="A133">
        <v>135</v>
      </c>
      <c r="B133" t="s">
        <v>19</v>
      </c>
      <c r="C133" t="s">
        <v>2273</v>
      </c>
      <c r="E133">
        <v>2015</v>
      </c>
      <c r="F133" t="s">
        <v>2216</v>
      </c>
      <c r="G133" t="s">
        <v>2035</v>
      </c>
      <c r="H133" s="7">
        <v>34</v>
      </c>
      <c r="I133" s="6">
        <v>-122</v>
      </c>
      <c r="J133" s="6">
        <v>1951</v>
      </c>
      <c r="K133" s="6">
        <v>2008</v>
      </c>
      <c r="L133" s="6">
        <f t="shared" si="4"/>
        <v>58</v>
      </c>
      <c r="M133" t="s">
        <v>2036</v>
      </c>
      <c r="N133" t="s">
        <v>2141</v>
      </c>
      <c r="O133" t="s">
        <v>2217</v>
      </c>
      <c r="P133" t="s">
        <v>161</v>
      </c>
      <c r="Q133" t="s">
        <v>2277</v>
      </c>
      <c r="R133" s="8" t="s">
        <v>2218</v>
      </c>
      <c r="S133" s="8" t="s">
        <v>2039</v>
      </c>
      <c r="T133">
        <v>196</v>
      </c>
      <c r="U133" s="13" t="s">
        <v>2101</v>
      </c>
      <c r="V133">
        <v>-4.0999999999999996</v>
      </c>
      <c r="W133" t="s">
        <v>2041</v>
      </c>
      <c r="X133" t="s">
        <v>2041</v>
      </c>
      <c r="Y133" t="s">
        <v>19</v>
      </c>
      <c r="Z133" t="str">
        <f t="shared" si="5"/>
        <v>Y</v>
      </c>
      <c r="AA133" t="s">
        <v>2219</v>
      </c>
      <c r="AB133" t="s">
        <v>2220</v>
      </c>
      <c r="AD133" t="s">
        <v>595</v>
      </c>
      <c r="AE133" s="9" t="s">
        <v>2045</v>
      </c>
      <c r="AF133" s="9" t="s">
        <v>2058</v>
      </c>
      <c r="AG133" t="s">
        <v>595</v>
      </c>
    </row>
    <row r="134" spans="1:33" ht="15.5">
      <c r="A134">
        <v>135</v>
      </c>
      <c r="B134" t="s">
        <v>19</v>
      </c>
      <c r="C134" t="s">
        <v>2273</v>
      </c>
      <c r="E134">
        <v>2015</v>
      </c>
      <c r="F134" t="s">
        <v>2216</v>
      </c>
      <c r="G134" t="s">
        <v>2035</v>
      </c>
      <c r="H134" s="7">
        <v>34</v>
      </c>
      <c r="I134" s="6">
        <v>-122</v>
      </c>
      <c r="J134" s="6">
        <v>1951</v>
      </c>
      <c r="K134" s="6">
        <v>2008</v>
      </c>
      <c r="L134" s="6">
        <f t="shared" si="4"/>
        <v>58</v>
      </c>
      <c r="M134" t="s">
        <v>2036</v>
      </c>
      <c r="N134" t="s">
        <v>2141</v>
      </c>
      <c r="O134" t="s">
        <v>2217</v>
      </c>
      <c r="P134" t="s">
        <v>161</v>
      </c>
      <c r="Q134" t="s">
        <v>2278</v>
      </c>
      <c r="R134" s="8" t="s">
        <v>2218</v>
      </c>
      <c r="S134" s="8" t="s">
        <v>2039</v>
      </c>
      <c r="T134">
        <v>166</v>
      </c>
      <c r="U134" s="13" t="s">
        <v>2101</v>
      </c>
      <c r="V134">
        <v>5.7</v>
      </c>
      <c r="W134" t="s">
        <v>2058</v>
      </c>
      <c r="X134" t="s">
        <v>2041</v>
      </c>
      <c r="Y134" t="s">
        <v>19</v>
      </c>
      <c r="Z134" t="str">
        <f t="shared" si="5"/>
        <v>Y</v>
      </c>
      <c r="AA134" t="s">
        <v>2219</v>
      </c>
      <c r="AB134" t="s">
        <v>2220</v>
      </c>
      <c r="AD134" t="s">
        <v>595</v>
      </c>
      <c r="AE134" s="9" t="s">
        <v>2045</v>
      </c>
      <c r="AF134" s="9" t="s">
        <v>2058</v>
      </c>
      <c r="AG134" t="s">
        <v>595</v>
      </c>
    </row>
    <row r="135" spans="1:33" ht="15.5">
      <c r="A135">
        <v>135</v>
      </c>
      <c r="B135" t="s">
        <v>19</v>
      </c>
      <c r="C135" t="s">
        <v>2273</v>
      </c>
      <c r="E135">
        <v>2015</v>
      </c>
      <c r="F135" t="s">
        <v>2216</v>
      </c>
      <c r="G135" t="s">
        <v>2035</v>
      </c>
      <c r="H135" s="7">
        <v>34</v>
      </c>
      <c r="I135" s="6">
        <v>-122</v>
      </c>
      <c r="J135" s="6">
        <v>1951</v>
      </c>
      <c r="K135" s="6">
        <v>2008</v>
      </c>
      <c r="L135" s="6">
        <f t="shared" si="4"/>
        <v>58</v>
      </c>
      <c r="M135" t="s">
        <v>2036</v>
      </c>
      <c r="N135" t="s">
        <v>2141</v>
      </c>
      <c r="O135" t="s">
        <v>2217</v>
      </c>
      <c r="P135" t="s">
        <v>161</v>
      </c>
      <c r="Q135" t="s">
        <v>2279</v>
      </c>
      <c r="R135" s="8" t="s">
        <v>2218</v>
      </c>
      <c r="S135" s="8" t="s">
        <v>2039</v>
      </c>
      <c r="T135">
        <v>258</v>
      </c>
      <c r="U135" s="13" t="s">
        <v>2040</v>
      </c>
      <c r="V135">
        <v>5.6</v>
      </c>
      <c r="W135" s="12" t="s">
        <v>2058</v>
      </c>
      <c r="X135" t="s">
        <v>2041</v>
      </c>
      <c r="Y135" t="s">
        <v>19</v>
      </c>
      <c r="Z135" t="str">
        <f t="shared" si="5"/>
        <v>Y</v>
      </c>
      <c r="AA135" t="s">
        <v>2219</v>
      </c>
      <c r="AB135" t="s">
        <v>2220</v>
      </c>
      <c r="AD135" t="s">
        <v>595</v>
      </c>
      <c r="AE135" s="9" t="s">
        <v>2045</v>
      </c>
      <c r="AF135" s="9" t="s">
        <v>2058</v>
      </c>
      <c r="AG135" t="s">
        <v>595</v>
      </c>
    </row>
    <row r="136" spans="1:33" ht="15.5">
      <c r="A136">
        <v>135</v>
      </c>
      <c r="B136" t="s">
        <v>19</v>
      </c>
      <c r="C136" t="s">
        <v>2273</v>
      </c>
      <c r="E136">
        <v>2015</v>
      </c>
      <c r="F136" t="s">
        <v>2216</v>
      </c>
      <c r="G136" t="s">
        <v>2035</v>
      </c>
      <c r="H136" s="7">
        <v>34</v>
      </c>
      <c r="I136" s="6">
        <v>-122</v>
      </c>
      <c r="J136" s="6">
        <v>1951</v>
      </c>
      <c r="K136" s="6">
        <v>2008</v>
      </c>
      <c r="L136" s="6">
        <f t="shared" si="4"/>
        <v>58</v>
      </c>
      <c r="M136" t="s">
        <v>2036</v>
      </c>
      <c r="N136" t="s">
        <v>2141</v>
      </c>
      <c r="O136" t="s">
        <v>2217</v>
      </c>
      <c r="P136" t="s">
        <v>161</v>
      </c>
      <c r="Q136" t="s">
        <v>2280</v>
      </c>
      <c r="R136" s="8" t="s">
        <v>2218</v>
      </c>
      <c r="S136" s="8" t="s">
        <v>2039</v>
      </c>
      <c r="T136">
        <v>74</v>
      </c>
      <c r="U136" s="13" t="s">
        <v>2053</v>
      </c>
      <c r="V136">
        <v>7.2</v>
      </c>
      <c r="W136" s="12" t="s">
        <v>2058</v>
      </c>
      <c r="X136" t="s">
        <v>2041</v>
      </c>
      <c r="Y136" t="s">
        <v>19</v>
      </c>
      <c r="Z136" t="str">
        <f t="shared" si="5"/>
        <v>Y</v>
      </c>
      <c r="AA136" t="s">
        <v>2219</v>
      </c>
      <c r="AB136" t="s">
        <v>2220</v>
      </c>
      <c r="AC136" t="s">
        <v>2221</v>
      </c>
      <c r="AD136" t="s">
        <v>595</v>
      </c>
      <c r="AE136" s="9" t="s">
        <v>2045</v>
      </c>
      <c r="AF136" s="9" t="s">
        <v>2041</v>
      </c>
      <c r="AG136" t="s">
        <v>595</v>
      </c>
    </row>
    <row r="137" spans="1:33" ht="15.5">
      <c r="A137">
        <v>135</v>
      </c>
      <c r="B137" t="s">
        <v>19</v>
      </c>
      <c r="C137" t="s">
        <v>2273</v>
      </c>
      <c r="E137">
        <v>2015</v>
      </c>
      <c r="F137" t="s">
        <v>2216</v>
      </c>
      <c r="G137" t="s">
        <v>2035</v>
      </c>
      <c r="H137" s="7">
        <v>34</v>
      </c>
      <c r="I137" s="6">
        <v>-122</v>
      </c>
      <c r="J137" s="6">
        <v>1951</v>
      </c>
      <c r="K137" s="6">
        <v>2008</v>
      </c>
      <c r="L137" s="6">
        <f t="shared" si="4"/>
        <v>58</v>
      </c>
      <c r="M137" t="s">
        <v>2036</v>
      </c>
      <c r="N137" t="s">
        <v>2141</v>
      </c>
      <c r="O137" t="s">
        <v>2217</v>
      </c>
      <c r="P137" t="s">
        <v>161</v>
      </c>
      <c r="Q137" t="s">
        <v>2281</v>
      </c>
      <c r="R137" s="8" t="s">
        <v>2218</v>
      </c>
      <c r="S137" s="8" t="s">
        <v>2039</v>
      </c>
      <c r="T137">
        <v>196</v>
      </c>
      <c r="U137" s="13" t="s">
        <v>2101</v>
      </c>
      <c r="V137">
        <v>3.4</v>
      </c>
      <c r="W137" s="12" t="s">
        <v>2058</v>
      </c>
      <c r="X137" t="s">
        <v>2041</v>
      </c>
      <c r="Y137" t="s">
        <v>19</v>
      </c>
      <c r="Z137" t="str">
        <f t="shared" si="5"/>
        <v>Y</v>
      </c>
      <c r="AA137" t="s">
        <v>2219</v>
      </c>
      <c r="AB137" t="s">
        <v>2220</v>
      </c>
      <c r="AD137" t="s">
        <v>595</v>
      </c>
      <c r="AE137" s="9" t="s">
        <v>2045</v>
      </c>
      <c r="AF137" s="9" t="s">
        <v>2058</v>
      </c>
      <c r="AG137" t="s">
        <v>595</v>
      </c>
    </row>
    <row r="138" spans="1:33" ht="15.5">
      <c r="A138">
        <v>135</v>
      </c>
      <c r="B138" t="s">
        <v>19</v>
      </c>
      <c r="C138" t="s">
        <v>2273</v>
      </c>
      <c r="E138">
        <v>2015</v>
      </c>
      <c r="F138" t="s">
        <v>2216</v>
      </c>
      <c r="G138" t="s">
        <v>2035</v>
      </c>
      <c r="H138" s="7">
        <v>34</v>
      </c>
      <c r="I138" s="6">
        <v>-122</v>
      </c>
      <c r="J138" s="6">
        <v>1951</v>
      </c>
      <c r="K138" s="6">
        <v>2008</v>
      </c>
      <c r="L138" s="6">
        <f t="shared" si="4"/>
        <v>58</v>
      </c>
      <c r="M138" t="s">
        <v>2036</v>
      </c>
      <c r="N138" t="s">
        <v>2141</v>
      </c>
      <c r="O138" t="s">
        <v>2217</v>
      </c>
      <c r="P138" t="s">
        <v>161</v>
      </c>
      <c r="Q138" t="s">
        <v>67</v>
      </c>
      <c r="R138" s="8" t="s">
        <v>2218</v>
      </c>
      <c r="S138" s="8" t="s">
        <v>2039</v>
      </c>
      <c r="T138">
        <v>74</v>
      </c>
      <c r="U138" s="13" t="s">
        <v>2053</v>
      </c>
      <c r="V138">
        <v>5.6</v>
      </c>
      <c r="W138" s="12" t="s">
        <v>2058</v>
      </c>
      <c r="X138" t="s">
        <v>2041</v>
      </c>
      <c r="Y138" t="s">
        <v>19</v>
      </c>
      <c r="Z138" t="str">
        <f t="shared" si="5"/>
        <v>Y</v>
      </c>
      <c r="AA138" t="s">
        <v>2219</v>
      </c>
      <c r="AB138" t="s">
        <v>2220</v>
      </c>
      <c r="AD138" t="s">
        <v>595</v>
      </c>
      <c r="AE138" s="9" t="s">
        <v>2045</v>
      </c>
      <c r="AF138" s="9" t="s">
        <v>2041</v>
      </c>
      <c r="AG138" t="s">
        <v>595</v>
      </c>
    </row>
    <row r="139" spans="1:33" ht="15.5">
      <c r="A139">
        <v>136</v>
      </c>
      <c r="B139" t="s">
        <v>19</v>
      </c>
      <c r="C139" t="s">
        <v>2282</v>
      </c>
      <c r="E139">
        <v>2015</v>
      </c>
      <c r="F139" t="s">
        <v>2216</v>
      </c>
      <c r="G139" t="s">
        <v>2035</v>
      </c>
      <c r="H139" s="7">
        <v>34</v>
      </c>
      <c r="I139" s="6">
        <v>-122</v>
      </c>
      <c r="J139" s="6">
        <v>1951</v>
      </c>
      <c r="K139" s="6">
        <v>2008</v>
      </c>
      <c r="L139" s="6">
        <f t="shared" si="4"/>
        <v>58</v>
      </c>
      <c r="M139" t="s">
        <v>2036</v>
      </c>
      <c r="N139" t="s">
        <v>2141</v>
      </c>
      <c r="O139" t="s">
        <v>2217</v>
      </c>
      <c r="P139" t="s">
        <v>161</v>
      </c>
      <c r="Q139" t="s">
        <v>63</v>
      </c>
      <c r="R139" s="8" t="s">
        <v>2218</v>
      </c>
      <c r="S139" s="8" t="s">
        <v>2039</v>
      </c>
      <c r="T139">
        <v>105</v>
      </c>
      <c r="U139" s="13" t="s">
        <v>2053</v>
      </c>
      <c r="V139">
        <v>-0.7</v>
      </c>
      <c r="W139" t="s">
        <v>2041</v>
      </c>
      <c r="X139" t="s">
        <v>2041</v>
      </c>
      <c r="Y139" t="s">
        <v>19</v>
      </c>
      <c r="Z139" t="str">
        <f t="shared" si="5"/>
        <v>Y</v>
      </c>
      <c r="AA139" t="s">
        <v>2219</v>
      </c>
      <c r="AB139" t="s">
        <v>2220</v>
      </c>
      <c r="AC139" t="s">
        <v>2221</v>
      </c>
      <c r="AD139" t="s">
        <v>595</v>
      </c>
      <c r="AE139" s="9" t="s">
        <v>2045</v>
      </c>
      <c r="AF139" s="9" t="s">
        <v>2041</v>
      </c>
      <c r="AG139" t="s">
        <v>595</v>
      </c>
    </row>
    <row r="140" spans="1:33" ht="15.5">
      <c r="A140">
        <v>137</v>
      </c>
      <c r="B140" t="s">
        <v>19</v>
      </c>
      <c r="C140" t="s">
        <v>2283</v>
      </c>
      <c r="E140">
        <v>2015</v>
      </c>
      <c r="F140" t="s">
        <v>2216</v>
      </c>
      <c r="G140" t="s">
        <v>2035</v>
      </c>
      <c r="H140" s="7">
        <v>34</v>
      </c>
      <c r="I140" s="6">
        <v>-122</v>
      </c>
      <c r="J140" s="6">
        <v>1951</v>
      </c>
      <c r="K140" s="6">
        <v>2008</v>
      </c>
      <c r="L140" s="6">
        <f t="shared" si="4"/>
        <v>58</v>
      </c>
      <c r="M140" t="s">
        <v>2036</v>
      </c>
      <c r="N140" t="s">
        <v>2141</v>
      </c>
      <c r="O140" t="s">
        <v>2217</v>
      </c>
      <c r="P140" t="s">
        <v>161</v>
      </c>
      <c r="Q140" t="s">
        <v>80</v>
      </c>
      <c r="R140" s="8" t="s">
        <v>2218</v>
      </c>
      <c r="S140" s="8" t="s">
        <v>2039</v>
      </c>
      <c r="T140">
        <v>74</v>
      </c>
      <c r="U140" s="13" t="s">
        <v>2053</v>
      </c>
      <c r="V140">
        <v>-1.8</v>
      </c>
      <c r="W140" t="s">
        <v>2041</v>
      </c>
      <c r="X140" t="s">
        <v>2041</v>
      </c>
      <c r="Y140" t="s">
        <v>19</v>
      </c>
      <c r="Z140" t="str">
        <f t="shared" si="5"/>
        <v>Y</v>
      </c>
      <c r="AA140" t="s">
        <v>2219</v>
      </c>
      <c r="AB140" t="s">
        <v>2220</v>
      </c>
      <c r="AC140" t="s">
        <v>2221</v>
      </c>
      <c r="AD140" t="s">
        <v>595</v>
      </c>
      <c r="AE140" s="9" t="s">
        <v>2045</v>
      </c>
      <c r="AF140" s="9" t="s">
        <v>2041</v>
      </c>
      <c r="AG140" t="s">
        <v>595</v>
      </c>
    </row>
    <row r="141" spans="1:33">
      <c r="A141">
        <v>363</v>
      </c>
      <c r="B141" t="s">
        <v>2074</v>
      </c>
      <c r="C141" t="s">
        <v>2284</v>
      </c>
      <c r="E141">
        <v>2004</v>
      </c>
      <c r="F141" t="s">
        <v>2285</v>
      </c>
      <c r="G141" t="s">
        <v>2286</v>
      </c>
      <c r="H141" s="6">
        <v>-38.520000000000003</v>
      </c>
      <c r="I141" s="6">
        <v>145.13</v>
      </c>
      <c r="J141" s="6">
        <v>1968</v>
      </c>
      <c r="K141" s="6">
        <v>1998</v>
      </c>
      <c r="L141" s="6">
        <f t="shared" si="4"/>
        <v>31</v>
      </c>
      <c r="M141" t="s">
        <v>2036</v>
      </c>
      <c r="N141" t="s">
        <v>394</v>
      </c>
      <c r="O141" t="s">
        <v>394</v>
      </c>
      <c r="P141" t="s">
        <v>2287</v>
      </c>
      <c r="Q141" t="s">
        <v>2288</v>
      </c>
      <c r="V141">
        <v>11.9</v>
      </c>
      <c r="W141" t="s">
        <v>2058</v>
      </c>
      <c r="X141" t="s">
        <v>2041</v>
      </c>
      <c r="Y141" t="s">
        <v>2081</v>
      </c>
      <c r="Z141" t="str">
        <f t="shared" si="5"/>
        <v>Y</v>
      </c>
    </row>
    <row r="142" spans="1:33">
      <c r="A142">
        <v>398</v>
      </c>
      <c r="B142" t="s">
        <v>2074</v>
      </c>
      <c r="C142" t="s">
        <v>2289</v>
      </c>
      <c r="E142">
        <v>2004</v>
      </c>
      <c r="F142" t="s">
        <v>2290</v>
      </c>
      <c r="G142" t="s">
        <v>2035</v>
      </c>
      <c r="H142" s="6">
        <v>56.18</v>
      </c>
      <c r="I142" s="6">
        <v>-2.5499999999999998</v>
      </c>
      <c r="J142" s="6">
        <v>1982</v>
      </c>
      <c r="K142" s="6">
        <v>2002</v>
      </c>
      <c r="L142" s="6">
        <f t="shared" si="4"/>
        <v>21</v>
      </c>
      <c r="M142" t="s">
        <v>2036</v>
      </c>
      <c r="N142" t="s">
        <v>394</v>
      </c>
      <c r="O142" t="s">
        <v>394</v>
      </c>
      <c r="P142" t="s">
        <v>2291</v>
      </c>
      <c r="Q142" t="s">
        <v>984</v>
      </c>
      <c r="V142">
        <v>2.6</v>
      </c>
      <c r="W142" t="s">
        <v>2058</v>
      </c>
      <c r="X142" t="s">
        <v>2041</v>
      </c>
      <c r="Y142" t="s">
        <v>2081</v>
      </c>
      <c r="Z142" t="str">
        <f t="shared" si="5"/>
        <v>Y</v>
      </c>
      <c r="AC142" t="s">
        <v>2292</v>
      </c>
    </row>
    <row r="143" spans="1:33">
      <c r="A143">
        <v>399</v>
      </c>
      <c r="B143" t="s">
        <v>2074</v>
      </c>
      <c r="C143" t="s">
        <v>2289</v>
      </c>
      <c r="E143">
        <v>2004</v>
      </c>
      <c r="F143" t="s">
        <v>2290</v>
      </c>
      <c r="G143" t="s">
        <v>2035</v>
      </c>
      <c r="H143" s="6">
        <v>56.18</v>
      </c>
      <c r="I143" s="6">
        <v>-2.5499999999999998</v>
      </c>
      <c r="J143" s="6">
        <v>1981</v>
      </c>
      <c r="K143" s="6">
        <v>2002</v>
      </c>
      <c r="L143" s="6">
        <f t="shared" si="4"/>
        <v>22</v>
      </c>
      <c r="M143" t="s">
        <v>2036</v>
      </c>
      <c r="N143" t="s">
        <v>394</v>
      </c>
      <c r="O143" t="s">
        <v>394</v>
      </c>
      <c r="P143" t="s">
        <v>2293</v>
      </c>
      <c r="Q143" t="s">
        <v>465</v>
      </c>
      <c r="V143">
        <v>5.0999999999999996</v>
      </c>
      <c r="W143" t="s">
        <v>2058</v>
      </c>
      <c r="X143" t="s">
        <v>2041</v>
      </c>
      <c r="Y143" t="s">
        <v>2081</v>
      </c>
      <c r="Z143" t="str">
        <f t="shared" si="5"/>
        <v>Y</v>
      </c>
      <c r="AC143" t="s">
        <v>2292</v>
      </c>
    </row>
    <row r="144" spans="1:33">
      <c r="A144">
        <v>400</v>
      </c>
      <c r="B144" t="s">
        <v>2074</v>
      </c>
      <c r="C144" t="s">
        <v>2289</v>
      </c>
      <c r="E144">
        <v>2004</v>
      </c>
      <c r="F144" t="s">
        <v>1214</v>
      </c>
      <c r="G144" t="s">
        <v>2035</v>
      </c>
      <c r="H144" s="6">
        <v>56.18</v>
      </c>
      <c r="I144" s="6">
        <v>-2.5499999999999998</v>
      </c>
      <c r="J144" s="6">
        <v>1969</v>
      </c>
      <c r="K144" s="6">
        <v>2002</v>
      </c>
      <c r="L144" s="6">
        <f t="shared" si="4"/>
        <v>34</v>
      </c>
      <c r="M144" t="s">
        <v>2036</v>
      </c>
      <c r="N144" t="s">
        <v>394</v>
      </c>
      <c r="O144" t="s">
        <v>394</v>
      </c>
      <c r="P144" t="s">
        <v>2294</v>
      </c>
      <c r="Q144" t="s">
        <v>2295</v>
      </c>
      <c r="V144">
        <v>-2.2999999999999998</v>
      </c>
      <c r="W144" t="s">
        <v>2041</v>
      </c>
      <c r="X144" t="s">
        <v>2041</v>
      </c>
      <c r="Y144" t="s">
        <v>2081</v>
      </c>
      <c r="Z144" t="str">
        <f t="shared" si="5"/>
        <v>Y</v>
      </c>
      <c r="AC144" t="s">
        <v>2292</v>
      </c>
    </row>
    <row r="145" spans="1:34">
      <c r="A145">
        <v>174</v>
      </c>
      <c r="B145" t="s">
        <v>19</v>
      </c>
      <c r="C145" t="s">
        <v>2296</v>
      </c>
      <c r="E145">
        <v>2005</v>
      </c>
      <c r="F145" t="s">
        <v>2297</v>
      </c>
      <c r="G145" t="s">
        <v>2035</v>
      </c>
      <c r="H145" s="6">
        <v>74.041799999999995</v>
      </c>
      <c r="I145" s="6">
        <v>-90.032600000000002</v>
      </c>
      <c r="J145" s="6">
        <v>1975</v>
      </c>
      <c r="K145" s="6">
        <v>2000</v>
      </c>
      <c r="L145" s="6">
        <f t="shared" si="4"/>
        <v>26</v>
      </c>
      <c r="N145" t="s">
        <v>394</v>
      </c>
      <c r="O145" t="s">
        <v>394</v>
      </c>
      <c r="P145" t="s">
        <v>2298</v>
      </c>
      <c r="Q145" t="s">
        <v>469</v>
      </c>
      <c r="V145" t="s">
        <v>163</v>
      </c>
      <c r="W145" t="s">
        <v>2041</v>
      </c>
      <c r="X145" s="11" t="s">
        <v>2041</v>
      </c>
      <c r="Y145" t="s">
        <v>19</v>
      </c>
      <c r="Z145" t="str">
        <f t="shared" si="5"/>
        <v>Y</v>
      </c>
      <c r="AC145" t="s">
        <v>2299</v>
      </c>
      <c r="AH145">
        <v>1</v>
      </c>
    </row>
    <row r="146" spans="1:34">
      <c r="A146">
        <v>322</v>
      </c>
      <c r="B146" t="s">
        <v>2074</v>
      </c>
      <c r="C146" t="s">
        <v>2300</v>
      </c>
      <c r="E146">
        <v>2006</v>
      </c>
      <c r="F146" t="s">
        <v>2301</v>
      </c>
      <c r="G146" t="s">
        <v>2286</v>
      </c>
      <c r="H146" s="6">
        <v>-66.66</v>
      </c>
      <c r="I146" s="6">
        <v>140</v>
      </c>
      <c r="J146" s="6">
        <v>1950</v>
      </c>
      <c r="K146" s="6">
        <v>2004</v>
      </c>
      <c r="L146" s="6">
        <f t="shared" si="4"/>
        <v>55</v>
      </c>
      <c r="M146" t="s">
        <v>2036</v>
      </c>
      <c r="N146" t="s">
        <v>394</v>
      </c>
      <c r="O146" t="s">
        <v>394</v>
      </c>
      <c r="P146" t="s">
        <v>2302</v>
      </c>
      <c r="Q146" t="s">
        <v>2303</v>
      </c>
      <c r="V146">
        <v>0.16718840600000001</v>
      </c>
      <c r="W146" t="s">
        <v>2058</v>
      </c>
      <c r="X146" t="s">
        <v>2041</v>
      </c>
      <c r="Y146" t="s">
        <v>2081</v>
      </c>
      <c r="Z146" t="str">
        <f t="shared" si="5"/>
        <v>Y</v>
      </c>
      <c r="AC146" t="s">
        <v>2304</v>
      </c>
    </row>
    <row r="147" spans="1:34">
      <c r="A147">
        <v>323</v>
      </c>
      <c r="B147" t="s">
        <v>2074</v>
      </c>
      <c r="C147" t="s">
        <v>2300</v>
      </c>
      <c r="E147">
        <v>2006</v>
      </c>
      <c r="F147" t="s">
        <v>2301</v>
      </c>
      <c r="G147" t="s">
        <v>2286</v>
      </c>
      <c r="H147" s="6">
        <v>-66.66</v>
      </c>
      <c r="I147" s="6">
        <v>140</v>
      </c>
      <c r="J147" s="6">
        <v>1950</v>
      </c>
      <c r="K147" s="6">
        <v>2004</v>
      </c>
      <c r="L147" s="6">
        <f t="shared" si="4"/>
        <v>55</v>
      </c>
      <c r="M147" t="s">
        <v>2036</v>
      </c>
      <c r="N147" t="s">
        <v>394</v>
      </c>
      <c r="O147" t="s">
        <v>394</v>
      </c>
      <c r="P147" t="s">
        <v>2302</v>
      </c>
      <c r="Q147" t="s">
        <v>2303</v>
      </c>
      <c r="V147">
        <v>0.44740288099999997</v>
      </c>
      <c r="W147" t="s">
        <v>2058</v>
      </c>
      <c r="X147" t="s">
        <v>2041</v>
      </c>
      <c r="Y147" t="s">
        <v>2081</v>
      </c>
      <c r="Z147" t="str">
        <f t="shared" si="5"/>
        <v>Y</v>
      </c>
      <c r="AC147" t="s">
        <v>2304</v>
      </c>
    </row>
    <row r="148" spans="1:34">
      <c r="A148">
        <v>324</v>
      </c>
      <c r="B148" t="s">
        <v>2074</v>
      </c>
      <c r="C148" t="s">
        <v>2300</v>
      </c>
      <c r="E148">
        <v>2006</v>
      </c>
      <c r="F148" t="s">
        <v>2301</v>
      </c>
      <c r="G148" t="s">
        <v>2286</v>
      </c>
      <c r="H148" s="6">
        <v>-66.66</v>
      </c>
      <c r="I148" s="6">
        <v>140</v>
      </c>
      <c r="J148" s="6">
        <v>1950</v>
      </c>
      <c r="K148" s="6">
        <v>2004</v>
      </c>
      <c r="L148" s="6">
        <f t="shared" si="4"/>
        <v>55</v>
      </c>
      <c r="M148" t="s">
        <v>2036</v>
      </c>
      <c r="N148" t="s">
        <v>394</v>
      </c>
      <c r="O148" t="s">
        <v>394</v>
      </c>
      <c r="P148" t="s">
        <v>2305</v>
      </c>
      <c r="Q148" t="s">
        <v>2306</v>
      </c>
      <c r="V148">
        <v>0.386969532</v>
      </c>
      <c r="W148" t="s">
        <v>2058</v>
      </c>
      <c r="X148" t="s">
        <v>2041</v>
      </c>
      <c r="Y148" t="s">
        <v>2081</v>
      </c>
      <c r="Z148" t="str">
        <f t="shared" si="5"/>
        <v>Y</v>
      </c>
      <c r="AC148" t="s">
        <v>2304</v>
      </c>
    </row>
    <row r="149" spans="1:34">
      <c r="A149">
        <v>325</v>
      </c>
      <c r="B149" t="s">
        <v>2074</v>
      </c>
      <c r="C149" t="s">
        <v>2300</v>
      </c>
      <c r="E149">
        <v>2006</v>
      </c>
      <c r="F149" t="s">
        <v>2301</v>
      </c>
      <c r="G149" t="s">
        <v>2286</v>
      </c>
      <c r="H149" s="6">
        <v>-66.66</v>
      </c>
      <c r="I149" s="6">
        <v>140</v>
      </c>
      <c r="J149" s="6">
        <v>1950</v>
      </c>
      <c r="K149" s="6">
        <v>2004</v>
      </c>
      <c r="L149" s="6">
        <f t="shared" si="4"/>
        <v>55</v>
      </c>
      <c r="M149" t="s">
        <v>2036</v>
      </c>
      <c r="N149" t="s">
        <v>394</v>
      </c>
      <c r="O149" t="s">
        <v>394</v>
      </c>
      <c r="P149" t="s">
        <v>2305</v>
      </c>
      <c r="Q149" t="s">
        <v>2306</v>
      </c>
      <c r="V149">
        <v>0.63238827500000006</v>
      </c>
      <c r="W149" t="s">
        <v>2058</v>
      </c>
      <c r="X149" t="s">
        <v>2041</v>
      </c>
      <c r="Y149" t="s">
        <v>2081</v>
      </c>
      <c r="Z149" t="str">
        <f t="shared" si="5"/>
        <v>Y</v>
      </c>
      <c r="AC149" t="s">
        <v>2304</v>
      </c>
    </row>
    <row r="150" spans="1:34">
      <c r="A150">
        <v>148</v>
      </c>
      <c r="B150" t="s">
        <v>19</v>
      </c>
      <c r="C150" t="s">
        <v>2307</v>
      </c>
      <c r="E150">
        <v>2014</v>
      </c>
      <c r="F150" t="s">
        <v>2308</v>
      </c>
      <c r="G150" t="s">
        <v>2035</v>
      </c>
      <c r="H150" s="6">
        <v>63.31666666666667</v>
      </c>
      <c r="I150" s="6">
        <v>9.8333333333333339</v>
      </c>
      <c r="J150" s="6">
        <v>1970</v>
      </c>
      <c r="K150" s="6">
        <v>2010</v>
      </c>
      <c r="L150" s="6">
        <f t="shared" si="4"/>
        <v>41</v>
      </c>
      <c r="N150" t="s">
        <v>161</v>
      </c>
      <c r="O150" t="s">
        <v>161</v>
      </c>
      <c r="P150" t="s">
        <v>2309</v>
      </c>
      <c r="Q150" t="s">
        <v>2100</v>
      </c>
      <c r="R150" t="s">
        <v>2065</v>
      </c>
      <c r="V150">
        <v>-2.5</v>
      </c>
      <c r="W150" t="s">
        <v>2041</v>
      </c>
      <c r="X150" t="s">
        <v>2041</v>
      </c>
      <c r="Y150" t="s">
        <v>19</v>
      </c>
      <c r="Z150" t="str">
        <f t="shared" si="5"/>
        <v>Y</v>
      </c>
      <c r="AC150" t="s">
        <v>2310</v>
      </c>
    </row>
    <row r="151" spans="1:34">
      <c r="A151">
        <v>326</v>
      </c>
      <c r="B151" t="s">
        <v>2074</v>
      </c>
      <c r="C151" t="s">
        <v>2300</v>
      </c>
      <c r="E151">
        <v>2006</v>
      </c>
      <c r="F151" t="s">
        <v>2301</v>
      </c>
      <c r="G151" t="s">
        <v>2286</v>
      </c>
      <c r="H151" s="6">
        <v>-66.66</v>
      </c>
      <c r="I151" s="6">
        <v>140</v>
      </c>
      <c r="J151" s="6">
        <v>1960</v>
      </c>
      <c r="K151" s="6">
        <v>2004</v>
      </c>
      <c r="L151" s="6">
        <f t="shared" si="4"/>
        <v>45</v>
      </c>
      <c r="M151" t="s">
        <v>2036</v>
      </c>
      <c r="N151" t="s">
        <v>394</v>
      </c>
      <c r="O151" t="s">
        <v>394</v>
      </c>
      <c r="P151" t="s">
        <v>2311</v>
      </c>
      <c r="Q151" t="s">
        <v>2312</v>
      </c>
      <c r="V151">
        <v>1.9136336599999999</v>
      </c>
      <c r="W151" t="s">
        <v>2058</v>
      </c>
      <c r="X151" t="s">
        <v>2041</v>
      </c>
      <c r="Y151" t="s">
        <v>2081</v>
      </c>
      <c r="Z151" t="str">
        <f t="shared" si="5"/>
        <v>Y</v>
      </c>
      <c r="AC151" t="s">
        <v>2304</v>
      </c>
    </row>
    <row r="152" spans="1:34">
      <c r="A152">
        <v>327</v>
      </c>
      <c r="B152" t="s">
        <v>2074</v>
      </c>
      <c r="C152" t="s">
        <v>2300</v>
      </c>
      <c r="E152">
        <v>2006</v>
      </c>
      <c r="F152" t="s">
        <v>2301</v>
      </c>
      <c r="G152" t="s">
        <v>2286</v>
      </c>
      <c r="H152" s="6">
        <v>-66.66</v>
      </c>
      <c r="I152" s="6">
        <v>140</v>
      </c>
      <c r="J152" s="6">
        <v>1950</v>
      </c>
      <c r="K152" s="6">
        <v>2004</v>
      </c>
      <c r="L152" s="6">
        <f t="shared" si="4"/>
        <v>55</v>
      </c>
      <c r="M152" t="s">
        <v>2036</v>
      </c>
      <c r="N152" t="s">
        <v>394</v>
      </c>
      <c r="O152" t="s">
        <v>394</v>
      </c>
      <c r="P152" t="s">
        <v>2313</v>
      </c>
      <c r="Q152" t="s">
        <v>2314</v>
      </c>
      <c r="V152">
        <v>3.8721116960000002</v>
      </c>
      <c r="W152" t="s">
        <v>2058</v>
      </c>
      <c r="X152" t="s">
        <v>2041</v>
      </c>
      <c r="Y152" t="s">
        <v>2081</v>
      </c>
      <c r="Z152" t="str">
        <f t="shared" si="5"/>
        <v>Y</v>
      </c>
      <c r="AC152" t="s">
        <v>2304</v>
      </c>
    </row>
    <row r="153" spans="1:34">
      <c r="A153">
        <v>328</v>
      </c>
      <c r="B153" t="s">
        <v>2074</v>
      </c>
      <c r="C153" t="s">
        <v>2300</v>
      </c>
      <c r="E153">
        <v>2006</v>
      </c>
      <c r="F153" t="s">
        <v>2301</v>
      </c>
      <c r="G153" t="s">
        <v>2286</v>
      </c>
      <c r="H153" s="6">
        <v>-66.66</v>
      </c>
      <c r="I153" s="6">
        <v>140</v>
      </c>
      <c r="J153" s="6">
        <v>1959</v>
      </c>
      <c r="K153" s="6">
        <v>2004</v>
      </c>
      <c r="L153" s="6">
        <f t="shared" si="4"/>
        <v>46</v>
      </c>
      <c r="M153" t="s">
        <v>2036</v>
      </c>
      <c r="N153" t="s">
        <v>394</v>
      </c>
      <c r="O153" t="s">
        <v>394</v>
      </c>
      <c r="P153" t="s">
        <v>2315</v>
      </c>
      <c r="Q153" t="s">
        <v>422</v>
      </c>
      <c r="V153">
        <v>1.0075212259999999</v>
      </c>
      <c r="W153" t="s">
        <v>2058</v>
      </c>
      <c r="X153" t="s">
        <v>2041</v>
      </c>
      <c r="Y153" t="s">
        <v>2081</v>
      </c>
      <c r="Z153" t="str">
        <f t="shared" si="5"/>
        <v>Y</v>
      </c>
      <c r="AC153" t="s">
        <v>2304</v>
      </c>
    </row>
    <row r="154" spans="1:34">
      <c r="A154">
        <v>329</v>
      </c>
      <c r="B154" t="s">
        <v>2074</v>
      </c>
      <c r="C154" t="s">
        <v>2300</v>
      </c>
      <c r="E154">
        <v>2006</v>
      </c>
      <c r="F154" t="s">
        <v>2301</v>
      </c>
      <c r="G154" t="s">
        <v>2286</v>
      </c>
      <c r="H154" s="6">
        <v>-66.66</v>
      </c>
      <c r="I154" s="6">
        <v>140</v>
      </c>
      <c r="J154" s="6">
        <v>1980</v>
      </c>
      <c r="K154" s="6">
        <v>2004</v>
      </c>
      <c r="L154" s="6">
        <f t="shared" si="4"/>
        <v>25</v>
      </c>
      <c r="M154" t="s">
        <v>2036</v>
      </c>
      <c r="N154" t="s">
        <v>394</v>
      </c>
      <c r="O154" t="s">
        <v>394</v>
      </c>
      <c r="P154" t="s">
        <v>2316</v>
      </c>
      <c r="Q154" t="s">
        <v>2317</v>
      </c>
      <c r="V154">
        <v>12.641900509999999</v>
      </c>
      <c r="W154" t="s">
        <v>2058</v>
      </c>
      <c r="X154" t="s">
        <v>2041</v>
      </c>
      <c r="Y154" t="s">
        <v>2081</v>
      </c>
      <c r="Z154" t="str">
        <f t="shared" si="5"/>
        <v>Y</v>
      </c>
      <c r="AC154" t="s">
        <v>2304</v>
      </c>
    </row>
    <row r="155" spans="1:34">
      <c r="A155">
        <v>330</v>
      </c>
      <c r="B155" t="s">
        <v>2074</v>
      </c>
      <c r="C155" t="s">
        <v>2300</v>
      </c>
      <c r="E155">
        <v>2006</v>
      </c>
      <c r="F155" t="s">
        <v>2301</v>
      </c>
      <c r="G155" t="s">
        <v>2286</v>
      </c>
      <c r="H155" s="6">
        <v>-66.66</v>
      </c>
      <c r="I155" s="6">
        <v>140</v>
      </c>
      <c r="J155" s="6">
        <v>1950</v>
      </c>
      <c r="K155" s="6">
        <v>2004</v>
      </c>
      <c r="L155" s="6">
        <f t="shared" si="4"/>
        <v>55</v>
      </c>
      <c r="M155" t="s">
        <v>2036</v>
      </c>
      <c r="N155" t="s">
        <v>394</v>
      </c>
      <c r="O155" t="s">
        <v>394</v>
      </c>
      <c r="P155" t="s">
        <v>2318</v>
      </c>
      <c r="Q155" t="s">
        <v>2319</v>
      </c>
      <c r="V155">
        <v>0.95282007800000001</v>
      </c>
      <c r="W155" t="s">
        <v>2058</v>
      </c>
      <c r="X155" t="s">
        <v>2041</v>
      </c>
      <c r="Y155" t="s">
        <v>2081</v>
      </c>
      <c r="Z155" t="str">
        <f t="shared" si="5"/>
        <v>Y</v>
      </c>
      <c r="AC155" t="s">
        <v>2304</v>
      </c>
    </row>
    <row r="156" spans="1:34">
      <c r="A156">
        <v>331</v>
      </c>
      <c r="B156" t="s">
        <v>2074</v>
      </c>
      <c r="C156" t="s">
        <v>2300</v>
      </c>
      <c r="E156">
        <v>2006</v>
      </c>
      <c r="F156" t="s">
        <v>2301</v>
      </c>
      <c r="G156" t="s">
        <v>2286</v>
      </c>
      <c r="H156" s="6">
        <v>-66.66</v>
      </c>
      <c r="I156" s="6">
        <v>140</v>
      </c>
      <c r="J156" s="6">
        <v>1950</v>
      </c>
      <c r="K156" s="6">
        <v>2004</v>
      </c>
      <c r="L156" s="6">
        <f t="shared" si="4"/>
        <v>55</v>
      </c>
      <c r="M156" t="s">
        <v>2036</v>
      </c>
      <c r="N156" t="s">
        <v>394</v>
      </c>
      <c r="O156" t="s">
        <v>394</v>
      </c>
      <c r="P156" t="s">
        <v>2320</v>
      </c>
      <c r="Q156" t="s">
        <v>982</v>
      </c>
      <c r="V156">
        <v>1.891596944</v>
      </c>
      <c r="W156" t="s">
        <v>2058</v>
      </c>
      <c r="X156" t="s">
        <v>2041</v>
      </c>
      <c r="Y156" t="s">
        <v>2081</v>
      </c>
      <c r="Z156" t="str">
        <f t="shared" si="5"/>
        <v>Y</v>
      </c>
      <c r="AC156" t="s">
        <v>2304</v>
      </c>
    </row>
    <row r="157" spans="1:34">
      <c r="A157">
        <v>332</v>
      </c>
      <c r="B157" t="s">
        <v>2074</v>
      </c>
      <c r="C157" t="s">
        <v>2300</v>
      </c>
      <c r="E157">
        <v>2006</v>
      </c>
      <c r="F157" t="s">
        <v>2301</v>
      </c>
      <c r="G157" t="s">
        <v>2286</v>
      </c>
      <c r="H157" s="6">
        <v>-66.66</v>
      </c>
      <c r="I157" s="6">
        <v>140</v>
      </c>
      <c r="J157" s="6">
        <v>1950</v>
      </c>
      <c r="K157" s="6">
        <v>2004</v>
      </c>
      <c r="L157" s="6">
        <f t="shared" si="4"/>
        <v>55</v>
      </c>
      <c r="M157" t="s">
        <v>2036</v>
      </c>
      <c r="N157" t="s">
        <v>394</v>
      </c>
      <c r="O157" t="s">
        <v>394</v>
      </c>
      <c r="P157" t="s">
        <v>2320</v>
      </c>
      <c r="Q157" t="s">
        <v>982</v>
      </c>
      <c r="V157">
        <v>0.66292834899999997</v>
      </c>
      <c r="W157" t="s">
        <v>2058</v>
      </c>
      <c r="X157" t="s">
        <v>2041</v>
      </c>
      <c r="Y157" t="s">
        <v>2081</v>
      </c>
      <c r="Z157" t="str">
        <f t="shared" si="5"/>
        <v>Y</v>
      </c>
      <c r="AC157" t="s">
        <v>2304</v>
      </c>
    </row>
    <row r="158" spans="1:34">
      <c r="A158">
        <v>333</v>
      </c>
      <c r="B158" t="s">
        <v>2074</v>
      </c>
      <c r="C158" t="s">
        <v>2300</v>
      </c>
      <c r="E158">
        <v>2006</v>
      </c>
      <c r="F158" t="s">
        <v>2301</v>
      </c>
      <c r="G158" t="s">
        <v>2286</v>
      </c>
      <c r="H158" s="6">
        <v>-66.66</v>
      </c>
      <c r="I158" s="6">
        <v>140</v>
      </c>
      <c r="J158" s="6">
        <v>1950</v>
      </c>
      <c r="K158" s="6">
        <v>2004</v>
      </c>
      <c r="L158" s="6">
        <f t="shared" si="4"/>
        <v>55</v>
      </c>
      <c r="M158" t="s">
        <v>2036</v>
      </c>
      <c r="N158" t="s">
        <v>394</v>
      </c>
      <c r="O158" t="s">
        <v>394</v>
      </c>
      <c r="P158" t="s">
        <v>2318</v>
      </c>
      <c r="Q158" t="s">
        <v>2319</v>
      </c>
      <c r="V158">
        <v>-0.72721065200000001</v>
      </c>
      <c r="W158" t="s">
        <v>2041</v>
      </c>
      <c r="X158" t="s">
        <v>2041</v>
      </c>
      <c r="Y158" t="s">
        <v>2081</v>
      </c>
      <c r="Z158" t="str">
        <f t="shared" si="5"/>
        <v>Y</v>
      </c>
      <c r="AC158" t="s">
        <v>2304</v>
      </c>
    </row>
    <row r="159" spans="1:34">
      <c r="A159">
        <v>334</v>
      </c>
      <c r="B159" t="s">
        <v>2074</v>
      </c>
      <c r="C159" t="s">
        <v>2300</v>
      </c>
      <c r="E159">
        <v>2006</v>
      </c>
      <c r="F159" t="s">
        <v>2301</v>
      </c>
      <c r="G159" t="s">
        <v>2286</v>
      </c>
      <c r="H159" s="6">
        <v>-66.66</v>
      </c>
      <c r="I159" s="6">
        <v>140</v>
      </c>
      <c r="J159" s="6">
        <v>1970</v>
      </c>
      <c r="K159" s="6">
        <v>2004</v>
      </c>
      <c r="L159" s="6">
        <f t="shared" si="4"/>
        <v>35</v>
      </c>
      <c r="M159" t="s">
        <v>2036</v>
      </c>
      <c r="N159" t="s">
        <v>394</v>
      </c>
      <c r="O159" t="s">
        <v>394</v>
      </c>
      <c r="P159" t="s">
        <v>2321</v>
      </c>
      <c r="Q159" t="s">
        <v>2322</v>
      </c>
      <c r="V159">
        <v>0.13406156899999999</v>
      </c>
      <c r="W159" t="s">
        <v>2058</v>
      </c>
      <c r="X159" t="s">
        <v>2041</v>
      </c>
      <c r="Y159" t="s">
        <v>2081</v>
      </c>
      <c r="Z159" t="str">
        <f t="shared" si="5"/>
        <v>Y</v>
      </c>
      <c r="AC159" t="s">
        <v>2304</v>
      </c>
    </row>
    <row r="160" spans="1:34">
      <c r="A160">
        <v>168</v>
      </c>
      <c r="B160" t="s">
        <v>19</v>
      </c>
      <c r="C160" t="s">
        <v>2323</v>
      </c>
      <c r="E160">
        <v>2011</v>
      </c>
      <c r="F160" t="s">
        <v>2324</v>
      </c>
      <c r="G160" t="s">
        <v>2035</v>
      </c>
      <c r="H160" s="6">
        <v>56.951999999999998</v>
      </c>
      <c r="I160" s="6">
        <v>11.3004</v>
      </c>
      <c r="J160" s="6">
        <v>1987</v>
      </c>
      <c r="K160" s="6">
        <v>2008</v>
      </c>
      <c r="L160" s="6">
        <f t="shared" si="4"/>
        <v>22</v>
      </c>
      <c r="N160" t="s">
        <v>161</v>
      </c>
      <c r="O160" t="s">
        <v>161</v>
      </c>
      <c r="P160" t="s">
        <v>2325</v>
      </c>
      <c r="Q160" t="s">
        <v>231</v>
      </c>
      <c r="R160" t="s">
        <v>2038</v>
      </c>
      <c r="V160">
        <v>-23.4</v>
      </c>
      <c r="W160" t="s">
        <v>2041</v>
      </c>
      <c r="X160" s="11" t="s">
        <v>2041</v>
      </c>
      <c r="Y160" t="s">
        <v>19</v>
      </c>
      <c r="Z160" t="str">
        <f t="shared" si="5"/>
        <v>Y</v>
      </c>
      <c r="AC160" t="s">
        <v>2326</v>
      </c>
    </row>
    <row r="161" spans="1:33">
      <c r="A161">
        <v>169</v>
      </c>
      <c r="B161" t="s">
        <v>19</v>
      </c>
      <c r="C161" t="s">
        <v>2327</v>
      </c>
      <c r="E161">
        <v>2013</v>
      </c>
      <c r="F161" t="s">
        <v>2328</v>
      </c>
      <c r="G161" t="s">
        <v>2035</v>
      </c>
      <c r="H161" s="6">
        <v>48</v>
      </c>
      <c r="I161" s="6">
        <v>-51</v>
      </c>
      <c r="J161" s="6">
        <v>1972</v>
      </c>
      <c r="K161" s="6">
        <v>2009</v>
      </c>
      <c r="L161" s="6">
        <f t="shared" si="4"/>
        <v>38</v>
      </c>
      <c r="N161" t="s">
        <v>161</v>
      </c>
      <c r="O161" t="s">
        <v>161</v>
      </c>
      <c r="P161" t="s">
        <v>2064</v>
      </c>
      <c r="Q161" t="s">
        <v>210</v>
      </c>
      <c r="R161" t="s">
        <v>2052</v>
      </c>
      <c r="V161">
        <v>10.66</v>
      </c>
      <c r="W161" t="s">
        <v>2058</v>
      </c>
      <c r="X161" s="11" t="s">
        <v>2041</v>
      </c>
      <c r="Y161" t="s">
        <v>19</v>
      </c>
      <c r="Z161" t="str">
        <f t="shared" si="5"/>
        <v>Y</v>
      </c>
      <c r="AC161" t="s">
        <v>2329</v>
      </c>
    </row>
    <row r="162" spans="1:33" ht="15.5">
      <c r="A162">
        <v>44</v>
      </c>
      <c r="B162" t="s">
        <v>19</v>
      </c>
      <c r="C162" t="s">
        <v>2109</v>
      </c>
      <c r="E162">
        <v>2017</v>
      </c>
      <c r="F162" t="s">
        <v>2110</v>
      </c>
      <c r="G162" t="s">
        <v>2035</v>
      </c>
      <c r="H162" s="7">
        <v>45.427700000000002</v>
      </c>
      <c r="I162" s="6">
        <v>-0.86129999999999995</v>
      </c>
      <c r="J162" s="6">
        <v>1985</v>
      </c>
      <c r="K162" s="6">
        <v>2010</v>
      </c>
      <c r="L162" s="6">
        <f t="shared" si="4"/>
        <v>26</v>
      </c>
      <c r="M162" t="s">
        <v>2036</v>
      </c>
      <c r="N162" t="s">
        <v>2132</v>
      </c>
      <c r="O162" t="s">
        <v>2133</v>
      </c>
      <c r="P162" t="s">
        <v>2133</v>
      </c>
      <c r="Q162" t="s">
        <v>2330</v>
      </c>
      <c r="R162" t="s">
        <v>2112</v>
      </c>
      <c r="S162" s="8" t="s">
        <v>2039</v>
      </c>
      <c r="T162">
        <v>258</v>
      </c>
      <c r="U162" t="s">
        <v>2040</v>
      </c>
      <c r="V162" t="s">
        <v>163</v>
      </c>
      <c r="W162" t="s">
        <v>2080</v>
      </c>
      <c r="X162" t="s">
        <v>2041</v>
      </c>
      <c r="Y162" t="s">
        <v>19</v>
      </c>
      <c r="Z162" t="str">
        <f t="shared" si="5"/>
        <v>Y</v>
      </c>
      <c r="AA162" t="s">
        <v>2102</v>
      </c>
      <c r="AB162" t="s">
        <v>2114</v>
      </c>
      <c r="AC162" t="s">
        <v>2115</v>
      </c>
      <c r="AD162" s="9" t="s">
        <v>593</v>
      </c>
      <c r="AE162" s="9" t="s">
        <v>2116</v>
      </c>
      <c r="AF162" s="9" t="s">
        <v>2041</v>
      </c>
      <c r="AG162" t="s">
        <v>595</v>
      </c>
    </row>
    <row r="163" spans="1:33" ht="15.5">
      <c r="A163">
        <v>171</v>
      </c>
      <c r="B163" t="s">
        <v>19</v>
      </c>
      <c r="C163" t="s">
        <v>2331</v>
      </c>
      <c r="E163">
        <v>2012</v>
      </c>
      <c r="F163" t="s">
        <v>2332</v>
      </c>
      <c r="G163" t="s">
        <v>2035</v>
      </c>
      <c r="H163" s="6">
        <v>66.332499999999996</v>
      </c>
      <c r="I163" s="6">
        <v>33.668333333333337</v>
      </c>
      <c r="J163" s="6">
        <v>1964</v>
      </c>
      <c r="K163" s="6">
        <v>2010</v>
      </c>
      <c r="L163" s="6">
        <f t="shared" si="4"/>
        <v>47</v>
      </c>
      <c r="N163" t="s">
        <v>2132</v>
      </c>
      <c r="O163" t="s">
        <v>2133</v>
      </c>
      <c r="P163" t="s">
        <v>163</v>
      </c>
      <c r="Q163" s="14" t="s">
        <v>2333</v>
      </c>
      <c r="R163" s="14" t="s">
        <v>2218</v>
      </c>
      <c r="S163" s="14"/>
      <c r="T163" s="14"/>
      <c r="U163" s="14"/>
      <c r="V163" t="s">
        <v>163</v>
      </c>
      <c r="W163" t="s">
        <v>2041</v>
      </c>
      <c r="X163" s="11" t="s">
        <v>2041</v>
      </c>
      <c r="Y163" t="s">
        <v>19</v>
      </c>
      <c r="Z163" t="str">
        <f t="shared" si="5"/>
        <v>Y</v>
      </c>
      <c r="AC163" t="s">
        <v>2334</v>
      </c>
    </row>
    <row r="164" spans="1:33">
      <c r="A164">
        <v>335</v>
      </c>
      <c r="B164" t="s">
        <v>2074</v>
      </c>
      <c r="C164" t="s">
        <v>2300</v>
      </c>
      <c r="E164">
        <v>2006</v>
      </c>
      <c r="F164" t="s">
        <v>2301</v>
      </c>
      <c r="G164" t="s">
        <v>2286</v>
      </c>
      <c r="H164" s="6">
        <v>-66.66</v>
      </c>
      <c r="I164" s="6">
        <v>140</v>
      </c>
      <c r="J164" s="6">
        <v>1970</v>
      </c>
      <c r="K164" s="6">
        <v>2004</v>
      </c>
      <c r="L164" s="6">
        <f t="shared" si="4"/>
        <v>35</v>
      </c>
      <c r="M164" t="s">
        <v>2036</v>
      </c>
      <c r="N164" t="s">
        <v>394</v>
      </c>
      <c r="O164" t="s">
        <v>394</v>
      </c>
      <c r="P164" t="s">
        <v>2321</v>
      </c>
      <c r="Q164" t="s">
        <v>2322</v>
      </c>
      <c r="V164">
        <v>-0.58512856199999996</v>
      </c>
      <c r="W164" t="s">
        <v>2041</v>
      </c>
      <c r="X164" t="s">
        <v>2041</v>
      </c>
      <c r="Y164" t="s">
        <v>2081</v>
      </c>
      <c r="Z164" t="str">
        <f t="shared" si="5"/>
        <v>Y</v>
      </c>
      <c r="AC164" t="s">
        <v>2304</v>
      </c>
    </row>
    <row r="165" spans="1:33">
      <c r="A165">
        <v>157</v>
      </c>
      <c r="B165" t="s">
        <v>19</v>
      </c>
      <c r="C165" t="s">
        <v>2335</v>
      </c>
      <c r="E165">
        <v>2008</v>
      </c>
      <c r="F165" t="s">
        <v>2336</v>
      </c>
      <c r="G165" t="s">
        <v>2035</v>
      </c>
      <c r="H165" s="6">
        <v>57.1833326</v>
      </c>
      <c r="I165" s="6">
        <v>-170.26666560000001</v>
      </c>
      <c r="J165" s="6">
        <v>1975</v>
      </c>
      <c r="K165" s="6">
        <v>2005</v>
      </c>
      <c r="L165" s="6">
        <f t="shared" si="4"/>
        <v>31</v>
      </c>
      <c r="N165" t="s">
        <v>394</v>
      </c>
      <c r="O165" t="s">
        <v>394</v>
      </c>
      <c r="Q165" t="s">
        <v>465</v>
      </c>
      <c r="V165">
        <f>-0.646*10</f>
        <v>-6.46</v>
      </c>
      <c r="W165" t="s">
        <v>2041</v>
      </c>
      <c r="X165" s="11" t="s">
        <v>2041</v>
      </c>
      <c r="Y165" t="s">
        <v>19</v>
      </c>
      <c r="Z165" t="str">
        <f t="shared" si="5"/>
        <v>Y</v>
      </c>
      <c r="AC165" t="s">
        <v>2096</v>
      </c>
      <c r="AD165" s="11"/>
      <c r="AE165" s="11"/>
      <c r="AF165" s="11"/>
    </row>
    <row r="166" spans="1:33" ht="15.5">
      <c r="A166">
        <v>172</v>
      </c>
      <c r="B166" t="s">
        <v>19</v>
      </c>
      <c r="C166" t="s">
        <v>2331</v>
      </c>
      <c r="E166">
        <v>2012</v>
      </c>
      <c r="F166" t="s">
        <v>2332</v>
      </c>
      <c r="G166" t="s">
        <v>2035</v>
      </c>
      <c r="H166" s="6">
        <v>66.332499999999996</v>
      </c>
      <c r="I166" s="6">
        <v>33.668333333333337</v>
      </c>
      <c r="J166" s="6">
        <v>1964</v>
      </c>
      <c r="K166" s="6">
        <v>2010</v>
      </c>
      <c r="L166" s="6">
        <f t="shared" si="4"/>
        <v>47</v>
      </c>
      <c r="N166" t="s">
        <v>2132</v>
      </c>
      <c r="O166" t="s">
        <v>2133</v>
      </c>
      <c r="P166" t="s">
        <v>163</v>
      </c>
      <c r="Q166" s="14" t="s">
        <v>2337</v>
      </c>
      <c r="R166" s="14" t="s">
        <v>2218</v>
      </c>
      <c r="S166" s="14"/>
      <c r="T166" s="14"/>
      <c r="U166" s="14"/>
      <c r="V166" t="s">
        <v>163</v>
      </c>
      <c r="W166" t="s">
        <v>2041</v>
      </c>
      <c r="X166" s="11" t="s">
        <v>2041</v>
      </c>
      <c r="Y166" t="s">
        <v>19</v>
      </c>
      <c r="Z166" t="str">
        <f t="shared" si="5"/>
        <v>Y</v>
      </c>
      <c r="AC166" t="s">
        <v>2338</v>
      </c>
    </row>
    <row r="167" spans="1:33">
      <c r="B167" t="s">
        <v>19</v>
      </c>
      <c r="C167" t="s">
        <v>2339</v>
      </c>
      <c r="E167">
        <v>2012</v>
      </c>
      <c r="F167" t="s">
        <v>1214</v>
      </c>
      <c r="G167" t="s">
        <v>2035</v>
      </c>
      <c r="H167" s="6">
        <v>56.5</v>
      </c>
      <c r="I167" s="6">
        <v>-1.5</v>
      </c>
      <c r="J167" s="6">
        <v>1983</v>
      </c>
      <c r="K167" s="6">
        <v>2006</v>
      </c>
      <c r="L167" s="6">
        <f t="shared" si="4"/>
        <v>24</v>
      </c>
      <c r="M167" t="s">
        <v>2036</v>
      </c>
      <c r="N167" t="s">
        <v>2132</v>
      </c>
      <c r="O167" t="s">
        <v>2133</v>
      </c>
      <c r="P167" t="s">
        <v>2132</v>
      </c>
      <c r="Q167" t="s">
        <v>2340</v>
      </c>
      <c r="R167" t="s">
        <v>2112</v>
      </c>
      <c r="V167">
        <v>-6.3259514179087803</v>
      </c>
      <c r="W167" t="s">
        <v>2041</v>
      </c>
      <c r="X167" t="s">
        <v>2041</v>
      </c>
      <c r="Y167" t="s">
        <v>19</v>
      </c>
      <c r="Z167" t="str">
        <f t="shared" si="5"/>
        <v>Y</v>
      </c>
      <c r="AC167" t="s">
        <v>2341</v>
      </c>
    </row>
    <row r="168" spans="1:33">
      <c r="B168" t="s">
        <v>19</v>
      </c>
      <c r="C168" t="s">
        <v>2339</v>
      </c>
      <c r="E168">
        <v>2012</v>
      </c>
      <c r="F168" t="s">
        <v>1214</v>
      </c>
      <c r="G168" t="s">
        <v>2035</v>
      </c>
      <c r="H168" s="6">
        <v>56.5</v>
      </c>
      <c r="I168" s="6">
        <v>-1.5</v>
      </c>
      <c r="J168" s="6">
        <v>1983</v>
      </c>
      <c r="K168" s="6">
        <v>2006</v>
      </c>
      <c r="L168" s="6">
        <f t="shared" si="4"/>
        <v>24</v>
      </c>
      <c r="M168" t="s">
        <v>2036</v>
      </c>
      <c r="N168" t="s">
        <v>2132</v>
      </c>
      <c r="O168" t="s">
        <v>2133</v>
      </c>
      <c r="P168" t="s">
        <v>2132</v>
      </c>
      <c r="Q168" t="s">
        <v>2342</v>
      </c>
      <c r="R168" t="s">
        <v>2112</v>
      </c>
      <c r="V168">
        <v>-11.267290889181799</v>
      </c>
      <c r="W168" t="s">
        <v>2041</v>
      </c>
      <c r="X168" t="s">
        <v>2041</v>
      </c>
      <c r="Y168" t="s">
        <v>19</v>
      </c>
      <c r="Z168" t="str">
        <f t="shared" si="5"/>
        <v>Y</v>
      </c>
      <c r="AC168" t="s">
        <v>2341</v>
      </c>
    </row>
    <row r="169" spans="1:33">
      <c r="B169" t="s">
        <v>19</v>
      </c>
      <c r="C169" t="s">
        <v>2339</v>
      </c>
      <c r="E169">
        <v>2012</v>
      </c>
      <c r="F169" t="s">
        <v>1214</v>
      </c>
      <c r="G169" t="s">
        <v>2035</v>
      </c>
      <c r="H169" s="6">
        <v>56.5</v>
      </c>
      <c r="I169" s="6">
        <v>-1.5</v>
      </c>
      <c r="J169" s="6">
        <v>1983</v>
      </c>
      <c r="K169" s="6">
        <v>2006</v>
      </c>
      <c r="L169" s="6">
        <f t="shared" si="4"/>
        <v>24</v>
      </c>
      <c r="M169" t="s">
        <v>2036</v>
      </c>
      <c r="N169" t="s">
        <v>2132</v>
      </c>
      <c r="O169" t="s">
        <v>2133</v>
      </c>
      <c r="P169" t="s">
        <v>2132</v>
      </c>
      <c r="Q169" t="s">
        <v>42</v>
      </c>
      <c r="R169" t="s">
        <v>2112</v>
      </c>
      <c r="V169">
        <v>-1.00315090840018</v>
      </c>
      <c r="W169" t="s">
        <v>2041</v>
      </c>
      <c r="X169" t="s">
        <v>2041</v>
      </c>
      <c r="Y169" t="s">
        <v>19</v>
      </c>
      <c r="Z169" t="str">
        <f t="shared" si="5"/>
        <v>Y</v>
      </c>
      <c r="AC169" t="s">
        <v>2341</v>
      </c>
    </row>
    <row r="170" spans="1:33">
      <c r="B170" t="s">
        <v>19</v>
      </c>
      <c r="C170" t="s">
        <v>2339</v>
      </c>
      <c r="E170">
        <v>2012</v>
      </c>
      <c r="F170" t="s">
        <v>1214</v>
      </c>
      <c r="G170" t="s">
        <v>2035</v>
      </c>
      <c r="H170" s="6">
        <v>56.5</v>
      </c>
      <c r="I170" s="6">
        <v>-1.5</v>
      </c>
      <c r="J170" s="6">
        <v>1983</v>
      </c>
      <c r="K170" s="6">
        <v>2006</v>
      </c>
      <c r="L170" s="6">
        <f t="shared" si="4"/>
        <v>24</v>
      </c>
      <c r="M170" t="s">
        <v>2036</v>
      </c>
      <c r="N170" t="s">
        <v>2132</v>
      </c>
      <c r="O170" t="s">
        <v>2133</v>
      </c>
      <c r="P170" t="s">
        <v>2132</v>
      </c>
      <c r="Q170" t="s">
        <v>25</v>
      </c>
      <c r="R170" t="s">
        <v>2112</v>
      </c>
      <c r="V170">
        <v>12.411674003888301</v>
      </c>
      <c r="W170" t="s">
        <v>2058</v>
      </c>
      <c r="X170" t="s">
        <v>2041</v>
      </c>
      <c r="Y170" t="s">
        <v>19</v>
      </c>
      <c r="Z170" t="str">
        <f t="shared" si="5"/>
        <v>Y</v>
      </c>
      <c r="AC170" t="s">
        <v>2341</v>
      </c>
    </row>
    <row r="171" spans="1:33">
      <c r="B171" t="s">
        <v>19</v>
      </c>
      <c r="C171" t="s">
        <v>2339</v>
      </c>
      <c r="E171">
        <v>2012</v>
      </c>
      <c r="F171" t="s">
        <v>1214</v>
      </c>
      <c r="G171" t="s">
        <v>2035</v>
      </c>
      <c r="H171" s="6">
        <v>56.5</v>
      </c>
      <c r="I171" s="6">
        <v>-1.5</v>
      </c>
      <c r="J171" s="6">
        <v>1983</v>
      </c>
      <c r="K171" s="6">
        <v>2006</v>
      </c>
      <c r="L171" s="6">
        <f t="shared" si="4"/>
        <v>24</v>
      </c>
      <c r="M171" t="s">
        <v>2036</v>
      </c>
      <c r="N171" t="s">
        <v>2132</v>
      </c>
      <c r="O171" t="s">
        <v>2133</v>
      </c>
      <c r="P171" t="s">
        <v>2132</v>
      </c>
      <c r="Q171" t="s">
        <v>2343</v>
      </c>
      <c r="R171" t="s">
        <v>2112</v>
      </c>
      <c r="V171">
        <v>-6.2285190730519098</v>
      </c>
      <c r="W171" t="s">
        <v>2041</v>
      </c>
      <c r="X171" t="s">
        <v>2041</v>
      </c>
      <c r="Y171" t="s">
        <v>19</v>
      </c>
      <c r="Z171" t="str">
        <f t="shared" si="5"/>
        <v>Y</v>
      </c>
      <c r="AC171" t="s">
        <v>2341</v>
      </c>
    </row>
    <row r="172" spans="1:33" ht="15.5">
      <c r="A172">
        <v>175</v>
      </c>
      <c r="B172" t="s">
        <v>19</v>
      </c>
      <c r="C172" t="s">
        <v>2156</v>
      </c>
      <c r="E172">
        <v>2011</v>
      </c>
      <c r="F172" t="s">
        <v>2344</v>
      </c>
      <c r="G172" t="s">
        <v>2035</v>
      </c>
      <c r="H172" s="6">
        <v>53</v>
      </c>
      <c r="I172" s="7">
        <v>-6</v>
      </c>
      <c r="J172" s="6">
        <v>1970</v>
      </c>
      <c r="K172" s="6">
        <v>2008</v>
      </c>
      <c r="L172" s="6">
        <f t="shared" si="4"/>
        <v>39</v>
      </c>
      <c r="N172" t="s">
        <v>2132</v>
      </c>
      <c r="O172" t="s">
        <v>2133</v>
      </c>
      <c r="P172" t="s">
        <v>163</v>
      </c>
      <c r="Q172" t="s">
        <v>25</v>
      </c>
      <c r="R172" t="s">
        <v>2112</v>
      </c>
      <c r="V172" t="e">
        <f>#REF!</f>
        <v>#REF!</v>
      </c>
      <c r="W172" t="s">
        <v>2041</v>
      </c>
      <c r="X172" s="11" t="s">
        <v>2041</v>
      </c>
      <c r="Y172" t="s">
        <v>19</v>
      </c>
      <c r="Z172" t="str">
        <f t="shared" si="5"/>
        <v>Y</v>
      </c>
      <c r="AC172" t="s">
        <v>2345</v>
      </c>
    </row>
    <row r="173" spans="1:33" ht="15.5">
      <c r="A173">
        <v>176</v>
      </c>
      <c r="B173" t="s">
        <v>19</v>
      </c>
      <c r="C173" t="s">
        <v>2156</v>
      </c>
      <c r="E173">
        <v>2011</v>
      </c>
      <c r="F173" t="s">
        <v>2346</v>
      </c>
      <c r="G173" t="s">
        <v>2035</v>
      </c>
      <c r="H173" s="6">
        <v>48</v>
      </c>
      <c r="I173" s="7">
        <v>-6</v>
      </c>
      <c r="J173" s="6">
        <v>1958</v>
      </c>
      <c r="K173" s="6">
        <v>2008</v>
      </c>
      <c r="L173" s="6">
        <f t="shared" si="4"/>
        <v>51</v>
      </c>
      <c r="N173" t="s">
        <v>2132</v>
      </c>
      <c r="O173" t="s">
        <v>2133</v>
      </c>
      <c r="P173" t="s">
        <v>163</v>
      </c>
      <c r="Q173" t="s">
        <v>25</v>
      </c>
      <c r="R173" t="s">
        <v>2112</v>
      </c>
      <c r="V173">
        <f>-(7.4-6.7)*30.25/(L173/10)</f>
        <v>-4.1519607843137267</v>
      </c>
      <c r="W173" t="s">
        <v>2041</v>
      </c>
      <c r="X173" s="11" t="s">
        <v>2041</v>
      </c>
      <c r="Y173" t="s">
        <v>19</v>
      </c>
      <c r="Z173" t="str">
        <f t="shared" si="5"/>
        <v>Y</v>
      </c>
      <c r="AC173" t="s">
        <v>2345</v>
      </c>
    </row>
    <row r="174" spans="1:33">
      <c r="A174">
        <v>177</v>
      </c>
      <c r="B174" t="s">
        <v>19</v>
      </c>
      <c r="C174" t="s">
        <v>2156</v>
      </c>
      <c r="E174">
        <v>2011</v>
      </c>
      <c r="F174" t="s">
        <v>2347</v>
      </c>
      <c r="G174" t="s">
        <v>2035</v>
      </c>
      <c r="H174" s="6">
        <v>49.5</v>
      </c>
      <c r="I174" s="6">
        <v>-9</v>
      </c>
      <c r="J174" s="6">
        <v>1958</v>
      </c>
      <c r="K174" s="6">
        <v>2008</v>
      </c>
      <c r="L174" s="6">
        <f t="shared" si="4"/>
        <v>51</v>
      </c>
      <c r="N174" t="s">
        <v>2132</v>
      </c>
      <c r="O174" t="s">
        <v>2133</v>
      </c>
      <c r="P174" t="s">
        <v>163</v>
      </c>
      <c r="Q174" t="s">
        <v>25</v>
      </c>
      <c r="R174" t="s">
        <v>2112</v>
      </c>
      <c r="V174">
        <f>-(6.8-6.7)*30.25/(L174/10)</f>
        <v>-0.59313725490195868</v>
      </c>
      <c r="W174" t="s">
        <v>2041</v>
      </c>
      <c r="X174" s="11" t="s">
        <v>2041</v>
      </c>
      <c r="Y174" t="s">
        <v>19</v>
      </c>
      <c r="Z174" t="str">
        <f t="shared" si="5"/>
        <v>Y</v>
      </c>
      <c r="AC174" t="s">
        <v>2345</v>
      </c>
    </row>
    <row r="175" spans="1:33">
      <c r="A175">
        <v>178</v>
      </c>
      <c r="B175" t="s">
        <v>19</v>
      </c>
      <c r="C175" t="s">
        <v>2156</v>
      </c>
      <c r="E175">
        <v>2011</v>
      </c>
      <c r="F175" t="s">
        <v>2348</v>
      </c>
      <c r="G175" t="s">
        <v>2035</v>
      </c>
      <c r="H175" s="6">
        <v>51</v>
      </c>
      <c r="I175" s="6">
        <v>-13.5</v>
      </c>
      <c r="J175" s="6">
        <v>1958</v>
      </c>
      <c r="K175" s="6">
        <v>2008</v>
      </c>
      <c r="L175" s="6">
        <f t="shared" si="4"/>
        <v>51</v>
      </c>
      <c r="N175" t="s">
        <v>2132</v>
      </c>
      <c r="O175" t="s">
        <v>2133</v>
      </c>
      <c r="P175" t="s">
        <v>163</v>
      </c>
      <c r="Q175" t="s">
        <v>25</v>
      </c>
      <c r="R175" t="s">
        <v>2112</v>
      </c>
      <c r="V175">
        <f>-(6.25-5.9)*30.25/(L175/10)</f>
        <v>-2.0759803921568607</v>
      </c>
      <c r="W175" t="s">
        <v>2041</v>
      </c>
      <c r="X175" s="11" t="s">
        <v>2041</v>
      </c>
      <c r="Y175" t="s">
        <v>19</v>
      </c>
      <c r="Z175" t="str">
        <f t="shared" si="5"/>
        <v>Y</v>
      </c>
      <c r="AC175" t="s">
        <v>2345</v>
      </c>
    </row>
    <row r="176" spans="1:33">
      <c r="A176">
        <v>179</v>
      </c>
      <c r="B176" t="s">
        <v>19</v>
      </c>
      <c r="C176" t="s">
        <v>2156</v>
      </c>
      <c r="E176">
        <v>2011</v>
      </c>
      <c r="F176" t="s">
        <v>2349</v>
      </c>
      <c r="G176" t="s">
        <v>2035</v>
      </c>
      <c r="H176" s="6">
        <v>41</v>
      </c>
      <c r="I176" s="6">
        <v>-15</v>
      </c>
      <c r="J176" s="6">
        <v>1958</v>
      </c>
      <c r="K176" s="6">
        <v>2008</v>
      </c>
      <c r="L176" s="6">
        <f t="shared" si="4"/>
        <v>51</v>
      </c>
      <c r="N176" t="s">
        <v>2132</v>
      </c>
      <c r="O176" t="s">
        <v>2133</v>
      </c>
      <c r="P176" t="s">
        <v>163</v>
      </c>
      <c r="Q176" t="s">
        <v>25</v>
      </c>
      <c r="R176" t="s">
        <v>2112</v>
      </c>
      <c r="V176">
        <f>-(5-4.75)*30.25/(L176/10)</f>
        <v>-1.482843137254902</v>
      </c>
      <c r="W176" t="s">
        <v>2041</v>
      </c>
      <c r="X176" s="11" t="s">
        <v>2041</v>
      </c>
      <c r="Y176" t="s">
        <v>19</v>
      </c>
      <c r="Z176" t="str">
        <f t="shared" si="5"/>
        <v>Y</v>
      </c>
      <c r="AC176" t="s">
        <v>2345</v>
      </c>
    </row>
    <row r="177" spans="1:32">
      <c r="A177">
        <v>180</v>
      </c>
      <c r="B177" t="s">
        <v>19</v>
      </c>
      <c r="C177" t="s">
        <v>2156</v>
      </c>
      <c r="E177">
        <v>2011</v>
      </c>
      <c r="F177" t="s">
        <v>2350</v>
      </c>
      <c r="G177" t="s">
        <v>2035</v>
      </c>
      <c r="H177" s="6">
        <v>45</v>
      </c>
      <c r="I177" s="6">
        <v>-20</v>
      </c>
      <c r="J177" s="6">
        <v>1958</v>
      </c>
      <c r="K177" s="6">
        <v>2008</v>
      </c>
      <c r="L177" s="6">
        <f t="shared" si="4"/>
        <v>51</v>
      </c>
      <c r="N177" t="s">
        <v>2132</v>
      </c>
      <c r="O177" t="s">
        <v>2133</v>
      </c>
      <c r="P177" t="s">
        <v>163</v>
      </c>
      <c r="Q177" t="s">
        <v>25</v>
      </c>
      <c r="R177" t="s">
        <v>2112</v>
      </c>
      <c r="V177">
        <f>-(5.4-5.2)*30.25/(L177/10)</f>
        <v>-1.1862745098039227</v>
      </c>
      <c r="W177" t="s">
        <v>2041</v>
      </c>
      <c r="X177" s="11" t="s">
        <v>2041</v>
      </c>
      <c r="Y177" t="s">
        <v>19</v>
      </c>
      <c r="Z177" t="str">
        <f t="shared" si="5"/>
        <v>Y</v>
      </c>
      <c r="AC177" t="s">
        <v>2345</v>
      </c>
    </row>
    <row r="178" spans="1:32">
      <c r="A178">
        <v>181</v>
      </c>
      <c r="B178" t="s">
        <v>19</v>
      </c>
      <c r="C178" t="s">
        <v>2156</v>
      </c>
      <c r="E178">
        <v>2011</v>
      </c>
      <c r="F178" t="s">
        <v>2351</v>
      </c>
      <c r="G178" t="s">
        <v>2035</v>
      </c>
      <c r="H178" s="6">
        <v>55</v>
      </c>
      <c r="I178" s="6">
        <v>-18.5</v>
      </c>
      <c r="J178" s="6">
        <v>1958</v>
      </c>
      <c r="K178" s="6">
        <v>2008</v>
      </c>
      <c r="L178" s="6">
        <f t="shared" si="4"/>
        <v>51</v>
      </c>
      <c r="N178" t="s">
        <v>2132</v>
      </c>
      <c r="O178" t="s">
        <v>2133</v>
      </c>
      <c r="P178" t="s">
        <v>163</v>
      </c>
      <c r="Q178" t="s">
        <v>25</v>
      </c>
      <c r="R178" t="s">
        <v>2112</v>
      </c>
      <c r="V178">
        <f>-(6.8-5.9)*30.25/(L178/10)</f>
        <v>-5.3382352941176441</v>
      </c>
      <c r="W178" t="s">
        <v>2041</v>
      </c>
      <c r="X178" s="11" t="s">
        <v>2041</v>
      </c>
      <c r="Y178" t="s">
        <v>19</v>
      </c>
      <c r="Z178" t="str">
        <f t="shared" si="5"/>
        <v>Y</v>
      </c>
      <c r="AC178" t="s">
        <v>2345</v>
      </c>
    </row>
    <row r="179" spans="1:32">
      <c r="A179">
        <v>182</v>
      </c>
      <c r="B179" t="s">
        <v>19</v>
      </c>
      <c r="C179" t="s">
        <v>2156</v>
      </c>
      <c r="E179">
        <v>2011</v>
      </c>
      <c r="F179" t="s">
        <v>2352</v>
      </c>
      <c r="G179" t="s">
        <v>2035</v>
      </c>
      <c r="H179" s="6">
        <v>60</v>
      </c>
      <c r="I179" s="6">
        <v>-10</v>
      </c>
      <c r="J179" s="6">
        <v>1958</v>
      </c>
      <c r="K179" s="6">
        <v>2008</v>
      </c>
      <c r="L179" s="6">
        <f t="shared" si="4"/>
        <v>51</v>
      </c>
      <c r="N179" t="s">
        <v>2132</v>
      </c>
      <c r="O179" t="s">
        <v>2133</v>
      </c>
      <c r="P179" t="s">
        <v>163</v>
      </c>
      <c r="Q179" t="s">
        <v>25</v>
      </c>
      <c r="R179" t="s">
        <v>2112</v>
      </c>
      <c r="V179">
        <f>-(6.6-6.25)*30.25/(L179/10)</f>
        <v>-2.0759803921568607</v>
      </c>
      <c r="W179" t="s">
        <v>2041</v>
      </c>
      <c r="X179" s="11" t="s">
        <v>2041</v>
      </c>
      <c r="Y179" t="s">
        <v>19</v>
      </c>
      <c r="Z179" t="str">
        <f t="shared" si="5"/>
        <v>Y</v>
      </c>
      <c r="AC179" t="s">
        <v>2345</v>
      </c>
    </row>
    <row r="180" spans="1:32">
      <c r="A180">
        <v>183</v>
      </c>
      <c r="B180" t="s">
        <v>19</v>
      </c>
      <c r="C180" t="s">
        <v>2156</v>
      </c>
      <c r="E180">
        <v>2011</v>
      </c>
      <c r="F180" t="s">
        <v>2353</v>
      </c>
      <c r="G180" t="s">
        <v>2035</v>
      </c>
      <c r="H180" s="6">
        <v>56.388946666666669</v>
      </c>
      <c r="I180" s="6">
        <v>-8.3386316666666662</v>
      </c>
      <c r="J180" s="6">
        <v>1958</v>
      </c>
      <c r="K180" s="6">
        <v>2008</v>
      </c>
      <c r="L180" s="6">
        <f t="shared" si="4"/>
        <v>51</v>
      </c>
      <c r="N180" t="s">
        <v>2132</v>
      </c>
      <c r="O180" t="s">
        <v>2133</v>
      </c>
      <c r="P180" t="s">
        <v>163</v>
      </c>
      <c r="Q180" t="s">
        <v>25</v>
      </c>
      <c r="R180" t="s">
        <v>2112</v>
      </c>
      <c r="V180">
        <v>0</v>
      </c>
      <c r="W180" t="s">
        <v>2058</v>
      </c>
      <c r="X180" s="11" t="s">
        <v>2041</v>
      </c>
      <c r="Y180" t="s">
        <v>19</v>
      </c>
      <c r="Z180" t="str">
        <f t="shared" si="5"/>
        <v>Y</v>
      </c>
      <c r="AC180" t="s">
        <v>2345</v>
      </c>
    </row>
    <row r="181" spans="1:32" ht="15.5">
      <c r="A181">
        <v>184</v>
      </c>
      <c r="B181" t="s">
        <v>19</v>
      </c>
      <c r="C181" t="s">
        <v>2156</v>
      </c>
      <c r="E181">
        <v>2011</v>
      </c>
      <c r="F181" t="s">
        <v>2344</v>
      </c>
      <c r="G181" t="s">
        <v>2035</v>
      </c>
      <c r="H181" s="6">
        <v>53</v>
      </c>
      <c r="I181" s="7">
        <v>-6</v>
      </c>
      <c r="J181" s="6">
        <v>1958</v>
      </c>
      <c r="K181" s="6">
        <v>2008</v>
      </c>
      <c r="L181" s="6">
        <f t="shared" si="4"/>
        <v>51</v>
      </c>
      <c r="N181" t="s">
        <v>2132</v>
      </c>
      <c r="O181" t="s">
        <v>2133</v>
      </c>
      <c r="P181" t="s">
        <v>163</v>
      </c>
      <c r="Q181" t="s">
        <v>42</v>
      </c>
      <c r="R181" t="s">
        <v>2112</v>
      </c>
      <c r="V181">
        <f>-(7.1-6.5)*30.25/(L181/10)</f>
        <v>-3.5588235294117627</v>
      </c>
      <c r="W181" t="s">
        <v>2041</v>
      </c>
      <c r="X181" s="11" t="s">
        <v>2041</v>
      </c>
      <c r="Y181" t="s">
        <v>19</v>
      </c>
      <c r="Z181" t="str">
        <f t="shared" si="5"/>
        <v>Y</v>
      </c>
      <c r="AC181" t="s">
        <v>2345</v>
      </c>
    </row>
    <row r="182" spans="1:32" ht="15.5">
      <c r="A182">
        <v>185</v>
      </c>
      <c r="B182" t="s">
        <v>19</v>
      </c>
      <c r="C182" t="s">
        <v>2156</v>
      </c>
      <c r="E182">
        <v>2011</v>
      </c>
      <c r="F182" t="s">
        <v>2346</v>
      </c>
      <c r="G182" t="s">
        <v>2035</v>
      </c>
      <c r="H182" s="6">
        <v>48</v>
      </c>
      <c r="I182" s="7">
        <v>-6</v>
      </c>
      <c r="J182" s="6">
        <v>1958</v>
      </c>
      <c r="K182" s="6">
        <v>2008</v>
      </c>
      <c r="L182" s="6">
        <f t="shared" si="4"/>
        <v>51</v>
      </c>
      <c r="N182" t="s">
        <v>2132</v>
      </c>
      <c r="O182" t="s">
        <v>2133</v>
      </c>
      <c r="P182" t="s">
        <v>163</v>
      </c>
      <c r="Q182" t="s">
        <v>42</v>
      </c>
      <c r="R182" t="s">
        <v>2112</v>
      </c>
      <c r="V182">
        <f>-(6.2-6)*30.25/(L182/10)</f>
        <v>-1.1862745098039227</v>
      </c>
      <c r="W182" t="s">
        <v>2041</v>
      </c>
      <c r="X182" s="11" t="s">
        <v>2041</v>
      </c>
      <c r="Y182" t="s">
        <v>19</v>
      </c>
      <c r="Z182" t="str">
        <f t="shared" si="5"/>
        <v>Y</v>
      </c>
      <c r="AC182" t="s">
        <v>2345</v>
      </c>
    </row>
    <row r="183" spans="1:32">
      <c r="A183">
        <v>186</v>
      </c>
      <c r="B183" t="s">
        <v>19</v>
      </c>
      <c r="C183" t="s">
        <v>2156</v>
      </c>
      <c r="E183">
        <v>2011</v>
      </c>
      <c r="F183" t="s">
        <v>2347</v>
      </c>
      <c r="G183" t="s">
        <v>2035</v>
      </c>
      <c r="H183" s="6">
        <v>49.5</v>
      </c>
      <c r="I183" s="6">
        <v>-9</v>
      </c>
      <c r="J183" s="6">
        <v>1958</v>
      </c>
      <c r="K183" s="6">
        <v>2008</v>
      </c>
      <c r="L183" s="6">
        <f t="shared" si="4"/>
        <v>51</v>
      </c>
      <c r="N183" t="s">
        <v>2132</v>
      </c>
      <c r="O183" t="s">
        <v>2133</v>
      </c>
      <c r="P183" t="s">
        <v>163</v>
      </c>
      <c r="Q183" t="s">
        <v>42</v>
      </c>
      <c r="R183" t="s">
        <v>2112</v>
      </c>
      <c r="V183">
        <f>-(6-5.4)*30.25/(L183/10)</f>
        <v>-3.5588235294117627</v>
      </c>
      <c r="W183" t="s">
        <v>2041</v>
      </c>
      <c r="X183" s="11" t="s">
        <v>2041</v>
      </c>
      <c r="Y183" t="s">
        <v>19</v>
      </c>
      <c r="Z183" t="str">
        <f t="shared" si="5"/>
        <v>Y</v>
      </c>
      <c r="AC183" t="s">
        <v>2345</v>
      </c>
    </row>
    <row r="184" spans="1:32" ht="15.5">
      <c r="A184">
        <v>193</v>
      </c>
      <c r="B184" t="s">
        <v>19</v>
      </c>
      <c r="C184" t="s">
        <v>2354</v>
      </c>
      <c r="E184">
        <v>2010</v>
      </c>
      <c r="F184" t="s">
        <v>2355</v>
      </c>
      <c r="G184" t="s">
        <v>2286</v>
      </c>
      <c r="H184" s="7">
        <v>-38.72</v>
      </c>
      <c r="I184" s="7">
        <v>-62.272399999999998</v>
      </c>
      <c r="J184" s="6">
        <v>1978</v>
      </c>
      <c r="K184" s="6">
        <v>2007</v>
      </c>
      <c r="L184" s="6">
        <f t="shared" si="4"/>
        <v>30</v>
      </c>
      <c r="N184" t="s">
        <v>51</v>
      </c>
      <c r="O184" t="s">
        <v>51</v>
      </c>
      <c r="Q184" t="s">
        <v>2356</v>
      </c>
      <c r="V184">
        <f>-(182-145)/(L184/10)</f>
        <v>-12.333333333333334</v>
      </c>
      <c r="W184" t="s">
        <v>2041</v>
      </c>
      <c r="X184" s="11" t="s">
        <v>2041</v>
      </c>
      <c r="Y184" t="s">
        <v>19</v>
      </c>
      <c r="Z184" t="str">
        <f t="shared" si="5"/>
        <v>Y</v>
      </c>
      <c r="AC184" t="s">
        <v>2357</v>
      </c>
    </row>
    <row r="185" spans="1:32">
      <c r="A185">
        <v>194</v>
      </c>
      <c r="B185" t="s">
        <v>19</v>
      </c>
      <c r="C185" t="s">
        <v>2358</v>
      </c>
      <c r="E185">
        <v>2012</v>
      </c>
      <c r="F185" t="s">
        <v>2359</v>
      </c>
      <c r="G185" t="s">
        <v>2035</v>
      </c>
      <c r="H185" s="6">
        <v>56.750996995999998</v>
      </c>
      <c r="I185" s="6">
        <v>-2.4256649640000001</v>
      </c>
      <c r="J185" s="6">
        <v>1963</v>
      </c>
      <c r="K185" s="6">
        <v>2010</v>
      </c>
      <c r="L185" s="6">
        <f t="shared" si="4"/>
        <v>48</v>
      </c>
      <c r="N185" t="s">
        <v>161</v>
      </c>
      <c r="O185" t="s">
        <v>161</v>
      </c>
      <c r="P185" t="s">
        <v>2309</v>
      </c>
      <c r="Q185" t="s">
        <v>2100</v>
      </c>
      <c r="R185" t="s">
        <v>2360</v>
      </c>
      <c r="V185">
        <f>0.0807*10</f>
        <v>0.80699999999999994</v>
      </c>
      <c r="W185" t="s">
        <v>2058</v>
      </c>
      <c r="X185" s="11" t="s">
        <v>2041</v>
      </c>
      <c r="Y185" t="s">
        <v>19</v>
      </c>
      <c r="Z185" t="str">
        <f t="shared" si="5"/>
        <v>Y</v>
      </c>
      <c r="AC185" t="s">
        <v>2361</v>
      </c>
    </row>
    <row r="186" spans="1:32" ht="15.5">
      <c r="A186">
        <v>195</v>
      </c>
      <c r="B186" t="s">
        <v>19</v>
      </c>
      <c r="C186" t="s">
        <v>2358</v>
      </c>
      <c r="E186">
        <v>2012</v>
      </c>
      <c r="F186" t="s">
        <v>2362</v>
      </c>
      <c r="G186" t="s">
        <v>2035</v>
      </c>
      <c r="H186" s="6">
        <v>55.783299999999997</v>
      </c>
      <c r="I186" s="7">
        <v>-2</v>
      </c>
      <c r="J186" s="6">
        <v>1969</v>
      </c>
      <c r="K186" s="6">
        <v>2010</v>
      </c>
      <c r="L186" s="6">
        <f t="shared" si="4"/>
        <v>42</v>
      </c>
      <c r="N186" t="s">
        <v>161</v>
      </c>
      <c r="O186" t="s">
        <v>161</v>
      </c>
      <c r="P186" t="s">
        <v>2309</v>
      </c>
      <c r="Q186" t="s">
        <v>2100</v>
      </c>
      <c r="R186" t="s">
        <v>2360</v>
      </c>
      <c r="V186">
        <f>0.4938*10</f>
        <v>4.9380000000000006</v>
      </c>
      <c r="W186" t="s">
        <v>2058</v>
      </c>
      <c r="X186" s="11" t="s">
        <v>2041</v>
      </c>
      <c r="Y186" t="s">
        <v>19</v>
      </c>
      <c r="Z186" t="str">
        <f t="shared" si="5"/>
        <v>Y</v>
      </c>
      <c r="AC186" t="s">
        <v>2361</v>
      </c>
    </row>
    <row r="187" spans="1:32" ht="15.5">
      <c r="A187">
        <v>196</v>
      </c>
      <c r="B187" t="s">
        <v>19</v>
      </c>
      <c r="C187" t="s">
        <v>2358</v>
      </c>
      <c r="E187">
        <v>2012</v>
      </c>
      <c r="F187" t="s">
        <v>2363</v>
      </c>
      <c r="G187" t="s">
        <v>2035</v>
      </c>
      <c r="H187" s="7">
        <v>57.637500000000003</v>
      </c>
      <c r="I187" s="7">
        <v>-3.1124999999999998</v>
      </c>
      <c r="J187" s="6">
        <v>1970</v>
      </c>
      <c r="K187" s="6">
        <v>1992</v>
      </c>
      <c r="L187" s="6">
        <f t="shared" si="4"/>
        <v>23</v>
      </c>
      <c r="N187" t="s">
        <v>161</v>
      </c>
      <c r="O187" t="s">
        <v>161</v>
      </c>
      <c r="P187" t="s">
        <v>2309</v>
      </c>
      <c r="Q187" t="s">
        <v>2100</v>
      </c>
      <c r="R187" t="s">
        <v>2360</v>
      </c>
      <c r="V187">
        <f>-0.0417*10</f>
        <v>-0.41700000000000004</v>
      </c>
      <c r="W187" t="s">
        <v>2041</v>
      </c>
      <c r="X187" s="11" t="s">
        <v>2041</v>
      </c>
      <c r="Y187" t="s">
        <v>19</v>
      </c>
      <c r="Z187" t="str">
        <f t="shared" si="5"/>
        <v>Y</v>
      </c>
      <c r="AC187" t="s">
        <v>2361</v>
      </c>
    </row>
    <row r="188" spans="1:32" ht="15.5">
      <c r="A188">
        <v>197</v>
      </c>
      <c r="B188" t="s">
        <v>19</v>
      </c>
      <c r="C188" t="s">
        <v>2358</v>
      </c>
      <c r="E188">
        <v>2012</v>
      </c>
      <c r="F188" t="s">
        <v>2364</v>
      </c>
      <c r="G188" t="s">
        <v>2035</v>
      </c>
      <c r="H188" s="7">
        <v>56.439700999999999</v>
      </c>
      <c r="I188" s="7">
        <v>-2.9416730000000002</v>
      </c>
      <c r="J188" s="6">
        <v>1968</v>
      </c>
      <c r="K188" s="6">
        <v>1994</v>
      </c>
      <c r="L188" s="6">
        <f t="shared" si="4"/>
        <v>27</v>
      </c>
      <c r="N188" t="s">
        <v>161</v>
      </c>
      <c r="O188" t="s">
        <v>161</v>
      </c>
      <c r="P188" t="s">
        <v>2309</v>
      </c>
      <c r="Q188" t="s">
        <v>2100</v>
      </c>
      <c r="R188" t="s">
        <v>2360</v>
      </c>
      <c r="V188">
        <f>-0.273*10</f>
        <v>-2.7300000000000004</v>
      </c>
      <c r="W188" t="s">
        <v>2041</v>
      </c>
      <c r="X188" s="11" t="s">
        <v>2041</v>
      </c>
      <c r="Y188" t="s">
        <v>19</v>
      </c>
      <c r="Z188" t="str">
        <f t="shared" si="5"/>
        <v>Y</v>
      </c>
      <c r="AC188" t="s">
        <v>2361</v>
      </c>
    </row>
    <row r="189" spans="1:32">
      <c r="A189">
        <v>158</v>
      </c>
      <c r="B189" t="s">
        <v>19</v>
      </c>
      <c r="C189" t="s">
        <v>2335</v>
      </c>
      <c r="E189">
        <v>2008</v>
      </c>
      <c r="F189" t="s">
        <v>2365</v>
      </c>
      <c r="G189" t="s">
        <v>2035</v>
      </c>
      <c r="H189" s="6">
        <v>56.583331000000001</v>
      </c>
      <c r="I189" s="6">
        <v>-169.58333099999999</v>
      </c>
      <c r="J189" s="6">
        <v>1975</v>
      </c>
      <c r="K189" s="6">
        <v>2005</v>
      </c>
      <c r="L189" s="6">
        <f t="shared" si="4"/>
        <v>31</v>
      </c>
      <c r="N189" t="s">
        <v>394</v>
      </c>
      <c r="O189" t="s">
        <v>394</v>
      </c>
      <c r="Q189" t="s">
        <v>465</v>
      </c>
      <c r="V189">
        <f>-0.578*10</f>
        <v>-5.7799999999999994</v>
      </c>
      <c r="W189" t="s">
        <v>2041</v>
      </c>
      <c r="X189" s="11" t="s">
        <v>2041</v>
      </c>
      <c r="Y189" t="s">
        <v>19</v>
      </c>
      <c r="Z189" t="str">
        <f t="shared" si="5"/>
        <v>Y</v>
      </c>
      <c r="AC189" t="s">
        <v>2096</v>
      </c>
      <c r="AD189" s="11"/>
      <c r="AE189" s="11"/>
      <c r="AF189" s="11"/>
    </row>
    <row r="190" spans="1:32">
      <c r="A190">
        <v>159</v>
      </c>
      <c r="B190" t="s">
        <v>19</v>
      </c>
      <c r="C190" t="s">
        <v>2335</v>
      </c>
      <c r="E190">
        <v>2008</v>
      </c>
      <c r="F190" t="s">
        <v>2336</v>
      </c>
      <c r="G190" t="s">
        <v>2035</v>
      </c>
      <c r="H190" s="6">
        <v>57.1833326</v>
      </c>
      <c r="I190" s="6">
        <v>-170.26666560000001</v>
      </c>
      <c r="J190" s="6">
        <v>1975</v>
      </c>
      <c r="K190" s="6">
        <v>2005</v>
      </c>
      <c r="L190" s="6">
        <f t="shared" si="4"/>
        <v>31</v>
      </c>
      <c r="N190" t="s">
        <v>394</v>
      </c>
      <c r="O190" t="s">
        <v>394</v>
      </c>
      <c r="Q190" t="s">
        <v>2366</v>
      </c>
      <c r="V190">
        <f>-0.883*10</f>
        <v>-8.83</v>
      </c>
      <c r="W190" t="s">
        <v>2041</v>
      </c>
      <c r="X190" s="11" t="s">
        <v>2041</v>
      </c>
      <c r="Y190" t="s">
        <v>19</v>
      </c>
      <c r="Z190" t="str">
        <f t="shared" si="5"/>
        <v>Y</v>
      </c>
      <c r="AC190" t="s">
        <v>2096</v>
      </c>
      <c r="AD190" s="11"/>
      <c r="AE190" s="11"/>
      <c r="AF190" s="11"/>
    </row>
    <row r="191" spans="1:32">
      <c r="A191">
        <v>160</v>
      </c>
      <c r="B191" t="s">
        <v>19</v>
      </c>
      <c r="C191" t="s">
        <v>2335</v>
      </c>
      <c r="E191">
        <v>2008</v>
      </c>
      <c r="F191" t="s">
        <v>2365</v>
      </c>
      <c r="G191" t="s">
        <v>2035</v>
      </c>
      <c r="H191" s="6">
        <v>56.583331000000001</v>
      </c>
      <c r="I191" s="6">
        <v>-169.58333099999999</v>
      </c>
      <c r="J191" s="6">
        <v>1975</v>
      </c>
      <c r="K191" s="6">
        <v>2005</v>
      </c>
      <c r="L191" s="6">
        <f t="shared" si="4"/>
        <v>31</v>
      </c>
      <c r="N191" t="s">
        <v>394</v>
      </c>
      <c r="O191" t="s">
        <v>394</v>
      </c>
      <c r="Q191" t="s">
        <v>2366</v>
      </c>
      <c r="V191">
        <f>-0.792*10</f>
        <v>-7.92</v>
      </c>
      <c r="W191" t="s">
        <v>2041</v>
      </c>
      <c r="X191" s="11" t="s">
        <v>2041</v>
      </c>
      <c r="Y191" t="s">
        <v>19</v>
      </c>
      <c r="Z191" t="str">
        <f t="shared" si="5"/>
        <v>Y</v>
      </c>
      <c r="AC191" t="s">
        <v>2096</v>
      </c>
      <c r="AD191" s="11"/>
      <c r="AE191" s="11"/>
      <c r="AF191" s="11"/>
    </row>
    <row r="192" spans="1:32">
      <c r="A192">
        <v>161</v>
      </c>
      <c r="B192" t="s">
        <v>19</v>
      </c>
      <c r="C192" t="s">
        <v>2335</v>
      </c>
      <c r="E192">
        <v>2008</v>
      </c>
      <c r="F192" t="s">
        <v>2336</v>
      </c>
      <c r="G192" t="s">
        <v>2035</v>
      </c>
      <c r="H192" s="6">
        <v>57.1833326</v>
      </c>
      <c r="I192" s="6">
        <v>-170.26666560000001</v>
      </c>
      <c r="J192" s="6">
        <v>1975</v>
      </c>
      <c r="K192" s="6">
        <v>2005</v>
      </c>
      <c r="L192" s="6">
        <f t="shared" si="4"/>
        <v>31</v>
      </c>
      <c r="N192" t="s">
        <v>394</v>
      </c>
      <c r="O192" t="s">
        <v>394</v>
      </c>
      <c r="Q192" t="s">
        <v>469</v>
      </c>
      <c r="V192">
        <f>0.468*10</f>
        <v>4.6800000000000006</v>
      </c>
      <c r="W192" t="s">
        <v>2058</v>
      </c>
      <c r="X192" s="11" t="s">
        <v>2041</v>
      </c>
      <c r="Y192" t="s">
        <v>19</v>
      </c>
      <c r="Z192" t="str">
        <f t="shared" si="5"/>
        <v>Y</v>
      </c>
      <c r="AC192" t="s">
        <v>2096</v>
      </c>
      <c r="AD192" s="11"/>
      <c r="AE192" s="11"/>
      <c r="AF192" s="11"/>
    </row>
    <row r="193" spans="1:29">
      <c r="A193">
        <v>355</v>
      </c>
      <c r="B193" t="s">
        <v>2074</v>
      </c>
      <c r="C193" t="s">
        <v>2367</v>
      </c>
      <c r="E193">
        <v>2008</v>
      </c>
      <c r="F193" t="s">
        <v>2368</v>
      </c>
      <c r="G193" t="s">
        <v>2035</v>
      </c>
      <c r="H193" s="6">
        <v>57</v>
      </c>
      <c r="I193" s="6">
        <v>-169</v>
      </c>
      <c r="J193" s="6">
        <v>1975</v>
      </c>
      <c r="K193" s="6">
        <v>2005</v>
      </c>
      <c r="L193" s="6">
        <f t="shared" si="4"/>
        <v>31</v>
      </c>
      <c r="M193" t="s">
        <v>2036</v>
      </c>
      <c r="N193" t="s">
        <v>394</v>
      </c>
      <c r="O193" t="s">
        <v>394</v>
      </c>
      <c r="P193" t="s">
        <v>2293</v>
      </c>
      <c r="Q193" t="s">
        <v>465</v>
      </c>
      <c r="V193">
        <v>-5.8</v>
      </c>
      <c r="W193" t="s">
        <v>2041</v>
      </c>
      <c r="X193" t="s">
        <v>2041</v>
      </c>
      <c r="Y193" t="s">
        <v>2081</v>
      </c>
      <c r="Z193" t="str">
        <f t="shared" si="5"/>
        <v>Y</v>
      </c>
    </row>
    <row r="194" spans="1:29">
      <c r="A194">
        <v>356</v>
      </c>
      <c r="B194" t="s">
        <v>2074</v>
      </c>
      <c r="C194" t="s">
        <v>2367</v>
      </c>
      <c r="E194">
        <v>2008</v>
      </c>
      <c r="F194" t="s">
        <v>2368</v>
      </c>
      <c r="G194" t="s">
        <v>2035</v>
      </c>
      <c r="H194" s="6">
        <v>57</v>
      </c>
      <c r="I194" s="6">
        <v>-169</v>
      </c>
      <c r="J194" s="6">
        <v>1975</v>
      </c>
      <c r="K194" s="6">
        <v>2005</v>
      </c>
      <c r="L194" s="6">
        <f t="shared" ref="L194:L257" si="6">K194-J194+1</f>
        <v>31</v>
      </c>
      <c r="M194" t="s">
        <v>2036</v>
      </c>
      <c r="N194" t="s">
        <v>394</v>
      </c>
      <c r="O194" t="s">
        <v>394</v>
      </c>
      <c r="P194" t="s">
        <v>2293</v>
      </c>
      <c r="Q194" t="s">
        <v>465</v>
      </c>
      <c r="V194">
        <v>-6.4</v>
      </c>
      <c r="W194" t="s">
        <v>2041</v>
      </c>
      <c r="X194" t="s">
        <v>2041</v>
      </c>
      <c r="Y194" t="s">
        <v>2081</v>
      </c>
      <c r="Z194" t="str">
        <f t="shared" ref="Z194:Z257" si="7">IF(L194&gt;=19,"Y","N")</f>
        <v>Y</v>
      </c>
    </row>
    <row r="195" spans="1:29">
      <c r="A195">
        <v>357</v>
      </c>
      <c r="B195" t="s">
        <v>2074</v>
      </c>
      <c r="C195" t="s">
        <v>2367</v>
      </c>
      <c r="E195">
        <v>2008</v>
      </c>
      <c r="F195" t="s">
        <v>2368</v>
      </c>
      <c r="G195" t="s">
        <v>2035</v>
      </c>
      <c r="H195" s="6">
        <v>57</v>
      </c>
      <c r="I195" s="6">
        <v>-169</v>
      </c>
      <c r="J195" s="6">
        <v>1975</v>
      </c>
      <c r="K195" s="6">
        <v>2005</v>
      </c>
      <c r="L195" s="6">
        <f t="shared" si="6"/>
        <v>31</v>
      </c>
      <c r="M195" t="s">
        <v>2036</v>
      </c>
      <c r="N195" t="s">
        <v>394</v>
      </c>
      <c r="O195" t="s">
        <v>394</v>
      </c>
      <c r="P195" t="s">
        <v>2369</v>
      </c>
      <c r="Q195" t="s">
        <v>2366</v>
      </c>
      <c r="V195">
        <v>-8.8000000000000007</v>
      </c>
      <c r="W195" t="s">
        <v>2041</v>
      </c>
      <c r="X195" t="s">
        <v>2041</v>
      </c>
      <c r="Y195" t="s">
        <v>2081</v>
      </c>
      <c r="Z195" t="str">
        <f t="shared" si="7"/>
        <v>Y</v>
      </c>
    </row>
    <row r="196" spans="1:29">
      <c r="A196">
        <v>358</v>
      </c>
      <c r="B196" t="s">
        <v>2074</v>
      </c>
      <c r="C196" t="s">
        <v>2367</v>
      </c>
      <c r="E196">
        <v>2008</v>
      </c>
      <c r="F196" t="s">
        <v>2368</v>
      </c>
      <c r="G196" t="s">
        <v>2035</v>
      </c>
      <c r="H196" s="6">
        <v>57</v>
      </c>
      <c r="I196" s="6">
        <v>-169</v>
      </c>
      <c r="J196" s="6">
        <v>1975</v>
      </c>
      <c r="K196" s="6">
        <v>2005</v>
      </c>
      <c r="L196" s="6">
        <f t="shared" si="6"/>
        <v>31</v>
      </c>
      <c r="M196" t="s">
        <v>2036</v>
      </c>
      <c r="N196" t="s">
        <v>394</v>
      </c>
      <c r="O196" t="s">
        <v>394</v>
      </c>
      <c r="P196" t="s">
        <v>2369</v>
      </c>
      <c r="Q196" t="s">
        <v>2366</v>
      </c>
      <c r="V196">
        <v>-7.9</v>
      </c>
      <c r="W196" t="s">
        <v>2041</v>
      </c>
      <c r="X196" t="s">
        <v>2041</v>
      </c>
      <c r="Y196" t="s">
        <v>2081</v>
      </c>
      <c r="Z196" t="str">
        <f t="shared" si="7"/>
        <v>Y</v>
      </c>
    </row>
    <row r="197" spans="1:29">
      <c r="A197">
        <v>359</v>
      </c>
      <c r="B197" t="s">
        <v>2074</v>
      </c>
      <c r="C197" t="s">
        <v>2367</v>
      </c>
      <c r="E197">
        <v>2008</v>
      </c>
      <c r="F197" t="s">
        <v>2368</v>
      </c>
      <c r="G197" t="s">
        <v>2035</v>
      </c>
      <c r="H197" s="6">
        <v>57</v>
      </c>
      <c r="I197" s="6">
        <v>-169</v>
      </c>
      <c r="J197" s="6">
        <v>1975</v>
      </c>
      <c r="K197" s="6">
        <v>2005</v>
      </c>
      <c r="L197" s="6">
        <f t="shared" si="6"/>
        <v>31</v>
      </c>
      <c r="M197" t="s">
        <v>2036</v>
      </c>
      <c r="N197" t="s">
        <v>394</v>
      </c>
      <c r="O197" t="s">
        <v>394</v>
      </c>
      <c r="P197" t="s">
        <v>2370</v>
      </c>
      <c r="Q197" t="s">
        <v>984</v>
      </c>
      <c r="V197">
        <v>1.6</v>
      </c>
      <c r="W197" t="s">
        <v>2058</v>
      </c>
      <c r="X197" t="s">
        <v>2041</v>
      </c>
      <c r="Y197" t="s">
        <v>2081</v>
      </c>
      <c r="Z197" t="str">
        <f t="shared" si="7"/>
        <v>Y</v>
      </c>
    </row>
    <row r="198" spans="1:29">
      <c r="A198">
        <v>360</v>
      </c>
      <c r="B198" t="s">
        <v>2074</v>
      </c>
      <c r="C198" t="s">
        <v>2367</v>
      </c>
      <c r="E198">
        <v>2008</v>
      </c>
      <c r="F198" t="s">
        <v>2368</v>
      </c>
      <c r="G198" t="s">
        <v>2035</v>
      </c>
      <c r="H198" s="6">
        <v>57</v>
      </c>
      <c r="I198" s="6">
        <v>-169</v>
      </c>
      <c r="J198" s="6">
        <v>1975</v>
      </c>
      <c r="K198" s="6">
        <v>2005</v>
      </c>
      <c r="L198" s="6">
        <f t="shared" si="6"/>
        <v>31</v>
      </c>
      <c r="M198" t="s">
        <v>2036</v>
      </c>
      <c r="N198" t="s">
        <v>394</v>
      </c>
      <c r="O198" t="s">
        <v>394</v>
      </c>
      <c r="P198" t="s">
        <v>2370</v>
      </c>
      <c r="Q198" t="s">
        <v>984</v>
      </c>
      <c r="V198">
        <v>1</v>
      </c>
      <c r="W198" t="s">
        <v>2058</v>
      </c>
      <c r="X198" t="s">
        <v>2041</v>
      </c>
      <c r="Y198" t="s">
        <v>2081</v>
      </c>
      <c r="Z198" t="str">
        <f t="shared" si="7"/>
        <v>Y</v>
      </c>
    </row>
    <row r="199" spans="1:29">
      <c r="A199">
        <v>361</v>
      </c>
      <c r="B199" t="s">
        <v>2074</v>
      </c>
      <c r="C199" t="s">
        <v>2367</v>
      </c>
      <c r="E199">
        <v>2008</v>
      </c>
      <c r="F199" t="s">
        <v>2368</v>
      </c>
      <c r="G199" t="s">
        <v>2035</v>
      </c>
      <c r="H199" s="6">
        <v>57</v>
      </c>
      <c r="I199" s="6">
        <v>-169</v>
      </c>
      <c r="J199" s="6">
        <v>1975</v>
      </c>
      <c r="K199" s="6">
        <v>2005</v>
      </c>
      <c r="L199" s="6">
        <f t="shared" si="6"/>
        <v>31</v>
      </c>
      <c r="M199" t="s">
        <v>2036</v>
      </c>
      <c r="N199" t="s">
        <v>394</v>
      </c>
      <c r="O199" t="s">
        <v>394</v>
      </c>
      <c r="P199" t="s">
        <v>2371</v>
      </c>
      <c r="Q199" t="s">
        <v>469</v>
      </c>
      <c r="V199">
        <v>0.01</v>
      </c>
      <c r="W199" t="s">
        <v>2058</v>
      </c>
      <c r="X199" t="s">
        <v>2041</v>
      </c>
      <c r="Y199" t="s">
        <v>2081</v>
      </c>
      <c r="Z199" t="str">
        <f t="shared" si="7"/>
        <v>Y</v>
      </c>
    </row>
    <row r="200" spans="1:29">
      <c r="A200">
        <v>362</v>
      </c>
      <c r="B200" t="s">
        <v>2074</v>
      </c>
      <c r="C200" t="s">
        <v>2367</v>
      </c>
      <c r="E200">
        <v>2008</v>
      </c>
      <c r="F200" t="s">
        <v>2368</v>
      </c>
      <c r="G200" t="s">
        <v>2035</v>
      </c>
      <c r="H200" s="6">
        <v>57</v>
      </c>
      <c r="I200" s="6">
        <v>-169</v>
      </c>
      <c r="J200" s="6">
        <v>1975</v>
      </c>
      <c r="K200" s="6">
        <v>2005</v>
      </c>
      <c r="L200" s="6">
        <f t="shared" si="6"/>
        <v>31</v>
      </c>
      <c r="M200" t="s">
        <v>2036</v>
      </c>
      <c r="N200" t="s">
        <v>394</v>
      </c>
      <c r="O200" t="s">
        <v>394</v>
      </c>
      <c r="P200" t="s">
        <v>2371</v>
      </c>
      <c r="Q200" t="s">
        <v>469</v>
      </c>
      <c r="V200">
        <v>4.7</v>
      </c>
      <c r="W200" t="s">
        <v>2058</v>
      </c>
      <c r="X200" t="s">
        <v>2041</v>
      </c>
      <c r="Y200" t="s">
        <v>2081</v>
      </c>
      <c r="Z200" t="str">
        <f t="shared" si="7"/>
        <v>Y</v>
      </c>
    </row>
    <row r="201" spans="1:29">
      <c r="A201">
        <v>198</v>
      </c>
      <c r="B201" t="s">
        <v>19</v>
      </c>
      <c r="C201" t="s">
        <v>2372</v>
      </c>
      <c r="E201">
        <v>2009</v>
      </c>
      <c r="F201" t="s">
        <v>2373</v>
      </c>
      <c r="G201" t="s">
        <v>2035</v>
      </c>
      <c r="H201" s="6">
        <v>56.183300000000003</v>
      </c>
      <c r="I201" s="6">
        <v>-2.5667</v>
      </c>
      <c r="J201" s="6">
        <v>1971</v>
      </c>
      <c r="K201" s="6">
        <v>2006</v>
      </c>
      <c r="L201" s="6">
        <f t="shared" si="6"/>
        <v>36</v>
      </c>
      <c r="N201" t="s">
        <v>394</v>
      </c>
      <c r="O201" t="s">
        <v>394</v>
      </c>
      <c r="P201" t="s">
        <v>497</v>
      </c>
      <c r="V201">
        <f>-0.079*10</f>
        <v>-0.79</v>
      </c>
      <c r="W201" t="s">
        <v>2041</v>
      </c>
      <c r="X201" s="11" t="s">
        <v>2041</v>
      </c>
      <c r="Y201" t="s">
        <v>19</v>
      </c>
      <c r="Z201" t="str">
        <f t="shared" si="7"/>
        <v>Y</v>
      </c>
      <c r="AC201" t="s">
        <v>2374</v>
      </c>
    </row>
    <row r="202" spans="1:29">
      <c r="A202">
        <v>173</v>
      </c>
      <c r="B202" t="s">
        <v>19</v>
      </c>
      <c r="C202" t="s">
        <v>2375</v>
      </c>
      <c r="E202">
        <v>2009</v>
      </c>
      <c r="F202" t="s">
        <v>2376</v>
      </c>
      <c r="G202" t="s">
        <v>2035</v>
      </c>
      <c r="H202" s="6">
        <v>62.468200000000003</v>
      </c>
      <c r="I202" s="6">
        <v>-83.104200000000006</v>
      </c>
      <c r="J202" s="6">
        <v>1988</v>
      </c>
      <c r="K202" s="6">
        <v>2007</v>
      </c>
      <c r="L202" s="6">
        <f t="shared" si="6"/>
        <v>20</v>
      </c>
      <c r="N202" t="s">
        <v>394</v>
      </c>
      <c r="O202" t="s">
        <v>394</v>
      </c>
      <c r="P202" t="s">
        <v>2298</v>
      </c>
      <c r="Q202" t="s">
        <v>469</v>
      </c>
      <c r="V202">
        <f>-5/(L202/10)</f>
        <v>-2.5</v>
      </c>
      <c r="W202" t="s">
        <v>2041</v>
      </c>
      <c r="X202" s="11" t="s">
        <v>2041</v>
      </c>
      <c r="Y202" t="s">
        <v>19</v>
      </c>
      <c r="Z202" t="str">
        <f t="shared" si="7"/>
        <v>Y</v>
      </c>
      <c r="AC202" t="s">
        <v>2377</v>
      </c>
    </row>
    <row r="203" spans="1:29">
      <c r="A203">
        <v>199</v>
      </c>
      <c r="B203" t="s">
        <v>19</v>
      </c>
      <c r="C203" t="s">
        <v>2372</v>
      </c>
      <c r="E203">
        <v>2009</v>
      </c>
      <c r="F203" t="s">
        <v>2373</v>
      </c>
      <c r="G203" t="s">
        <v>2035</v>
      </c>
      <c r="H203" s="6">
        <v>56.183300000000003</v>
      </c>
      <c r="I203" s="6">
        <v>-2.5667</v>
      </c>
      <c r="J203" s="6">
        <v>1971</v>
      </c>
      <c r="K203" s="6">
        <v>2006</v>
      </c>
      <c r="L203" s="6">
        <f t="shared" si="6"/>
        <v>36</v>
      </c>
      <c r="N203" t="s">
        <v>394</v>
      </c>
      <c r="O203" t="s">
        <v>394</v>
      </c>
      <c r="P203" t="s">
        <v>2378</v>
      </c>
      <c r="V203">
        <f>-0.84*10</f>
        <v>-8.4</v>
      </c>
      <c r="W203" t="s">
        <v>2041</v>
      </c>
      <c r="X203" s="11" t="s">
        <v>2041</v>
      </c>
      <c r="Y203" t="s">
        <v>19</v>
      </c>
      <c r="Z203" t="str">
        <f t="shared" si="7"/>
        <v>Y</v>
      </c>
      <c r="AC203" t="s">
        <v>2374</v>
      </c>
    </row>
    <row r="204" spans="1:29">
      <c r="A204">
        <v>200</v>
      </c>
      <c r="B204" t="s">
        <v>19</v>
      </c>
      <c r="C204" t="s">
        <v>2372</v>
      </c>
      <c r="E204">
        <v>2009</v>
      </c>
      <c r="F204" t="s">
        <v>2373</v>
      </c>
      <c r="G204" t="s">
        <v>2035</v>
      </c>
      <c r="H204" s="6">
        <v>56.183300000000003</v>
      </c>
      <c r="I204" s="6">
        <v>-2.5667</v>
      </c>
      <c r="J204" s="6">
        <v>1971</v>
      </c>
      <c r="K204" s="6">
        <v>2006</v>
      </c>
      <c r="L204" s="6">
        <f t="shared" si="6"/>
        <v>36</v>
      </c>
      <c r="N204" t="s">
        <v>394</v>
      </c>
      <c r="O204" t="s">
        <v>394</v>
      </c>
      <c r="P204" t="s">
        <v>2379</v>
      </c>
      <c r="V204">
        <v>-0.12</v>
      </c>
      <c r="W204" t="s">
        <v>2041</v>
      </c>
      <c r="X204" s="11" t="s">
        <v>2041</v>
      </c>
      <c r="Y204" t="s">
        <v>19</v>
      </c>
      <c r="Z204" t="str">
        <f t="shared" si="7"/>
        <v>Y</v>
      </c>
      <c r="AC204" t="s">
        <v>2374</v>
      </c>
    </row>
    <row r="205" spans="1:29">
      <c r="A205">
        <v>201</v>
      </c>
      <c r="B205" t="s">
        <v>19</v>
      </c>
      <c r="C205" t="s">
        <v>2372</v>
      </c>
      <c r="E205">
        <v>2009</v>
      </c>
      <c r="F205" t="s">
        <v>2373</v>
      </c>
      <c r="G205" t="s">
        <v>2035</v>
      </c>
      <c r="H205" s="6">
        <v>56.183300000000003</v>
      </c>
      <c r="I205" s="6">
        <v>-2.5667</v>
      </c>
      <c r="J205" s="6">
        <v>1971</v>
      </c>
      <c r="K205" s="6">
        <v>2006</v>
      </c>
      <c r="L205" s="6">
        <f t="shared" si="6"/>
        <v>36</v>
      </c>
      <c r="N205" t="s">
        <v>394</v>
      </c>
      <c r="O205" t="s">
        <v>394</v>
      </c>
      <c r="P205" t="s">
        <v>2380</v>
      </c>
      <c r="V205">
        <f>0.69</f>
        <v>0.69</v>
      </c>
      <c r="W205" t="s">
        <v>2058</v>
      </c>
      <c r="X205" s="11" t="s">
        <v>2041</v>
      </c>
      <c r="Y205" t="s">
        <v>19</v>
      </c>
      <c r="Z205" t="str">
        <f t="shared" si="7"/>
        <v>Y</v>
      </c>
      <c r="AC205" t="s">
        <v>2374</v>
      </c>
    </row>
    <row r="206" spans="1:29">
      <c r="A206">
        <v>215</v>
      </c>
      <c r="B206" t="s">
        <v>19</v>
      </c>
      <c r="C206" t="s">
        <v>2381</v>
      </c>
      <c r="E206">
        <v>1996</v>
      </c>
      <c r="F206" t="s">
        <v>1214</v>
      </c>
      <c r="G206" t="s">
        <v>2035</v>
      </c>
      <c r="H206" s="6">
        <v>54.19</v>
      </c>
      <c r="I206" s="6">
        <v>7.9</v>
      </c>
      <c r="J206" s="6">
        <v>1974</v>
      </c>
      <c r="K206" s="6">
        <v>1994</v>
      </c>
      <c r="L206" s="6">
        <f t="shared" si="6"/>
        <v>21</v>
      </c>
      <c r="M206" t="s">
        <v>2036</v>
      </c>
      <c r="N206" t="s">
        <v>51</v>
      </c>
      <c r="O206" t="s">
        <v>2382</v>
      </c>
      <c r="Q206" t="s">
        <v>52</v>
      </c>
      <c r="R206" s="15"/>
      <c r="S206" s="15"/>
      <c r="T206" s="15"/>
      <c r="U206" s="15"/>
      <c r="V206" t="s">
        <v>163</v>
      </c>
      <c r="W206" t="s">
        <v>2041</v>
      </c>
      <c r="X206" t="s">
        <v>2041</v>
      </c>
      <c r="Y206" t="s">
        <v>19</v>
      </c>
      <c r="Z206" t="str">
        <f t="shared" si="7"/>
        <v>Y</v>
      </c>
      <c r="AC206" t="s">
        <v>2383</v>
      </c>
    </row>
    <row r="207" spans="1:29">
      <c r="A207">
        <v>216</v>
      </c>
      <c r="B207" t="s">
        <v>19</v>
      </c>
      <c r="C207" t="s">
        <v>2381</v>
      </c>
      <c r="E207">
        <v>1996</v>
      </c>
      <c r="F207" t="s">
        <v>1214</v>
      </c>
      <c r="G207" t="s">
        <v>2035</v>
      </c>
      <c r="H207" s="6">
        <v>54.19</v>
      </c>
      <c r="I207" s="6">
        <v>7.9</v>
      </c>
      <c r="J207" s="6">
        <v>1974</v>
      </c>
      <c r="K207" s="6">
        <v>1994</v>
      </c>
      <c r="L207" s="6">
        <f t="shared" si="6"/>
        <v>21</v>
      </c>
      <c r="M207" t="s">
        <v>2036</v>
      </c>
      <c r="N207" t="s">
        <v>2141</v>
      </c>
      <c r="O207" t="s">
        <v>2142</v>
      </c>
      <c r="Q207" t="s">
        <v>2384</v>
      </c>
      <c r="R207" s="15"/>
      <c r="S207" s="15"/>
      <c r="T207" s="15"/>
      <c r="U207" s="15"/>
      <c r="V207" t="s">
        <v>163</v>
      </c>
      <c r="W207" t="s">
        <v>2041</v>
      </c>
      <c r="X207" t="s">
        <v>2041</v>
      </c>
      <c r="Y207" t="s">
        <v>19</v>
      </c>
      <c r="Z207" t="str">
        <f t="shared" si="7"/>
        <v>Y</v>
      </c>
      <c r="AC207" t="s">
        <v>2383</v>
      </c>
    </row>
    <row r="208" spans="1:29">
      <c r="A208">
        <v>217</v>
      </c>
      <c r="B208" t="s">
        <v>19</v>
      </c>
      <c r="C208" t="s">
        <v>2381</v>
      </c>
      <c r="E208">
        <v>1996</v>
      </c>
      <c r="F208" t="s">
        <v>1214</v>
      </c>
      <c r="G208" t="s">
        <v>2035</v>
      </c>
      <c r="H208" s="6">
        <v>54.19</v>
      </c>
      <c r="I208" s="6">
        <v>7.9</v>
      </c>
      <c r="J208" s="6">
        <v>1974</v>
      </c>
      <c r="K208" s="6">
        <v>1994</v>
      </c>
      <c r="L208" s="6">
        <f t="shared" si="6"/>
        <v>21</v>
      </c>
      <c r="M208" t="s">
        <v>2036</v>
      </c>
      <c r="N208" t="s">
        <v>2141</v>
      </c>
      <c r="O208" t="s">
        <v>2141</v>
      </c>
      <c r="Q208" t="s">
        <v>2385</v>
      </c>
      <c r="R208" s="15"/>
      <c r="S208" s="15"/>
      <c r="T208" s="15"/>
      <c r="U208" s="15"/>
      <c r="V208" t="s">
        <v>163</v>
      </c>
      <c r="W208" t="s">
        <v>2058</v>
      </c>
      <c r="X208" t="s">
        <v>2041</v>
      </c>
      <c r="Y208" t="s">
        <v>19</v>
      </c>
      <c r="Z208" t="str">
        <f t="shared" si="7"/>
        <v>Y</v>
      </c>
      <c r="AC208" t="s">
        <v>2383</v>
      </c>
    </row>
    <row r="209" spans="1:29">
      <c r="A209">
        <v>218</v>
      </c>
      <c r="B209" t="s">
        <v>19</v>
      </c>
      <c r="C209" t="s">
        <v>2381</v>
      </c>
      <c r="E209">
        <v>1996</v>
      </c>
      <c r="F209" t="s">
        <v>1214</v>
      </c>
      <c r="G209" t="s">
        <v>2035</v>
      </c>
      <c r="H209" s="6">
        <v>54.19</v>
      </c>
      <c r="I209" s="6">
        <v>7.9</v>
      </c>
      <c r="J209" s="6">
        <v>1974</v>
      </c>
      <c r="K209" s="6">
        <v>1994</v>
      </c>
      <c r="L209" s="6">
        <f t="shared" si="6"/>
        <v>21</v>
      </c>
      <c r="M209" t="s">
        <v>2036</v>
      </c>
      <c r="N209" t="s">
        <v>2141</v>
      </c>
      <c r="O209" t="s">
        <v>2141</v>
      </c>
      <c r="Q209" t="s">
        <v>1926</v>
      </c>
      <c r="R209" s="15"/>
      <c r="S209" s="15"/>
      <c r="T209" s="15"/>
      <c r="U209" s="15"/>
      <c r="V209" t="s">
        <v>163</v>
      </c>
      <c r="W209" t="s">
        <v>2041</v>
      </c>
      <c r="X209" t="s">
        <v>2041</v>
      </c>
      <c r="Y209" t="s">
        <v>19</v>
      </c>
      <c r="Z209" t="str">
        <f t="shared" si="7"/>
        <v>Y</v>
      </c>
      <c r="AC209" t="s">
        <v>2383</v>
      </c>
    </row>
    <row r="210" spans="1:29">
      <c r="A210">
        <v>219</v>
      </c>
      <c r="B210" t="s">
        <v>19</v>
      </c>
      <c r="C210" t="s">
        <v>2381</v>
      </c>
      <c r="E210">
        <v>1996</v>
      </c>
      <c r="F210" t="s">
        <v>1214</v>
      </c>
      <c r="G210" t="s">
        <v>2035</v>
      </c>
      <c r="H210" s="6">
        <v>54.19</v>
      </c>
      <c r="I210" s="6">
        <v>7.9</v>
      </c>
      <c r="J210" s="6">
        <v>1974</v>
      </c>
      <c r="K210" s="6">
        <v>1994</v>
      </c>
      <c r="L210" s="6">
        <f t="shared" si="6"/>
        <v>21</v>
      </c>
      <c r="M210" t="s">
        <v>2036</v>
      </c>
      <c r="N210" t="s">
        <v>2141</v>
      </c>
      <c r="O210" t="s">
        <v>2141</v>
      </c>
      <c r="Q210" t="s">
        <v>2386</v>
      </c>
      <c r="R210" s="15"/>
      <c r="S210" s="15"/>
      <c r="T210" s="15"/>
      <c r="U210" s="15"/>
      <c r="V210" t="s">
        <v>163</v>
      </c>
      <c r="W210" t="s">
        <v>2041</v>
      </c>
      <c r="X210" t="s">
        <v>2041</v>
      </c>
      <c r="Y210" t="s">
        <v>19</v>
      </c>
      <c r="Z210" t="str">
        <f t="shared" si="7"/>
        <v>Y</v>
      </c>
      <c r="AC210" t="s">
        <v>2383</v>
      </c>
    </row>
    <row r="211" spans="1:29">
      <c r="A211">
        <v>220</v>
      </c>
      <c r="B211" t="s">
        <v>19</v>
      </c>
      <c r="C211" t="s">
        <v>2381</v>
      </c>
      <c r="E211">
        <v>1996</v>
      </c>
      <c r="F211" t="s">
        <v>1214</v>
      </c>
      <c r="G211" t="s">
        <v>2035</v>
      </c>
      <c r="H211" s="6">
        <v>54.19</v>
      </c>
      <c r="I211" s="6">
        <v>7.9</v>
      </c>
      <c r="J211" s="6">
        <v>1974</v>
      </c>
      <c r="K211" s="6">
        <v>1994</v>
      </c>
      <c r="L211" s="6">
        <f t="shared" si="6"/>
        <v>21</v>
      </c>
      <c r="M211" t="s">
        <v>2036</v>
      </c>
      <c r="N211" t="s">
        <v>2141</v>
      </c>
      <c r="O211" t="s">
        <v>2141</v>
      </c>
      <c r="P211" t="s">
        <v>2387</v>
      </c>
      <c r="Q211" t="s">
        <v>2388</v>
      </c>
      <c r="R211" s="15"/>
      <c r="S211" s="15"/>
      <c r="T211" s="15"/>
      <c r="U211" s="15"/>
      <c r="V211" t="s">
        <v>163</v>
      </c>
      <c r="W211" t="s">
        <v>2080</v>
      </c>
      <c r="X211" t="s">
        <v>2041</v>
      </c>
      <c r="Y211" t="s">
        <v>19</v>
      </c>
      <c r="Z211" t="str">
        <f t="shared" si="7"/>
        <v>Y</v>
      </c>
      <c r="AC211" t="s">
        <v>2383</v>
      </c>
    </row>
    <row r="212" spans="1:29">
      <c r="A212">
        <v>221</v>
      </c>
      <c r="B212" t="s">
        <v>19</v>
      </c>
      <c r="C212" t="s">
        <v>2381</v>
      </c>
      <c r="E212">
        <v>1996</v>
      </c>
      <c r="F212" t="s">
        <v>1214</v>
      </c>
      <c r="G212" t="s">
        <v>2035</v>
      </c>
      <c r="H212" s="6">
        <v>54.19</v>
      </c>
      <c r="I212" s="6">
        <v>7.9</v>
      </c>
      <c r="J212" s="6">
        <v>1974</v>
      </c>
      <c r="K212" s="6">
        <v>1994</v>
      </c>
      <c r="L212" s="6">
        <f t="shared" si="6"/>
        <v>21</v>
      </c>
      <c r="M212" t="s">
        <v>2036</v>
      </c>
      <c r="N212" t="s">
        <v>2141</v>
      </c>
      <c r="O212" t="s">
        <v>2142</v>
      </c>
      <c r="Q212" t="s">
        <v>2389</v>
      </c>
      <c r="R212" s="15"/>
      <c r="S212" s="15"/>
      <c r="T212" s="15"/>
      <c r="U212" s="15"/>
      <c r="V212" t="s">
        <v>163</v>
      </c>
      <c r="W212" t="s">
        <v>2041</v>
      </c>
      <c r="X212" t="s">
        <v>2041</v>
      </c>
      <c r="Y212" t="s">
        <v>19</v>
      </c>
      <c r="Z212" t="str">
        <f t="shared" si="7"/>
        <v>Y</v>
      </c>
      <c r="AC212" t="s">
        <v>2383</v>
      </c>
    </row>
    <row r="213" spans="1:29">
      <c r="A213">
        <v>187</v>
      </c>
      <c r="B213" t="s">
        <v>19</v>
      </c>
      <c r="C213" t="s">
        <v>2156</v>
      </c>
      <c r="E213">
        <v>2011</v>
      </c>
      <c r="F213" t="s">
        <v>2348</v>
      </c>
      <c r="G213" t="s">
        <v>2035</v>
      </c>
      <c r="H213" s="6">
        <v>51</v>
      </c>
      <c r="I213" s="6">
        <v>-13.5</v>
      </c>
      <c r="J213" s="6">
        <v>1958</v>
      </c>
      <c r="K213" s="6">
        <v>2008</v>
      </c>
      <c r="L213" s="6">
        <f t="shared" si="6"/>
        <v>51</v>
      </c>
      <c r="N213" t="s">
        <v>2132</v>
      </c>
      <c r="O213" t="s">
        <v>2133</v>
      </c>
      <c r="P213" t="s">
        <v>163</v>
      </c>
      <c r="Q213" t="s">
        <v>42</v>
      </c>
      <c r="R213" t="s">
        <v>2112</v>
      </c>
      <c r="V213">
        <f>-(5.4-4.9)*30.25/(L213/10)</f>
        <v>-2.965686274509804</v>
      </c>
      <c r="W213" t="s">
        <v>2041</v>
      </c>
      <c r="X213" s="11" t="s">
        <v>2041</v>
      </c>
      <c r="Y213" t="s">
        <v>19</v>
      </c>
      <c r="Z213" t="str">
        <f t="shared" si="7"/>
        <v>Y</v>
      </c>
      <c r="AC213" t="s">
        <v>2345</v>
      </c>
    </row>
    <row r="214" spans="1:29">
      <c r="A214">
        <v>188</v>
      </c>
      <c r="B214" t="s">
        <v>19</v>
      </c>
      <c r="C214" t="s">
        <v>2156</v>
      </c>
      <c r="E214">
        <v>2011</v>
      </c>
      <c r="F214" t="s">
        <v>2349</v>
      </c>
      <c r="G214" t="s">
        <v>2035</v>
      </c>
      <c r="H214" s="6">
        <v>41</v>
      </c>
      <c r="I214" s="6">
        <v>-15</v>
      </c>
      <c r="J214" s="6">
        <v>1958</v>
      </c>
      <c r="K214" s="6">
        <v>2008</v>
      </c>
      <c r="L214" s="6">
        <f t="shared" si="6"/>
        <v>51</v>
      </c>
      <c r="N214" t="s">
        <v>2132</v>
      </c>
      <c r="O214" t="s">
        <v>2133</v>
      </c>
      <c r="P214" t="s">
        <v>163</v>
      </c>
      <c r="Q214" t="s">
        <v>42</v>
      </c>
      <c r="R214" t="s">
        <v>2112</v>
      </c>
      <c r="V214">
        <f>-(4.9-4.8)*30.25/(L214/10)</f>
        <v>-0.59313725490196401</v>
      </c>
      <c r="W214" t="s">
        <v>2041</v>
      </c>
      <c r="X214" s="11" t="s">
        <v>2041</v>
      </c>
      <c r="Y214" t="s">
        <v>19</v>
      </c>
      <c r="Z214" t="str">
        <f t="shared" si="7"/>
        <v>Y</v>
      </c>
      <c r="AC214" t="s">
        <v>2345</v>
      </c>
    </row>
    <row r="215" spans="1:29">
      <c r="A215">
        <v>189</v>
      </c>
      <c r="B215" t="s">
        <v>19</v>
      </c>
      <c r="C215" t="s">
        <v>2156</v>
      </c>
      <c r="E215">
        <v>2011</v>
      </c>
      <c r="F215" t="s">
        <v>2350</v>
      </c>
      <c r="G215" t="s">
        <v>2035</v>
      </c>
      <c r="H215" s="6">
        <v>45</v>
      </c>
      <c r="I215" s="6">
        <v>-20</v>
      </c>
      <c r="J215" s="6">
        <v>1958</v>
      </c>
      <c r="K215" s="6">
        <v>2008</v>
      </c>
      <c r="L215" s="6">
        <f t="shared" si="6"/>
        <v>51</v>
      </c>
      <c r="N215" t="s">
        <v>2132</v>
      </c>
      <c r="O215" t="s">
        <v>2133</v>
      </c>
      <c r="P215" t="s">
        <v>163</v>
      </c>
      <c r="Q215" t="s">
        <v>42</v>
      </c>
      <c r="R215" t="s">
        <v>2112</v>
      </c>
      <c r="V215">
        <f>-(4.85-4.8)*30.25/(L215/10)</f>
        <v>-0.29656862745097934</v>
      </c>
      <c r="W215" t="s">
        <v>2041</v>
      </c>
      <c r="X215" s="11" t="s">
        <v>2041</v>
      </c>
      <c r="Y215" t="s">
        <v>19</v>
      </c>
      <c r="Z215" t="str">
        <f t="shared" si="7"/>
        <v>Y</v>
      </c>
      <c r="AC215" t="s">
        <v>2345</v>
      </c>
    </row>
    <row r="216" spans="1:29">
      <c r="A216">
        <v>190</v>
      </c>
      <c r="B216" t="s">
        <v>19</v>
      </c>
      <c r="C216" t="s">
        <v>2156</v>
      </c>
      <c r="E216">
        <v>2011</v>
      </c>
      <c r="F216" t="s">
        <v>2351</v>
      </c>
      <c r="G216" t="s">
        <v>2035</v>
      </c>
      <c r="H216" s="6">
        <v>55</v>
      </c>
      <c r="I216" s="6">
        <v>-18.5</v>
      </c>
      <c r="J216" s="6">
        <v>1958</v>
      </c>
      <c r="K216" s="6">
        <v>2008</v>
      </c>
      <c r="L216" s="6">
        <f t="shared" si="6"/>
        <v>51</v>
      </c>
      <c r="N216" t="s">
        <v>2132</v>
      </c>
      <c r="O216" t="s">
        <v>2133</v>
      </c>
      <c r="P216" t="s">
        <v>163</v>
      </c>
      <c r="Q216" t="s">
        <v>42</v>
      </c>
      <c r="R216" t="s">
        <v>2112</v>
      </c>
      <c r="V216">
        <f>(5.7-5.6)*30.25/(L216/10)</f>
        <v>0.59313725490196401</v>
      </c>
      <c r="W216" t="s">
        <v>2058</v>
      </c>
      <c r="X216" s="11" t="s">
        <v>2041</v>
      </c>
      <c r="Y216" t="s">
        <v>19</v>
      </c>
      <c r="Z216" t="str">
        <f t="shared" si="7"/>
        <v>Y</v>
      </c>
      <c r="AC216" t="s">
        <v>2345</v>
      </c>
    </row>
    <row r="217" spans="1:29">
      <c r="A217">
        <v>191</v>
      </c>
      <c r="B217" t="s">
        <v>19</v>
      </c>
      <c r="C217" t="s">
        <v>2156</v>
      </c>
      <c r="E217">
        <v>2011</v>
      </c>
      <c r="F217" t="s">
        <v>2352</v>
      </c>
      <c r="G217" t="s">
        <v>2035</v>
      </c>
      <c r="H217" s="6">
        <v>60</v>
      </c>
      <c r="I217" s="6">
        <v>-10</v>
      </c>
      <c r="J217" s="6">
        <v>1958</v>
      </c>
      <c r="K217" s="6">
        <v>2008</v>
      </c>
      <c r="L217" s="6">
        <f t="shared" si="6"/>
        <v>51</v>
      </c>
      <c r="N217" t="s">
        <v>2132</v>
      </c>
      <c r="O217" t="s">
        <v>2133</v>
      </c>
      <c r="P217" t="s">
        <v>163</v>
      </c>
      <c r="Q217" t="s">
        <v>42</v>
      </c>
      <c r="R217" t="s">
        <v>2112</v>
      </c>
      <c r="V217">
        <f>-(5.9-5.4)*30.25/(L217/10)</f>
        <v>-2.965686274509804</v>
      </c>
      <c r="W217" t="s">
        <v>2041</v>
      </c>
      <c r="X217" s="11" t="s">
        <v>2041</v>
      </c>
      <c r="Y217" t="s">
        <v>19</v>
      </c>
      <c r="Z217" t="str">
        <f t="shared" si="7"/>
        <v>Y</v>
      </c>
      <c r="AC217" t="s">
        <v>2345</v>
      </c>
    </row>
    <row r="218" spans="1:29" ht="15.5">
      <c r="A218">
        <v>227</v>
      </c>
      <c r="B218" t="s">
        <v>19</v>
      </c>
      <c r="C218" t="s">
        <v>2381</v>
      </c>
      <c r="E218">
        <v>1996</v>
      </c>
      <c r="F218" t="s">
        <v>1214</v>
      </c>
      <c r="G218" t="s">
        <v>2035</v>
      </c>
      <c r="H218" s="6">
        <v>54.19</v>
      </c>
      <c r="I218" s="6">
        <v>7.9</v>
      </c>
      <c r="J218" s="6">
        <v>1974</v>
      </c>
      <c r="K218" s="6">
        <v>1994</v>
      </c>
      <c r="L218" s="6">
        <f t="shared" si="6"/>
        <v>21</v>
      </c>
      <c r="M218" t="s">
        <v>2036</v>
      </c>
      <c r="N218" s="12" t="s">
        <v>2141</v>
      </c>
      <c r="O218" t="s">
        <v>2142</v>
      </c>
      <c r="P218" s="12" t="s">
        <v>2141</v>
      </c>
      <c r="Q218" t="s">
        <v>2390</v>
      </c>
      <c r="R218" s="15"/>
      <c r="S218" s="15"/>
      <c r="T218" s="15"/>
      <c r="U218" s="15"/>
      <c r="V218" t="s">
        <v>163</v>
      </c>
      <c r="W218" t="s">
        <v>2041</v>
      </c>
      <c r="X218" t="s">
        <v>2041</v>
      </c>
      <c r="Y218" t="s">
        <v>19</v>
      </c>
      <c r="Z218" t="str">
        <f t="shared" si="7"/>
        <v>Y</v>
      </c>
      <c r="AC218" t="s">
        <v>2383</v>
      </c>
    </row>
    <row r="219" spans="1:29" ht="15.5">
      <c r="A219">
        <v>228</v>
      </c>
      <c r="B219" t="s">
        <v>19</v>
      </c>
      <c r="C219" t="s">
        <v>2381</v>
      </c>
      <c r="E219">
        <v>1996</v>
      </c>
      <c r="F219" t="s">
        <v>1214</v>
      </c>
      <c r="G219" t="s">
        <v>2035</v>
      </c>
      <c r="H219" s="6">
        <v>54.19</v>
      </c>
      <c r="I219" s="6">
        <v>7.9</v>
      </c>
      <c r="J219" s="6">
        <v>1974</v>
      </c>
      <c r="K219" s="6">
        <v>1994</v>
      </c>
      <c r="L219" s="6">
        <f t="shared" si="6"/>
        <v>21</v>
      </c>
      <c r="M219" t="s">
        <v>2036</v>
      </c>
      <c r="N219" s="12" t="s">
        <v>2141</v>
      </c>
      <c r="O219" t="s">
        <v>2142</v>
      </c>
      <c r="P219" s="12" t="s">
        <v>2141</v>
      </c>
      <c r="Q219" t="s">
        <v>2391</v>
      </c>
      <c r="R219" s="15"/>
      <c r="S219" s="15"/>
      <c r="T219" s="15"/>
      <c r="U219" s="15"/>
      <c r="V219" t="s">
        <v>163</v>
      </c>
      <c r="W219" t="s">
        <v>2041</v>
      </c>
      <c r="X219" t="s">
        <v>2041</v>
      </c>
      <c r="Y219" t="s">
        <v>19</v>
      </c>
      <c r="Z219" t="str">
        <f t="shared" si="7"/>
        <v>Y</v>
      </c>
      <c r="AC219" t="s">
        <v>2383</v>
      </c>
    </row>
    <row r="220" spans="1:29" ht="15.5">
      <c r="A220">
        <v>229</v>
      </c>
      <c r="B220" t="s">
        <v>19</v>
      </c>
      <c r="C220" t="s">
        <v>2381</v>
      </c>
      <c r="E220">
        <v>1996</v>
      </c>
      <c r="F220" t="s">
        <v>1214</v>
      </c>
      <c r="G220" t="s">
        <v>2035</v>
      </c>
      <c r="H220" s="6">
        <v>54.19</v>
      </c>
      <c r="I220" s="6">
        <v>7.9</v>
      </c>
      <c r="J220" s="6">
        <v>1974</v>
      </c>
      <c r="K220" s="6">
        <v>1994</v>
      </c>
      <c r="L220" s="6">
        <f t="shared" si="6"/>
        <v>21</v>
      </c>
      <c r="M220" t="s">
        <v>2036</v>
      </c>
      <c r="N220" s="12" t="s">
        <v>2141</v>
      </c>
      <c r="O220" t="s">
        <v>2142</v>
      </c>
      <c r="Q220" t="s">
        <v>2392</v>
      </c>
      <c r="R220" s="15"/>
      <c r="S220" s="15"/>
      <c r="T220" s="15"/>
      <c r="U220" s="15"/>
      <c r="V220" t="s">
        <v>163</v>
      </c>
      <c r="W220" t="s">
        <v>2058</v>
      </c>
      <c r="X220" t="s">
        <v>2041</v>
      </c>
      <c r="Y220" t="s">
        <v>19</v>
      </c>
      <c r="Z220" t="str">
        <f t="shared" si="7"/>
        <v>Y</v>
      </c>
      <c r="AC220" t="s">
        <v>2383</v>
      </c>
    </row>
    <row r="221" spans="1:29" ht="15.5">
      <c r="A221">
        <v>230</v>
      </c>
      <c r="B221" t="s">
        <v>19</v>
      </c>
      <c r="C221" t="s">
        <v>2381</v>
      </c>
      <c r="E221">
        <v>1996</v>
      </c>
      <c r="F221" t="s">
        <v>1214</v>
      </c>
      <c r="G221" t="s">
        <v>2035</v>
      </c>
      <c r="H221" s="6">
        <v>54.19</v>
      </c>
      <c r="I221" s="6">
        <v>7.9</v>
      </c>
      <c r="J221" s="6">
        <v>1974</v>
      </c>
      <c r="K221" s="6">
        <v>1994</v>
      </c>
      <c r="L221" s="6">
        <f t="shared" si="6"/>
        <v>21</v>
      </c>
      <c r="M221" t="s">
        <v>2036</v>
      </c>
      <c r="N221" s="12" t="s">
        <v>2141</v>
      </c>
      <c r="O221" t="s">
        <v>2142</v>
      </c>
      <c r="Q221" t="s">
        <v>2393</v>
      </c>
      <c r="R221" s="15"/>
      <c r="S221" s="15"/>
      <c r="T221" s="15"/>
      <c r="U221" s="15"/>
      <c r="V221" t="s">
        <v>163</v>
      </c>
      <c r="W221" t="s">
        <v>2041</v>
      </c>
      <c r="X221" t="s">
        <v>2041</v>
      </c>
      <c r="Y221" t="s">
        <v>19</v>
      </c>
      <c r="Z221" t="str">
        <f t="shared" si="7"/>
        <v>Y</v>
      </c>
      <c r="AC221" t="s">
        <v>2383</v>
      </c>
    </row>
    <row r="222" spans="1:29" ht="15.5">
      <c r="A222">
        <v>231</v>
      </c>
      <c r="B222" t="s">
        <v>19</v>
      </c>
      <c r="C222" t="s">
        <v>2381</v>
      </c>
      <c r="E222">
        <v>1996</v>
      </c>
      <c r="F222" t="s">
        <v>1214</v>
      </c>
      <c r="G222" t="s">
        <v>2035</v>
      </c>
      <c r="H222" s="6">
        <v>54.19</v>
      </c>
      <c r="I222" s="6">
        <v>7.9</v>
      </c>
      <c r="J222" s="6">
        <v>1974</v>
      </c>
      <c r="K222" s="6">
        <v>1994</v>
      </c>
      <c r="L222" s="6">
        <f t="shared" si="6"/>
        <v>21</v>
      </c>
      <c r="M222" t="s">
        <v>2036</v>
      </c>
      <c r="N222" s="12" t="s">
        <v>2141</v>
      </c>
      <c r="O222" t="s">
        <v>2142</v>
      </c>
      <c r="Q222" t="s">
        <v>2394</v>
      </c>
      <c r="R222" s="15"/>
      <c r="S222" s="15"/>
      <c r="T222" s="15"/>
      <c r="U222" s="15"/>
      <c r="V222" t="s">
        <v>163</v>
      </c>
      <c r="W222" t="s">
        <v>2041</v>
      </c>
      <c r="X222" t="s">
        <v>2041</v>
      </c>
      <c r="Y222" t="s">
        <v>19</v>
      </c>
      <c r="Z222" t="str">
        <f t="shared" si="7"/>
        <v>Y</v>
      </c>
      <c r="AC222" t="s">
        <v>2383</v>
      </c>
    </row>
    <row r="223" spans="1:29" ht="15.5">
      <c r="A223">
        <v>232</v>
      </c>
      <c r="B223" t="s">
        <v>19</v>
      </c>
      <c r="C223" t="s">
        <v>2381</v>
      </c>
      <c r="E223">
        <v>1996</v>
      </c>
      <c r="F223" t="s">
        <v>1214</v>
      </c>
      <c r="G223" t="s">
        <v>2035</v>
      </c>
      <c r="H223" s="6">
        <v>54.19</v>
      </c>
      <c r="I223" s="6">
        <v>7.9</v>
      </c>
      <c r="J223" s="6">
        <v>1974</v>
      </c>
      <c r="K223" s="6">
        <v>1994</v>
      </c>
      <c r="L223" s="6">
        <f t="shared" si="6"/>
        <v>21</v>
      </c>
      <c r="M223" t="s">
        <v>2036</v>
      </c>
      <c r="N223" s="12" t="s">
        <v>2141</v>
      </c>
      <c r="O223" t="s">
        <v>2142</v>
      </c>
      <c r="P223" s="12" t="s">
        <v>2141</v>
      </c>
      <c r="Q223" t="s">
        <v>1921</v>
      </c>
      <c r="R223" s="15"/>
      <c r="S223" s="15"/>
      <c r="T223" s="15"/>
      <c r="U223" s="15"/>
      <c r="V223" t="s">
        <v>163</v>
      </c>
      <c r="W223" t="s">
        <v>2041</v>
      </c>
      <c r="X223" t="s">
        <v>2041</v>
      </c>
      <c r="Y223" t="s">
        <v>19</v>
      </c>
      <c r="Z223" t="str">
        <f t="shared" si="7"/>
        <v>Y</v>
      </c>
      <c r="AC223" t="s">
        <v>2383</v>
      </c>
    </row>
    <row r="224" spans="1:29">
      <c r="A224">
        <v>192</v>
      </c>
      <c r="B224" t="s">
        <v>19</v>
      </c>
      <c r="C224" t="s">
        <v>2156</v>
      </c>
      <c r="E224">
        <v>2011</v>
      </c>
      <c r="F224" t="s">
        <v>2353</v>
      </c>
      <c r="G224" t="s">
        <v>2035</v>
      </c>
      <c r="H224" s="6">
        <v>56.388946666666669</v>
      </c>
      <c r="I224" s="6">
        <v>-8.3386316666666662</v>
      </c>
      <c r="J224" s="6">
        <v>1958</v>
      </c>
      <c r="K224" s="6">
        <v>2008</v>
      </c>
      <c r="L224" s="6">
        <f t="shared" si="6"/>
        <v>51</v>
      </c>
      <c r="N224" t="s">
        <v>2132</v>
      </c>
      <c r="O224" t="s">
        <v>2133</v>
      </c>
      <c r="P224" t="s">
        <v>163</v>
      </c>
      <c r="Q224" t="s">
        <v>42</v>
      </c>
      <c r="R224" t="s">
        <v>2112</v>
      </c>
      <c r="V224">
        <f>-(6.4-6.2)*30.25/(L224/10)</f>
        <v>-1.1862745098039227</v>
      </c>
      <c r="W224" t="s">
        <v>2041</v>
      </c>
      <c r="X224" s="11" t="s">
        <v>2041</v>
      </c>
      <c r="Y224" t="s">
        <v>19</v>
      </c>
      <c r="Z224" t="str">
        <f t="shared" si="7"/>
        <v>Y</v>
      </c>
      <c r="AC224" t="s">
        <v>2345</v>
      </c>
    </row>
    <row r="225" spans="1:33">
      <c r="A225">
        <v>236</v>
      </c>
      <c r="B225" t="s">
        <v>19</v>
      </c>
      <c r="C225" t="s">
        <v>2381</v>
      </c>
      <c r="E225">
        <v>1996</v>
      </c>
      <c r="F225" t="s">
        <v>1214</v>
      </c>
      <c r="G225" t="s">
        <v>2035</v>
      </c>
      <c r="H225" s="6">
        <v>54.19</v>
      </c>
      <c r="I225" s="6">
        <v>7.9</v>
      </c>
      <c r="J225" s="6">
        <v>1974</v>
      </c>
      <c r="K225" s="6">
        <v>1994</v>
      </c>
      <c r="L225" s="6">
        <f t="shared" si="6"/>
        <v>21</v>
      </c>
      <c r="M225" t="s">
        <v>2036</v>
      </c>
      <c r="N225" t="s">
        <v>2141</v>
      </c>
      <c r="O225" t="s">
        <v>2142</v>
      </c>
      <c r="Q225" t="s">
        <v>2395</v>
      </c>
      <c r="R225" s="15"/>
      <c r="S225" s="15"/>
      <c r="T225" s="15"/>
      <c r="U225" s="15"/>
      <c r="V225" t="s">
        <v>163</v>
      </c>
      <c r="W225" t="s">
        <v>2041</v>
      </c>
      <c r="X225" t="s">
        <v>2041</v>
      </c>
      <c r="Y225" t="s">
        <v>19</v>
      </c>
      <c r="Z225" t="str">
        <f t="shared" si="7"/>
        <v>Y</v>
      </c>
      <c r="AC225" t="s">
        <v>2383</v>
      </c>
    </row>
    <row r="226" spans="1:33">
      <c r="A226">
        <v>237</v>
      </c>
      <c r="B226" t="s">
        <v>19</v>
      </c>
      <c r="C226" t="s">
        <v>2381</v>
      </c>
      <c r="E226">
        <v>1996</v>
      </c>
      <c r="F226" t="s">
        <v>1214</v>
      </c>
      <c r="G226" t="s">
        <v>2035</v>
      </c>
      <c r="H226" s="6">
        <v>54.19</v>
      </c>
      <c r="I226" s="6">
        <v>7.9</v>
      </c>
      <c r="J226" s="6">
        <v>1974</v>
      </c>
      <c r="K226" s="6">
        <v>1994</v>
      </c>
      <c r="L226" s="6">
        <f t="shared" si="6"/>
        <v>21</v>
      </c>
      <c r="M226" t="s">
        <v>2036</v>
      </c>
      <c r="N226" t="s">
        <v>2141</v>
      </c>
      <c r="O226" t="s">
        <v>2142</v>
      </c>
      <c r="P226" t="s">
        <v>2141</v>
      </c>
      <c r="Q226" t="s">
        <v>2396</v>
      </c>
      <c r="R226" s="15"/>
      <c r="S226" s="15"/>
      <c r="T226" s="15"/>
      <c r="U226" s="15"/>
      <c r="V226" t="s">
        <v>163</v>
      </c>
      <c r="W226" t="s">
        <v>2041</v>
      </c>
      <c r="X226" t="s">
        <v>2041</v>
      </c>
      <c r="Y226" t="s">
        <v>19</v>
      </c>
      <c r="Z226" t="str">
        <f t="shared" si="7"/>
        <v>Y</v>
      </c>
      <c r="AC226" t="s">
        <v>2383</v>
      </c>
    </row>
    <row r="227" spans="1:33">
      <c r="A227">
        <v>238</v>
      </c>
      <c r="B227" t="s">
        <v>19</v>
      </c>
      <c r="C227" t="s">
        <v>2381</v>
      </c>
      <c r="E227">
        <v>1996</v>
      </c>
      <c r="F227" t="s">
        <v>1214</v>
      </c>
      <c r="G227" t="s">
        <v>2035</v>
      </c>
      <c r="H227" s="6">
        <v>54.19</v>
      </c>
      <c r="I227" s="6">
        <v>7.9</v>
      </c>
      <c r="J227" s="6">
        <v>1974</v>
      </c>
      <c r="K227" s="6">
        <v>1994</v>
      </c>
      <c r="L227" s="6">
        <f t="shared" si="6"/>
        <v>21</v>
      </c>
      <c r="M227" t="s">
        <v>2036</v>
      </c>
      <c r="N227" t="s">
        <v>2141</v>
      </c>
      <c r="O227" t="s">
        <v>2142</v>
      </c>
      <c r="P227" t="s">
        <v>2141</v>
      </c>
      <c r="Q227" t="s">
        <v>2397</v>
      </c>
      <c r="R227" s="15"/>
      <c r="S227" s="15"/>
      <c r="T227" s="15"/>
      <c r="U227" s="15"/>
      <c r="V227" t="s">
        <v>163</v>
      </c>
      <c r="W227" t="s">
        <v>2041</v>
      </c>
      <c r="X227" t="s">
        <v>2041</v>
      </c>
      <c r="Y227" t="s">
        <v>19</v>
      </c>
      <c r="Z227" t="str">
        <f t="shared" si="7"/>
        <v>Y</v>
      </c>
      <c r="AC227" t="s">
        <v>2383</v>
      </c>
    </row>
    <row r="228" spans="1:33">
      <c r="A228">
        <v>239</v>
      </c>
      <c r="B228" t="s">
        <v>19</v>
      </c>
      <c r="C228" t="s">
        <v>2381</v>
      </c>
      <c r="E228">
        <v>1996</v>
      </c>
      <c r="F228" t="s">
        <v>1214</v>
      </c>
      <c r="G228" t="s">
        <v>2035</v>
      </c>
      <c r="H228" s="6">
        <v>54.19</v>
      </c>
      <c r="I228" s="6">
        <v>7.9</v>
      </c>
      <c r="J228" s="6">
        <v>1974</v>
      </c>
      <c r="K228" s="6">
        <v>1994</v>
      </c>
      <c r="L228" s="6">
        <f t="shared" si="6"/>
        <v>21</v>
      </c>
      <c r="M228" t="s">
        <v>2036</v>
      </c>
      <c r="N228" t="s">
        <v>2141</v>
      </c>
      <c r="O228" t="s">
        <v>2217</v>
      </c>
      <c r="P228" t="s">
        <v>2141</v>
      </c>
      <c r="Q228" t="s">
        <v>2398</v>
      </c>
      <c r="V228" t="s">
        <v>163</v>
      </c>
      <c r="W228" t="s">
        <v>2041</v>
      </c>
      <c r="X228" t="s">
        <v>2041</v>
      </c>
      <c r="Y228" t="s">
        <v>19</v>
      </c>
      <c r="Z228" t="str">
        <f t="shared" si="7"/>
        <v>Y</v>
      </c>
      <c r="AC228" t="s">
        <v>2383</v>
      </c>
    </row>
    <row r="229" spans="1:33">
      <c r="A229">
        <v>240</v>
      </c>
      <c r="B229" t="s">
        <v>19</v>
      </c>
      <c r="C229" t="s">
        <v>2381</v>
      </c>
      <c r="E229">
        <v>1996</v>
      </c>
      <c r="F229" t="s">
        <v>1214</v>
      </c>
      <c r="G229" t="s">
        <v>2035</v>
      </c>
      <c r="H229" s="6">
        <v>54.19</v>
      </c>
      <c r="I229" s="6">
        <v>7.9</v>
      </c>
      <c r="J229" s="6">
        <v>1974</v>
      </c>
      <c r="K229" s="6">
        <v>1994</v>
      </c>
      <c r="L229" s="6">
        <f t="shared" si="6"/>
        <v>21</v>
      </c>
      <c r="M229" t="s">
        <v>2036</v>
      </c>
      <c r="N229" t="s">
        <v>2141</v>
      </c>
      <c r="O229" t="s">
        <v>2217</v>
      </c>
      <c r="P229" t="s">
        <v>2141</v>
      </c>
      <c r="Q229" t="s">
        <v>2399</v>
      </c>
      <c r="V229" t="s">
        <v>163</v>
      </c>
      <c r="W229" t="s">
        <v>2041</v>
      </c>
      <c r="X229" t="s">
        <v>2041</v>
      </c>
      <c r="Y229" t="s">
        <v>19</v>
      </c>
      <c r="Z229" t="str">
        <f t="shared" si="7"/>
        <v>Y</v>
      </c>
      <c r="AC229" t="s">
        <v>2383</v>
      </c>
    </row>
    <row r="230" spans="1:33">
      <c r="A230">
        <v>241</v>
      </c>
      <c r="B230" t="s">
        <v>19</v>
      </c>
      <c r="C230" t="s">
        <v>2381</v>
      </c>
      <c r="E230">
        <v>1996</v>
      </c>
      <c r="F230" t="s">
        <v>1214</v>
      </c>
      <c r="G230" t="s">
        <v>2035</v>
      </c>
      <c r="H230" s="6">
        <v>54.19</v>
      </c>
      <c r="I230" s="6">
        <v>7.9</v>
      </c>
      <c r="J230" s="6">
        <v>1974</v>
      </c>
      <c r="K230" s="6">
        <v>1994</v>
      </c>
      <c r="L230" s="6">
        <f t="shared" si="6"/>
        <v>21</v>
      </c>
      <c r="M230" t="s">
        <v>2036</v>
      </c>
      <c r="N230" t="s">
        <v>2141</v>
      </c>
      <c r="O230" t="s">
        <v>2142</v>
      </c>
      <c r="P230" t="s">
        <v>2141</v>
      </c>
      <c r="Q230" t="s">
        <v>2400</v>
      </c>
      <c r="R230" s="15"/>
      <c r="S230" s="15"/>
      <c r="T230" s="15"/>
      <c r="U230" s="15"/>
      <c r="V230" t="s">
        <v>163</v>
      </c>
      <c r="W230" t="s">
        <v>2041</v>
      </c>
      <c r="X230" t="s">
        <v>2041</v>
      </c>
      <c r="Y230" t="s">
        <v>19</v>
      </c>
      <c r="Z230" t="str">
        <f t="shared" si="7"/>
        <v>Y</v>
      </c>
      <c r="AC230" t="s">
        <v>2383</v>
      </c>
    </row>
    <row r="231" spans="1:33">
      <c r="A231">
        <v>242</v>
      </c>
      <c r="B231" t="s">
        <v>19</v>
      </c>
      <c r="C231" t="s">
        <v>2381</v>
      </c>
      <c r="E231">
        <v>1996</v>
      </c>
      <c r="F231" t="s">
        <v>1214</v>
      </c>
      <c r="G231" t="s">
        <v>2035</v>
      </c>
      <c r="H231" s="6">
        <v>54.19</v>
      </c>
      <c r="I231" s="6">
        <v>7.9</v>
      </c>
      <c r="J231" s="6">
        <v>1974</v>
      </c>
      <c r="K231" s="6">
        <v>1994</v>
      </c>
      <c r="L231" s="6">
        <f t="shared" si="6"/>
        <v>21</v>
      </c>
      <c r="M231" t="s">
        <v>2036</v>
      </c>
      <c r="N231" t="s">
        <v>2141</v>
      </c>
      <c r="O231" t="s">
        <v>2142</v>
      </c>
      <c r="P231" t="s">
        <v>2141</v>
      </c>
      <c r="Q231" t="s">
        <v>2401</v>
      </c>
      <c r="R231" s="15"/>
      <c r="S231" s="15"/>
      <c r="T231" s="15"/>
      <c r="U231" s="15"/>
      <c r="V231" t="s">
        <v>163</v>
      </c>
      <c r="W231" t="s">
        <v>2041</v>
      </c>
      <c r="X231" t="s">
        <v>2041</v>
      </c>
      <c r="Y231" t="s">
        <v>19</v>
      </c>
      <c r="Z231" t="str">
        <f t="shared" si="7"/>
        <v>Y</v>
      </c>
      <c r="AC231" t="s">
        <v>2383</v>
      </c>
    </row>
    <row r="232" spans="1:33">
      <c r="A232">
        <v>244</v>
      </c>
      <c r="B232" t="s">
        <v>19</v>
      </c>
      <c r="C232" t="s">
        <v>2381</v>
      </c>
      <c r="E232">
        <v>1996</v>
      </c>
      <c r="F232" t="s">
        <v>1214</v>
      </c>
      <c r="G232" t="s">
        <v>2035</v>
      </c>
      <c r="H232" s="6">
        <v>54.19</v>
      </c>
      <c r="I232" s="6">
        <v>7.9</v>
      </c>
      <c r="J232" s="6">
        <v>1974</v>
      </c>
      <c r="K232" s="6">
        <v>1994</v>
      </c>
      <c r="L232" s="6">
        <f t="shared" si="6"/>
        <v>21</v>
      </c>
      <c r="M232" t="s">
        <v>2036</v>
      </c>
      <c r="N232" t="s">
        <v>2141</v>
      </c>
      <c r="O232" t="s">
        <v>2141</v>
      </c>
      <c r="P232" t="s">
        <v>2141</v>
      </c>
      <c r="Q232" t="s">
        <v>2402</v>
      </c>
      <c r="R232" s="15"/>
      <c r="S232" s="15"/>
      <c r="T232" s="15"/>
      <c r="U232" s="15"/>
      <c r="V232" t="s">
        <v>163</v>
      </c>
      <c r="W232" t="s">
        <v>2058</v>
      </c>
      <c r="X232" t="s">
        <v>2041</v>
      </c>
      <c r="Y232" t="s">
        <v>19</v>
      </c>
      <c r="Z232" t="str">
        <f t="shared" si="7"/>
        <v>Y</v>
      </c>
      <c r="AC232" t="s">
        <v>2383</v>
      </c>
    </row>
    <row r="233" spans="1:33">
      <c r="A233">
        <v>222</v>
      </c>
      <c r="B233" t="s">
        <v>19</v>
      </c>
      <c r="C233" t="s">
        <v>2381</v>
      </c>
      <c r="E233">
        <v>1996</v>
      </c>
      <c r="F233" t="s">
        <v>1214</v>
      </c>
      <c r="G233" t="s">
        <v>2035</v>
      </c>
      <c r="H233" s="6">
        <v>54.19</v>
      </c>
      <c r="I233" s="6">
        <v>7.9</v>
      </c>
      <c r="J233" s="6">
        <v>1974</v>
      </c>
      <c r="K233" s="6">
        <v>1994</v>
      </c>
      <c r="L233" s="6">
        <f t="shared" si="6"/>
        <v>21</v>
      </c>
      <c r="M233" t="s">
        <v>2036</v>
      </c>
      <c r="N233" t="s">
        <v>2132</v>
      </c>
      <c r="O233" t="s">
        <v>2142</v>
      </c>
      <c r="Q233" t="s">
        <v>2403</v>
      </c>
      <c r="R233" s="15"/>
      <c r="S233" s="15"/>
      <c r="T233" s="15"/>
      <c r="U233" s="15"/>
      <c r="V233" t="s">
        <v>163</v>
      </c>
      <c r="W233" t="s">
        <v>2041</v>
      </c>
      <c r="X233" t="s">
        <v>2041</v>
      </c>
      <c r="Y233" t="s">
        <v>19</v>
      </c>
      <c r="Z233" t="str">
        <f t="shared" si="7"/>
        <v>Y</v>
      </c>
      <c r="AC233" t="s">
        <v>2383</v>
      </c>
    </row>
    <row r="234" spans="1:33">
      <c r="A234">
        <v>223</v>
      </c>
      <c r="B234" t="s">
        <v>19</v>
      </c>
      <c r="C234" t="s">
        <v>2381</v>
      </c>
      <c r="E234">
        <v>1996</v>
      </c>
      <c r="F234" t="s">
        <v>1214</v>
      </c>
      <c r="G234" t="s">
        <v>2035</v>
      </c>
      <c r="H234" s="6">
        <v>54.19</v>
      </c>
      <c r="I234" s="6">
        <v>7.9</v>
      </c>
      <c r="J234" s="6">
        <v>1974</v>
      </c>
      <c r="K234" s="6">
        <v>1994</v>
      </c>
      <c r="L234" s="6">
        <f t="shared" si="6"/>
        <v>21</v>
      </c>
      <c r="M234" t="s">
        <v>2036</v>
      </c>
      <c r="N234" t="s">
        <v>2132</v>
      </c>
      <c r="O234" t="s">
        <v>2142</v>
      </c>
      <c r="Q234" t="s">
        <v>2404</v>
      </c>
      <c r="R234" s="15"/>
      <c r="S234" s="15"/>
      <c r="T234" s="15"/>
      <c r="U234" s="15"/>
      <c r="V234" t="s">
        <v>163</v>
      </c>
      <c r="W234" t="s">
        <v>2041</v>
      </c>
      <c r="X234" t="s">
        <v>2041</v>
      </c>
      <c r="Y234" t="s">
        <v>19</v>
      </c>
      <c r="Z234" t="str">
        <f t="shared" si="7"/>
        <v>Y</v>
      </c>
      <c r="AC234" t="s">
        <v>2383</v>
      </c>
    </row>
    <row r="235" spans="1:33">
      <c r="A235">
        <v>224</v>
      </c>
      <c r="B235" t="s">
        <v>19</v>
      </c>
      <c r="C235" t="s">
        <v>2381</v>
      </c>
      <c r="E235">
        <v>1996</v>
      </c>
      <c r="F235" t="s">
        <v>1214</v>
      </c>
      <c r="G235" t="s">
        <v>2035</v>
      </c>
      <c r="H235" s="6">
        <v>54.19</v>
      </c>
      <c r="I235" s="6">
        <v>7.9</v>
      </c>
      <c r="J235" s="6">
        <v>1974</v>
      </c>
      <c r="K235" s="6">
        <v>1994</v>
      </c>
      <c r="L235" s="6">
        <f t="shared" si="6"/>
        <v>21</v>
      </c>
      <c r="M235" t="s">
        <v>2036</v>
      </c>
      <c r="N235" t="s">
        <v>2132</v>
      </c>
      <c r="O235" t="s">
        <v>2133</v>
      </c>
      <c r="Q235" t="s">
        <v>2405</v>
      </c>
      <c r="R235" s="15"/>
      <c r="S235" s="15"/>
      <c r="T235" s="15"/>
      <c r="U235" s="15"/>
      <c r="V235" t="s">
        <v>163</v>
      </c>
      <c r="W235" t="s">
        <v>2041</v>
      </c>
      <c r="X235" t="s">
        <v>2041</v>
      </c>
      <c r="Y235" t="s">
        <v>19</v>
      </c>
      <c r="Z235" t="str">
        <f t="shared" si="7"/>
        <v>Y</v>
      </c>
      <c r="AC235" t="s">
        <v>2383</v>
      </c>
    </row>
    <row r="236" spans="1:33">
      <c r="A236">
        <v>225</v>
      </c>
      <c r="B236" t="s">
        <v>19</v>
      </c>
      <c r="C236" t="s">
        <v>2381</v>
      </c>
      <c r="E236">
        <v>1996</v>
      </c>
      <c r="F236" t="s">
        <v>1214</v>
      </c>
      <c r="G236" t="s">
        <v>2035</v>
      </c>
      <c r="H236" s="6">
        <v>54.19</v>
      </c>
      <c r="I236" s="6">
        <v>7.9</v>
      </c>
      <c r="J236" s="6">
        <v>1974</v>
      </c>
      <c r="K236" s="6">
        <v>1994</v>
      </c>
      <c r="L236" s="6">
        <f t="shared" si="6"/>
        <v>21</v>
      </c>
      <c r="M236" t="s">
        <v>2036</v>
      </c>
      <c r="N236" t="s">
        <v>2132</v>
      </c>
      <c r="O236" t="s">
        <v>2133</v>
      </c>
      <c r="Q236" t="s">
        <v>2406</v>
      </c>
      <c r="R236" s="15"/>
      <c r="S236" s="15"/>
      <c r="T236" s="15"/>
      <c r="U236" s="15"/>
      <c r="V236" t="s">
        <v>163</v>
      </c>
      <c r="W236" t="s">
        <v>2041</v>
      </c>
      <c r="X236" t="s">
        <v>2041</v>
      </c>
      <c r="Y236" t="s">
        <v>19</v>
      </c>
      <c r="Z236" t="str">
        <f t="shared" si="7"/>
        <v>Y</v>
      </c>
      <c r="AC236" t="s">
        <v>2383</v>
      </c>
    </row>
    <row r="237" spans="1:33">
      <c r="A237">
        <v>226</v>
      </c>
      <c r="B237" t="s">
        <v>19</v>
      </c>
      <c r="C237" t="s">
        <v>2381</v>
      </c>
      <c r="E237">
        <v>1996</v>
      </c>
      <c r="F237" t="s">
        <v>1214</v>
      </c>
      <c r="G237" t="s">
        <v>2035</v>
      </c>
      <c r="H237" s="6">
        <v>54.19</v>
      </c>
      <c r="I237" s="6">
        <v>7.9</v>
      </c>
      <c r="J237" s="6">
        <v>1974</v>
      </c>
      <c r="K237" s="6">
        <v>1994</v>
      </c>
      <c r="L237" s="6">
        <f t="shared" si="6"/>
        <v>21</v>
      </c>
      <c r="M237" t="s">
        <v>2036</v>
      </c>
      <c r="N237" t="s">
        <v>2132</v>
      </c>
      <c r="O237" t="s">
        <v>2133</v>
      </c>
      <c r="Q237" t="s">
        <v>2407</v>
      </c>
      <c r="R237" s="15"/>
      <c r="S237" s="15"/>
      <c r="T237" s="15"/>
      <c r="U237" s="15"/>
      <c r="V237" t="s">
        <v>163</v>
      </c>
      <c r="W237" t="s">
        <v>2041</v>
      </c>
      <c r="X237" t="s">
        <v>2041</v>
      </c>
      <c r="Y237" t="s">
        <v>19</v>
      </c>
      <c r="Z237" t="str">
        <f t="shared" si="7"/>
        <v>Y</v>
      </c>
      <c r="AC237" t="s">
        <v>2383</v>
      </c>
    </row>
    <row r="238" spans="1:33" ht="15.5">
      <c r="B238" t="s">
        <v>19</v>
      </c>
      <c r="C238" t="s">
        <v>2146</v>
      </c>
      <c r="E238">
        <v>2016</v>
      </c>
      <c r="F238" t="s">
        <v>2147</v>
      </c>
      <c r="G238" t="s">
        <v>2035</v>
      </c>
      <c r="H238" s="7">
        <v>58.25</v>
      </c>
      <c r="I238" s="6">
        <v>11.35</v>
      </c>
      <c r="J238" s="6">
        <v>1971</v>
      </c>
      <c r="K238" s="6">
        <v>2006</v>
      </c>
      <c r="L238" s="6">
        <f t="shared" si="6"/>
        <v>36</v>
      </c>
      <c r="M238" t="s">
        <v>2148</v>
      </c>
      <c r="N238" t="s">
        <v>36</v>
      </c>
      <c r="O238" t="s">
        <v>2149</v>
      </c>
      <c r="P238" t="s">
        <v>2150</v>
      </c>
      <c r="Q238" t="s">
        <v>2151</v>
      </c>
      <c r="R238" t="s">
        <v>2152</v>
      </c>
      <c r="S238" s="8" t="s">
        <v>2408</v>
      </c>
      <c r="T238">
        <v>258</v>
      </c>
      <c r="U238" s="13" t="s">
        <v>2040</v>
      </c>
      <c r="V238">
        <f>19.3/3.6</f>
        <v>5.3611111111111116</v>
      </c>
      <c r="W238" t="s">
        <v>2041</v>
      </c>
      <c r="X238" t="s">
        <v>2041</v>
      </c>
      <c r="Y238" t="s">
        <v>19</v>
      </c>
      <c r="Z238" t="str">
        <f t="shared" si="7"/>
        <v>Y</v>
      </c>
      <c r="AA238" t="s">
        <v>2054</v>
      </c>
      <c r="AB238" t="s">
        <v>2409</v>
      </c>
      <c r="AC238" t="s">
        <v>2410</v>
      </c>
      <c r="AD238" t="s">
        <v>595</v>
      </c>
      <c r="AE238" s="9" t="s">
        <v>2045</v>
      </c>
      <c r="AF238" s="9" t="s">
        <v>2041</v>
      </c>
      <c r="AG238" t="s">
        <v>595</v>
      </c>
    </row>
    <row r="239" spans="1:33" ht="15.5">
      <c r="B239" t="s">
        <v>19</v>
      </c>
      <c r="C239" t="s">
        <v>2146</v>
      </c>
      <c r="E239">
        <v>2016</v>
      </c>
      <c r="F239" t="s">
        <v>2147</v>
      </c>
      <c r="G239" t="s">
        <v>2035</v>
      </c>
      <c r="H239" s="7">
        <v>58.25</v>
      </c>
      <c r="I239" s="6">
        <v>11.35</v>
      </c>
      <c r="J239" s="6">
        <v>1971</v>
      </c>
      <c r="K239" s="6">
        <v>2006</v>
      </c>
      <c r="L239" s="6">
        <f t="shared" si="6"/>
        <v>36</v>
      </c>
      <c r="M239" t="s">
        <v>2148</v>
      </c>
      <c r="N239" t="s">
        <v>36</v>
      </c>
      <c r="O239" t="s">
        <v>2149</v>
      </c>
      <c r="P239" t="s">
        <v>2150</v>
      </c>
      <c r="Q239" t="s">
        <v>2151</v>
      </c>
      <c r="R239" t="s">
        <v>2152</v>
      </c>
      <c r="S239" s="8" t="s">
        <v>2016</v>
      </c>
      <c r="T239" t="s">
        <v>163</v>
      </c>
      <c r="U239" s="13" t="s">
        <v>163</v>
      </c>
      <c r="V239">
        <f>(101-57)/3.6</f>
        <v>12.222222222222221</v>
      </c>
      <c r="W239" t="s">
        <v>2041</v>
      </c>
      <c r="X239" t="s">
        <v>2041</v>
      </c>
      <c r="Y239" t="s">
        <v>19</v>
      </c>
      <c r="Z239" t="str">
        <f t="shared" si="7"/>
        <v>Y</v>
      </c>
      <c r="AA239" t="s">
        <v>2054</v>
      </c>
      <c r="AB239" t="s">
        <v>2411</v>
      </c>
      <c r="AC239" t="s">
        <v>2412</v>
      </c>
      <c r="AD239" t="s">
        <v>595</v>
      </c>
      <c r="AE239" s="9" t="s">
        <v>2045</v>
      </c>
      <c r="AF239" s="9" t="s">
        <v>2041</v>
      </c>
      <c r="AG239" t="s">
        <v>595</v>
      </c>
    </row>
    <row r="240" spans="1:33">
      <c r="A240">
        <v>202</v>
      </c>
      <c r="B240" t="s">
        <v>19</v>
      </c>
      <c r="C240" t="s">
        <v>2372</v>
      </c>
      <c r="E240">
        <v>2009</v>
      </c>
      <c r="F240" t="s">
        <v>2373</v>
      </c>
      <c r="G240" t="s">
        <v>2035</v>
      </c>
      <c r="H240" s="6">
        <v>56.183300000000003</v>
      </c>
      <c r="I240" s="6">
        <v>-2.5667</v>
      </c>
      <c r="J240" s="6">
        <v>1971</v>
      </c>
      <c r="K240" s="6">
        <v>2006</v>
      </c>
      <c r="L240" s="6">
        <f t="shared" si="6"/>
        <v>36</v>
      </c>
      <c r="N240" t="s">
        <v>394</v>
      </c>
      <c r="O240" t="s">
        <v>394</v>
      </c>
      <c r="P240" t="s">
        <v>2413</v>
      </c>
      <c r="V240">
        <f>0.28*10</f>
        <v>2.8000000000000003</v>
      </c>
      <c r="W240" t="s">
        <v>2058</v>
      </c>
      <c r="X240" s="11" t="s">
        <v>2041</v>
      </c>
      <c r="Y240" t="s">
        <v>19</v>
      </c>
      <c r="Z240" t="str">
        <f t="shared" si="7"/>
        <v>Y</v>
      </c>
      <c r="AC240" t="s">
        <v>2374</v>
      </c>
    </row>
    <row r="241" spans="1:33">
      <c r="A241">
        <v>203</v>
      </c>
      <c r="B241" t="s">
        <v>19</v>
      </c>
      <c r="C241" t="s">
        <v>2372</v>
      </c>
      <c r="E241">
        <v>2009</v>
      </c>
      <c r="F241" t="s">
        <v>2373</v>
      </c>
      <c r="G241" t="s">
        <v>2035</v>
      </c>
      <c r="H241" s="6">
        <v>56.183300000000003</v>
      </c>
      <c r="I241" s="6">
        <v>-2.5667</v>
      </c>
      <c r="J241" s="6">
        <v>1971</v>
      </c>
      <c r="K241" s="6">
        <v>2006</v>
      </c>
      <c r="L241" s="6">
        <f t="shared" si="6"/>
        <v>36</v>
      </c>
      <c r="N241" t="s">
        <v>394</v>
      </c>
      <c r="O241" t="s">
        <v>394</v>
      </c>
      <c r="P241" t="s">
        <v>2414</v>
      </c>
      <c r="V241">
        <f>0.0062*10</f>
        <v>6.2E-2</v>
      </c>
      <c r="W241" t="s">
        <v>2058</v>
      </c>
      <c r="X241" s="11" t="s">
        <v>2041</v>
      </c>
      <c r="Y241" t="s">
        <v>19</v>
      </c>
      <c r="Z241" t="str">
        <f t="shared" si="7"/>
        <v>Y</v>
      </c>
      <c r="AC241" t="s">
        <v>2374</v>
      </c>
    </row>
    <row r="242" spans="1:33">
      <c r="B242" t="s">
        <v>19</v>
      </c>
      <c r="C242" t="s">
        <v>2339</v>
      </c>
      <c r="E242">
        <v>2012</v>
      </c>
      <c r="F242" t="s">
        <v>1214</v>
      </c>
      <c r="G242" t="s">
        <v>2035</v>
      </c>
      <c r="H242" s="6">
        <v>56.5</v>
      </c>
      <c r="I242" s="6">
        <v>-1.5</v>
      </c>
      <c r="J242" s="6">
        <v>1983</v>
      </c>
      <c r="K242" s="6">
        <v>2006</v>
      </c>
      <c r="L242" s="6">
        <f t="shared" si="6"/>
        <v>24</v>
      </c>
      <c r="M242" t="s">
        <v>2036</v>
      </c>
      <c r="N242" t="s">
        <v>51</v>
      </c>
      <c r="O242" t="s">
        <v>51</v>
      </c>
      <c r="P242" t="s">
        <v>51</v>
      </c>
      <c r="Q242" t="s">
        <v>2415</v>
      </c>
      <c r="R242" t="s">
        <v>2112</v>
      </c>
      <c r="V242">
        <v>-5.7583409685132496</v>
      </c>
      <c r="W242" t="s">
        <v>2041</v>
      </c>
      <c r="X242" t="s">
        <v>2041</v>
      </c>
      <c r="Y242" t="s">
        <v>19</v>
      </c>
      <c r="Z242" t="str">
        <f t="shared" si="7"/>
        <v>Y</v>
      </c>
      <c r="AC242" t="s">
        <v>2416</v>
      </c>
    </row>
    <row r="243" spans="1:33">
      <c r="A243">
        <v>233</v>
      </c>
      <c r="B243" t="s">
        <v>19</v>
      </c>
      <c r="C243" t="s">
        <v>2381</v>
      </c>
      <c r="E243">
        <v>1996</v>
      </c>
      <c r="F243" t="s">
        <v>1214</v>
      </c>
      <c r="G243" t="s">
        <v>2035</v>
      </c>
      <c r="H243" s="6">
        <v>54.19</v>
      </c>
      <c r="I243" s="6">
        <v>7.9</v>
      </c>
      <c r="J243" s="6">
        <v>1974</v>
      </c>
      <c r="K243" s="6">
        <v>1994</v>
      </c>
      <c r="L243" s="6">
        <f t="shared" si="6"/>
        <v>21</v>
      </c>
      <c r="M243" t="s">
        <v>2036</v>
      </c>
      <c r="N243" t="s">
        <v>2132</v>
      </c>
      <c r="O243" t="s">
        <v>2142</v>
      </c>
      <c r="Q243" t="s">
        <v>2417</v>
      </c>
      <c r="R243" s="15"/>
      <c r="S243" s="15"/>
      <c r="T243" s="15"/>
      <c r="U243" s="15"/>
      <c r="V243" t="s">
        <v>163</v>
      </c>
      <c r="W243" t="s">
        <v>2041</v>
      </c>
      <c r="X243" t="s">
        <v>2041</v>
      </c>
      <c r="Y243" t="s">
        <v>19</v>
      </c>
      <c r="Z243" t="str">
        <f t="shared" si="7"/>
        <v>Y</v>
      </c>
      <c r="AC243" t="s">
        <v>2383</v>
      </c>
    </row>
    <row r="244" spans="1:33">
      <c r="A244">
        <v>234</v>
      </c>
      <c r="B244" t="s">
        <v>19</v>
      </c>
      <c r="C244" t="s">
        <v>2381</v>
      </c>
      <c r="E244">
        <v>1996</v>
      </c>
      <c r="F244" t="s">
        <v>1214</v>
      </c>
      <c r="G244" t="s">
        <v>2035</v>
      </c>
      <c r="H244" s="6">
        <v>54.19</v>
      </c>
      <c r="I244" s="6">
        <v>7.9</v>
      </c>
      <c r="J244" s="6">
        <v>1974</v>
      </c>
      <c r="K244" s="6">
        <v>1994</v>
      </c>
      <c r="L244" s="6">
        <f t="shared" si="6"/>
        <v>21</v>
      </c>
      <c r="M244" t="s">
        <v>2036</v>
      </c>
      <c r="N244" t="s">
        <v>2132</v>
      </c>
      <c r="O244" t="s">
        <v>2142</v>
      </c>
      <c r="Q244" t="s">
        <v>2418</v>
      </c>
      <c r="R244" s="15"/>
      <c r="S244" s="15"/>
      <c r="T244" s="15"/>
      <c r="U244" s="15"/>
      <c r="V244" t="s">
        <v>163</v>
      </c>
      <c r="W244" t="s">
        <v>2058</v>
      </c>
      <c r="X244" t="s">
        <v>2041</v>
      </c>
      <c r="Y244" t="s">
        <v>19</v>
      </c>
      <c r="Z244" t="str">
        <f t="shared" si="7"/>
        <v>Y</v>
      </c>
      <c r="AC244" t="s">
        <v>2383</v>
      </c>
    </row>
    <row r="245" spans="1:33">
      <c r="A245">
        <v>235</v>
      </c>
      <c r="B245" t="s">
        <v>19</v>
      </c>
      <c r="C245" t="s">
        <v>2381</v>
      </c>
      <c r="E245">
        <v>1996</v>
      </c>
      <c r="F245" t="s">
        <v>1214</v>
      </c>
      <c r="G245" t="s">
        <v>2035</v>
      </c>
      <c r="H245" s="6">
        <v>54.19</v>
      </c>
      <c r="I245" s="6">
        <v>7.9</v>
      </c>
      <c r="J245" s="6">
        <v>1974</v>
      </c>
      <c r="K245" s="6">
        <v>1994</v>
      </c>
      <c r="L245" s="6">
        <f t="shared" si="6"/>
        <v>21</v>
      </c>
      <c r="M245" t="s">
        <v>2036</v>
      </c>
      <c r="N245" t="s">
        <v>2132</v>
      </c>
      <c r="O245" t="s">
        <v>2142</v>
      </c>
      <c r="Q245" t="s">
        <v>2419</v>
      </c>
      <c r="R245" s="15"/>
      <c r="S245" s="15"/>
      <c r="T245" s="15"/>
      <c r="U245" s="15"/>
      <c r="V245" t="s">
        <v>163</v>
      </c>
      <c r="W245" t="s">
        <v>2041</v>
      </c>
      <c r="X245" t="s">
        <v>2041</v>
      </c>
      <c r="Y245" t="s">
        <v>19</v>
      </c>
      <c r="Z245" t="str">
        <f t="shared" si="7"/>
        <v>Y</v>
      </c>
      <c r="AC245" t="s">
        <v>2383</v>
      </c>
    </row>
    <row r="246" spans="1:33">
      <c r="A246">
        <v>243</v>
      </c>
      <c r="B246" t="s">
        <v>19</v>
      </c>
      <c r="C246" t="s">
        <v>2381</v>
      </c>
      <c r="E246">
        <v>1996</v>
      </c>
      <c r="F246" t="s">
        <v>1214</v>
      </c>
      <c r="G246" t="s">
        <v>2035</v>
      </c>
      <c r="H246" s="6">
        <v>54.19</v>
      </c>
      <c r="I246" s="6">
        <v>7.9</v>
      </c>
      <c r="J246" s="6">
        <v>1974</v>
      </c>
      <c r="K246" s="6">
        <v>1994</v>
      </c>
      <c r="L246" s="6">
        <f t="shared" si="6"/>
        <v>21</v>
      </c>
      <c r="M246" t="s">
        <v>2036</v>
      </c>
      <c r="N246" t="s">
        <v>2132</v>
      </c>
      <c r="O246" t="s">
        <v>2141</v>
      </c>
      <c r="Q246" t="s">
        <v>2420</v>
      </c>
      <c r="R246" s="15"/>
      <c r="S246" s="15"/>
      <c r="T246" s="15"/>
      <c r="U246" s="15"/>
      <c r="V246" t="s">
        <v>163</v>
      </c>
      <c r="W246" t="s">
        <v>2058</v>
      </c>
      <c r="X246" t="s">
        <v>2041</v>
      </c>
      <c r="Y246" t="s">
        <v>19</v>
      </c>
      <c r="Z246" t="str">
        <f t="shared" si="7"/>
        <v>Y</v>
      </c>
      <c r="AC246" t="s">
        <v>2383</v>
      </c>
    </row>
    <row r="247" spans="1:33">
      <c r="A247">
        <v>245</v>
      </c>
      <c r="B247" t="s">
        <v>19</v>
      </c>
      <c r="C247" t="s">
        <v>2381</v>
      </c>
      <c r="E247">
        <v>1996</v>
      </c>
      <c r="F247" t="s">
        <v>1214</v>
      </c>
      <c r="G247" t="s">
        <v>2035</v>
      </c>
      <c r="H247" s="6">
        <v>54.19</v>
      </c>
      <c r="I247" s="6">
        <v>7.9</v>
      </c>
      <c r="J247" s="6">
        <v>1974</v>
      </c>
      <c r="K247" s="6">
        <v>1994</v>
      </c>
      <c r="L247" s="6">
        <f t="shared" si="6"/>
        <v>21</v>
      </c>
      <c r="M247" t="s">
        <v>2036</v>
      </c>
      <c r="N247" t="s">
        <v>2132</v>
      </c>
      <c r="O247" t="s">
        <v>2141</v>
      </c>
      <c r="Q247" t="s">
        <v>2421</v>
      </c>
      <c r="R247" s="15"/>
      <c r="S247" s="15"/>
      <c r="T247" s="15"/>
      <c r="U247" s="15"/>
      <c r="V247" t="s">
        <v>163</v>
      </c>
      <c r="W247" t="s">
        <v>2058</v>
      </c>
      <c r="X247" t="s">
        <v>2041</v>
      </c>
      <c r="Y247" t="s">
        <v>19</v>
      </c>
      <c r="Z247" t="str">
        <f t="shared" si="7"/>
        <v>Y</v>
      </c>
      <c r="AC247" t="s">
        <v>2383</v>
      </c>
    </row>
    <row r="248" spans="1:33">
      <c r="B248" t="s">
        <v>19</v>
      </c>
      <c r="C248" t="s">
        <v>2339</v>
      </c>
      <c r="E248">
        <v>2012</v>
      </c>
      <c r="F248" t="s">
        <v>1214</v>
      </c>
      <c r="G248" t="s">
        <v>2035</v>
      </c>
      <c r="H248" s="6">
        <v>56.5</v>
      </c>
      <c r="I248" s="6">
        <v>-1.5</v>
      </c>
      <c r="J248" s="6">
        <v>1983</v>
      </c>
      <c r="K248" s="6">
        <v>2006</v>
      </c>
      <c r="L248" s="6">
        <f t="shared" si="6"/>
        <v>24</v>
      </c>
      <c r="M248" t="s">
        <v>2036</v>
      </c>
      <c r="N248" t="s">
        <v>161</v>
      </c>
      <c r="O248" t="s">
        <v>161</v>
      </c>
      <c r="P248" t="s">
        <v>161</v>
      </c>
      <c r="Q248" t="s">
        <v>2422</v>
      </c>
      <c r="R248" t="s">
        <v>2423</v>
      </c>
      <c r="V248">
        <v>2.5830000000000002</v>
      </c>
      <c r="W248" t="s">
        <v>2058</v>
      </c>
      <c r="X248" t="s">
        <v>2041</v>
      </c>
      <c r="Y248" t="s">
        <v>19</v>
      </c>
      <c r="Z248" t="str">
        <f t="shared" si="7"/>
        <v>Y</v>
      </c>
      <c r="AC248" t="s">
        <v>2424</v>
      </c>
    </row>
    <row r="249" spans="1:33">
      <c r="A249">
        <v>204</v>
      </c>
      <c r="B249" t="s">
        <v>19</v>
      </c>
      <c r="C249" t="s">
        <v>2372</v>
      </c>
      <c r="E249">
        <v>2009</v>
      </c>
      <c r="F249" t="s">
        <v>2373</v>
      </c>
      <c r="G249" t="s">
        <v>2035</v>
      </c>
      <c r="H249" s="6">
        <v>56.183300000000003</v>
      </c>
      <c r="I249" s="6">
        <v>-2.5667</v>
      </c>
      <c r="J249" s="6">
        <v>1971</v>
      </c>
      <c r="K249" s="6">
        <v>2006</v>
      </c>
      <c r="L249" s="6">
        <f t="shared" si="6"/>
        <v>36</v>
      </c>
      <c r="N249" t="s">
        <v>394</v>
      </c>
      <c r="O249" t="s">
        <v>394</v>
      </c>
      <c r="P249" t="s">
        <v>2425</v>
      </c>
      <c r="V249">
        <f>0.25*10</f>
        <v>2.5</v>
      </c>
      <c r="W249" t="s">
        <v>2058</v>
      </c>
      <c r="X249" s="11" t="s">
        <v>2041</v>
      </c>
      <c r="Y249" t="s">
        <v>19</v>
      </c>
      <c r="Z249" t="str">
        <f t="shared" si="7"/>
        <v>Y</v>
      </c>
      <c r="AC249" t="s">
        <v>2374</v>
      </c>
    </row>
    <row r="250" spans="1:33">
      <c r="A250">
        <v>205</v>
      </c>
      <c r="B250" t="s">
        <v>19</v>
      </c>
      <c r="C250" t="s">
        <v>2372</v>
      </c>
      <c r="E250">
        <v>2009</v>
      </c>
      <c r="F250" t="s">
        <v>2426</v>
      </c>
      <c r="G250" t="s">
        <v>2035</v>
      </c>
      <c r="H250" s="6">
        <v>55.639899999999997</v>
      </c>
      <c r="I250" s="6">
        <v>-1.603</v>
      </c>
      <c r="J250" s="6">
        <v>1971</v>
      </c>
      <c r="K250" s="6">
        <v>2006</v>
      </c>
      <c r="L250" s="6">
        <f t="shared" si="6"/>
        <v>36</v>
      </c>
      <c r="N250" t="s">
        <v>394</v>
      </c>
      <c r="O250" t="s">
        <v>394</v>
      </c>
      <c r="P250" t="s">
        <v>497</v>
      </c>
      <c r="V250">
        <f>0.11*10</f>
        <v>1.1000000000000001</v>
      </c>
      <c r="W250" t="s">
        <v>2058</v>
      </c>
      <c r="X250" s="11" t="s">
        <v>2041</v>
      </c>
      <c r="Y250" t="s">
        <v>19</v>
      </c>
      <c r="Z250" t="str">
        <f t="shared" si="7"/>
        <v>Y</v>
      </c>
      <c r="AC250" t="s">
        <v>2374</v>
      </c>
    </row>
    <row r="251" spans="1:33">
      <c r="A251">
        <v>206</v>
      </c>
      <c r="B251" t="s">
        <v>19</v>
      </c>
      <c r="C251" t="s">
        <v>2372</v>
      </c>
      <c r="E251">
        <v>2009</v>
      </c>
      <c r="F251" t="s">
        <v>2373</v>
      </c>
      <c r="G251" t="s">
        <v>2035</v>
      </c>
      <c r="H251" s="6">
        <v>56.183300000000003</v>
      </c>
      <c r="I251" s="6">
        <v>-2.5667</v>
      </c>
      <c r="J251" s="6">
        <v>1971</v>
      </c>
      <c r="K251" s="6">
        <v>2006</v>
      </c>
      <c r="L251" s="6">
        <f t="shared" si="6"/>
        <v>36</v>
      </c>
      <c r="N251" t="s">
        <v>394</v>
      </c>
      <c r="O251" t="s">
        <v>394</v>
      </c>
      <c r="P251" t="s">
        <v>2378</v>
      </c>
      <c r="V251">
        <f>0.099*10</f>
        <v>0.99</v>
      </c>
      <c r="W251" t="s">
        <v>2058</v>
      </c>
      <c r="X251" s="11" t="s">
        <v>2041</v>
      </c>
      <c r="Y251" t="s">
        <v>19</v>
      </c>
      <c r="Z251" t="str">
        <f t="shared" si="7"/>
        <v>Y</v>
      </c>
      <c r="AC251" t="s">
        <v>2374</v>
      </c>
    </row>
    <row r="252" spans="1:33">
      <c r="A252">
        <v>207</v>
      </c>
      <c r="B252" t="s">
        <v>19</v>
      </c>
      <c r="C252" t="s">
        <v>2372</v>
      </c>
      <c r="E252">
        <v>2009</v>
      </c>
      <c r="F252" t="s">
        <v>2373</v>
      </c>
      <c r="G252" t="s">
        <v>2035</v>
      </c>
      <c r="H252" s="6">
        <v>56.183300000000003</v>
      </c>
      <c r="I252" s="6">
        <v>-2.5667</v>
      </c>
      <c r="J252" s="6">
        <v>1971</v>
      </c>
      <c r="K252" s="6">
        <v>2006</v>
      </c>
      <c r="L252" s="6">
        <f t="shared" si="6"/>
        <v>36</v>
      </c>
      <c r="N252" t="s">
        <v>394</v>
      </c>
      <c r="O252" t="s">
        <v>394</v>
      </c>
      <c r="P252" t="s">
        <v>2379</v>
      </c>
      <c r="V252">
        <f>0.05*10</f>
        <v>0.5</v>
      </c>
      <c r="W252" t="s">
        <v>2058</v>
      </c>
      <c r="X252" s="11" t="s">
        <v>2041</v>
      </c>
      <c r="Y252" t="s">
        <v>19</v>
      </c>
      <c r="Z252" t="str">
        <f t="shared" si="7"/>
        <v>Y</v>
      </c>
      <c r="AC252" t="s">
        <v>2374</v>
      </c>
    </row>
    <row r="253" spans="1:33">
      <c r="A253">
        <v>208</v>
      </c>
      <c r="B253" t="s">
        <v>19</v>
      </c>
      <c r="C253" t="s">
        <v>2372</v>
      </c>
      <c r="E253">
        <v>2009</v>
      </c>
      <c r="F253" t="s">
        <v>2373</v>
      </c>
      <c r="G253" t="s">
        <v>2035</v>
      </c>
      <c r="H253" s="6">
        <v>56.183300000000003</v>
      </c>
      <c r="I253" s="6">
        <v>-2.5667</v>
      </c>
      <c r="J253" s="6">
        <v>1971</v>
      </c>
      <c r="K253" s="6">
        <v>2006</v>
      </c>
      <c r="L253" s="6">
        <f t="shared" si="6"/>
        <v>36</v>
      </c>
      <c r="N253" t="s">
        <v>394</v>
      </c>
      <c r="O253" t="s">
        <v>394</v>
      </c>
      <c r="P253" t="s">
        <v>2380</v>
      </c>
      <c r="V253">
        <f>0.67*10</f>
        <v>6.7</v>
      </c>
      <c r="W253" t="s">
        <v>2058</v>
      </c>
      <c r="X253" s="11" t="s">
        <v>2041</v>
      </c>
      <c r="Y253" t="s">
        <v>19</v>
      </c>
      <c r="Z253" t="str">
        <f t="shared" si="7"/>
        <v>Y</v>
      </c>
      <c r="AC253" t="s">
        <v>2374</v>
      </c>
    </row>
    <row r="254" spans="1:33">
      <c r="B254" t="s">
        <v>19</v>
      </c>
      <c r="C254" t="s">
        <v>2427</v>
      </c>
      <c r="E254">
        <v>2020</v>
      </c>
      <c r="F254" t="s">
        <v>2428</v>
      </c>
      <c r="G254" t="s">
        <v>2035</v>
      </c>
      <c r="H254" s="6">
        <v>25.166666666666668</v>
      </c>
      <c r="I254" s="6">
        <v>-80.833333333333329</v>
      </c>
      <c r="J254" s="6">
        <v>1978</v>
      </c>
      <c r="K254" s="6">
        <v>2016</v>
      </c>
      <c r="L254" s="6">
        <f t="shared" si="6"/>
        <v>39</v>
      </c>
      <c r="M254" t="s">
        <v>2036</v>
      </c>
      <c r="N254" t="s">
        <v>2429</v>
      </c>
      <c r="O254" t="s">
        <v>2430</v>
      </c>
      <c r="P254" t="s">
        <v>2431</v>
      </c>
      <c r="Q254" t="s">
        <v>2432</v>
      </c>
      <c r="R254" t="s">
        <v>2423</v>
      </c>
      <c r="S254" t="s">
        <v>2039</v>
      </c>
      <c r="T254">
        <v>218</v>
      </c>
      <c r="U254" t="s">
        <v>2101</v>
      </c>
      <c r="V254">
        <v>-7.8140000000000001</v>
      </c>
      <c r="W254" t="s">
        <v>2041</v>
      </c>
      <c r="X254" t="s">
        <v>2041</v>
      </c>
      <c r="Y254" t="s">
        <v>19</v>
      </c>
      <c r="Z254" t="str">
        <f t="shared" si="7"/>
        <v>Y</v>
      </c>
      <c r="AA254" t="s">
        <v>2054</v>
      </c>
      <c r="AB254" t="s">
        <v>2433</v>
      </c>
      <c r="AC254" t="s">
        <v>2434</v>
      </c>
      <c r="AD254" t="s">
        <v>595</v>
      </c>
      <c r="AE254" s="9" t="s">
        <v>2045</v>
      </c>
      <c r="AF254" s="9" t="s">
        <v>2041</v>
      </c>
      <c r="AG254" t="s">
        <v>595</v>
      </c>
    </row>
    <row r="255" spans="1:33">
      <c r="B255" t="s">
        <v>19</v>
      </c>
      <c r="C255" t="s">
        <v>2427</v>
      </c>
      <c r="E255">
        <v>2020</v>
      </c>
      <c r="F255" t="s">
        <v>2435</v>
      </c>
      <c r="G255" t="s">
        <v>2035</v>
      </c>
      <c r="H255" s="6">
        <v>25.435300000000002</v>
      </c>
      <c r="I255" s="6">
        <v>-80.331299999999999</v>
      </c>
      <c r="J255" s="6">
        <v>1983</v>
      </c>
      <c r="K255" s="6">
        <v>2016</v>
      </c>
      <c r="L255" s="6">
        <f t="shared" si="6"/>
        <v>34</v>
      </c>
      <c r="M255" t="s">
        <v>2036</v>
      </c>
      <c r="N255" t="s">
        <v>2429</v>
      </c>
      <c r="O255" t="s">
        <v>2430</v>
      </c>
      <c r="P255" t="s">
        <v>2431</v>
      </c>
      <c r="Q255" t="s">
        <v>2432</v>
      </c>
      <c r="R255" t="s">
        <v>2423</v>
      </c>
      <c r="S255" t="s">
        <v>2039</v>
      </c>
      <c r="T255">
        <v>205</v>
      </c>
      <c r="U255" t="s">
        <v>2101</v>
      </c>
      <c r="V255">
        <v>-3.7810000000000001</v>
      </c>
      <c r="W255" t="s">
        <v>2041</v>
      </c>
      <c r="X255" t="s">
        <v>2041</v>
      </c>
      <c r="Y255" t="s">
        <v>19</v>
      </c>
      <c r="Z255" t="str">
        <f t="shared" si="7"/>
        <v>Y</v>
      </c>
      <c r="AA255" t="s">
        <v>2054</v>
      </c>
      <c r="AB255" t="s">
        <v>2433</v>
      </c>
      <c r="AC255" t="s">
        <v>2436</v>
      </c>
      <c r="AD255" t="s">
        <v>595</v>
      </c>
      <c r="AE255" s="9" t="s">
        <v>2045</v>
      </c>
      <c r="AF255" s="9" t="s">
        <v>2058</v>
      </c>
      <c r="AG255" t="s">
        <v>595</v>
      </c>
    </row>
    <row r="256" spans="1:33">
      <c r="B256" t="s">
        <v>19</v>
      </c>
      <c r="C256" t="s">
        <v>2437</v>
      </c>
      <c r="E256">
        <v>2019</v>
      </c>
      <c r="F256" t="s">
        <v>2059</v>
      </c>
      <c r="G256" t="s">
        <v>2035</v>
      </c>
      <c r="H256" s="6">
        <v>55</v>
      </c>
      <c r="I256" s="6">
        <v>5</v>
      </c>
      <c r="J256" s="6">
        <v>1958</v>
      </c>
      <c r="K256" s="6">
        <v>2016</v>
      </c>
      <c r="L256" s="6">
        <f t="shared" si="6"/>
        <v>59</v>
      </c>
      <c r="M256" t="s">
        <v>2036</v>
      </c>
      <c r="N256" t="s">
        <v>51</v>
      </c>
      <c r="O256" t="s">
        <v>2382</v>
      </c>
      <c r="Q256" t="s">
        <v>2438</v>
      </c>
      <c r="R256" t="s">
        <v>2112</v>
      </c>
      <c r="S256" t="s">
        <v>2039</v>
      </c>
      <c r="T256">
        <v>231.92708333333334</v>
      </c>
      <c r="U256" t="s">
        <v>2101</v>
      </c>
      <c r="V256">
        <v>-5.6959322033898303</v>
      </c>
      <c r="W256" t="s">
        <v>2041</v>
      </c>
      <c r="X256" t="s">
        <v>2041</v>
      </c>
      <c r="Y256" t="s">
        <v>19</v>
      </c>
      <c r="Z256" t="str">
        <f t="shared" si="7"/>
        <v>Y</v>
      </c>
      <c r="AA256" t="s">
        <v>2439</v>
      </c>
      <c r="AB256" t="s">
        <v>2440</v>
      </c>
      <c r="AC256" t="s">
        <v>2441</v>
      </c>
      <c r="AD256" t="s">
        <v>595</v>
      </c>
      <c r="AE256" t="s">
        <v>2045</v>
      </c>
      <c r="AF256" t="s">
        <v>2041</v>
      </c>
      <c r="AG256" t="s">
        <v>595</v>
      </c>
    </row>
    <row r="257" spans="2:33">
      <c r="B257" t="s">
        <v>19</v>
      </c>
      <c r="C257" t="s">
        <v>2437</v>
      </c>
      <c r="E257">
        <v>2019</v>
      </c>
      <c r="F257" t="s">
        <v>2059</v>
      </c>
      <c r="G257" t="s">
        <v>2035</v>
      </c>
      <c r="H257" s="6">
        <v>55</v>
      </c>
      <c r="I257" s="6">
        <v>5</v>
      </c>
      <c r="J257" s="6">
        <v>1958</v>
      </c>
      <c r="K257" s="6">
        <v>2016</v>
      </c>
      <c r="L257" s="6">
        <f t="shared" si="6"/>
        <v>59</v>
      </c>
      <c r="M257" t="s">
        <v>2036</v>
      </c>
      <c r="N257" t="s">
        <v>51</v>
      </c>
      <c r="O257" t="s">
        <v>2382</v>
      </c>
      <c r="Q257" t="s">
        <v>2442</v>
      </c>
      <c r="R257" t="s">
        <v>2112</v>
      </c>
      <c r="S257" t="s">
        <v>2039</v>
      </c>
      <c r="T257">
        <v>224.99208333333334</v>
      </c>
      <c r="U257" t="s">
        <v>2101</v>
      </c>
      <c r="V257">
        <v>-6.9032203389830507</v>
      </c>
      <c r="W257" t="s">
        <v>2041</v>
      </c>
      <c r="X257" t="s">
        <v>2041</v>
      </c>
      <c r="Y257" t="s">
        <v>19</v>
      </c>
      <c r="Z257" t="str">
        <f t="shared" si="7"/>
        <v>Y</v>
      </c>
      <c r="AA257" t="s">
        <v>2439</v>
      </c>
      <c r="AB257" t="s">
        <v>2440</v>
      </c>
      <c r="AC257" t="s">
        <v>2441</v>
      </c>
      <c r="AD257" t="s">
        <v>595</v>
      </c>
      <c r="AE257" t="s">
        <v>2045</v>
      </c>
      <c r="AF257" t="s">
        <v>2041</v>
      </c>
      <c r="AG257" t="s">
        <v>595</v>
      </c>
    </row>
    <row r="258" spans="2:33">
      <c r="B258" t="s">
        <v>19</v>
      </c>
      <c r="C258" t="s">
        <v>2437</v>
      </c>
      <c r="E258">
        <v>2019</v>
      </c>
      <c r="F258" t="s">
        <v>2059</v>
      </c>
      <c r="G258" t="s">
        <v>2035</v>
      </c>
      <c r="H258" s="6">
        <v>55</v>
      </c>
      <c r="I258" s="6">
        <v>5</v>
      </c>
      <c r="J258" s="6">
        <v>1958</v>
      </c>
      <c r="K258" s="6">
        <v>2016</v>
      </c>
      <c r="L258" s="6">
        <f t="shared" ref="L258:L321" si="8">K258-J258+1</f>
        <v>59</v>
      </c>
      <c r="M258" t="s">
        <v>2036</v>
      </c>
      <c r="N258" t="s">
        <v>51</v>
      </c>
      <c r="O258" t="s">
        <v>2382</v>
      </c>
      <c r="Q258" t="s">
        <v>2443</v>
      </c>
      <c r="R258" t="s">
        <v>2112</v>
      </c>
      <c r="S258" t="s">
        <v>2039</v>
      </c>
      <c r="T258">
        <v>225.78291666666667</v>
      </c>
      <c r="U258" t="s">
        <v>2101</v>
      </c>
      <c r="V258">
        <v>-6.0020338983050845</v>
      </c>
      <c r="W258" t="s">
        <v>2041</v>
      </c>
      <c r="X258" t="s">
        <v>2041</v>
      </c>
      <c r="Y258" t="s">
        <v>19</v>
      </c>
      <c r="Z258" t="str">
        <f t="shared" ref="Z258:Z321" si="9">IF(L258&gt;=19,"Y","N")</f>
        <v>Y</v>
      </c>
      <c r="AA258" t="s">
        <v>2439</v>
      </c>
      <c r="AB258" t="s">
        <v>2440</v>
      </c>
      <c r="AC258" t="s">
        <v>2441</v>
      </c>
      <c r="AD258" t="s">
        <v>595</v>
      </c>
      <c r="AE258" t="s">
        <v>2045</v>
      </c>
      <c r="AF258" t="s">
        <v>2041</v>
      </c>
      <c r="AG258" t="s">
        <v>595</v>
      </c>
    </row>
    <row r="259" spans="2:33">
      <c r="B259" t="s">
        <v>19</v>
      </c>
      <c r="C259" t="s">
        <v>2437</v>
      </c>
      <c r="E259">
        <v>2019</v>
      </c>
      <c r="F259" t="s">
        <v>2059</v>
      </c>
      <c r="G259" t="s">
        <v>2035</v>
      </c>
      <c r="H259" s="6">
        <v>55</v>
      </c>
      <c r="I259" s="6">
        <v>5</v>
      </c>
      <c r="J259" s="6">
        <v>1958</v>
      </c>
      <c r="K259" s="6">
        <v>2016</v>
      </c>
      <c r="L259" s="6">
        <f t="shared" si="8"/>
        <v>59</v>
      </c>
      <c r="M259" t="s">
        <v>2036</v>
      </c>
      <c r="N259" t="s">
        <v>51</v>
      </c>
      <c r="O259" t="s">
        <v>2382</v>
      </c>
      <c r="Q259" t="s">
        <v>2444</v>
      </c>
      <c r="R259" t="s">
        <v>2112</v>
      </c>
      <c r="S259" t="s">
        <v>2039</v>
      </c>
      <c r="T259">
        <v>216.93166666666667</v>
      </c>
      <c r="U259" t="s">
        <v>2101</v>
      </c>
      <c r="V259">
        <v>-4.9667796610169486</v>
      </c>
      <c r="W259" t="s">
        <v>2041</v>
      </c>
      <c r="X259" t="s">
        <v>2041</v>
      </c>
      <c r="Y259" t="s">
        <v>19</v>
      </c>
      <c r="Z259" t="str">
        <f t="shared" si="9"/>
        <v>Y</v>
      </c>
      <c r="AA259" t="s">
        <v>2439</v>
      </c>
      <c r="AB259" t="s">
        <v>2440</v>
      </c>
      <c r="AC259" t="s">
        <v>2441</v>
      </c>
      <c r="AD259" t="s">
        <v>595</v>
      </c>
      <c r="AE259" t="s">
        <v>2045</v>
      </c>
      <c r="AF259" t="s">
        <v>2041</v>
      </c>
      <c r="AG259" t="s">
        <v>595</v>
      </c>
    </row>
    <row r="260" spans="2:33">
      <c r="B260" t="s">
        <v>19</v>
      </c>
      <c r="C260" t="s">
        <v>2437</v>
      </c>
      <c r="E260">
        <v>2019</v>
      </c>
      <c r="F260" t="s">
        <v>2059</v>
      </c>
      <c r="G260" t="s">
        <v>2035</v>
      </c>
      <c r="H260" s="6">
        <v>55</v>
      </c>
      <c r="I260" s="6">
        <v>5</v>
      </c>
      <c r="J260" s="6">
        <v>1958</v>
      </c>
      <c r="K260" s="6">
        <v>2016</v>
      </c>
      <c r="L260" s="6">
        <f t="shared" si="8"/>
        <v>59</v>
      </c>
      <c r="M260" t="s">
        <v>2036</v>
      </c>
      <c r="N260" t="s">
        <v>51</v>
      </c>
      <c r="O260" t="s">
        <v>2382</v>
      </c>
      <c r="Q260" t="s">
        <v>2445</v>
      </c>
      <c r="R260" t="s">
        <v>2112</v>
      </c>
      <c r="S260" t="s">
        <v>2039</v>
      </c>
      <c r="T260">
        <v>190.22583333333333</v>
      </c>
      <c r="U260" t="s">
        <v>2101</v>
      </c>
      <c r="V260">
        <v>-3.2905084745762716</v>
      </c>
      <c r="W260" t="s">
        <v>2041</v>
      </c>
      <c r="X260" t="s">
        <v>2041</v>
      </c>
      <c r="Y260" t="s">
        <v>19</v>
      </c>
      <c r="Z260" t="str">
        <f t="shared" si="9"/>
        <v>Y</v>
      </c>
      <c r="AA260" t="s">
        <v>2439</v>
      </c>
      <c r="AB260" t="s">
        <v>2440</v>
      </c>
      <c r="AC260" t="s">
        <v>2441</v>
      </c>
      <c r="AD260" t="s">
        <v>595</v>
      </c>
      <c r="AE260" t="s">
        <v>2045</v>
      </c>
      <c r="AF260" t="s">
        <v>2041</v>
      </c>
      <c r="AG260" t="s">
        <v>595</v>
      </c>
    </row>
    <row r="261" spans="2:33">
      <c r="B261" t="s">
        <v>19</v>
      </c>
      <c r="C261" t="s">
        <v>2437</v>
      </c>
      <c r="E261">
        <v>2019</v>
      </c>
      <c r="F261" t="s">
        <v>2059</v>
      </c>
      <c r="G261" t="s">
        <v>2035</v>
      </c>
      <c r="H261" s="6">
        <v>55</v>
      </c>
      <c r="I261" s="6">
        <v>5</v>
      </c>
      <c r="J261" s="6">
        <v>1958</v>
      </c>
      <c r="K261" s="6">
        <v>2016</v>
      </c>
      <c r="L261" s="6">
        <f t="shared" si="8"/>
        <v>59</v>
      </c>
      <c r="M261" t="s">
        <v>2036</v>
      </c>
      <c r="N261" t="s">
        <v>51</v>
      </c>
      <c r="O261" t="s">
        <v>2382</v>
      </c>
      <c r="Q261" t="s">
        <v>2446</v>
      </c>
      <c r="R261" t="s">
        <v>2112</v>
      </c>
      <c r="S261" t="s">
        <v>2039</v>
      </c>
      <c r="T261">
        <v>248.23041666666666</v>
      </c>
      <c r="U261" t="s">
        <v>2040</v>
      </c>
      <c r="V261">
        <v>-8.9700000000000006</v>
      </c>
      <c r="W261" t="s">
        <v>2041</v>
      </c>
      <c r="X261" t="s">
        <v>2041</v>
      </c>
      <c r="Y261" t="s">
        <v>19</v>
      </c>
      <c r="Z261" t="str">
        <f t="shared" si="9"/>
        <v>Y</v>
      </c>
      <c r="AA261" t="s">
        <v>2439</v>
      </c>
      <c r="AB261" t="s">
        <v>2440</v>
      </c>
      <c r="AC261" t="s">
        <v>2441</v>
      </c>
      <c r="AD261" t="s">
        <v>595</v>
      </c>
      <c r="AE261" t="s">
        <v>2045</v>
      </c>
      <c r="AF261" t="s">
        <v>2041</v>
      </c>
      <c r="AG261" t="s">
        <v>595</v>
      </c>
    </row>
    <row r="262" spans="2:33">
      <c r="B262" t="s">
        <v>19</v>
      </c>
      <c r="C262" t="s">
        <v>2437</v>
      </c>
      <c r="E262">
        <v>2019</v>
      </c>
      <c r="F262" t="s">
        <v>2059</v>
      </c>
      <c r="G262" t="s">
        <v>2035</v>
      </c>
      <c r="H262" s="6">
        <v>55</v>
      </c>
      <c r="I262" s="6">
        <v>5</v>
      </c>
      <c r="J262" s="6">
        <v>1958</v>
      </c>
      <c r="K262" s="6">
        <v>2016</v>
      </c>
      <c r="L262" s="6">
        <f t="shared" si="8"/>
        <v>59</v>
      </c>
      <c r="M262" t="s">
        <v>2036</v>
      </c>
      <c r="N262" t="s">
        <v>51</v>
      </c>
      <c r="O262" t="s">
        <v>2382</v>
      </c>
      <c r="Q262" t="s">
        <v>2447</v>
      </c>
      <c r="R262" t="s">
        <v>2112</v>
      </c>
      <c r="S262" t="s">
        <v>2039</v>
      </c>
      <c r="T262">
        <v>225.87416666666667</v>
      </c>
      <c r="U262" t="s">
        <v>2101</v>
      </c>
      <c r="V262">
        <v>-8.3528813559322028</v>
      </c>
      <c r="W262" t="s">
        <v>2041</v>
      </c>
      <c r="X262" t="s">
        <v>2041</v>
      </c>
      <c r="Y262" t="s">
        <v>19</v>
      </c>
      <c r="Z262" t="str">
        <f t="shared" si="9"/>
        <v>Y</v>
      </c>
      <c r="AA262" t="s">
        <v>2439</v>
      </c>
      <c r="AB262" t="s">
        <v>2440</v>
      </c>
      <c r="AC262" t="s">
        <v>2441</v>
      </c>
      <c r="AD262" t="s">
        <v>595</v>
      </c>
      <c r="AE262" t="s">
        <v>2045</v>
      </c>
      <c r="AF262" t="s">
        <v>2041</v>
      </c>
      <c r="AG262" t="s">
        <v>595</v>
      </c>
    </row>
    <row r="263" spans="2:33">
      <c r="B263" t="s">
        <v>19</v>
      </c>
      <c r="C263" t="s">
        <v>2437</v>
      </c>
      <c r="E263">
        <v>2019</v>
      </c>
      <c r="F263" t="s">
        <v>2059</v>
      </c>
      <c r="G263" t="s">
        <v>2035</v>
      </c>
      <c r="H263" s="6">
        <v>55</v>
      </c>
      <c r="I263" s="6">
        <v>5</v>
      </c>
      <c r="J263" s="6">
        <v>1958</v>
      </c>
      <c r="K263" s="6">
        <v>2016</v>
      </c>
      <c r="L263" s="6">
        <f t="shared" si="8"/>
        <v>59</v>
      </c>
      <c r="M263" t="s">
        <v>2036</v>
      </c>
      <c r="N263" t="s">
        <v>51</v>
      </c>
      <c r="O263" t="s">
        <v>2382</v>
      </c>
      <c r="Q263" t="s">
        <v>2448</v>
      </c>
      <c r="R263" t="s">
        <v>2112</v>
      </c>
      <c r="S263" t="s">
        <v>2039</v>
      </c>
      <c r="T263">
        <v>213.06875000000002</v>
      </c>
      <c r="U263" t="s">
        <v>2101</v>
      </c>
      <c r="V263">
        <v>-4.0864406779661016</v>
      </c>
      <c r="W263" t="s">
        <v>2041</v>
      </c>
      <c r="X263" t="s">
        <v>2041</v>
      </c>
      <c r="Y263" t="s">
        <v>19</v>
      </c>
      <c r="Z263" t="str">
        <f t="shared" si="9"/>
        <v>Y</v>
      </c>
      <c r="AA263" t="s">
        <v>2439</v>
      </c>
      <c r="AB263" t="s">
        <v>2440</v>
      </c>
      <c r="AC263" t="s">
        <v>2441</v>
      </c>
      <c r="AD263" t="s">
        <v>595</v>
      </c>
      <c r="AE263" t="s">
        <v>2045</v>
      </c>
      <c r="AF263" t="s">
        <v>2041</v>
      </c>
      <c r="AG263" t="s">
        <v>595</v>
      </c>
    </row>
    <row r="264" spans="2:33">
      <c r="B264" t="s">
        <v>19</v>
      </c>
      <c r="C264" t="s">
        <v>2437</v>
      </c>
      <c r="E264">
        <v>2019</v>
      </c>
      <c r="F264" t="s">
        <v>2059</v>
      </c>
      <c r="G264" t="s">
        <v>2035</v>
      </c>
      <c r="H264" s="6">
        <v>55</v>
      </c>
      <c r="I264" s="6">
        <v>5</v>
      </c>
      <c r="J264" s="6">
        <v>1958</v>
      </c>
      <c r="K264" s="6">
        <v>2016</v>
      </c>
      <c r="L264" s="6">
        <f t="shared" si="8"/>
        <v>59</v>
      </c>
      <c r="M264" t="s">
        <v>2036</v>
      </c>
      <c r="N264" t="s">
        <v>51</v>
      </c>
      <c r="O264" t="s">
        <v>2382</v>
      </c>
      <c r="Q264" t="s">
        <v>2449</v>
      </c>
      <c r="R264" t="s">
        <v>2112</v>
      </c>
      <c r="S264" t="s">
        <v>2039</v>
      </c>
      <c r="T264">
        <v>234.66458333333333</v>
      </c>
      <c r="U264" t="s">
        <v>2101</v>
      </c>
      <c r="V264">
        <v>-5.2454237288135594</v>
      </c>
      <c r="W264" t="s">
        <v>2041</v>
      </c>
      <c r="X264" t="s">
        <v>2041</v>
      </c>
      <c r="Y264" t="s">
        <v>19</v>
      </c>
      <c r="Z264" t="str">
        <f t="shared" si="9"/>
        <v>Y</v>
      </c>
      <c r="AA264" t="s">
        <v>2439</v>
      </c>
      <c r="AB264" t="s">
        <v>2440</v>
      </c>
      <c r="AC264" t="s">
        <v>2441</v>
      </c>
      <c r="AD264" t="s">
        <v>595</v>
      </c>
      <c r="AE264" t="s">
        <v>2045</v>
      </c>
      <c r="AF264" t="s">
        <v>2041</v>
      </c>
      <c r="AG264" t="s">
        <v>595</v>
      </c>
    </row>
    <row r="265" spans="2:33">
      <c r="B265" t="s">
        <v>19</v>
      </c>
      <c r="C265" t="s">
        <v>2437</v>
      </c>
      <c r="E265">
        <v>2019</v>
      </c>
      <c r="F265" t="s">
        <v>2059</v>
      </c>
      <c r="G265" t="s">
        <v>2035</v>
      </c>
      <c r="H265" s="6">
        <v>55</v>
      </c>
      <c r="I265" s="6">
        <v>5</v>
      </c>
      <c r="J265" s="6">
        <v>1958</v>
      </c>
      <c r="K265" s="6">
        <v>2016</v>
      </c>
      <c r="L265" s="6">
        <f t="shared" si="8"/>
        <v>59</v>
      </c>
      <c r="M265" t="s">
        <v>2036</v>
      </c>
      <c r="N265" t="s">
        <v>51</v>
      </c>
      <c r="O265" t="s">
        <v>2382</v>
      </c>
      <c r="Q265" t="s">
        <v>2450</v>
      </c>
      <c r="R265" t="s">
        <v>2112</v>
      </c>
      <c r="S265" t="s">
        <v>2039</v>
      </c>
      <c r="T265">
        <v>206.16416666666666</v>
      </c>
      <c r="U265" t="s">
        <v>2101</v>
      </c>
      <c r="V265">
        <v>-7.65</v>
      </c>
      <c r="W265" t="s">
        <v>2041</v>
      </c>
      <c r="X265" t="s">
        <v>2041</v>
      </c>
      <c r="Y265" t="s">
        <v>19</v>
      </c>
      <c r="Z265" t="str">
        <f t="shared" si="9"/>
        <v>Y</v>
      </c>
      <c r="AA265" t="s">
        <v>2439</v>
      </c>
      <c r="AB265" t="s">
        <v>2440</v>
      </c>
      <c r="AC265" t="s">
        <v>2441</v>
      </c>
      <c r="AD265" t="s">
        <v>595</v>
      </c>
      <c r="AE265" t="s">
        <v>2045</v>
      </c>
      <c r="AF265" t="s">
        <v>2041</v>
      </c>
      <c r="AG265" t="s">
        <v>595</v>
      </c>
    </row>
    <row r="266" spans="2:33">
      <c r="B266" t="s">
        <v>19</v>
      </c>
      <c r="C266" t="s">
        <v>2437</v>
      </c>
      <c r="E266">
        <v>2019</v>
      </c>
      <c r="F266" t="s">
        <v>2059</v>
      </c>
      <c r="G266" t="s">
        <v>2035</v>
      </c>
      <c r="H266" s="6">
        <v>55</v>
      </c>
      <c r="I266" s="6">
        <v>5</v>
      </c>
      <c r="J266" s="6">
        <v>1958</v>
      </c>
      <c r="K266" s="6">
        <v>2016</v>
      </c>
      <c r="L266" s="6">
        <f t="shared" si="8"/>
        <v>59</v>
      </c>
      <c r="M266" t="s">
        <v>2036</v>
      </c>
      <c r="N266" t="s">
        <v>51</v>
      </c>
      <c r="O266" t="s">
        <v>2451</v>
      </c>
      <c r="Q266" t="s">
        <v>2452</v>
      </c>
      <c r="R266" t="s">
        <v>2112</v>
      </c>
      <c r="S266" t="s">
        <v>2039</v>
      </c>
      <c r="T266">
        <v>126.29</v>
      </c>
      <c r="U266" t="s">
        <v>2053</v>
      </c>
      <c r="V266">
        <v>-5.2215254237288136</v>
      </c>
      <c r="W266" t="s">
        <v>2041</v>
      </c>
      <c r="X266" t="s">
        <v>2041</v>
      </c>
      <c r="Y266" t="s">
        <v>19</v>
      </c>
      <c r="Z266" t="str">
        <f t="shared" si="9"/>
        <v>Y</v>
      </c>
      <c r="AA266" t="s">
        <v>2439</v>
      </c>
      <c r="AB266" t="s">
        <v>2440</v>
      </c>
      <c r="AC266" t="s">
        <v>2441</v>
      </c>
      <c r="AD266" t="s">
        <v>595</v>
      </c>
      <c r="AE266" t="s">
        <v>2045</v>
      </c>
      <c r="AF266" t="s">
        <v>2041</v>
      </c>
      <c r="AG266" t="s">
        <v>595</v>
      </c>
    </row>
    <row r="267" spans="2:33">
      <c r="B267" t="s">
        <v>19</v>
      </c>
      <c r="C267" t="s">
        <v>2437</v>
      </c>
      <c r="E267">
        <v>2019</v>
      </c>
      <c r="F267" t="s">
        <v>2059</v>
      </c>
      <c r="G267" t="s">
        <v>2035</v>
      </c>
      <c r="H267" s="6">
        <v>55</v>
      </c>
      <c r="I267" s="6">
        <v>5</v>
      </c>
      <c r="J267" s="6">
        <v>1958</v>
      </c>
      <c r="K267" s="6">
        <v>2016</v>
      </c>
      <c r="L267" s="6">
        <f t="shared" si="8"/>
        <v>59</v>
      </c>
      <c r="M267" t="s">
        <v>2036</v>
      </c>
      <c r="N267" t="s">
        <v>51</v>
      </c>
      <c r="O267" t="s">
        <v>2451</v>
      </c>
      <c r="Q267" t="s">
        <v>2453</v>
      </c>
      <c r="R267" t="s">
        <v>2112</v>
      </c>
      <c r="S267" t="s">
        <v>2039</v>
      </c>
      <c r="T267">
        <v>246.83125000000001</v>
      </c>
      <c r="U267" t="s">
        <v>2040</v>
      </c>
      <c r="V267">
        <v>-3.1820338983050851</v>
      </c>
      <c r="W267" t="s">
        <v>2041</v>
      </c>
      <c r="X267" t="s">
        <v>2041</v>
      </c>
      <c r="Y267" t="s">
        <v>19</v>
      </c>
      <c r="Z267" t="str">
        <f t="shared" si="9"/>
        <v>Y</v>
      </c>
      <c r="AA267" t="s">
        <v>2439</v>
      </c>
      <c r="AB267" t="s">
        <v>2440</v>
      </c>
      <c r="AC267" t="s">
        <v>2441</v>
      </c>
      <c r="AD267" t="s">
        <v>595</v>
      </c>
      <c r="AE267" t="s">
        <v>2045</v>
      </c>
      <c r="AF267" t="s">
        <v>2041</v>
      </c>
      <c r="AG267" t="s">
        <v>595</v>
      </c>
    </row>
    <row r="268" spans="2:33">
      <c r="B268" t="s">
        <v>19</v>
      </c>
      <c r="C268" t="s">
        <v>2437</v>
      </c>
      <c r="E268">
        <v>2019</v>
      </c>
      <c r="F268" t="s">
        <v>2059</v>
      </c>
      <c r="G268" t="s">
        <v>2035</v>
      </c>
      <c r="H268" s="6">
        <v>55</v>
      </c>
      <c r="I268" s="6">
        <v>5</v>
      </c>
      <c r="J268" s="6">
        <v>1958</v>
      </c>
      <c r="K268" s="6">
        <v>2016</v>
      </c>
      <c r="L268" s="6">
        <f t="shared" si="8"/>
        <v>59</v>
      </c>
      <c r="M268" t="s">
        <v>2036</v>
      </c>
      <c r="N268" t="s">
        <v>51</v>
      </c>
      <c r="O268" t="s">
        <v>2451</v>
      </c>
      <c r="Q268" t="s">
        <v>2453</v>
      </c>
      <c r="R268" t="s">
        <v>2112</v>
      </c>
      <c r="S268" t="s">
        <v>2039</v>
      </c>
      <c r="T268">
        <v>100.95291666666667</v>
      </c>
      <c r="U268" t="s">
        <v>2053</v>
      </c>
      <c r="V268">
        <v>-0.31440677966101693</v>
      </c>
      <c r="W268" t="s">
        <v>2041</v>
      </c>
      <c r="X268" t="s">
        <v>2041</v>
      </c>
      <c r="Y268" t="s">
        <v>19</v>
      </c>
      <c r="Z268" t="str">
        <f t="shared" si="9"/>
        <v>Y</v>
      </c>
      <c r="AA268" t="s">
        <v>2439</v>
      </c>
      <c r="AB268" t="s">
        <v>2440</v>
      </c>
      <c r="AC268" t="s">
        <v>2441</v>
      </c>
      <c r="AD268" t="s">
        <v>595</v>
      </c>
      <c r="AE268" t="s">
        <v>2045</v>
      </c>
      <c r="AF268" t="s">
        <v>2041</v>
      </c>
      <c r="AG268" t="s">
        <v>595</v>
      </c>
    </row>
    <row r="269" spans="2:33">
      <c r="B269" t="s">
        <v>19</v>
      </c>
      <c r="C269" t="s">
        <v>2437</v>
      </c>
      <c r="E269">
        <v>2019</v>
      </c>
      <c r="F269" t="s">
        <v>2059</v>
      </c>
      <c r="G269" t="s">
        <v>2035</v>
      </c>
      <c r="H269" s="6">
        <v>55</v>
      </c>
      <c r="I269" s="6">
        <v>5</v>
      </c>
      <c r="J269" s="6">
        <v>1958</v>
      </c>
      <c r="K269" s="6">
        <v>2016</v>
      </c>
      <c r="L269" s="6">
        <f t="shared" si="8"/>
        <v>59</v>
      </c>
      <c r="M269" t="s">
        <v>2036</v>
      </c>
      <c r="N269" t="s">
        <v>51</v>
      </c>
      <c r="O269" t="s">
        <v>2451</v>
      </c>
      <c r="Q269" t="s">
        <v>2454</v>
      </c>
      <c r="R269" t="s">
        <v>2112</v>
      </c>
      <c r="S269" t="s">
        <v>2039</v>
      </c>
      <c r="T269">
        <v>247.7741666666667</v>
      </c>
      <c r="U269" t="s">
        <v>2040</v>
      </c>
      <c r="V269">
        <v>1.9886440677966102</v>
      </c>
      <c r="W269" t="s">
        <v>2058</v>
      </c>
      <c r="X269" t="s">
        <v>2041</v>
      </c>
      <c r="Y269" t="s">
        <v>19</v>
      </c>
      <c r="Z269" t="str">
        <f t="shared" si="9"/>
        <v>Y</v>
      </c>
      <c r="AA269" t="s">
        <v>2439</v>
      </c>
      <c r="AB269" t="s">
        <v>2440</v>
      </c>
      <c r="AC269" t="s">
        <v>2441</v>
      </c>
      <c r="AD269" t="s">
        <v>595</v>
      </c>
      <c r="AE269" t="s">
        <v>2045</v>
      </c>
      <c r="AF269" t="s">
        <v>2041</v>
      </c>
      <c r="AG269" t="s">
        <v>595</v>
      </c>
    </row>
    <row r="270" spans="2:33">
      <c r="B270" t="s">
        <v>19</v>
      </c>
      <c r="C270" t="s">
        <v>2437</v>
      </c>
      <c r="E270">
        <v>2019</v>
      </c>
      <c r="F270" t="s">
        <v>2059</v>
      </c>
      <c r="G270" t="s">
        <v>2035</v>
      </c>
      <c r="H270" s="6">
        <v>55</v>
      </c>
      <c r="I270" s="6">
        <v>5</v>
      </c>
      <c r="J270" s="6">
        <v>1958</v>
      </c>
      <c r="K270" s="6">
        <v>2016</v>
      </c>
      <c r="L270" s="6">
        <f t="shared" si="8"/>
        <v>59</v>
      </c>
      <c r="M270" t="s">
        <v>2036</v>
      </c>
      <c r="N270" t="s">
        <v>51</v>
      </c>
      <c r="O270" t="s">
        <v>2451</v>
      </c>
      <c r="Q270" t="s">
        <v>2454</v>
      </c>
      <c r="R270" t="s">
        <v>2112</v>
      </c>
      <c r="S270" t="s">
        <v>2039</v>
      </c>
      <c r="T270">
        <v>101.98708333333333</v>
      </c>
      <c r="U270" t="s">
        <v>2053</v>
      </c>
      <c r="V270">
        <v>-2.659491525423729</v>
      </c>
      <c r="W270" t="s">
        <v>2041</v>
      </c>
      <c r="X270" t="s">
        <v>2041</v>
      </c>
      <c r="Y270" t="s">
        <v>19</v>
      </c>
      <c r="Z270" t="str">
        <f t="shared" si="9"/>
        <v>Y</v>
      </c>
      <c r="AA270" t="s">
        <v>2439</v>
      </c>
      <c r="AB270" t="s">
        <v>2440</v>
      </c>
      <c r="AC270" t="s">
        <v>2441</v>
      </c>
      <c r="AD270" t="s">
        <v>595</v>
      </c>
      <c r="AE270" t="s">
        <v>2045</v>
      </c>
      <c r="AF270" t="s">
        <v>2041</v>
      </c>
      <c r="AG270" t="s">
        <v>595</v>
      </c>
    </row>
    <row r="271" spans="2:33">
      <c r="B271" t="s">
        <v>19</v>
      </c>
      <c r="C271" t="s">
        <v>2437</v>
      </c>
      <c r="E271">
        <v>2019</v>
      </c>
      <c r="F271" t="s">
        <v>2059</v>
      </c>
      <c r="G271" t="s">
        <v>2035</v>
      </c>
      <c r="H271" s="6">
        <v>55</v>
      </c>
      <c r="I271" s="6">
        <v>5</v>
      </c>
      <c r="J271" s="6">
        <v>1958</v>
      </c>
      <c r="K271" s="6">
        <v>2016</v>
      </c>
      <c r="L271" s="6">
        <f t="shared" si="8"/>
        <v>59</v>
      </c>
      <c r="M271" t="s">
        <v>2036</v>
      </c>
      <c r="N271" t="s">
        <v>51</v>
      </c>
      <c r="O271" t="s">
        <v>2451</v>
      </c>
      <c r="Q271" t="s">
        <v>2455</v>
      </c>
      <c r="R271" t="s">
        <v>2112</v>
      </c>
      <c r="S271" t="s">
        <v>2039</v>
      </c>
      <c r="T271">
        <v>261.58333333333331</v>
      </c>
      <c r="U271" t="s">
        <v>2040</v>
      </c>
      <c r="V271">
        <v>3.5254237288135593E-2</v>
      </c>
      <c r="W271" t="s">
        <v>2058</v>
      </c>
      <c r="X271" t="s">
        <v>2041</v>
      </c>
      <c r="Y271" t="s">
        <v>19</v>
      </c>
      <c r="Z271" t="str">
        <f t="shared" si="9"/>
        <v>Y</v>
      </c>
      <c r="AA271" t="s">
        <v>2439</v>
      </c>
      <c r="AB271" t="s">
        <v>2440</v>
      </c>
      <c r="AC271" t="s">
        <v>2441</v>
      </c>
      <c r="AD271" t="s">
        <v>595</v>
      </c>
      <c r="AE271" t="s">
        <v>2045</v>
      </c>
      <c r="AF271" t="s">
        <v>2041</v>
      </c>
      <c r="AG271" t="s">
        <v>595</v>
      </c>
    </row>
    <row r="272" spans="2:33">
      <c r="B272" t="s">
        <v>19</v>
      </c>
      <c r="C272" t="s">
        <v>2437</v>
      </c>
      <c r="E272">
        <v>2019</v>
      </c>
      <c r="F272" t="s">
        <v>2059</v>
      </c>
      <c r="G272" t="s">
        <v>2035</v>
      </c>
      <c r="H272" s="6">
        <v>55</v>
      </c>
      <c r="I272" s="6">
        <v>5</v>
      </c>
      <c r="J272" s="6">
        <v>1958</v>
      </c>
      <c r="K272" s="6">
        <v>2016</v>
      </c>
      <c r="L272" s="6">
        <f t="shared" si="8"/>
        <v>59</v>
      </c>
      <c r="M272" t="s">
        <v>2036</v>
      </c>
      <c r="N272" t="s">
        <v>51</v>
      </c>
      <c r="O272" t="s">
        <v>2451</v>
      </c>
      <c r="Q272" t="s">
        <v>2455</v>
      </c>
      <c r="R272" t="s">
        <v>2112</v>
      </c>
      <c r="S272" t="s">
        <v>2039</v>
      </c>
      <c r="T272">
        <v>91.827916666666681</v>
      </c>
      <c r="U272" t="s">
        <v>2053</v>
      </c>
      <c r="V272">
        <v>-1.3918644067796611</v>
      </c>
      <c r="W272" t="s">
        <v>2041</v>
      </c>
      <c r="X272" t="s">
        <v>2041</v>
      </c>
      <c r="Y272" t="s">
        <v>19</v>
      </c>
      <c r="Z272" t="str">
        <f t="shared" si="9"/>
        <v>Y</v>
      </c>
      <c r="AA272" t="s">
        <v>2439</v>
      </c>
      <c r="AB272" t="s">
        <v>2440</v>
      </c>
      <c r="AC272" t="s">
        <v>2441</v>
      </c>
      <c r="AD272" t="s">
        <v>595</v>
      </c>
      <c r="AE272" t="s">
        <v>2045</v>
      </c>
      <c r="AF272" t="s">
        <v>2041</v>
      </c>
      <c r="AG272" t="s">
        <v>595</v>
      </c>
    </row>
    <row r="273" spans="2:33">
      <c r="B273" t="s">
        <v>19</v>
      </c>
      <c r="C273" t="s">
        <v>2437</v>
      </c>
      <c r="E273">
        <v>2019</v>
      </c>
      <c r="F273" t="s">
        <v>2059</v>
      </c>
      <c r="G273" t="s">
        <v>2035</v>
      </c>
      <c r="H273" s="6">
        <v>55</v>
      </c>
      <c r="I273" s="6">
        <v>5</v>
      </c>
      <c r="J273" s="6">
        <v>1958</v>
      </c>
      <c r="K273" s="6">
        <v>2016</v>
      </c>
      <c r="L273" s="6">
        <f t="shared" si="8"/>
        <v>59</v>
      </c>
      <c r="M273" t="s">
        <v>2036</v>
      </c>
      <c r="N273" t="s">
        <v>51</v>
      </c>
      <c r="O273" t="s">
        <v>2451</v>
      </c>
      <c r="Q273" t="s">
        <v>2456</v>
      </c>
      <c r="R273" t="s">
        <v>2112</v>
      </c>
      <c r="S273" t="s">
        <v>2039</v>
      </c>
      <c r="T273">
        <v>300.54708333333338</v>
      </c>
      <c r="U273" t="s">
        <v>2040</v>
      </c>
      <c r="V273">
        <v>-8.2677966101694924</v>
      </c>
      <c r="W273" t="s">
        <v>2041</v>
      </c>
      <c r="X273" t="s">
        <v>2041</v>
      </c>
      <c r="Y273" t="s">
        <v>19</v>
      </c>
      <c r="Z273" t="str">
        <f t="shared" si="9"/>
        <v>Y</v>
      </c>
      <c r="AA273" t="s">
        <v>2439</v>
      </c>
      <c r="AB273" t="s">
        <v>2440</v>
      </c>
      <c r="AC273" t="s">
        <v>2441</v>
      </c>
      <c r="AD273" t="s">
        <v>595</v>
      </c>
      <c r="AE273" t="s">
        <v>2045</v>
      </c>
      <c r="AF273" t="s">
        <v>2041</v>
      </c>
      <c r="AG273" t="s">
        <v>595</v>
      </c>
    </row>
    <row r="274" spans="2:33">
      <c r="B274" t="s">
        <v>19</v>
      </c>
      <c r="C274" t="s">
        <v>2437</v>
      </c>
      <c r="E274">
        <v>2019</v>
      </c>
      <c r="F274" t="s">
        <v>2059</v>
      </c>
      <c r="G274" t="s">
        <v>2035</v>
      </c>
      <c r="H274" s="6">
        <v>55</v>
      </c>
      <c r="I274" s="6">
        <v>5</v>
      </c>
      <c r="J274" s="6">
        <v>1958</v>
      </c>
      <c r="K274" s="6">
        <v>2016</v>
      </c>
      <c r="L274" s="6">
        <f t="shared" si="8"/>
        <v>59</v>
      </c>
      <c r="M274" t="s">
        <v>2036</v>
      </c>
      <c r="N274" t="s">
        <v>51</v>
      </c>
      <c r="O274" t="s">
        <v>2451</v>
      </c>
      <c r="Q274" t="s">
        <v>2456</v>
      </c>
      <c r="R274" t="s">
        <v>2112</v>
      </c>
      <c r="S274" t="s">
        <v>2039</v>
      </c>
      <c r="T274">
        <v>76.497916666666669</v>
      </c>
      <c r="U274" t="s">
        <v>2053</v>
      </c>
      <c r="V274">
        <v>2.7627118644067798E-2</v>
      </c>
      <c r="W274" t="s">
        <v>2058</v>
      </c>
      <c r="X274" t="s">
        <v>2041</v>
      </c>
      <c r="Y274" t="s">
        <v>19</v>
      </c>
      <c r="Z274" t="str">
        <f t="shared" si="9"/>
        <v>Y</v>
      </c>
      <c r="AA274" t="s">
        <v>2439</v>
      </c>
      <c r="AB274" t="s">
        <v>2440</v>
      </c>
      <c r="AC274" t="s">
        <v>2441</v>
      </c>
      <c r="AD274" t="s">
        <v>595</v>
      </c>
      <c r="AE274" t="s">
        <v>2045</v>
      </c>
      <c r="AF274" t="s">
        <v>2041</v>
      </c>
      <c r="AG274" t="s">
        <v>595</v>
      </c>
    </row>
    <row r="275" spans="2:33">
      <c r="B275" t="s">
        <v>19</v>
      </c>
      <c r="C275" t="s">
        <v>2437</v>
      </c>
      <c r="E275">
        <v>2019</v>
      </c>
      <c r="F275" t="s">
        <v>2059</v>
      </c>
      <c r="G275" t="s">
        <v>2035</v>
      </c>
      <c r="H275" s="6">
        <v>55</v>
      </c>
      <c r="I275" s="6">
        <v>5</v>
      </c>
      <c r="J275" s="6">
        <v>1958</v>
      </c>
      <c r="K275" s="6">
        <v>2016</v>
      </c>
      <c r="L275" s="6">
        <f t="shared" si="8"/>
        <v>59</v>
      </c>
      <c r="M275" t="s">
        <v>2036</v>
      </c>
      <c r="N275" t="s">
        <v>51</v>
      </c>
      <c r="O275" t="s">
        <v>2451</v>
      </c>
      <c r="Q275" t="s">
        <v>2457</v>
      </c>
      <c r="R275" t="s">
        <v>2112</v>
      </c>
      <c r="S275" t="s">
        <v>2039</v>
      </c>
      <c r="T275">
        <v>261.73541666666671</v>
      </c>
      <c r="U275" t="s">
        <v>2040</v>
      </c>
      <c r="V275">
        <v>1.432542372881356</v>
      </c>
      <c r="W275" t="s">
        <v>2058</v>
      </c>
      <c r="X275" t="s">
        <v>2041</v>
      </c>
      <c r="Y275" t="s">
        <v>19</v>
      </c>
      <c r="Z275" t="str">
        <f t="shared" si="9"/>
        <v>Y</v>
      </c>
      <c r="AA275" t="s">
        <v>2439</v>
      </c>
      <c r="AB275" t="s">
        <v>2440</v>
      </c>
      <c r="AC275" t="s">
        <v>2441</v>
      </c>
      <c r="AD275" t="s">
        <v>595</v>
      </c>
      <c r="AE275" t="s">
        <v>2045</v>
      </c>
      <c r="AF275" t="s">
        <v>2041</v>
      </c>
      <c r="AG275" t="s">
        <v>595</v>
      </c>
    </row>
    <row r="276" spans="2:33">
      <c r="B276" t="s">
        <v>19</v>
      </c>
      <c r="C276" t="s">
        <v>2437</v>
      </c>
      <c r="E276">
        <v>2019</v>
      </c>
      <c r="F276" t="s">
        <v>2059</v>
      </c>
      <c r="G276" t="s">
        <v>2035</v>
      </c>
      <c r="H276" s="6">
        <v>55</v>
      </c>
      <c r="I276" s="6">
        <v>5</v>
      </c>
      <c r="J276" s="6">
        <v>1958</v>
      </c>
      <c r="K276" s="6">
        <v>2016</v>
      </c>
      <c r="L276" s="6">
        <f t="shared" si="8"/>
        <v>59</v>
      </c>
      <c r="M276" t="s">
        <v>2036</v>
      </c>
      <c r="N276" t="s">
        <v>51</v>
      </c>
      <c r="O276" t="s">
        <v>2451</v>
      </c>
      <c r="Q276" t="s">
        <v>2457</v>
      </c>
      <c r="R276" t="s">
        <v>2112</v>
      </c>
      <c r="S276" t="s">
        <v>2039</v>
      </c>
      <c r="T276">
        <v>93.044583333333335</v>
      </c>
      <c r="U276" t="s">
        <v>2053</v>
      </c>
      <c r="V276">
        <v>0.33440677966101695</v>
      </c>
      <c r="W276" t="s">
        <v>2058</v>
      </c>
      <c r="X276" t="s">
        <v>2041</v>
      </c>
      <c r="Y276" t="s">
        <v>19</v>
      </c>
      <c r="Z276" t="str">
        <f t="shared" si="9"/>
        <v>Y</v>
      </c>
      <c r="AA276" t="s">
        <v>2439</v>
      </c>
      <c r="AB276" t="s">
        <v>2440</v>
      </c>
      <c r="AC276" t="s">
        <v>2441</v>
      </c>
      <c r="AD276" t="s">
        <v>595</v>
      </c>
      <c r="AE276" t="s">
        <v>2045</v>
      </c>
      <c r="AF276" t="s">
        <v>2041</v>
      </c>
      <c r="AG276" t="s">
        <v>595</v>
      </c>
    </row>
    <row r="277" spans="2:33">
      <c r="B277" t="s">
        <v>19</v>
      </c>
      <c r="C277" t="s">
        <v>2437</v>
      </c>
      <c r="E277">
        <v>2019</v>
      </c>
      <c r="F277" t="s">
        <v>2059</v>
      </c>
      <c r="G277" t="s">
        <v>2035</v>
      </c>
      <c r="H277" s="6">
        <v>55</v>
      </c>
      <c r="I277" s="6">
        <v>5</v>
      </c>
      <c r="J277" s="6">
        <v>1958</v>
      </c>
      <c r="K277" s="6">
        <v>2016</v>
      </c>
      <c r="L277" s="6">
        <f t="shared" si="8"/>
        <v>59</v>
      </c>
      <c r="M277" t="s">
        <v>2036</v>
      </c>
      <c r="N277" t="s">
        <v>51</v>
      </c>
      <c r="O277" t="s">
        <v>2451</v>
      </c>
      <c r="Q277" t="s">
        <v>2458</v>
      </c>
      <c r="R277" t="s">
        <v>2112</v>
      </c>
      <c r="S277" t="s">
        <v>2039</v>
      </c>
      <c r="T277">
        <v>121.69708333333335</v>
      </c>
      <c r="U277" t="s">
        <v>2053</v>
      </c>
      <c r="V277">
        <v>-3.2688135593220342</v>
      </c>
      <c r="W277" t="s">
        <v>2041</v>
      </c>
      <c r="X277" t="s">
        <v>2041</v>
      </c>
      <c r="Y277" t="s">
        <v>19</v>
      </c>
      <c r="Z277" t="str">
        <f t="shared" si="9"/>
        <v>Y</v>
      </c>
      <c r="AA277" t="s">
        <v>2439</v>
      </c>
      <c r="AB277" t="s">
        <v>2440</v>
      </c>
      <c r="AC277" t="s">
        <v>2441</v>
      </c>
      <c r="AD277" t="s">
        <v>595</v>
      </c>
      <c r="AE277" t="s">
        <v>2045</v>
      </c>
      <c r="AF277" t="s">
        <v>2041</v>
      </c>
      <c r="AG277" t="s">
        <v>595</v>
      </c>
    </row>
    <row r="278" spans="2:33">
      <c r="B278" t="s">
        <v>19</v>
      </c>
      <c r="C278" t="s">
        <v>2437</v>
      </c>
      <c r="E278">
        <v>2019</v>
      </c>
      <c r="F278" t="s">
        <v>2059</v>
      </c>
      <c r="G278" t="s">
        <v>2035</v>
      </c>
      <c r="H278" s="6">
        <v>55</v>
      </c>
      <c r="I278" s="6">
        <v>5</v>
      </c>
      <c r="J278" s="6">
        <v>1958</v>
      </c>
      <c r="K278" s="6">
        <v>2016</v>
      </c>
      <c r="L278" s="6">
        <f t="shared" si="8"/>
        <v>59</v>
      </c>
      <c r="M278" t="s">
        <v>2036</v>
      </c>
      <c r="N278" t="s">
        <v>51</v>
      </c>
      <c r="O278" t="s">
        <v>2451</v>
      </c>
      <c r="Q278" t="s">
        <v>2459</v>
      </c>
      <c r="R278" t="s">
        <v>2112</v>
      </c>
      <c r="S278" t="s">
        <v>2039</v>
      </c>
      <c r="T278">
        <v>277.06541666666669</v>
      </c>
      <c r="U278" t="s">
        <v>2040</v>
      </c>
      <c r="V278">
        <v>-2.0320338983050847</v>
      </c>
      <c r="W278" t="s">
        <v>2041</v>
      </c>
      <c r="X278" t="s">
        <v>2041</v>
      </c>
      <c r="Y278" t="s">
        <v>19</v>
      </c>
      <c r="Z278" t="str">
        <f t="shared" si="9"/>
        <v>Y</v>
      </c>
      <c r="AA278" t="s">
        <v>2439</v>
      </c>
      <c r="AB278" t="s">
        <v>2440</v>
      </c>
      <c r="AC278" t="s">
        <v>2441</v>
      </c>
      <c r="AD278" t="s">
        <v>595</v>
      </c>
      <c r="AE278" t="s">
        <v>2045</v>
      </c>
      <c r="AF278" t="s">
        <v>2041</v>
      </c>
      <c r="AG278" t="s">
        <v>595</v>
      </c>
    </row>
    <row r="279" spans="2:33">
      <c r="B279" t="s">
        <v>19</v>
      </c>
      <c r="C279" t="s">
        <v>2437</v>
      </c>
      <c r="E279">
        <v>2019</v>
      </c>
      <c r="F279" t="s">
        <v>2059</v>
      </c>
      <c r="G279" t="s">
        <v>2035</v>
      </c>
      <c r="H279" s="6">
        <v>55</v>
      </c>
      <c r="I279" s="6">
        <v>5</v>
      </c>
      <c r="J279" s="6">
        <v>1958</v>
      </c>
      <c r="K279" s="6">
        <v>2016</v>
      </c>
      <c r="L279" s="6">
        <f t="shared" si="8"/>
        <v>59</v>
      </c>
      <c r="M279" t="s">
        <v>2036</v>
      </c>
      <c r="N279" t="s">
        <v>51</v>
      </c>
      <c r="O279" t="s">
        <v>2451</v>
      </c>
      <c r="Q279" t="s">
        <v>2459</v>
      </c>
      <c r="R279" t="s">
        <v>2112</v>
      </c>
      <c r="S279" t="s">
        <v>2039</v>
      </c>
      <c r="T279">
        <v>56.544583333333335</v>
      </c>
      <c r="U279" t="s">
        <v>2053</v>
      </c>
      <c r="V279">
        <v>2.827796610169492</v>
      </c>
      <c r="W279" t="s">
        <v>2058</v>
      </c>
      <c r="X279" t="s">
        <v>2041</v>
      </c>
      <c r="Y279" t="s">
        <v>19</v>
      </c>
      <c r="Z279" t="str">
        <f t="shared" si="9"/>
        <v>Y</v>
      </c>
      <c r="AA279" t="s">
        <v>2439</v>
      </c>
      <c r="AB279" t="s">
        <v>2440</v>
      </c>
      <c r="AC279" t="s">
        <v>2441</v>
      </c>
      <c r="AD279" t="s">
        <v>595</v>
      </c>
      <c r="AE279" t="s">
        <v>2045</v>
      </c>
      <c r="AF279" t="s">
        <v>2041</v>
      </c>
      <c r="AG279" t="s">
        <v>595</v>
      </c>
    </row>
    <row r="280" spans="2:33">
      <c r="B280" t="s">
        <v>19</v>
      </c>
      <c r="C280" t="s">
        <v>2437</v>
      </c>
      <c r="E280">
        <v>2019</v>
      </c>
      <c r="F280" t="s">
        <v>2059</v>
      </c>
      <c r="G280" t="s">
        <v>2035</v>
      </c>
      <c r="H280" s="6">
        <v>55</v>
      </c>
      <c r="I280" s="6">
        <v>5</v>
      </c>
      <c r="J280" s="6">
        <v>1958</v>
      </c>
      <c r="K280" s="6">
        <v>2016</v>
      </c>
      <c r="L280" s="6">
        <f t="shared" si="8"/>
        <v>59</v>
      </c>
      <c r="M280" t="s">
        <v>2036</v>
      </c>
      <c r="N280" t="s">
        <v>51</v>
      </c>
      <c r="O280" t="s">
        <v>2451</v>
      </c>
      <c r="Q280" t="s">
        <v>2460</v>
      </c>
      <c r="R280" t="s">
        <v>2112</v>
      </c>
      <c r="S280" t="s">
        <v>2039</v>
      </c>
      <c r="T280">
        <v>283.17916666666667</v>
      </c>
      <c r="U280" t="s">
        <v>2040</v>
      </c>
      <c r="V280">
        <v>0.87796610169491518</v>
      </c>
      <c r="W280" t="s">
        <v>2058</v>
      </c>
      <c r="X280" t="s">
        <v>2041</v>
      </c>
      <c r="Y280" t="s">
        <v>19</v>
      </c>
      <c r="Z280" t="str">
        <f t="shared" si="9"/>
        <v>Y</v>
      </c>
      <c r="AA280" t="s">
        <v>2439</v>
      </c>
      <c r="AB280" t="s">
        <v>2440</v>
      </c>
      <c r="AC280" t="s">
        <v>2441</v>
      </c>
      <c r="AD280" t="s">
        <v>595</v>
      </c>
      <c r="AE280" t="s">
        <v>2045</v>
      </c>
      <c r="AF280" t="s">
        <v>2041</v>
      </c>
      <c r="AG280" t="s">
        <v>595</v>
      </c>
    </row>
    <row r="281" spans="2:33">
      <c r="B281" t="s">
        <v>19</v>
      </c>
      <c r="C281" t="s">
        <v>2437</v>
      </c>
      <c r="E281">
        <v>2019</v>
      </c>
      <c r="F281" t="s">
        <v>2059</v>
      </c>
      <c r="G281" t="s">
        <v>2035</v>
      </c>
      <c r="H281" s="6">
        <v>55</v>
      </c>
      <c r="I281" s="6">
        <v>5</v>
      </c>
      <c r="J281" s="6">
        <v>1958</v>
      </c>
      <c r="K281" s="6">
        <v>2016</v>
      </c>
      <c r="L281" s="6">
        <f t="shared" si="8"/>
        <v>59</v>
      </c>
      <c r="M281" t="s">
        <v>2036</v>
      </c>
      <c r="N281" t="s">
        <v>51</v>
      </c>
      <c r="O281" t="s">
        <v>2451</v>
      </c>
      <c r="Q281" t="s">
        <v>2460</v>
      </c>
      <c r="R281" t="s">
        <v>2112</v>
      </c>
      <c r="S281" t="s">
        <v>2039</v>
      </c>
      <c r="T281">
        <v>81.455833333333331</v>
      </c>
      <c r="U281" t="s">
        <v>2053</v>
      </c>
      <c r="V281">
        <v>-4.0167796610169493</v>
      </c>
      <c r="W281" t="s">
        <v>2041</v>
      </c>
      <c r="X281" t="s">
        <v>2041</v>
      </c>
      <c r="Y281" t="s">
        <v>19</v>
      </c>
      <c r="Z281" t="str">
        <f t="shared" si="9"/>
        <v>Y</v>
      </c>
      <c r="AA281" t="s">
        <v>2439</v>
      </c>
      <c r="AB281" t="s">
        <v>2440</v>
      </c>
      <c r="AC281" t="s">
        <v>2441</v>
      </c>
      <c r="AD281" t="s">
        <v>595</v>
      </c>
      <c r="AE281" t="s">
        <v>2045</v>
      </c>
      <c r="AF281" t="s">
        <v>2041</v>
      </c>
      <c r="AG281" t="s">
        <v>595</v>
      </c>
    </row>
    <row r="282" spans="2:33">
      <c r="B282" t="s">
        <v>19</v>
      </c>
      <c r="C282" t="s">
        <v>2437</v>
      </c>
      <c r="E282">
        <v>2019</v>
      </c>
      <c r="F282" t="s">
        <v>2059</v>
      </c>
      <c r="G282" t="s">
        <v>2035</v>
      </c>
      <c r="H282" s="6">
        <v>55</v>
      </c>
      <c r="I282" s="6">
        <v>5</v>
      </c>
      <c r="J282" s="6">
        <v>1958</v>
      </c>
      <c r="K282" s="6">
        <v>2016</v>
      </c>
      <c r="L282" s="6">
        <f t="shared" si="8"/>
        <v>59</v>
      </c>
      <c r="M282" t="s">
        <v>2036</v>
      </c>
      <c r="N282" t="s">
        <v>51</v>
      </c>
      <c r="O282" t="s">
        <v>2451</v>
      </c>
      <c r="Q282" t="s">
        <v>2461</v>
      </c>
      <c r="R282" t="s">
        <v>2112</v>
      </c>
      <c r="S282" t="s">
        <v>2039</v>
      </c>
      <c r="T282">
        <v>81.455833333333331</v>
      </c>
      <c r="U282" t="s">
        <v>2053</v>
      </c>
      <c r="V282">
        <v>-3.4883050847457624</v>
      </c>
      <c r="W282" t="s">
        <v>2041</v>
      </c>
      <c r="X282" t="s">
        <v>2041</v>
      </c>
      <c r="Y282" t="s">
        <v>19</v>
      </c>
      <c r="Z282" t="str">
        <f t="shared" si="9"/>
        <v>Y</v>
      </c>
      <c r="AA282" t="s">
        <v>2439</v>
      </c>
      <c r="AB282" t="s">
        <v>2440</v>
      </c>
      <c r="AC282" t="s">
        <v>2441</v>
      </c>
      <c r="AD282" t="s">
        <v>595</v>
      </c>
      <c r="AE282" t="s">
        <v>2045</v>
      </c>
      <c r="AF282" t="s">
        <v>2041</v>
      </c>
      <c r="AG282" t="s">
        <v>595</v>
      </c>
    </row>
    <row r="283" spans="2:33">
      <c r="B283" t="s">
        <v>19</v>
      </c>
      <c r="C283" t="s">
        <v>2437</v>
      </c>
      <c r="E283">
        <v>2019</v>
      </c>
      <c r="F283" t="s">
        <v>2059</v>
      </c>
      <c r="G283" t="s">
        <v>2035</v>
      </c>
      <c r="H283" s="6">
        <v>55</v>
      </c>
      <c r="I283" s="6">
        <v>5</v>
      </c>
      <c r="J283" s="6">
        <v>1958</v>
      </c>
      <c r="K283" s="6">
        <v>2016</v>
      </c>
      <c r="L283" s="6">
        <f t="shared" si="8"/>
        <v>59</v>
      </c>
      <c r="M283" t="s">
        <v>2036</v>
      </c>
      <c r="N283" t="s">
        <v>51</v>
      </c>
      <c r="O283" t="s">
        <v>2451</v>
      </c>
      <c r="Q283" t="s">
        <v>2462</v>
      </c>
      <c r="R283" t="s">
        <v>2112</v>
      </c>
      <c r="S283" t="s">
        <v>2039</v>
      </c>
      <c r="T283">
        <v>256.10833333333335</v>
      </c>
      <c r="U283" t="s">
        <v>2040</v>
      </c>
      <c r="V283">
        <v>-1.0262711864406779</v>
      </c>
      <c r="W283" t="s">
        <v>2041</v>
      </c>
      <c r="X283" t="s">
        <v>2041</v>
      </c>
      <c r="Y283" t="s">
        <v>19</v>
      </c>
      <c r="Z283" t="str">
        <f t="shared" si="9"/>
        <v>Y</v>
      </c>
      <c r="AA283" t="s">
        <v>2439</v>
      </c>
      <c r="AB283" t="s">
        <v>2440</v>
      </c>
      <c r="AC283" t="s">
        <v>2441</v>
      </c>
      <c r="AD283" t="s">
        <v>595</v>
      </c>
      <c r="AE283" t="s">
        <v>2045</v>
      </c>
      <c r="AF283" t="s">
        <v>2041</v>
      </c>
      <c r="AG283" t="s">
        <v>595</v>
      </c>
    </row>
    <row r="284" spans="2:33">
      <c r="B284" t="s">
        <v>19</v>
      </c>
      <c r="C284" t="s">
        <v>2437</v>
      </c>
      <c r="E284">
        <v>2019</v>
      </c>
      <c r="F284" t="s">
        <v>2059</v>
      </c>
      <c r="G284" t="s">
        <v>2035</v>
      </c>
      <c r="H284" s="6">
        <v>55</v>
      </c>
      <c r="I284" s="6">
        <v>5</v>
      </c>
      <c r="J284" s="6">
        <v>1958</v>
      </c>
      <c r="K284" s="6">
        <v>2016</v>
      </c>
      <c r="L284" s="6">
        <f t="shared" si="8"/>
        <v>59</v>
      </c>
      <c r="M284" t="s">
        <v>2036</v>
      </c>
      <c r="N284" t="s">
        <v>51</v>
      </c>
      <c r="O284" t="s">
        <v>2451</v>
      </c>
      <c r="Q284" t="s">
        <v>2463</v>
      </c>
      <c r="R284" t="s">
        <v>2112</v>
      </c>
      <c r="S284" t="s">
        <v>2039</v>
      </c>
      <c r="T284">
        <v>192.96333333333334</v>
      </c>
      <c r="U284" t="s">
        <v>2101</v>
      </c>
      <c r="V284">
        <v>-1.6677966101694917</v>
      </c>
      <c r="W284" t="s">
        <v>2041</v>
      </c>
      <c r="X284" t="s">
        <v>2041</v>
      </c>
      <c r="Y284" t="s">
        <v>19</v>
      </c>
      <c r="Z284" t="str">
        <f t="shared" si="9"/>
        <v>Y</v>
      </c>
      <c r="AA284" t="s">
        <v>2439</v>
      </c>
      <c r="AB284" t="s">
        <v>2440</v>
      </c>
      <c r="AC284" t="s">
        <v>2441</v>
      </c>
      <c r="AD284" t="s">
        <v>595</v>
      </c>
      <c r="AE284" t="s">
        <v>2045</v>
      </c>
      <c r="AF284" t="s">
        <v>2041</v>
      </c>
      <c r="AG284" t="s">
        <v>595</v>
      </c>
    </row>
    <row r="285" spans="2:33">
      <c r="B285" t="s">
        <v>19</v>
      </c>
      <c r="C285" t="s">
        <v>2437</v>
      </c>
      <c r="E285">
        <v>2019</v>
      </c>
      <c r="F285" t="s">
        <v>2059</v>
      </c>
      <c r="G285" t="s">
        <v>2035</v>
      </c>
      <c r="H285" s="6">
        <v>55</v>
      </c>
      <c r="I285" s="6">
        <v>5</v>
      </c>
      <c r="J285" s="6">
        <v>1958</v>
      </c>
      <c r="K285" s="6">
        <v>2016</v>
      </c>
      <c r="L285" s="6">
        <f t="shared" si="8"/>
        <v>59</v>
      </c>
      <c r="M285" t="s">
        <v>2036</v>
      </c>
      <c r="N285" t="s">
        <v>51</v>
      </c>
      <c r="O285" t="s">
        <v>2451</v>
      </c>
      <c r="Q285" t="s">
        <v>2464</v>
      </c>
      <c r="R285" t="s">
        <v>2112</v>
      </c>
      <c r="S285" t="s">
        <v>2039</v>
      </c>
      <c r="T285">
        <v>222.55875</v>
      </c>
      <c r="U285" t="s">
        <v>2101</v>
      </c>
      <c r="V285">
        <v>-6.0222033898305085</v>
      </c>
      <c r="W285" t="s">
        <v>2041</v>
      </c>
      <c r="X285" t="s">
        <v>2041</v>
      </c>
      <c r="Y285" t="s">
        <v>19</v>
      </c>
      <c r="Z285" t="str">
        <f t="shared" si="9"/>
        <v>Y</v>
      </c>
      <c r="AA285" t="s">
        <v>2439</v>
      </c>
      <c r="AB285" t="s">
        <v>2440</v>
      </c>
      <c r="AC285" t="s">
        <v>2441</v>
      </c>
      <c r="AD285" t="s">
        <v>595</v>
      </c>
      <c r="AE285" t="s">
        <v>2045</v>
      </c>
      <c r="AF285" t="s">
        <v>2041</v>
      </c>
      <c r="AG285" t="s">
        <v>595</v>
      </c>
    </row>
    <row r="286" spans="2:33">
      <c r="B286" t="s">
        <v>19</v>
      </c>
      <c r="C286" t="s">
        <v>2437</v>
      </c>
      <c r="E286">
        <v>2019</v>
      </c>
      <c r="F286" t="s">
        <v>2059</v>
      </c>
      <c r="G286" t="s">
        <v>2035</v>
      </c>
      <c r="H286" s="6">
        <v>55</v>
      </c>
      <c r="I286" s="6">
        <v>5</v>
      </c>
      <c r="J286" s="6">
        <v>1958</v>
      </c>
      <c r="K286" s="6">
        <v>2016</v>
      </c>
      <c r="L286" s="6">
        <f t="shared" si="8"/>
        <v>59</v>
      </c>
      <c r="M286" t="s">
        <v>2036</v>
      </c>
      <c r="N286" t="s">
        <v>51</v>
      </c>
      <c r="O286" t="s">
        <v>2451</v>
      </c>
      <c r="Q286" t="s">
        <v>2465</v>
      </c>
      <c r="R286" t="s">
        <v>2112</v>
      </c>
      <c r="S286" t="s">
        <v>2039</v>
      </c>
      <c r="T286">
        <v>238.52750000000003</v>
      </c>
      <c r="U286" t="s">
        <v>2040</v>
      </c>
      <c r="V286">
        <v>8.1694915254237277E-2</v>
      </c>
      <c r="W286" t="s">
        <v>2058</v>
      </c>
      <c r="X286" t="s">
        <v>2041</v>
      </c>
      <c r="Y286" t="s">
        <v>19</v>
      </c>
      <c r="Z286" t="str">
        <f t="shared" si="9"/>
        <v>Y</v>
      </c>
      <c r="AA286" t="s">
        <v>2439</v>
      </c>
      <c r="AB286" t="s">
        <v>2440</v>
      </c>
      <c r="AC286" t="s">
        <v>2441</v>
      </c>
      <c r="AD286" t="s">
        <v>595</v>
      </c>
      <c r="AE286" t="s">
        <v>2045</v>
      </c>
      <c r="AF286" t="s">
        <v>2041</v>
      </c>
      <c r="AG286" t="s">
        <v>595</v>
      </c>
    </row>
    <row r="287" spans="2:33">
      <c r="B287" t="s">
        <v>19</v>
      </c>
      <c r="C287" t="s">
        <v>2437</v>
      </c>
      <c r="E287">
        <v>2019</v>
      </c>
      <c r="F287" t="s">
        <v>2059</v>
      </c>
      <c r="G287" t="s">
        <v>2035</v>
      </c>
      <c r="H287" s="6">
        <v>55</v>
      </c>
      <c r="I287" s="6">
        <v>5</v>
      </c>
      <c r="J287" s="6">
        <v>1958</v>
      </c>
      <c r="K287" s="6">
        <v>2016</v>
      </c>
      <c r="L287" s="6">
        <f t="shared" si="8"/>
        <v>59</v>
      </c>
      <c r="M287" t="s">
        <v>2036</v>
      </c>
      <c r="N287" t="s">
        <v>51</v>
      </c>
      <c r="O287" t="s">
        <v>2451</v>
      </c>
      <c r="Q287" t="s">
        <v>2465</v>
      </c>
      <c r="R287" t="s">
        <v>2112</v>
      </c>
      <c r="S287" t="s">
        <v>2039</v>
      </c>
      <c r="T287">
        <v>92.557916666666671</v>
      </c>
      <c r="U287" t="s">
        <v>2053</v>
      </c>
      <c r="V287">
        <v>3.2737288135593223</v>
      </c>
      <c r="W287" t="s">
        <v>2058</v>
      </c>
      <c r="X287" t="s">
        <v>2041</v>
      </c>
      <c r="Y287" t="s">
        <v>19</v>
      </c>
      <c r="Z287" t="str">
        <f t="shared" si="9"/>
        <v>Y</v>
      </c>
      <c r="AA287" t="s">
        <v>2439</v>
      </c>
      <c r="AB287" t="s">
        <v>2440</v>
      </c>
      <c r="AC287" t="s">
        <v>2441</v>
      </c>
      <c r="AD287" t="s">
        <v>595</v>
      </c>
      <c r="AE287" t="s">
        <v>2045</v>
      </c>
      <c r="AF287" t="s">
        <v>2041</v>
      </c>
      <c r="AG287" t="s">
        <v>595</v>
      </c>
    </row>
    <row r="288" spans="2:33">
      <c r="B288" t="s">
        <v>19</v>
      </c>
      <c r="C288" t="s">
        <v>2437</v>
      </c>
      <c r="E288">
        <v>2019</v>
      </c>
      <c r="F288" t="s">
        <v>2059</v>
      </c>
      <c r="G288" t="s">
        <v>2035</v>
      </c>
      <c r="H288" s="6">
        <v>55</v>
      </c>
      <c r="I288" s="6">
        <v>5</v>
      </c>
      <c r="J288" s="6">
        <v>1958</v>
      </c>
      <c r="K288" s="6">
        <v>2016</v>
      </c>
      <c r="L288" s="6">
        <f t="shared" si="8"/>
        <v>59</v>
      </c>
      <c r="M288" t="s">
        <v>2036</v>
      </c>
      <c r="N288" t="s">
        <v>51</v>
      </c>
      <c r="O288" t="s">
        <v>2451</v>
      </c>
      <c r="Q288" t="s">
        <v>2466</v>
      </c>
      <c r="R288" t="s">
        <v>2112</v>
      </c>
      <c r="S288" t="s">
        <v>2039</v>
      </c>
      <c r="T288">
        <v>263.28666666666669</v>
      </c>
      <c r="U288" t="s">
        <v>2040</v>
      </c>
      <c r="V288">
        <v>-6.5671186440677962</v>
      </c>
      <c r="W288" t="s">
        <v>2041</v>
      </c>
      <c r="X288" t="s">
        <v>2041</v>
      </c>
      <c r="Y288" t="s">
        <v>19</v>
      </c>
      <c r="Z288" t="str">
        <f t="shared" si="9"/>
        <v>Y</v>
      </c>
      <c r="AA288" t="s">
        <v>2439</v>
      </c>
      <c r="AB288" t="s">
        <v>2440</v>
      </c>
      <c r="AC288" t="s">
        <v>2441</v>
      </c>
      <c r="AD288" t="s">
        <v>595</v>
      </c>
      <c r="AE288" t="s">
        <v>2045</v>
      </c>
      <c r="AF288" t="s">
        <v>2041</v>
      </c>
      <c r="AG288" t="s">
        <v>595</v>
      </c>
    </row>
    <row r="289" spans="1:33">
      <c r="B289" t="s">
        <v>19</v>
      </c>
      <c r="C289" t="s">
        <v>2437</v>
      </c>
      <c r="E289">
        <v>2019</v>
      </c>
      <c r="F289" t="s">
        <v>2059</v>
      </c>
      <c r="G289" t="s">
        <v>2035</v>
      </c>
      <c r="H289" s="6">
        <v>55</v>
      </c>
      <c r="I289" s="6">
        <v>5</v>
      </c>
      <c r="J289" s="6">
        <v>1958</v>
      </c>
      <c r="K289" s="6">
        <v>2016</v>
      </c>
      <c r="L289" s="6">
        <f t="shared" si="8"/>
        <v>59</v>
      </c>
      <c r="M289" t="s">
        <v>2036</v>
      </c>
      <c r="N289" t="s">
        <v>51</v>
      </c>
      <c r="O289" t="s">
        <v>2451</v>
      </c>
      <c r="Q289" t="s">
        <v>2466</v>
      </c>
      <c r="R289" t="s">
        <v>2112</v>
      </c>
      <c r="S289" t="s">
        <v>2039</v>
      </c>
      <c r="T289">
        <v>95.99499999999999</v>
      </c>
      <c r="U289" t="s">
        <v>2053</v>
      </c>
      <c r="V289">
        <v>-0.13779661016949152</v>
      </c>
      <c r="W289" t="s">
        <v>2041</v>
      </c>
      <c r="X289" t="s">
        <v>2041</v>
      </c>
      <c r="Y289" t="s">
        <v>19</v>
      </c>
      <c r="Z289" t="str">
        <f t="shared" si="9"/>
        <v>Y</v>
      </c>
      <c r="AA289" t="s">
        <v>2439</v>
      </c>
      <c r="AB289" t="s">
        <v>2440</v>
      </c>
      <c r="AC289" t="s">
        <v>2441</v>
      </c>
      <c r="AD289" t="s">
        <v>595</v>
      </c>
      <c r="AE289" t="s">
        <v>2045</v>
      </c>
      <c r="AF289" t="s">
        <v>2041</v>
      </c>
      <c r="AG289" t="s">
        <v>595</v>
      </c>
    </row>
    <row r="290" spans="1:33">
      <c r="B290" t="s">
        <v>19</v>
      </c>
      <c r="C290" t="s">
        <v>2437</v>
      </c>
      <c r="E290">
        <v>2019</v>
      </c>
      <c r="F290" t="s">
        <v>2059</v>
      </c>
      <c r="G290" t="s">
        <v>2035</v>
      </c>
      <c r="H290" s="6">
        <v>55</v>
      </c>
      <c r="I290" s="6">
        <v>5</v>
      </c>
      <c r="J290" s="6">
        <v>1958</v>
      </c>
      <c r="K290" s="6">
        <v>2016</v>
      </c>
      <c r="L290" s="6">
        <f t="shared" si="8"/>
        <v>59</v>
      </c>
      <c r="M290" t="s">
        <v>2036</v>
      </c>
      <c r="N290" t="s">
        <v>51</v>
      </c>
      <c r="O290" t="s">
        <v>2451</v>
      </c>
      <c r="Q290" t="s">
        <v>2467</v>
      </c>
      <c r="R290" t="s">
        <v>2112</v>
      </c>
      <c r="S290" t="s">
        <v>2039</v>
      </c>
      <c r="T290">
        <v>256.26041666666669</v>
      </c>
      <c r="U290" t="s">
        <v>2040</v>
      </c>
      <c r="V290">
        <v>-1.2306779661016949</v>
      </c>
      <c r="W290" t="s">
        <v>2041</v>
      </c>
      <c r="X290" t="s">
        <v>2041</v>
      </c>
      <c r="Y290" t="s">
        <v>19</v>
      </c>
      <c r="Z290" t="str">
        <f t="shared" si="9"/>
        <v>Y</v>
      </c>
      <c r="AA290" t="s">
        <v>2439</v>
      </c>
      <c r="AB290" t="s">
        <v>2440</v>
      </c>
      <c r="AC290" t="s">
        <v>2441</v>
      </c>
      <c r="AD290" t="s">
        <v>595</v>
      </c>
      <c r="AE290" t="s">
        <v>2045</v>
      </c>
      <c r="AF290" t="s">
        <v>2041</v>
      </c>
      <c r="AG290" t="s">
        <v>595</v>
      </c>
    </row>
    <row r="291" spans="1:33">
      <c r="B291" t="s">
        <v>19</v>
      </c>
      <c r="C291" t="s">
        <v>2437</v>
      </c>
      <c r="E291">
        <v>2019</v>
      </c>
      <c r="F291" t="s">
        <v>2059</v>
      </c>
      <c r="G291" t="s">
        <v>2035</v>
      </c>
      <c r="H291" s="6">
        <v>55</v>
      </c>
      <c r="I291" s="6">
        <v>5</v>
      </c>
      <c r="J291" s="6">
        <v>1958</v>
      </c>
      <c r="K291" s="6">
        <v>2016</v>
      </c>
      <c r="L291" s="6">
        <f t="shared" si="8"/>
        <v>59</v>
      </c>
      <c r="M291" t="s">
        <v>2036</v>
      </c>
      <c r="N291" t="s">
        <v>51</v>
      </c>
      <c r="O291" t="s">
        <v>2451</v>
      </c>
      <c r="Q291" t="s">
        <v>2467</v>
      </c>
      <c r="R291" t="s">
        <v>2112</v>
      </c>
      <c r="S291" t="s">
        <v>2039</v>
      </c>
      <c r="T291">
        <v>97.242083333333341</v>
      </c>
      <c r="U291" t="s">
        <v>2053</v>
      </c>
      <c r="V291">
        <v>-1.6891525423728813</v>
      </c>
      <c r="W291" t="s">
        <v>2041</v>
      </c>
      <c r="X291" t="s">
        <v>2041</v>
      </c>
      <c r="Y291" t="s">
        <v>19</v>
      </c>
      <c r="Z291" t="str">
        <f t="shared" si="9"/>
        <v>Y</v>
      </c>
      <c r="AA291" t="s">
        <v>2439</v>
      </c>
      <c r="AB291" t="s">
        <v>2440</v>
      </c>
      <c r="AC291" t="s">
        <v>2441</v>
      </c>
      <c r="AD291" t="s">
        <v>595</v>
      </c>
      <c r="AE291" t="s">
        <v>2045</v>
      </c>
      <c r="AF291" t="s">
        <v>2041</v>
      </c>
      <c r="AG291" t="s">
        <v>595</v>
      </c>
    </row>
    <row r="292" spans="1:33">
      <c r="B292" t="s">
        <v>19</v>
      </c>
      <c r="C292" t="s">
        <v>2437</v>
      </c>
      <c r="E292">
        <v>2019</v>
      </c>
      <c r="F292" t="s">
        <v>2059</v>
      </c>
      <c r="G292" t="s">
        <v>2035</v>
      </c>
      <c r="H292" s="6">
        <v>55</v>
      </c>
      <c r="I292" s="6">
        <v>5</v>
      </c>
      <c r="J292" s="6">
        <v>1958</v>
      </c>
      <c r="K292" s="6">
        <v>2016</v>
      </c>
      <c r="L292" s="6">
        <f t="shared" si="8"/>
        <v>59</v>
      </c>
      <c r="M292" t="s">
        <v>2036</v>
      </c>
      <c r="N292" t="s">
        <v>51</v>
      </c>
      <c r="O292" t="s">
        <v>2451</v>
      </c>
      <c r="Q292" t="s">
        <v>2468</v>
      </c>
      <c r="R292" t="s">
        <v>2112</v>
      </c>
      <c r="S292" t="s">
        <v>2039</v>
      </c>
      <c r="T292">
        <v>147.52083333333331</v>
      </c>
      <c r="U292" t="s">
        <v>2053</v>
      </c>
      <c r="V292">
        <v>0.69830508474576269</v>
      </c>
      <c r="W292" t="s">
        <v>2041</v>
      </c>
      <c r="X292" t="s">
        <v>2041</v>
      </c>
      <c r="Y292" t="s">
        <v>19</v>
      </c>
      <c r="Z292" t="str">
        <f t="shared" si="9"/>
        <v>Y</v>
      </c>
      <c r="AA292" t="s">
        <v>2439</v>
      </c>
      <c r="AB292" t="s">
        <v>2440</v>
      </c>
      <c r="AC292" t="s">
        <v>2441</v>
      </c>
      <c r="AD292" t="s">
        <v>595</v>
      </c>
      <c r="AE292" t="s">
        <v>2045</v>
      </c>
      <c r="AF292" t="s">
        <v>2041</v>
      </c>
      <c r="AG292" t="s">
        <v>595</v>
      </c>
    </row>
    <row r="293" spans="1:33">
      <c r="B293" t="s">
        <v>19</v>
      </c>
      <c r="C293" t="s">
        <v>2437</v>
      </c>
      <c r="E293">
        <v>2019</v>
      </c>
      <c r="F293" t="s">
        <v>2059</v>
      </c>
      <c r="G293" t="s">
        <v>2035</v>
      </c>
      <c r="H293" s="6">
        <v>55</v>
      </c>
      <c r="I293" s="6">
        <v>5</v>
      </c>
      <c r="J293" s="6">
        <v>1958</v>
      </c>
      <c r="K293" s="6">
        <v>2016</v>
      </c>
      <c r="L293" s="6">
        <f t="shared" si="8"/>
        <v>59</v>
      </c>
      <c r="M293" t="s">
        <v>2036</v>
      </c>
      <c r="N293" t="s">
        <v>51</v>
      </c>
      <c r="O293" t="s">
        <v>2451</v>
      </c>
      <c r="Q293" t="s">
        <v>2469</v>
      </c>
      <c r="R293" t="s">
        <v>2112</v>
      </c>
      <c r="S293" t="s">
        <v>2039</v>
      </c>
      <c r="T293">
        <v>209.93583333333333</v>
      </c>
      <c r="U293" t="s">
        <v>2101</v>
      </c>
      <c r="V293">
        <v>-6.4854237288135597</v>
      </c>
      <c r="W293" t="s">
        <v>2041</v>
      </c>
      <c r="X293" t="s">
        <v>2041</v>
      </c>
      <c r="Y293" t="s">
        <v>19</v>
      </c>
      <c r="Z293" t="str">
        <f t="shared" si="9"/>
        <v>Y</v>
      </c>
      <c r="AA293" t="s">
        <v>2439</v>
      </c>
      <c r="AB293" t="s">
        <v>2440</v>
      </c>
      <c r="AC293" t="s">
        <v>2441</v>
      </c>
      <c r="AD293" t="s">
        <v>595</v>
      </c>
      <c r="AE293" t="s">
        <v>2045</v>
      </c>
      <c r="AF293" t="s">
        <v>2041</v>
      </c>
      <c r="AG293" t="s">
        <v>595</v>
      </c>
    </row>
    <row r="294" spans="1:33">
      <c r="B294" t="s">
        <v>19</v>
      </c>
      <c r="C294" t="s">
        <v>2437</v>
      </c>
      <c r="E294">
        <v>2019</v>
      </c>
      <c r="F294" t="s">
        <v>2059</v>
      </c>
      <c r="G294" t="s">
        <v>2035</v>
      </c>
      <c r="H294" s="6">
        <v>55</v>
      </c>
      <c r="I294" s="6">
        <v>5</v>
      </c>
      <c r="J294" s="6">
        <v>1958</v>
      </c>
      <c r="K294" s="6">
        <v>2016</v>
      </c>
      <c r="L294" s="6">
        <f t="shared" si="8"/>
        <v>59</v>
      </c>
      <c r="M294" t="s">
        <v>2036</v>
      </c>
      <c r="N294" t="s">
        <v>51</v>
      </c>
      <c r="O294" t="s">
        <v>2451</v>
      </c>
      <c r="Q294" t="s">
        <v>2470</v>
      </c>
      <c r="R294" t="s">
        <v>2112</v>
      </c>
      <c r="S294" t="s">
        <v>2039</v>
      </c>
      <c r="T294">
        <v>275.11875000000003</v>
      </c>
      <c r="U294" t="s">
        <v>2040</v>
      </c>
      <c r="V294">
        <v>-1.6228813559322033</v>
      </c>
      <c r="W294" t="s">
        <v>2041</v>
      </c>
      <c r="X294" t="s">
        <v>2041</v>
      </c>
      <c r="Y294" t="s">
        <v>19</v>
      </c>
      <c r="Z294" t="str">
        <f t="shared" si="9"/>
        <v>Y</v>
      </c>
      <c r="AA294" t="s">
        <v>2439</v>
      </c>
      <c r="AB294" t="s">
        <v>2440</v>
      </c>
      <c r="AC294" t="s">
        <v>2441</v>
      </c>
      <c r="AD294" t="s">
        <v>595</v>
      </c>
      <c r="AE294" t="s">
        <v>2045</v>
      </c>
      <c r="AF294" t="s">
        <v>2041</v>
      </c>
      <c r="AG294" t="s">
        <v>595</v>
      </c>
    </row>
    <row r="295" spans="1:33">
      <c r="B295" t="s">
        <v>19</v>
      </c>
      <c r="C295" t="s">
        <v>2437</v>
      </c>
      <c r="E295">
        <v>2019</v>
      </c>
      <c r="F295" t="s">
        <v>2059</v>
      </c>
      <c r="G295" t="s">
        <v>2035</v>
      </c>
      <c r="H295" s="6">
        <v>55</v>
      </c>
      <c r="I295" s="6">
        <v>5</v>
      </c>
      <c r="J295" s="6">
        <v>1958</v>
      </c>
      <c r="K295" s="6">
        <v>2016</v>
      </c>
      <c r="L295" s="6">
        <f t="shared" si="8"/>
        <v>59</v>
      </c>
      <c r="M295" t="s">
        <v>2036</v>
      </c>
      <c r="N295" t="s">
        <v>51</v>
      </c>
      <c r="O295" t="s">
        <v>2451</v>
      </c>
      <c r="Q295" t="s">
        <v>2470</v>
      </c>
      <c r="R295" t="s">
        <v>2112</v>
      </c>
      <c r="S295" t="s">
        <v>2039</v>
      </c>
      <c r="T295">
        <v>97.637500000000003</v>
      </c>
      <c r="U295" t="s">
        <v>2053</v>
      </c>
      <c r="V295">
        <v>-2.9877966101694913</v>
      </c>
      <c r="W295" t="s">
        <v>2041</v>
      </c>
      <c r="X295" t="s">
        <v>2041</v>
      </c>
      <c r="Y295" t="s">
        <v>19</v>
      </c>
      <c r="Z295" t="str">
        <f t="shared" si="9"/>
        <v>Y</v>
      </c>
      <c r="AA295" t="s">
        <v>2439</v>
      </c>
      <c r="AB295" t="s">
        <v>2440</v>
      </c>
      <c r="AC295" t="s">
        <v>2441</v>
      </c>
      <c r="AD295" t="s">
        <v>595</v>
      </c>
      <c r="AE295" t="s">
        <v>2045</v>
      </c>
      <c r="AF295" t="s">
        <v>2041</v>
      </c>
      <c r="AG295" t="s">
        <v>595</v>
      </c>
    </row>
    <row r="296" spans="1:33">
      <c r="B296" t="s">
        <v>19</v>
      </c>
      <c r="C296" t="s">
        <v>2437</v>
      </c>
      <c r="E296">
        <v>2019</v>
      </c>
      <c r="F296" t="s">
        <v>2059</v>
      </c>
      <c r="G296" t="s">
        <v>2035</v>
      </c>
      <c r="H296" s="6">
        <v>55</v>
      </c>
      <c r="I296" s="6">
        <v>5</v>
      </c>
      <c r="J296" s="6">
        <v>1958</v>
      </c>
      <c r="K296" s="6">
        <v>2016</v>
      </c>
      <c r="L296" s="6">
        <f t="shared" si="8"/>
        <v>59</v>
      </c>
      <c r="M296" t="s">
        <v>2036</v>
      </c>
      <c r="N296" t="s">
        <v>51</v>
      </c>
      <c r="O296" t="s">
        <v>2451</v>
      </c>
      <c r="Q296" t="s">
        <v>2471</v>
      </c>
      <c r="R296" t="s">
        <v>2112</v>
      </c>
      <c r="S296" t="s">
        <v>2039</v>
      </c>
      <c r="T296">
        <v>113.14999999999999</v>
      </c>
      <c r="U296" t="s">
        <v>2053</v>
      </c>
      <c r="V296">
        <v>-5.0652542372881362</v>
      </c>
      <c r="W296" t="s">
        <v>2041</v>
      </c>
      <c r="X296" t="s">
        <v>2041</v>
      </c>
      <c r="Y296" t="s">
        <v>19</v>
      </c>
      <c r="Z296" t="str">
        <f t="shared" si="9"/>
        <v>Y</v>
      </c>
      <c r="AA296" t="s">
        <v>2439</v>
      </c>
      <c r="AB296" t="s">
        <v>2440</v>
      </c>
      <c r="AC296" t="s">
        <v>2441</v>
      </c>
      <c r="AD296" t="s">
        <v>595</v>
      </c>
      <c r="AE296" t="s">
        <v>2045</v>
      </c>
      <c r="AF296" t="s">
        <v>2041</v>
      </c>
      <c r="AG296" t="s">
        <v>595</v>
      </c>
    </row>
    <row r="297" spans="1:33">
      <c r="B297" t="s">
        <v>19</v>
      </c>
      <c r="C297" t="s">
        <v>2437</v>
      </c>
      <c r="E297">
        <v>2019</v>
      </c>
      <c r="F297" t="s">
        <v>2059</v>
      </c>
      <c r="G297" t="s">
        <v>2035</v>
      </c>
      <c r="H297" s="6">
        <v>55</v>
      </c>
      <c r="I297" s="6">
        <v>5</v>
      </c>
      <c r="J297" s="6">
        <v>1958</v>
      </c>
      <c r="K297" s="6">
        <v>2016</v>
      </c>
      <c r="L297" s="6">
        <f t="shared" si="8"/>
        <v>59</v>
      </c>
      <c r="M297" t="s">
        <v>2036</v>
      </c>
      <c r="N297" t="s">
        <v>51</v>
      </c>
      <c r="O297" t="s">
        <v>2451</v>
      </c>
      <c r="Q297" t="s">
        <v>2472</v>
      </c>
      <c r="R297" t="s">
        <v>2112</v>
      </c>
      <c r="S297" t="s">
        <v>2039</v>
      </c>
      <c r="T297">
        <v>285.27791666666667</v>
      </c>
      <c r="U297" t="s">
        <v>2040</v>
      </c>
      <c r="V297">
        <v>-0.6688135593220339</v>
      </c>
      <c r="W297" t="s">
        <v>2041</v>
      </c>
      <c r="X297" t="s">
        <v>2041</v>
      </c>
      <c r="Y297" t="s">
        <v>19</v>
      </c>
      <c r="Z297" t="str">
        <f t="shared" si="9"/>
        <v>Y</v>
      </c>
      <c r="AA297" t="s">
        <v>2439</v>
      </c>
      <c r="AB297" t="s">
        <v>2440</v>
      </c>
      <c r="AC297" t="s">
        <v>2441</v>
      </c>
      <c r="AD297" t="s">
        <v>595</v>
      </c>
      <c r="AE297" t="s">
        <v>2045</v>
      </c>
      <c r="AF297" t="s">
        <v>2041</v>
      </c>
      <c r="AG297" t="s">
        <v>595</v>
      </c>
    </row>
    <row r="298" spans="1:33">
      <c r="B298" t="s">
        <v>19</v>
      </c>
      <c r="C298" t="s">
        <v>2437</v>
      </c>
      <c r="E298">
        <v>2019</v>
      </c>
      <c r="F298" t="s">
        <v>2059</v>
      </c>
      <c r="G298" t="s">
        <v>2035</v>
      </c>
      <c r="H298" s="6">
        <v>55</v>
      </c>
      <c r="I298" s="6">
        <v>5</v>
      </c>
      <c r="J298" s="6">
        <v>1958</v>
      </c>
      <c r="K298" s="6">
        <v>2016</v>
      </c>
      <c r="L298" s="6">
        <f t="shared" si="8"/>
        <v>59</v>
      </c>
      <c r="M298" t="s">
        <v>2036</v>
      </c>
      <c r="N298" t="s">
        <v>51</v>
      </c>
      <c r="O298" t="s">
        <v>2451</v>
      </c>
      <c r="Q298" t="s">
        <v>2472</v>
      </c>
      <c r="R298" t="s">
        <v>2112</v>
      </c>
      <c r="S298" t="s">
        <v>2039</v>
      </c>
      <c r="T298">
        <v>70.749166666666667</v>
      </c>
      <c r="U298" t="s">
        <v>2053</v>
      </c>
      <c r="V298">
        <v>-1.4901694915254238</v>
      </c>
      <c r="W298" t="s">
        <v>2041</v>
      </c>
      <c r="X298" t="s">
        <v>2041</v>
      </c>
      <c r="Y298" t="s">
        <v>19</v>
      </c>
      <c r="Z298" t="str">
        <f t="shared" si="9"/>
        <v>Y</v>
      </c>
      <c r="AA298" t="s">
        <v>2439</v>
      </c>
      <c r="AB298" t="s">
        <v>2440</v>
      </c>
      <c r="AC298" t="s">
        <v>2441</v>
      </c>
      <c r="AD298" t="s">
        <v>595</v>
      </c>
      <c r="AE298" t="s">
        <v>2045</v>
      </c>
      <c r="AF298" t="s">
        <v>2041</v>
      </c>
      <c r="AG298" t="s">
        <v>595</v>
      </c>
    </row>
    <row r="299" spans="1:33">
      <c r="B299" t="s">
        <v>19</v>
      </c>
      <c r="C299" t="s">
        <v>2437</v>
      </c>
      <c r="E299">
        <v>2019</v>
      </c>
      <c r="F299" t="s">
        <v>2059</v>
      </c>
      <c r="G299" t="s">
        <v>2035</v>
      </c>
      <c r="H299" s="6">
        <v>55</v>
      </c>
      <c r="I299" s="6">
        <v>5</v>
      </c>
      <c r="J299" s="6">
        <v>1958</v>
      </c>
      <c r="K299" s="6">
        <v>2016</v>
      </c>
      <c r="L299" s="6">
        <f t="shared" si="8"/>
        <v>59</v>
      </c>
      <c r="M299" t="s">
        <v>2036</v>
      </c>
      <c r="N299" t="s">
        <v>51</v>
      </c>
      <c r="O299" t="s">
        <v>2451</v>
      </c>
      <c r="Q299" t="s">
        <v>2473</v>
      </c>
      <c r="R299" t="s">
        <v>2112</v>
      </c>
      <c r="S299" t="s">
        <v>2039</v>
      </c>
      <c r="T299">
        <v>105.63708333333334</v>
      </c>
      <c r="U299" t="s">
        <v>2053</v>
      </c>
      <c r="V299">
        <v>0.13966101694915253</v>
      </c>
      <c r="W299" t="s">
        <v>2058</v>
      </c>
      <c r="X299" t="s">
        <v>2041</v>
      </c>
      <c r="Y299" t="s">
        <v>19</v>
      </c>
      <c r="Z299" t="str">
        <f t="shared" si="9"/>
        <v>Y</v>
      </c>
      <c r="AA299" t="s">
        <v>2439</v>
      </c>
      <c r="AB299" t="s">
        <v>2440</v>
      </c>
      <c r="AC299" t="s">
        <v>2441</v>
      </c>
      <c r="AD299" t="s">
        <v>595</v>
      </c>
      <c r="AE299" t="s">
        <v>2045</v>
      </c>
      <c r="AF299" t="s">
        <v>2041</v>
      </c>
      <c r="AG299" t="s">
        <v>595</v>
      </c>
    </row>
    <row r="300" spans="1:33" ht="15.5">
      <c r="B300" t="s">
        <v>19</v>
      </c>
      <c r="C300" t="s">
        <v>2437</v>
      </c>
      <c r="E300">
        <v>2019</v>
      </c>
      <c r="F300" t="s">
        <v>2059</v>
      </c>
      <c r="G300" t="s">
        <v>2035</v>
      </c>
      <c r="H300" s="6">
        <v>55</v>
      </c>
      <c r="I300" s="6">
        <v>5</v>
      </c>
      <c r="J300" s="6">
        <v>1958</v>
      </c>
      <c r="K300" s="6">
        <v>2016</v>
      </c>
      <c r="L300" s="6">
        <f t="shared" si="8"/>
        <v>59</v>
      </c>
      <c r="M300" t="s">
        <v>2036</v>
      </c>
      <c r="N300" t="s">
        <v>51</v>
      </c>
      <c r="O300" t="s">
        <v>2451</v>
      </c>
      <c r="Q300" t="s">
        <v>2474</v>
      </c>
      <c r="R300" t="s">
        <v>2112</v>
      </c>
      <c r="S300" t="s">
        <v>2039</v>
      </c>
      <c r="T300">
        <v>157.95374999999999</v>
      </c>
      <c r="U300" t="s">
        <v>2101</v>
      </c>
      <c r="V300">
        <v>3.3132203389830508</v>
      </c>
      <c r="W300" s="12" t="s">
        <v>2058</v>
      </c>
      <c r="X300" t="s">
        <v>2041</v>
      </c>
      <c r="Y300" t="s">
        <v>19</v>
      </c>
      <c r="Z300" t="str">
        <f t="shared" si="9"/>
        <v>Y</v>
      </c>
      <c r="AA300" t="s">
        <v>2439</v>
      </c>
      <c r="AB300" t="s">
        <v>2440</v>
      </c>
      <c r="AC300" t="s">
        <v>2441</v>
      </c>
      <c r="AD300" t="s">
        <v>595</v>
      </c>
      <c r="AE300" t="s">
        <v>2045</v>
      </c>
      <c r="AF300" t="s">
        <v>2041</v>
      </c>
      <c r="AG300" t="s">
        <v>595</v>
      </c>
    </row>
    <row r="301" spans="1:33">
      <c r="B301" t="s">
        <v>19</v>
      </c>
      <c r="C301" t="s">
        <v>2475</v>
      </c>
      <c r="E301">
        <v>2019</v>
      </c>
      <c r="F301" t="s">
        <v>2476</v>
      </c>
      <c r="G301" t="s">
        <v>2035</v>
      </c>
      <c r="H301" s="6">
        <v>46</v>
      </c>
      <c r="I301" s="6">
        <v>-14</v>
      </c>
      <c r="J301" s="6">
        <v>1981</v>
      </c>
      <c r="K301" s="6">
        <v>2017</v>
      </c>
      <c r="L301" s="6">
        <f t="shared" si="8"/>
        <v>37</v>
      </c>
      <c r="M301" t="s">
        <v>2036</v>
      </c>
      <c r="N301" t="s">
        <v>161</v>
      </c>
      <c r="O301" t="s">
        <v>2477</v>
      </c>
      <c r="P301" t="s">
        <v>2478</v>
      </c>
      <c r="Q301" t="s">
        <v>2479</v>
      </c>
      <c r="R301" t="s">
        <v>2480</v>
      </c>
      <c r="S301" t="s">
        <v>2039</v>
      </c>
      <c r="T301" t="s">
        <v>163</v>
      </c>
      <c r="U301" t="s">
        <v>2101</v>
      </c>
      <c r="V301">
        <v>-2.2999999999999998</v>
      </c>
      <c r="W301" t="s">
        <v>2041</v>
      </c>
      <c r="X301" t="s">
        <v>2041</v>
      </c>
      <c r="Y301" t="s">
        <v>19</v>
      </c>
      <c r="Z301" t="str">
        <f t="shared" si="9"/>
        <v>Y</v>
      </c>
      <c r="AA301" t="s">
        <v>2054</v>
      </c>
      <c r="AB301" t="s">
        <v>2481</v>
      </c>
      <c r="AC301" t="s">
        <v>2482</v>
      </c>
      <c r="AD301" t="s">
        <v>595</v>
      </c>
      <c r="AE301" t="s">
        <v>2483</v>
      </c>
      <c r="AF301" t="s">
        <v>2041</v>
      </c>
      <c r="AG301" t="s">
        <v>595</v>
      </c>
    </row>
    <row r="302" spans="1:33">
      <c r="A302">
        <v>209</v>
      </c>
      <c r="B302" t="s">
        <v>19</v>
      </c>
      <c r="C302" t="s">
        <v>2372</v>
      </c>
      <c r="E302">
        <v>2009</v>
      </c>
      <c r="F302" t="s">
        <v>2373</v>
      </c>
      <c r="G302" t="s">
        <v>2035</v>
      </c>
      <c r="H302" s="6">
        <v>56.183300000000003</v>
      </c>
      <c r="I302" s="6">
        <v>-2.5667</v>
      </c>
      <c r="J302" s="6">
        <v>1971</v>
      </c>
      <c r="K302" s="6">
        <v>2006</v>
      </c>
      <c r="L302" s="6">
        <f t="shared" si="8"/>
        <v>36</v>
      </c>
      <c r="N302" t="s">
        <v>394</v>
      </c>
      <c r="O302" t="s">
        <v>394</v>
      </c>
      <c r="P302" t="s">
        <v>2484</v>
      </c>
      <c r="V302">
        <f>-0.018*10</f>
        <v>-0.18</v>
      </c>
      <c r="W302" t="s">
        <v>2041</v>
      </c>
      <c r="X302" s="11" t="s">
        <v>2041</v>
      </c>
      <c r="Y302" t="s">
        <v>19</v>
      </c>
      <c r="Z302" t="str">
        <f t="shared" si="9"/>
        <v>Y</v>
      </c>
      <c r="AC302" t="s">
        <v>2374</v>
      </c>
    </row>
    <row r="303" spans="1:33">
      <c r="A303">
        <v>210</v>
      </c>
      <c r="B303" t="s">
        <v>19</v>
      </c>
      <c r="C303" t="s">
        <v>2372</v>
      </c>
      <c r="E303">
        <v>2009</v>
      </c>
      <c r="F303" t="s">
        <v>2373</v>
      </c>
      <c r="G303" t="s">
        <v>2035</v>
      </c>
      <c r="H303" s="6">
        <v>56.183300000000003</v>
      </c>
      <c r="I303" s="6">
        <v>-2.5667</v>
      </c>
      <c r="J303" s="6">
        <v>1971</v>
      </c>
      <c r="K303" s="6">
        <v>2006</v>
      </c>
      <c r="L303" s="6">
        <f t="shared" si="8"/>
        <v>36</v>
      </c>
      <c r="N303" t="s">
        <v>394</v>
      </c>
      <c r="O303" t="s">
        <v>394</v>
      </c>
      <c r="P303" t="s">
        <v>2485</v>
      </c>
      <c r="V303">
        <f>-0.045*10</f>
        <v>-0.44999999999999996</v>
      </c>
      <c r="W303" t="s">
        <v>2041</v>
      </c>
      <c r="X303" s="11" t="s">
        <v>2041</v>
      </c>
      <c r="Y303" t="s">
        <v>19</v>
      </c>
      <c r="Z303" t="str">
        <f t="shared" si="9"/>
        <v>Y</v>
      </c>
      <c r="AC303" t="s">
        <v>2374</v>
      </c>
    </row>
    <row r="304" spans="1:33">
      <c r="A304">
        <v>211</v>
      </c>
      <c r="B304" t="s">
        <v>19</v>
      </c>
      <c r="C304" t="s">
        <v>2372</v>
      </c>
      <c r="E304">
        <v>2009</v>
      </c>
      <c r="F304" t="s">
        <v>2373</v>
      </c>
      <c r="G304" t="s">
        <v>2035</v>
      </c>
      <c r="H304" s="6">
        <v>56.183300000000003</v>
      </c>
      <c r="I304" s="6">
        <v>-2.5667</v>
      </c>
      <c r="J304" s="6">
        <v>1971</v>
      </c>
      <c r="K304" s="6">
        <v>2006</v>
      </c>
      <c r="L304" s="6">
        <f t="shared" si="8"/>
        <v>36</v>
      </c>
      <c r="N304" t="s">
        <v>394</v>
      </c>
      <c r="O304" t="s">
        <v>394</v>
      </c>
      <c r="P304" t="s">
        <v>2486</v>
      </c>
      <c r="V304">
        <f>-0.19*10</f>
        <v>-1.9</v>
      </c>
      <c r="W304" t="s">
        <v>2041</v>
      </c>
      <c r="X304" s="11" t="s">
        <v>2041</v>
      </c>
      <c r="Y304" t="s">
        <v>19</v>
      </c>
      <c r="Z304" t="str">
        <f t="shared" si="9"/>
        <v>Y</v>
      </c>
      <c r="AC304" t="s">
        <v>2374</v>
      </c>
    </row>
    <row r="305" spans="1:34">
      <c r="A305">
        <v>212</v>
      </c>
      <c r="B305" t="s">
        <v>19</v>
      </c>
      <c r="C305" t="s">
        <v>2372</v>
      </c>
      <c r="E305">
        <v>2009</v>
      </c>
      <c r="F305" t="s">
        <v>2373</v>
      </c>
      <c r="G305" t="s">
        <v>2035</v>
      </c>
      <c r="H305" s="6">
        <v>56.183300000000003</v>
      </c>
      <c r="I305" s="6">
        <v>-2.5667</v>
      </c>
      <c r="J305" s="6">
        <v>1971</v>
      </c>
      <c r="K305" s="6">
        <v>2006</v>
      </c>
      <c r="L305" s="6">
        <f t="shared" si="8"/>
        <v>36</v>
      </c>
      <c r="N305" t="s">
        <v>394</v>
      </c>
      <c r="O305" t="s">
        <v>394</v>
      </c>
      <c r="P305" t="s">
        <v>2413</v>
      </c>
      <c r="V305">
        <f>-0.27*10</f>
        <v>-2.7</v>
      </c>
      <c r="W305" t="s">
        <v>2041</v>
      </c>
      <c r="X305" s="11" t="s">
        <v>2041</v>
      </c>
      <c r="Y305" t="s">
        <v>19</v>
      </c>
      <c r="Z305" t="str">
        <f t="shared" si="9"/>
        <v>Y</v>
      </c>
      <c r="AC305" t="s">
        <v>2374</v>
      </c>
    </row>
    <row r="306" spans="1:34">
      <c r="A306">
        <v>213</v>
      </c>
      <c r="B306" t="s">
        <v>19</v>
      </c>
      <c r="C306" t="s">
        <v>2372</v>
      </c>
      <c r="E306">
        <v>2009</v>
      </c>
      <c r="F306" t="s">
        <v>2373</v>
      </c>
      <c r="G306" t="s">
        <v>2035</v>
      </c>
      <c r="H306" s="6">
        <v>56.183300000000003</v>
      </c>
      <c r="I306" s="6">
        <v>-2.5667</v>
      </c>
      <c r="J306" s="6">
        <v>1971</v>
      </c>
      <c r="K306" s="6">
        <v>2006</v>
      </c>
      <c r="L306" s="6">
        <f t="shared" si="8"/>
        <v>36</v>
      </c>
      <c r="N306" t="s">
        <v>394</v>
      </c>
      <c r="O306" t="s">
        <v>394</v>
      </c>
      <c r="P306" t="s">
        <v>2414</v>
      </c>
      <c r="V306">
        <f>-0.16*10</f>
        <v>-1.6</v>
      </c>
      <c r="W306" t="s">
        <v>2041</v>
      </c>
      <c r="X306" s="11" t="s">
        <v>2041</v>
      </c>
      <c r="Y306" t="s">
        <v>19</v>
      </c>
      <c r="Z306" t="str">
        <f t="shared" si="9"/>
        <v>Y</v>
      </c>
      <c r="AC306" t="s">
        <v>2374</v>
      </c>
    </row>
    <row r="307" spans="1:34">
      <c r="A307">
        <v>214</v>
      </c>
      <c r="B307" t="s">
        <v>19</v>
      </c>
      <c r="C307" t="s">
        <v>2372</v>
      </c>
      <c r="E307">
        <v>2009</v>
      </c>
      <c r="F307" t="s">
        <v>2373</v>
      </c>
      <c r="G307" t="s">
        <v>2035</v>
      </c>
      <c r="H307" s="6">
        <v>56.183300000000003</v>
      </c>
      <c r="I307" s="6">
        <v>-2.5667</v>
      </c>
      <c r="J307" s="6">
        <v>1971</v>
      </c>
      <c r="K307" s="6">
        <v>2006</v>
      </c>
      <c r="L307" s="6">
        <f t="shared" si="8"/>
        <v>36</v>
      </c>
      <c r="N307" t="s">
        <v>394</v>
      </c>
      <c r="O307" t="s">
        <v>394</v>
      </c>
      <c r="P307" t="s">
        <v>2425</v>
      </c>
      <c r="V307">
        <f>-0.15*10</f>
        <v>-1.5</v>
      </c>
      <c r="W307" t="s">
        <v>2041</v>
      </c>
      <c r="X307" s="11" t="s">
        <v>2041</v>
      </c>
      <c r="Y307" t="s">
        <v>19</v>
      </c>
      <c r="Z307" t="str">
        <f t="shared" si="9"/>
        <v>Y</v>
      </c>
      <c r="AC307" t="s">
        <v>2374</v>
      </c>
    </row>
    <row r="308" spans="1:34">
      <c r="A308">
        <v>417</v>
      </c>
      <c r="B308" t="s">
        <v>2074</v>
      </c>
      <c r="C308" t="s">
        <v>2487</v>
      </c>
      <c r="E308">
        <v>2009</v>
      </c>
      <c r="F308" t="s">
        <v>1214</v>
      </c>
      <c r="G308" t="s">
        <v>2035</v>
      </c>
      <c r="H308" s="6">
        <v>56.18</v>
      </c>
      <c r="I308" s="6">
        <v>-2.57</v>
      </c>
      <c r="J308" s="6">
        <v>1982</v>
      </c>
      <c r="K308" s="6">
        <v>2006</v>
      </c>
      <c r="L308" s="6">
        <f t="shared" si="8"/>
        <v>25</v>
      </c>
      <c r="M308" t="s">
        <v>2036</v>
      </c>
      <c r="N308" t="s">
        <v>394</v>
      </c>
      <c r="O308" t="s">
        <v>394</v>
      </c>
      <c r="P308" t="s">
        <v>163</v>
      </c>
      <c r="Q308" t="s">
        <v>163</v>
      </c>
      <c r="V308" t="s">
        <v>163</v>
      </c>
      <c r="W308" t="s">
        <v>2058</v>
      </c>
      <c r="X308" t="s">
        <v>2041</v>
      </c>
      <c r="Y308" t="s">
        <v>2081</v>
      </c>
      <c r="Z308" t="str">
        <f t="shared" si="9"/>
        <v>Y</v>
      </c>
      <c r="AH308">
        <v>1</v>
      </c>
    </row>
    <row r="309" spans="1:34">
      <c r="A309">
        <v>364</v>
      </c>
      <c r="B309" t="s">
        <v>2074</v>
      </c>
      <c r="C309" t="s">
        <v>2488</v>
      </c>
      <c r="E309">
        <v>2009</v>
      </c>
      <c r="F309" t="s">
        <v>2285</v>
      </c>
      <c r="G309" t="s">
        <v>2286</v>
      </c>
      <c r="H309" s="6">
        <v>-38.5</v>
      </c>
      <c r="I309" s="6">
        <v>145.16</v>
      </c>
      <c r="J309" s="6">
        <v>1968</v>
      </c>
      <c r="K309" s="6">
        <v>2007</v>
      </c>
      <c r="L309" s="6">
        <f t="shared" si="8"/>
        <v>40</v>
      </c>
      <c r="M309" t="s">
        <v>2036</v>
      </c>
      <c r="N309" t="s">
        <v>394</v>
      </c>
      <c r="O309" t="s">
        <v>394</v>
      </c>
      <c r="P309" t="s">
        <v>2287</v>
      </c>
      <c r="Q309" t="s">
        <v>2288</v>
      </c>
      <c r="V309">
        <v>6.5</v>
      </c>
      <c r="W309" t="s">
        <v>2058</v>
      </c>
      <c r="X309" t="s">
        <v>2041</v>
      </c>
      <c r="Y309" t="s">
        <v>2081</v>
      </c>
      <c r="Z309" t="str">
        <f t="shared" si="9"/>
        <v>Y</v>
      </c>
    </row>
    <row r="310" spans="1:34">
      <c r="A310">
        <v>403</v>
      </c>
      <c r="B310" t="s">
        <v>2074</v>
      </c>
      <c r="C310" t="s">
        <v>2489</v>
      </c>
      <c r="E310">
        <v>2009</v>
      </c>
      <c r="F310" t="s">
        <v>1045</v>
      </c>
      <c r="G310" t="s">
        <v>2035</v>
      </c>
      <c r="H310" s="6">
        <v>77</v>
      </c>
      <c r="I310" s="6">
        <v>15.55</v>
      </c>
      <c r="J310" s="6">
        <v>1963</v>
      </c>
      <c r="K310" s="6">
        <v>2008</v>
      </c>
      <c r="L310" s="6">
        <f t="shared" si="8"/>
        <v>46</v>
      </c>
      <c r="M310" t="s">
        <v>2077</v>
      </c>
      <c r="N310" t="s">
        <v>394</v>
      </c>
      <c r="O310" t="s">
        <v>394</v>
      </c>
      <c r="P310" t="s">
        <v>2490</v>
      </c>
      <c r="Q310" t="s">
        <v>2491</v>
      </c>
      <c r="V310">
        <v>-0.97826086999999995</v>
      </c>
      <c r="W310" t="s">
        <v>2041</v>
      </c>
      <c r="X310" t="s">
        <v>2041</v>
      </c>
      <c r="Y310" t="s">
        <v>2081</v>
      </c>
      <c r="Z310" t="str">
        <f t="shared" si="9"/>
        <v>Y</v>
      </c>
      <c r="AC310" t="s">
        <v>2492</v>
      </c>
    </row>
    <row r="311" spans="1:34">
      <c r="A311">
        <v>404</v>
      </c>
      <c r="B311" t="s">
        <v>2074</v>
      </c>
      <c r="C311" t="s">
        <v>2489</v>
      </c>
      <c r="E311">
        <v>2009</v>
      </c>
      <c r="F311" t="s">
        <v>1045</v>
      </c>
      <c r="G311" t="s">
        <v>2035</v>
      </c>
      <c r="H311" s="6">
        <v>78.900000000000006</v>
      </c>
      <c r="I311" s="6">
        <v>12.22</v>
      </c>
      <c r="J311" s="6">
        <v>1970</v>
      </c>
      <c r="K311" s="6">
        <v>2008</v>
      </c>
      <c r="L311" s="6">
        <f t="shared" si="8"/>
        <v>39</v>
      </c>
      <c r="M311" t="s">
        <v>2077</v>
      </c>
      <c r="N311" t="s">
        <v>394</v>
      </c>
      <c r="O311" t="s">
        <v>394</v>
      </c>
      <c r="P311" t="s">
        <v>2380</v>
      </c>
      <c r="Q311" t="s">
        <v>465</v>
      </c>
      <c r="V311">
        <v>1.3</v>
      </c>
      <c r="W311" t="s">
        <v>2058</v>
      </c>
      <c r="X311" t="s">
        <v>2041</v>
      </c>
      <c r="Y311" t="s">
        <v>2081</v>
      </c>
      <c r="Z311" t="str">
        <f t="shared" si="9"/>
        <v>Y</v>
      </c>
      <c r="AC311" t="s">
        <v>2493</v>
      </c>
    </row>
    <row r="312" spans="1:34">
      <c r="A312">
        <v>408</v>
      </c>
      <c r="B312" t="s">
        <v>2074</v>
      </c>
      <c r="C312" t="s">
        <v>2494</v>
      </c>
      <c r="E312">
        <v>2009</v>
      </c>
      <c r="F312" t="s">
        <v>2076</v>
      </c>
      <c r="G312" t="s">
        <v>2035</v>
      </c>
      <c r="H312" s="6">
        <v>37.700000000000003</v>
      </c>
      <c r="I312" s="6">
        <v>-123</v>
      </c>
      <c r="J312" s="6">
        <v>1988</v>
      </c>
      <c r="K312" s="6">
        <v>2006</v>
      </c>
      <c r="L312" s="6">
        <f t="shared" si="8"/>
        <v>19</v>
      </c>
      <c r="M312" t="s">
        <v>2036</v>
      </c>
      <c r="N312" t="s">
        <v>394</v>
      </c>
      <c r="O312" t="s">
        <v>394</v>
      </c>
      <c r="P312" t="s">
        <v>2078</v>
      </c>
      <c r="Q312" t="s">
        <v>2079</v>
      </c>
      <c r="V312">
        <v>4</v>
      </c>
      <c r="W312" t="s">
        <v>2058</v>
      </c>
      <c r="X312" t="s">
        <v>2041</v>
      </c>
      <c r="Y312" t="s">
        <v>2081</v>
      </c>
      <c r="Z312" t="str">
        <f t="shared" si="9"/>
        <v>Y</v>
      </c>
    </row>
    <row r="313" spans="1:34">
      <c r="A313">
        <v>409</v>
      </c>
      <c r="B313" t="s">
        <v>2074</v>
      </c>
      <c r="C313" t="s">
        <v>2494</v>
      </c>
      <c r="E313">
        <v>2009</v>
      </c>
      <c r="F313" t="s">
        <v>2076</v>
      </c>
      <c r="G313" t="s">
        <v>2035</v>
      </c>
      <c r="H313" s="6">
        <v>37.700000000000003</v>
      </c>
      <c r="I313" s="6">
        <v>-123</v>
      </c>
      <c r="J313" s="6">
        <v>1988</v>
      </c>
      <c r="K313" s="6">
        <v>2006</v>
      </c>
      <c r="L313" s="6">
        <f t="shared" si="8"/>
        <v>19</v>
      </c>
      <c r="M313" t="s">
        <v>2036</v>
      </c>
      <c r="N313" t="s">
        <v>394</v>
      </c>
      <c r="O313" t="s">
        <v>394</v>
      </c>
      <c r="P313" t="s">
        <v>2078</v>
      </c>
      <c r="Q313" t="s">
        <v>2079</v>
      </c>
      <c r="V313" t="s">
        <v>163</v>
      </c>
      <c r="W313" t="s">
        <v>2080</v>
      </c>
      <c r="X313" t="s">
        <v>2041</v>
      </c>
      <c r="Y313" t="s">
        <v>2081</v>
      </c>
      <c r="Z313" t="str">
        <f t="shared" si="9"/>
        <v>Y</v>
      </c>
      <c r="AH313">
        <v>1</v>
      </c>
    </row>
    <row r="314" spans="1:34">
      <c r="A314">
        <v>410</v>
      </c>
      <c r="B314" t="s">
        <v>2074</v>
      </c>
      <c r="C314" t="s">
        <v>2494</v>
      </c>
      <c r="E314">
        <v>2009</v>
      </c>
      <c r="F314" t="s">
        <v>2076</v>
      </c>
      <c r="G314" t="s">
        <v>2035</v>
      </c>
      <c r="H314" s="6">
        <v>37.700000000000003</v>
      </c>
      <c r="I314" s="6">
        <v>-123</v>
      </c>
      <c r="J314" s="6">
        <v>1988</v>
      </c>
      <c r="K314" s="6">
        <v>2006</v>
      </c>
      <c r="L314" s="6">
        <f t="shared" si="8"/>
        <v>19</v>
      </c>
      <c r="M314" t="s">
        <v>2036</v>
      </c>
      <c r="N314" t="s">
        <v>394</v>
      </c>
      <c r="O314" t="s">
        <v>394</v>
      </c>
      <c r="P314" t="s">
        <v>2495</v>
      </c>
      <c r="Q314" t="s">
        <v>984</v>
      </c>
      <c r="V314">
        <v>-2.4</v>
      </c>
      <c r="W314" t="s">
        <v>2041</v>
      </c>
      <c r="X314" t="s">
        <v>2041</v>
      </c>
      <c r="Y314" t="s">
        <v>2081</v>
      </c>
      <c r="Z314" t="str">
        <f t="shared" si="9"/>
        <v>Y</v>
      </c>
    </row>
    <row r="315" spans="1:34">
      <c r="A315">
        <v>411</v>
      </c>
      <c r="B315" t="s">
        <v>2074</v>
      </c>
      <c r="C315" t="s">
        <v>2494</v>
      </c>
      <c r="E315">
        <v>2009</v>
      </c>
      <c r="F315" t="s">
        <v>2076</v>
      </c>
      <c r="G315" t="s">
        <v>2035</v>
      </c>
      <c r="H315" s="6">
        <v>37.700000000000003</v>
      </c>
      <c r="I315" s="6">
        <v>-123</v>
      </c>
      <c r="J315" s="6">
        <v>1988</v>
      </c>
      <c r="K315" s="6">
        <v>2006</v>
      </c>
      <c r="L315" s="6">
        <f t="shared" si="8"/>
        <v>19</v>
      </c>
      <c r="M315" t="s">
        <v>2036</v>
      </c>
      <c r="N315" t="s">
        <v>394</v>
      </c>
      <c r="O315" t="s">
        <v>394</v>
      </c>
      <c r="P315" t="s">
        <v>2495</v>
      </c>
      <c r="Q315" t="s">
        <v>984</v>
      </c>
      <c r="V315" t="s">
        <v>163</v>
      </c>
      <c r="W315" t="s">
        <v>2080</v>
      </c>
      <c r="X315" t="s">
        <v>2041</v>
      </c>
      <c r="Y315" t="s">
        <v>2081</v>
      </c>
      <c r="Z315" t="str">
        <f t="shared" si="9"/>
        <v>Y</v>
      </c>
      <c r="AH315">
        <v>1</v>
      </c>
    </row>
    <row r="316" spans="1:34">
      <c r="A316">
        <v>412</v>
      </c>
      <c r="B316" t="s">
        <v>2074</v>
      </c>
      <c r="C316" t="s">
        <v>2496</v>
      </c>
      <c r="E316">
        <v>2009</v>
      </c>
      <c r="F316" t="s">
        <v>2076</v>
      </c>
      <c r="G316" t="s">
        <v>2035</v>
      </c>
      <c r="H316" s="6">
        <v>37.700000000000003</v>
      </c>
      <c r="I316" s="6">
        <v>-123</v>
      </c>
      <c r="J316" s="6">
        <v>1972</v>
      </c>
      <c r="K316" s="6">
        <v>2006</v>
      </c>
      <c r="L316" s="6">
        <f t="shared" si="8"/>
        <v>35</v>
      </c>
      <c r="M316" t="s">
        <v>2036</v>
      </c>
      <c r="N316" t="s">
        <v>394</v>
      </c>
      <c r="O316" t="s">
        <v>394</v>
      </c>
      <c r="P316" t="s">
        <v>2078</v>
      </c>
      <c r="Q316" t="s">
        <v>2079</v>
      </c>
      <c r="V316" t="s">
        <v>163</v>
      </c>
      <c r="W316" t="s">
        <v>2041</v>
      </c>
      <c r="X316" t="s">
        <v>2041</v>
      </c>
      <c r="Y316" t="s">
        <v>2081</v>
      </c>
      <c r="Z316" t="str">
        <f t="shared" si="9"/>
        <v>Y</v>
      </c>
      <c r="AH316">
        <v>1</v>
      </c>
    </row>
    <row r="317" spans="1:34">
      <c r="A317">
        <v>413</v>
      </c>
      <c r="B317" t="s">
        <v>2074</v>
      </c>
      <c r="C317" t="s">
        <v>2496</v>
      </c>
      <c r="E317">
        <v>2009</v>
      </c>
      <c r="F317" t="s">
        <v>2076</v>
      </c>
      <c r="G317" t="s">
        <v>2035</v>
      </c>
      <c r="H317" s="6">
        <v>37.700000000000003</v>
      </c>
      <c r="I317" s="6">
        <v>-123</v>
      </c>
      <c r="J317" s="6">
        <v>1972</v>
      </c>
      <c r="K317" s="6">
        <v>2006</v>
      </c>
      <c r="L317" s="6">
        <f t="shared" si="8"/>
        <v>35</v>
      </c>
      <c r="M317" t="s">
        <v>2036</v>
      </c>
      <c r="N317" t="s">
        <v>394</v>
      </c>
      <c r="O317" t="s">
        <v>394</v>
      </c>
      <c r="P317" t="s">
        <v>2078</v>
      </c>
      <c r="Q317" t="s">
        <v>2079</v>
      </c>
      <c r="V317" t="s">
        <v>163</v>
      </c>
      <c r="W317" t="s">
        <v>2041</v>
      </c>
      <c r="X317" t="s">
        <v>2041</v>
      </c>
      <c r="Y317" t="s">
        <v>2081</v>
      </c>
      <c r="Z317" t="str">
        <f t="shared" si="9"/>
        <v>Y</v>
      </c>
      <c r="AH317">
        <v>1</v>
      </c>
    </row>
    <row r="318" spans="1:34">
      <c r="A318">
        <v>414</v>
      </c>
      <c r="B318" t="s">
        <v>2074</v>
      </c>
      <c r="C318" t="s">
        <v>2496</v>
      </c>
      <c r="E318">
        <v>2009</v>
      </c>
      <c r="F318" t="s">
        <v>2076</v>
      </c>
      <c r="G318" t="s">
        <v>2035</v>
      </c>
      <c r="H318" s="6">
        <v>37.700000000000003</v>
      </c>
      <c r="I318" s="6">
        <v>-123</v>
      </c>
      <c r="J318" s="6">
        <v>1973</v>
      </c>
      <c r="K318" s="6">
        <v>2007</v>
      </c>
      <c r="L318" s="6">
        <f t="shared" si="8"/>
        <v>35</v>
      </c>
      <c r="M318" t="s">
        <v>2036</v>
      </c>
      <c r="N318" t="s">
        <v>394</v>
      </c>
      <c r="O318" t="s">
        <v>394</v>
      </c>
      <c r="P318" t="s">
        <v>2495</v>
      </c>
      <c r="Q318" t="s">
        <v>984</v>
      </c>
      <c r="V318" t="s">
        <v>163</v>
      </c>
      <c r="W318" t="s">
        <v>2041</v>
      </c>
      <c r="X318" t="s">
        <v>2041</v>
      </c>
      <c r="Y318" t="s">
        <v>2081</v>
      </c>
      <c r="Z318" t="str">
        <f t="shared" si="9"/>
        <v>Y</v>
      </c>
      <c r="AH318">
        <v>1</v>
      </c>
    </row>
    <row r="319" spans="1:34">
      <c r="A319">
        <v>415</v>
      </c>
      <c r="B319" t="s">
        <v>2074</v>
      </c>
      <c r="C319" t="s">
        <v>2496</v>
      </c>
      <c r="E319">
        <v>2009</v>
      </c>
      <c r="F319" t="s">
        <v>2076</v>
      </c>
      <c r="G319" t="s">
        <v>2035</v>
      </c>
      <c r="H319" s="6">
        <v>37.700000000000003</v>
      </c>
      <c r="I319" s="6">
        <v>-123</v>
      </c>
      <c r="J319" s="6">
        <v>1973</v>
      </c>
      <c r="K319" s="6">
        <v>2007</v>
      </c>
      <c r="L319" s="6">
        <f t="shared" si="8"/>
        <v>35</v>
      </c>
      <c r="M319" t="s">
        <v>2036</v>
      </c>
      <c r="N319" t="s">
        <v>394</v>
      </c>
      <c r="O319" t="s">
        <v>394</v>
      </c>
      <c r="P319" t="s">
        <v>2495</v>
      </c>
      <c r="Q319" t="s">
        <v>984</v>
      </c>
      <c r="V319" t="s">
        <v>163</v>
      </c>
      <c r="W319" t="s">
        <v>2041</v>
      </c>
      <c r="X319" t="s">
        <v>2041</v>
      </c>
      <c r="Y319" t="s">
        <v>2081</v>
      </c>
      <c r="Z319" t="str">
        <f t="shared" si="9"/>
        <v>Y</v>
      </c>
      <c r="AH319">
        <v>1</v>
      </c>
    </row>
    <row r="320" spans="1:34">
      <c r="A320">
        <v>416</v>
      </c>
      <c r="B320" t="s">
        <v>2074</v>
      </c>
      <c r="C320" t="s">
        <v>2497</v>
      </c>
      <c r="E320">
        <v>2009</v>
      </c>
      <c r="F320" t="s">
        <v>2050</v>
      </c>
      <c r="G320" t="s">
        <v>2035</v>
      </c>
      <c r="H320" s="6">
        <v>51.67</v>
      </c>
      <c r="I320" s="6">
        <v>-5.25</v>
      </c>
      <c r="J320" s="6">
        <v>1973</v>
      </c>
      <c r="K320" s="6">
        <v>2008</v>
      </c>
      <c r="L320" s="6">
        <f t="shared" si="8"/>
        <v>36</v>
      </c>
      <c r="M320" t="s">
        <v>2036</v>
      </c>
      <c r="N320" t="s">
        <v>394</v>
      </c>
      <c r="O320" t="s">
        <v>394</v>
      </c>
      <c r="P320" t="s">
        <v>2413</v>
      </c>
      <c r="Q320" t="s">
        <v>984</v>
      </c>
      <c r="V320">
        <v>-1.7391304350000001</v>
      </c>
      <c r="W320" t="s">
        <v>2041</v>
      </c>
      <c r="X320" t="s">
        <v>2041</v>
      </c>
      <c r="Y320" t="s">
        <v>2081</v>
      </c>
      <c r="Z320" t="str">
        <f t="shared" si="9"/>
        <v>Y</v>
      </c>
    </row>
    <row r="321" spans="1:34">
      <c r="A321">
        <v>418</v>
      </c>
      <c r="B321" t="s">
        <v>2074</v>
      </c>
      <c r="C321" t="s">
        <v>2487</v>
      </c>
      <c r="E321">
        <v>2009</v>
      </c>
      <c r="F321" t="s">
        <v>1214</v>
      </c>
      <c r="G321" t="s">
        <v>2035</v>
      </c>
      <c r="H321" s="6">
        <v>55.62</v>
      </c>
      <c r="I321" s="6">
        <v>-1.63</v>
      </c>
      <c r="J321" s="6">
        <v>1979</v>
      </c>
      <c r="K321" s="6">
        <v>2006</v>
      </c>
      <c r="L321" s="6">
        <f t="shared" si="8"/>
        <v>28</v>
      </c>
      <c r="M321" t="s">
        <v>2036</v>
      </c>
      <c r="N321" t="s">
        <v>394</v>
      </c>
      <c r="O321" t="s">
        <v>394</v>
      </c>
      <c r="P321" t="s">
        <v>163</v>
      </c>
      <c r="Q321" t="s">
        <v>163</v>
      </c>
      <c r="V321" t="s">
        <v>163</v>
      </c>
      <c r="W321" t="s">
        <v>2058</v>
      </c>
      <c r="X321" t="s">
        <v>2041</v>
      </c>
      <c r="Y321" t="s">
        <v>2081</v>
      </c>
      <c r="Z321" t="str">
        <f t="shared" si="9"/>
        <v>Y</v>
      </c>
      <c r="AH321">
        <v>1</v>
      </c>
    </row>
    <row r="322" spans="1:34">
      <c r="A322">
        <v>419</v>
      </c>
      <c r="B322" t="s">
        <v>2074</v>
      </c>
      <c r="C322" t="s">
        <v>2487</v>
      </c>
      <c r="E322">
        <v>2009</v>
      </c>
      <c r="F322" t="s">
        <v>1214</v>
      </c>
      <c r="G322" t="s">
        <v>2035</v>
      </c>
      <c r="H322" s="6">
        <v>55.62</v>
      </c>
      <c r="I322" s="6">
        <v>-1.63</v>
      </c>
      <c r="J322" s="6">
        <v>1976</v>
      </c>
      <c r="K322" s="6">
        <v>2006</v>
      </c>
      <c r="L322" s="6">
        <f t="shared" ref="L322:L385" si="10">K322-J322+1</f>
        <v>31</v>
      </c>
      <c r="M322" t="s">
        <v>2036</v>
      </c>
      <c r="N322" t="s">
        <v>394</v>
      </c>
      <c r="O322" t="s">
        <v>394</v>
      </c>
      <c r="P322" t="s">
        <v>163</v>
      </c>
      <c r="Q322" t="s">
        <v>163</v>
      </c>
      <c r="V322" t="s">
        <v>163</v>
      </c>
      <c r="W322" t="s">
        <v>2041</v>
      </c>
      <c r="X322" t="s">
        <v>2041</v>
      </c>
      <c r="Y322" t="s">
        <v>2081</v>
      </c>
      <c r="Z322" t="str">
        <f t="shared" ref="Z322:Z385" si="11">IF(L322&gt;=19,"Y","N")</f>
        <v>Y</v>
      </c>
      <c r="AH322">
        <v>1</v>
      </c>
    </row>
    <row r="323" spans="1:34">
      <c r="A323">
        <v>420</v>
      </c>
      <c r="B323" t="s">
        <v>2074</v>
      </c>
      <c r="C323" t="s">
        <v>2487</v>
      </c>
      <c r="E323">
        <v>2009</v>
      </c>
      <c r="F323" t="s">
        <v>1214</v>
      </c>
      <c r="G323" t="s">
        <v>2035</v>
      </c>
      <c r="H323" s="6">
        <v>56.18</v>
      </c>
      <c r="I323" s="6">
        <v>-2.57</v>
      </c>
      <c r="J323" s="6">
        <v>1981</v>
      </c>
      <c r="K323" s="6">
        <v>2006</v>
      </c>
      <c r="L323" s="6">
        <f t="shared" si="10"/>
        <v>26</v>
      </c>
      <c r="M323" t="s">
        <v>2036</v>
      </c>
      <c r="N323" t="s">
        <v>394</v>
      </c>
      <c r="O323" t="s">
        <v>394</v>
      </c>
      <c r="P323" t="s">
        <v>2380</v>
      </c>
      <c r="Q323" t="s">
        <v>465</v>
      </c>
      <c r="V323">
        <v>6.9</v>
      </c>
      <c r="W323" t="s">
        <v>2058</v>
      </c>
      <c r="X323" t="s">
        <v>2041</v>
      </c>
      <c r="Y323" t="s">
        <v>2081</v>
      </c>
      <c r="Z323" t="str">
        <f t="shared" si="11"/>
        <v>Y</v>
      </c>
    </row>
    <row r="324" spans="1:34">
      <c r="A324">
        <v>421</v>
      </c>
      <c r="B324" t="s">
        <v>2074</v>
      </c>
      <c r="C324" t="s">
        <v>2487</v>
      </c>
      <c r="E324">
        <v>2009</v>
      </c>
      <c r="F324" t="s">
        <v>1214</v>
      </c>
      <c r="G324" t="s">
        <v>2035</v>
      </c>
      <c r="H324" s="6">
        <v>56.18</v>
      </c>
      <c r="I324" s="6">
        <v>-2.57</v>
      </c>
      <c r="J324" s="6">
        <v>1982</v>
      </c>
      <c r="K324" s="6">
        <v>2006</v>
      </c>
      <c r="L324" s="6">
        <f t="shared" si="10"/>
        <v>25</v>
      </c>
      <c r="M324" t="s">
        <v>2077</v>
      </c>
      <c r="N324" t="s">
        <v>394</v>
      </c>
      <c r="O324" t="s">
        <v>394</v>
      </c>
      <c r="P324" t="s">
        <v>2413</v>
      </c>
      <c r="Q324" t="s">
        <v>984</v>
      </c>
      <c r="V324">
        <v>2.8</v>
      </c>
      <c r="W324" t="s">
        <v>2058</v>
      </c>
      <c r="X324" t="s">
        <v>2041</v>
      </c>
      <c r="Y324" t="s">
        <v>2081</v>
      </c>
      <c r="Z324" t="str">
        <f t="shared" si="11"/>
        <v>Y</v>
      </c>
    </row>
    <row r="325" spans="1:34">
      <c r="A325">
        <v>422</v>
      </c>
      <c r="B325" t="s">
        <v>2074</v>
      </c>
      <c r="C325" t="s">
        <v>2487</v>
      </c>
      <c r="E325">
        <v>2009</v>
      </c>
      <c r="F325" t="s">
        <v>1214</v>
      </c>
      <c r="G325" t="s">
        <v>2035</v>
      </c>
      <c r="H325" s="6">
        <v>56.18</v>
      </c>
      <c r="I325" s="6">
        <v>-2.57</v>
      </c>
      <c r="J325" s="6">
        <v>1972</v>
      </c>
      <c r="K325" s="6">
        <v>2006</v>
      </c>
      <c r="L325" s="6">
        <f t="shared" si="10"/>
        <v>35</v>
      </c>
      <c r="M325" t="s">
        <v>2077</v>
      </c>
      <c r="N325" t="s">
        <v>394</v>
      </c>
      <c r="O325" t="s">
        <v>394</v>
      </c>
      <c r="P325" t="s">
        <v>2414</v>
      </c>
      <c r="Q325" t="s">
        <v>437</v>
      </c>
      <c r="V325">
        <v>6.2E-2</v>
      </c>
      <c r="W325" t="s">
        <v>2058</v>
      </c>
      <c r="X325" t="s">
        <v>2041</v>
      </c>
      <c r="Y325" t="s">
        <v>2081</v>
      </c>
      <c r="Z325" t="str">
        <f t="shared" si="11"/>
        <v>Y</v>
      </c>
    </row>
    <row r="326" spans="1:34">
      <c r="A326">
        <v>423</v>
      </c>
      <c r="B326" t="s">
        <v>2074</v>
      </c>
      <c r="C326" t="s">
        <v>2487</v>
      </c>
      <c r="E326">
        <v>2009</v>
      </c>
      <c r="F326" t="s">
        <v>1214</v>
      </c>
      <c r="G326" t="s">
        <v>2035</v>
      </c>
      <c r="H326" s="6">
        <v>56.18</v>
      </c>
      <c r="I326" s="6">
        <v>-2.57</v>
      </c>
      <c r="J326" s="6">
        <v>1974</v>
      </c>
      <c r="K326" s="6">
        <v>2006</v>
      </c>
      <c r="L326" s="6">
        <f t="shared" si="10"/>
        <v>33</v>
      </c>
      <c r="M326" t="s">
        <v>2036</v>
      </c>
      <c r="N326" t="s">
        <v>394</v>
      </c>
      <c r="O326" t="s">
        <v>394</v>
      </c>
      <c r="P326" t="s">
        <v>2425</v>
      </c>
      <c r="Q326" t="s">
        <v>997</v>
      </c>
      <c r="V326">
        <v>2.5</v>
      </c>
      <c r="W326" t="s">
        <v>2058</v>
      </c>
      <c r="X326" t="s">
        <v>2041</v>
      </c>
      <c r="Y326" t="s">
        <v>2081</v>
      </c>
      <c r="Z326" t="str">
        <f t="shared" si="11"/>
        <v>Y</v>
      </c>
    </row>
    <row r="327" spans="1:34">
      <c r="A327">
        <v>424</v>
      </c>
      <c r="B327" t="s">
        <v>2074</v>
      </c>
      <c r="C327" t="s">
        <v>2487</v>
      </c>
      <c r="E327">
        <v>2009</v>
      </c>
      <c r="F327" t="s">
        <v>1214</v>
      </c>
      <c r="G327" t="s">
        <v>2035</v>
      </c>
      <c r="H327" s="6">
        <v>56.18</v>
      </c>
      <c r="I327" s="6">
        <v>-2.57</v>
      </c>
      <c r="J327" s="6">
        <v>1971</v>
      </c>
      <c r="K327" s="6">
        <v>2006</v>
      </c>
      <c r="L327" s="6">
        <f t="shared" si="10"/>
        <v>36</v>
      </c>
      <c r="M327" t="s">
        <v>2036</v>
      </c>
      <c r="N327" t="s">
        <v>394</v>
      </c>
      <c r="O327" t="s">
        <v>394</v>
      </c>
      <c r="P327" t="s">
        <v>2378</v>
      </c>
      <c r="Q327" t="s">
        <v>2295</v>
      </c>
      <c r="V327">
        <v>-8.4</v>
      </c>
      <c r="W327" t="s">
        <v>2041</v>
      </c>
      <c r="X327" t="s">
        <v>2041</v>
      </c>
      <c r="Y327" t="s">
        <v>2081</v>
      </c>
      <c r="Z327" t="str">
        <f t="shared" si="11"/>
        <v>Y</v>
      </c>
    </row>
    <row r="328" spans="1:34">
      <c r="A328">
        <v>425</v>
      </c>
      <c r="B328" t="s">
        <v>2074</v>
      </c>
      <c r="C328" t="s">
        <v>2487</v>
      </c>
      <c r="E328">
        <v>2009</v>
      </c>
      <c r="F328" t="s">
        <v>1214</v>
      </c>
      <c r="G328" t="s">
        <v>2035</v>
      </c>
      <c r="H328" s="6">
        <v>56.18</v>
      </c>
      <c r="I328" s="6">
        <v>-2.57</v>
      </c>
      <c r="J328" s="6">
        <v>1983</v>
      </c>
      <c r="K328" s="6">
        <v>2006</v>
      </c>
      <c r="L328" s="6">
        <f t="shared" si="10"/>
        <v>24</v>
      </c>
      <c r="M328" t="s">
        <v>2036</v>
      </c>
      <c r="N328" t="s">
        <v>394</v>
      </c>
      <c r="O328" t="s">
        <v>394</v>
      </c>
      <c r="P328" t="s">
        <v>497</v>
      </c>
      <c r="Q328" t="s">
        <v>988</v>
      </c>
      <c r="V328">
        <v>-0.79</v>
      </c>
      <c r="W328" t="s">
        <v>2041</v>
      </c>
      <c r="X328" t="s">
        <v>2041</v>
      </c>
      <c r="Y328" t="s">
        <v>2081</v>
      </c>
      <c r="Z328" t="str">
        <f t="shared" si="11"/>
        <v>Y</v>
      </c>
    </row>
    <row r="329" spans="1:34">
      <c r="A329">
        <v>426</v>
      </c>
      <c r="B329" t="s">
        <v>2074</v>
      </c>
      <c r="C329" t="s">
        <v>2487</v>
      </c>
      <c r="E329">
        <v>2009</v>
      </c>
      <c r="F329" t="s">
        <v>1214</v>
      </c>
      <c r="G329" t="s">
        <v>2035</v>
      </c>
      <c r="H329" s="6">
        <v>56.18</v>
      </c>
      <c r="I329" s="6">
        <v>-2.57</v>
      </c>
      <c r="J329" s="6">
        <v>1979</v>
      </c>
      <c r="K329" s="6">
        <v>2006</v>
      </c>
      <c r="L329" s="6">
        <f t="shared" si="10"/>
        <v>28</v>
      </c>
      <c r="M329" t="s">
        <v>2036</v>
      </c>
      <c r="N329" t="s">
        <v>394</v>
      </c>
      <c r="O329" t="s">
        <v>394</v>
      </c>
      <c r="P329" t="s">
        <v>2379</v>
      </c>
      <c r="Q329" t="s">
        <v>439</v>
      </c>
      <c r="V329">
        <v>-1.2</v>
      </c>
      <c r="W329" t="s">
        <v>2041</v>
      </c>
      <c r="X329" t="s">
        <v>2041</v>
      </c>
      <c r="Y329" t="s">
        <v>2081</v>
      </c>
      <c r="Z329" t="str">
        <f t="shared" si="11"/>
        <v>Y</v>
      </c>
    </row>
    <row r="330" spans="1:34">
      <c r="A330">
        <v>427</v>
      </c>
      <c r="B330" t="s">
        <v>2074</v>
      </c>
      <c r="C330" t="s">
        <v>2487</v>
      </c>
      <c r="E330">
        <v>2009</v>
      </c>
      <c r="F330" t="s">
        <v>1214</v>
      </c>
      <c r="G330" t="s">
        <v>2035</v>
      </c>
      <c r="H330" s="6">
        <v>55.62</v>
      </c>
      <c r="I330" s="6">
        <v>-1.63</v>
      </c>
      <c r="J330" s="6">
        <v>1971</v>
      </c>
      <c r="K330" s="6">
        <v>2006</v>
      </c>
      <c r="L330" s="6">
        <f t="shared" si="10"/>
        <v>36</v>
      </c>
      <c r="M330" t="s">
        <v>2036</v>
      </c>
      <c r="N330" t="s">
        <v>394</v>
      </c>
      <c r="O330" t="s">
        <v>394</v>
      </c>
      <c r="P330" t="s">
        <v>2378</v>
      </c>
      <c r="Q330" t="s">
        <v>2295</v>
      </c>
      <c r="V330">
        <v>0.99</v>
      </c>
      <c r="W330" t="s">
        <v>2058</v>
      </c>
      <c r="X330" t="s">
        <v>2041</v>
      </c>
      <c r="Y330" t="s">
        <v>2081</v>
      </c>
      <c r="Z330" t="str">
        <f t="shared" si="11"/>
        <v>Y</v>
      </c>
    </row>
    <row r="331" spans="1:34">
      <c r="A331">
        <v>246</v>
      </c>
      <c r="B331" t="s">
        <v>19</v>
      </c>
      <c r="C331" t="s">
        <v>2381</v>
      </c>
      <c r="E331">
        <v>1996</v>
      </c>
      <c r="F331" t="s">
        <v>1214</v>
      </c>
      <c r="G331" t="s">
        <v>2035</v>
      </c>
      <c r="H331" s="6">
        <v>54.19</v>
      </c>
      <c r="I331" s="6">
        <v>7.9</v>
      </c>
      <c r="J331" s="6">
        <v>1974</v>
      </c>
      <c r="K331" s="6">
        <v>1994</v>
      </c>
      <c r="L331" s="6">
        <f t="shared" si="10"/>
        <v>21</v>
      </c>
      <c r="M331" t="s">
        <v>2036</v>
      </c>
      <c r="N331" t="s">
        <v>2132</v>
      </c>
      <c r="O331" t="s">
        <v>2142</v>
      </c>
      <c r="Q331" t="s">
        <v>2498</v>
      </c>
      <c r="R331" s="15"/>
      <c r="S331" s="15"/>
      <c r="T331" s="15"/>
      <c r="U331" s="15"/>
      <c r="V331" t="s">
        <v>163</v>
      </c>
      <c r="W331" t="s">
        <v>2041</v>
      </c>
      <c r="X331" t="s">
        <v>2041</v>
      </c>
      <c r="Y331" t="s">
        <v>19</v>
      </c>
      <c r="Z331" t="str">
        <f t="shared" si="11"/>
        <v>Y</v>
      </c>
      <c r="AC331" t="s">
        <v>2383</v>
      </c>
    </row>
    <row r="332" spans="1:34">
      <c r="B332" t="s">
        <v>19</v>
      </c>
      <c r="C332" t="s">
        <v>2499</v>
      </c>
      <c r="E332">
        <v>2020</v>
      </c>
      <c r="F332" t="s">
        <v>2500</v>
      </c>
      <c r="G332" t="s">
        <v>2035</v>
      </c>
      <c r="H332" s="6">
        <v>47.5</v>
      </c>
      <c r="I332" s="6">
        <v>-63</v>
      </c>
      <c r="J332" s="6">
        <v>1982</v>
      </c>
      <c r="K332" s="6">
        <v>2012</v>
      </c>
      <c r="L332" s="6">
        <f t="shared" si="10"/>
        <v>31</v>
      </c>
      <c r="M332" t="s">
        <v>2036</v>
      </c>
      <c r="N332" t="s">
        <v>2141</v>
      </c>
      <c r="O332" t="s">
        <v>2142</v>
      </c>
      <c r="P332" t="s">
        <v>2501</v>
      </c>
      <c r="Q332" t="s">
        <v>179</v>
      </c>
      <c r="R332" t="s">
        <v>2052</v>
      </c>
      <c r="S332" t="s">
        <v>2039</v>
      </c>
      <c r="T332" t="s">
        <v>163</v>
      </c>
      <c r="U332" t="s">
        <v>2101</v>
      </c>
      <c r="V332" t="s">
        <v>163</v>
      </c>
      <c r="W332" t="s">
        <v>2041</v>
      </c>
      <c r="X332" t="s">
        <v>2041</v>
      </c>
      <c r="Y332" t="s">
        <v>19</v>
      </c>
      <c r="Z332" t="str">
        <f t="shared" si="11"/>
        <v>Y</v>
      </c>
      <c r="AA332" t="s">
        <v>2502</v>
      </c>
      <c r="AB332" t="s">
        <v>2503</v>
      </c>
      <c r="AC332" t="s">
        <v>2504</v>
      </c>
      <c r="AD332" t="s">
        <v>595</v>
      </c>
      <c r="AE332" t="s">
        <v>2483</v>
      </c>
      <c r="AF332" t="s">
        <v>2041</v>
      </c>
      <c r="AG332" t="s">
        <v>595</v>
      </c>
    </row>
    <row r="333" spans="1:34">
      <c r="B333" t="s">
        <v>19</v>
      </c>
      <c r="C333" t="s">
        <v>2499</v>
      </c>
      <c r="E333">
        <v>2020</v>
      </c>
      <c r="F333" t="s">
        <v>2500</v>
      </c>
      <c r="G333" t="s">
        <v>2035</v>
      </c>
      <c r="H333" s="6">
        <v>47.5</v>
      </c>
      <c r="I333" s="6">
        <v>-63</v>
      </c>
      <c r="J333" s="6">
        <v>1982</v>
      </c>
      <c r="K333" s="6">
        <v>2012</v>
      </c>
      <c r="L333" s="6">
        <f t="shared" si="10"/>
        <v>31</v>
      </c>
      <c r="M333" t="s">
        <v>2036</v>
      </c>
      <c r="N333" t="s">
        <v>2141</v>
      </c>
      <c r="O333" t="s">
        <v>2142</v>
      </c>
      <c r="P333" t="s">
        <v>2505</v>
      </c>
      <c r="Q333" t="s">
        <v>2506</v>
      </c>
      <c r="R333" t="s">
        <v>2052</v>
      </c>
      <c r="S333" t="s">
        <v>2039</v>
      </c>
      <c r="T333" t="s">
        <v>163</v>
      </c>
      <c r="U333" t="s">
        <v>2101</v>
      </c>
      <c r="V333" t="s">
        <v>163</v>
      </c>
      <c r="W333" t="s">
        <v>2041</v>
      </c>
      <c r="X333" t="s">
        <v>2041</v>
      </c>
      <c r="Y333" t="s">
        <v>19</v>
      </c>
      <c r="Z333" t="str">
        <f t="shared" si="11"/>
        <v>Y</v>
      </c>
      <c r="AA333" t="s">
        <v>2502</v>
      </c>
      <c r="AB333" t="s">
        <v>2503</v>
      </c>
      <c r="AC333" t="s">
        <v>2504</v>
      </c>
      <c r="AD333" t="s">
        <v>595</v>
      </c>
      <c r="AE333" t="s">
        <v>2483</v>
      </c>
      <c r="AF333" t="s">
        <v>2041</v>
      </c>
      <c r="AG333" t="s">
        <v>595</v>
      </c>
    </row>
    <row r="334" spans="1:34">
      <c r="A334">
        <v>428</v>
      </c>
      <c r="B334" t="s">
        <v>2074</v>
      </c>
      <c r="C334" t="s">
        <v>2487</v>
      </c>
      <c r="E334">
        <v>2009</v>
      </c>
      <c r="F334" t="s">
        <v>1214</v>
      </c>
      <c r="G334" t="s">
        <v>2035</v>
      </c>
      <c r="H334" s="6">
        <v>55.62</v>
      </c>
      <c r="I334" s="6">
        <v>-1.63</v>
      </c>
      <c r="J334" s="6">
        <v>1971</v>
      </c>
      <c r="K334" s="6">
        <v>2006</v>
      </c>
      <c r="L334" s="6">
        <f t="shared" si="10"/>
        <v>36</v>
      </c>
      <c r="M334" t="s">
        <v>2036</v>
      </c>
      <c r="N334" t="s">
        <v>394</v>
      </c>
      <c r="O334" t="s">
        <v>394</v>
      </c>
      <c r="P334" t="s">
        <v>497</v>
      </c>
      <c r="Q334" t="s">
        <v>988</v>
      </c>
      <c r="V334">
        <v>1.1000000000000001</v>
      </c>
      <c r="W334" t="s">
        <v>2058</v>
      </c>
      <c r="X334" t="s">
        <v>2041</v>
      </c>
      <c r="Y334" t="s">
        <v>2081</v>
      </c>
      <c r="Z334" t="str">
        <f t="shared" si="11"/>
        <v>Y</v>
      </c>
    </row>
    <row r="335" spans="1:34">
      <c r="A335">
        <v>429</v>
      </c>
      <c r="B335" t="s">
        <v>2074</v>
      </c>
      <c r="C335" t="s">
        <v>2487</v>
      </c>
      <c r="E335">
        <v>2009</v>
      </c>
      <c r="F335" t="s">
        <v>1214</v>
      </c>
      <c r="G335" t="s">
        <v>2035</v>
      </c>
      <c r="H335" s="6">
        <v>55.62</v>
      </c>
      <c r="I335" s="6">
        <v>-1.63</v>
      </c>
      <c r="J335" s="6">
        <v>1971</v>
      </c>
      <c r="K335" s="6">
        <v>2006</v>
      </c>
      <c r="L335" s="6">
        <f t="shared" si="10"/>
        <v>36</v>
      </c>
      <c r="M335" t="s">
        <v>2036</v>
      </c>
      <c r="N335" t="s">
        <v>394</v>
      </c>
      <c r="O335" t="s">
        <v>394</v>
      </c>
      <c r="P335" t="s">
        <v>2380</v>
      </c>
      <c r="Q335" t="s">
        <v>465</v>
      </c>
      <c r="V335">
        <v>6.7</v>
      </c>
      <c r="W335" t="s">
        <v>2058</v>
      </c>
      <c r="X335" t="s">
        <v>2041</v>
      </c>
      <c r="Y335" t="s">
        <v>2081</v>
      </c>
      <c r="Z335" t="str">
        <f t="shared" si="11"/>
        <v>Y</v>
      </c>
    </row>
    <row r="336" spans="1:34">
      <c r="B336" t="s">
        <v>19</v>
      </c>
      <c r="C336" t="s">
        <v>2507</v>
      </c>
      <c r="E336">
        <v>2019</v>
      </c>
      <c r="F336" t="s">
        <v>2508</v>
      </c>
      <c r="G336" t="s">
        <v>2286</v>
      </c>
      <c r="H336" s="6">
        <v>-29.858699999999999</v>
      </c>
      <c r="I336" s="6">
        <v>31.021799999999999</v>
      </c>
      <c r="J336" s="6">
        <v>1947</v>
      </c>
      <c r="K336" s="6">
        <v>2012</v>
      </c>
      <c r="L336" s="6">
        <f t="shared" si="10"/>
        <v>66</v>
      </c>
      <c r="M336" t="s">
        <v>2036</v>
      </c>
      <c r="N336" t="s">
        <v>161</v>
      </c>
      <c r="O336" t="s">
        <v>2509</v>
      </c>
      <c r="P336" t="s">
        <v>2510</v>
      </c>
      <c r="Q336" t="s">
        <v>78</v>
      </c>
      <c r="R336" t="s">
        <v>2038</v>
      </c>
      <c r="S336" t="s">
        <v>2039</v>
      </c>
      <c r="T336">
        <v>161</v>
      </c>
      <c r="U336" t="s">
        <v>2113</v>
      </c>
      <c r="V336">
        <v>1.3</v>
      </c>
      <c r="W336" t="s">
        <v>2058</v>
      </c>
      <c r="X336" t="s">
        <v>2041</v>
      </c>
      <c r="Y336" t="s">
        <v>19</v>
      </c>
      <c r="Z336" t="str">
        <f t="shared" si="11"/>
        <v>Y</v>
      </c>
      <c r="AA336" t="s">
        <v>2511</v>
      </c>
      <c r="AB336" t="s">
        <v>2512</v>
      </c>
      <c r="AC336" t="s">
        <v>2513</v>
      </c>
      <c r="AD336" t="s">
        <v>595</v>
      </c>
      <c r="AE336" t="s">
        <v>2170</v>
      </c>
      <c r="AF336" t="s">
        <v>2041</v>
      </c>
      <c r="AG336" t="s">
        <v>595</v>
      </c>
    </row>
    <row r="337" spans="2:82">
      <c r="B337" t="s">
        <v>19</v>
      </c>
      <c r="C337" t="s">
        <v>2514</v>
      </c>
      <c r="E337">
        <v>2019</v>
      </c>
      <c r="F337" t="s">
        <v>1447</v>
      </c>
      <c r="G337" t="s">
        <v>2035</v>
      </c>
      <c r="H337" s="6">
        <f>58+48/60</f>
        <v>58.8</v>
      </c>
      <c r="I337" s="6">
        <f>17+38/60</f>
        <v>17.633333333333333</v>
      </c>
      <c r="J337" s="6">
        <v>1977</v>
      </c>
      <c r="K337" s="6">
        <v>2011</v>
      </c>
      <c r="L337" s="6">
        <f t="shared" si="10"/>
        <v>35</v>
      </c>
      <c r="M337" t="s">
        <v>2036</v>
      </c>
      <c r="N337" t="s">
        <v>51</v>
      </c>
      <c r="O337" t="s">
        <v>2451</v>
      </c>
      <c r="P337" t="s">
        <v>2451</v>
      </c>
      <c r="Q337" t="s">
        <v>2451</v>
      </c>
      <c r="R337" t="s">
        <v>2112</v>
      </c>
      <c r="S337" t="s">
        <v>2039</v>
      </c>
      <c r="T337">
        <v>108</v>
      </c>
      <c r="U337" t="s">
        <v>2053</v>
      </c>
      <c r="V337">
        <f>-0.468*10</f>
        <v>-4.6800000000000006</v>
      </c>
      <c r="W337" t="s">
        <v>2041</v>
      </c>
      <c r="X337" t="s">
        <v>2041</v>
      </c>
      <c r="Y337" t="s">
        <v>19</v>
      </c>
      <c r="Z337" t="str">
        <f t="shared" si="11"/>
        <v>Y</v>
      </c>
      <c r="AA337" t="s">
        <v>2515</v>
      </c>
      <c r="AB337" t="s">
        <v>2516</v>
      </c>
      <c r="AC337" t="s">
        <v>2517</v>
      </c>
      <c r="AE337" t="s">
        <v>2045</v>
      </c>
      <c r="AF337" t="s">
        <v>2041</v>
      </c>
      <c r="AG337" t="s">
        <v>595</v>
      </c>
      <c r="CD337">
        <v>198.539325842696</v>
      </c>
    </row>
    <row r="338" spans="2:82">
      <c r="B338" t="s">
        <v>19</v>
      </c>
      <c r="C338" t="s">
        <v>2514</v>
      </c>
      <c r="E338">
        <v>2019</v>
      </c>
      <c r="F338" t="s">
        <v>1447</v>
      </c>
      <c r="G338" t="s">
        <v>2035</v>
      </c>
      <c r="H338" s="6">
        <f>58+48/60</f>
        <v>58.8</v>
      </c>
      <c r="I338" s="6">
        <f>17+38/60</f>
        <v>17.633333333333333</v>
      </c>
      <c r="J338" s="6">
        <v>1977</v>
      </c>
      <c r="K338" s="6">
        <v>2011</v>
      </c>
      <c r="L338" s="6">
        <f t="shared" si="10"/>
        <v>35</v>
      </c>
      <c r="M338" t="s">
        <v>2036</v>
      </c>
      <c r="N338" t="s">
        <v>51</v>
      </c>
      <c r="O338" t="s">
        <v>2518</v>
      </c>
      <c r="P338" t="s">
        <v>2518</v>
      </c>
      <c r="Q338" t="s">
        <v>2518</v>
      </c>
      <c r="R338" t="s">
        <v>2112</v>
      </c>
      <c r="S338" t="s">
        <v>2039</v>
      </c>
      <c r="T338">
        <v>124</v>
      </c>
      <c r="U338" t="s">
        <v>2053</v>
      </c>
      <c r="V338">
        <f>-0.436*10</f>
        <v>-4.3600000000000003</v>
      </c>
      <c r="W338" t="s">
        <v>2041</v>
      </c>
      <c r="X338" t="s">
        <v>2041</v>
      </c>
      <c r="Y338" t="s">
        <v>19</v>
      </c>
      <c r="Z338" t="str">
        <f t="shared" si="11"/>
        <v>Y</v>
      </c>
      <c r="AA338" t="s">
        <v>2515</v>
      </c>
      <c r="AB338" t="s">
        <v>2516</v>
      </c>
      <c r="AC338" t="s">
        <v>2519</v>
      </c>
      <c r="AE338" t="s">
        <v>2045</v>
      </c>
      <c r="AF338" t="s">
        <v>2041</v>
      </c>
      <c r="AG338" t="s">
        <v>595</v>
      </c>
      <c r="CD338">
        <v>200.112359550561</v>
      </c>
    </row>
    <row r="339" spans="2:82">
      <c r="B339" t="s">
        <v>19</v>
      </c>
      <c r="C339" t="s">
        <v>2514</v>
      </c>
      <c r="E339">
        <v>2019</v>
      </c>
      <c r="F339" t="s">
        <v>1447</v>
      </c>
      <c r="G339" t="s">
        <v>2035</v>
      </c>
      <c r="H339" s="6">
        <f>58+35.9/60</f>
        <v>58.598333333333336</v>
      </c>
      <c r="I339" s="6">
        <f>18+14.21/60</f>
        <v>18.236833333333333</v>
      </c>
      <c r="J339" s="6">
        <v>1990</v>
      </c>
      <c r="K339" s="6">
        <v>2011</v>
      </c>
      <c r="L339" s="6">
        <f t="shared" si="10"/>
        <v>22</v>
      </c>
      <c r="M339" t="s">
        <v>2036</v>
      </c>
      <c r="N339" t="s">
        <v>51</v>
      </c>
      <c r="O339" t="s">
        <v>2451</v>
      </c>
      <c r="P339" t="s">
        <v>2451</v>
      </c>
      <c r="Q339" t="s">
        <v>2451</v>
      </c>
      <c r="R339" t="s">
        <v>2112</v>
      </c>
      <c r="S339" t="s">
        <v>2039</v>
      </c>
      <c r="T339">
        <v>106</v>
      </c>
      <c r="U339" t="s">
        <v>2053</v>
      </c>
      <c r="V339">
        <f>-0.578*10</f>
        <v>-5.7799999999999994</v>
      </c>
      <c r="W339" t="s">
        <v>2041</v>
      </c>
      <c r="X339" t="s">
        <v>2041</v>
      </c>
      <c r="Y339" t="s">
        <v>19</v>
      </c>
      <c r="Z339" t="str">
        <f t="shared" si="11"/>
        <v>Y</v>
      </c>
      <c r="AA339" t="s">
        <v>2515</v>
      </c>
      <c r="AB339" t="s">
        <v>2516</v>
      </c>
      <c r="AC339" t="s">
        <v>2520</v>
      </c>
      <c r="AE339" t="s">
        <v>2045</v>
      </c>
      <c r="AF339" t="s">
        <v>2058</v>
      </c>
      <c r="AG339" t="s">
        <v>595</v>
      </c>
      <c r="CD339">
        <v>213.08988764044901</v>
      </c>
    </row>
    <row r="340" spans="2:82">
      <c r="B340" t="s">
        <v>19</v>
      </c>
      <c r="C340" t="s">
        <v>2514</v>
      </c>
      <c r="E340">
        <v>2019</v>
      </c>
      <c r="F340" t="s">
        <v>1447</v>
      </c>
      <c r="G340" t="s">
        <v>2035</v>
      </c>
      <c r="H340" s="6">
        <f>58+35.9/60</f>
        <v>58.598333333333336</v>
      </c>
      <c r="I340" s="6">
        <f>18+14.21/60</f>
        <v>18.236833333333333</v>
      </c>
      <c r="J340" s="6">
        <v>1990</v>
      </c>
      <c r="K340" s="6">
        <v>2011</v>
      </c>
      <c r="L340" s="6">
        <f t="shared" si="10"/>
        <v>22</v>
      </c>
      <c r="M340" t="s">
        <v>2036</v>
      </c>
      <c r="N340" t="s">
        <v>51</v>
      </c>
      <c r="O340" t="s">
        <v>2518</v>
      </c>
      <c r="P340" t="s">
        <v>2518</v>
      </c>
      <c r="Q340" t="s">
        <v>2518</v>
      </c>
      <c r="R340" t="s">
        <v>2112</v>
      </c>
      <c r="S340" t="s">
        <v>2039</v>
      </c>
      <c r="T340">
        <v>125</v>
      </c>
      <c r="U340" t="s">
        <v>2053</v>
      </c>
      <c r="V340">
        <f>-0.316*10</f>
        <v>-3.16</v>
      </c>
      <c r="W340" t="s">
        <v>2041</v>
      </c>
      <c r="X340" t="s">
        <v>2041</v>
      </c>
      <c r="Y340" t="s">
        <v>19</v>
      </c>
      <c r="Z340" t="str">
        <f t="shared" si="11"/>
        <v>Y</v>
      </c>
      <c r="AA340" t="s">
        <v>2515</v>
      </c>
      <c r="AB340" t="s">
        <v>2516</v>
      </c>
      <c r="AC340" t="s">
        <v>2521</v>
      </c>
      <c r="AE340" t="s">
        <v>2045</v>
      </c>
      <c r="AF340" t="s">
        <v>2058</v>
      </c>
      <c r="AG340" t="s">
        <v>595</v>
      </c>
      <c r="CD340">
        <v>206.40449438202199</v>
      </c>
    </row>
    <row r="341" spans="2:82" ht="15.5">
      <c r="B341" t="s">
        <v>19</v>
      </c>
      <c r="C341" s="14" t="s">
        <v>2522</v>
      </c>
      <c r="D341" s="14"/>
      <c r="E341">
        <v>2019</v>
      </c>
      <c r="F341" t="s">
        <v>2523</v>
      </c>
      <c r="G341" t="s">
        <v>2035</v>
      </c>
      <c r="H341" s="6">
        <v>35</v>
      </c>
      <c r="I341" s="6">
        <v>141</v>
      </c>
      <c r="J341" s="6">
        <v>1978</v>
      </c>
      <c r="K341" s="6">
        <v>2017</v>
      </c>
      <c r="L341" s="6">
        <f t="shared" si="10"/>
        <v>40</v>
      </c>
      <c r="M341" t="s">
        <v>2036</v>
      </c>
      <c r="N341" t="s">
        <v>161</v>
      </c>
      <c r="O341" t="s">
        <v>161</v>
      </c>
      <c r="P341" t="s">
        <v>2524</v>
      </c>
      <c r="Q341" t="s">
        <v>61</v>
      </c>
      <c r="R341" t="s">
        <v>2052</v>
      </c>
      <c r="S341" t="s">
        <v>2039</v>
      </c>
      <c r="T341">
        <v>105</v>
      </c>
      <c r="U341" t="s">
        <v>2053</v>
      </c>
      <c r="V341">
        <f>0.004*30.25*10</f>
        <v>1.21</v>
      </c>
      <c r="W341" t="s">
        <v>2058</v>
      </c>
      <c r="X341" t="s">
        <v>2041</v>
      </c>
      <c r="Y341" t="s">
        <v>19</v>
      </c>
      <c r="Z341" t="str">
        <f t="shared" si="11"/>
        <v>Y</v>
      </c>
      <c r="AA341" t="s">
        <v>2054</v>
      </c>
      <c r="AB341" t="s">
        <v>2525</v>
      </c>
      <c r="AC341" t="s">
        <v>2526</v>
      </c>
      <c r="AD341" s="9" t="s">
        <v>595</v>
      </c>
      <c r="AE341" s="9" t="s">
        <v>2045</v>
      </c>
      <c r="AF341" s="9" t="s">
        <v>2041</v>
      </c>
      <c r="AG341" t="s">
        <v>595</v>
      </c>
    </row>
    <row r="342" spans="2:82" ht="15.5">
      <c r="B342" t="s">
        <v>19</v>
      </c>
      <c r="C342" s="14" t="s">
        <v>2522</v>
      </c>
      <c r="D342" s="14"/>
      <c r="E342">
        <v>2019</v>
      </c>
      <c r="F342" t="s">
        <v>2523</v>
      </c>
      <c r="G342" t="s">
        <v>2035</v>
      </c>
      <c r="H342" s="6">
        <v>35</v>
      </c>
      <c r="I342" s="6">
        <v>141</v>
      </c>
      <c r="J342" s="6">
        <v>1978</v>
      </c>
      <c r="K342" s="6">
        <v>2017</v>
      </c>
      <c r="L342" s="6">
        <f t="shared" si="10"/>
        <v>40</v>
      </c>
      <c r="M342" t="s">
        <v>2036</v>
      </c>
      <c r="N342" t="s">
        <v>161</v>
      </c>
      <c r="O342" t="s">
        <v>161</v>
      </c>
      <c r="P342" t="s">
        <v>2524</v>
      </c>
      <c r="Q342" t="s">
        <v>61</v>
      </c>
      <c r="R342" t="s">
        <v>2052</v>
      </c>
      <c r="S342" t="s">
        <v>2408</v>
      </c>
      <c r="T342">
        <v>105</v>
      </c>
      <c r="U342" t="s">
        <v>2040</v>
      </c>
      <c r="V342">
        <f>0.024*30.25*10</f>
        <v>7.26</v>
      </c>
      <c r="W342" t="s">
        <v>2058</v>
      </c>
      <c r="X342" t="s">
        <v>2041</v>
      </c>
      <c r="Y342" t="s">
        <v>19</v>
      </c>
      <c r="Z342" t="str">
        <f t="shared" si="11"/>
        <v>Y</v>
      </c>
      <c r="AA342" t="s">
        <v>2054</v>
      </c>
      <c r="AB342" t="s">
        <v>2527</v>
      </c>
      <c r="AC342" t="s">
        <v>2528</v>
      </c>
      <c r="AD342" s="9" t="s">
        <v>595</v>
      </c>
      <c r="AE342" s="9" t="s">
        <v>2045</v>
      </c>
      <c r="AF342" s="9" t="s">
        <v>2041</v>
      </c>
      <c r="AG342" t="s">
        <v>595</v>
      </c>
    </row>
    <row r="343" spans="2:82" ht="15.5">
      <c r="B343" t="s">
        <v>19</v>
      </c>
      <c r="C343" s="14" t="s">
        <v>2522</v>
      </c>
      <c r="D343" s="14"/>
      <c r="E343">
        <v>2019</v>
      </c>
      <c r="F343" t="s">
        <v>2523</v>
      </c>
      <c r="G343" t="s">
        <v>2035</v>
      </c>
      <c r="H343" s="6">
        <v>35</v>
      </c>
      <c r="I343" s="6">
        <v>141</v>
      </c>
      <c r="J343" s="6">
        <v>1978</v>
      </c>
      <c r="K343" s="6">
        <v>2017</v>
      </c>
      <c r="L343" s="6">
        <f t="shared" si="10"/>
        <v>40</v>
      </c>
      <c r="M343" t="s">
        <v>2036</v>
      </c>
      <c r="N343" t="s">
        <v>161</v>
      </c>
      <c r="O343" t="s">
        <v>161</v>
      </c>
      <c r="P343" t="s">
        <v>2524</v>
      </c>
      <c r="Q343" t="s">
        <v>61</v>
      </c>
      <c r="R343" t="s">
        <v>2052</v>
      </c>
      <c r="S343" t="s">
        <v>2016</v>
      </c>
      <c r="T343" t="s">
        <v>163</v>
      </c>
      <c r="U343" t="s">
        <v>2053</v>
      </c>
      <c r="V343">
        <f>30.25*((0.02*2017-38)-(0.02*1978-38))</f>
        <v>23.595000000000034</v>
      </c>
      <c r="W343" t="s">
        <v>163</v>
      </c>
      <c r="X343" t="s">
        <v>2041</v>
      </c>
      <c r="Y343" t="s">
        <v>19</v>
      </c>
      <c r="Z343" t="str">
        <f t="shared" si="11"/>
        <v>Y</v>
      </c>
      <c r="AA343" t="s">
        <v>2054</v>
      </c>
      <c r="AB343" t="s">
        <v>2529</v>
      </c>
      <c r="AC343" t="s">
        <v>2530</v>
      </c>
      <c r="AD343" s="9" t="s">
        <v>595</v>
      </c>
      <c r="AE343" s="9" t="s">
        <v>2045</v>
      </c>
      <c r="AF343" s="9" t="s">
        <v>2041</v>
      </c>
      <c r="AG343" t="s">
        <v>595</v>
      </c>
    </row>
    <row r="344" spans="2:82">
      <c r="B344" t="s">
        <v>19</v>
      </c>
      <c r="C344" t="s">
        <v>2531</v>
      </c>
      <c r="E344">
        <v>2019</v>
      </c>
      <c r="F344" t="s">
        <v>2532</v>
      </c>
      <c r="G344" t="s">
        <v>2286</v>
      </c>
      <c r="H344" s="6">
        <v>-12.5746</v>
      </c>
      <c r="I344" s="6">
        <v>-38.005000000000003</v>
      </c>
      <c r="J344" s="6">
        <v>1989</v>
      </c>
      <c r="K344" s="6">
        <v>2014</v>
      </c>
      <c r="L344" s="6">
        <f t="shared" si="10"/>
        <v>26</v>
      </c>
      <c r="M344" t="s">
        <v>2036</v>
      </c>
      <c r="N344" t="s">
        <v>2429</v>
      </c>
      <c r="O344" t="s">
        <v>2533</v>
      </c>
      <c r="P344" t="s">
        <v>2534</v>
      </c>
      <c r="Q344" t="s">
        <v>2535</v>
      </c>
      <c r="R344" t="s">
        <v>2536</v>
      </c>
      <c r="S344" t="s">
        <v>2016</v>
      </c>
      <c r="T344" t="s">
        <v>163</v>
      </c>
      <c r="U344" t="s">
        <v>163</v>
      </c>
      <c r="V344">
        <v>31.1</v>
      </c>
      <c r="W344" t="s">
        <v>163</v>
      </c>
      <c r="X344" t="s">
        <v>2058</v>
      </c>
      <c r="Y344" t="s">
        <v>19</v>
      </c>
      <c r="Z344" t="str">
        <f t="shared" si="11"/>
        <v>Y</v>
      </c>
      <c r="AA344" t="s">
        <v>2537</v>
      </c>
      <c r="AB344" t="s">
        <v>2538</v>
      </c>
      <c r="AC344" t="s">
        <v>2539</v>
      </c>
      <c r="AD344" t="s">
        <v>595</v>
      </c>
      <c r="AE344" t="s">
        <v>2540</v>
      </c>
      <c r="AF344" t="s">
        <v>2041</v>
      </c>
      <c r="AG344" t="s">
        <v>595</v>
      </c>
    </row>
    <row r="345" spans="2:82">
      <c r="B345" t="s">
        <v>19</v>
      </c>
      <c r="C345" t="s">
        <v>2531</v>
      </c>
      <c r="E345">
        <v>2019</v>
      </c>
      <c r="F345" t="s">
        <v>2532</v>
      </c>
      <c r="G345" t="s">
        <v>2286</v>
      </c>
      <c r="H345" s="6">
        <v>-12.5746</v>
      </c>
      <c r="I345" s="6">
        <v>-38.005000000000003</v>
      </c>
      <c r="J345" s="6">
        <v>1989</v>
      </c>
      <c r="K345" s="6">
        <v>2014</v>
      </c>
      <c r="L345" s="6">
        <f t="shared" si="10"/>
        <v>26</v>
      </c>
      <c r="M345" t="s">
        <v>2036</v>
      </c>
      <c r="N345" t="s">
        <v>2429</v>
      </c>
      <c r="O345" t="s">
        <v>2533</v>
      </c>
      <c r="P345" t="s">
        <v>2534</v>
      </c>
      <c r="Q345" t="s">
        <v>2535</v>
      </c>
      <c r="R345" t="s">
        <v>2541</v>
      </c>
      <c r="S345" t="s">
        <v>2039</v>
      </c>
      <c r="T345">
        <v>250</v>
      </c>
      <c r="U345" t="s">
        <v>2040</v>
      </c>
      <c r="V345">
        <v>-2.2000000000000002</v>
      </c>
      <c r="W345" t="s">
        <v>2041</v>
      </c>
      <c r="X345" t="s">
        <v>2041</v>
      </c>
      <c r="Y345" t="s">
        <v>19</v>
      </c>
      <c r="Z345" t="str">
        <f t="shared" si="11"/>
        <v>Y</v>
      </c>
      <c r="AA345" t="s">
        <v>2054</v>
      </c>
      <c r="AB345" t="s">
        <v>2542</v>
      </c>
      <c r="AC345" t="s">
        <v>2543</v>
      </c>
      <c r="AD345" t="s">
        <v>595</v>
      </c>
      <c r="AE345" t="s">
        <v>2540</v>
      </c>
      <c r="AF345" t="s">
        <v>2041</v>
      </c>
      <c r="AG345" t="s">
        <v>595</v>
      </c>
    </row>
    <row r="346" spans="2:82">
      <c r="B346" t="s">
        <v>19</v>
      </c>
      <c r="C346" t="s">
        <v>2327</v>
      </c>
      <c r="E346">
        <v>2013</v>
      </c>
      <c r="F346" t="s">
        <v>2544</v>
      </c>
      <c r="G346" t="s">
        <v>2035</v>
      </c>
      <c r="H346" s="6">
        <v>43</v>
      </c>
      <c r="I346" s="6">
        <v>-51</v>
      </c>
      <c r="J346" s="6">
        <v>1975</v>
      </c>
      <c r="K346" s="6">
        <v>2009</v>
      </c>
      <c r="L346" s="6">
        <f t="shared" si="10"/>
        <v>35</v>
      </c>
      <c r="N346" t="s">
        <v>161</v>
      </c>
      <c r="O346" t="s">
        <v>161</v>
      </c>
      <c r="P346" t="s">
        <v>2064</v>
      </c>
      <c r="Q346" t="s">
        <v>210</v>
      </c>
      <c r="R346" t="s">
        <v>2052</v>
      </c>
      <c r="V346">
        <v>6.35</v>
      </c>
      <c r="W346" t="s">
        <v>2058</v>
      </c>
      <c r="X346" s="11" t="s">
        <v>2041</v>
      </c>
      <c r="Y346" t="s">
        <v>19</v>
      </c>
      <c r="Z346" t="str">
        <f t="shared" si="11"/>
        <v>Y</v>
      </c>
      <c r="AC346" t="s">
        <v>2545</v>
      </c>
    </row>
    <row r="347" spans="2:82">
      <c r="B347" t="s">
        <v>19</v>
      </c>
      <c r="C347" t="s">
        <v>2546</v>
      </c>
      <c r="E347">
        <v>2014</v>
      </c>
      <c r="F347" t="s">
        <v>2547</v>
      </c>
      <c r="G347" t="s">
        <v>2035</v>
      </c>
      <c r="H347" s="6">
        <v>55.333333333333336</v>
      </c>
      <c r="I347" s="6">
        <v>-1.5666666666666667</v>
      </c>
      <c r="J347" s="6">
        <v>1985</v>
      </c>
      <c r="K347" s="6">
        <v>1994</v>
      </c>
      <c r="L347" s="6">
        <f t="shared" si="10"/>
        <v>10</v>
      </c>
      <c r="N347" t="s">
        <v>161</v>
      </c>
      <c r="O347" t="s">
        <v>161</v>
      </c>
      <c r="P347" t="s">
        <v>2309</v>
      </c>
      <c r="Q347" t="s">
        <v>2100</v>
      </c>
      <c r="R347" t="s">
        <v>2065</v>
      </c>
      <c r="V347" t="s">
        <v>163</v>
      </c>
      <c r="W347" t="s">
        <v>2041</v>
      </c>
      <c r="X347" t="s">
        <v>2041</v>
      </c>
      <c r="Y347" t="s">
        <v>19</v>
      </c>
      <c r="Z347" t="str">
        <f t="shared" si="11"/>
        <v>N</v>
      </c>
      <c r="AC347" t="s">
        <v>2548</v>
      </c>
    </row>
    <row r="348" spans="2:82">
      <c r="B348" t="s">
        <v>19</v>
      </c>
      <c r="C348" t="s">
        <v>2549</v>
      </c>
      <c r="E348">
        <v>2014</v>
      </c>
      <c r="F348" t="s">
        <v>2550</v>
      </c>
      <c r="G348" t="s">
        <v>2035</v>
      </c>
      <c r="H348" s="6">
        <v>50.9</v>
      </c>
      <c r="I348" s="6">
        <v>-1.4333333333333333</v>
      </c>
      <c r="J348" s="6">
        <v>1992</v>
      </c>
      <c r="K348" s="6">
        <v>1998</v>
      </c>
      <c r="L348" s="6">
        <f t="shared" si="10"/>
        <v>7</v>
      </c>
      <c r="N348" t="s">
        <v>161</v>
      </c>
      <c r="O348" t="s">
        <v>161</v>
      </c>
      <c r="P348" t="s">
        <v>2309</v>
      </c>
      <c r="Q348" t="s">
        <v>2100</v>
      </c>
      <c r="R348" t="s">
        <v>2065</v>
      </c>
      <c r="V348" t="s">
        <v>163</v>
      </c>
      <c r="W348" t="s">
        <v>2041</v>
      </c>
      <c r="X348" t="s">
        <v>2041</v>
      </c>
      <c r="Y348" t="s">
        <v>19</v>
      </c>
      <c r="Z348" t="str">
        <f t="shared" si="11"/>
        <v>N</v>
      </c>
      <c r="AC348" t="s">
        <v>2551</v>
      </c>
    </row>
    <row r="349" spans="2:82">
      <c r="B349" t="s">
        <v>19</v>
      </c>
      <c r="C349" t="s">
        <v>2552</v>
      </c>
      <c r="E349">
        <v>2014</v>
      </c>
      <c r="F349" t="s">
        <v>2553</v>
      </c>
      <c r="G349" t="s">
        <v>2035</v>
      </c>
      <c r="H349" s="6">
        <v>50.35</v>
      </c>
      <c r="I349" s="6">
        <v>-4.166666666666667</v>
      </c>
      <c r="J349" s="6">
        <v>2002</v>
      </c>
      <c r="K349" s="6">
        <v>2010</v>
      </c>
      <c r="L349" s="6">
        <f t="shared" si="10"/>
        <v>9</v>
      </c>
      <c r="N349" t="s">
        <v>161</v>
      </c>
      <c r="O349" t="s">
        <v>161</v>
      </c>
      <c r="P349" t="s">
        <v>2309</v>
      </c>
      <c r="Q349" t="s">
        <v>2100</v>
      </c>
      <c r="R349" t="s">
        <v>2065</v>
      </c>
      <c r="V349" t="s">
        <v>163</v>
      </c>
      <c r="W349" t="s">
        <v>2041</v>
      </c>
      <c r="X349" t="s">
        <v>2041</v>
      </c>
      <c r="Y349" t="s">
        <v>19</v>
      </c>
      <c r="Z349" t="str">
        <f t="shared" si="11"/>
        <v>N</v>
      </c>
      <c r="AC349" t="s">
        <v>2554</v>
      </c>
    </row>
    <row r="350" spans="2:82">
      <c r="B350" t="s">
        <v>19</v>
      </c>
      <c r="C350" t="s">
        <v>2555</v>
      </c>
      <c r="E350">
        <v>2014</v>
      </c>
      <c r="F350" t="s">
        <v>2556</v>
      </c>
      <c r="G350" t="s">
        <v>2035</v>
      </c>
      <c r="H350" s="6">
        <v>55.016666666666666</v>
      </c>
      <c r="I350" s="6">
        <v>-1.4166666666666667</v>
      </c>
      <c r="J350" s="6">
        <v>2004</v>
      </c>
      <c r="K350" s="6">
        <v>2010</v>
      </c>
      <c r="L350" s="6">
        <f t="shared" si="10"/>
        <v>7</v>
      </c>
      <c r="N350" t="s">
        <v>161</v>
      </c>
      <c r="O350" t="s">
        <v>161</v>
      </c>
      <c r="P350" t="s">
        <v>2309</v>
      </c>
      <c r="Q350" t="s">
        <v>2100</v>
      </c>
      <c r="R350" t="s">
        <v>2065</v>
      </c>
      <c r="V350" t="s">
        <v>163</v>
      </c>
      <c r="W350" t="s">
        <v>2041</v>
      </c>
      <c r="X350" t="s">
        <v>2041</v>
      </c>
      <c r="Y350" t="s">
        <v>19</v>
      </c>
      <c r="Z350" t="str">
        <f t="shared" si="11"/>
        <v>N</v>
      </c>
      <c r="AC350" t="s">
        <v>2557</v>
      </c>
    </row>
    <row r="351" spans="2:82">
      <c r="B351" t="s">
        <v>19</v>
      </c>
      <c r="C351" t="s">
        <v>2558</v>
      </c>
      <c r="E351">
        <v>2014</v>
      </c>
      <c r="F351" t="s">
        <v>2559</v>
      </c>
      <c r="G351" t="s">
        <v>2035</v>
      </c>
      <c r="H351" s="6">
        <v>54.466666666666669</v>
      </c>
      <c r="I351" s="6">
        <v>-0.6166666666666667</v>
      </c>
      <c r="J351" s="6">
        <v>1981</v>
      </c>
      <c r="K351" s="6">
        <v>2008</v>
      </c>
      <c r="L351" s="6">
        <f t="shared" si="10"/>
        <v>28</v>
      </c>
      <c r="N351" t="s">
        <v>161</v>
      </c>
      <c r="O351" t="s">
        <v>161</v>
      </c>
      <c r="P351" t="s">
        <v>2309</v>
      </c>
      <c r="Q351" t="s">
        <v>2100</v>
      </c>
      <c r="R351" t="s">
        <v>2065</v>
      </c>
      <c r="V351" t="s">
        <v>163</v>
      </c>
      <c r="W351" t="s">
        <v>2041</v>
      </c>
      <c r="X351" t="s">
        <v>2041</v>
      </c>
      <c r="Y351" t="s">
        <v>19</v>
      </c>
      <c r="Z351" t="str">
        <f t="shared" si="11"/>
        <v>Y</v>
      </c>
      <c r="AC351" t="s">
        <v>2560</v>
      </c>
    </row>
    <row r="352" spans="2:82">
      <c r="B352" t="s">
        <v>19</v>
      </c>
      <c r="C352" t="s">
        <v>2561</v>
      </c>
      <c r="E352">
        <v>2014</v>
      </c>
      <c r="F352" t="s">
        <v>2562</v>
      </c>
      <c r="G352" t="s">
        <v>2035</v>
      </c>
      <c r="H352" s="6">
        <v>53.333333333333336</v>
      </c>
      <c r="I352" s="6">
        <v>-3.2166666666666668</v>
      </c>
      <c r="J352" s="6">
        <v>2000</v>
      </c>
      <c r="K352" s="6">
        <v>2010</v>
      </c>
      <c r="L352" s="6">
        <f t="shared" si="10"/>
        <v>11</v>
      </c>
      <c r="N352" t="s">
        <v>161</v>
      </c>
      <c r="O352" t="s">
        <v>161</v>
      </c>
      <c r="P352" t="s">
        <v>2309</v>
      </c>
      <c r="Q352" t="s">
        <v>2100</v>
      </c>
      <c r="R352" t="s">
        <v>2065</v>
      </c>
      <c r="V352" t="s">
        <v>163</v>
      </c>
      <c r="W352" t="s">
        <v>2041</v>
      </c>
      <c r="X352" t="s">
        <v>2041</v>
      </c>
      <c r="Y352" t="s">
        <v>19</v>
      </c>
      <c r="Z352" t="str">
        <f t="shared" si="11"/>
        <v>N</v>
      </c>
      <c r="AC352" t="s">
        <v>2563</v>
      </c>
    </row>
    <row r="353" spans="2:29">
      <c r="B353" t="s">
        <v>19</v>
      </c>
      <c r="C353" t="s">
        <v>2564</v>
      </c>
      <c r="E353">
        <v>2014</v>
      </c>
      <c r="F353" t="s">
        <v>2565</v>
      </c>
      <c r="G353" t="s">
        <v>2035</v>
      </c>
      <c r="H353" s="6">
        <v>52.95</v>
      </c>
      <c r="I353" s="6">
        <v>-3.0166666666666666</v>
      </c>
      <c r="J353" s="6">
        <v>2004</v>
      </c>
      <c r="K353" s="6">
        <v>2010</v>
      </c>
      <c r="L353" s="6">
        <f t="shared" si="10"/>
        <v>7</v>
      </c>
      <c r="N353" t="s">
        <v>161</v>
      </c>
      <c r="O353" t="s">
        <v>161</v>
      </c>
      <c r="P353" t="s">
        <v>2309</v>
      </c>
      <c r="Q353" t="s">
        <v>2100</v>
      </c>
      <c r="R353" t="s">
        <v>2065</v>
      </c>
      <c r="V353" t="s">
        <v>163</v>
      </c>
      <c r="W353" t="s">
        <v>2041</v>
      </c>
      <c r="X353" t="s">
        <v>2041</v>
      </c>
      <c r="Y353" t="s">
        <v>19</v>
      </c>
      <c r="Z353" t="str">
        <f t="shared" si="11"/>
        <v>N</v>
      </c>
      <c r="AC353" t="s">
        <v>2566</v>
      </c>
    </row>
    <row r="354" spans="2:29">
      <c r="B354" t="s">
        <v>19</v>
      </c>
      <c r="C354" t="s">
        <v>2567</v>
      </c>
      <c r="E354">
        <v>2014</v>
      </c>
      <c r="F354" t="s">
        <v>2568</v>
      </c>
      <c r="G354" t="s">
        <v>2035</v>
      </c>
      <c r="H354" s="6">
        <v>48.633333333333333</v>
      </c>
      <c r="I354" s="6">
        <v>-1.3666666666666667</v>
      </c>
      <c r="J354" s="6">
        <v>1985</v>
      </c>
      <c r="K354" s="6">
        <v>2010</v>
      </c>
      <c r="L354" s="6">
        <f t="shared" si="10"/>
        <v>26</v>
      </c>
      <c r="N354" t="s">
        <v>161</v>
      </c>
      <c r="O354" t="s">
        <v>161</v>
      </c>
      <c r="P354" t="s">
        <v>2309</v>
      </c>
      <c r="Q354" t="s">
        <v>2100</v>
      </c>
      <c r="R354" t="s">
        <v>2065</v>
      </c>
      <c r="V354" t="s">
        <v>163</v>
      </c>
      <c r="W354" t="s">
        <v>2041</v>
      </c>
      <c r="X354" t="s">
        <v>2041</v>
      </c>
      <c r="Y354" t="s">
        <v>19</v>
      </c>
      <c r="Z354" t="str">
        <f t="shared" si="11"/>
        <v>Y</v>
      </c>
      <c r="AC354" t="s">
        <v>2569</v>
      </c>
    </row>
    <row r="355" spans="2:29">
      <c r="B355" t="s">
        <v>19</v>
      </c>
      <c r="C355" t="s">
        <v>2570</v>
      </c>
      <c r="E355">
        <v>2014</v>
      </c>
      <c r="F355" t="s">
        <v>2571</v>
      </c>
      <c r="G355" t="s">
        <v>2035</v>
      </c>
      <c r="H355" s="6">
        <v>47.75</v>
      </c>
      <c r="I355" s="6">
        <v>-3.35</v>
      </c>
      <c r="J355" s="6">
        <v>1995</v>
      </c>
      <c r="K355" s="6">
        <v>2010</v>
      </c>
      <c r="L355" s="6">
        <f t="shared" si="10"/>
        <v>16</v>
      </c>
      <c r="N355" t="s">
        <v>161</v>
      </c>
      <c r="O355" t="s">
        <v>161</v>
      </c>
      <c r="P355" t="s">
        <v>2309</v>
      </c>
      <c r="Q355" t="s">
        <v>2100</v>
      </c>
      <c r="R355" t="s">
        <v>2065</v>
      </c>
      <c r="V355" t="s">
        <v>163</v>
      </c>
      <c r="W355" t="s">
        <v>2041</v>
      </c>
      <c r="X355" t="s">
        <v>2041</v>
      </c>
      <c r="Y355" t="s">
        <v>19</v>
      </c>
      <c r="Z355" t="str">
        <f t="shared" si="11"/>
        <v>N</v>
      </c>
      <c r="AC355" t="s">
        <v>2572</v>
      </c>
    </row>
    <row r="356" spans="2:29">
      <c r="B356" t="s">
        <v>19</v>
      </c>
      <c r="C356" t="s">
        <v>2573</v>
      </c>
      <c r="E356">
        <v>2014</v>
      </c>
      <c r="F356" t="s">
        <v>2574</v>
      </c>
      <c r="G356" t="s">
        <v>2035</v>
      </c>
      <c r="H356" s="6">
        <v>42.666666666666664</v>
      </c>
      <c r="I356" s="6">
        <v>-8.7333333333333325</v>
      </c>
      <c r="J356" s="6">
        <v>1999</v>
      </c>
      <c r="K356" s="6">
        <v>2009</v>
      </c>
      <c r="L356" s="6">
        <f t="shared" si="10"/>
        <v>11</v>
      </c>
      <c r="N356" t="s">
        <v>161</v>
      </c>
      <c r="O356" t="s">
        <v>161</v>
      </c>
      <c r="P356" t="s">
        <v>2309</v>
      </c>
      <c r="Q356" t="s">
        <v>2100</v>
      </c>
      <c r="R356" t="s">
        <v>2065</v>
      </c>
      <c r="V356" t="s">
        <v>163</v>
      </c>
      <c r="W356" t="s">
        <v>2041</v>
      </c>
      <c r="X356" t="s">
        <v>2041</v>
      </c>
      <c r="Y356" t="s">
        <v>19</v>
      </c>
      <c r="Z356" t="str">
        <f t="shared" si="11"/>
        <v>N</v>
      </c>
      <c r="AC356" t="s">
        <v>2575</v>
      </c>
    </row>
    <row r="357" spans="2:29">
      <c r="B357" t="s">
        <v>19</v>
      </c>
      <c r="C357" t="s">
        <v>2576</v>
      </c>
      <c r="E357">
        <v>2014</v>
      </c>
      <c r="F357" t="s">
        <v>2577</v>
      </c>
      <c r="G357" t="s">
        <v>2035</v>
      </c>
      <c r="H357" s="6">
        <v>41.95</v>
      </c>
      <c r="I357" s="6">
        <v>-8.75</v>
      </c>
      <c r="J357" s="6">
        <v>2000</v>
      </c>
      <c r="K357" s="6">
        <v>2009</v>
      </c>
      <c r="L357" s="6">
        <f t="shared" si="10"/>
        <v>10</v>
      </c>
      <c r="N357" t="s">
        <v>161</v>
      </c>
      <c r="O357" t="s">
        <v>161</v>
      </c>
      <c r="P357" t="s">
        <v>2309</v>
      </c>
      <c r="Q357" t="s">
        <v>2100</v>
      </c>
      <c r="R357" t="s">
        <v>2065</v>
      </c>
      <c r="V357" t="s">
        <v>163</v>
      </c>
      <c r="W357" t="s">
        <v>2041</v>
      </c>
      <c r="X357" t="s">
        <v>2041</v>
      </c>
      <c r="Y357" t="s">
        <v>19</v>
      </c>
      <c r="Z357" t="str">
        <f t="shared" si="11"/>
        <v>N</v>
      </c>
      <c r="AC357" t="s">
        <v>2578</v>
      </c>
    </row>
    <row r="358" spans="2:29">
      <c r="B358" t="s">
        <v>19</v>
      </c>
      <c r="C358" t="s">
        <v>2579</v>
      </c>
      <c r="E358">
        <v>2014</v>
      </c>
      <c r="F358" t="s">
        <v>2580</v>
      </c>
      <c r="G358" t="s">
        <v>2035</v>
      </c>
      <c r="H358" s="6">
        <v>66.266666666666666</v>
      </c>
      <c r="I358" s="6">
        <v>36.93333333333333</v>
      </c>
      <c r="J358" s="6">
        <v>1988</v>
      </c>
      <c r="K358" s="6">
        <v>1995</v>
      </c>
      <c r="L358" s="6">
        <f t="shared" si="10"/>
        <v>8</v>
      </c>
      <c r="N358" t="s">
        <v>161</v>
      </c>
      <c r="O358" t="s">
        <v>161</v>
      </c>
      <c r="P358" t="s">
        <v>2309</v>
      </c>
      <c r="Q358" t="s">
        <v>2100</v>
      </c>
      <c r="R358" t="s">
        <v>2065</v>
      </c>
      <c r="V358" t="s">
        <v>163</v>
      </c>
      <c r="W358" t="s">
        <v>2041</v>
      </c>
      <c r="X358" t="s">
        <v>2041</v>
      </c>
      <c r="Y358" t="s">
        <v>19</v>
      </c>
      <c r="Z358" t="str">
        <f t="shared" si="11"/>
        <v>N</v>
      </c>
      <c r="AC358" t="s">
        <v>2581</v>
      </c>
    </row>
    <row r="359" spans="2:29">
      <c r="B359" t="s">
        <v>19</v>
      </c>
      <c r="C359" t="s">
        <v>2582</v>
      </c>
      <c r="E359">
        <v>2014</v>
      </c>
      <c r="F359" t="s">
        <v>2583</v>
      </c>
      <c r="G359" t="s">
        <v>2035</v>
      </c>
      <c r="H359" s="6">
        <v>65.61666666666666</v>
      </c>
      <c r="I359" s="6">
        <v>25.05</v>
      </c>
      <c r="J359" s="6">
        <v>1972</v>
      </c>
      <c r="K359" s="6">
        <v>1999</v>
      </c>
      <c r="L359" s="6">
        <f t="shared" si="10"/>
        <v>28</v>
      </c>
      <c r="N359" t="s">
        <v>161</v>
      </c>
      <c r="O359" t="s">
        <v>161</v>
      </c>
      <c r="P359" t="s">
        <v>2309</v>
      </c>
      <c r="Q359" t="s">
        <v>2100</v>
      </c>
      <c r="R359" t="s">
        <v>2065</v>
      </c>
      <c r="V359" t="s">
        <v>163</v>
      </c>
      <c r="W359" t="s">
        <v>2041</v>
      </c>
      <c r="X359" t="s">
        <v>2041</v>
      </c>
      <c r="Y359" t="s">
        <v>19</v>
      </c>
      <c r="Z359" t="str">
        <f t="shared" si="11"/>
        <v>Y</v>
      </c>
      <c r="AC359" t="s">
        <v>2584</v>
      </c>
    </row>
    <row r="360" spans="2:29">
      <c r="B360" t="s">
        <v>19</v>
      </c>
      <c r="C360" t="s">
        <v>2585</v>
      </c>
      <c r="E360">
        <v>2014</v>
      </c>
      <c r="F360" t="s">
        <v>2586</v>
      </c>
      <c r="G360" t="s">
        <v>2035</v>
      </c>
      <c r="H360" s="6">
        <v>65.816666666666663</v>
      </c>
      <c r="I360" s="6">
        <v>24.15</v>
      </c>
      <c r="J360" s="6">
        <v>1991</v>
      </c>
      <c r="K360" s="6">
        <v>2009</v>
      </c>
      <c r="L360" s="6">
        <f t="shared" si="10"/>
        <v>19</v>
      </c>
      <c r="N360" t="s">
        <v>161</v>
      </c>
      <c r="O360" t="s">
        <v>161</v>
      </c>
      <c r="P360" t="s">
        <v>2309</v>
      </c>
      <c r="Q360" t="s">
        <v>2100</v>
      </c>
      <c r="R360" t="s">
        <v>2065</v>
      </c>
      <c r="V360" t="s">
        <v>163</v>
      </c>
      <c r="W360" t="s">
        <v>2041</v>
      </c>
      <c r="X360" t="s">
        <v>2041</v>
      </c>
      <c r="Y360" t="s">
        <v>19</v>
      </c>
      <c r="Z360" t="str">
        <f t="shared" si="11"/>
        <v>Y</v>
      </c>
      <c r="AC360" t="s">
        <v>2587</v>
      </c>
    </row>
    <row r="361" spans="2:29">
      <c r="B361" t="s">
        <v>19</v>
      </c>
      <c r="C361" t="s">
        <v>2588</v>
      </c>
      <c r="E361">
        <v>2014</v>
      </c>
      <c r="F361" t="s">
        <v>2589</v>
      </c>
      <c r="G361" t="s">
        <v>2035</v>
      </c>
      <c r="H361" s="6">
        <v>69.916666666666671</v>
      </c>
      <c r="I361" s="6">
        <v>28.033333333333335</v>
      </c>
      <c r="J361" s="6">
        <v>1989</v>
      </c>
      <c r="K361" s="6">
        <v>1995</v>
      </c>
      <c r="L361" s="6">
        <f t="shared" si="10"/>
        <v>7</v>
      </c>
      <c r="N361" t="s">
        <v>161</v>
      </c>
      <c r="O361" t="s">
        <v>161</v>
      </c>
      <c r="P361" t="s">
        <v>2309</v>
      </c>
      <c r="Q361" t="s">
        <v>2100</v>
      </c>
      <c r="R361" t="s">
        <v>2065</v>
      </c>
      <c r="V361" t="s">
        <v>163</v>
      </c>
      <c r="W361" t="s">
        <v>2041</v>
      </c>
      <c r="X361" t="s">
        <v>2041</v>
      </c>
      <c r="Y361" t="s">
        <v>19</v>
      </c>
      <c r="Z361" t="str">
        <f t="shared" si="11"/>
        <v>N</v>
      </c>
      <c r="AC361" t="s">
        <v>2590</v>
      </c>
    </row>
    <row r="362" spans="2:29">
      <c r="B362" t="s">
        <v>19</v>
      </c>
      <c r="C362" t="s">
        <v>2591</v>
      </c>
      <c r="E362">
        <v>2014</v>
      </c>
      <c r="F362" t="s">
        <v>2592</v>
      </c>
      <c r="G362" t="s">
        <v>2035</v>
      </c>
      <c r="H362" s="6">
        <v>69.983333333333334</v>
      </c>
      <c r="I362" s="6">
        <v>27.95</v>
      </c>
      <c r="J362" s="6">
        <v>1990</v>
      </c>
      <c r="K362" s="6">
        <v>1995</v>
      </c>
      <c r="L362" s="6">
        <f t="shared" si="10"/>
        <v>6</v>
      </c>
      <c r="N362" t="s">
        <v>161</v>
      </c>
      <c r="O362" t="s">
        <v>161</v>
      </c>
      <c r="P362" t="s">
        <v>2309</v>
      </c>
      <c r="Q362" t="s">
        <v>2100</v>
      </c>
      <c r="R362" t="s">
        <v>2065</v>
      </c>
      <c r="V362" t="s">
        <v>163</v>
      </c>
      <c r="W362" t="s">
        <v>2041</v>
      </c>
      <c r="X362" t="s">
        <v>2041</v>
      </c>
      <c r="Y362" t="s">
        <v>19</v>
      </c>
      <c r="Z362" t="str">
        <f t="shared" si="11"/>
        <v>N</v>
      </c>
      <c r="AC362" t="s">
        <v>2593</v>
      </c>
    </row>
    <row r="363" spans="2:29">
      <c r="B363" t="s">
        <v>19</v>
      </c>
      <c r="C363" t="s">
        <v>2594</v>
      </c>
      <c r="E363">
        <v>2014</v>
      </c>
      <c r="F363" t="s">
        <v>2595</v>
      </c>
      <c r="G363" t="s">
        <v>2035</v>
      </c>
      <c r="H363" s="6">
        <v>69.733333333333334</v>
      </c>
      <c r="I363" s="6">
        <v>26.983333333333334</v>
      </c>
      <c r="J363" s="6">
        <v>1989</v>
      </c>
      <c r="K363" s="6">
        <v>1994</v>
      </c>
      <c r="L363" s="6">
        <f t="shared" si="10"/>
        <v>6</v>
      </c>
      <c r="N363" t="s">
        <v>161</v>
      </c>
      <c r="O363" t="s">
        <v>161</v>
      </c>
      <c r="P363" t="s">
        <v>2309</v>
      </c>
      <c r="Q363" t="s">
        <v>2100</v>
      </c>
      <c r="R363" t="s">
        <v>2065</v>
      </c>
      <c r="V363" t="s">
        <v>163</v>
      </c>
      <c r="W363" t="s">
        <v>2041</v>
      </c>
      <c r="X363" t="s">
        <v>2041</v>
      </c>
      <c r="Y363" t="s">
        <v>19</v>
      </c>
      <c r="Z363" t="str">
        <f t="shared" si="11"/>
        <v>N</v>
      </c>
      <c r="AC363" t="s">
        <v>2596</v>
      </c>
    </row>
    <row r="364" spans="2:29">
      <c r="B364" t="s">
        <v>19</v>
      </c>
      <c r="C364" t="s">
        <v>2597</v>
      </c>
      <c r="E364">
        <v>2014</v>
      </c>
      <c r="F364" t="s">
        <v>2598</v>
      </c>
      <c r="G364" t="s">
        <v>2035</v>
      </c>
      <c r="H364" s="6">
        <v>69.75</v>
      </c>
      <c r="I364" s="6">
        <v>26.933333333333334</v>
      </c>
      <c r="J364" s="6">
        <v>1989</v>
      </c>
      <c r="K364" s="6">
        <v>1995</v>
      </c>
      <c r="L364" s="6">
        <f t="shared" si="10"/>
        <v>7</v>
      </c>
      <c r="N364" t="s">
        <v>161</v>
      </c>
      <c r="O364" t="s">
        <v>161</v>
      </c>
      <c r="P364" t="s">
        <v>2309</v>
      </c>
      <c r="Q364" t="s">
        <v>2100</v>
      </c>
      <c r="R364" t="s">
        <v>2065</v>
      </c>
      <c r="V364" t="s">
        <v>163</v>
      </c>
      <c r="W364" t="s">
        <v>2041</v>
      </c>
      <c r="X364" t="s">
        <v>2041</v>
      </c>
      <c r="Y364" t="s">
        <v>19</v>
      </c>
      <c r="Z364" t="str">
        <f t="shared" si="11"/>
        <v>N</v>
      </c>
      <c r="AC364" t="s">
        <v>2599</v>
      </c>
    </row>
    <row r="365" spans="2:29">
      <c r="B365" t="s">
        <v>19</v>
      </c>
      <c r="C365" t="s">
        <v>2600</v>
      </c>
      <c r="E365">
        <v>2014</v>
      </c>
      <c r="F365" t="s">
        <v>2601</v>
      </c>
      <c r="G365" t="s">
        <v>2035</v>
      </c>
      <c r="H365" s="6">
        <v>69.933333333333337</v>
      </c>
      <c r="I365" s="6">
        <v>26.716666666666665</v>
      </c>
      <c r="J365" s="6">
        <v>1991</v>
      </c>
      <c r="K365" s="6">
        <v>1994</v>
      </c>
      <c r="L365" s="6">
        <f t="shared" si="10"/>
        <v>4</v>
      </c>
      <c r="N365" t="s">
        <v>161</v>
      </c>
      <c r="O365" t="s">
        <v>161</v>
      </c>
      <c r="P365" t="s">
        <v>2309</v>
      </c>
      <c r="Q365" t="s">
        <v>2100</v>
      </c>
      <c r="R365" t="s">
        <v>2065</v>
      </c>
      <c r="V365" t="s">
        <v>163</v>
      </c>
      <c r="W365" t="s">
        <v>2041</v>
      </c>
      <c r="X365" t="s">
        <v>2041</v>
      </c>
      <c r="Y365" t="s">
        <v>19</v>
      </c>
      <c r="Z365" t="str">
        <f t="shared" si="11"/>
        <v>N</v>
      </c>
      <c r="AC365" t="s">
        <v>2602</v>
      </c>
    </row>
    <row r="366" spans="2:29">
      <c r="B366" t="s">
        <v>19</v>
      </c>
      <c r="C366" t="s">
        <v>2603</v>
      </c>
      <c r="E366">
        <v>2014</v>
      </c>
      <c r="F366" t="s">
        <v>2604</v>
      </c>
      <c r="G366" t="s">
        <v>2035</v>
      </c>
      <c r="H366" s="6">
        <v>69.36666666666666</v>
      </c>
      <c r="I366" s="6">
        <v>25.833333333333332</v>
      </c>
      <c r="J366" s="6">
        <v>1989</v>
      </c>
      <c r="K366" s="6">
        <v>1994</v>
      </c>
      <c r="L366" s="6">
        <f t="shared" si="10"/>
        <v>6</v>
      </c>
      <c r="N366" t="s">
        <v>161</v>
      </c>
      <c r="O366" t="s">
        <v>161</v>
      </c>
      <c r="P366" t="s">
        <v>2309</v>
      </c>
      <c r="Q366" t="s">
        <v>2100</v>
      </c>
      <c r="R366" t="s">
        <v>2065</v>
      </c>
      <c r="V366" t="s">
        <v>163</v>
      </c>
      <c r="W366" t="s">
        <v>2041</v>
      </c>
      <c r="X366" t="s">
        <v>2041</v>
      </c>
      <c r="Y366" t="s">
        <v>19</v>
      </c>
      <c r="Z366" t="str">
        <f t="shared" si="11"/>
        <v>N</v>
      </c>
      <c r="AC366" t="s">
        <v>2605</v>
      </c>
    </row>
    <row r="367" spans="2:29">
      <c r="B367" t="s">
        <v>19</v>
      </c>
      <c r="C367" t="s">
        <v>2606</v>
      </c>
      <c r="E367">
        <v>2014</v>
      </c>
      <c r="F367" t="s">
        <v>2607</v>
      </c>
      <c r="G367" t="s">
        <v>2035</v>
      </c>
      <c r="H367" s="6">
        <v>69.900000000000006</v>
      </c>
      <c r="I367" s="6">
        <v>27.05</v>
      </c>
      <c r="J367" s="6">
        <v>2002</v>
      </c>
      <c r="K367" s="6">
        <v>2004</v>
      </c>
      <c r="L367" s="6">
        <f t="shared" si="10"/>
        <v>3</v>
      </c>
      <c r="N367" t="s">
        <v>161</v>
      </c>
      <c r="O367" t="s">
        <v>161</v>
      </c>
      <c r="P367" t="s">
        <v>2309</v>
      </c>
      <c r="Q367" t="s">
        <v>2100</v>
      </c>
      <c r="R367" t="s">
        <v>2065</v>
      </c>
      <c r="V367" t="s">
        <v>163</v>
      </c>
      <c r="W367" t="s">
        <v>2041</v>
      </c>
      <c r="X367" t="s">
        <v>2041</v>
      </c>
      <c r="Y367" t="s">
        <v>19</v>
      </c>
      <c r="Z367" t="str">
        <f t="shared" si="11"/>
        <v>N</v>
      </c>
      <c r="AC367" t="s">
        <v>2608</v>
      </c>
    </row>
    <row r="368" spans="2:29">
      <c r="B368" t="s">
        <v>19</v>
      </c>
      <c r="C368" t="s">
        <v>2609</v>
      </c>
      <c r="E368">
        <v>2014</v>
      </c>
      <c r="F368" t="s">
        <v>2610</v>
      </c>
      <c r="G368" t="s">
        <v>2035</v>
      </c>
      <c r="H368" s="6">
        <v>70.033333333333331</v>
      </c>
      <c r="I368" s="6">
        <v>22.966666666666665</v>
      </c>
      <c r="J368" s="6">
        <v>1988</v>
      </c>
      <c r="K368" s="6">
        <v>2010</v>
      </c>
      <c r="L368" s="6">
        <f t="shared" si="10"/>
        <v>23</v>
      </c>
      <c r="N368" t="s">
        <v>161</v>
      </c>
      <c r="O368" t="s">
        <v>161</v>
      </c>
      <c r="P368" t="s">
        <v>2309</v>
      </c>
      <c r="Q368" t="s">
        <v>2100</v>
      </c>
      <c r="R368" t="s">
        <v>2065</v>
      </c>
      <c r="V368" t="s">
        <v>163</v>
      </c>
      <c r="W368" t="s">
        <v>2041</v>
      </c>
      <c r="X368" t="s">
        <v>2041</v>
      </c>
      <c r="Y368" t="s">
        <v>19</v>
      </c>
      <c r="Z368" t="str">
        <f t="shared" si="11"/>
        <v>Y</v>
      </c>
      <c r="AC368" t="s">
        <v>2611</v>
      </c>
    </row>
    <row r="369" spans="2:29">
      <c r="B369" t="s">
        <v>19</v>
      </c>
      <c r="C369" t="s">
        <v>2612</v>
      </c>
      <c r="E369">
        <v>2014</v>
      </c>
      <c r="F369" t="s">
        <v>2613</v>
      </c>
      <c r="G369" t="s">
        <v>2035</v>
      </c>
      <c r="H369" s="6">
        <v>69.966666666666669</v>
      </c>
      <c r="I369" s="6">
        <v>23.383333333333333</v>
      </c>
      <c r="J369" s="6">
        <v>1989</v>
      </c>
      <c r="K369" s="6">
        <v>2006</v>
      </c>
      <c r="L369" s="6">
        <f t="shared" si="10"/>
        <v>18</v>
      </c>
      <c r="N369" t="s">
        <v>161</v>
      </c>
      <c r="O369" t="s">
        <v>161</v>
      </c>
      <c r="P369" t="s">
        <v>2309</v>
      </c>
      <c r="Q369" t="s">
        <v>2100</v>
      </c>
      <c r="R369" t="s">
        <v>2065</v>
      </c>
      <c r="V369" t="s">
        <v>163</v>
      </c>
      <c r="W369" t="s">
        <v>2041</v>
      </c>
      <c r="X369" t="s">
        <v>2041</v>
      </c>
      <c r="Y369" t="s">
        <v>19</v>
      </c>
      <c r="Z369" t="str">
        <f t="shared" si="11"/>
        <v>N</v>
      </c>
      <c r="AC369" t="s">
        <v>2614</v>
      </c>
    </row>
    <row r="370" spans="2:29">
      <c r="B370" t="s">
        <v>19</v>
      </c>
      <c r="C370" t="s">
        <v>2615</v>
      </c>
      <c r="E370">
        <v>2014</v>
      </c>
      <c r="F370" t="s">
        <v>2616</v>
      </c>
      <c r="G370" t="s">
        <v>2035</v>
      </c>
      <c r="H370" s="6">
        <v>69.05</v>
      </c>
      <c r="I370" s="6">
        <v>15.866666666666667</v>
      </c>
      <c r="J370" s="6">
        <v>2006</v>
      </c>
      <c r="K370" s="6">
        <v>2009</v>
      </c>
      <c r="L370" s="6">
        <f t="shared" si="10"/>
        <v>4</v>
      </c>
      <c r="N370" t="s">
        <v>161</v>
      </c>
      <c r="O370" t="s">
        <v>161</v>
      </c>
      <c r="P370" t="s">
        <v>2309</v>
      </c>
      <c r="Q370" t="s">
        <v>2100</v>
      </c>
      <c r="R370" t="s">
        <v>2065</v>
      </c>
      <c r="V370" t="s">
        <v>163</v>
      </c>
      <c r="W370" t="s">
        <v>2041</v>
      </c>
      <c r="X370" t="s">
        <v>2041</v>
      </c>
      <c r="Y370" t="s">
        <v>19</v>
      </c>
      <c r="Z370" t="str">
        <f t="shared" si="11"/>
        <v>N</v>
      </c>
      <c r="AC370" t="s">
        <v>2617</v>
      </c>
    </row>
    <row r="371" spans="2:29">
      <c r="B371" t="s">
        <v>19</v>
      </c>
      <c r="C371" t="s">
        <v>2618</v>
      </c>
      <c r="E371">
        <v>2014</v>
      </c>
      <c r="F371" t="s">
        <v>2619</v>
      </c>
      <c r="G371" t="s">
        <v>2035</v>
      </c>
      <c r="H371" s="6">
        <v>68.25</v>
      </c>
      <c r="I371" s="6">
        <v>17.399999999999999</v>
      </c>
      <c r="J371" s="6">
        <v>2004</v>
      </c>
      <c r="K371" s="6">
        <v>2008</v>
      </c>
      <c r="L371" s="6">
        <f t="shared" si="10"/>
        <v>5</v>
      </c>
      <c r="N371" t="s">
        <v>161</v>
      </c>
      <c r="O371" t="s">
        <v>161</v>
      </c>
      <c r="P371" t="s">
        <v>2309</v>
      </c>
      <c r="Q371" t="s">
        <v>2100</v>
      </c>
      <c r="R371" t="s">
        <v>2065</v>
      </c>
      <c r="V371" t="s">
        <v>163</v>
      </c>
      <c r="W371" t="s">
        <v>2041</v>
      </c>
      <c r="X371" t="s">
        <v>2041</v>
      </c>
      <c r="Y371" t="s">
        <v>19</v>
      </c>
      <c r="Z371" t="str">
        <f t="shared" si="11"/>
        <v>N</v>
      </c>
      <c r="AC371" t="s">
        <v>2620</v>
      </c>
    </row>
    <row r="372" spans="2:29">
      <c r="B372" t="s">
        <v>19</v>
      </c>
      <c r="C372" t="s">
        <v>2621</v>
      </c>
      <c r="E372">
        <v>2014</v>
      </c>
      <c r="F372" t="s">
        <v>2622</v>
      </c>
      <c r="G372" t="s">
        <v>2035</v>
      </c>
      <c r="H372" s="6">
        <v>67.099999999999994</v>
      </c>
      <c r="I372" s="6">
        <v>15.433333333333334</v>
      </c>
      <c r="J372" s="6">
        <v>1990</v>
      </c>
      <c r="K372" s="6">
        <v>1994</v>
      </c>
      <c r="L372" s="6">
        <f t="shared" si="10"/>
        <v>5</v>
      </c>
      <c r="N372" t="s">
        <v>161</v>
      </c>
      <c r="O372" t="s">
        <v>161</v>
      </c>
      <c r="P372" t="s">
        <v>2309</v>
      </c>
      <c r="Q372" t="s">
        <v>2100</v>
      </c>
      <c r="R372" t="s">
        <v>2065</v>
      </c>
      <c r="V372" t="s">
        <v>163</v>
      </c>
      <c r="W372" t="s">
        <v>2041</v>
      </c>
      <c r="X372" t="s">
        <v>2041</v>
      </c>
      <c r="Y372" t="s">
        <v>19</v>
      </c>
      <c r="Z372" t="str">
        <f t="shared" si="11"/>
        <v>N</v>
      </c>
      <c r="AC372" t="s">
        <v>2623</v>
      </c>
    </row>
    <row r="373" spans="2:29">
      <c r="B373" t="s">
        <v>19</v>
      </c>
      <c r="C373" t="s">
        <v>2624</v>
      </c>
      <c r="E373">
        <v>2014</v>
      </c>
      <c r="F373" t="s">
        <v>2625</v>
      </c>
      <c r="G373" t="s">
        <v>2035</v>
      </c>
      <c r="H373" s="6">
        <v>65.13333333333334</v>
      </c>
      <c r="I373" s="6">
        <v>12.583333333333334</v>
      </c>
      <c r="J373" s="6">
        <v>2006</v>
      </c>
      <c r="K373" s="6">
        <v>2008</v>
      </c>
      <c r="L373" s="6">
        <f t="shared" si="10"/>
        <v>3</v>
      </c>
      <c r="N373" t="s">
        <v>161</v>
      </c>
      <c r="O373" t="s">
        <v>161</v>
      </c>
      <c r="P373" t="s">
        <v>2309</v>
      </c>
      <c r="Q373" t="s">
        <v>2100</v>
      </c>
      <c r="R373" t="s">
        <v>2065</v>
      </c>
      <c r="V373" t="s">
        <v>163</v>
      </c>
      <c r="W373" t="s">
        <v>2041</v>
      </c>
      <c r="X373" t="s">
        <v>2041</v>
      </c>
      <c r="Y373" t="s">
        <v>19</v>
      </c>
      <c r="Z373" t="str">
        <f t="shared" si="11"/>
        <v>N</v>
      </c>
      <c r="AC373" t="s">
        <v>2626</v>
      </c>
    </row>
    <row r="374" spans="2:29">
      <c r="B374" t="s">
        <v>19</v>
      </c>
      <c r="C374" t="s">
        <v>2627</v>
      </c>
      <c r="E374">
        <v>2014</v>
      </c>
      <c r="F374" t="s">
        <v>2628</v>
      </c>
      <c r="G374" t="s">
        <v>2035</v>
      </c>
      <c r="H374" s="6">
        <v>63.45</v>
      </c>
      <c r="I374" s="6">
        <v>10.9</v>
      </c>
      <c r="J374" s="6">
        <v>1991</v>
      </c>
      <c r="K374" s="6">
        <v>2005</v>
      </c>
      <c r="L374" s="6">
        <f t="shared" si="10"/>
        <v>15</v>
      </c>
      <c r="N374" t="s">
        <v>161</v>
      </c>
      <c r="O374" t="s">
        <v>161</v>
      </c>
      <c r="P374" t="s">
        <v>2309</v>
      </c>
      <c r="Q374" t="s">
        <v>2100</v>
      </c>
      <c r="R374" t="s">
        <v>2065</v>
      </c>
      <c r="V374" t="s">
        <v>163</v>
      </c>
      <c r="W374" t="s">
        <v>2041</v>
      </c>
      <c r="X374" t="s">
        <v>2041</v>
      </c>
      <c r="Y374" t="s">
        <v>19</v>
      </c>
      <c r="Z374" t="str">
        <f t="shared" si="11"/>
        <v>N</v>
      </c>
      <c r="AC374" t="s">
        <v>2629</v>
      </c>
    </row>
    <row r="375" spans="2:29">
      <c r="B375" t="s">
        <v>19</v>
      </c>
      <c r="C375" t="s">
        <v>2630</v>
      </c>
      <c r="E375">
        <v>2014</v>
      </c>
      <c r="F375" t="s">
        <v>2631</v>
      </c>
      <c r="G375" t="s">
        <v>2035</v>
      </c>
      <c r="H375" s="6">
        <v>63.31666666666667</v>
      </c>
      <c r="I375" s="6">
        <v>9.8333333333333339</v>
      </c>
      <c r="J375" s="6">
        <v>1983</v>
      </c>
      <c r="K375" s="6">
        <v>2009</v>
      </c>
      <c r="L375" s="6">
        <f t="shared" si="10"/>
        <v>27</v>
      </c>
      <c r="N375" t="s">
        <v>161</v>
      </c>
      <c r="O375" t="s">
        <v>161</v>
      </c>
      <c r="P375" t="s">
        <v>2309</v>
      </c>
      <c r="Q375" t="s">
        <v>2100</v>
      </c>
      <c r="R375" t="s">
        <v>2065</v>
      </c>
      <c r="V375" t="s">
        <v>163</v>
      </c>
      <c r="W375" t="s">
        <v>2041</v>
      </c>
      <c r="X375" t="s">
        <v>2041</v>
      </c>
      <c r="Y375" t="s">
        <v>19</v>
      </c>
      <c r="Z375" t="str">
        <f t="shared" si="11"/>
        <v>Y</v>
      </c>
      <c r="AC375" t="s">
        <v>2632</v>
      </c>
    </row>
    <row r="376" spans="2:29">
      <c r="B376" t="s">
        <v>19</v>
      </c>
      <c r="C376" t="s">
        <v>2633</v>
      </c>
      <c r="E376">
        <v>2014</v>
      </c>
      <c r="F376" t="s">
        <v>2634</v>
      </c>
      <c r="G376" t="s">
        <v>2035</v>
      </c>
      <c r="H376" s="6">
        <v>62.85</v>
      </c>
      <c r="I376" s="6">
        <v>8.5500000000000007</v>
      </c>
      <c r="J376" s="6">
        <v>2005</v>
      </c>
      <c r="K376" s="6">
        <v>2009</v>
      </c>
      <c r="L376" s="6">
        <f t="shared" si="10"/>
        <v>5</v>
      </c>
      <c r="N376" t="s">
        <v>161</v>
      </c>
      <c r="O376" t="s">
        <v>161</v>
      </c>
      <c r="P376" t="s">
        <v>2309</v>
      </c>
      <c r="Q376" t="s">
        <v>2100</v>
      </c>
      <c r="R376" t="s">
        <v>2065</v>
      </c>
      <c r="V376" t="s">
        <v>163</v>
      </c>
      <c r="W376" t="s">
        <v>2041</v>
      </c>
      <c r="X376" t="s">
        <v>2041</v>
      </c>
      <c r="Y376" t="s">
        <v>19</v>
      </c>
      <c r="Z376" t="str">
        <f t="shared" si="11"/>
        <v>N</v>
      </c>
      <c r="AC376" t="s">
        <v>2635</v>
      </c>
    </row>
    <row r="377" spans="2:29">
      <c r="B377" t="s">
        <v>19</v>
      </c>
      <c r="C377" t="s">
        <v>2636</v>
      </c>
      <c r="E377">
        <v>2014</v>
      </c>
      <c r="F377" t="s">
        <v>2637</v>
      </c>
      <c r="G377" t="s">
        <v>2035</v>
      </c>
      <c r="H377" s="6">
        <v>62.68333333333333</v>
      </c>
      <c r="I377" s="6">
        <v>8.1333333333333329</v>
      </c>
      <c r="J377" s="6">
        <v>2001</v>
      </c>
      <c r="K377" s="6">
        <v>2010</v>
      </c>
      <c r="L377" s="6">
        <f t="shared" si="10"/>
        <v>10</v>
      </c>
      <c r="N377" t="s">
        <v>161</v>
      </c>
      <c r="O377" t="s">
        <v>161</v>
      </c>
      <c r="P377" t="s">
        <v>2309</v>
      </c>
      <c r="Q377" t="s">
        <v>2100</v>
      </c>
      <c r="R377" t="s">
        <v>2065</v>
      </c>
      <c r="V377" t="s">
        <v>163</v>
      </c>
      <c r="W377" t="s">
        <v>2041</v>
      </c>
      <c r="X377" t="s">
        <v>2041</v>
      </c>
      <c r="Y377" t="s">
        <v>19</v>
      </c>
      <c r="Z377" t="str">
        <f t="shared" si="11"/>
        <v>N</v>
      </c>
      <c r="AC377" t="s">
        <v>2638</v>
      </c>
    </row>
    <row r="378" spans="2:29">
      <c r="B378" t="s">
        <v>19</v>
      </c>
      <c r="C378" t="s">
        <v>2639</v>
      </c>
      <c r="E378">
        <v>2014</v>
      </c>
      <c r="F378" t="s">
        <v>2640</v>
      </c>
      <c r="G378" t="s">
        <v>2035</v>
      </c>
      <c r="H378" s="6">
        <v>62.966666666666669</v>
      </c>
      <c r="I378" s="6">
        <v>7.083333333333333</v>
      </c>
      <c r="J378" s="6">
        <v>2004</v>
      </c>
      <c r="K378" s="6">
        <v>2009</v>
      </c>
      <c r="L378" s="6">
        <f t="shared" si="10"/>
        <v>6</v>
      </c>
      <c r="N378" t="s">
        <v>161</v>
      </c>
      <c r="O378" t="s">
        <v>161</v>
      </c>
      <c r="P378" t="s">
        <v>2309</v>
      </c>
      <c r="Q378" t="s">
        <v>2100</v>
      </c>
      <c r="R378" t="s">
        <v>2065</v>
      </c>
      <c r="V378" t="s">
        <v>163</v>
      </c>
      <c r="W378" t="s">
        <v>2041</v>
      </c>
      <c r="X378" t="s">
        <v>2041</v>
      </c>
      <c r="Y378" t="s">
        <v>19</v>
      </c>
      <c r="Z378" t="str">
        <f t="shared" si="11"/>
        <v>N</v>
      </c>
      <c r="AC378" t="s">
        <v>2641</v>
      </c>
    </row>
    <row r="379" spans="2:29">
      <c r="B379" t="s">
        <v>19</v>
      </c>
      <c r="C379" t="s">
        <v>2642</v>
      </c>
      <c r="E379">
        <v>2014</v>
      </c>
      <c r="F379" t="s">
        <v>2643</v>
      </c>
      <c r="G379" t="s">
        <v>2035</v>
      </c>
      <c r="H379" s="6">
        <v>60.9</v>
      </c>
      <c r="I379" s="6">
        <v>7.1833333333333336</v>
      </c>
      <c r="J379" s="6">
        <v>2001</v>
      </c>
      <c r="K379" s="6">
        <v>2006</v>
      </c>
      <c r="L379" s="6">
        <f t="shared" si="10"/>
        <v>6</v>
      </c>
      <c r="N379" t="s">
        <v>161</v>
      </c>
      <c r="O379" t="s">
        <v>161</v>
      </c>
      <c r="P379" t="s">
        <v>2309</v>
      </c>
      <c r="Q379" t="s">
        <v>2100</v>
      </c>
      <c r="R379" t="s">
        <v>2065</v>
      </c>
      <c r="V379" t="s">
        <v>163</v>
      </c>
      <c r="W379" t="s">
        <v>2041</v>
      </c>
      <c r="X379" t="s">
        <v>2041</v>
      </c>
      <c r="Y379" t="s">
        <v>19</v>
      </c>
      <c r="Z379" t="str">
        <f t="shared" si="11"/>
        <v>N</v>
      </c>
      <c r="AC379" t="s">
        <v>2644</v>
      </c>
    </row>
    <row r="380" spans="2:29">
      <c r="B380" t="s">
        <v>19</v>
      </c>
      <c r="C380" t="s">
        <v>2645</v>
      </c>
      <c r="E380">
        <v>2014</v>
      </c>
      <c r="F380" t="s">
        <v>2646</v>
      </c>
      <c r="G380" t="s">
        <v>2035</v>
      </c>
      <c r="H380" s="6">
        <v>60.866666666666667</v>
      </c>
      <c r="I380" s="6">
        <v>7.1166666666666663</v>
      </c>
      <c r="J380" s="6">
        <v>2002</v>
      </c>
      <c r="K380" s="6">
        <v>2006</v>
      </c>
      <c r="L380" s="6">
        <f t="shared" si="10"/>
        <v>5</v>
      </c>
      <c r="N380" t="s">
        <v>161</v>
      </c>
      <c r="O380" t="s">
        <v>161</v>
      </c>
      <c r="P380" t="s">
        <v>2309</v>
      </c>
      <c r="Q380" t="s">
        <v>2100</v>
      </c>
      <c r="R380" t="s">
        <v>2065</v>
      </c>
      <c r="V380" t="s">
        <v>163</v>
      </c>
      <c r="W380" t="s">
        <v>2041</v>
      </c>
      <c r="X380" t="s">
        <v>2041</v>
      </c>
      <c r="Y380" t="s">
        <v>19</v>
      </c>
      <c r="Z380" t="str">
        <f t="shared" si="11"/>
        <v>N</v>
      </c>
      <c r="AC380" t="s">
        <v>2647</v>
      </c>
    </row>
    <row r="381" spans="2:29">
      <c r="B381" t="s">
        <v>19</v>
      </c>
      <c r="C381" t="s">
        <v>2648</v>
      </c>
      <c r="E381">
        <v>2014</v>
      </c>
      <c r="F381" t="s">
        <v>2649</v>
      </c>
      <c r="G381" t="s">
        <v>2035</v>
      </c>
      <c r="H381" s="6">
        <v>60.633333333333333</v>
      </c>
      <c r="I381" s="6">
        <v>5.95</v>
      </c>
      <c r="J381" s="6">
        <v>2001</v>
      </c>
      <c r="K381" s="6">
        <v>2007</v>
      </c>
      <c r="L381" s="6">
        <f t="shared" si="10"/>
        <v>7</v>
      </c>
      <c r="N381" t="s">
        <v>161</v>
      </c>
      <c r="O381" t="s">
        <v>161</v>
      </c>
      <c r="P381" t="s">
        <v>2309</v>
      </c>
      <c r="Q381" t="s">
        <v>2100</v>
      </c>
      <c r="R381" t="s">
        <v>2065</v>
      </c>
      <c r="V381" t="s">
        <v>163</v>
      </c>
      <c r="W381" t="s">
        <v>2041</v>
      </c>
      <c r="X381" t="s">
        <v>2041</v>
      </c>
      <c r="Y381" t="s">
        <v>19</v>
      </c>
      <c r="Z381" t="str">
        <f t="shared" si="11"/>
        <v>N</v>
      </c>
      <c r="AC381" t="s">
        <v>2650</v>
      </c>
    </row>
    <row r="382" spans="2:29">
      <c r="B382" t="s">
        <v>19</v>
      </c>
      <c r="C382" t="s">
        <v>2651</v>
      </c>
      <c r="E382">
        <v>2014</v>
      </c>
      <c r="F382" t="s">
        <v>2652</v>
      </c>
      <c r="G382" t="s">
        <v>2035</v>
      </c>
      <c r="H382" s="6">
        <v>59.966666666666669</v>
      </c>
      <c r="I382" s="6">
        <v>6</v>
      </c>
      <c r="J382" s="6">
        <v>2001</v>
      </c>
      <c r="K382" s="6">
        <v>2010</v>
      </c>
      <c r="L382" s="6">
        <f t="shared" si="10"/>
        <v>10</v>
      </c>
      <c r="N382" t="s">
        <v>161</v>
      </c>
      <c r="O382" t="s">
        <v>161</v>
      </c>
      <c r="P382" t="s">
        <v>2309</v>
      </c>
      <c r="Q382" t="s">
        <v>2100</v>
      </c>
      <c r="R382" t="s">
        <v>2065</v>
      </c>
      <c r="V382" t="s">
        <v>163</v>
      </c>
      <c r="W382" t="s">
        <v>2041</v>
      </c>
      <c r="X382" t="s">
        <v>2041</v>
      </c>
      <c r="Y382" t="s">
        <v>19</v>
      </c>
      <c r="Z382" t="str">
        <f t="shared" si="11"/>
        <v>N</v>
      </c>
      <c r="AC382" t="s">
        <v>2653</v>
      </c>
    </row>
    <row r="383" spans="2:29">
      <c r="B383" t="s">
        <v>19</v>
      </c>
      <c r="C383" t="s">
        <v>2654</v>
      </c>
      <c r="E383">
        <v>2014</v>
      </c>
      <c r="F383" t="s">
        <v>2655</v>
      </c>
      <c r="G383" t="s">
        <v>2035</v>
      </c>
      <c r="H383" s="6">
        <v>59.483333333333334</v>
      </c>
      <c r="I383" s="6">
        <v>6.25</v>
      </c>
      <c r="J383" s="6">
        <v>1995</v>
      </c>
      <c r="K383" s="6">
        <v>2010</v>
      </c>
      <c r="L383" s="6">
        <f t="shared" si="10"/>
        <v>16</v>
      </c>
      <c r="N383" t="s">
        <v>161</v>
      </c>
      <c r="O383" t="s">
        <v>161</v>
      </c>
      <c r="P383" t="s">
        <v>2309</v>
      </c>
      <c r="Q383" t="s">
        <v>2100</v>
      </c>
      <c r="R383" t="s">
        <v>2065</v>
      </c>
      <c r="V383" t="s">
        <v>163</v>
      </c>
      <c r="W383" t="s">
        <v>2041</v>
      </c>
      <c r="X383" t="s">
        <v>2041</v>
      </c>
      <c r="Y383" t="s">
        <v>19</v>
      </c>
      <c r="Z383" t="str">
        <f t="shared" si="11"/>
        <v>N</v>
      </c>
      <c r="AC383" t="s">
        <v>2656</v>
      </c>
    </row>
    <row r="384" spans="2:29">
      <c r="B384" t="s">
        <v>19</v>
      </c>
      <c r="C384" t="s">
        <v>2657</v>
      </c>
      <c r="E384">
        <v>2014</v>
      </c>
      <c r="F384" t="s">
        <v>2658</v>
      </c>
      <c r="G384" t="s">
        <v>2035</v>
      </c>
      <c r="H384" s="6">
        <v>58.833333333333336</v>
      </c>
      <c r="I384" s="6">
        <v>5.9666666666666668</v>
      </c>
      <c r="J384" s="6">
        <v>1976</v>
      </c>
      <c r="K384" s="6">
        <v>2009</v>
      </c>
      <c r="L384" s="6">
        <f t="shared" si="10"/>
        <v>34</v>
      </c>
      <c r="N384" t="s">
        <v>161</v>
      </c>
      <c r="O384" t="s">
        <v>161</v>
      </c>
      <c r="P384" t="s">
        <v>2309</v>
      </c>
      <c r="Q384" t="s">
        <v>2100</v>
      </c>
      <c r="R384" t="s">
        <v>2065</v>
      </c>
      <c r="V384" t="s">
        <v>163</v>
      </c>
      <c r="W384" t="s">
        <v>2041</v>
      </c>
      <c r="X384" t="s">
        <v>2041</v>
      </c>
      <c r="Y384" t="s">
        <v>19</v>
      </c>
      <c r="Z384" t="str">
        <f t="shared" si="11"/>
        <v>Y</v>
      </c>
      <c r="AC384" t="s">
        <v>2659</v>
      </c>
    </row>
    <row r="385" spans="2:29">
      <c r="B385" t="s">
        <v>19</v>
      </c>
      <c r="C385" t="s">
        <v>2660</v>
      </c>
      <c r="E385">
        <v>2014</v>
      </c>
      <c r="F385" t="s">
        <v>2661</v>
      </c>
      <c r="G385" t="s">
        <v>2035</v>
      </c>
      <c r="H385" s="6">
        <v>58.016666666666666</v>
      </c>
      <c r="I385" s="6">
        <v>7.45</v>
      </c>
      <c r="J385" s="6">
        <v>2001</v>
      </c>
      <c r="K385" s="6">
        <v>2007</v>
      </c>
      <c r="L385" s="6">
        <f t="shared" si="10"/>
        <v>7</v>
      </c>
      <c r="N385" t="s">
        <v>161</v>
      </c>
      <c r="O385" t="s">
        <v>161</v>
      </c>
      <c r="P385" t="s">
        <v>2309</v>
      </c>
      <c r="Q385" t="s">
        <v>2100</v>
      </c>
      <c r="R385" t="s">
        <v>2065</v>
      </c>
      <c r="V385" t="s">
        <v>163</v>
      </c>
      <c r="W385" t="s">
        <v>2041</v>
      </c>
      <c r="X385" t="s">
        <v>2041</v>
      </c>
      <c r="Y385" t="s">
        <v>19</v>
      </c>
      <c r="Z385" t="str">
        <f t="shared" si="11"/>
        <v>N</v>
      </c>
      <c r="AC385" t="s">
        <v>2662</v>
      </c>
    </row>
    <row r="386" spans="2:29">
      <c r="B386" t="s">
        <v>19</v>
      </c>
      <c r="C386" t="s">
        <v>2663</v>
      </c>
      <c r="E386">
        <v>2014</v>
      </c>
      <c r="F386" t="s">
        <v>2664</v>
      </c>
      <c r="G386" t="s">
        <v>2035</v>
      </c>
      <c r="H386" s="6">
        <v>58.2</v>
      </c>
      <c r="I386" s="6">
        <v>8.0833333333333339</v>
      </c>
      <c r="J386" s="6">
        <v>2004</v>
      </c>
      <c r="K386" s="6">
        <v>2010</v>
      </c>
      <c r="L386" s="6">
        <f t="shared" ref="L386:L449" si="12">K386-J386+1</f>
        <v>7</v>
      </c>
      <c r="N386" t="s">
        <v>161</v>
      </c>
      <c r="O386" t="s">
        <v>161</v>
      </c>
      <c r="P386" t="s">
        <v>2309</v>
      </c>
      <c r="Q386" t="s">
        <v>2100</v>
      </c>
      <c r="R386" t="s">
        <v>2065</v>
      </c>
      <c r="V386" t="s">
        <v>163</v>
      </c>
      <c r="W386" t="s">
        <v>2041</v>
      </c>
      <c r="X386" t="s">
        <v>2041</v>
      </c>
      <c r="Y386" t="s">
        <v>19</v>
      </c>
      <c r="Z386" t="str">
        <f t="shared" ref="Z386:Z449" si="13">IF(L386&gt;=19,"Y","N")</f>
        <v>N</v>
      </c>
      <c r="AC386" t="s">
        <v>2665</v>
      </c>
    </row>
    <row r="387" spans="2:29">
      <c r="B387" t="s">
        <v>19</v>
      </c>
      <c r="C387" t="s">
        <v>2666</v>
      </c>
      <c r="E387">
        <v>2014</v>
      </c>
      <c r="F387" t="s">
        <v>2667</v>
      </c>
      <c r="G387" t="s">
        <v>2035</v>
      </c>
      <c r="H387" s="6">
        <v>58.68333333333333</v>
      </c>
      <c r="I387" s="6">
        <v>9.0666666666666664</v>
      </c>
      <c r="J387" s="6">
        <v>2005</v>
      </c>
      <c r="K387" s="6">
        <v>2010</v>
      </c>
      <c r="L387" s="6">
        <f t="shared" si="12"/>
        <v>6</v>
      </c>
      <c r="N387" t="s">
        <v>161</v>
      </c>
      <c r="O387" t="s">
        <v>161</v>
      </c>
      <c r="P387" t="s">
        <v>2309</v>
      </c>
      <c r="Q387" t="s">
        <v>2100</v>
      </c>
      <c r="R387" t="s">
        <v>2065</v>
      </c>
      <c r="V387" t="s">
        <v>163</v>
      </c>
      <c r="W387" t="s">
        <v>2041</v>
      </c>
      <c r="X387" t="s">
        <v>2041</v>
      </c>
      <c r="Y387" t="s">
        <v>19</v>
      </c>
      <c r="Z387" t="str">
        <f t="shared" si="13"/>
        <v>N</v>
      </c>
      <c r="AC387" t="s">
        <v>2668</v>
      </c>
    </row>
    <row r="388" spans="2:29">
      <c r="B388" t="s">
        <v>19</v>
      </c>
      <c r="C388" t="s">
        <v>2669</v>
      </c>
      <c r="E388">
        <v>2014</v>
      </c>
      <c r="F388" t="s">
        <v>2670</v>
      </c>
      <c r="G388" t="s">
        <v>2035</v>
      </c>
      <c r="H388" s="6">
        <v>63.8</v>
      </c>
      <c r="I388" s="6">
        <v>20.566666666666666</v>
      </c>
      <c r="J388" s="6">
        <v>2005</v>
      </c>
      <c r="K388" s="6">
        <v>2010</v>
      </c>
      <c r="L388" s="6">
        <f t="shared" si="12"/>
        <v>6</v>
      </c>
      <c r="N388" t="s">
        <v>161</v>
      </c>
      <c r="O388" t="s">
        <v>161</v>
      </c>
      <c r="P388" t="s">
        <v>2309</v>
      </c>
      <c r="Q388" t="s">
        <v>2100</v>
      </c>
      <c r="R388" t="s">
        <v>2065</v>
      </c>
      <c r="V388" t="s">
        <v>163</v>
      </c>
      <c r="W388" t="s">
        <v>2041</v>
      </c>
      <c r="X388" t="s">
        <v>2041</v>
      </c>
      <c r="Y388" t="s">
        <v>19</v>
      </c>
      <c r="Z388" t="str">
        <f t="shared" si="13"/>
        <v>N</v>
      </c>
      <c r="AC388" t="s">
        <v>2671</v>
      </c>
    </row>
    <row r="389" spans="2:29">
      <c r="B389" t="s">
        <v>19</v>
      </c>
      <c r="C389" t="s">
        <v>2672</v>
      </c>
      <c r="E389">
        <v>2014</v>
      </c>
      <c r="F389" t="s">
        <v>2673</v>
      </c>
      <c r="G389" t="s">
        <v>2035</v>
      </c>
      <c r="H389" s="6">
        <v>64.083333333333329</v>
      </c>
      <c r="I389" s="6">
        <v>20.933333333333334</v>
      </c>
      <c r="J389" s="6">
        <v>1961</v>
      </c>
      <c r="K389" s="6">
        <v>1965</v>
      </c>
      <c r="L389" s="6">
        <f t="shared" si="12"/>
        <v>5</v>
      </c>
      <c r="N389" t="s">
        <v>161</v>
      </c>
      <c r="O389" t="s">
        <v>161</v>
      </c>
      <c r="P389" t="s">
        <v>2309</v>
      </c>
      <c r="Q389" t="s">
        <v>2100</v>
      </c>
      <c r="R389" t="s">
        <v>2065</v>
      </c>
      <c r="V389" t="s">
        <v>163</v>
      </c>
      <c r="W389" t="s">
        <v>2041</v>
      </c>
      <c r="X389" t="s">
        <v>2041</v>
      </c>
      <c r="Y389" t="s">
        <v>19</v>
      </c>
      <c r="Z389" t="str">
        <f t="shared" si="13"/>
        <v>N</v>
      </c>
      <c r="AC389" t="s">
        <v>2674</v>
      </c>
    </row>
    <row r="390" spans="2:29">
      <c r="B390" t="s">
        <v>19</v>
      </c>
      <c r="C390" t="s">
        <v>2675</v>
      </c>
      <c r="E390">
        <v>2014</v>
      </c>
      <c r="F390" t="s">
        <v>2676</v>
      </c>
      <c r="G390" t="s">
        <v>2035</v>
      </c>
      <c r="H390" s="6">
        <v>56.31666666666667</v>
      </c>
      <c r="I390" s="6">
        <v>14.716666666666667</v>
      </c>
      <c r="J390" s="6">
        <v>1963</v>
      </c>
      <c r="K390" s="6">
        <v>1966</v>
      </c>
      <c r="L390" s="6">
        <f t="shared" si="12"/>
        <v>4</v>
      </c>
      <c r="N390" t="s">
        <v>161</v>
      </c>
      <c r="O390" t="s">
        <v>161</v>
      </c>
      <c r="P390" t="s">
        <v>2309</v>
      </c>
      <c r="Q390" t="s">
        <v>2100</v>
      </c>
      <c r="R390" t="s">
        <v>2065</v>
      </c>
      <c r="V390" t="s">
        <v>163</v>
      </c>
      <c r="W390" t="s">
        <v>2041</v>
      </c>
      <c r="X390" t="s">
        <v>2041</v>
      </c>
      <c r="Y390" t="s">
        <v>19</v>
      </c>
      <c r="Z390" t="str">
        <f t="shared" si="13"/>
        <v>N</v>
      </c>
      <c r="AC390" t="s">
        <v>2677</v>
      </c>
    </row>
    <row r="391" spans="2:29">
      <c r="B391" t="s">
        <v>19</v>
      </c>
      <c r="C391" t="s">
        <v>2678</v>
      </c>
      <c r="E391">
        <v>2014</v>
      </c>
      <c r="F391" t="s">
        <v>2679</v>
      </c>
      <c r="G391" t="s">
        <v>2035</v>
      </c>
      <c r="H391" s="6">
        <v>56.3</v>
      </c>
      <c r="I391" s="6">
        <v>14.716666666666667</v>
      </c>
      <c r="J391" s="6">
        <v>1963</v>
      </c>
      <c r="K391" s="6">
        <v>1966</v>
      </c>
      <c r="L391" s="6">
        <f t="shared" si="12"/>
        <v>4</v>
      </c>
      <c r="N391" t="s">
        <v>161</v>
      </c>
      <c r="O391" t="s">
        <v>161</v>
      </c>
      <c r="P391" t="s">
        <v>2309</v>
      </c>
      <c r="Q391" t="s">
        <v>2100</v>
      </c>
      <c r="R391" t="s">
        <v>2065</v>
      </c>
      <c r="V391" t="s">
        <v>163</v>
      </c>
      <c r="W391" t="s">
        <v>2041</v>
      </c>
      <c r="X391" t="s">
        <v>2041</v>
      </c>
      <c r="Y391" t="s">
        <v>19</v>
      </c>
      <c r="Z391" t="str">
        <f t="shared" si="13"/>
        <v>N</v>
      </c>
      <c r="AC391" t="s">
        <v>2680</v>
      </c>
    </row>
    <row r="392" spans="2:29">
      <c r="B392" t="s">
        <v>19</v>
      </c>
      <c r="C392" t="s">
        <v>2681</v>
      </c>
      <c r="E392">
        <v>2014</v>
      </c>
      <c r="F392" t="s">
        <v>2682</v>
      </c>
      <c r="G392" t="s">
        <v>2035</v>
      </c>
      <c r="H392" s="6">
        <v>56.25</v>
      </c>
      <c r="I392" s="6">
        <v>14.766666666666667</v>
      </c>
      <c r="J392" s="6">
        <v>1963</v>
      </c>
      <c r="K392" s="6">
        <v>1966</v>
      </c>
      <c r="L392" s="6">
        <f t="shared" si="12"/>
        <v>4</v>
      </c>
      <c r="N392" t="s">
        <v>161</v>
      </c>
      <c r="O392" t="s">
        <v>161</v>
      </c>
      <c r="P392" t="s">
        <v>2309</v>
      </c>
      <c r="Q392" t="s">
        <v>2100</v>
      </c>
      <c r="R392" t="s">
        <v>2065</v>
      </c>
      <c r="V392" t="s">
        <v>163</v>
      </c>
      <c r="W392" t="s">
        <v>2041</v>
      </c>
      <c r="X392" t="s">
        <v>2041</v>
      </c>
      <c r="Y392" t="s">
        <v>19</v>
      </c>
      <c r="Z392" t="str">
        <f t="shared" si="13"/>
        <v>N</v>
      </c>
      <c r="AC392" t="s">
        <v>2683</v>
      </c>
    </row>
    <row r="393" spans="2:29">
      <c r="B393" t="s">
        <v>19</v>
      </c>
      <c r="C393" t="s">
        <v>2684</v>
      </c>
      <c r="E393">
        <v>2014</v>
      </c>
      <c r="F393" t="s">
        <v>2685</v>
      </c>
      <c r="G393" t="s">
        <v>2035</v>
      </c>
      <c r="H393" s="6">
        <v>49.283333333333331</v>
      </c>
      <c r="I393" s="6">
        <v>-54.93333333333333</v>
      </c>
      <c r="J393" s="6">
        <v>1993</v>
      </c>
      <c r="K393" s="6">
        <v>2010</v>
      </c>
      <c r="L393" s="6">
        <f t="shared" si="12"/>
        <v>18</v>
      </c>
      <c r="N393" t="s">
        <v>161</v>
      </c>
      <c r="O393" t="s">
        <v>161</v>
      </c>
      <c r="P393" t="s">
        <v>2309</v>
      </c>
      <c r="Q393" t="s">
        <v>2100</v>
      </c>
      <c r="R393" t="s">
        <v>2065</v>
      </c>
      <c r="V393" t="s">
        <v>163</v>
      </c>
      <c r="W393" t="s">
        <v>2041</v>
      </c>
      <c r="X393" t="s">
        <v>2041</v>
      </c>
      <c r="Y393" t="s">
        <v>19</v>
      </c>
      <c r="Z393" t="str">
        <f t="shared" si="13"/>
        <v>N</v>
      </c>
      <c r="AC393" t="s">
        <v>2686</v>
      </c>
    </row>
    <row r="394" spans="2:29">
      <c r="B394" t="s">
        <v>19</v>
      </c>
      <c r="C394" t="s">
        <v>2687</v>
      </c>
      <c r="E394">
        <v>2014</v>
      </c>
      <c r="F394" t="s">
        <v>2688</v>
      </c>
      <c r="G394" t="s">
        <v>2035</v>
      </c>
      <c r="H394" s="6">
        <v>46.766666666666666</v>
      </c>
      <c r="I394" s="6">
        <v>-53.35</v>
      </c>
      <c r="J394" s="6">
        <v>1986</v>
      </c>
      <c r="K394" s="6">
        <v>2010</v>
      </c>
      <c r="L394" s="6">
        <f t="shared" si="12"/>
        <v>25</v>
      </c>
      <c r="N394" t="s">
        <v>161</v>
      </c>
      <c r="O394" t="s">
        <v>161</v>
      </c>
      <c r="P394" t="s">
        <v>2309</v>
      </c>
      <c r="Q394" t="s">
        <v>2100</v>
      </c>
      <c r="R394" t="s">
        <v>2065</v>
      </c>
      <c r="V394" t="s">
        <v>163</v>
      </c>
      <c r="W394" t="s">
        <v>2041</v>
      </c>
      <c r="X394" t="s">
        <v>2041</v>
      </c>
      <c r="Y394" t="s">
        <v>19</v>
      </c>
      <c r="Z394" t="str">
        <f t="shared" si="13"/>
        <v>Y</v>
      </c>
      <c r="AC394" t="s">
        <v>2689</v>
      </c>
    </row>
    <row r="395" spans="2:29">
      <c r="B395" t="s">
        <v>19</v>
      </c>
      <c r="C395" t="s">
        <v>2690</v>
      </c>
      <c r="E395">
        <v>2014</v>
      </c>
      <c r="F395" t="s">
        <v>2691</v>
      </c>
      <c r="G395" t="s">
        <v>2035</v>
      </c>
      <c r="H395" s="6">
        <v>47.216666666666669</v>
      </c>
      <c r="I395" s="6">
        <v>-53.583333333333336</v>
      </c>
      <c r="J395" s="6">
        <v>1990</v>
      </c>
      <c r="K395" s="6">
        <v>2010</v>
      </c>
      <c r="L395" s="6">
        <f t="shared" si="12"/>
        <v>21</v>
      </c>
      <c r="N395" t="s">
        <v>161</v>
      </c>
      <c r="O395" t="s">
        <v>161</v>
      </c>
      <c r="P395" t="s">
        <v>2309</v>
      </c>
      <c r="Q395" t="s">
        <v>2100</v>
      </c>
      <c r="R395" t="s">
        <v>2065</v>
      </c>
      <c r="V395" t="s">
        <v>163</v>
      </c>
      <c r="W395" t="s">
        <v>2041</v>
      </c>
      <c r="X395" t="s">
        <v>2041</v>
      </c>
      <c r="Y395" t="s">
        <v>19</v>
      </c>
      <c r="Z395" t="str">
        <f t="shared" si="13"/>
        <v>Y</v>
      </c>
      <c r="AC395" t="s">
        <v>2692</v>
      </c>
    </row>
    <row r="396" spans="2:29">
      <c r="B396" t="s">
        <v>19</v>
      </c>
      <c r="C396" t="s">
        <v>2693</v>
      </c>
      <c r="E396">
        <v>2014</v>
      </c>
      <c r="F396" t="s">
        <v>2694</v>
      </c>
      <c r="G396" t="s">
        <v>2035</v>
      </c>
      <c r="H396" s="6">
        <v>47.916666666666664</v>
      </c>
      <c r="I396" s="6">
        <v>-55.68333333333333</v>
      </c>
      <c r="J396" s="6">
        <v>1987</v>
      </c>
      <c r="K396" s="6">
        <v>2010</v>
      </c>
      <c r="L396" s="6">
        <f t="shared" si="12"/>
        <v>24</v>
      </c>
      <c r="N396" t="s">
        <v>161</v>
      </c>
      <c r="O396" t="s">
        <v>161</v>
      </c>
      <c r="P396" t="s">
        <v>2309</v>
      </c>
      <c r="Q396" t="s">
        <v>2100</v>
      </c>
      <c r="R396" t="s">
        <v>2065</v>
      </c>
      <c r="V396" t="s">
        <v>163</v>
      </c>
      <c r="W396" t="s">
        <v>2041</v>
      </c>
      <c r="X396" t="s">
        <v>2041</v>
      </c>
      <c r="Y396" t="s">
        <v>19</v>
      </c>
      <c r="Z396" t="str">
        <f t="shared" si="13"/>
        <v>Y</v>
      </c>
      <c r="AC396" t="s">
        <v>2695</v>
      </c>
    </row>
    <row r="397" spans="2:29">
      <c r="B397" t="s">
        <v>19</v>
      </c>
      <c r="C397" t="s">
        <v>2696</v>
      </c>
      <c r="E397">
        <v>2014</v>
      </c>
      <c r="F397" t="s">
        <v>2697</v>
      </c>
      <c r="G397" t="s">
        <v>2035</v>
      </c>
      <c r="H397" s="6">
        <v>48.2</v>
      </c>
      <c r="I397" s="6">
        <v>-58.9</v>
      </c>
      <c r="J397" s="6">
        <v>1980</v>
      </c>
      <c r="K397" s="6">
        <v>2010</v>
      </c>
      <c r="L397" s="6">
        <f t="shared" si="12"/>
        <v>31</v>
      </c>
      <c r="N397" t="s">
        <v>161</v>
      </c>
      <c r="O397" t="s">
        <v>161</v>
      </c>
      <c r="P397" t="s">
        <v>2309</v>
      </c>
      <c r="Q397" t="s">
        <v>2100</v>
      </c>
      <c r="R397" t="s">
        <v>2065</v>
      </c>
      <c r="V397" t="s">
        <v>163</v>
      </c>
      <c r="W397" t="s">
        <v>2041</v>
      </c>
      <c r="X397" t="s">
        <v>2041</v>
      </c>
      <c r="Y397" t="s">
        <v>19</v>
      </c>
      <c r="Z397" t="str">
        <f t="shared" si="13"/>
        <v>Y</v>
      </c>
      <c r="AC397" t="s">
        <v>2698</v>
      </c>
    </row>
    <row r="398" spans="2:29">
      <c r="B398" t="s">
        <v>19</v>
      </c>
      <c r="C398" t="s">
        <v>2699</v>
      </c>
      <c r="E398">
        <v>2014</v>
      </c>
      <c r="F398" t="s">
        <v>2700</v>
      </c>
      <c r="G398" t="s">
        <v>2035</v>
      </c>
      <c r="H398" s="6">
        <v>51.18333333333333</v>
      </c>
      <c r="I398" s="6">
        <v>-56.766666666666666</v>
      </c>
      <c r="J398" s="6">
        <v>1972</v>
      </c>
      <c r="K398" s="6">
        <v>2010</v>
      </c>
      <c r="L398" s="6">
        <f t="shared" si="12"/>
        <v>39</v>
      </c>
      <c r="N398" t="s">
        <v>161</v>
      </c>
      <c r="O398" t="s">
        <v>161</v>
      </c>
      <c r="P398" t="s">
        <v>2309</v>
      </c>
      <c r="Q398" t="s">
        <v>2100</v>
      </c>
      <c r="R398" t="s">
        <v>2065</v>
      </c>
      <c r="V398" t="s">
        <v>163</v>
      </c>
      <c r="W398" t="s">
        <v>2041</v>
      </c>
      <c r="X398" t="s">
        <v>2041</v>
      </c>
      <c r="Y398" t="s">
        <v>19</v>
      </c>
      <c r="Z398" t="str">
        <f t="shared" si="13"/>
        <v>Y</v>
      </c>
      <c r="AC398" t="s">
        <v>2701</v>
      </c>
    </row>
    <row r="399" spans="2:29">
      <c r="B399" t="s">
        <v>19</v>
      </c>
      <c r="C399" t="s">
        <v>2702</v>
      </c>
      <c r="E399">
        <v>2014</v>
      </c>
      <c r="F399" t="s">
        <v>2703</v>
      </c>
      <c r="G399" t="s">
        <v>2035</v>
      </c>
      <c r="H399" s="6">
        <v>53.56666666666667</v>
      </c>
      <c r="I399" s="6">
        <v>-56.35</v>
      </c>
      <c r="J399" s="6">
        <v>1970</v>
      </c>
      <c r="K399" s="6">
        <v>2008</v>
      </c>
      <c r="L399" s="6">
        <f t="shared" si="12"/>
        <v>39</v>
      </c>
      <c r="N399" t="s">
        <v>161</v>
      </c>
      <c r="O399" t="s">
        <v>161</v>
      </c>
      <c r="P399" t="s">
        <v>2309</v>
      </c>
      <c r="Q399" t="s">
        <v>2100</v>
      </c>
      <c r="R399" t="s">
        <v>2065</v>
      </c>
      <c r="V399" t="s">
        <v>163</v>
      </c>
      <c r="W399" t="s">
        <v>2041</v>
      </c>
      <c r="X399" t="s">
        <v>2041</v>
      </c>
      <c r="Y399" t="s">
        <v>19</v>
      </c>
      <c r="Z399" t="str">
        <f t="shared" si="13"/>
        <v>Y</v>
      </c>
      <c r="AC399" t="s">
        <v>2704</v>
      </c>
    </row>
    <row r="400" spans="2:29">
      <c r="B400" t="s">
        <v>19</v>
      </c>
      <c r="C400" t="s">
        <v>2705</v>
      </c>
      <c r="E400">
        <v>2014</v>
      </c>
      <c r="F400" t="s">
        <v>2706</v>
      </c>
      <c r="G400" t="s">
        <v>2035</v>
      </c>
      <c r="H400" s="6">
        <v>49.416666666666664</v>
      </c>
      <c r="I400" s="6">
        <v>-67.3</v>
      </c>
      <c r="J400" s="6">
        <v>1984</v>
      </c>
      <c r="K400" s="6">
        <v>2010</v>
      </c>
      <c r="L400" s="6">
        <f t="shared" si="12"/>
        <v>27</v>
      </c>
      <c r="N400" t="s">
        <v>161</v>
      </c>
      <c r="O400" t="s">
        <v>161</v>
      </c>
      <c r="P400" t="s">
        <v>2309</v>
      </c>
      <c r="Q400" t="s">
        <v>2100</v>
      </c>
      <c r="R400" t="s">
        <v>2065</v>
      </c>
      <c r="V400" t="s">
        <v>163</v>
      </c>
      <c r="W400" t="s">
        <v>2041</v>
      </c>
      <c r="X400" t="s">
        <v>2041</v>
      </c>
      <c r="Y400" t="s">
        <v>19</v>
      </c>
      <c r="Z400" t="str">
        <f t="shared" si="13"/>
        <v>Y</v>
      </c>
      <c r="AC400" t="s">
        <v>2707</v>
      </c>
    </row>
    <row r="401" spans="2:29">
      <c r="B401" t="s">
        <v>19</v>
      </c>
      <c r="C401" t="s">
        <v>2708</v>
      </c>
      <c r="E401">
        <v>2014</v>
      </c>
      <c r="F401" t="s">
        <v>2709</v>
      </c>
      <c r="G401" t="s">
        <v>2035</v>
      </c>
      <c r="H401" s="6">
        <v>48.766666666666666</v>
      </c>
      <c r="I401" s="6">
        <v>-64.433333333333337</v>
      </c>
      <c r="J401" s="6">
        <v>1989</v>
      </c>
      <c r="K401" s="6">
        <v>2010</v>
      </c>
      <c r="L401" s="6">
        <f t="shared" si="12"/>
        <v>22</v>
      </c>
      <c r="N401" t="s">
        <v>161</v>
      </c>
      <c r="O401" t="s">
        <v>161</v>
      </c>
      <c r="P401" t="s">
        <v>2309</v>
      </c>
      <c r="Q401" t="s">
        <v>2100</v>
      </c>
      <c r="R401" t="s">
        <v>2065</v>
      </c>
      <c r="V401" t="s">
        <v>163</v>
      </c>
      <c r="W401" t="s">
        <v>2041</v>
      </c>
      <c r="X401" t="s">
        <v>2041</v>
      </c>
      <c r="Y401" t="s">
        <v>19</v>
      </c>
      <c r="Z401" t="str">
        <f t="shared" si="13"/>
        <v>Y</v>
      </c>
      <c r="AC401" t="s">
        <v>2710</v>
      </c>
    </row>
    <row r="402" spans="2:29">
      <c r="B402" t="s">
        <v>19</v>
      </c>
      <c r="C402" t="s">
        <v>2711</v>
      </c>
      <c r="E402">
        <v>2014</v>
      </c>
      <c r="F402" t="s">
        <v>2712</v>
      </c>
      <c r="G402" t="s">
        <v>2035</v>
      </c>
      <c r="H402" s="6">
        <v>44.116666666666667</v>
      </c>
      <c r="I402" s="6">
        <v>-69.61666666666666</v>
      </c>
      <c r="J402" s="6">
        <v>2001</v>
      </c>
      <c r="K402" s="6">
        <v>2009</v>
      </c>
      <c r="L402" s="6">
        <f t="shared" si="12"/>
        <v>9</v>
      </c>
      <c r="N402" t="s">
        <v>161</v>
      </c>
      <c r="O402" t="s">
        <v>161</v>
      </c>
      <c r="P402" t="s">
        <v>2309</v>
      </c>
      <c r="Q402" t="s">
        <v>2100</v>
      </c>
      <c r="R402" t="s">
        <v>2065</v>
      </c>
      <c r="V402" t="s">
        <v>163</v>
      </c>
      <c r="W402" t="s">
        <v>2041</v>
      </c>
      <c r="X402" t="s">
        <v>2041</v>
      </c>
      <c r="Y402" t="s">
        <v>19</v>
      </c>
      <c r="Z402" t="str">
        <f t="shared" si="13"/>
        <v>N</v>
      </c>
      <c r="AC402" t="s">
        <v>2713</v>
      </c>
    </row>
    <row r="403" spans="2:29">
      <c r="B403" t="s">
        <v>19</v>
      </c>
      <c r="C403" t="s">
        <v>2714</v>
      </c>
      <c r="E403">
        <v>2014</v>
      </c>
      <c r="F403" t="s">
        <v>2715</v>
      </c>
      <c r="G403" t="s">
        <v>2035</v>
      </c>
      <c r="H403" s="6">
        <v>44.633333333333333</v>
      </c>
      <c r="I403" s="6">
        <v>-67.95</v>
      </c>
      <c r="J403" s="6">
        <v>1996</v>
      </c>
      <c r="K403" s="6">
        <v>2009</v>
      </c>
      <c r="L403" s="6">
        <f t="shared" si="12"/>
        <v>14</v>
      </c>
      <c r="N403" t="s">
        <v>161</v>
      </c>
      <c r="O403" t="s">
        <v>161</v>
      </c>
      <c r="P403" t="s">
        <v>2309</v>
      </c>
      <c r="Q403" t="s">
        <v>2100</v>
      </c>
      <c r="R403" t="s">
        <v>2065</v>
      </c>
      <c r="V403" t="s">
        <v>163</v>
      </c>
      <c r="W403" t="s">
        <v>2041</v>
      </c>
      <c r="X403" t="s">
        <v>2041</v>
      </c>
      <c r="Y403" t="s">
        <v>19</v>
      </c>
      <c r="Z403" t="str">
        <f t="shared" si="13"/>
        <v>N</v>
      </c>
      <c r="AC403" t="s">
        <v>2716</v>
      </c>
    </row>
    <row r="404" spans="2:29">
      <c r="B404" t="s">
        <v>19</v>
      </c>
      <c r="C404" t="s">
        <v>2717</v>
      </c>
      <c r="E404">
        <v>2014</v>
      </c>
      <c r="F404" t="s">
        <v>2718</v>
      </c>
      <c r="G404" t="s">
        <v>2035</v>
      </c>
      <c r="H404" s="6">
        <v>44.81666666666667</v>
      </c>
      <c r="I404" s="6">
        <v>-68.05</v>
      </c>
      <c r="J404" s="6">
        <v>2000</v>
      </c>
      <c r="K404" s="6">
        <v>2002</v>
      </c>
      <c r="L404" s="6">
        <f t="shared" si="12"/>
        <v>3</v>
      </c>
      <c r="N404" t="s">
        <v>161</v>
      </c>
      <c r="O404" t="s">
        <v>161</v>
      </c>
      <c r="P404" t="s">
        <v>2309</v>
      </c>
      <c r="Q404" t="s">
        <v>2100</v>
      </c>
      <c r="R404" t="s">
        <v>2065</v>
      </c>
      <c r="V404" t="s">
        <v>163</v>
      </c>
      <c r="W404" t="s">
        <v>2041</v>
      </c>
      <c r="X404" t="s">
        <v>2041</v>
      </c>
      <c r="Y404" t="s">
        <v>19</v>
      </c>
      <c r="Z404" t="str">
        <f t="shared" si="13"/>
        <v>N</v>
      </c>
      <c r="AC404" t="s">
        <v>2719</v>
      </c>
    </row>
    <row r="405" spans="2:29">
      <c r="B405" t="s">
        <v>19</v>
      </c>
      <c r="C405" t="s">
        <v>2720</v>
      </c>
      <c r="E405">
        <v>2014</v>
      </c>
      <c r="F405" t="s">
        <v>2721</v>
      </c>
      <c r="G405" t="s">
        <v>2035</v>
      </c>
      <c r="H405" s="6">
        <v>42.6</v>
      </c>
      <c r="I405" s="6">
        <v>-72.55</v>
      </c>
      <c r="J405" s="6">
        <v>1993</v>
      </c>
      <c r="K405" s="6">
        <v>2010</v>
      </c>
      <c r="L405" s="6">
        <f t="shared" si="12"/>
        <v>18</v>
      </c>
      <c r="N405" t="s">
        <v>161</v>
      </c>
      <c r="O405" t="s">
        <v>161</v>
      </c>
      <c r="P405" t="s">
        <v>2309</v>
      </c>
      <c r="Q405" t="s">
        <v>2100</v>
      </c>
      <c r="R405" t="s">
        <v>2065</v>
      </c>
      <c r="V405" t="s">
        <v>163</v>
      </c>
      <c r="W405" t="s">
        <v>2041</v>
      </c>
      <c r="X405" t="s">
        <v>2041</v>
      </c>
      <c r="Y405" t="s">
        <v>19</v>
      </c>
      <c r="Z405" t="str">
        <f t="shared" si="13"/>
        <v>N</v>
      </c>
      <c r="AC405" t="s">
        <v>2722</v>
      </c>
    </row>
    <row r="406" spans="2:29">
      <c r="B406" t="s">
        <v>19</v>
      </c>
      <c r="C406" t="s">
        <v>2723</v>
      </c>
      <c r="E406">
        <v>2014</v>
      </c>
      <c r="F406" t="s">
        <v>2724</v>
      </c>
      <c r="G406" t="s">
        <v>2035</v>
      </c>
      <c r="H406" s="6">
        <v>42.2</v>
      </c>
      <c r="I406" s="6">
        <v>-72.599999999999994</v>
      </c>
      <c r="J406" s="6">
        <v>1993</v>
      </c>
      <c r="K406" s="6">
        <v>2010</v>
      </c>
      <c r="L406" s="6">
        <f t="shared" si="12"/>
        <v>18</v>
      </c>
      <c r="N406" t="s">
        <v>161</v>
      </c>
      <c r="O406" t="s">
        <v>161</v>
      </c>
      <c r="P406" t="s">
        <v>2309</v>
      </c>
      <c r="Q406" t="s">
        <v>2100</v>
      </c>
      <c r="R406" t="s">
        <v>2065</v>
      </c>
      <c r="V406" t="s">
        <v>163</v>
      </c>
      <c r="W406" t="s">
        <v>2041</v>
      </c>
      <c r="X406" t="s">
        <v>2041</v>
      </c>
      <c r="Y406" t="s">
        <v>19</v>
      </c>
      <c r="Z406" t="str">
        <f t="shared" si="13"/>
        <v>N</v>
      </c>
      <c r="AC406" t="s">
        <v>2725</v>
      </c>
    </row>
    <row r="407" spans="2:29">
      <c r="B407" t="s">
        <v>19</v>
      </c>
      <c r="C407" t="s">
        <v>2726</v>
      </c>
      <c r="E407">
        <v>2014</v>
      </c>
      <c r="F407" t="s">
        <v>2727</v>
      </c>
      <c r="G407" t="s">
        <v>2035</v>
      </c>
      <c r="H407" s="6">
        <v>41.85</v>
      </c>
      <c r="I407" s="6">
        <v>-72.63333333333334</v>
      </c>
      <c r="J407" s="6">
        <v>2001</v>
      </c>
      <c r="K407" s="6">
        <v>2010</v>
      </c>
      <c r="L407" s="6">
        <f t="shared" si="12"/>
        <v>10</v>
      </c>
      <c r="N407" t="s">
        <v>161</v>
      </c>
      <c r="O407" t="s">
        <v>161</v>
      </c>
      <c r="P407" t="s">
        <v>2309</v>
      </c>
      <c r="Q407" t="s">
        <v>2100</v>
      </c>
      <c r="R407" t="s">
        <v>2065</v>
      </c>
      <c r="V407" t="s">
        <v>163</v>
      </c>
      <c r="W407" t="s">
        <v>2041</v>
      </c>
      <c r="X407" t="s">
        <v>2041</v>
      </c>
      <c r="Y407" t="s">
        <v>19</v>
      </c>
      <c r="Z407" t="str">
        <f t="shared" si="13"/>
        <v>N</v>
      </c>
      <c r="AC407" t="s">
        <v>2728</v>
      </c>
    </row>
    <row r="408" spans="2:29">
      <c r="B408" t="s">
        <v>19</v>
      </c>
      <c r="C408" t="s">
        <v>2729</v>
      </c>
      <c r="E408">
        <v>2014</v>
      </c>
      <c r="F408" t="s">
        <v>2730</v>
      </c>
      <c r="G408" t="s">
        <v>2035</v>
      </c>
      <c r="H408" s="6">
        <v>42.416666666666664</v>
      </c>
      <c r="I408" s="6">
        <v>-72.650000000000006</v>
      </c>
      <c r="J408" s="6">
        <v>1998</v>
      </c>
      <c r="K408" s="6">
        <v>2003</v>
      </c>
      <c r="L408" s="6">
        <f t="shared" si="12"/>
        <v>6</v>
      </c>
      <c r="N408" t="s">
        <v>161</v>
      </c>
      <c r="O408" t="s">
        <v>161</v>
      </c>
      <c r="P408" t="s">
        <v>2309</v>
      </c>
      <c r="Q408" t="s">
        <v>2100</v>
      </c>
      <c r="R408" t="s">
        <v>2065</v>
      </c>
      <c r="V408" t="s">
        <v>163</v>
      </c>
      <c r="W408" t="s">
        <v>2041</v>
      </c>
      <c r="X408" t="s">
        <v>2041</v>
      </c>
      <c r="Y408" t="s">
        <v>19</v>
      </c>
      <c r="Z408" t="str">
        <f t="shared" si="13"/>
        <v>N</v>
      </c>
      <c r="AC408" t="s">
        <v>2731</v>
      </c>
    </row>
    <row r="409" spans="2:29">
      <c r="B409" t="s">
        <v>19</v>
      </c>
      <c r="C409" t="s">
        <v>2732</v>
      </c>
      <c r="E409">
        <v>2014</v>
      </c>
      <c r="F409" t="s">
        <v>2733</v>
      </c>
      <c r="G409" t="s">
        <v>2035</v>
      </c>
      <c r="H409" s="6">
        <v>64.13333333333334</v>
      </c>
      <c r="I409" s="6">
        <v>-21.833333333333332</v>
      </c>
      <c r="J409" s="6">
        <v>1988</v>
      </c>
      <c r="K409" s="6">
        <v>2008</v>
      </c>
      <c r="L409" s="6">
        <f t="shared" si="12"/>
        <v>21</v>
      </c>
      <c r="N409" t="s">
        <v>161</v>
      </c>
      <c r="O409" t="s">
        <v>161</v>
      </c>
      <c r="P409" t="s">
        <v>2309</v>
      </c>
      <c r="Q409" t="s">
        <v>2100</v>
      </c>
      <c r="R409" t="s">
        <v>2065</v>
      </c>
      <c r="V409" t="s">
        <v>163</v>
      </c>
      <c r="W409" t="s">
        <v>2041</v>
      </c>
      <c r="X409" t="s">
        <v>2041</v>
      </c>
      <c r="Y409" t="s">
        <v>19</v>
      </c>
      <c r="Z409" t="str">
        <f t="shared" si="13"/>
        <v>Y</v>
      </c>
      <c r="AC409" t="s">
        <v>2734</v>
      </c>
    </row>
    <row r="410" spans="2:29">
      <c r="B410" t="s">
        <v>19</v>
      </c>
      <c r="C410" t="s">
        <v>2735</v>
      </c>
      <c r="E410">
        <v>2014</v>
      </c>
      <c r="F410" t="s">
        <v>2736</v>
      </c>
      <c r="G410" t="s">
        <v>2035</v>
      </c>
      <c r="H410" s="6">
        <v>65.75</v>
      </c>
      <c r="I410" s="6">
        <v>-14.9</v>
      </c>
      <c r="J410" s="6">
        <v>1989</v>
      </c>
      <c r="K410" s="6">
        <v>2008</v>
      </c>
      <c r="L410" s="6">
        <f t="shared" si="12"/>
        <v>20</v>
      </c>
      <c r="N410" t="s">
        <v>161</v>
      </c>
      <c r="O410" t="s">
        <v>161</v>
      </c>
      <c r="P410" t="s">
        <v>2309</v>
      </c>
      <c r="Q410" t="s">
        <v>2100</v>
      </c>
      <c r="R410" t="s">
        <v>2065</v>
      </c>
      <c r="V410" t="s">
        <v>163</v>
      </c>
      <c r="W410" t="s">
        <v>2041</v>
      </c>
      <c r="X410" t="s">
        <v>2041</v>
      </c>
      <c r="Y410" t="s">
        <v>19</v>
      </c>
      <c r="Z410" t="str">
        <f t="shared" si="13"/>
        <v>Y</v>
      </c>
      <c r="AC410" t="s">
        <v>2737</v>
      </c>
    </row>
    <row r="411" spans="2:29">
      <c r="B411" t="s">
        <v>19</v>
      </c>
      <c r="C411" t="s">
        <v>2738</v>
      </c>
      <c r="E411">
        <v>2014</v>
      </c>
      <c r="F411" t="s">
        <v>2739</v>
      </c>
      <c r="G411" t="s">
        <v>2035</v>
      </c>
      <c r="H411" s="6">
        <v>65.349999999999994</v>
      </c>
      <c r="I411" s="6">
        <v>-20.9</v>
      </c>
      <c r="J411" s="6">
        <v>1987</v>
      </c>
      <c r="K411" s="6">
        <v>1999</v>
      </c>
      <c r="L411" s="6">
        <f t="shared" si="12"/>
        <v>13</v>
      </c>
      <c r="N411" t="s">
        <v>161</v>
      </c>
      <c r="O411" t="s">
        <v>161</v>
      </c>
      <c r="P411" t="s">
        <v>2309</v>
      </c>
      <c r="Q411" t="s">
        <v>2100</v>
      </c>
      <c r="R411" t="s">
        <v>2065</v>
      </c>
      <c r="V411" t="s">
        <v>163</v>
      </c>
      <c r="W411" t="s">
        <v>2058</v>
      </c>
      <c r="X411" t="s">
        <v>2041</v>
      </c>
      <c r="Y411" t="s">
        <v>19</v>
      </c>
      <c r="Z411" t="str">
        <f t="shared" si="13"/>
        <v>N</v>
      </c>
      <c r="AC411" t="s">
        <v>2740</v>
      </c>
    </row>
    <row r="412" spans="2:29">
      <c r="B412" t="s">
        <v>19</v>
      </c>
      <c r="C412" t="s">
        <v>2741</v>
      </c>
      <c r="E412">
        <v>2014</v>
      </c>
      <c r="F412" t="s">
        <v>2742</v>
      </c>
      <c r="G412" t="s">
        <v>2035</v>
      </c>
      <c r="H412" s="6">
        <v>57.56666666666667</v>
      </c>
      <c r="I412" s="6">
        <v>-4.45</v>
      </c>
      <c r="J412" s="6">
        <v>1998</v>
      </c>
      <c r="K412" s="6">
        <v>2009</v>
      </c>
      <c r="L412" s="6">
        <f t="shared" si="12"/>
        <v>12</v>
      </c>
      <c r="N412" t="s">
        <v>161</v>
      </c>
      <c r="O412" t="s">
        <v>161</v>
      </c>
      <c r="P412" t="s">
        <v>2309</v>
      </c>
      <c r="Q412" t="s">
        <v>2100</v>
      </c>
      <c r="R412" t="s">
        <v>2065</v>
      </c>
      <c r="V412" t="s">
        <v>163</v>
      </c>
      <c r="W412" t="s">
        <v>2041</v>
      </c>
      <c r="X412" t="s">
        <v>2041</v>
      </c>
      <c r="Y412" t="s">
        <v>19</v>
      </c>
      <c r="Z412" t="str">
        <f t="shared" si="13"/>
        <v>N</v>
      </c>
      <c r="AC412" t="s">
        <v>2743</v>
      </c>
    </row>
    <row r="413" spans="2:29">
      <c r="B413" t="s">
        <v>19</v>
      </c>
      <c r="C413" t="s">
        <v>2744</v>
      </c>
      <c r="E413">
        <v>2014</v>
      </c>
      <c r="F413" t="s">
        <v>2745</v>
      </c>
      <c r="G413" t="s">
        <v>2035</v>
      </c>
      <c r="H413" s="6">
        <v>56.75</v>
      </c>
      <c r="I413" s="6">
        <v>-2.4333333333333336</v>
      </c>
      <c r="J413" s="6">
        <v>1975</v>
      </c>
      <c r="K413" s="6">
        <v>2010</v>
      </c>
      <c r="L413" s="6">
        <f t="shared" si="12"/>
        <v>36</v>
      </c>
      <c r="N413" t="s">
        <v>161</v>
      </c>
      <c r="O413" t="s">
        <v>161</v>
      </c>
      <c r="P413" t="s">
        <v>2309</v>
      </c>
      <c r="Q413" t="s">
        <v>2100</v>
      </c>
      <c r="R413" t="s">
        <v>2065</v>
      </c>
      <c r="V413" t="s">
        <v>163</v>
      </c>
      <c r="W413" t="s">
        <v>2041</v>
      </c>
      <c r="X413" t="s">
        <v>2041</v>
      </c>
      <c r="Y413" t="s">
        <v>19</v>
      </c>
      <c r="Z413" t="str">
        <f t="shared" si="13"/>
        <v>Y</v>
      </c>
      <c r="AC413" t="s">
        <v>2746</v>
      </c>
    </row>
    <row r="414" spans="2:29">
      <c r="B414" t="s">
        <v>19</v>
      </c>
      <c r="C414" t="s">
        <v>2747</v>
      </c>
      <c r="E414">
        <v>2014</v>
      </c>
      <c r="F414" t="s">
        <v>2748</v>
      </c>
      <c r="G414" t="s">
        <v>2035</v>
      </c>
      <c r="H414" s="6">
        <v>53.883333333333333</v>
      </c>
      <c r="I414" s="6">
        <v>-9.5833333333333339</v>
      </c>
      <c r="J414" s="6">
        <v>1970</v>
      </c>
      <c r="K414" s="6">
        <v>2010</v>
      </c>
      <c r="L414" s="6">
        <f t="shared" si="12"/>
        <v>41</v>
      </c>
      <c r="N414" t="s">
        <v>161</v>
      </c>
      <c r="O414" t="s">
        <v>161</v>
      </c>
      <c r="P414" t="s">
        <v>2309</v>
      </c>
      <c r="Q414" t="s">
        <v>2100</v>
      </c>
      <c r="R414" t="s">
        <v>2065</v>
      </c>
      <c r="V414" t="s">
        <v>163</v>
      </c>
      <c r="W414" t="s">
        <v>2041</v>
      </c>
      <c r="X414" t="s">
        <v>2041</v>
      </c>
      <c r="Y414" t="s">
        <v>19</v>
      </c>
      <c r="Z414" t="str">
        <f t="shared" si="13"/>
        <v>Y</v>
      </c>
      <c r="AC414" t="s">
        <v>2749</v>
      </c>
    </row>
    <row r="415" spans="2:29">
      <c r="B415" t="s">
        <v>19</v>
      </c>
      <c r="C415" t="s">
        <v>2750</v>
      </c>
      <c r="E415">
        <v>2014</v>
      </c>
      <c r="F415" t="s">
        <v>2751</v>
      </c>
      <c r="G415" t="s">
        <v>2035</v>
      </c>
      <c r="H415" s="6">
        <v>55.216666666666669</v>
      </c>
      <c r="I415" s="6">
        <v>-6.55</v>
      </c>
      <c r="J415" s="6">
        <v>1978</v>
      </c>
      <c r="K415" s="6">
        <v>2010</v>
      </c>
      <c r="L415" s="6">
        <f t="shared" si="12"/>
        <v>33</v>
      </c>
      <c r="N415" t="s">
        <v>161</v>
      </c>
      <c r="O415" t="s">
        <v>161</v>
      </c>
      <c r="P415" t="s">
        <v>2309</v>
      </c>
      <c r="Q415" t="s">
        <v>2100</v>
      </c>
      <c r="R415" t="s">
        <v>2065</v>
      </c>
      <c r="V415" t="s">
        <v>163</v>
      </c>
      <c r="W415" t="s">
        <v>2041</v>
      </c>
      <c r="X415" t="s">
        <v>2041</v>
      </c>
      <c r="Y415" t="s">
        <v>19</v>
      </c>
      <c r="Z415" t="str">
        <f t="shared" si="13"/>
        <v>Y</v>
      </c>
      <c r="AC415" t="s">
        <v>2752</v>
      </c>
    </row>
    <row r="416" spans="2:29">
      <c r="B416" t="s">
        <v>19</v>
      </c>
      <c r="C416" t="s">
        <v>2753</v>
      </c>
      <c r="E416">
        <v>2014</v>
      </c>
      <c r="F416" t="s">
        <v>2754</v>
      </c>
      <c r="G416" t="s">
        <v>2035</v>
      </c>
      <c r="H416" s="6">
        <v>54.916666666666664</v>
      </c>
      <c r="I416" s="6">
        <v>-1.35</v>
      </c>
      <c r="J416" s="6">
        <v>1985</v>
      </c>
      <c r="K416" s="6">
        <v>1996</v>
      </c>
      <c r="L416" s="6">
        <f t="shared" si="12"/>
        <v>12</v>
      </c>
      <c r="N416" t="s">
        <v>161</v>
      </c>
      <c r="O416" t="s">
        <v>161</v>
      </c>
      <c r="P416" t="s">
        <v>2309</v>
      </c>
      <c r="Q416" t="s">
        <v>2100</v>
      </c>
      <c r="R416" t="s">
        <v>2065</v>
      </c>
      <c r="V416" t="s">
        <v>163</v>
      </c>
      <c r="W416" t="s">
        <v>2041</v>
      </c>
      <c r="X416" t="s">
        <v>2041</v>
      </c>
      <c r="Y416" t="s">
        <v>19</v>
      </c>
      <c r="Z416" t="str">
        <f t="shared" si="13"/>
        <v>N</v>
      </c>
      <c r="AC416" t="s">
        <v>2755</v>
      </c>
    </row>
    <row r="417" spans="1:92">
      <c r="A417">
        <v>430</v>
      </c>
      <c r="B417" t="s">
        <v>2074</v>
      </c>
      <c r="C417" t="s">
        <v>2487</v>
      </c>
      <c r="E417">
        <v>2009</v>
      </c>
      <c r="F417" t="s">
        <v>1214</v>
      </c>
      <c r="G417" t="s">
        <v>2035</v>
      </c>
      <c r="H417" s="6">
        <v>55.62</v>
      </c>
      <c r="I417" s="6">
        <v>-1.63</v>
      </c>
      <c r="J417" s="6">
        <v>1972</v>
      </c>
      <c r="K417" s="6">
        <v>2006</v>
      </c>
      <c r="L417" s="6">
        <f t="shared" si="12"/>
        <v>35</v>
      </c>
      <c r="M417" t="s">
        <v>2036</v>
      </c>
      <c r="N417" t="s">
        <v>394</v>
      </c>
      <c r="O417" t="s">
        <v>394</v>
      </c>
      <c r="P417" t="s">
        <v>2379</v>
      </c>
      <c r="Q417" t="s">
        <v>439</v>
      </c>
      <c r="V417">
        <v>0.5</v>
      </c>
      <c r="W417" t="s">
        <v>2058</v>
      </c>
      <c r="X417" t="s">
        <v>2041</v>
      </c>
      <c r="Y417" t="s">
        <v>2081</v>
      </c>
      <c r="Z417" t="str">
        <f t="shared" si="13"/>
        <v>Y</v>
      </c>
    </row>
    <row r="418" spans="1:92">
      <c r="B418" t="s">
        <v>19</v>
      </c>
      <c r="C418" t="s">
        <v>2756</v>
      </c>
      <c r="E418">
        <v>2019</v>
      </c>
      <c r="F418" t="s">
        <v>1447</v>
      </c>
      <c r="G418" t="s">
        <v>2035</v>
      </c>
      <c r="H418" s="6">
        <f t="shared" ref="H418:H444" si="14">54+11.3/60</f>
        <v>54.188333333333333</v>
      </c>
      <c r="I418" s="6">
        <f t="shared" ref="I418:I444" si="15">7+54/60</f>
        <v>7.9</v>
      </c>
      <c r="J418" s="6">
        <v>1962</v>
      </c>
      <c r="K418" s="6">
        <v>2015</v>
      </c>
      <c r="L418" s="6">
        <f t="shared" si="12"/>
        <v>54</v>
      </c>
      <c r="M418" t="s">
        <v>2036</v>
      </c>
      <c r="N418" t="s">
        <v>51</v>
      </c>
      <c r="O418" t="s">
        <v>2451</v>
      </c>
      <c r="P418" t="s">
        <v>2451</v>
      </c>
      <c r="Q418" t="s">
        <v>2461</v>
      </c>
      <c r="R418" t="s">
        <v>2112</v>
      </c>
      <c r="S418" t="s">
        <v>2039</v>
      </c>
      <c r="T418">
        <v>94.719101123595493</v>
      </c>
      <c r="U418" t="s">
        <v>2053</v>
      </c>
      <c r="V418">
        <v>0</v>
      </c>
      <c r="W418" t="s">
        <v>2080</v>
      </c>
      <c r="X418" t="s">
        <v>2041</v>
      </c>
      <c r="Y418" t="s">
        <v>19</v>
      </c>
      <c r="Z418" t="str">
        <f t="shared" si="13"/>
        <v>Y</v>
      </c>
      <c r="AA418" t="s">
        <v>2757</v>
      </c>
      <c r="AB418" t="s">
        <v>2758</v>
      </c>
      <c r="AC418" t="s">
        <v>2759</v>
      </c>
      <c r="AD418" t="s">
        <v>595</v>
      </c>
      <c r="AE418" t="s">
        <v>2760</v>
      </c>
      <c r="AF418" t="s">
        <v>2041</v>
      </c>
      <c r="AG418" t="s">
        <v>595</v>
      </c>
    </row>
    <row r="419" spans="1:92">
      <c r="B419" t="s">
        <v>19</v>
      </c>
      <c r="C419" t="s">
        <v>2756</v>
      </c>
      <c r="E419">
        <v>2019</v>
      </c>
      <c r="F419" t="s">
        <v>1447</v>
      </c>
      <c r="G419" t="s">
        <v>2035</v>
      </c>
      <c r="H419" s="6">
        <f t="shared" si="14"/>
        <v>54.188333333333333</v>
      </c>
      <c r="I419" s="6">
        <f t="shared" si="15"/>
        <v>7.9</v>
      </c>
      <c r="J419" s="6">
        <v>1962</v>
      </c>
      <c r="K419" s="6">
        <v>2015</v>
      </c>
      <c r="L419" s="6">
        <f t="shared" si="12"/>
        <v>54</v>
      </c>
      <c r="M419" t="s">
        <v>2036</v>
      </c>
      <c r="N419" t="s">
        <v>51</v>
      </c>
      <c r="O419" t="s">
        <v>2451</v>
      </c>
      <c r="P419" t="s">
        <v>2451</v>
      </c>
      <c r="Q419" t="s">
        <v>2471</v>
      </c>
      <c r="R419" t="s">
        <v>2112</v>
      </c>
      <c r="S419" t="s">
        <v>2039</v>
      </c>
      <c r="T419">
        <v>113.202247191011</v>
      </c>
      <c r="U419" t="s">
        <v>2053</v>
      </c>
      <c r="V419">
        <v>-12.977528089887997</v>
      </c>
      <c r="W419" t="s">
        <v>2041</v>
      </c>
      <c r="X419" t="s">
        <v>2041</v>
      </c>
      <c r="Y419" t="s">
        <v>19</v>
      </c>
      <c r="Z419" t="str">
        <f t="shared" si="13"/>
        <v>Y</v>
      </c>
      <c r="AA419" t="s">
        <v>2757</v>
      </c>
      <c r="AB419" t="s">
        <v>2758</v>
      </c>
      <c r="AC419" t="s">
        <v>2759</v>
      </c>
      <c r="AD419" t="s">
        <v>595</v>
      </c>
      <c r="AE419" t="s">
        <v>2760</v>
      </c>
      <c r="AF419" t="s">
        <v>2041</v>
      </c>
      <c r="AG419" t="s">
        <v>595</v>
      </c>
    </row>
    <row r="420" spans="1:92">
      <c r="B420" t="s">
        <v>19</v>
      </c>
      <c r="C420" t="s">
        <v>2756</v>
      </c>
      <c r="E420">
        <v>2019</v>
      </c>
      <c r="F420" t="s">
        <v>1447</v>
      </c>
      <c r="G420" t="s">
        <v>2035</v>
      </c>
      <c r="H420" s="6">
        <f t="shared" si="14"/>
        <v>54.188333333333333</v>
      </c>
      <c r="I420" s="6">
        <f t="shared" si="15"/>
        <v>7.9</v>
      </c>
      <c r="J420" s="6">
        <v>1962</v>
      </c>
      <c r="K420" s="6">
        <v>2015</v>
      </c>
      <c r="L420" s="6">
        <f t="shared" si="12"/>
        <v>54</v>
      </c>
      <c r="M420" t="s">
        <v>2036</v>
      </c>
      <c r="N420" t="s">
        <v>51</v>
      </c>
      <c r="O420" t="s">
        <v>2451</v>
      </c>
      <c r="P420" t="s">
        <v>2451</v>
      </c>
      <c r="Q420" t="s">
        <v>2473</v>
      </c>
      <c r="R420" t="s">
        <v>2112</v>
      </c>
      <c r="S420" t="s">
        <v>2039</v>
      </c>
      <c r="T420">
        <v>122.640449438202</v>
      </c>
      <c r="U420" t="s">
        <v>2053</v>
      </c>
      <c r="V420">
        <v>-11.797752808989003</v>
      </c>
      <c r="W420" t="s">
        <v>2041</v>
      </c>
      <c r="X420" t="s">
        <v>2041</v>
      </c>
      <c r="Y420" t="s">
        <v>19</v>
      </c>
      <c r="Z420" t="str">
        <f t="shared" si="13"/>
        <v>Y</v>
      </c>
      <c r="AA420" t="s">
        <v>2757</v>
      </c>
      <c r="AB420" t="s">
        <v>2758</v>
      </c>
      <c r="AC420" t="s">
        <v>2759</v>
      </c>
      <c r="AD420" t="s">
        <v>595</v>
      </c>
      <c r="AE420" t="s">
        <v>2760</v>
      </c>
      <c r="AF420" t="s">
        <v>2041</v>
      </c>
      <c r="AG420" t="s">
        <v>595</v>
      </c>
    </row>
    <row r="421" spans="1:92">
      <c r="B421" t="s">
        <v>19</v>
      </c>
      <c r="C421" t="s">
        <v>2756</v>
      </c>
      <c r="E421">
        <v>2019</v>
      </c>
      <c r="F421" t="s">
        <v>1447</v>
      </c>
      <c r="G421" t="s">
        <v>2035</v>
      </c>
      <c r="H421" s="6">
        <f t="shared" si="14"/>
        <v>54.188333333333333</v>
      </c>
      <c r="I421" s="6">
        <f t="shared" si="15"/>
        <v>7.9</v>
      </c>
      <c r="J421" s="6">
        <v>1962</v>
      </c>
      <c r="K421" s="6">
        <v>2015</v>
      </c>
      <c r="L421" s="6">
        <f t="shared" si="12"/>
        <v>54</v>
      </c>
      <c r="M421" t="s">
        <v>2036</v>
      </c>
      <c r="N421" t="s">
        <v>51</v>
      </c>
      <c r="O421" t="s">
        <v>2451</v>
      </c>
      <c r="P421" t="s">
        <v>2451</v>
      </c>
      <c r="Q421" t="s">
        <v>2472</v>
      </c>
      <c r="R421" t="s">
        <v>2112</v>
      </c>
      <c r="S421" t="s">
        <v>2039</v>
      </c>
      <c r="T421">
        <v>117.13483146067399</v>
      </c>
      <c r="U421" t="s">
        <v>2053</v>
      </c>
      <c r="V421">
        <v>-15.730337078651999</v>
      </c>
      <c r="W421" t="s">
        <v>2041</v>
      </c>
      <c r="X421" t="s">
        <v>2041</v>
      </c>
      <c r="Y421" t="s">
        <v>19</v>
      </c>
      <c r="Z421" t="str">
        <f t="shared" si="13"/>
        <v>Y</v>
      </c>
      <c r="AA421" t="s">
        <v>2757</v>
      </c>
      <c r="AB421" t="s">
        <v>2758</v>
      </c>
      <c r="AC421" t="s">
        <v>2759</v>
      </c>
      <c r="AD421" t="s">
        <v>595</v>
      </c>
      <c r="AE421" t="s">
        <v>2760</v>
      </c>
      <c r="AF421" t="s">
        <v>2041</v>
      </c>
      <c r="AG421" t="s">
        <v>595</v>
      </c>
    </row>
    <row r="422" spans="1:92">
      <c r="B422" t="s">
        <v>19</v>
      </c>
      <c r="C422" t="s">
        <v>2756</v>
      </c>
      <c r="E422">
        <v>2019</v>
      </c>
      <c r="F422" t="s">
        <v>1447</v>
      </c>
      <c r="G422" t="s">
        <v>2035</v>
      </c>
      <c r="H422" s="6">
        <f t="shared" si="14"/>
        <v>54.188333333333333</v>
      </c>
      <c r="I422" s="6">
        <f t="shared" si="15"/>
        <v>7.9</v>
      </c>
      <c r="J422" s="6">
        <v>1962</v>
      </c>
      <c r="K422" s="6">
        <v>2015</v>
      </c>
      <c r="L422" s="6">
        <f t="shared" si="12"/>
        <v>54</v>
      </c>
      <c r="M422" t="s">
        <v>2036</v>
      </c>
      <c r="N422" t="s">
        <v>51</v>
      </c>
      <c r="O422" t="s">
        <v>2451</v>
      </c>
      <c r="P422" t="s">
        <v>2451</v>
      </c>
      <c r="Q422" t="s">
        <v>2452</v>
      </c>
      <c r="R422" t="s">
        <v>2112</v>
      </c>
      <c r="S422" t="s">
        <v>2039</v>
      </c>
      <c r="T422">
        <v>134.831460674157</v>
      </c>
      <c r="U422" t="s">
        <v>2053</v>
      </c>
      <c r="V422">
        <v>-19.269662921348001</v>
      </c>
      <c r="W422" t="s">
        <v>2041</v>
      </c>
      <c r="X422" t="s">
        <v>2041</v>
      </c>
      <c r="Y422" t="s">
        <v>19</v>
      </c>
      <c r="Z422" t="str">
        <f t="shared" si="13"/>
        <v>Y</v>
      </c>
      <c r="AA422" t="s">
        <v>2757</v>
      </c>
      <c r="AB422" t="s">
        <v>2758</v>
      </c>
      <c r="AC422" t="s">
        <v>2759</v>
      </c>
      <c r="AD422" t="s">
        <v>595</v>
      </c>
      <c r="AE422" t="s">
        <v>2760</v>
      </c>
      <c r="AF422" t="s">
        <v>2041</v>
      </c>
      <c r="AG422" t="s">
        <v>595</v>
      </c>
    </row>
    <row r="423" spans="1:92">
      <c r="B423" t="s">
        <v>19</v>
      </c>
      <c r="C423" t="s">
        <v>2756</v>
      </c>
      <c r="E423">
        <v>2019</v>
      </c>
      <c r="F423" t="s">
        <v>1447</v>
      </c>
      <c r="G423" t="s">
        <v>2035</v>
      </c>
      <c r="H423" s="6">
        <f t="shared" si="14"/>
        <v>54.188333333333333</v>
      </c>
      <c r="I423" s="6">
        <f t="shared" si="15"/>
        <v>7.9</v>
      </c>
      <c r="J423" s="6">
        <v>1962</v>
      </c>
      <c r="K423" s="6">
        <v>2015</v>
      </c>
      <c r="L423" s="6">
        <f t="shared" si="12"/>
        <v>54</v>
      </c>
      <c r="M423" t="s">
        <v>2036</v>
      </c>
      <c r="N423" t="s">
        <v>51</v>
      </c>
      <c r="O423" t="s">
        <v>2451</v>
      </c>
      <c r="P423" t="s">
        <v>2451</v>
      </c>
      <c r="Q423" t="s">
        <v>2456</v>
      </c>
      <c r="R423" t="s">
        <v>2112</v>
      </c>
      <c r="S423" t="s">
        <v>2039</v>
      </c>
      <c r="T423">
        <v>132.078651685393</v>
      </c>
      <c r="U423" t="s">
        <v>2053</v>
      </c>
      <c r="V423">
        <v>-14.943820224719005</v>
      </c>
      <c r="W423" t="s">
        <v>2041</v>
      </c>
      <c r="X423" t="s">
        <v>2041</v>
      </c>
      <c r="Y423" t="s">
        <v>19</v>
      </c>
      <c r="Z423" t="str">
        <f t="shared" si="13"/>
        <v>Y</v>
      </c>
      <c r="AA423" t="s">
        <v>2757</v>
      </c>
      <c r="AB423" t="s">
        <v>2758</v>
      </c>
      <c r="AC423" t="s">
        <v>2759</v>
      </c>
      <c r="AD423" t="s">
        <v>595</v>
      </c>
      <c r="AE423" t="s">
        <v>2760</v>
      </c>
      <c r="AF423" t="s">
        <v>2041</v>
      </c>
      <c r="AG423" t="s">
        <v>595</v>
      </c>
    </row>
    <row r="424" spans="1:92">
      <c r="B424" t="s">
        <v>19</v>
      </c>
      <c r="C424" t="s">
        <v>2756</v>
      </c>
      <c r="E424">
        <v>2019</v>
      </c>
      <c r="F424" t="s">
        <v>1447</v>
      </c>
      <c r="G424" t="s">
        <v>2035</v>
      </c>
      <c r="H424" s="6">
        <f t="shared" si="14"/>
        <v>54.188333333333333</v>
      </c>
      <c r="I424" s="6">
        <f t="shared" si="15"/>
        <v>7.9</v>
      </c>
      <c r="J424" s="6">
        <v>1962</v>
      </c>
      <c r="K424" s="6">
        <v>2015</v>
      </c>
      <c r="L424" s="6">
        <f t="shared" si="12"/>
        <v>54</v>
      </c>
      <c r="M424" t="s">
        <v>2036</v>
      </c>
      <c r="N424" t="s">
        <v>51</v>
      </c>
      <c r="O424" t="s">
        <v>2451</v>
      </c>
      <c r="P424" t="s">
        <v>2451</v>
      </c>
      <c r="Q424" t="s">
        <v>2761</v>
      </c>
      <c r="R424" t="s">
        <v>2112</v>
      </c>
      <c r="S424" t="s">
        <v>2039</v>
      </c>
      <c r="T424">
        <v>128.14606741572999</v>
      </c>
      <c r="U424" t="s">
        <v>2053</v>
      </c>
      <c r="V424">
        <v>-5.5056179775279901</v>
      </c>
      <c r="W424" t="s">
        <v>2041</v>
      </c>
      <c r="X424" t="s">
        <v>2041</v>
      </c>
      <c r="Y424" t="s">
        <v>19</v>
      </c>
      <c r="Z424" t="str">
        <f t="shared" si="13"/>
        <v>Y</v>
      </c>
      <c r="AA424" t="s">
        <v>2757</v>
      </c>
      <c r="AB424" t="s">
        <v>2758</v>
      </c>
      <c r="AC424" t="s">
        <v>2759</v>
      </c>
      <c r="AD424" t="s">
        <v>595</v>
      </c>
      <c r="AE424" t="s">
        <v>2760</v>
      </c>
      <c r="AF424" t="s">
        <v>2041</v>
      </c>
      <c r="AG424" t="s">
        <v>595</v>
      </c>
    </row>
    <row r="425" spans="1:92">
      <c r="B425" t="s">
        <v>19</v>
      </c>
      <c r="C425" t="s">
        <v>2756</v>
      </c>
      <c r="E425">
        <v>2019</v>
      </c>
      <c r="F425" t="s">
        <v>1447</v>
      </c>
      <c r="G425" t="s">
        <v>2035</v>
      </c>
      <c r="H425" s="6">
        <f t="shared" si="14"/>
        <v>54.188333333333333</v>
      </c>
      <c r="I425" s="6">
        <f t="shared" si="15"/>
        <v>7.9</v>
      </c>
      <c r="J425" s="6">
        <v>1962</v>
      </c>
      <c r="K425" s="6">
        <v>2015</v>
      </c>
      <c r="L425" s="6">
        <f t="shared" si="12"/>
        <v>54</v>
      </c>
      <c r="M425" t="s">
        <v>2036</v>
      </c>
      <c r="N425" t="s">
        <v>51</v>
      </c>
      <c r="O425" t="s">
        <v>2451</v>
      </c>
      <c r="P425" t="s">
        <v>2451</v>
      </c>
      <c r="Q425" t="s">
        <v>2762</v>
      </c>
      <c r="R425" t="s">
        <v>2112</v>
      </c>
      <c r="S425" t="s">
        <v>2039</v>
      </c>
      <c r="T425">
        <v>156.460674157303</v>
      </c>
      <c r="U425" t="s">
        <v>2101</v>
      </c>
      <c r="V425">
        <v>-4.325842696628996</v>
      </c>
      <c r="W425" t="s">
        <v>2041</v>
      </c>
      <c r="X425" t="s">
        <v>2041</v>
      </c>
      <c r="Y425" t="s">
        <v>19</v>
      </c>
      <c r="Z425" t="str">
        <f t="shared" si="13"/>
        <v>Y</v>
      </c>
      <c r="AA425" t="s">
        <v>2757</v>
      </c>
      <c r="AB425" t="s">
        <v>2758</v>
      </c>
      <c r="AC425" t="s">
        <v>2759</v>
      </c>
      <c r="AD425" t="s">
        <v>595</v>
      </c>
      <c r="AE425" t="s">
        <v>2760</v>
      </c>
      <c r="AF425" t="s">
        <v>2041</v>
      </c>
      <c r="AG425" t="s">
        <v>595</v>
      </c>
    </row>
    <row r="426" spans="1:92">
      <c r="B426" t="s">
        <v>19</v>
      </c>
      <c r="C426" t="s">
        <v>2756</v>
      </c>
      <c r="E426">
        <v>2019</v>
      </c>
      <c r="F426" t="s">
        <v>1447</v>
      </c>
      <c r="G426" t="s">
        <v>2035</v>
      </c>
      <c r="H426" s="6">
        <f t="shared" si="14"/>
        <v>54.188333333333333</v>
      </c>
      <c r="I426" s="6">
        <f t="shared" si="15"/>
        <v>7.9</v>
      </c>
      <c r="J426" s="6">
        <v>1962</v>
      </c>
      <c r="K426" s="6">
        <v>2015</v>
      </c>
      <c r="L426" s="6">
        <f t="shared" si="12"/>
        <v>54</v>
      </c>
      <c r="M426" t="s">
        <v>2036</v>
      </c>
      <c r="N426" t="s">
        <v>51</v>
      </c>
      <c r="O426" t="s">
        <v>2451</v>
      </c>
      <c r="P426" t="s">
        <v>2451</v>
      </c>
      <c r="Q426" t="s">
        <v>2763</v>
      </c>
      <c r="R426" t="s">
        <v>2112</v>
      </c>
      <c r="S426" t="s">
        <v>2039</v>
      </c>
      <c r="T426">
        <v>186.741573033707</v>
      </c>
      <c r="U426" t="s">
        <v>2101</v>
      </c>
      <c r="V426">
        <v>0</v>
      </c>
      <c r="W426" t="s">
        <v>2080</v>
      </c>
      <c r="X426" t="s">
        <v>2041</v>
      </c>
      <c r="Y426" t="s">
        <v>19</v>
      </c>
      <c r="Z426" t="str">
        <f t="shared" si="13"/>
        <v>Y</v>
      </c>
      <c r="AA426" t="s">
        <v>2757</v>
      </c>
      <c r="AB426" t="s">
        <v>2758</v>
      </c>
      <c r="AC426" t="s">
        <v>2759</v>
      </c>
      <c r="AD426" t="s">
        <v>595</v>
      </c>
      <c r="AE426" t="s">
        <v>2760</v>
      </c>
      <c r="AF426" t="s">
        <v>2041</v>
      </c>
      <c r="AG426" t="s">
        <v>595</v>
      </c>
    </row>
    <row r="427" spans="1:92">
      <c r="B427" t="s">
        <v>19</v>
      </c>
      <c r="C427" t="s">
        <v>2756</v>
      </c>
      <c r="E427">
        <v>2019</v>
      </c>
      <c r="F427" t="s">
        <v>1447</v>
      </c>
      <c r="G427" t="s">
        <v>2035</v>
      </c>
      <c r="H427" s="6">
        <f t="shared" si="14"/>
        <v>54.188333333333333</v>
      </c>
      <c r="I427" s="6">
        <f t="shared" si="15"/>
        <v>7.9</v>
      </c>
      <c r="J427" s="6">
        <v>1962</v>
      </c>
      <c r="K427" s="6">
        <v>2015</v>
      </c>
      <c r="L427" s="6">
        <f t="shared" si="12"/>
        <v>54</v>
      </c>
      <c r="M427" t="s">
        <v>2036</v>
      </c>
      <c r="N427" t="s">
        <v>51</v>
      </c>
      <c r="O427" t="s">
        <v>2451</v>
      </c>
      <c r="P427" t="s">
        <v>2451</v>
      </c>
      <c r="Q427" t="s">
        <v>2764</v>
      </c>
      <c r="R427" t="s">
        <v>2112</v>
      </c>
      <c r="S427" t="s">
        <v>2039</v>
      </c>
      <c r="T427">
        <v>187.13483146067401</v>
      </c>
      <c r="U427" t="s">
        <v>2101</v>
      </c>
      <c r="V427">
        <v>-10.224719101124009</v>
      </c>
      <c r="W427" t="s">
        <v>2041</v>
      </c>
      <c r="X427" t="s">
        <v>2041</v>
      </c>
      <c r="Y427" t="s">
        <v>19</v>
      </c>
      <c r="Z427" t="str">
        <f t="shared" si="13"/>
        <v>Y</v>
      </c>
      <c r="AA427" t="s">
        <v>2757</v>
      </c>
      <c r="AB427" t="s">
        <v>2758</v>
      </c>
      <c r="AC427" t="s">
        <v>2759</v>
      </c>
      <c r="AD427" t="s">
        <v>595</v>
      </c>
      <c r="AE427" t="s">
        <v>2760</v>
      </c>
      <c r="AF427" t="s">
        <v>2041</v>
      </c>
      <c r="AG427" t="s">
        <v>595</v>
      </c>
    </row>
    <row r="428" spans="1:92">
      <c r="B428" t="s">
        <v>19</v>
      </c>
      <c r="C428" t="s">
        <v>2756</v>
      </c>
      <c r="E428">
        <v>2019</v>
      </c>
      <c r="F428" t="s">
        <v>1447</v>
      </c>
      <c r="G428" t="s">
        <v>2035</v>
      </c>
      <c r="H428" s="6">
        <f t="shared" si="14"/>
        <v>54.188333333333333</v>
      </c>
      <c r="I428" s="6">
        <f t="shared" si="15"/>
        <v>7.9</v>
      </c>
      <c r="J428" s="6">
        <v>1962</v>
      </c>
      <c r="K428" s="6">
        <v>2015</v>
      </c>
      <c r="L428" s="6">
        <f t="shared" si="12"/>
        <v>54</v>
      </c>
      <c r="M428" t="s">
        <v>2036</v>
      </c>
      <c r="N428" t="s">
        <v>51</v>
      </c>
      <c r="O428" t="s">
        <v>2382</v>
      </c>
      <c r="P428" t="s">
        <v>2382</v>
      </c>
      <c r="Q428" t="s">
        <v>52</v>
      </c>
      <c r="R428" t="s">
        <v>2112</v>
      </c>
      <c r="S428" t="s">
        <v>2039</v>
      </c>
      <c r="T428">
        <v>198.539325842696</v>
      </c>
      <c r="U428" t="s">
        <v>2101</v>
      </c>
      <c r="V428">
        <v>-4.325842696628996</v>
      </c>
      <c r="W428" t="s">
        <v>2041</v>
      </c>
      <c r="X428" t="s">
        <v>2041</v>
      </c>
      <c r="Y428" t="s">
        <v>19</v>
      </c>
      <c r="Z428" t="str">
        <f t="shared" si="13"/>
        <v>Y</v>
      </c>
      <c r="AA428" t="s">
        <v>2757</v>
      </c>
      <c r="AB428" t="s">
        <v>2758</v>
      </c>
      <c r="AC428" t="s">
        <v>2759</v>
      </c>
      <c r="AD428" t="s">
        <v>595</v>
      </c>
      <c r="AE428" t="s">
        <v>2760</v>
      </c>
      <c r="AF428" t="s">
        <v>2041</v>
      </c>
      <c r="AG428" t="s">
        <v>595</v>
      </c>
    </row>
    <row r="429" spans="1:92">
      <c r="B429" t="s">
        <v>19</v>
      </c>
      <c r="C429" t="s">
        <v>2756</v>
      </c>
      <c r="E429">
        <v>2019</v>
      </c>
      <c r="F429" t="s">
        <v>1447</v>
      </c>
      <c r="G429" t="s">
        <v>2035</v>
      </c>
      <c r="H429" s="6">
        <f t="shared" si="14"/>
        <v>54.188333333333333</v>
      </c>
      <c r="I429" s="6">
        <f t="shared" si="15"/>
        <v>7.9</v>
      </c>
      <c r="J429" s="6">
        <v>1962</v>
      </c>
      <c r="K429" s="6">
        <v>2015</v>
      </c>
      <c r="L429" s="6">
        <f t="shared" si="12"/>
        <v>54</v>
      </c>
      <c r="M429" t="s">
        <v>2036</v>
      </c>
      <c r="N429" t="s">
        <v>51</v>
      </c>
      <c r="O429" t="s">
        <v>2451</v>
      </c>
      <c r="P429" t="s">
        <v>2451</v>
      </c>
      <c r="Q429" t="s">
        <v>2765</v>
      </c>
      <c r="R429" t="s">
        <v>2112</v>
      </c>
      <c r="S429" t="s">
        <v>2039</v>
      </c>
      <c r="T429">
        <v>200.112359550561</v>
      </c>
      <c r="U429" t="s">
        <v>2101</v>
      </c>
      <c r="V429">
        <v>-11.797752808988008</v>
      </c>
      <c r="W429" t="s">
        <v>2041</v>
      </c>
      <c r="X429" t="s">
        <v>2041</v>
      </c>
      <c r="Y429" t="s">
        <v>19</v>
      </c>
      <c r="Z429" t="str">
        <f t="shared" si="13"/>
        <v>Y</v>
      </c>
      <c r="AA429" t="s">
        <v>2757</v>
      </c>
      <c r="AB429" t="s">
        <v>2758</v>
      </c>
      <c r="AC429" t="s">
        <v>2759</v>
      </c>
      <c r="AD429" t="s">
        <v>595</v>
      </c>
      <c r="AE429" t="s">
        <v>2760</v>
      </c>
      <c r="AF429" t="s">
        <v>2041</v>
      </c>
      <c r="AG429" t="s">
        <v>595</v>
      </c>
    </row>
    <row r="430" spans="1:92">
      <c r="B430" t="s">
        <v>19</v>
      </c>
      <c r="C430" t="s">
        <v>2756</v>
      </c>
      <c r="E430">
        <v>2019</v>
      </c>
      <c r="F430" t="s">
        <v>1447</v>
      </c>
      <c r="G430" t="s">
        <v>2035</v>
      </c>
      <c r="H430" s="6">
        <f t="shared" si="14"/>
        <v>54.188333333333333</v>
      </c>
      <c r="I430" s="6">
        <f t="shared" si="15"/>
        <v>7.9</v>
      </c>
      <c r="J430" s="6">
        <v>1962</v>
      </c>
      <c r="K430" s="6">
        <v>2015</v>
      </c>
      <c r="L430" s="6">
        <f t="shared" si="12"/>
        <v>54</v>
      </c>
      <c r="M430" t="s">
        <v>2036</v>
      </c>
      <c r="N430" t="s">
        <v>51</v>
      </c>
      <c r="O430" t="s">
        <v>2451</v>
      </c>
      <c r="P430" t="s">
        <v>2451</v>
      </c>
      <c r="Q430" t="s">
        <v>2766</v>
      </c>
      <c r="R430" t="s">
        <v>2112</v>
      </c>
      <c r="S430" t="s">
        <v>2039</v>
      </c>
      <c r="T430">
        <v>213.08988764044901</v>
      </c>
      <c r="U430" t="s">
        <v>2101</v>
      </c>
      <c r="V430">
        <v>-28.314606741573016</v>
      </c>
      <c r="W430" t="s">
        <v>2041</v>
      </c>
      <c r="X430" t="s">
        <v>2041</v>
      </c>
      <c r="Y430" t="s">
        <v>19</v>
      </c>
      <c r="Z430" t="str">
        <f t="shared" si="13"/>
        <v>Y</v>
      </c>
      <c r="AA430" t="s">
        <v>2757</v>
      </c>
      <c r="AB430" t="s">
        <v>2758</v>
      </c>
      <c r="AC430" t="s">
        <v>2759</v>
      </c>
      <c r="AD430" t="s">
        <v>595</v>
      </c>
      <c r="AE430" t="s">
        <v>2760</v>
      </c>
      <c r="AF430" t="s">
        <v>2041</v>
      </c>
      <c r="AG430" t="s">
        <v>595</v>
      </c>
      <c r="AM430">
        <v>94.719101123595493</v>
      </c>
      <c r="AN430">
        <v>0.99756554307116097</v>
      </c>
      <c r="AO430">
        <v>113.202247191011</v>
      </c>
      <c r="AP430">
        <v>1.9969101123595501</v>
      </c>
      <c r="AQ430">
        <v>122.640449438202</v>
      </c>
      <c r="AR430">
        <v>2.9397088866189902</v>
      </c>
      <c r="AS430">
        <v>117.13483146067399</v>
      </c>
      <c r="AT430">
        <v>3.9458035410282601</v>
      </c>
      <c r="AU430">
        <v>134.831460674157</v>
      </c>
      <c r="AV430">
        <v>4.9453694245828999</v>
      </c>
      <c r="AW430">
        <v>132.078651685393</v>
      </c>
      <c r="AX430">
        <v>6.00978038815117</v>
      </c>
      <c r="AY430">
        <v>128.14606741572999</v>
      </c>
      <c r="AZ430">
        <v>7.0154324140279201</v>
      </c>
      <c r="BA430">
        <v>156.460674157303</v>
      </c>
      <c r="BB430">
        <v>7.95291964589717</v>
      </c>
      <c r="BC430">
        <v>186.741573033707</v>
      </c>
      <c r="BD430">
        <v>8.9489445011916899</v>
      </c>
      <c r="BE430">
        <v>187.13483146067401</v>
      </c>
      <c r="BF430">
        <v>9.9533792986040108</v>
      </c>
      <c r="BG430">
        <v>198.539325842696</v>
      </c>
      <c r="BH430">
        <v>10.9547156962887</v>
      </c>
      <c r="BI430">
        <v>200.112359550561</v>
      </c>
      <c r="BJ430">
        <v>11.9588185223016</v>
      </c>
      <c r="BK430">
        <v>213.08988764044901</v>
      </c>
      <c r="BL430">
        <v>12.959712291453799</v>
      </c>
      <c r="BM430">
        <v>206.40449438202199</v>
      </c>
      <c r="BN430">
        <v>13.9661389172625</v>
      </c>
      <c r="BO430">
        <v>207.19101123595499</v>
      </c>
      <c r="BP430">
        <v>14.9704630575417</v>
      </c>
      <c r="BQ430">
        <v>233.93258426966199</v>
      </c>
      <c r="BR430">
        <v>15.9083929179434</v>
      </c>
      <c r="BS430">
        <v>219.38202247191001</v>
      </c>
      <c r="BT430">
        <v>16.9170326864147</v>
      </c>
      <c r="BU430">
        <v>211.51685393258401</v>
      </c>
      <c r="BV430">
        <v>17.923791283622698</v>
      </c>
      <c r="BW430">
        <v>228.82022471910099</v>
      </c>
      <c r="BX430">
        <v>18.982558733401401</v>
      </c>
      <c r="BY430">
        <v>232.752808988764</v>
      </c>
      <c r="BZ430">
        <v>19.985997616615499</v>
      </c>
      <c r="CA430">
        <v>208.370786516853</v>
      </c>
      <c r="CB430">
        <v>20.9383129043241</v>
      </c>
      <c r="CC430">
        <v>229.60674157303299</v>
      </c>
      <c r="CD430">
        <v>21.936882873680599</v>
      </c>
      <c r="CE430">
        <v>236.29213483146</v>
      </c>
      <c r="CF430">
        <v>22.939547156962799</v>
      </c>
      <c r="CG430">
        <v>238.25842696629201</v>
      </c>
      <c r="CH430">
        <v>23.9435393258426</v>
      </c>
      <c r="CI430">
        <v>239.831460674157</v>
      </c>
      <c r="CJ430">
        <v>24.9476421518556</v>
      </c>
      <c r="CK430">
        <v>244.94382022471899</v>
      </c>
      <c r="CL430">
        <v>25.950749063670401</v>
      </c>
      <c r="CM430">
        <v>257.13483146067398</v>
      </c>
      <c r="CN430">
        <v>27.0109550561797</v>
      </c>
    </row>
    <row r="431" spans="1:92">
      <c r="B431" t="s">
        <v>19</v>
      </c>
      <c r="C431" t="s">
        <v>2756</v>
      </c>
      <c r="E431">
        <v>2019</v>
      </c>
      <c r="F431" t="s">
        <v>1447</v>
      </c>
      <c r="G431" t="s">
        <v>2035</v>
      </c>
      <c r="H431" s="6">
        <f t="shared" si="14"/>
        <v>54.188333333333333</v>
      </c>
      <c r="I431" s="6">
        <f t="shared" si="15"/>
        <v>7.9</v>
      </c>
      <c r="J431" s="6">
        <v>1962</v>
      </c>
      <c r="K431" s="6">
        <v>2015</v>
      </c>
      <c r="L431" s="6">
        <f t="shared" si="12"/>
        <v>54</v>
      </c>
      <c r="M431" t="s">
        <v>2036</v>
      </c>
      <c r="N431" t="s">
        <v>51</v>
      </c>
      <c r="O431" t="s">
        <v>2451</v>
      </c>
      <c r="P431" t="s">
        <v>2451</v>
      </c>
      <c r="Q431" t="s">
        <v>2469</v>
      </c>
      <c r="R431" t="s">
        <v>2112</v>
      </c>
      <c r="S431" t="s">
        <v>2039</v>
      </c>
      <c r="T431">
        <v>206.40449438202199</v>
      </c>
      <c r="U431" t="s">
        <v>2101</v>
      </c>
      <c r="V431">
        <v>-15.730337078651985</v>
      </c>
      <c r="W431" t="s">
        <v>2041</v>
      </c>
      <c r="X431" t="s">
        <v>2041</v>
      </c>
      <c r="Y431" t="s">
        <v>19</v>
      </c>
      <c r="Z431" t="str">
        <f t="shared" si="13"/>
        <v>Y</v>
      </c>
      <c r="AA431" t="s">
        <v>2757</v>
      </c>
      <c r="AB431" t="s">
        <v>2758</v>
      </c>
      <c r="AC431" t="s">
        <v>2759</v>
      </c>
      <c r="AD431" t="s">
        <v>595</v>
      </c>
      <c r="AE431" t="s">
        <v>2760</v>
      </c>
      <c r="AF431" t="s">
        <v>2041</v>
      </c>
      <c r="AG431" t="s">
        <v>595</v>
      </c>
      <c r="AM431">
        <v>94.719101123595493</v>
      </c>
      <c r="AN431">
        <v>0.99756554307116097</v>
      </c>
      <c r="AO431">
        <v>100.224719101123</v>
      </c>
      <c r="AP431">
        <v>2.0005617977528098</v>
      </c>
      <c r="AQ431">
        <v>110.84269662921299</v>
      </c>
      <c r="AR431">
        <v>2.9430286006128599</v>
      </c>
      <c r="AS431">
        <v>101.40449438202199</v>
      </c>
      <c r="AT431">
        <v>3.9502298263534201</v>
      </c>
      <c r="AU431">
        <v>115.561797752809</v>
      </c>
      <c r="AV431">
        <v>4.9507916241062304</v>
      </c>
      <c r="AW431">
        <v>117.13483146067399</v>
      </c>
      <c r="AX431">
        <v>5.9548944501191601</v>
      </c>
      <c r="AY431">
        <v>122.640449438202</v>
      </c>
      <c r="AZ431">
        <v>7.01698161389172</v>
      </c>
      <c r="BA431">
        <v>152.13483146067401</v>
      </c>
      <c r="BB431">
        <v>7.9541368743615903</v>
      </c>
      <c r="BC431">
        <v>186.741573033707</v>
      </c>
      <c r="BD431">
        <v>8.9489445011916899</v>
      </c>
      <c r="BE431">
        <v>176.91011235955</v>
      </c>
      <c r="BF431">
        <v>9.9562563840653695</v>
      </c>
      <c r="BG431">
        <v>194.21348314606701</v>
      </c>
      <c r="BH431">
        <v>10.9559329247531</v>
      </c>
      <c r="BI431">
        <v>188.31460674157299</v>
      </c>
      <c r="BJ431">
        <v>11.9621382362955</v>
      </c>
      <c r="BK431">
        <v>184.77528089887599</v>
      </c>
      <c r="BL431">
        <v>12.9676796050391</v>
      </c>
      <c r="BM431">
        <v>190.67415730337001</v>
      </c>
      <c r="BN431">
        <v>13.970565202587601</v>
      </c>
      <c r="BO431">
        <v>197.752808988764</v>
      </c>
      <c r="BP431">
        <v>14.9731188287368</v>
      </c>
      <c r="BQ431">
        <v>205.617977528089</v>
      </c>
      <c r="BR431">
        <v>15.975451140619599</v>
      </c>
      <c r="BS431">
        <v>215.05617977527999</v>
      </c>
      <c r="BT431">
        <v>16.918249914879102</v>
      </c>
      <c r="BU431">
        <v>218.988764044943</v>
      </c>
      <c r="BV431">
        <v>17.9216887980932</v>
      </c>
      <c r="BW431">
        <v>214.662921348314</v>
      </c>
      <c r="BX431">
        <v>18.927451481103098</v>
      </c>
      <c r="BY431">
        <v>224.494382022471</v>
      </c>
      <c r="BZ431">
        <v>19.988321416411299</v>
      </c>
      <c r="CA431">
        <v>225.280898876404</v>
      </c>
      <c r="CB431">
        <v>20.9335546475995</v>
      </c>
      <c r="CC431">
        <v>241.79775280898801</v>
      </c>
      <c r="CD431">
        <v>21.9334525025536</v>
      </c>
      <c r="CE431">
        <v>240.617977528089</v>
      </c>
      <c r="CF431">
        <v>22.938329928498401</v>
      </c>
      <c r="CG431">
        <v>229.60674157303299</v>
      </c>
      <c r="CH431">
        <v>23.9459737827715</v>
      </c>
      <c r="CI431">
        <v>244.94382022471899</v>
      </c>
      <c r="CJ431">
        <v>24.9462036091249</v>
      </c>
      <c r="CK431">
        <v>256.34831460674098</v>
      </c>
      <c r="CL431">
        <v>25.9475400068096</v>
      </c>
      <c r="CM431">
        <v>280.33707865168498</v>
      </c>
      <c r="CN431">
        <v>26.945335376234201</v>
      </c>
    </row>
    <row r="432" spans="1:92">
      <c r="B432" t="s">
        <v>19</v>
      </c>
      <c r="C432" t="s">
        <v>2756</v>
      </c>
      <c r="E432">
        <v>2019</v>
      </c>
      <c r="F432" t="s">
        <v>1447</v>
      </c>
      <c r="G432" t="s">
        <v>2035</v>
      </c>
      <c r="H432" s="6">
        <f t="shared" si="14"/>
        <v>54.188333333333333</v>
      </c>
      <c r="I432" s="6">
        <f t="shared" si="15"/>
        <v>7.9</v>
      </c>
      <c r="J432" s="6">
        <v>1962</v>
      </c>
      <c r="K432" s="6">
        <v>2015</v>
      </c>
      <c r="L432" s="6">
        <f t="shared" si="12"/>
        <v>54</v>
      </c>
      <c r="M432" t="s">
        <v>2036</v>
      </c>
      <c r="N432" t="s">
        <v>51</v>
      </c>
      <c r="O432" t="s">
        <v>2382</v>
      </c>
      <c r="P432" t="s">
        <v>2382</v>
      </c>
      <c r="Q432" t="s">
        <v>2442</v>
      </c>
      <c r="R432" t="s">
        <v>2112</v>
      </c>
      <c r="S432" t="s">
        <v>2039</v>
      </c>
      <c r="T432">
        <v>207.19101123595499</v>
      </c>
      <c r="U432" t="s">
        <v>2101</v>
      </c>
      <c r="V432">
        <v>-9.4382022471909863</v>
      </c>
      <c r="W432" t="s">
        <v>2041</v>
      </c>
      <c r="X432" t="s">
        <v>2041</v>
      </c>
      <c r="Y432" t="s">
        <v>19</v>
      </c>
      <c r="Z432" t="str">
        <f t="shared" si="13"/>
        <v>Y</v>
      </c>
      <c r="AA432" t="s">
        <v>2757</v>
      </c>
      <c r="AB432" t="s">
        <v>2758</v>
      </c>
      <c r="AC432" t="s">
        <v>2759</v>
      </c>
      <c r="AD432" t="s">
        <v>595</v>
      </c>
      <c r="AE432" t="s">
        <v>2760</v>
      </c>
      <c r="AF432" t="s">
        <v>2041</v>
      </c>
      <c r="AG432" t="s">
        <v>595</v>
      </c>
      <c r="AM432">
        <f t="shared" ref="AM432:CN432" si="16">AM431-AM430</f>
        <v>0</v>
      </c>
      <c r="AN432">
        <f t="shared" si="16"/>
        <v>0</v>
      </c>
      <c r="AO432">
        <f t="shared" si="16"/>
        <v>-12.977528089887997</v>
      </c>
      <c r="AP432">
        <f t="shared" si="16"/>
        <v>3.6516853932597737E-3</v>
      </c>
      <c r="AQ432">
        <f t="shared" si="16"/>
        <v>-11.797752808989003</v>
      </c>
      <c r="AR432">
        <f t="shared" si="16"/>
        <v>3.3197139938696552E-3</v>
      </c>
      <c r="AS432">
        <f t="shared" si="16"/>
        <v>-15.730337078651999</v>
      </c>
      <c r="AT432">
        <f t="shared" si="16"/>
        <v>4.4262853251599843E-3</v>
      </c>
      <c r="AU432">
        <f t="shared" si="16"/>
        <v>-19.269662921348001</v>
      </c>
      <c r="AV432">
        <f t="shared" si="16"/>
        <v>5.422199523330562E-3</v>
      </c>
      <c r="AW432">
        <f t="shared" si="16"/>
        <v>-14.943820224719005</v>
      </c>
      <c r="AX432">
        <f t="shared" si="16"/>
        <v>-5.4885938032009918E-2</v>
      </c>
      <c r="AY432">
        <f t="shared" si="16"/>
        <v>-5.5056179775279901</v>
      </c>
      <c r="AZ432">
        <f t="shared" si="16"/>
        <v>1.5491998637999771E-3</v>
      </c>
      <c r="BA432">
        <f t="shared" si="16"/>
        <v>-4.325842696628996</v>
      </c>
      <c r="BB432">
        <f t="shared" si="16"/>
        <v>1.2172284644202946E-3</v>
      </c>
      <c r="BC432">
        <f t="shared" si="16"/>
        <v>0</v>
      </c>
      <c r="BD432">
        <f t="shared" si="16"/>
        <v>0</v>
      </c>
      <c r="BE432">
        <f t="shared" si="16"/>
        <v>-10.224719101124009</v>
      </c>
      <c r="BF432">
        <f t="shared" si="16"/>
        <v>2.8770854613586749E-3</v>
      </c>
      <c r="BG432">
        <f t="shared" si="16"/>
        <v>-4.325842696628996</v>
      </c>
      <c r="BH432">
        <f t="shared" si="16"/>
        <v>1.2172284643998665E-3</v>
      </c>
      <c r="BI432">
        <f t="shared" si="16"/>
        <v>-11.797752808988008</v>
      </c>
      <c r="BJ432">
        <f t="shared" si="16"/>
        <v>3.3197139938998532E-3</v>
      </c>
      <c r="BK432">
        <f t="shared" si="16"/>
        <v>-28.314606741573016</v>
      </c>
      <c r="BL432">
        <f t="shared" si="16"/>
        <v>7.9673135853006727E-3</v>
      </c>
      <c r="BM432">
        <f t="shared" si="16"/>
        <v>-15.730337078651985</v>
      </c>
      <c r="BN432">
        <f t="shared" si="16"/>
        <v>4.4262853251009204E-3</v>
      </c>
      <c r="BO432">
        <f t="shared" si="16"/>
        <v>-9.4382022471909863</v>
      </c>
      <c r="BP432">
        <f t="shared" si="16"/>
        <v>2.6557711950996321E-3</v>
      </c>
      <c r="BQ432">
        <f t="shared" si="16"/>
        <v>-28.314606741572987</v>
      </c>
      <c r="BR432">
        <f t="shared" si="16"/>
        <v>6.7058222676198653E-2</v>
      </c>
      <c r="BS432">
        <f t="shared" si="16"/>
        <v>-4.3258426966300192</v>
      </c>
      <c r="BT432">
        <f t="shared" si="16"/>
        <v>1.2172284644016429E-3</v>
      </c>
      <c r="BU432">
        <f t="shared" si="16"/>
        <v>7.4719101123589837</v>
      </c>
      <c r="BV432">
        <f t="shared" si="16"/>
        <v>-2.1024855294982103E-3</v>
      </c>
      <c r="BW432">
        <f t="shared" si="16"/>
        <v>-14.157303370786991</v>
      </c>
      <c r="BX432">
        <f t="shared" si="16"/>
        <v>-5.5107252298302711E-2</v>
      </c>
      <c r="BY432">
        <f t="shared" si="16"/>
        <v>-8.2584269662930012</v>
      </c>
      <c r="BZ432">
        <f t="shared" si="16"/>
        <v>2.3237997957998857E-3</v>
      </c>
      <c r="CA432">
        <f t="shared" si="16"/>
        <v>16.910112359550993</v>
      </c>
      <c r="CB432">
        <f t="shared" si="16"/>
        <v>-4.7582567245996188E-3</v>
      </c>
      <c r="CC432">
        <f t="shared" si="16"/>
        <v>12.191011235955017</v>
      </c>
      <c r="CD432">
        <f t="shared" si="16"/>
        <v>-3.4303711269991766E-3</v>
      </c>
      <c r="CE432">
        <f t="shared" si="16"/>
        <v>4.325842696628996</v>
      </c>
      <c r="CF432">
        <f t="shared" si="16"/>
        <v>-1.2172284643980902E-3</v>
      </c>
      <c r="CG432">
        <f t="shared" si="16"/>
        <v>-8.6516853932590152</v>
      </c>
      <c r="CH432">
        <f t="shared" si="16"/>
        <v>2.4344569288992091E-3</v>
      </c>
      <c r="CI432">
        <f t="shared" si="16"/>
        <v>5.1123595505619903</v>
      </c>
      <c r="CJ432">
        <f t="shared" si="16"/>
        <v>-1.4385427306997656E-3</v>
      </c>
      <c r="CK432">
        <f t="shared" si="16"/>
        <v>11.404494382021994</v>
      </c>
      <c r="CL432">
        <f t="shared" si="16"/>
        <v>-3.2090568608005299E-3</v>
      </c>
      <c r="CM432">
        <f t="shared" si="16"/>
        <v>23.202247191010997</v>
      </c>
      <c r="CN432">
        <f t="shared" si="16"/>
        <v>-6.5619679945498888E-2</v>
      </c>
    </row>
    <row r="433" spans="2:82">
      <c r="B433" t="s">
        <v>19</v>
      </c>
      <c r="C433" t="s">
        <v>2756</v>
      </c>
      <c r="E433">
        <v>2019</v>
      </c>
      <c r="F433" t="s">
        <v>1447</v>
      </c>
      <c r="G433" t="s">
        <v>2035</v>
      </c>
      <c r="H433" s="6">
        <f t="shared" si="14"/>
        <v>54.188333333333333</v>
      </c>
      <c r="I433" s="6">
        <f t="shared" si="15"/>
        <v>7.9</v>
      </c>
      <c r="J433" s="6">
        <v>1962</v>
      </c>
      <c r="K433" s="6">
        <v>2015</v>
      </c>
      <c r="L433" s="6">
        <f t="shared" si="12"/>
        <v>54</v>
      </c>
      <c r="M433" t="s">
        <v>2036</v>
      </c>
      <c r="N433" t="s">
        <v>51</v>
      </c>
      <c r="O433" t="s">
        <v>2451</v>
      </c>
      <c r="P433" t="s">
        <v>2451</v>
      </c>
      <c r="Q433" t="s">
        <v>2767</v>
      </c>
      <c r="R433" t="s">
        <v>2112</v>
      </c>
      <c r="S433" t="s">
        <v>2039</v>
      </c>
      <c r="T433">
        <v>233.93258426966199</v>
      </c>
      <c r="U433" t="s">
        <v>2101</v>
      </c>
      <c r="V433">
        <v>-28.314606741572987</v>
      </c>
      <c r="W433" t="s">
        <v>2041</v>
      </c>
      <c r="X433" t="s">
        <v>2041</v>
      </c>
      <c r="Y433" t="s">
        <v>19</v>
      </c>
      <c r="Z433" t="str">
        <f t="shared" si="13"/>
        <v>Y</v>
      </c>
      <c r="AA433" t="s">
        <v>2757</v>
      </c>
      <c r="AB433" t="s">
        <v>2758</v>
      </c>
      <c r="AC433" t="s">
        <v>2759</v>
      </c>
      <c r="AD433" t="s">
        <v>595</v>
      </c>
      <c r="AE433" t="s">
        <v>2760</v>
      </c>
      <c r="AF433" t="s">
        <v>2041</v>
      </c>
      <c r="AG433" t="s">
        <v>595</v>
      </c>
    </row>
    <row r="434" spans="2:82">
      <c r="B434" t="s">
        <v>19</v>
      </c>
      <c r="C434" t="s">
        <v>2756</v>
      </c>
      <c r="E434">
        <v>2019</v>
      </c>
      <c r="F434" t="s">
        <v>1447</v>
      </c>
      <c r="G434" t="s">
        <v>2035</v>
      </c>
      <c r="H434" s="6">
        <f t="shared" si="14"/>
        <v>54.188333333333333</v>
      </c>
      <c r="I434" s="6">
        <f t="shared" si="15"/>
        <v>7.9</v>
      </c>
      <c r="J434" s="6">
        <v>1962</v>
      </c>
      <c r="K434" s="6">
        <v>2015</v>
      </c>
      <c r="L434" s="6">
        <f t="shared" si="12"/>
        <v>54</v>
      </c>
      <c r="M434" t="s">
        <v>2036</v>
      </c>
      <c r="N434" t="s">
        <v>51</v>
      </c>
      <c r="O434" t="s">
        <v>2451</v>
      </c>
      <c r="P434" t="s">
        <v>2451</v>
      </c>
      <c r="Q434" t="s">
        <v>2768</v>
      </c>
      <c r="R434" t="s">
        <v>2112</v>
      </c>
      <c r="S434" t="s">
        <v>2039</v>
      </c>
      <c r="T434">
        <v>219.38202247191001</v>
      </c>
      <c r="U434" t="s">
        <v>2101</v>
      </c>
      <c r="V434">
        <v>-4.3258426966300192</v>
      </c>
      <c r="W434" t="s">
        <v>2041</v>
      </c>
      <c r="X434" t="s">
        <v>2041</v>
      </c>
      <c r="Y434" t="s">
        <v>19</v>
      </c>
      <c r="Z434" t="str">
        <f t="shared" si="13"/>
        <v>Y</v>
      </c>
      <c r="AA434" t="s">
        <v>2757</v>
      </c>
      <c r="AB434" t="s">
        <v>2758</v>
      </c>
      <c r="AC434" t="s">
        <v>2759</v>
      </c>
      <c r="AD434" t="s">
        <v>595</v>
      </c>
      <c r="AE434" t="s">
        <v>2760</v>
      </c>
      <c r="AF434" t="s">
        <v>2041</v>
      </c>
      <c r="AG434" t="s">
        <v>595</v>
      </c>
    </row>
    <row r="435" spans="2:82">
      <c r="B435" t="s">
        <v>19</v>
      </c>
      <c r="C435" t="s">
        <v>2756</v>
      </c>
      <c r="E435">
        <v>2019</v>
      </c>
      <c r="F435" t="s">
        <v>1447</v>
      </c>
      <c r="G435" t="s">
        <v>2035</v>
      </c>
      <c r="H435" s="6">
        <f t="shared" si="14"/>
        <v>54.188333333333333</v>
      </c>
      <c r="I435" s="6">
        <f t="shared" si="15"/>
        <v>7.9</v>
      </c>
      <c r="J435" s="6">
        <v>1962</v>
      </c>
      <c r="K435" s="6">
        <v>2015</v>
      </c>
      <c r="L435" s="6">
        <f t="shared" si="12"/>
        <v>54</v>
      </c>
      <c r="M435" t="s">
        <v>2036</v>
      </c>
      <c r="N435" t="s">
        <v>51</v>
      </c>
      <c r="O435" t="s">
        <v>2451</v>
      </c>
      <c r="P435" t="s">
        <v>2451</v>
      </c>
      <c r="Q435" t="s">
        <v>2471</v>
      </c>
      <c r="R435" t="s">
        <v>2112</v>
      </c>
      <c r="S435" t="s">
        <v>2039</v>
      </c>
      <c r="T435">
        <v>211.51685393258401</v>
      </c>
      <c r="U435" t="s">
        <v>2101</v>
      </c>
      <c r="V435">
        <v>7.4719101123589837</v>
      </c>
      <c r="W435" t="s">
        <v>2058</v>
      </c>
      <c r="X435" t="s">
        <v>2041</v>
      </c>
      <c r="Y435" t="s">
        <v>19</v>
      </c>
      <c r="Z435" t="str">
        <f t="shared" si="13"/>
        <v>Y</v>
      </c>
      <c r="AA435" t="s">
        <v>2757</v>
      </c>
      <c r="AB435" t="s">
        <v>2758</v>
      </c>
      <c r="AC435" t="s">
        <v>2759</v>
      </c>
      <c r="AD435" t="s">
        <v>595</v>
      </c>
      <c r="AE435" t="s">
        <v>2760</v>
      </c>
      <c r="AF435" t="s">
        <v>2041</v>
      </c>
      <c r="AG435" t="s">
        <v>595</v>
      </c>
      <c r="CD435">
        <v>94.719101123595493</v>
      </c>
    </row>
    <row r="436" spans="2:82">
      <c r="B436" t="s">
        <v>19</v>
      </c>
      <c r="C436" t="s">
        <v>2756</v>
      </c>
      <c r="E436">
        <v>2019</v>
      </c>
      <c r="F436" t="s">
        <v>1447</v>
      </c>
      <c r="G436" t="s">
        <v>2035</v>
      </c>
      <c r="H436" s="6">
        <f t="shared" si="14"/>
        <v>54.188333333333333</v>
      </c>
      <c r="I436" s="6">
        <f t="shared" si="15"/>
        <v>7.9</v>
      </c>
      <c r="J436" s="6">
        <v>1962</v>
      </c>
      <c r="K436" s="6">
        <v>2015</v>
      </c>
      <c r="L436" s="6">
        <f t="shared" si="12"/>
        <v>54</v>
      </c>
      <c r="M436" t="s">
        <v>2036</v>
      </c>
      <c r="N436" t="s">
        <v>51</v>
      </c>
      <c r="O436" t="s">
        <v>2451</v>
      </c>
      <c r="P436" t="s">
        <v>2451</v>
      </c>
      <c r="Q436" t="s">
        <v>2761</v>
      </c>
      <c r="R436" t="s">
        <v>2112</v>
      </c>
      <c r="S436" t="s">
        <v>2039</v>
      </c>
      <c r="T436">
        <v>228.82022471910099</v>
      </c>
      <c r="U436" t="s">
        <v>2101</v>
      </c>
      <c r="V436">
        <v>-14.157303370786991</v>
      </c>
      <c r="W436" t="s">
        <v>2041</v>
      </c>
      <c r="X436" t="s">
        <v>2041</v>
      </c>
      <c r="Y436" t="s">
        <v>19</v>
      </c>
      <c r="Z436" t="str">
        <f t="shared" si="13"/>
        <v>Y</v>
      </c>
      <c r="AA436" t="s">
        <v>2757</v>
      </c>
      <c r="AB436" t="s">
        <v>2758</v>
      </c>
      <c r="AC436" t="s">
        <v>2759</v>
      </c>
      <c r="AD436" t="s">
        <v>595</v>
      </c>
      <c r="AE436" t="s">
        <v>2760</v>
      </c>
      <c r="AF436" t="s">
        <v>2041</v>
      </c>
      <c r="AG436" t="s">
        <v>595</v>
      </c>
      <c r="CD436">
        <v>113.202247191011</v>
      </c>
    </row>
    <row r="437" spans="2:82">
      <c r="B437" t="s">
        <v>19</v>
      </c>
      <c r="C437" t="s">
        <v>2756</v>
      </c>
      <c r="E437">
        <v>2019</v>
      </c>
      <c r="F437" t="s">
        <v>1447</v>
      </c>
      <c r="G437" t="s">
        <v>2035</v>
      </c>
      <c r="H437" s="6">
        <f t="shared" si="14"/>
        <v>54.188333333333333</v>
      </c>
      <c r="I437" s="6">
        <f t="shared" si="15"/>
        <v>7.9</v>
      </c>
      <c r="J437" s="6">
        <v>1962</v>
      </c>
      <c r="K437" s="6">
        <v>2015</v>
      </c>
      <c r="L437" s="6">
        <f t="shared" si="12"/>
        <v>54</v>
      </c>
      <c r="M437" t="s">
        <v>2036</v>
      </c>
      <c r="N437" t="s">
        <v>51</v>
      </c>
      <c r="O437" t="s">
        <v>2451</v>
      </c>
      <c r="P437" t="s">
        <v>2451</v>
      </c>
      <c r="Q437" t="s">
        <v>2473</v>
      </c>
      <c r="R437" t="s">
        <v>2112</v>
      </c>
      <c r="S437" t="s">
        <v>2039</v>
      </c>
      <c r="T437">
        <v>232.752808988764</v>
      </c>
      <c r="U437" t="s">
        <v>2101</v>
      </c>
      <c r="V437">
        <v>-8.2584269662930012</v>
      </c>
      <c r="W437" t="s">
        <v>2041</v>
      </c>
      <c r="X437" t="s">
        <v>2041</v>
      </c>
      <c r="Y437" t="s">
        <v>19</v>
      </c>
      <c r="Z437" t="str">
        <f t="shared" si="13"/>
        <v>Y</v>
      </c>
      <c r="AA437" t="s">
        <v>2757</v>
      </c>
      <c r="AB437" t="s">
        <v>2758</v>
      </c>
      <c r="AC437" t="s">
        <v>2759</v>
      </c>
      <c r="AD437" t="s">
        <v>595</v>
      </c>
      <c r="AE437" t="s">
        <v>2760</v>
      </c>
      <c r="AF437" t="s">
        <v>2041</v>
      </c>
      <c r="AG437" t="s">
        <v>595</v>
      </c>
      <c r="CD437">
        <v>122.640449438202</v>
      </c>
    </row>
    <row r="438" spans="2:82">
      <c r="B438" t="s">
        <v>19</v>
      </c>
      <c r="C438" t="s">
        <v>2756</v>
      </c>
      <c r="E438">
        <v>2019</v>
      </c>
      <c r="F438" t="s">
        <v>1447</v>
      </c>
      <c r="G438" t="s">
        <v>2035</v>
      </c>
      <c r="H438" s="6">
        <f t="shared" si="14"/>
        <v>54.188333333333333</v>
      </c>
      <c r="I438" s="6">
        <f t="shared" si="15"/>
        <v>7.9</v>
      </c>
      <c r="J438" s="6">
        <v>1962</v>
      </c>
      <c r="K438" s="6">
        <v>2015</v>
      </c>
      <c r="L438" s="6">
        <f t="shared" si="12"/>
        <v>54</v>
      </c>
      <c r="M438" t="s">
        <v>2036</v>
      </c>
      <c r="N438" t="s">
        <v>51</v>
      </c>
      <c r="O438" t="s">
        <v>2451</v>
      </c>
      <c r="P438" t="s">
        <v>2451</v>
      </c>
      <c r="Q438" t="s">
        <v>2457</v>
      </c>
      <c r="R438" t="s">
        <v>2112</v>
      </c>
      <c r="S438" t="s">
        <v>2039</v>
      </c>
      <c r="T438">
        <v>208.370786516853</v>
      </c>
      <c r="U438" t="s">
        <v>2101</v>
      </c>
      <c r="V438">
        <v>16.910112359550993</v>
      </c>
      <c r="W438" t="s">
        <v>2058</v>
      </c>
      <c r="X438" t="s">
        <v>2041</v>
      </c>
      <c r="Y438" t="s">
        <v>19</v>
      </c>
      <c r="Z438" t="str">
        <f t="shared" si="13"/>
        <v>Y</v>
      </c>
      <c r="AA438" t="s">
        <v>2757</v>
      </c>
      <c r="AB438" t="s">
        <v>2758</v>
      </c>
      <c r="AC438" t="s">
        <v>2759</v>
      </c>
      <c r="AD438" t="s">
        <v>595</v>
      </c>
      <c r="AE438" t="s">
        <v>2760</v>
      </c>
      <c r="AF438" t="s">
        <v>2041</v>
      </c>
      <c r="AG438" t="s">
        <v>595</v>
      </c>
      <c r="CD438">
        <v>117.13483146067399</v>
      </c>
    </row>
    <row r="439" spans="2:82">
      <c r="B439" t="s">
        <v>19</v>
      </c>
      <c r="C439" t="s">
        <v>2756</v>
      </c>
      <c r="E439">
        <v>2019</v>
      </c>
      <c r="F439" t="s">
        <v>1447</v>
      </c>
      <c r="G439" t="s">
        <v>2035</v>
      </c>
      <c r="H439" s="6">
        <f t="shared" si="14"/>
        <v>54.188333333333333</v>
      </c>
      <c r="I439" s="6">
        <f t="shared" si="15"/>
        <v>7.9</v>
      </c>
      <c r="J439" s="6">
        <v>1962</v>
      </c>
      <c r="K439" s="6">
        <v>2015</v>
      </c>
      <c r="L439" s="6">
        <f t="shared" si="12"/>
        <v>54</v>
      </c>
      <c r="M439" t="s">
        <v>2036</v>
      </c>
      <c r="N439" t="s">
        <v>51</v>
      </c>
      <c r="O439" t="s">
        <v>2451</v>
      </c>
      <c r="P439" t="s">
        <v>2451</v>
      </c>
      <c r="Q439" t="s">
        <v>2462</v>
      </c>
      <c r="R439" t="s">
        <v>2112</v>
      </c>
      <c r="S439" t="s">
        <v>2039</v>
      </c>
      <c r="T439">
        <v>229.60674157303299</v>
      </c>
      <c r="U439" t="s">
        <v>2101</v>
      </c>
      <c r="V439">
        <v>12.191011235955017</v>
      </c>
      <c r="W439" t="s">
        <v>2058</v>
      </c>
      <c r="X439" t="s">
        <v>2041</v>
      </c>
      <c r="Y439" t="s">
        <v>19</v>
      </c>
      <c r="Z439" t="str">
        <f t="shared" si="13"/>
        <v>Y</v>
      </c>
      <c r="AA439" t="s">
        <v>2757</v>
      </c>
      <c r="AB439" t="s">
        <v>2758</v>
      </c>
      <c r="AC439" t="s">
        <v>2759</v>
      </c>
      <c r="AD439" t="s">
        <v>595</v>
      </c>
      <c r="AE439" t="s">
        <v>2760</v>
      </c>
      <c r="AF439" t="s">
        <v>2041</v>
      </c>
      <c r="AG439" t="s">
        <v>595</v>
      </c>
      <c r="CD439">
        <v>134.831460674157</v>
      </c>
    </row>
    <row r="440" spans="2:82">
      <c r="B440" t="s">
        <v>19</v>
      </c>
      <c r="C440" t="s">
        <v>2756</v>
      </c>
      <c r="E440">
        <v>2019</v>
      </c>
      <c r="F440" t="s">
        <v>1447</v>
      </c>
      <c r="G440" t="s">
        <v>2035</v>
      </c>
      <c r="H440" s="6">
        <f t="shared" si="14"/>
        <v>54.188333333333333</v>
      </c>
      <c r="I440" s="6">
        <f t="shared" si="15"/>
        <v>7.9</v>
      </c>
      <c r="J440" s="6">
        <v>1962</v>
      </c>
      <c r="K440" s="6">
        <v>2015</v>
      </c>
      <c r="L440" s="6">
        <f t="shared" si="12"/>
        <v>54</v>
      </c>
      <c r="M440" t="s">
        <v>2036</v>
      </c>
      <c r="N440" t="s">
        <v>51</v>
      </c>
      <c r="O440" t="s">
        <v>2382</v>
      </c>
      <c r="P440" t="s">
        <v>2382</v>
      </c>
      <c r="Q440" t="s">
        <v>2438</v>
      </c>
      <c r="R440" t="s">
        <v>2112</v>
      </c>
      <c r="S440" t="s">
        <v>2039</v>
      </c>
      <c r="T440">
        <v>236.29213483146</v>
      </c>
      <c r="U440" t="s">
        <v>2101</v>
      </c>
      <c r="V440">
        <v>4.325842696628996</v>
      </c>
      <c r="W440" t="s">
        <v>2058</v>
      </c>
      <c r="X440" t="s">
        <v>2041</v>
      </c>
      <c r="Y440" t="s">
        <v>19</v>
      </c>
      <c r="Z440" t="str">
        <f t="shared" si="13"/>
        <v>Y</v>
      </c>
      <c r="AA440" t="s">
        <v>2757</v>
      </c>
      <c r="AB440" t="s">
        <v>2758</v>
      </c>
      <c r="AC440" t="s">
        <v>2759</v>
      </c>
      <c r="AD440" t="s">
        <v>595</v>
      </c>
      <c r="AE440" t="s">
        <v>2760</v>
      </c>
      <c r="AF440" t="s">
        <v>2041</v>
      </c>
      <c r="AG440" t="s">
        <v>595</v>
      </c>
      <c r="CD440">
        <v>132.078651685393</v>
      </c>
    </row>
    <row r="441" spans="2:82">
      <c r="B441" t="s">
        <v>19</v>
      </c>
      <c r="C441" t="s">
        <v>2756</v>
      </c>
      <c r="E441">
        <v>2019</v>
      </c>
      <c r="F441" t="s">
        <v>1447</v>
      </c>
      <c r="G441" t="s">
        <v>2035</v>
      </c>
      <c r="H441" s="6">
        <f t="shared" si="14"/>
        <v>54.188333333333333</v>
      </c>
      <c r="I441" s="6">
        <f t="shared" si="15"/>
        <v>7.9</v>
      </c>
      <c r="J441" s="6">
        <v>1962</v>
      </c>
      <c r="K441" s="6">
        <v>2015</v>
      </c>
      <c r="L441" s="6">
        <f t="shared" si="12"/>
        <v>54</v>
      </c>
      <c r="M441" t="s">
        <v>2036</v>
      </c>
      <c r="N441" t="s">
        <v>51</v>
      </c>
      <c r="O441" t="s">
        <v>2382</v>
      </c>
      <c r="P441" t="s">
        <v>2382</v>
      </c>
      <c r="Q441" t="s">
        <v>2769</v>
      </c>
      <c r="R441" t="s">
        <v>2112</v>
      </c>
      <c r="S441" t="s">
        <v>2039</v>
      </c>
      <c r="T441">
        <v>238.25842696629201</v>
      </c>
      <c r="U441" t="s">
        <v>2101</v>
      </c>
      <c r="V441">
        <v>-8.6516853932590152</v>
      </c>
      <c r="W441" t="s">
        <v>2041</v>
      </c>
      <c r="X441" t="s">
        <v>2041</v>
      </c>
      <c r="Y441" t="s">
        <v>19</v>
      </c>
      <c r="Z441" t="str">
        <f t="shared" si="13"/>
        <v>Y</v>
      </c>
      <c r="AA441" t="s">
        <v>2757</v>
      </c>
      <c r="AB441" t="s">
        <v>2758</v>
      </c>
      <c r="AC441" t="s">
        <v>2759</v>
      </c>
      <c r="AD441" t="s">
        <v>595</v>
      </c>
      <c r="AE441" t="s">
        <v>2760</v>
      </c>
      <c r="AF441" t="s">
        <v>2041</v>
      </c>
      <c r="AG441" t="s">
        <v>595</v>
      </c>
      <c r="CD441">
        <v>128.14606741572999</v>
      </c>
    </row>
    <row r="442" spans="2:82">
      <c r="B442" t="s">
        <v>19</v>
      </c>
      <c r="C442" t="s">
        <v>2756</v>
      </c>
      <c r="E442">
        <v>2019</v>
      </c>
      <c r="F442" t="s">
        <v>1447</v>
      </c>
      <c r="G442" t="s">
        <v>2035</v>
      </c>
      <c r="H442" s="6">
        <f t="shared" si="14"/>
        <v>54.188333333333333</v>
      </c>
      <c r="I442" s="6">
        <f t="shared" si="15"/>
        <v>7.9</v>
      </c>
      <c r="J442" s="6">
        <v>1962</v>
      </c>
      <c r="K442" s="6">
        <v>2015</v>
      </c>
      <c r="L442" s="6">
        <f t="shared" si="12"/>
        <v>54</v>
      </c>
      <c r="M442" t="s">
        <v>2036</v>
      </c>
      <c r="N442" t="s">
        <v>51</v>
      </c>
      <c r="O442" t="s">
        <v>2451</v>
      </c>
      <c r="P442" t="s">
        <v>2451</v>
      </c>
      <c r="Q442" t="s">
        <v>2762</v>
      </c>
      <c r="R442" t="s">
        <v>2112</v>
      </c>
      <c r="S442" t="s">
        <v>2039</v>
      </c>
      <c r="T442">
        <v>239.831460674157</v>
      </c>
      <c r="U442" t="s">
        <v>2101</v>
      </c>
      <c r="V442">
        <v>5.1123595505619903</v>
      </c>
      <c r="W442" t="s">
        <v>2058</v>
      </c>
      <c r="X442" t="s">
        <v>2041</v>
      </c>
      <c r="Y442" t="s">
        <v>19</v>
      </c>
      <c r="Z442" t="str">
        <f t="shared" si="13"/>
        <v>Y</v>
      </c>
      <c r="AA442" t="s">
        <v>2757</v>
      </c>
      <c r="AB442" t="s">
        <v>2758</v>
      </c>
      <c r="AC442" t="s">
        <v>2759</v>
      </c>
      <c r="AD442" t="s">
        <v>595</v>
      </c>
      <c r="AE442" t="s">
        <v>2760</v>
      </c>
      <c r="AF442" t="s">
        <v>2041</v>
      </c>
      <c r="AG442" t="s">
        <v>595</v>
      </c>
      <c r="CD442">
        <v>156.460674157303</v>
      </c>
    </row>
    <row r="443" spans="2:82">
      <c r="B443" t="s">
        <v>19</v>
      </c>
      <c r="C443" t="s">
        <v>2756</v>
      </c>
      <c r="E443">
        <v>2019</v>
      </c>
      <c r="F443" t="s">
        <v>1447</v>
      </c>
      <c r="G443" t="s">
        <v>2035</v>
      </c>
      <c r="H443" s="6">
        <f t="shared" si="14"/>
        <v>54.188333333333333</v>
      </c>
      <c r="I443" s="6">
        <f t="shared" si="15"/>
        <v>7.9</v>
      </c>
      <c r="J443" s="6">
        <v>1962</v>
      </c>
      <c r="K443" s="6">
        <v>2015</v>
      </c>
      <c r="L443" s="6">
        <f t="shared" si="12"/>
        <v>54</v>
      </c>
      <c r="M443" t="s">
        <v>2036</v>
      </c>
      <c r="N443" t="s">
        <v>51</v>
      </c>
      <c r="O443" t="s">
        <v>2451</v>
      </c>
      <c r="P443" t="s">
        <v>2451</v>
      </c>
      <c r="Q443" t="s">
        <v>2456</v>
      </c>
      <c r="R443" t="s">
        <v>2112</v>
      </c>
      <c r="S443" t="s">
        <v>2039</v>
      </c>
      <c r="T443">
        <v>244.94382022471899</v>
      </c>
      <c r="U443" t="s">
        <v>2040</v>
      </c>
      <c r="V443">
        <v>11.404494382021994</v>
      </c>
      <c r="W443" t="s">
        <v>2058</v>
      </c>
      <c r="X443" t="s">
        <v>2041</v>
      </c>
      <c r="Y443" t="s">
        <v>19</v>
      </c>
      <c r="Z443" t="str">
        <f t="shared" si="13"/>
        <v>Y</v>
      </c>
      <c r="AA443" t="s">
        <v>2757</v>
      </c>
      <c r="AB443" t="s">
        <v>2758</v>
      </c>
      <c r="AC443" t="s">
        <v>2759</v>
      </c>
      <c r="AD443" t="s">
        <v>595</v>
      </c>
      <c r="AE443" t="s">
        <v>2760</v>
      </c>
      <c r="AF443" t="s">
        <v>2041</v>
      </c>
      <c r="AG443" t="s">
        <v>595</v>
      </c>
      <c r="CD443">
        <v>186.741573033707</v>
      </c>
    </row>
    <row r="444" spans="2:82">
      <c r="B444" t="s">
        <v>19</v>
      </c>
      <c r="C444" t="s">
        <v>2756</v>
      </c>
      <c r="E444">
        <v>2019</v>
      </c>
      <c r="F444" t="s">
        <v>1447</v>
      </c>
      <c r="G444" t="s">
        <v>2035</v>
      </c>
      <c r="H444" s="6">
        <f t="shared" si="14"/>
        <v>54.188333333333333</v>
      </c>
      <c r="I444" s="6">
        <f t="shared" si="15"/>
        <v>7.9</v>
      </c>
      <c r="J444" s="6">
        <v>1962</v>
      </c>
      <c r="K444" s="6">
        <v>2015</v>
      </c>
      <c r="L444" s="6">
        <f t="shared" si="12"/>
        <v>54</v>
      </c>
      <c r="M444" t="s">
        <v>2036</v>
      </c>
      <c r="N444" t="s">
        <v>51</v>
      </c>
      <c r="O444" t="s">
        <v>2451</v>
      </c>
      <c r="P444" t="s">
        <v>2451</v>
      </c>
      <c r="Q444" t="s">
        <v>2472</v>
      </c>
      <c r="R444" t="s">
        <v>2112</v>
      </c>
      <c r="S444" t="s">
        <v>2039</v>
      </c>
      <c r="T444">
        <v>257.13483146067398</v>
      </c>
      <c r="U444" t="s">
        <v>2040</v>
      </c>
      <c r="V444">
        <v>23.202247191010997</v>
      </c>
      <c r="W444" t="s">
        <v>2058</v>
      </c>
      <c r="X444" t="s">
        <v>2041</v>
      </c>
      <c r="Y444" t="s">
        <v>19</v>
      </c>
      <c r="Z444" t="str">
        <f t="shared" si="13"/>
        <v>Y</v>
      </c>
      <c r="AA444" t="s">
        <v>2757</v>
      </c>
      <c r="AB444" t="s">
        <v>2758</v>
      </c>
      <c r="AC444" t="s">
        <v>2759</v>
      </c>
      <c r="AD444" t="s">
        <v>595</v>
      </c>
      <c r="AE444" t="s">
        <v>2760</v>
      </c>
      <c r="AF444" t="s">
        <v>2041</v>
      </c>
      <c r="AG444" t="s">
        <v>595</v>
      </c>
      <c r="CD444">
        <v>187.13483146067401</v>
      </c>
    </row>
    <row r="445" spans="2:82" ht="15.5">
      <c r="B445" t="s">
        <v>19</v>
      </c>
      <c r="C445" t="s">
        <v>2770</v>
      </c>
      <c r="E445">
        <v>2017</v>
      </c>
      <c r="F445" t="s">
        <v>2771</v>
      </c>
      <c r="G445" t="s">
        <v>2035</v>
      </c>
      <c r="H445" s="7">
        <v>53.578699999999998</v>
      </c>
      <c r="I445" s="6">
        <v>6.9494999999999996</v>
      </c>
      <c r="J445" s="6">
        <v>1960</v>
      </c>
      <c r="K445" s="6">
        <v>2013</v>
      </c>
      <c r="L445" s="6">
        <f t="shared" si="12"/>
        <v>54</v>
      </c>
      <c r="M445" t="s">
        <v>2036</v>
      </c>
      <c r="N445" t="s">
        <v>161</v>
      </c>
      <c r="O445" t="s">
        <v>161</v>
      </c>
      <c r="P445" t="s">
        <v>161</v>
      </c>
      <c r="Q445" t="s">
        <v>2772</v>
      </c>
      <c r="R445" t="s">
        <v>2112</v>
      </c>
      <c r="S445" s="8" t="s">
        <v>2039</v>
      </c>
      <c r="T445">
        <v>190</v>
      </c>
      <c r="U445" t="s">
        <v>2101</v>
      </c>
      <c r="V445" s="16" t="s">
        <v>163</v>
      </c>
      <c r="W445" t="s">
        <v>2041</v>
      </c>
      <c r="X445" t="s">
        <v>2041</v>
      </c>
      <c r="Y445" t="s">
        <v>19</v>
      </c>
      <c r="Z445" t="str">
        <f t="shared" si="13"/>
        <v>Y</v>
      </c>
      <c r="AA445" t="s">
        <v>2773</v>
      </c>
      <c r="AB445" t="s">
        <v>2774</v>
      </c>
      <c r="AC445" t="s">
        <v>2775</v>
      </c>
      <c r="AD445" s="9" t="s">
        <v>595</v>
      </c>
      <c r="AE445" s="9" t="s">
        <v>2760</v>
      </c>
      <c r="AF445" s="9" t="s">
        <v>2041</v>
      </c>
      <c r="AG445" t="s">
        <v>595</v>
      </c>
    </row>
    <row r="446" spans="2:82" ht="15.5">
      <c r="B446" t="s">
        <v>19</v>
      </c>
      <c r="C446" t="s">
        <v>2770</v>
      </c>
      <c r="E446">
        <v>2017</v>
      </c>
      <c r="F446" t="s">
        <v>2771</v>
      </c>
      <c r="G446" t="s">
        <v>2035</v>
      </c>
      <c r="H446" s="7">
        <v>53.578699999999998</v>
      </c>
      <c r="I446" s="6">
        <v>6.9494999999999996</v>
      </c>
      <c r="J446" s="6">
        <v>1960</v>
      </c>
      <c r="K446" s="6">
        <v>2013</v>
      </c>
      <c r="L446" s="6">
        <f t="shared" si="12"/>
        <v>54</v>
      </c>
      <c r="M446" t="s">
        <v>2036</v>
      </c>
      <c r="N446" t="s">
        <v>161</v>
      </c>
      <c r="O446" t="s">
        <v>161</v>
      </c>
      <c r="P446" t="s">
        <v>161</v>
      </c>
      <c r="Q446" s="13" t="s">
        <v>249</v>
      </c>
      <c r="R446" t="s">
        <v>2112</v>
      </c>
      <c r="S446" s="8" t="s">
        <v>2039</v>
      </c>
      <c r="T446" s="13">
        <v>200</v>
      </c>
      <c r="U446" t="s">
        <v>2101</v>
      </c>
      <c r="V446" s="16" t="s">
        <v>163</v>
      </c>
      <c r="W446" t="s">
        <v>2041</v>
      </c>
      <c r="X446" t="s">
        <v>2041</v>
      </c>
      <c r="Y446" t="s">
        <v>19</v>
      </c>
      <c r="Z446" t="str">
        <f t="shared" si="13"/>
        <v>Y</v>
      </c>
      <c r="AA446" t="s">
        <v>2773</v>
      </c>
      <c r="AB446" t="s">
        <v>2774</v>
      </c>
      <c r="AC446" t="s">
        <v>2776</v>
      </c>
      <c r="AD446" s="9" t="s">
        <v>595</v>
      </c>
      <c r="AE446" s="9" t="s">
        <v>2760</v>
      </c>
      <c r="AF446" s="9" t="s">
        <v>2041</v>
      </c>
      <c r="AG446" t="s">
        <v>595</v>
      </c>
    </row>
    <row r="447" spans="2:82" ht="15.5">
      <c r="B447" t="s">
        <v>19</v>
      </c>
      <c r="C447" t="s">
        <v>2770</v>
      </c>
      <c r="E447">
        <v>2017</v>
      </c>
      <c r="F447" t="s">
        <v>2771</v>
      </c>
      <c r="G447" t="s">
        <v>2035</v>
      </c>
      <c r="H447" s="7">
        <v>53.578699999999998</v>
      </c>
      <c r="I447" s="6">
        <v>6.9494999999999996</v>
      </c>
      <c r="J447" s="6">
        <v>1960</v>
      </c>
      <c r="K447" s="6">
        <v>2013</v>
      </c>
      <c r="L447" s="6">
        <f t="shared" si="12"/>
        <v>54</v>
      </c>
      <c r="M447" t="s">
        <v>2036</v>
      </c>
      <c r="N447" t="s">
        <v>161</v>
      </c>
      <c r="O447" t="s">
        <v>161</v>
      </c>
      <c r="P447" t="s">
        <v>161</v>
      </c>
      <c r="Q447" s="13" t="s">
        <v>2777</v>
      </c>
      <c r="R447" t="s">
        <v>2112</v>
      </c>
      <c r="S447" s="8" t="s">
        <v>2039</v>
      </c>
      <c r="T447" s="13">
        <v>185</v>
      </c>
      <c r="U447" t="s">
        <v>2101</v>
      </c>
      <c r="V447" s="16" t="s">
        <v>163</v>
      </c>
      <c r="W447" t="s">
        <v>2058</v>
      </c>
      <c r="X447" t="s">
        <v>2041</v>
      </c>
      <c r="Y447" t="s">
        <v>19</v>
      </c>
      <c r="Z447" t="str">
        <f t="shared" si="13"/>
        <v>Y</v>
      </c>
      <c r="AA447" t="s">
        <v>2773</v>
      </c>
      <c r="AB447" t="s">
        <v>2774</v>
      </c>
      <c r="AC447" t="s">
        <v>2776</v>
      </c>
      <c r="AD447" s="9" t="s">
        <v>595</v>
      </c>
      <c r="AE447" s="9" t="s">
        <v>2760</v>
      </c>
      <c r="AF447" s="9" t="s">
        <v>2041</v>
      </c>
      <c r="AG447" t="s">
        <v>595</v>
      </c>
    </row>
    <row r="448" spans="2:82" ht="15.5">
      <c r="B448" t="s">
        <v>19</v>
      </c>
      <c r="C448" t="s">
        <v>2770</v>
      </c>
      <c r="E448">
        <v>2017</v>
      </c>
      <c r="F448" t="s">
        <v>2771</v>
      </c>
      <c r="G448" t="s">
        <v>2035</v>
      </c>
      <c r="H448" s="7">
        <v>53.578699999999998</v>
      </c>
      <c r="I448" s="6">
        <v>6.9494999999999996</v>
      </c>
      <c r="J448" s="6">
        <v>1960</v>
      </c>
      <c r="K448" s="6">
        <v>2013</v>
      </c>
      <c r="L448" s="6">
        <f t="shared" si="12"/>
        <v>54</v>
      </c>
      <c r="M448" t="s">
        <v>2036</v>
      </c>
      <c r="N448" t="s">
        <v>161</v>
      </c>
      <c r="O448" t="s">
        <v>161</v>
      </c>
      <c r="P448" t="s">
        <v>161</v>
      </c>
      <c r="Q448" s="13" t="s">
        <v>231</v>
      </c>
      <c r="R448" t="s">
        <v>2112</v>
      </c>
      <c r="S448" s="8" t="s">
        <v>2039</v>
      </c>
      <c r="T448" s="13">
        <v>210</v>
      </c>
      <c r="U448" t="s">
        <v>2101</v>
      </c>
      <c r="V448" s="16" t="s">
        <v>163</v>
      </c>
      <c r="W448" t="s">
        <v>2041</v>
      </c>
      <c r="X448" t="s">
        <v>2041</v>
      </c>
      <c r="Y448" t="s">
        <v>19</v>
      </c>
      <c r="Z448" t="str">
        <f t="shared" si="13"/>
        <v>Y</v>
      </c>
      <c r="AA448" t="s">
        <v>2773</v>
      </c>
      <c r="AB448" t="s">
        <v>2774</v>
      </c>
      <c r="AC448" t="s">
        <v>2776</v>
      </c>
      <c r="AD448" s="9" t="s">
        <v>595</v>
      </c>
      <c r="AE448" s="9" t="s">
        <v>2760</v>
      </c>
      <c r="AF448" s="9" t="s">
        <v>2041</v>
      </c>
      <c r="AG448" t="s">
        <v>595</v>
      </c>
    </row>
    <row r="449" spans="2:33" ht="15.5">
      <c r="B449" t="s">
        <v>19</v>
      </c>
      <c r="C449" t="s">
        <v>2770</v>
      </c>
      <c r="E449">
        <v>2017</v>
      </c>
      <c r="F449" t="s">
        <v>2771</v>
      </c>
      <c r="G449" t="s">
        <v>2035</v>
      </c>
      <c r="H449" s="7">
        <v>53.578699999999998</v>
      </c>
      <c r="I449" s="6">
        <v>6.9494999999999996</v>
      </c>
      <c r="J449" s="6">
        <v>1960</v>
      </c>
      <c r="K449" s="6">
        <v>2013</v>
      </c>
      <c r="L449" s="6">
        <f t="shared" si="12"/>
        <v>54</v>
      </c>
      <c r="M449" t="s">
        <v>2036</v>
      </c>
      <c r="N449" t="s">
        <v>161</v>
      </c>
      <c r="O449" t="s">
        <v>161</v>
      </c>
      <c r="P449" t="s">
        <v>161</v>
      </c>
      <c r="Q449" s="13" t="s">
        <v>2778</v>
      </c>
      <c r="R449" t="s">
        <v>2112</v>
      </c>
      <c r="S449" s="8" t="s">
        <v>2039</v>
      </c>
      <c r="T449" s="13">
        <v>200</v>
      </c>
      <c r="U449" t="s">
        <v>2101</v>
      </c>
      <c r="V449" s="16" t="s">
        <v>163</v>
      </c>
      <c r="W449" t="s">
        <v>2058</v>
      </c>
      <c r="X449" t="s">
        <v>2041</v>
      </c>
      <c r="Y449" t="s">
        <v>19</v>
      </c>
      <c r="Z449" t="str">
        <f t="shared" si="13"/>
        <v>Y</v>
      </c>
      <c r="AA449" t="s">
        <v>2773</v>
      </c>
      <c r="AB449" t="s">
        <v>2774</v>
      </c>
      <c r="AC449" t="s">
        <v>2776</v>
      </c>
      <c r="AD449" s="9" t="s">
        <v>595</v>
      </c>
      <c r="AE449" s="9" t="s">
        <v>2760</v>
      </c>
      <c r="AF449" s="9" t="s">
        <v>2041</v>
      </c>
      <c r="AG449" t="s">
        <v>595</v>
      </c>
    </row>
    <row r="450" spans="2:33" ht="15.5">
      <c r="B450" t="s">
        <v>19</v>
      </c>
      <c r="C450" t="s">
        <v>2770</v>
      </c>
      <c r="E450">
        <v>2017</v>
      </c>
      <c r="F450" t="s">
        <v>2771</v>
      </c>
      <c r="G450" t="s">
        <v>2035</v>
      </c>
      <c r="H450" s="7">
        <v>53.578699999999998</v>
      </c>
      <c r="I450" s="6">
        <v>6.9494999999999996</v>
      </c>
      <c r="J450" s="6">
        <v>1960</v>
      </c>
      <c r="K450" s="6">
        <v>2013</v>
      </c>
      <c r="L450" s="6">
        <f t="shared" ref="L450:L513" si="17">K450-J450+1</f>
        <v>54</v>
      </c>
      <c r="M450" t="s">
        <v>2036</v>
      </c>
      <c r="N450" t="s">
        <v>161</v>
      </c>
      <c r="O450" t="s">
        <v>161</v>
      </c>
      <c r="P450" t="s">
        <v>161</v>
      </c>
      <c r="Q450" s="13" t="s">
        <v>226</v>
      </c>
      <c r="R450" t="s">
        <v>2112</v>
      </c>
      <c r="S450" s="8" t="s">
        <v>2039</v>
      </c>
      <c r="T450" s="13">
        <v>200</v>
      </c>
      <c r="U450" t="s">
        <v>2101</v>
      </c>
      <c r="V450" s="16" t="s">
        <v>163</v>
      </c>
      <c r="W450" t="s">
        <v>2058</v>
      </c>
      <c r="X450" t="s">
        <v>2041</v>
      </c>
      <c r="Y450" t="s">
        <v>19</v>
      </c>
      <c r="Z450" t="str">
        <f t="shared" ref="Z450:Z513" si="18">IF(L450&gt;=19,"Y","N")</f>
        <v>Y</v>
      </c>
      <c r="AA450" t="s">
        <v>2773</v>
      </c>
      <c r="AB450" t="s">
        <v>2774</v>
      </c>
      <c r="AC450" t="s">
        <v>2776</v>
      </c>
      <c r="AD450" s="9" t="s">
        <v>595</v>
      </c>
      <c r="AE450" s="9" t="s">
        <v>2760</v>
      </c>
      <c r="AF450" s="9" t="s">
        <v>2041</v>
      </c>
      <c r="AG450" t="s">
        <v>595</v>
      </c>
    </row>
    <row r="451" spans="2:33" ht="15.5">
      <c r="B451" t="s">
        <v>19</v>
      </c>
      <c r="C451" t="s">
        <v>2770</v>
      </c>
      <c r="E451">
        <v>2017</v>
      </c>
      <c r="F451" t="s">
        <v>2771</v>
      </c>
      <c r="G451" t="s">
        <v>2035</v>
      </c>
      <c r="H451" s="7">
        <v>53.578699999999998</v>
      </c>
      <c r="I451" s="6">
        <v>6.9494999999999996</v>
      </c>
      <c r="J451" s="6">
        <v>1960</v>
      </c>
      <c r="K451" s="6">
        <v>2013</v>
      </c>
      <c r="L451" s="6">
        <f t="shared" si="17"/>
        <v>54</v>
      </c>
      <c r="M451" t="s">
        <v>2036</v>
      </c>
      <c r="N451" t="s">
        <v>161</v>
      </c>
      <c r="O451" t="s">
        <v>161</v>
      </c>
      <c r="P451" t="s">
        <v>161</v>
      </c>
      <c r="Q451" s="13" t="s">
        <v>2779</v>
      </c>
      <c r="R451" t="s">
        <v>2112</v>
      </c>
      <c r="S451" s="8" t="s">
        <v>2039</v>
      </c>
      <c r="T451" s="13">
        <v>245</v>
      </c>
      <c r="U451" t="s">
        <v>2101</v>
      </c>
      <c r="V451" s="16" t="s">
        <v>163</v>
      </c>
      <c r="W451" t="s">
        <v>2041</v>
      </c>
      <c r="X451" t="s">
        <v>2041</v>
      </c>
      <c r="Y451" t="s">
        <v>19</v>
      </c>
      <c r="Z451" t="str">
        <f t="shared" si="18"/>
        <v>Y</v>
      </c>
      <c r="AA451" t="s">
        <v>2773</v>
      </c>
      <c r="AB451" t="s">
        <v>2774</v>
      </c>
      <c r="AC451" t="s">
        <v>2776</v>
      </c>
      <c r="AD451" s="9" t="s">
        <v>595</v>
      </c>
      <c r="AE451" s="9" t="s">
        <v>2760</v>
      </c>
      <c r="AF451" s="9" t="s">
        <v>2041</v>
      </c>
      <c r="AG451" t="s">
        <v>595</v>
      </c>
    </row>
    <row r="452" spans="2:33" ht="15.5">
      <c r="B452" t="s">
        <v>19</v>
      </c>
      <c r="C452" t="s">
        <v>2770</v>
      </c>
      <c r="E452">
        <v>2017</v>
      </c>
      <c r="F452" t="s">
        <v>2771</v>
      </c>
      <c r="G452" t="s">
        <v>2035</v>
      </c>
      <c r="H452" s="7">
        <v>53.578699999999998</v>
      </c>
      <c r="I452" s="6">
        <v>6.9494999999999996</v>
      </c>
      <c r="J452" s="6">
        <v>1960</v>
      </c>
      <c r="K452" s="6">
        <v>2013</v>
      </c>
      <c r="L452" s="6">
        <f t="shared" si="17"/>
        <v>54</v>
      </c>
      <c r="M452" t="s">
        <v>2036</v>
      </c>
      <c r="N452" t="s">
        <v>161</v>
      </c>
      <c r="O452" t="s">
        <v>161</v>
      </c>
      <c r="P452" t="s">
        <v>161</v>
      </c>
      <c r="Q452" s="13" t="s">
        <v>166</v>
      </c>
      <c r="R452" t="s">
        <v>2112</v>
      </c>
      <c r="S452" s="8" t="s">
        <v>2039</v>
      </c>
      <c r="T452" s="13">
        <v>190</v>
      </c>
      <c r="U452" t="s">
        <v>2101</v>
      </c>
      <c r="V452" s="16" t="s">
        <v>163</v>
      </c>
      <c r="W452" t="s">
        <v>2058</v>
      </c>
      <c r="X452" t="s">
        <v>2041</v>
      </c>
      <c r="Y452" t="s">
        <v>19</v>
      </c>
      <c r="Z452" t="str">
        <f t="shared" si="18"/>
        <v>Y</v>
      </c>
      <c r="AA452" t="s">
        <v>2773</v>
      </c>
      <c r="AB452" t="s">
        <v>2774</v>
      </c>
      <c r="AC452" t="s">
        <v>2776</v>
      </c>
      <c r="AD452" s="9" t="s">
        <v>595</v>
      </c>
      <c r="AE452" s="9" t="s">
        <v>2760</v>
      </c>
      <c r="AF452" s="9" t="s">
        <v>2041</v>
      </c>
      <c r="AG452" t="s">
        <v>595</v>
      </c>
    </row>
    <row r="453" spans="2:33" ht="15.5">
      <c r="B453" t="s">
        <v>19</v>
      </c>
      <c r="C453" t="s">
        <v>2770</v>
      </c>
      <c r="E453">
        <v>2017</v>
      </c>
      <c r="F453" t="s">
        <v>2771</v>
      </c>
      <c r="G453" t="s">
        <v>2035</v>
      </c>
      <c r="H453" s="7">
        <v>53.578699999999998</v>
      </c>
      <c r="I453" s="6">
        <v>6.9494999999999996</v>
      </c>
      <c r="J453" s="6">
        <v>1960</v>
      </c>
      <c r="K453" s="6">
        <v>2013</v>
      </c>
      <c r="L453" s="6">
        <f t="shared" si="17"/>
        <v>54</v>
      </c>
      <c r="M453" t="s">
        <v>2036</v>
      </c>
      <c r="N453" t="s">
        <v>161</v>
      </c>
      <c r="O453" t="s">
        <v>161</v>
      </c>
      <c r="P453" t="s">
        <v>161</v>
      </c>
      <c r="Q453" s="13" t="s">
        <v>685</v>
      </c>
      <c r="R453" t="s">
        <v>2112</v>
      </c>
      <c r="S453" s="8" t="s">
        <v>2039</v>
      </c>
      <c r="T453" s="13">
        <v>150</v>
      </c>
      <c r="U453" s="13" t="s">
        <v>2053</v>
      </c>
      <c r="V453" s="16" t="s">
        <v>163</v>
      </c>
      <c r="W453" t="s">
        <v>2080</v>
      </c>
      <c r="X453" t="s">
        <v>2041</v>
      </c>
      <c r="Y453" t="s">
        <v>19</v>
      </c>
      <c r="Z453" t="str">
        <f t="shared" si="18"/>
        <v>Y</v>
      </c>
      <c r="AA453" t="s">
        <v>2773</v>
      </c>
      <c r="AB453" t="s">
        <v>2774</v>
      </c>
      <c r="AC453" t="s">
        <v>2776</v>
      </c>
      <c r="AD453" s="9" t="s">
        <v>595</v>
      </c>
      <c r="AE453" s="9" t="s">
        <v>2760</v>
      </c>
      <c r="AF453" s="9" t="s">
        <v>2041</v>
      </c>
      <c r="AG453" t="s">
        <v>595</v>
      </c>
    </row>
    <row r="454" spans="2:33" ht="15.5">
      <c r="B454" t="s">
        <v>19</v>
      </c>
      <c r="C454" t="s">
        <v>2770</v>
      </c>
      <c r="E454">
        <v>2017</v>
      </c>
      <c r="F454" t="s">
        <v>2771</v>
      </c>
      <c r="G454" t="s">
        <v>2035</v>
      </c>
      <c r="H454" s="7">
        <v>53.578699999999998</v>
      </c>
      <c r="I454" s="6">
        <v>6.9494999999999996</v>
      </c>
      <c r="J454" s="6">
        <v>1960</v>
      </c>
      <c r="K454" s="6">
        <v>2013</v>
      </c>
      <c r="L454" s="6">
        <f t="shared" si="17"/>
        <v>54</v>
      </c>
      <c r="M454" t="s">
        <v>2036</v>
      </c>
      <c r="N454" t="s">
        <v>161</v>
      </c>
      <c r="O454" t="s">
        <v>161</v>
      </c>
      <c r="P454" t="s">
        <v>161</v>
      </c>
      <c r="Q454" s="13" t="s">
        <v>2780</v>
      </c>
      <c r="R454" t="s">
        <v>2112</v>
      </c>
      <c r="S454" s="8" t="s">
        <v>2039</v>
      </c>
      <c r="T454" s="13">
        <v>245</v>
      </c>
      <c r="U454" s="13" t="s">
        <v>2101</v>
      </c>
      <c r="V454" s="16" t="s">
        <v>163</v>
      </c>
      <c r="W454" t="s">
        <v>2058</v>
      </c>
      <c r="X454" t="s">
        <v>2041</v>
      </c>
      <c r="Y454" t="s">
        <v>19</v>
      </c>
      <c r="Z454" t="str">
        <f t="shared" si="18"/>
        <v>Y</v>
      </c>
      <c r="AA454" t="s">
        <v>2773</v>
      </c>
      <c r="AB454" t="s">
        <v>2774</v>
      </c>
      <c r="AC454" t="s">
        <v>2776</v>
      </c>
      <c r="AD454" s="9" t="s">
        <v>595</v>
      </c>
      <c r="AE454" s="9" t="s">
        <v>2760</v>
      </c>
      <c r="AF454" s="9" t="s">
        <v>2041</v>
      </c>
      <c r="AG454" t="s">
        <v>595</v>
      </c>
    </row>
    <row r="455" spans="2:33" ht="15.5">
      <c r="B455" t="s">
        <v>19</v>
      </c>
      <c r="C455" t="s">
        <v>2770</v>
      </c>
      <c r="E455">
        <v>2017</v>
      </c>
      <c r="F455" t="s">
        <v>2771</v>
      </c>
      <c r="G455" t="s">
        <v>2035</v>
      </c>
      <c r="H455" s="7">
        <v>53.578699999999998</v>
      </c>
      <c r="I455" s="6">
        <v>6.9494999999999996</v>
      </c>
      <c r="J455" s="6">
        <v>1960</v>
      </c>
      <c r="K455" s="6">
        <v>2013</v>
      </c>
      <c r="L455" s="6">
        <f t="shared" si="17"/>
        <v>54</v>
      </c>
      <c r="M455" t="s">
        <v>2036</v>
      </c>
      <c r="N455" t="s">
        <v>161</v>
      </c>
      <c r="O455" t="s">
        <v>161</v>
      </c>
      <c r="P455" t="s">
        <v>161</v>
      </c>
      <c r="Q455" s="13" t="s">
        <v>567</v>
      </c>
      <c r="R455" t="s">
        <v>2112</v>
      </c>
      <c r="S455" s="8" t="s">
        <v>2039</v>
      </c>
      <c r="T455" s="13">
        <v>200</v>
      </c>
      <c r="U455" s="13" t="s">
        <v>2101</v>
      </c>
      <c r="V455" s="16" t="s">
        <v>163</v>
      </c>
      <c r="W455" t="s">
        <v>2041</v>
      </c>
      <c r="X455" t="s">
        <v>2041</v>
      </c>
      <c r="Y455" t="s">
        <v>19</v>
      </c>
      <c r="Z455" t="str">
        <f t="shared" si="18"/>
        <v>Y</v>
      </c>
      <c r="AA455" t="s">
        <v>2773</v>
      </c>
      <c r="AB455" t="s">
        <v>2774</v>
      </c>
      <c r="AC455" t="s">
        <v>2776</v>
      </c>
      <c r="AD455" s="9" t="s">
        <v>595</v>
      </c>
      <c r="AE455" s="9" t="s">
        <v>2760</v>
      </c>
      <c r="AF455" s="9" t="s">
        <v>2041</v>
      </c>
      <c r="AG455" t="s">
        <v>595</v>
      </c>
    </row>
    <row r="456" spans="2:33" ht="15.5">
      <c r="B456" t="s">
        <v>19</v>
      </c>
      <c r="C456" t="s">
        <v>2770</v>
      </c>
      <c r="E456">
        <v>2017</v>
      </c>
      <c r="F456" t="s">
        <v>2771</v>
      </c>
      <c r="G456" t="s">
        <v>2035</v>
      </c>
      <c r="H456" s="7">
        <v>53.578699999999998</v>
      </c>
      <c r="I456" s="6">
        <v>6.9494999999999996</v>
      </c>
      <c r="J456" s="6">
        <v>1960</v>
      </c>
      <c r="K456" s="6">
        <v>2013</v>
      </c>
      <c r="L456" s="6">
        <f t="shared" si="17"/>
        <v>54</v>
      </c>
      <c r="M456" t="s">
        <v>2036</v>
      </c>
      <c r="N456" t="s">
        <v>161</v>
      </c>
      <c r="O456" t="s">
        <v>161</v>
      </c>
      <c r="P456" t="s">
        <v>161</v>
      </c>
      <c r="Q456" s="13" t="s">
        <v>2781</v>
      </c>
      <c r="R456" t="s">
        <v>2112</v>
      </c>
      <c r="S456" s="8" t="s">
        <v>2039</v>
      </c>
      <c r="T456" s="13">
        <v>240</v>
      </c>
      <c r="U456" s="13" t="s">
        <v>2101</v>
      </c>
      <c r="V456" s="16" t="s">
        <v>163</v>
      </c>
      <c r="W456" t="s">
        <v>2058</v>
      </c>
      <c r="X456" t="s">
        <v>2041</v>
      </c>
      <c r="Y456" t="s">
        <v>19</v>
      </c>
      <c r="Z456" t="str">
        <f t="shared" si="18"/>
        <v>Y</v>
      </c>
      <c r="AA456" t="s">
        <v>2773</v>
      </c>
      <c r="AB456" t="s">
        <v>2774</v>
      </c>
      <c r="AC456" t="s">
        <v>2776</v>
      </c>
      <c r="AD456" s="9" t="s">
        <v>595</v>
      </c>
      <c r="AE456" s="9" t="s">
        <v>2760</v>
      </c>
      <c r="AF456" s="9" t="s">
        <v>2041</v>
      </c>
      <c r="AG456" t="s">
        <v>595</v>
      </c>
    </row>
    <row r="457" spans="2:33" ht="15.5">
      <c r="B457" t="s">
        <v>19</v>
      </c>
      <c r="C457" t="s">
        <v>2770</v>
      </c>
      <c r="E457">
        <v>2017</v>
      </c>
      <c r="F457" t="s">
        <v>2771</v>
      </c>
      <c r="G457" t="s">
        <v>2035</v>
      </c>
      <c r="H457" s="7">
        <v>53.578699999999998</v>
      </c>
      <c r="I457" s="6">
        <v>6.9494999999999996</v>
      </c>
      <c r="J457" s="6">
        <v>1960</v>
      </c>
      <c r="K457" s="6">
        <v>2013</v>
      </c>
      <c r="L457" s="6">
        <f t="shared" si="17"/>
        <v>54</v>
      </c>
      <c r="M457" t="s">
        <v>2036</v>
      </c>
      <c r="N457" t="s">
        <v>161</v>
      </c>
      <c r="O457" t="s">
        <v>161</v>
      </c>
      <c r="P457" t="s">
        <v>161</v>
      </c>
      <c r="Q457" s="13" t="s">
        <v>384</v>
      </c>
      <c r="R457" t="s">
        <v>2112</v>
      </c>
      <c r="S457" s="8" t="s">
        <v>2039</v>
      </c>
      <c r="T457" s="13">
        <v>230</v>
      </c>
      <c r="U457" s="13" t="s">
        <v>2101</v>
      </c>
      <c r="V457" s="16" t="s">
        <v>163</v>
      </c>
      <c r="W457" t="s">
        <v>2041</v>
      </c>
      <c r="X457" t="s">
        <v>2041</v>
      </c>
      <c r="Y457" t="s">
        <v>19</v>
      </c>
      <c r="Z457" t="str">
        <f t="shared" si="18"/>
        <v>Y</v>
      </c>
      <c r="AA457" t="s">
        <v>2773</v>
      </c>
      <c r="AB457" t="s">
        <v>2774</v>
      </c>
      <c r="AC457" t="s">
        <v>2776</v>
      </c>
      <c r="AD457" s="9" t="s">
        <v>595</v>
      </c>
      <c r="AE457" s="9" t="s">
        <v>2760</v>
      </c>
      <c r="AF457" s="9" t="s">
        <v>2041</v>
      </c>
      <c r="AG457" t="s">
        <v>595</v>
      </c>
    </row>
    <row r="458" spans="2:33" ht="15.5">
      <c r="B458" t="s">
        <v>19</v>
      </c>
      <c r="C458" t="s">
        <v>2770</v>
      </c>
      <c r="E458">
        <v>2017</v>
      </c>
      <c r="F458" t="s">
        <v>2771</v>
      </c>
      <c r="G458" t="s">
        <v>2035</v>
      </c>
      <c r="H458" s="7">
        <v>53.578699999999998</v>
      </c>
      <c r="I458" s="6">
        <v>6.9494999999999996</v>
      </c>
      <c r="J458" s="6">
        <v>1960</v>
      </c>
      <c r="K458" s="6">
        <v>2013</v>
      </c>
      <c r="L458" s="6">
        <f t="shared" si="17"/>
        <v>54</v>
      </c>
      <c r="M458" t="s">
        <v>2036</v>
      </c>
      <c r="N458" t="s">
        <v>161</v>
      </c>
      <c r="O458" t="s">
        <v>161</v>
      </c>
      <c r="P458" t="s">
        <v>161</v>
      </c>
      <c r="Q458" s="13" t="s">
        <v>2782</v>
      </c>
      <c r="R458" t="s">
        <v>2112</v>
      </c>
      <c r="S458" s="8" t="s">
        <v>2039</v>
      </c>
      <c r="T458" s="13">
        <v>180</v>
      </c>
      <c r="U458" s="13" t="s">
        <v>2101</v>
      </c>
      <c r="V458" s="16" t="s">
        <v>163</v>
      </c>
      <c r="W458" t="s">
        <v>2058</v>
      </c>
      <c r="X458" t="s">
        <v>2041</v>
      </c>
      <c r="Y458" t="s">
        <v>19</v>
      </c>
      <c r="Z458" t="str">
        <f t="shared" si="18"/>
        <v>Y</v>
      </c>
      <c r="AA458" t="s">
        <v>2773</v>
      </c>
      <c r="AB458" t="s">
        <v>2774</v>
      </c>
      <c r="AC458" t="s">
        <v>2776</v>
      </c>
      <c r="AD458" s="9" t="s">
        <v>595</v>
      </c>
      <c r="AE458" s="9" t="s">
        <v>2760</v>
      </c>
      <c r="AF458" s="9" t="s">
        <v>2041</v>
      </c>
      <c r="AG458" t="s">
        <v>595</v>
      </c>
    </row>
    <row r="459" spans="2:33" ht="15.5">
      <c r="B459" t="s">
        <v>19</v>
      </c>
      <c r="C459" t="s">
        <v>2770</v>
      </c>
      <c r="E459">
        <v>2017</v>
      </c>
      <c r="F459" t="s">
        <v>2771</v>
      </c>
      <c r="G459" t="s">
        <v>2035</v>
      </c>
      <c r="H459" s="7">
        <v>53.578699999999998</v>
      </c>
      <c r="I459" s="6">
        <v>6.9494999999999996</v>
      </c>
      <c r="J459" s="6">
        <v>1960</v>
      </c>
      <c r="K459" s="6">
        <v>2013</v>
      </c>
      <c r="L459" s="6">
        <f t="shared" si="17"/>
        <v>54</v>
      </c>
      <c r="M459" t="s">
        <v>2036</v>
      </c>
      <c r="N459" t="s">
        <v>161</v>
      </c>
      <c r="O459" t="s">
        <v>161</v>
      </c>
      <c r="P459" t="s">
        <v>161</v>
      </c>
      <c r="Q459" s="13" t="s">
        <v>210</v>
      </c>
      <c r="R459" t="s">
        <v>2112</v>
      </c>
      <c r="S459" s="8" t="s">
        <v>2039</v>
      </c>
      <c r="T459" s="13">
        <v>190</v>
      </c>
      <c r="U459" s="13" t="s">
        <v>2101</v>
      </c>
      <c r="V459" s="16" t="s">
        <v>163</v>
      </c>
      <c r="W459" t="s">
        <v>2041</v>
      </c>
      <c r="X459" t="s">
        <v>2041</v>
      </c>
      <c r="Y459" t="s">
        <v>19</v>
      </c>
      <c r="Z459" t="str">
        <f t="shared" si="18"/>
        <v>Y</v>
      </c>
      <c r="AA459" t="s">
        <v>2773</v>
      </c>
      <c r="AB459" t="s">
        <v>2774</v>
      </c>
      <c r="AC459" t="s">
        <v>2776</v>
      </c>
      <c r="AD459" s="9" t="s">
        <v>595</v>
      </c>
      <c r="AE459" s="9" t="s">
        <v>2760</v>
      </c>
      <c r="AF459" s="9" t="s">
        <v>2041</v>
      </c>
      <c r="AG459" t="s">
        <v>595</v>
      </c>
    </row>
    <row r="460" spans="2:33" ht="15.5">
      <c r="B460" t="s">
        <v>19</v>
      </c>
      <c r="C460" t="s">
        <v>2770</v>
      </c>
      <c r="E460">
        <v>2017</v>
      </c>
      <c r="F460" t="s">
        <v>2771</v>
      </c>
      <c r="G460" t="s">
        <v>2035</v>
      </c>
      <c r="H460" s="7">
        <v>53.578699999999998</v>
      </c>
      <c r="I460" s="6">
        <v>6.9494999999999996</v>
      </c>
      <c r="J460" s="6">
        <v>1960</v>
      </c>
      <c r="K460" s="6">
        <v>2013</v>
      </c>
      <c r="L460" s="6">
        <f t="shared" si="17"/>
        <v>54</v>
      </c>
      <c r="M460" t="s">
        <v>2036</v>
      </c>
      <c r="N460" t="s">
        <v>161</v>
      </c>
      <c r="O460" t="s">
        <v>161</v>
      </c>
      <c r="P460" t="s">
        <v>161</v>
      </c>
      <c r="Q460" s="13" t="s">
        <v>1145</v>
      </c>
      <c r="R460" t="s">
        <v>2112</v>
      </c>
      <c r="S460" s="8" t="s">
        <v>2039</v>
      </c>
      <c r="T460" s="13">
        <v>215</v>
      </c>
      <c r="U460" s="13" t="s">
        <v>2101</v>
      </c>
      <c r="V460" s="16" t="s">
        <v>163</v>
      </c>
      <c r="W460" t="s">
        <v>2058</v>
      </c>
      <c r="X460" t="s">
        <v>2041</v>
      </c>
      <c r="Y460" t="s">
        <v>19</v>
      </c>
      <c r="Z460" t="str">
        <f t="shared" si="18"/>
        <v>Y</v>
      </c>
      <c r="AA460" t="s">
        <v>2773</v>
      </c>
      <c r="AB460" t="s">
        <v>2774</v>
      </c>
      <c r="AC460" t="s">
        <v>2776</v>
      </c>
      <c r="AD460" s="9" t="s">
        <v>595</v>
      </c>
      <c r="AE460" s="9" t="s">
        <v>2760</v>
      </c>
      <c r="AF460" s="9" t="s">
        <v>2041</v>
      </c>
      <c r="AG460" t="s">
        <v>595</v>
      </c>
    </row>
    <row r="461" spans="2:33" ht="15.5">
      <c r="B461" t="s">
        <v>19</v>
      </c>
      <c r="C461" t="s">
        <v>2770</v>
      </c>
      <c r="E461">
        <v>2017</v>
      </c>
      <c r="F461" t="s">
        <v>2771</v>
      </c>
      <c r="G461" t="s">
        <v>2035</v>
      </c>
      <c r="H461" s="7">
        <v>53.578699999999998</v>
      </c>
      <c r="I461" s="6">
        <v>6.9494999999999996</v>
      </c>
      <c r="J461" s="6">
        <v>1960</v>
      </c>
      <c r="K461" s="6">
        <v>2013</v>
      </c>
      <c r="L461" s="6">
        <f t="shared" si="17"/>
        <v>54</v>
      </c>
      <c r="M461" t="s">
        <v>2036</v>
      </c>
      <c r="N461" t="s">
        <v>161</v>
      </c>
      <c r="O461" t="s">
        <v>161</v>
      </c>
      <c r="P461" t="s">
        <v>161</v>
      </c>
      <c r="Q461" s="13" t="s">
        <v>224</v>
      </c>
      <c r="R461" t="s">
        <v>2112</v>
      </c>
      <c r="S461" s="8" t="s">
        <v>2039</v>
      </c>
      <c r="T461" s="13">
        <v>240</v>
      </c>
      <c r="U461" s="13" t="s">
        <v>2101</v>
      </c>
      <c r="V461" s="16" t="s">
        <v>163</v>
      </c>
      <c r="W461" t="s">
        <v>2041</v>
      </c>
      <c r="X461" t="s">
        <v>2041</v>
      </c>
      <c r="Y461" t="s">
        <v>19</v>
      </c>
      <c r="Z461" t="str">
        <f t="shared" si="18"/>
        <v>Y</v>
      </c>
      <c r="AA461" t="s">
        <v>2773</v>
      </c>
      <c r="AB461" t="s">
        <v>2774</v>
      </c>
      <c r="AC461" t="s">
        <v>2776</v>
      </c>
      <c r="AD461" s="9" t="s">
        <v>595</v>
      </c>
      <c r="AE461" s="9" t="s">
        <v>2760</v>
      </c>
      <c r="AF461" s="9" t="s">
        <v>2041</v>
      </c>
      <c r="AG461" t="s">
        <v>595</v>
      </c>
    </row>
    <row r="462" spans="2:33" ht="15.5">
      <c r="B462" t="s">
        <v>19</v>
      </c>
      <c r="C462" t="s">
        <v>2770</v>
      </c>
      <c r="E462">
        <v>2017</v>
      </c>
      <c r="F462" t="s">
        <v>2771</v>
      </c>
      <c r="G462" t="s">
        <v>2035</v>
      </c>
      <c r="H462" s="7">
        <v>53.578699999999998</v>
      </c>
      <c r="I462" s="6">
        <v>6.9494999999999996</v>
      </c>
      <c r="J462" s="6">
        <v>1960</v>
      </c>
      <c r="K462" s="6">
        <v>2013</v>
      </c>
      <c r="L462" s="6">
        <f t="shared" si="17"/>
        <v>54</v>
      </c>
      <c r="M462" t="s">
        <v>2036</v>
      </c>
      <c r="N462" t="s">
        <v>161</v>
      </c>
      <c r="O462" t="s">
        <v>161</v>
      </c>
      <c r="P462" t="s">
        <v>161</v>
      </c>
      <c r="Q462" s="13" t="s">
        <v>2783</v>
      </c>
      <c r="R462" t="s">
        <v>2112</v>
      </c>
      <c r="S462" s="8" t="s">
        <v>2039</v>
      </c>
      <c r="T462" s="13">
        <v>270</v>
      </c>
      <c r="U462" s="13" t="s">
        <v>2101</v>
      </c>
      <c r="V462" s="16" t="s">
        <v>163</v>
      </c>
      <c r="W462" t="s">
        <v>2080</v>
      </c>
      <c r="X462" t="s">
        <v>2041</v>
      </c>
      <c r="Y462" t="s">
        <v>19</v>
      </c>
      <c r="Z462" t="str">
        <f t="shared" si="18"/>
        <v>Y</v>
      </c>
      <c r="AA462" t="s">
        <v>2773</v>
      </c>
      <c r="AB462" t="s">
        <v>2774</v>
      </c>
      <c r="AC462" t="s">
        <v>2776</v>
      </c>
      <c r="AD462" s="9" t="s">
        <v>595</v>
      </c>
      <c r="AE462" s="9" t="s">
        <v>2760</v>
      </c>
      <c r="AF462" s="9" t="s">
        <v>2041</v>
      </c>
      <c r="AG462" t="s">
        <v>595</v>
      </c>
    </row>
    <row r="463" spans="2:33" ht="15.5">
      <c r="B463" t="s">
        <v>19</v>
      </c>
      <c r="C463" t="s">
        <v>2770</v>
      </c>
      <c r="E463">
        <v>2017</v>
      </c>
      <c r="F463" t="s">
        <v>2771</v>
      </c>
      <c r="G463" t="s">
        <v>2035</v>
      </c>
      <c r="H463" s="7">
        <v>53.578699999999998</v>
      </c>
      <c r="I463" s="6">
        <v>6.9494999999999996</v>
      </c>
      <c r="J463" s="6">
        <v>1960</v>
      </c>
      <c r="K463" s="6">
        <v>2013</v>
      </c>
      <c r="L463" s="6">
        <f t="shared" si="17"/>
        <v>54</v>
      </c>
      <c r="M463" t="s">
        <v>2036</v>
      </c>
      <c r="N463" t="s">
        <v>161</v>
      </c>
      <c r="O463" t="s">
        <v>161</v>
      </c>
      <c r="P463" t="s">
        <v>161</v>
      </c>
      <c r="Q463" s="13" t="s">
        <v>2784</v>
      </c>
      <c r="R463" t="s">
        <v>2112</v>
      </c>
      <c r="S463" s="8" t="s">
        <v>2039</v>
      </c>
      <c r="T463" s="13">
        <v>170</v>
      </c>
      <c r="U463" s="13" t="s">
        <v>2101</v>
      </c>
      <c r="V463" s="16" t="s">
        <v>163</v>
      </c>
      <c r="W463" t="s">
        <v>2041</v>
      </c>
      <c r="X463" t="s">
        <v>2041</v>
      </c>
      <c r="Y463" t="s">
        <v>19</v>
      </c>
      <c r="Z463" t="str">
        <f t="shared" si="18"/>
        <v>Y</v>
      </c>
      <c r="AA463" t="s">
        <v>2773</v>
      </c>
      <c r="AB463" t="s">
        <v>2774</v>
      </c>
      <c r="AC463" t="s">
        <v>2776</v>
      </c>
      <c r="AD463" s="9" t="s">
        <v>595</v>
      </c>
      <c r="AE463" s="9" t="s">
        <v>2760</v>
      </c>
      <c r="AF463" s="9" t="s">
        <v>2041</v>
      </c>
      <c r="AG463" t="s">
        <v>595</v>
      </c>
    </row>
    <row r="464" spans="2:33" ht="15.5">
      <c r="B464" t="s">
        <v>19</v>
      </c>
      <c r="C464" t="s">
        <v>2770</v>
      </c>
      <c r="E464">
        <v>2017</v>
      </c>
      <c r="F464" t="s">
        <v>2771</v>
      </c>
      <c r="G464" t="s">
        <v>2035</v>
      </c>
      <c r="H464" s="7">
        <v>53.578699999999998</v>
      </c>
      <c r="I464" s="6">
        <v>6.9494999999999996</v>
      </c>
      <c r="J464" s="6">
        <v>1960</v>
      </c>
      <c r="K464" s="6">
        <v>2013</v>
      </c>
      <c r="L464" s="6">
        <f t="shared" si="17"/>
        <v>54</v>
      </c>
      <c r="M464" t="s">
        <v>2036</v>
      </c>
      <c r="N464" t="s">
        <v>161</v>
      </c>
      <c r="O464" t="s">
        <v>161</v>
      </c>
      <c r="P464" t="s">
        <v>161</v>
      </c>
      <c r="Q464" s="13" t="s">
        <v>414</v>
      </c>
      <c r="R464" t="s">
        <v>2112</v>
      </c>
      <c r="S464" s="8" t="s">
        <v>2039</v>
      </c>
      <c r="T464" s="13">
        <v>140</v>
      </c>
      <c r="U464" s="13" t="s">
        <v>2053</v>
      </c>
      <c r="V464" s="16" t="s">
        <v>163</v>
      </c>
      <c r="W464" t="s">
        <v>2041</v>
      </c>
      <c r="X464" t="s">
        <v>2041</v>
      </c>
      <c r="Y464" t="s">
        <v>19</v>
      </c>
      <c r="Z464" t="str">
        <f t="shared" si="18"/>
        <v>Y</v>
      </c>
      <c r="AA464" t="s">
        <v>2773</v>
      </c>
      <c r="AB464" t="s">
        <v>2774</v>
      </c>
      <c r="AC464" t="s">
        <v>2776</v>
      </c>
      <c r="AD464" s="9" t="s">
        <v>595</v>
      </c>
      <c r="AE464" s="9" t="s">
        <v>2760</v>
      </c>
      <c r="AF464" s="9" t="s">
        <v>2041</v>
      </c>
      <c r="AG464" t="s">
        <v>595</v>
      </c>
    </row>
    <row r="465" spans="2:33" ht="15.5">
      <c r="B465" t="s">
        <v>19</v>
      </c>
      <c r="C465" t="s">
        <v>2770</v>
      </c>
      <c r="E465">
        <v>2017</v>
      </c>
      <c r="F465" t="s">
        <v>2771</v>
      </c>
      <c r="G465" t="s">
        <v>2035</v>
      </c>
      <c r="H465" s="7">
        <v>53.578699999999998</v>
      </c>
      <c r="I465" s="6">
        <v>6.9494999999999996</v>
      </c>
      <c r="J465" s="6">
        <v>1960</v>
      </c>
      <c r="K465" s="6">
        <v>2013</v>
      </c>
      <c r="L465" s="6">
        <f t="shared" si="17"/>
        <v>54</v>
      </c>
      <c r="M465" t="s">
        <v>2036</v>
      </c>
      <c r="N465" t="s">
        <v>161</v>
      </c>
      <c r="O465" t="s">
        <v>161</v>
      </c>
      <c r="P465" t="s">
        <v>161</v>
      </c>
      <c r="Q465" s="13" t="s">
        <v>2785</v>
      </c>
      <c r="R465" t="s">
        <v>2112</v>
      </c>
      <c r="S465" s="8" t="s">
        <v>2039</v>
      </c>
      <c r="T465" s="13">
        <v>140</v>
      </c>
      <c r="U465" s="13" t="s">
        <v>2053</v>
      </c>
      <c r="V465" s="16" t="s">
        <v>163</v>
      </c>
      <c r="W465" t="s">
        <v>2041</v>
      </c>
      <c r="X465" t="s">
        <v>2041</v>
      </c>
      <c r="Y465" t="s">
        <v>19</v>
      </c>
      <c r="Z465" t="str">
        <f t="shared" si="18"/>
        <v>Y</v>
      </c>
      <c r="AA465" t="s">
        <v>2773</v>
      </c>
      <c r="AB465" t="s">
        <v>2774</v>
      </c>
      <c r="AC465" t="s">
        <v>2776</v>
      </c>
      <c r="AD465" s="9" t="s">
        <v>595</v>
      </c>
      <c r="AE465" s="9" t="s">
        <v>2760</v>
      </c>
      <c r="AF465" s="9" t="s">
        <v>2041</v>
      </c>
      <c r="AG465" t="s">
        <v>595</v>
      </c>
    </row>
    <row r="466" spans="2:33" ht="15.5">
      <c r="B466" t="s">
        <v>19</v>
      </c>
      <c r="C466" t="s">
        <v>2770</v>
      </c>
      <c r="E466">
        <v>2017</v>
      </c>
      <c r="F466" t="s">
        <v>2771</v>
      </c>
      <c r="G466" t="s">
        <v>2035</v>
      </c>
      <c r="H466" s="7">
        <v>53.578699999999998</v>
      </c>
      <c r="I466" s="6">
        <v>6.9494999999999996</v>
      </c>
      <c r="J466" s="6">
        <v>1960</v>
      </c>
      <c r="K466" s="6">
        <v>2013</v>
      </c>
      <c r="L466" s="6">
        <f t="shared" si="17"/>
        <v>54</v>
      </c>
      <c r="M466" t="s">
        <v>2036</v>
      </c>
      <c r="N466" t="s">
        <v>161</v>
      </c>
      <c r="O466" t="s">
        <v>161</v>
      </c>
      <c r="P466" t="s">
        <v>161</v>
      </c>
      <c r="Q466" s="13" t="s">
        <v>680</v>
      </c>
      <c r="R466" t="s">
        <v>2112</v>
      </c>
      <c r="S466" s="8" t="s">
        <v>2039</v>
      </c>
      <c r="T466" s="13">
        <v>250</v>
      </c>
      <c r="U466" s="13" t="s">
        <v>2040</v>
      </c>
      <c r="V466" s="16" t="s">
        <v>163</v>
      </c>
      <c r="W466" t="s">
        <v>2058</v>
      </c>
      <c r="X466" t="s">
        <v>2041</v>
      </c>
      <c r="Y466" t="s">
        <v>19</v>
      </c>
      <c r="Z466" t="str">
        <f t="shared" si="18"/>
        <v>Y</v>
      </c>
      <c r="AA466" t="s">
        <v>2773</v>
      </c>
      <c r="AB466" t="s">
        <v>2774</v>
      </c>
      <c r="AC466" t="s">
        <v>2776</v>
      </c>
      <c r="AD466" s="9" t="s">
        <v>595</v>
      </c>
      <c r="AE466" s="9" t="s">
        <v>2760</v>
      </c>
      <c r="AF466" s="9" t="s">
        <v>2041</v>
      </c>
      <c r="AG466" t="s">
        <v>595</v>
      </c>
    </row>
    <row r="467" spans="2:33" ht="15.5">
      <c r="B467" t="s">
        <v>19</v>
      </c>
      <c r="C467" t="s">
        <v>2770</v>
      </c>
      <c r="E467">
        <v>2017</v>
      </c>
      <c r="F467" t="s">
        <v>2771</v>
      </c>
      <c r="G467" t="s">
        <v>2035</v>
      </c>
      <c r="H467" s="7">
        <v>53.578699999999998</v>
      </c>
      <c r="I467" s="6">
        <v>6.9494999999999996</v>
      </c>
      <c r="J467" s="6">
        <v>1960</v>
      </c>
      <c r="K467" s="6">
        <v>2013</v>
      </c>
      <c r="L467" s="6">
        <f t="shared" si="17"/>
        <v>54</v>
      </c>
      <c r="M467" t="s">
        <v>2036</v>
      </c>
      <c r="N467" t="s">
        <v>161</v>
      </c>
      <c r="O467" t="s">
        <v>161</v>
      </c>
      <c r="P467" t="s">
        <v>161</v>
      </c>
      <c r="Q467" s="13" t="s">
        <v>2786</v>
      </c>
      <c r="R467" t="s">
        <v>2112</v>
      </c>
      <c r="S467" s="8" t="s">
        <v>2039</v>
      </c>
      <c r="T467" s="13">
        <v>185</v>
      </c>
      <c r="U467" s="13" t="s">
        <v>2101</v>
      </c>
      <c r="V467" s="16" t="s">
        <v>163</v>
      </c>
      <c r="W467" t="s">
        <v>2058</v>
      </c>
      <c r="X467" t="s">
        <v>2041</v>
      </c>
      <c r="Y467" t="s">
        <v>19</v>
      </c>
      <c r="Z467" t="str">
        <f t="shared" si="18"/>
        <v>Y</v>
      </c>
      <c r="AA467" t="s">
        <v>2773</v>
      </c>
      <c r="AB467" t="s">
        <v>2774</v>
      </c>
      <c r="AC467" t="s">
        <v>2776</v>
      </c>
      <c r="AD467" s="9" t="s">
        <v>595</v>
      </c>
      <c r="AE467" s="9" t="s">
        <v>2760</v>
      </c>
      <c r="AF467" s="9" t="s">
        <v>2041</v>
      </c>
      <c r="AG467" t="s">
        <v>595</v>
      </c>
    </row>
    <row r="468" spans="2:33" ht="15.5">
      <c r="B468" t="s">
        <v>19</v>
      </c>
      <c r="C468" t="s">
        <v>2770</v>
      </c>
      <c r="E468">
        <v>2017</v>
      </c>
      <c r="F468" t="s">
        <v>2771</v>
      </c>
      <c r="G468" t="s">
        <v>2035</v>
      </c>
      <c r="H468" s="7">
        <v>53.578699999999998</v>
      </c>
      <c r="I468" s="6">
        <v>6.9494999999999996</v>
      </c>
      <c r="J468" s="6">
        <v>1960</v>
      </c>
      <c r="K468" s="6">
        <v>2013</v>
      </c>
      <c r="L468" s="6">
        <f t="shared" si="17"/>
        <v>54</v>
      </c>
      <c r="M468" t="s">
        <v>2036</v>
      </c>
      <c r="N468" t="s">
        <v>161</v>
      </c>
      <c r="O468" t="s">
        <v>161</v>
      </c>
      <c r="P468" t="s">
        <v>161</v>
      </c>
      <c r="Q468" s="13" t="s">
        <v>2787</v>
      </c>
      <c r="R468" t="s">
        <v>2112</v>
      </c>
      <c r="S468" s="8" t="s">
        <v>2039</v>
      </c>
      <c r="T468" s="13">
        <v>190</v>
      </c>
      <c r="U468" s="13" t="s">
        <v>2101</v>
      </c>
      <c r="V468" s="16" t="s">
        <v>163</v>
      </c>
      <c r="W468" t="s">
        <v>2041</v>
      </c>
      <c r="X468" t="s">
        <v>2041</v>
      </c>
      <c r="Y468" t="s">
        <v>19</v>
      </c>
      <c r="Z468" t="str">
        <f t="shared" si="18"/>
        <v>Y</v>
      </c>
      <c r="AA468" t="s">
        <v>2773</v>
      </c>
      <c r="AB468" t="s">
        <v>2774</v>
      </c>
      <c r="AC468" t="s">
        <v>2776</v>
      </c>
      <c r="AD468" s="9" t="s">
        <v>595</v>
      </c>
      <c r="AE468" s="9" t="s">
        <v>2760</v>
      </c>
      <c r="AF468" s="9" t="s">
        <v>2041</v>
      </c>
      <c r="AG468" t="s">
        <v>595</v>
      </c>
    </row>
    <row r="469" spans="2:33" ht="15.5">
      <c r="B469" t="s">
        <v>19</v>
      </c>
      <c r="C469" t="s">
        <v>2770</v>
      </c>
      <c r="E469">
        <v>2017</v>
      </c>
      <c r="F469" t="s">
        <v>2771</v>
      </c>
      <c r="G469" t="s">
        <v>2035</v>
      </c>
      <c r="H469" s="7">
        <v>53.578699999999998</v>
      </c>
      <c r="I469" s="6">
        <v>6.9494999999999996</v>
      </c>
      <c r="J469" s="6">
        <v>1960</v>
      </c>
      <c r="K469" s="6">
        <v>2013</v>
      </c>
      <c r="L469" s="6">
        <f t="shared" si="17"/>
        <v>54</v>
      </c>
      <c r="M469" t="s">
        <v>2036</v>
      </c>
      <c r="N469" t="s">
        <v>161</v>
      </c>
      <c r="O469" t="s">
        <v>161</v>
      </c>
      <c r="P469" t="s">
        <v>161</v>
      </c>
      <c r="Q469" s="13" t="s">
        <v>248</v>
      </c>
      <c r="R469" t="s">
        <v>2112</v>
      </c>
      <c r="S469" s="8" t="s">
        <v>2039</v>
      </c>
      <c r="T469" s="13">
        <v>190</v>
      </c>
      <c r="U469" s="13" t="s">
        <v>2101</v>
      </c>
      <c r="V469" s="16" t="s">
        <v>163</v>
      </c>
      <c r="W469" t="s">
        <v>2041</v>
      </c>
      <c r="X469" t="s">
        <v>2041</v>
      </c>
      <c r="Y469" t="s">
        <v>19</v>
      </c>
      <c r="Z469" t="str">
        <f t="shared" si="18"/>
        <v>Y</v>
      </c>
      <c r="AA469" t="s">
        <v>2773</v>
      </c>
      <c r="AB469" t="s">
        <v>2774</v>
      </c>
      <c r="AC469" t="s">
        <v>2776</v>
      </c>
      <c r="AD469" s="9" t="s">
        <v>595</v>
      </c>
      <c r="AE469" s="9" t="s">
        <v>2760</v>
      </c>
      <c r="AF469" s="9" t="s">
        <v>2041</v>
      </c>
      <c r="AG469" t="s">
        <v>595</v>
      </c>
    </row>
    <row r="470" spans="2:33" ht="15.5">
      <c r="B470" t="s">
        <v>19</v>
      </c>
      <c r="C470" t="s">
        <v>2770</v>
      </c>
      <c r="E470">
        <v>2017</v>
      </c>
      <c r="F470" t="s">
        <v>2771</v>
      </c>
      <c r="G470" t="s">
        <v>2035</v>
      </c>
      <c r="H470" s="7">
        <v>53.578699999999998</v>
      </c>
      <c r="I470" s="6">
        <v>6.9494999999999996</v>
      </c>
      <c r="J470" s="6">
        <v>1960</v>
      </c>
      <c r="K470" s="6">
        <v>2013</v>
      </c>
      <c r="L470" s="6">
        <f t="shared" si="17"/>
        <v>54</v>
      </c>
      <c r="M470" t="s">
        <v>2036</v>
      </c>
      <c r="N470" t="s">
        <v>161</v>
      </c>
      <c r="O470" t="s">
        <v>161</v>
      </c>
      <c r="P470" t="s">
        <v>161</v>
      </c>
      <c r="Q470" s="13" t="s">
        <v>1217</v>
      </c>
      <c r="R470" t="s">
        <v>2112</v>
      </c>
      <c r="S470" s="8" t="s">
        <v>2039</v>
      </c>
      <c r="T470" s="13">
        <v>200</v>
      </c>
      <c r="U470" s="13" t="s">
        <v>2101</v>
      </c>
      <c r="V470" s="16" t="s">
        <v>163</v>
      </c>
      <c r="W470" t="s">
        <v>2080</v>
      </c>
      <c r="X470" t="s">
        <v>2041</v>
      </c>
      <c r="Y470" t="s">
        <v>19</v>
      </c>
      <c r="Z470" t="str">
        <f t="shared" si="18"/>
        <v>Y</v>
      </c>
      <c r="AA470" t="s">
        <v>2773</v>
      </c>
      <c r="AB470" t="s">
        <v>2774</v>
      </c>
      <c r="AC470" t="s">
        <v>2776</v>
      </c>
      <c r="AD470" s="9" t="s">
        <v>595</v>
      </c>
      <c r="AE470" s="9" t="s">
        <v>2760</v>
      </c>
      <c r="AF470" s="9" t="s">
        <v>2041</v>
      </c>
      <c r="AG470" t="s">
        <v>595</v>
      </c>
    </row>
    <row r="471" spans="2:33" ht="15.5">
      <c r="B471" t="s">
        <v>19</v>
      </c>
      <c r="C471" t="s">
        <v>2770</v>
      </c>
      <c r="E471">
        <v>2017</v>
      </c>
      <c r="F471" t="s">
        <v>2771</v>
      </c>
      <c r="G471" t="s">
        <v>2035</v>
      </c>
      <c r="H471" s="7">
        <v>53.578699999999998</v>
      </c>
      <c r="I471" s="6">
        <v>6.9494999999999996</v>
      </c>
      <c r="J471" s="6">
        <v>1960</v>
      </c>
      <c r="K471" s="6">
        <v>2013</v>
      </c>
      <c r="L471" s="6">
        <f t="shared" si="17"/>
        <v>54</v>
      </c>
      <c r="M471" t="s">
        <v>2036</v>
      </c>
      <c r="N471" t="s">
        <v>161</v>
      </c>
      <c r="O471" t="s">
        <v>161</v>
      </c>
      <c r="P471" t="s">
        <v>161</v>
      </c>
      <c r="Q471" s="13" t="s">
        <v>688</v>
      </c>
      <c r="R471" t="s">
        <v>2112</v>
      </c>
      <c r="S471" s="8" t="s">
        <v>2039</v>
      </c>
      <c r="T471" s="13">
        <v>140</v>
      </c>
      <c r="U471" s="13" t="s">
        <v>2053</v>
      </c>
      <c r="V471" s="16" t="s">
        <v>163</v>
      </c>
      <c r="W471" t="s">
        <v>2041</v>
      </c>
      <c r="X471" t="s">
        <v>2041</v>
      </c>
      <c r="Y471" t="s">
        <v>19</v>
      </c>
      <c r="Z471" t="str">
        <f t="shared" si="18"/>
        <v>Y</v>
      </c>
      <c r="AA471" t="s">
        <v>2773</v>
      </c>
      <c r="AB471" t="s">
        <v>2774</v>
      </c>
      <c r="AC471" t="s">
        <v>2776</v>
      </c>
      <c r="AD471" s="9" t="s">
        <v>595</v>
      </c>
      <c r="AE471" s="9" t="s">
        <v>2760</v>
      </c>
      <c r="AF471" s="9" t="s">
        <v>2041</v>
      </c>
      <c r="AG471" t="s">
        <v>595</v>
      </c>
    </row>
    <row r="472" spans="2:33" ht="15.5">
      <c r="B472" t="s">
        <v>19</v>
      </c>
      <c r="C472" t="s">
        <v>2770</v>
      </c>
      <c r="E472">
        <v>2017</v>
      </c>
      <c r="F472" t="s">
        <v>2771</v>
      </c>
      <c r="G472" t="s">
        <v>2035</v>
      </c>
      <c r="H472" s="7">
        <v>53.578699999999998</v>
      </c>
      <c r="I472" s="6">
        <v>6.9494999999999996</v>
      </c>
      <c r="J472" s="6">
        <v>1960</v>
      </c>
      <c r="K472" s="6">
        <v>2013</v>
      </c>
      <c r="L472" s="6">
        <f t="shared" si="17"/>
        <v>54</v>
      </c>
      <c r="M472" t="s">
        <v>2036</v>
      </c>
      <c r="N472" t="s">
        <v>161</v>
      </c>
      <c r="O472" t="s">
        <v>161</v>
      </c>
      <c r="P472" t="s">
        <v>161</v>
      </c>
      <c r="Q472" s="13" t="s">
        <v>687</v>
      </c>
      <c r="R472" t="s">
        <v>2112</v>
      </c>
      <c r="S472" s="8" t="s">
        <v>2039</v>
      </c>
      <c r="T472" s="13">
        <v>200</v>
      </c>
      <c r="U472" s="13" t="s">
        <v>2101</v>
      </c>
      <c r="V472" s="16" t="s">
        <v>163</v>
      </c>
      <c r="W472" t="s">
        <v>2058</v>
      </c>
      <c r="X472" t="s">
        <v>2041</v>
      </c>
      <c r="Y472" t="s">
        <v>19</v>
      </c>
      <c r="Z472" t="str">
        <f t="shared" si="18"/>
        <v>Y</v>
      </c>
      <c r="AA472" t="s">
        <v>2773</v>
      </c>
      <c r="AB472" t="s">
        <v>2774</v>
      </c>
      <c r="AC472" t="s">
        <v>2776</v>
      </c>
      <c r="AD472" s="9" t="s">
        <v>595</v>
      </c>
      <c r="AE472" s="9" t="s">
        <v>2760</v>
      </c>
      <c r="AF472" s="9" t="s">
        <v>2041</v>
      </c>
      <c r="AG472" t="s">
        <v>595</v>
      </c>
    </row>
    <row r="473" spans="2:33" ht="15.5">
      <c r="B473" t="s">
        <v>19</v>
      </c>
      <c r="C473" t="s">
        <v>2770</v>
      </c>
      <c r="E473">
        <v>2017</v>
      </c>
      <c r="F473" t="s">
        <v>2771</v>
      </c>
      <c r="G473" t="s">
        <v>2035</v>
      </c>
      <c r="H473" s="7">
        <v>53.578699999999998</v>
      </c>
      <c r="I473" s="6">
        <v>6.9494999999999996</v>
      </c>
      <c r="J473" s="6">
        <v>1960</v>
      </c>
      <c r="K473" s="6">
        <v>2013</v>
      </c>
      <c r="L473" s="6">
        <f t="shared" si="17"/>
        <v>54</v>
      </c>
      <c r="M473" t="s">
        <v>2036</v>
      </c>
      <c r="N473" t="s">
        <v>161</v>
      </c>
      <c r="O473" t="s">
        <v>161</v>
      </c>
      <c r="P473" t="s">
        <v>161</v>
      </c>
      <c r="Q473" s="13" t="s">
        <v>165</v>
      </c>
      <c r="R473" t="s">
        <v>2112</v>
      </c>
      <c r="S473" s="8" t="s">
        <v>2039</v>
      </c>
      <c r="T473" s="13">
        <v>200</v>
      </c>
      <c r="U473" s="13" t="s">
        <v>2101</v>
      </c>
      <c r="V473" s="16" t="s">
        <v>163</v>
      </c>
      <c r="W473" t="s">
        <v>2041</v>
      </c>
      <c r="X473" t="s">
        <v>2041</v>
      </c>
      <c r="Y473" t="s">
        <v>19</v>
      </c>
      <c r="Z473" t="str">
        <f t="shared" si="18"/>
        <v>Y</v>
      </c>
      <c r="AA473" t="s">
        <v>2773</v>
      </c>
      <c r="AB473" t="s">
        <v>2774</v>
      </c>
      <c r="AC473" t="s">
        <v>2776</v>
      </c>
      <c r="AD473" s="9" t="s">
        <v>595</v>
      </c>
      <c r="AE473" s="9" t="s">
        <v>2760</v>
      </c>
      <c r="AF473" s="9" t="s">
        <v>2041</v>
      </c>
      <c r="AG473" t="s">
        <v>595</v>
      </c>
    </row>
    <row r="474" spans="2:33" ht="15.5">
      <c r="B474" t="s">
        <v>19</v>
      </c>
      <c r="C474" t="s">
        <v>2770</v>
      </c>
      <c r="E474">
        <v>2017</v>
      </c>
      <c r="F474" t="s">
        <v>2771</v>
      </c>
      <c r="G474" t="s">
        <v>2035</v>
      </c>
      <c r="H474" s="7">
        <v>53.578699999999998</v>
      </c>
      <c r="I474" s="6">
        <v>6.9494999999999996</v>
      </c>
      <c r="J474" s="6">
        <v>1960</v>
      </c>
      <c r="K474" s="6">
        <v>2013</v>
      </c>
      <c r="L474" s="6">
        <f t="shared" si="17"/>
        <v>54</v>
      </c>
      <c r="M474" t="s">
        <v>2036</v>
      </c>
      <c r="N474" t="s">
        <v>161</v>
      </c>
      <c r="O474" t="s">
        <v>161</v>
      </c>
      <c r="P474" t="s">
        <v>161</v>
      </c>
      <c r="Q474" s="13" t="s">
        <v>2788</v>
      </c>
      <c r="R474" t="s">
        <v>2112</v>
      </c>
      <c r="S474" s="8" t="s">
        <v>2039</v>
      </c>
      <c r="T474" s="13">
        <v>200</v>
      </c>
      <c r="U474" s="13" t="s">
        <v>2101</v>
      </c>
      <c r="V474" s="16" t="s">
        <v>163</v>
      </c>
      <c r="W474" t="s">
        <v>2058</v>
      </c>
      <c r="X474" t="s">
        <v>2041</v>
      </c>
      <c r="Y474" t="s">
        <v>19</v>
      </c>
      <c r="Z474" t="str">
        <f t="shared" si="18"/>
        <v>Y</v>
      </c>
      <c r="AA474" t="s">
        <v>2773</v>
      </c>
      <c r="AB474" t="s">
        <v>2774</v>
      </c>
      <c r="AC474" t="s">
        <v>2776</v>
      </c>
      <c r="AD474" s="9" t="s">
        <v>595</v>
      </c>
      <c r="AE474" s="9" t="s">
        <v>2760</v>
      </c>
      <c r="AF474" s="9" t="s">
        <v>2041</v>
      </c>
      <c r="AG474" t="s">
        <v>595</v>
      </c>
    </row>
    <row r="475" spans="2:33" ht="15.5">
      <c r="B475" t="s">
        <v>19</v>
      </c>
      <c r="C475" t="s">
        <v>2770</v>
      </c>
      <c r="E475">
        <v>2017</v>
      </c>
      <c r="F475" t="s">
        <v>2771</v>
      </c>
      <c r="G475" t="s">
        <v>2035</v>
      </c>
      <c r="H475" s="7">
        <v>53.578699999999998</v>
      </c>
      <c r="I475" s="6">
        <v>6.9494999999999996</v>
      </c>
      <c r="J475" s="6">
        <v>1960</v>
      </c>
      <c r="K475" s="6">
        <v>2013</v>
      </c>
      <c r="L475" s="6">
        <f t="shared" si="17"/>
        <v>54</v>
      </c>
      <c r="M475" t="s">
        <v>2036</v>
      </c>
      <c r="N475" t="s">
        <v>161</v>
      </c>
      <c r="O475" t="s">
        <v>161</v>
      </c>
      <c r="P475" t="s">
        <v>161</v>
      </c>
      <c r="Q475" s="13" t="s">
        <v>1219</v>
      </c>
      <c r="R475" t="s">
        <v>2112</v>
      </c>
      <c r="S475" s="8" t="s">
        <v>2039</v>
      </c>
      <c r="T475" s="13">
        <v>190</v>
      </c>
      <c r="U475" s="13" t="s">
        <v>2101</v>
      </c>
      <c r="V475" s="16" t="s">
        <v>163</v>
      </c>
      <c r="W475" t="s">
        <v>2058</v>
      </c>
      <c r="X475" t="s">
        <v>2041</v>
      </c>
      <c r="Y475" t="s">
        <v>19</v>
      </c>
      <c r="Z475" t="str">
        <f t="shared" si="18"/>
        <v>Y</v>
      </c>
      <c r="AA475" t="s">
        <v>2773</v>
      </c>
      <c r="AB475" t="s">
        <v>2774</v>
      </c>
      <c r="AC475" t="s">
        <v>2776</v>
      </c>
      <c r="AD475" s="9" t="s">
        <v>595</v>
      </c>
      <c r="AE475" s="9" t="s">
        <v>2760</v>
      </c>
      <c r="AF475" s="9" t="s">
        <v>2041</v>
      </c>
      <c r="AG475" t="s">
        <v>595</v>
      </c>
    </row>
    <row r="476" spans="2:33" ht="15.5">
      <c r="B476" t="s">
        <v>19</v>
      </c>
      <c r="C476" t="s">
        <v>2770</v>
      </c>
      <c r="E476">
        <v>2017</v>
      </c>
      <c r="F476" t="s">
        <v>2771</v>
      </c>
      <c r="G476" t="s">
        <v>2035</v>
      </c>
      <c r="H476" s="7">
        <v>53.578699999999998</v>
      </c>
      <c r="I476" s="6">
        <v>6.9494999999999996</v>
      </c>
      <c r="J476" s="6">
        <v>1960</v>
      </c>
      <c r="K476" s="6">
        <v>2013</v>
      </c>
      <c r="L476" s="6">
        <f t="shared" si="17"/>
        <v>54</v>
      </c>
      <c r="M476" t="s">
        <v>2036</v>
      </c>
      <c r="N476" t="s">
        <v>161</v>
      </c>
      <c r="O476" t="s">
        <v>161</v>
      </c>
      <c r="P476" t="s">
        <v>161</v>
      </c>
      <c r="Q476" s="13" t="s">
        <v>686</v>
      </c>
      <c r="R476" t="s">
        <v>2112</v>
      </c>
      <c r="S476" s="8" t="s">
        <v>2039</v>
      </c>
      <c r="T476" s="13">
        <v>245</v>
      </c>
      <c r="U476" s="13" t="s">
        <v>2040</v>
      </c>
      <c r="V476" s="16" t="s">
        <v>163</v>
      </c>
      <c r="W476" t="s">
        <v>2058</v>
      </c>
      <c r="X476" t="s">
        <v>2041</v>
      </c>
      <c r="Y476" t="s">
        <v>19</v>
      </c>
      <c r="Z476" t="str">
        <f t="shared" si="18"/>
        <v>Y</v>
      </c>
      <c r="AA476" t="s">
        <v>2773</v>
      </c>
      <c r="AB476" t="s">
        <v>2774</v>
      </c>
      <c r="AC476" t="s">
        <v>2776</v>
      </c>
      <c r="AD476" s="9" t="s">
        <v>595</v>
      </c>
      <c r="AE476" s="9" t="s">
        <v>2760</v>
      </c>
      <c r="AF476" s="9" t="s">
        <v>2041</v>
      </c>
      <c r="AG476" t="s">
        <v>595</v>
      </c>
    </row>
    <row r="477" spans="2:33" ht="15.5">
      <c r="B477" t="s">
        <v>19</v>
      </c>
      <c r="C477" t="s">
        <v>2770</v>
      </c>
      <c r="E477">
        <v>2017</v>
      </c>
      <c r="F477" t="s">
        <v>2771</v>
      </c>
      <c r="G477" t="s">
        <v>2035</v>
      </c>
      <c r="H477" s="7">
        <v>53.578699999999998</v>
      </c>
      <c r="I477" s="6">
        <v>6.9494999999999996</v>
      </c>
      <c r="J477" s="6">
        <v>1960</v>
      </c>
      <c r="K477" s="6">
        <v>2013</v>
      </c>
      <c r="L477" s="6">
        <f t="shared" si="17"/>
        <v>54</v>
      </c>
      <c r="M477" t="s">
        <v>2036</v>
      </c>
      <c r="N477" t="s">
        <v>161</v>
      </c>
      <c r="O477" t="s">
        <v>161</v>
      </c>
      <c r="P477" t="s">
        <v>161</v>
      </c>
      <c r="Q477" s="13" t="s">
        <v>246</v>
      </c>
      <c r="R477" t="s">
        <v>2112</v>
      </c>
      <c r="S477" s="8" t="s">
        <v>2039</v>
      </c>
      <c r="T477" s="13">
        <v>265</v>
      </c>
      <c r="U477" s="13" t="s">
        <v>2040</v>
      </c>
      <c r="V477" s="16" t="s">
        <v>163</v>
      </c>
      <c r="W477" t="s">
        <v>2080</v>
      </c>
      <c r="X477" t="s">
        <v>2041</v>
      </c>
      <c r="Y477" t="s">
        <v>19</v>
      </c>
      <c r="Z477" t="str">
        <f t="shared" si="18"/>
        <v>Y</v>
      </c>
      <c r="AA477" t="s">
        <v>2773</v>
      </c>
      <c r="AB477" t="s">
        <v>2774</v>
      </c>
      <c r="AC477" t="s">
        <v>2776</v>
      </c>
      <c r="AD477" s="9" t="s">
        <v>595</v>
      </c>
      <c r="AE477" s="9" t="s">
        <v>2760</v>
      </c>
      <c r="AF477" s="9" t="s">
        <v>2041</v>
      </c>
      <c r="AG477" t="s">
        <v>595</v>
      </c>
    </row>
    <row r="478" spans="2:33" ht="15.5">
      <c r="B478" t="s">
        <v>19</v>
      </c>
      <c r="C478" t="s">
        <v>2770</v>
      </c>
      <c r="E478">
        <v>2017</v>
      </c>
      <c r="F478" t="s">
        <v>2771</v>
      </c>
      <c r="G478" t="s">
        <v>2035</v>
      </c>
      <c r="H478" s="7">
        <v>53.578699999999998</v>
      </c>
      <c r="I478" s="6">
        <v>6.9494999999999996</v>
      </c>
      <c r="J478" s="6">
        <v>1960</v>
      </c>
      <c r="K478" s="6">
        <v>2013</v>
      </c>
      <c r="L478" s="6">
        <f t="shared" si="17"/>
        <v>54</v>
      </c>
      <c r="M478" t="s">
        <v>2036</v>
      </c>
      <c r="N478" t="s">
        <v>161</v>
      </c>
      <c r="O478" t="s">
        <v>161</v>
      </c>
      <c r="P478" t="s">
        <v>161</v>
      </c>
      <c r="Q478" s="13" t="s">
        <v>2789</v>
      </c>
      <c r="R478" t="s">
        <v>2112</v>
      </c>
      <c r="S478" s="8" t="s">
        <v>2039</v>
      </c>
      <c r="T478" s="13">
        <v>210</v>
      </c>
      <c r="U478" s="13" t="s">
        <v>2101</v>
      </c>
      <c r="V478" s="16" t="s">
        <v>163</v>
      </c>
      <c r="W478" t="s">
        <v>2058</v>
      </c>
      <c r="X478" t="s">
        <v>2041</v>
      </c>
      <c r="Y478" t="s">
        <v>19</v>
      </c>
      <c r="Z478" t="str">
        <f t="shared" si="18"/>
        <v>Y</v>
      </c>
      <c r="AA478" t="s">
        <v>2773</v>
      </c>
      <c r="AB478" t="s">
        <v>2774</v>
      </c>
      <c r="AC478" t="s">
        <v>2776</v>
      </c>
      <c r="AD478" s="9" t="s">
        <v>595</v>
      </c>
      <c r="AE478" s="9" t="s">
        <v>2760</v>
      </c>
      <c r="AF478" s="9" t="s">
        <v>2041</v>
      </c>
      <c r="AG478" t="s">
        <v>595</v>
      </c>
    </row>
    <row r="479" spans="2:33" ht="15.5">
      <c r="B479" t="s">
        <v>19</v>
      </c>
      <c r="C479" t="s">
        <v>2770</v>
      </c>
      <c r="E479">
        <v>2017</v>
      </c>
      <c r="F479" t="s">
        <v>2771</v>
      </c>
      <c r="G479" t="s">
        <v>2035</v>
      </c>
      <c r="H479" s="7">
        <v>53.578699999999998</v>
      </c>
      <c r="I479" s="6">
        <v>6.9494999999999996</v>
      </c>
      <c r="J479" s="6">
        <v>1960</v>
      </c>
      <c r="K479" s="6">
        <v>2013</v>
      </c>
      <c r="L479" s="6">
        <f t="shared" si="17"/>
        <v>54</v>
      </c>
      <c r="M479" t="s">
        <v>2036</v>
      </c>
      <c r="N479" t="s">
        <v>161</v>
      </c>
      <c r="O479" t="s">
        <v>161</v>
      </c>
      <c r="P479" t="s">
        <v>161</v>
      </c>
      <c r="Q479" s="13" t="s">
        <v>1215</v>
      </c>
      <c r="R479" t="s">
        <v>2112</v>
      </c>
      <c r="S479" s="8" t="s">
        <v>2039</v>
      </c>
      <c r="T479" s="13">
        <v>155</v>
      </c>
      <c r="U479" s="13" t="s">
        <v>2101</v>
      </c>
      <c r="V479" s="16" t="s">
        <v>163</v>
      </c>
      <c r="W479" t="s">
        <v>2058</v>
      </c>
      <c r="X479" t="s">
        <v>2041</v>
      </c>
      <c r="Y479" t="s">
        <v>19</v>
      </c>
      <c r="Z479" t="str">
        <f t="shared" si="18"/>
        <v>Y</v>
      </c>
      <c r="AA479" t="s">
        <v>2773</v>
      </c>
      <c r="AB479" t="s">
        <v>2774</v>
      </c>
      <c r="AC479" t="s">
        <v>2776</v>
      </c>
      <c r="AD479" s="9" t="s">
        <v>595</v>
      </c>
      <c r="AE479" s="9" t="s">
        <v>2760</v>
      </c>
      <c r="AF479" s="9" t="s">
        <v>2041</v>
      </c>
      <c r="AG479" t="s">
        <v>595</v>
      </c>
    </row>
    <row r="480" spans="2:33" ht="15.5">
      <c r="B480" t="s">
        <v>19</v>
      </c>
      <c r="C480" t="s">
        <v>2770</v>
      </c>
      <c r="E480">
        <v>2017</v>
      </c>
      <c r="F480" t="s">
        <v>2771</v>
      </c>
      <c r="G480" t="s">
        <v>2035</v>
      </c>
      <c r="H480" s="7">
        <v>53.578699999999998</v>
      </c>
      <c r="I480" s="6">
        <v>6.9494999999999996</v>
      </c>
      <c r="J480" s="6">
        <v>1960</v>
      </c>
      <c r="K480" s="6">
        <v>2013</v>
      </c>
      <c r="L480" s="6">
        <f t="shared" si="17"/>
        <v>54</v>
      </c>
      <c r="M480" t="s">
        <v>2036</v>
      </c>
      <c r="N480" t="s">
        <v>161</v>
      </c>
      <c r="O480" t="s">
        <v>161</v>
      </c>
      <c r="P480" t="s">
        <v>161</v>
      </c>
      <c r="Q480" s="13" t="s">
        <v>683</v>
      </c>
      <c r="R480" t="s">
        <v>2112</v>
      </c>
      <c r="S480" s="8" t="s">
        <v>2039</v>
      </c>
      <c r="T480" s="13">
        <v>180</v>
      </c>
      <c r="U480" s="13" t="s">
        <v>2101</v>
      </c>
      <c r="V480" s="16" t="s">
        <v>163</v>
      </c>
      <c r="W480" t="s">
        <v>2058</v>
      </c>
      <c r="X480" t="s">
        <v>2041</v>
      </c>
      <c r="Y480" t="s">
        <v>19</v>
      </c>
      <c r="Z480" t="str">
        <f t="shared" si="18"/>
        <v>Y</v>
      </c>
      <c r="AA480" t="s">
        <v>2773</v>
      </c>
      <c r="AB480" t="s">
        <v>2774</v>
      </c>
      <c r="AC480" t="s">
        <v>2776</v>
      </c>
      <c r="AD480" s="9" t="s">
        <v>595</v>
      </c>
      <c r="AE480" s="9" t="s">
        <v>2760</v>
      </c>
      <c r="AF480" s="9" t="s">
        <v>2041</v>
      </c>
      <c r="AG480" t="s">
        <v>595</v>
      </c>
    </row>
    <row r="481" spans="1:33" ht="15.5">
      <c r="B481" t="s">
        <v>19</v>
      </c>
      <c r="C481" t="s">
        <v>2770</v>
      </c>
      <c r="E481">
        <v>2017</v>
      </c>
      <c r="F481" t="s">
        <v>2771</v>
      </c>
      <c r="G481" t="s">
        <v>2035</v>
      </c>
      <c r="H481" s="7">
        <v>53.578699999999998</v>
      </c>
      <c r="I481" s="6">
        <v>6.9494999999999996</v>
      </c>
      <c r="J481" s="6">
        <v>1960</v>
      </c>
      <c r="K481" s="6">
        <v>2013</v>
      </c>
      <c r="L481" s="6">
        <f t="shared" si="17"/>
        <v>54</v>
      </c>
      <c r="M481" t="s">
        <v>2036</v>
      </c>
      <c r="N481" t="s">
        <v>161</v>
      </c>
      <c r="O481" t="s">
        <v>161</v>
      </c>
      <c r="P481" t="s">
        <v>161</v>
      </c>
      <c r="Q481" s="13" t="s">
        <v>2790</v>
      </c>
      <c r="R481" t="s">
        <v>2112</v>
      </c>
      <c r="S481" s="8" t="s">
        <v>2039</v>
      </c>
      <c r="T481" s="13">
        <v>155</v>
      </c>
      <c r="U481" s="13" t="s">
        <v>2101</v>
      </c>
      <c r="V481" s="16" t="s">
        <v>163</v>
      </c>
      <c r="W481" t="s">
        <v>2080</v>
      </c>
      <c r="X481" t="s">
        <v>2041</v>
      </c>
      <c r="Y481" t="s">
        <v>19</v>
      </c>
      <c r="Z481" t="str">
        <f t="shared" si="18"/>
        <v>Y</v>
      </c>
      <c r="AA481" t="s">
        <v>2773</v>
      </c>
      <c r="AB481" t="s">
        <v>2774</v>
      </c>
      <c r="AC481" t="s">
        <v>2776</v>
      </c>
      <c r="AD481" s="9" t="s">
        <v>595</v>
      </c>
      <c r="AE481" s="9" t="s">
        <v>2760</v>
      </c>
      <c r="AF481" s="9" t="s">
        <v>2041</v>
      </c>
      <c r="AG481" t="s">
        <v>595</v>
      </c>
    </row>
    <row r="482" spans="1:33" ht="15.5">
      <c r="B482" t="s">
        <v>19</v>
      </c>
      <c r="C482" t="s">
        <v>2770</v>
      </c>
      <c r="E482">
        <v>2017</v>
      </c>
      <c r="F482" t="s">
        <v>2771</v>
      </c>
      <c r="G482" t="s">
        <v>2035</v>
      </c>
      <c r="H482" s="7">
        <v>53.578699999999998</v>
      </c>
      <c r="I482" s="6">
        <v>6.9494999999999996</v>
      </c>
      <c r="J482" s="6">
        <v>1960</v>
      </c>
      <c r="K482" s="6">
        <v>2013</v>
      </c>
      <c r="L482" s="6">
        <f t="shared" si="17"/>
        <v>54</v>
      </c>
      <c r="M482" t="s">
        <v>2036</v>
      </c>
      <c r="N482" t="s">
        <v>161</v>
      </c>
      <c r="O482" t="s">
        <v>161</v>
      </c>
      <c r="P482" t="s">
        <v>161</v>
      </c>
      <c r="Q482" s="13" t="s">
        <v>682</v>
      </c>
      <c r="R482" t="s">
        <v>2112</v>
      </c>
      <c r="S482" s="8" t="s">
        <v>2039</v>
      </c>
      <c r="T482" s="13">
        <v>150</v>
      </c>
      <c r="U482" s="13" t="s">
        <v>2101</v>
      </c>
      <c r="V482" s="16" t="s">
        <v>163</v>
      </c>
      <c r="W482" t="s">
        <v>2041</v>
      </c>
      <c r="X482" t="s">
        <v>2041</v>
      </c>
      <c r="Y482" t="s">
        <v>19</v>
      </c>
      <c r="Z482" t="str">
        <f t="shared" si="18"/>
        <v>Y</v>
      </c>
      <c r="AA482" t="s">
        <v>2773</v>
      </c>
      <c r="AB482" t="s">
        <v>2774</v>
      </c>
      <c r="AC482" t="s">
        <v>2776</v>
      </c>
      <c r="AD482" s="9" t="s">
        <v>595</v>
      </c>
      <c r="AE482" s="9" t="s">
        <v>2760</v>
      </c>
      <c r="AF482" s="9" t="s">
        <v>2041</v>
      </c>
      <c r="AG482" t="s">
        <v>595</v>
      </c>
    </row>
    <row r="483" spans="1:33" ht="15.5">
      <c r="B483" t="s">
        <v>19</v>
      </c>
      <c r="C483" t="s">
        <v>2770</v>
      </c>
      <c r="E483">
        <v>2017</v>
      </c>
      <c r="F483" t="s">
        <v>2771</v>
      </c>
      <c r="G483" t="s">
        <v>2035</v>
      </c>
      <c r="H483" s="7">
        <v>53.578699999999998</v>
      </c>
      <c r="I483" s="6">
        <v>6.9494999999999996</v>
      </c>
      <c r="J483" s="6">
        <v>1960</v>
      </c>
      <c r="K483" s="6">
        <v>2013</v>
      </c>
      <c r="L483" s="6">
        <f t="shared" si="17"/>
        <v>54</v>
      </c>
      <c r="M483" t="s">
        <v>2036</v>
      </c>
      <c r="N483" t="s">
        <v>161</v>
      </c>
      <c r="O483" t="s">
        <v>161</v>
      </c>
      <c r="P483" t="s">
        <v>161</v>
      </c>
      <c r="Q483" s="13" t="s">
        <v>240</v>
      </c>
      <c r="R483" t="s">
        <v>2112</v>
      </c>
      <c r="S483" s="8" t="s">
        <v>2039</v>
      </c>
      <c r="T483" s="13">
        <v>150</v>
      </c>
      <c r="U483" s="13" t="s">
        <v>2101</v>
      </c>
      <c r="V483" s="16" t="s">
        <v>163</v>
      </c>
      <c r="W483" t="s">
        <v>2041</v>
      </c>
      <c r="X483" t="s">
        <v>2041</v>
      </c>
      <c r="Y483" t="s">
        <v>19</v>
      </c>
      <c r="Z483" t="str">
        <f t="shared" si="18"/>
        <v>Y</v>
      </c>
      <c r="AA483" t="s">
        <v>2773</v>
      </c>
      <c r="AB483" t="s">
        <v>2774</v>
      </c>
      <c r="AC483" t="s">
        <v>2776</v>
      </c>
      <c r="AD483" s="9" t="s">
        <v>595</v>
      </c>
      <c r="AE483" s="9" t="s">
        <v>2760</v>
      </c>
      <c r="AF483" s="9" t="s">
        <v>2041</v>
      </c>
      <c r="AG483" t="s">
        <v>595</v>
      </c>
    </row>
    <row r="484" spans="1:33" ht="15.5">
      <c r="B484" t="s">
        <v>19</v>
      </c>
      <c r="C484" t="s">
        <v>2770</v>
      </c>
      <c r="E484">
        <v>2017</v>
      </c>
      <c r="F484" t="s">
        <v>2771</v>
      </c>
      <c r="G484" t="s">
        <v>2035</v>
      </c>
      <c r="H484" s="7">
        <v>53.578699999999998</v>
      </c>
      <c r="I484" s="6">
        <v>6.9494999999999996</v>
      </c>
      <c r="J484" s="6">
        <v>1960</v>
      </c>
      <c r="K484" s="6">
        <v>2013</v>
      </c>
      <c r="L484" s="6">
        <f t="shared" si="17"/>
        <v>54</v>
      </c>
      <c r="M484" t="s">
        <v>2036</v>
      </c>
      <c r="N484" t="s">
        <v>161</v>
      </c>
      <c r="O484" t="s">
        <v>161</v>
      </c>
      <c r="P484" t="s">
        <v>161</v>
      </c>
      <c r="Q484" s="13" t="s">
        <v>681</v>
      </c>
      <c r="R484" t="s">
        <v>2112</v>
      </c>
      <c r="S484" s="8" t="s">
        <v>2039</v>
      </c>
      <c r="T484" s="13">
        <v>180</v>
      </c>
      <c r="U484" s="13" t="s">
        <v>2101</v>
      </c>
      <c r="V484" s="16" t="s">
        <v>163</v>
      </c>
      <c r="W484" t="s">
        <v>2058</v>
      </c>
      <c r="X484" t="s">
        <v>2041</v>
      </c>
      <c r="Y484" t="s">
        <v>19</v>
      </c>
      <c r="Z484" t="str">
        <f t="shared" si="18"/>
        <v>Y</v>
      </c>
      <c r="AA484" t="s">
        <v>2773</v>
      </c>
      <c r="AB484" t="s">
        <v>2774</v>
      </c>
      <c r="AC484" t="s">
        <v>2776</v>
      </c>
      <c r="AD484" s="9" t="s">
        <v>595</v>
      </c>
      <c r="AE484" s="9" t="s">
        <v>2760</v>
      </c>
      <c r="AF484" s="9" t="s">
        <v>2041</v>
      </c>
      <c r="AG484" t="s">
        <v>595</v>
      </c>
    </row>
    <row r="485" spans="1:33" ht="15.5">
      <c r="B485" t="s">
        <v>19</v>
      </c>
      <c r="C485" t="s">
        <v>2770</v>
      </c>
      <c r="E485">
        <v>2017</v>
      </c>
      <c r="F485" t="s">
        <v>2771</v>
      </c>
      <c r="G485" t="s">
        <v>2035</v>
      </c>
      <c r="H485" s="7">
        <v>53.578699999999998</v>
      </c>
      <c r="I485" s="6">
        <v>6.9494999999999996</v>
      </c>
      <c r="J485" s="6">
        <v>1960</v>
      </c>
      <c r="K485" s="6">
        <v>2013</v>
      </c>
      <c r="L485" s="6">
        <f t="shared" si="17"/>
        <v>54</v>
      </c>
      <c r="M485" t="s">
        <v>2036</v>
      </c>
      <c r="N485" t="s">
        <v>161</v>
      </c>
      <c r="O485" t="s">
        <v>161</v>
      </c>
      <c r="P485" t="s">
        <v>161</v>
      </c>
      <c r="Q485" s="13" t="s">
        <v>239</v>
      </c>
      <c r="R485" t="s">
        <v>2112</v>
      </c>
      <c r="S485" s="8" t="s">
        <v>2039</v>
      </c>
      <c r="T485" s="13">
        <v>125</v>
      </c>
      <c r="U485" s="13" t="s">
        <v>2053</v>
      </c>
      <c r="V485" s="16" t="s">
        <v>163</v>
      </c>
      <c r="W485" t="s">
        <v>2058</v>
      </c>
      <c r="X485" t="s">
        <v>2041</v>
      </c>
      <c r="Y485" t="s">
        <v>19</v>
      </c>
      <c r="Z485" t="str">
        <f t="shared" si="18"/>
        <v>Y</v>
      </c>
      <c r="AA485" t="s">
        <v>2773</v>
      </c>
      <c r="AB485" t="s">
        <v>2774</v>
      </c>
      <c r="AC485" t="s">
        <v>2776</v>
      </c>
      <c r="AD485" s="9" t="s">
        <v>595</v>
      </c>
      <c r="AE485" s="9" t="s">
        <v>2760</v>
      </c>
      <c r="AF485" s="9" t="s">
        <v>2041</v>
      </c>
      <c r="AG485" t="s">
        <v>595</v>
      </c>
    </row>
    <row r="486" spans="1:33" ht="15.5">
      <c r="B486" t="s">
        <v>19</v>
      </c>
      <c r="C486" t="s">
        <v>2770</v>
      </c>
      <c r="E486">
        <v>2017</v>
      </c>
      <c r="F486" t="s">
        <v>2771</v>
      </c>
      <c r="G486" t="s">
        <v>2035</v>
      </c>
      <c r="H486" s="7">
        <v>53.578699999999998</v>
      </c>
      <c r="I486" s="6">
        <v>6.9494999999999996</v>
      </c>
      <c r="J486" s="6">
        <v>1960</v>
      </c>
      <c r="K486" s="6">
        <v>2013</v>
      </c>
      <c r="L486" s="6">
        <f t="shared" si="17"/>
        <v>54</v>
      </c>
      <c r="M486" t="s">
        <v>2036</v>
      </c>
      <c r="N486" t="s">
        <v>161</v>
      </c>
      <c r="O486" t="s">
        <v>161</v>
      </c>
      <c r="P486" t="s">
        <v>161</v>
      </c>
      <c r="Q486" s="13" t="s">
        <v>2791</v>
      </c>
      <c r="R486" t="s">
        <v>2112</v>
      </c>
      <c r="S486" s="8" t="s">
        <v>2039</v>
      </c>
      <c r="T486" s="13">
        <v>210</v>
      </c>
      <c r="U486" s="13" t="s">
        <v>2101</v>
      </c>
      <c r="V486" s="16" t="s">
        <v>163</v>
      </c>
      <c r="W486" t="s">
        <v>2080</v>
      </c>
      <c r="X486" t="s">
        <v>2041</v>
      </c>
      <c r="Y486" t="s">
        <v>19</v>
      </c>
      <c r="Z486" t="str">
        <f t="shared" si="18"/>
        <v>Y</v>
      </c>
      <c r="AA486" t="s">
        <v>2773</v>
      </c>
      <c r="AB486" t="s">
        <v>2774</v>
      </c>
      <c r="AC486" t="s">
        <v>2776</v>
      </c>
      <c r="AD486" s="9" t="s">
        <v>595</v>
      </c>
      <c r="AE486" s="9" t="s">
        <v>2760</v>
      </c>
      <c r="AF486" s="9" t="s">
        <v>2041</v>
      </c>
      <c r="AG486" t="s">
        <v>595</v>
      </c>
    </row>
    <row r="487" spans="1:33">
      <c r="B487" t="s">
        <v>19</v>
      </c>
      <c r="C487" t="s">
        <v>2792</v>
      </c>
      <c r="E487">
        <v>2019</v>
      </c>
      <c r="F487" t="s">
        <v>1447</v>
      </c>
      <c r="G487" t="s">
        <v>2035</v>
      </c>
      <c r="H487" s="6">
        <f>54+8.76/60</f>
        <v>54.146000000000001</v>
      </c>
      <c r="I487" s="6">
        <f>11+51/60</f>
        <v>11.85</v>
      </c>
      <c r="J487" s="6">
        <v>1989</v>
      </c>
      <c r="K487" s="6">
        <v>2017</v>
      </c>
      <c r="L487" s="6">
        <f t="shared" si="17"/>
        <v>29</v>
      </c>
      <c r="M487" t="s">
        <v>2036</v>
      </c>
      <c r="N487" t="s">
        <v>51</v>
      </c>
      <c r="O487" t="s">
        <v>2356</v>
      </c>
      <c r="P487" t="s">
        <v>2356</v>
      </c>
      <c r="Q487" t="s">
        <v>2356</v>
      </c>
      <c r="R487" t="s">
        <v>2112</v>
      </c>
      <c r="S487" t="s">
        <v>2039</v>
      </c>
      <c r="T487">
        <v>92.5</v>
      </c>
      <c r="U487" t="s">
        <v>2053</v>
      </c>
      <c r="V487">
        <f>-1.43*10</f>
        <v>-14.299999999999999</v>
      </c>
      <c r="W487" t="s">
        <v>2041</v>
      </c>
      <c r="X487" t="s">
        <v>2041</v>
      </c>
      <c r="Y487" t="s">
        <v>19</v>
      </c>
      <c r="Z487" t="str">
        <f t="shared" si="18"/>
        <v>Y</v>
      </c>
      <c r="AA487" t="s">
        <v>2793</v>
      </c>
      <c r="AB487" t="s">
        <v>2794</v>
      </c>
      <c r="AC487" t="s">
        <v>2795</v>
      </c>
      <c r="AD487" t="s">
        <v>595</v>
      </c>
      <c r="AE487" t="s">
        <v>2796</v>
      </c>
      <c r="AF487" t="s">
        <v>2041</v>
      </c>
      <c r="AG487" t="s">
        <v>595</v>
      </c>
    </row>
    <row r="488" spans="1:33">
      <c r="B488" t="s">
        <v>19</v>
      </c>
      <c r="C488" t="s">
        <v>2792</v>
      </c>
      <c r="E488">
        <v>2019</v>
      </c>
      <c r="F488" t="s">
        <v>1447</v>
      </c>
      <c r="G488" t="s">
        <v>2035</v>
      </c>
      <c r="H488" s="6">
        <f>54+8.76/60</f>
        <v>54.146000000000001</v>
      </c>
      <c r="I488" s="6">
        <f>11+51/60</f>
        <v>11.85</v>
      </c>
      <c r="J488" s="6">
        <v>1989</v>
      </c>
      <c r="K488" s="6">
        <v>2017</v>
      </c>
      <c r="L488" s="6">
        <f t="shared" si="17"/>
        <v>29</v>
      </c>
      <c r="M488" t="s">
        <v>2036</v>
      </c>
      <c r="N488" t="s">
        <v>51</v>
      </c>
      <c r="O488" t="s">
        <v>2356</v>
      </c>
      <c r="P488" t="s">
        <v>2356</v>
      </c>
      <c r="Q488" t="s">
        <v>2356</v>
      </c>
      <c r="R488" t="s">
        <v>2112</v>
      </c>
      <c r="S488" t="s">
        <v>2408</v>
      </c>
      <c r="T488">
        <v>260</v>
      </c>
      <c r="U488" t="s">
        <v>2040</v>
      </c>
      <c r="V488">
        <v>31</v>
      </c>
      <c r="W488" t="s">
        <v>2058</v>
      </c>
      <c r="X488" t="s">
        <v>2041</v>
      </c>
      <c r="Y488" t="s">
        <v>19</v>
      </c>
      <c r="Z488" t="str">
        <f t="shared" si="18"/>
        <v>Y</v>
      </c>
      <c r="AA488" t="s">
        <v>2797</v>
      </c>
      <c r="AB488" t="s">
        <v>2758</v>
      </c>
      <c r="AC488" t="s">
        <v>2798</v>
      </c>
      <c r="AD488" t="s">
        <v>595</v>
      </c>
      <c r="AE488" t="s">
        <v>2796</v>
      </c>
      <c r="AF488" t="s">
        <v>2041</v>
      </c>
      <c r="AG488" t="s">
        <v>595</v>
      </c>
    </row>
    <row r="489" spans="1:33">
      <c r="B489" t="s">
        <v>19</v>
      </c>
      <c r="C489" t="s">
        <v>2792</v>
      </c>
      <c r="E489">
        <v>2019</v>
      </c>
      <c r="F489" t="s">
        <v>1447</v>
      </c>
      <c r="G489" t="s">
        <v>2035</v>
      </c>
      <c r="H489" s="6">
        <f>54+8.76/60</f>
        <v>54.146000000000001</v>
      </c>
      <c r="I489" s="6">
        <f>11+51/60</f>
        <v>11.85</v>
      </c>
      <c r="J489" s="6">
        <v>1989</v>
      </c>
      <c r="K489" s="6">
        <v>2017</v>
      </c>
      <c r="L489" s="6">
        <f t="shared" si="17"/>
        <v>29</v>
      </c>
      <c r="M489" t="s">
        <v>2036</v>
      </c>
      <c r="N489" t="s">
        <v>51</v>
      </c>
      <c r="O489" t="s">
        <v>2356</v>
      </c>
      <c r="P489" t="s">
        <v>2356</v>
      </c>
      <c r="Q489" t="s">
        <v>2356</v>
      </c>
      <c r="R489" t="s">
        <v>2016</v>
      </c>
      <c r="S489" t="s">
        <v>2016</v>
      </c>
      <c r="T489" t="s">
        <v>163</v>
      </c>
      <c r="U489" t="s">
        <v>163</v>
      </c>
      <c r="V489">
        <v>45</v>
      </c>
      <c r="W489" t="s">
        <v>163</v>
      </c>
      <c r="X489" t="s">
        <v>2041</v>
      </c>
      <c r="Y489" t="s">
        <v>19</v>
      </c>
      <c r="Z489" t="str">
        <f t="shared" si="18"/>
        <v>Y</v>
      </c>
      <c r="AA489" t="s">
        <v>2797</v>
      </c>
      <c r="AB489" t="s">
        <v>2758</v>
      </c>
      <c r="AC489" t="s">
        <v>2799</v>
      </c>
      <c r="AD489" t="s">
        <v>595</v>
      </c>
      <c r="AE489" t="s">
        <v>2796</v>
      </c>
      <c r="AF489" t="s">
        <v>2041</v>
      </c>
      <c r="AG489" t="s">
        <v>595</v>
      </c>
    </row>
    <row r="490" spans="1:33">
      <c r="A490">
        <v>431</v>
      </c>
      <c r="B490" t="s">
        <v>2074</v>
      </c>
      <c r="C490" t="s">
        <v>2487</v>
      </c>
      <c r="E490">
        <v>2009</v>
      </c>
      <c r="F490" t="s">
        <v>1214</v>
      </c>
      <c r="G490" t="s">
        <v>2035</v>
      </c>
      <c r="H490" s="6">
        <v>55.62</v>
      </c>
      <c r="I490" s="6">
        <v>-1.63</v>
      </c>
      <c r="J490" s="6">
        <v>1972</v>
      </c>
      <c r="K490" s="6">
        <v>2006</v>
      </c>
      <c r="L490" s="6">
        <f t="shared" si="17"/>
        <v>35</v>
      </c>
      <c r="M490" t="s">
        <v>2036</v>
      </c>
      <c r="N490" t="s">
        <v>394</v>
      </c>
      <c r="O490" t="s">
        <v>394</v>
      </c>
      <c r="P490" t="s">
        <v>2413</v>
      </c>
      <c r="Q490" t="s">
        <v>984</v>
      </c>
      <c r="V490">
        <v>-2.7</v>
      </c>
      <c r="W490" t="s">
        <v>2041</v>
      </c>
      <c r="X490" t="s">
        <v>2041</v>
      </c>
      <c r="Y490" t="s">
        <v>2081</v>
      </c>
      <c r="Z490" t="str">
        <f t="shared" si="18"/>
        <v>Y</v>
      </c>
    </row>
    <row r="491" spans="1:33">
      <c r="B491" t="s">
        <v>19</v>
      </c>
      <c r="C491" t="s">
        <v>2800</v>
      </c>
      <c r="E491">
        <v>2021</v>
      </c>
      <c r="F491" t="s">
        <v>1447</v>
      </c>
      <c r="G491" t="s">
        <v>2035</v>
      </c>
      <c r="H491" s="6">
        <v>62</v>
      </c>
      <c r="I491" s="6">
        <v>23</v>
      </c>
      <c r="J491" s="6">
        <v>1974</v>
      </c>
      <c r="K491" s="6">
        <v>1996</v>
      </c>
      <c r="L491" s="6">
        <f t="shared" si="17"/>
        <v>23</v>
      </c>
      <c r="M491" t="s">
        <v>2036</v>
      </c>
      <c r="N491" t="s">
        <v>161</v>
      </c>
      <c r="O491" t="s">
        <v>2217</v>
      </c>
      <c r="P491" t="s">
        <v>2801</v>
      </c>
      <c r="Q491" s="17" t="s">
        <v>2802</v>
      </c>
      <c r="R491" t="s">
        <v>2803</v>
      </c>
      <c r="S491" t="s">
        <v>2039</v>
      </c>
      <c r="T491">
        <v>180.02</v>
      </c>
      <c r="U491" t="s">
        <v>2101</v>
      </c>
      <c r="V491">
        <f>-(T491-163.1)/(K491-J491)*10</f>
        <v>-7.6909090909090985</v>
      </c>
      <c r="W491" t="s">
        <v>2041</v>
      </c>
      <c r="X491" t="s">
        <v>2041</v>
      </c>
      <c r="Y491" t="s">
        <v>19</v>
      </c>
      <c r="Z491" t="str">
        <f t="shared" si="18"/>
        <v>Y</v>
      </c>
      <c r="AA491" t="s">
        <v>2804</v>
      </c>
      <c r="AC491" t="s">
        <v>2805</v>
      </c>
      <c r="AD491" t="s">
        <v>595</v>
      </c>
      <c r="AE491" t="s">
        <v>2806</v>
      </c>
      <c r="AF491" t="s">
        <v>2041</v>
      </c>
      <c r="AG491" t="s">
        <v>595</v>
      </c>
    </row>
    <row r="492" spans="1:33">
      <c r="B492" t="s">
        <v>19</v>
      </c>
      <c r="C492" t="s">
        <v>2807</v>
      </c>
      <c r="E492">
        <v>2021</v>
      </c>
      <c r="F492" t="s">
        <v>2050</v>
      </c>
      <c r="G492" t="s">
        <v>2035</v>
      </c>
      <c r="H492" s="6">
        <v>53.75</v>
      </c>
      <c r="I492" s="6">
        <v>-4.75</v>
      </c>
      <c r="J492" s="6">
        <v>1982</v>
      </c>
      <c r="K492" s="6">
        <v>2010</v>
      </c>
      <c r="L492" s="6">
        <f t="shared" si="17"/>
        <v>29</v>
      </c>
      <c r="M492" t="s">
        <v>2148</v>
      </c>
      <c r="N492" t="s">
        <v>2141</v>
      </c>
      <c r="O492" t="s">
        <v>2142</v>
      </c>
      <c r="P492" t="s">
        <v>2808</v>
      </c>
      <c r="Q492" t="s">
        <v>1811</v>
      </c>
      <c r="R492" t="s">
        <v>2803</v>
      </c>
      <c r="S492" t="s">
        <v>2039</v>
      </c>
      <c r="T492">
        <v>121.9</v>
      </c>
      <c r="U492" t="s">
        <v>2053</v>
      </c>
      <c r="V492">
        <f>-19.1/(2005-1989)*10</f>
        <v>-11.9375</v>
      </c>
      <c r="W492" t="s">
        <v>2041</v>
      </c>
      <c r="X492" t="s">
        <v>2041</v>
      </c>
      <c r="Y492" t="s">
        <v>19</v>
      </c>
      <c r="Z492" t="str">
        <f t="shared" si="18"/>
        <v>Y</v>
      </c>
      <c r="AA492" t="s">
        <v>2054</v>
      </c>
      <c r="AB492" t="s">
        <v>2809</v>
      </c>
      <c r="AC492" t="s">
        <v>2810</v>
      </c>
      <c r="AD492" t="s">
        <v>595</v>
      </c>
      <c r="AE492" t="s">
        <v>2811</v>
      </c>
      <c r="AF492" t="s">
        <v>2041</v>
      </c>
      <c r="AG492" t="s">
        <v>595</v>
      </c>
    </row>
    <row r="493" spans="1:33">
      <c r="B493" t="s">
        <v>19</v>
      </c>
      <c r="C493" t="s">
        <v>2812</v>
      </c>
      <c r="E493">
        <v>2020</v>
      </c>
      <c r="F493" t="s">
        <v>2308</v>
      </c>
      <c r="G493" t="s">
        <v>2035</v>
      </c>
      <c r="H493" s="6">
        <v>36</v>
      </c>
      <c r="I493" s="6">
        <v>-76.5</v>
      </c>
      <c r="J493" s="6">
        <v>1973</v>
      </c>
      <c r="K493" s="6">
        <v>2016</v>
      </c>
      <c r="L493" s="6">
        <f t="shared" si="17"/>
        <v>44</v>
      </c>
      <c r="M493" t="s">
        <v>2077</v>
      </c>
      <c r="N493" t="s">
        <v>161</v>
      </c>
      <c r="O493" t="s">
        <v>2813</v>
      </c>
      <c r="P493" t="s">
        <v>2209</v>
      </c>
      <c r="Q493" t="s">
        <v>219</v>
      </c>
      <c r="R493" t="s">
        <v>2803</v>
      </c>
      <c r="S493" t="s">
        <v>2039</v>
      </c>
      <c r="T493">
        <v>82</v>
      </c>
      <c r="U493" t="s">
        <v>2053</v>
      </c>
      <c r="V493">
        <v>-3</v>
      </c>
      <c r="W493" t="s">
        <v>2041</v>
      </c>
      <c r="X493" t="s">
        <v>2041</v>
      </c>
      <c r="Y493" t="s">
        <v>19</v>
      </c>
      <c r="Z493" t="str">
        <f t="shared" si="18"/>
        <v>Y</v>
      </c>
      <c r="AA493" t="s">
        <v>2814</v>
      </c>
      <c r="AB493" t="s">
        <v>2815</v>
      </c>
      <c r="AC493" t="s">
        <v>2816</v>
      </c>
      <c r="AD493" t="s">
        <v>595</v>
      </c>
      <c r="AE493" t="s">
        <v>2817</v>
      </c>
      <c r="AF493" t="s">
        <v>2041</v>
      </c>
      <c r="AG493" t="s">
        <v>595</v>
      </c>
    </row>
    <row r="494" spans="1:33">
      <c r="B494" t="s">
        <v>19</v>
      </c>
      <c r="C494" t="s">
        <v>2812</v>
      </c>
      <c r="E494">
        <v>2020</v>
      </c>
      <c r="F494" t="s">
        <v>2308</v>
      </c>
      <c r="G494" t="s">
        <v>2035</v>
      </c>
      <c r="H494" s="6">
        <v>36</v>
      </c>
      <c r="I494" s="6">
        <v>-76.5</v>
      </c>
      <c r="J494" s="6">
        <v>1973</v>
      </c>
      <c r="K494" s="6">
        <v>2016</v>
      </c>
      <c r="L494" s="6">
        <f t="shared" si="17"/>
        <v>44</v>
      </c>
      <c r="M494" t="s">
        <v>2077</v>
      </c>
      <c r="N494" t="s">
        <v>161</v>
      </c>
      <c r="O494" t="s">
        <v>2813</v>
      </c>
      <c r="P494" t="s">
        <v>2818</v>
      </c>
      <c r="Q494" t="s">
        <v>653</v>
      </c>
      <c r="R494" t="s">
        <v>2803</v>
      </c>
      <c r="S494" t="s">
        <v>2039</v>
      </c>
      <c r="T494">
        <v>117</v>
      </c>
      <c r="U494" t="s">
        <v>2053</v>
      </c>
      <c r="V494">
        <v>-4.33</v>
      </c>
      <c r="W494" t="s">
        <v>2041</v>
      </c>
      <c r="X494" t="s">
        <v>2041</v>
      </c>
      <c r="Y494" t="s">
        <v>19</v>
      </c>
      <c r="Z494" t="str">
        <f t="shared" si="18"/>
        <v>Y</v>
      </c>
      <c r="AA494" t="s">
        <v>2814</v>
      </c>
      <c r="AB494" t="s">
        <v>2815</v>
      </c>
      <c r="AC494" t="s">
        <v>2816</v>
      </c>
      <c r="AD494" t="s">
        <v>595</v>
      </c>
      <c r="AE494" t="s">
        <v>2817</v>
      </c>
      <c r="AF494" t="s">
        <v>2041</v>
      </c>
      <c r="AG494" t="s">
        <v>595</v>
      </c>
    </row>
    <row r="495" spans="1:33">
      <c r="B495" t="s">
        <v>19</v>
      </c>
      <c r="C495" t="s">
        <v>2819</v>
      </c>
      <c r="E495">
        <v>2014</v>
      </c>
      <c r="F495" t="s">
        <v>2308</v>
      </c>
      <c r="G495" t="s">
        <v>2035</v>
      </c>
      <c r="H495" s="6">
        <v>37.5214</v>
      </c>
      <c r="I495" s="6">
        <v>-76.105000000000004</v>
      </c>
      <c r="J495" s="6">
        <v>1991</v>
      </c>
      <c r="K495" s="6">
        <v>2010</v>
      </c>
      <c r="L495" s="6">
        <f t="shared" si="17"/>
        <v>20</v>
      </c>
      <c r="M495" t="s">
        <v>2036</v>
      </c>
      <c r="N495" t="s">
        <v>161</v>
      </c>
      <c r="O495" t="s">
        <v>2813</v>
      </c>
      <c r="P495" t="s">
        <v>2194</v>
      </c>
      <c r="Q495" t="s">
        <v>660</v>
      </c>
      <c r="R495" t="s">
        <v>2803</v>
      </c>
      <c r="S495" t="s">
        <v>2039</v>
      </c>
      <c r="T495">
        <v>120</v>
      </c>
      <c r="U495" t="s">
        <v>2053</v>
      </c>
      <c r="V495">
        <f>-6/L495*10</f>
        <v>-3</v>
      </c>
      <c r="W495" t="s">
        <v>2041</v>
      </c>
      <c r="X495" t="s">
        <v>2041</v>
      </c>
      <c r="Y495" t="s">
        <v>19</v>
      </c>
      <c r="Z495" t="str">
        <f t="shared" si="18"/>
        <v>Y</v>
      </c>
      <c r="AA495" t="s">
        <v>2820</v>
      </c>
      <c r="AB495" t="s">
        <v>2815</v>
      </c>
      <c r="AC495" t="s">
        <v>2821</v>
      </c>
      <c r="AD495" t="s">
        <v>595</v>
      </c>
      <c r="AE495" t="s">
        <v>2822</v>
      </c>
      <c r="AF495" t="s">
        <v>2041</v>
      </c>
      <c r="AG495" t="s">
        <v>595</v>
      </c>
    </row>
    <row r="496" spans="1:33" ht="15.5">
      <c r="B496" t="s">
        <v>19</v>
      </c>
      <c r="C496" t="s">
        <v>2823</v>
      </c>
      <c r="D496" s="18"/>
      <c r="E496">
        <v>2020</v>
      </c>
      <c r="F496" s="17" t="s">
        <v>2308</v>
      </c>
      <c r="G496" t="s">
        <v>2035</v>
      </c>
      <c r="H496" s="6">
        <v>34.6</v>
      </c>
      <c r="I496" s="6">
        <v>-77.2</v>
      </c>
      <c r="J496" s="6">
        <v>1986</v>
      </c>
      <c r="K496" s="6">
        <v>2013</v>
      </c>
      <c r="L496" s="6">
        <f t="shared" si="17"/>
        <v>28</v>
      </c>
      <c r="M496" t="s">
        <v>2036</v>
      </c>
      <c r="N496" t="s">
        <v>2141</v>
      </c>
      <c r="O496" t="s">
        <v>2217</v>
      </c>
      <c r="P496" t="s">
        <v>2824</v>
      </c>
      <c r="Q496" s="14" t="s">
        <v>2825</v>
      </c>
      <c r="R496" t="s">
        <v>2052</v>
      </c>
      <c r="S496" t="s">
        <v>2039</v>
      </c>
      <c r="T496" t="s">
        <v>163</v>
      </c>
      <c r="U496" t="s">
        <v>2113</v>
      </c>
      <c r="V496">
        <f>-0.01*10</f>
        <v>-0.1</v>
      </c>
      <c r="W496" t="s">
        <v>2041</v>
      </c>
      <c r="X496" t="s">
        <v>2041</v>
      </c>
      <c r="Y496" t="s">
        <v>19</v>
      </c>
      <c r="Z496" t="str">
        <f t="shared" si="18"/>
        <v>Y</v>
      </c>
      <c r="AA496" t="s">
        <v>2826</v>
      </c>
      <c r="AB496" t="s">
        <v>2827</v>
      </c>
      <c r="AC496" t="s">
        <v>2828</v>
      </c>
      <c r="AD496" t="s">
        <v>595</v>
      </c>
      <c r="AE496" t="s">
        <v>2822</v>
      </c>
      <c r="AF496" t="s">
        <v>2041</v>
      </c>
      <c r="AG496" t="s">
        <v>595</v>
      </c>
    </row>
    <row r="497" spans="2:33" ht="15.5">
      <c r="B497" t="s">
        <v>19</v>
      </c>
      <c r="C497" t="s">
        <v>2823</v>
      </c>
      <c r="E497">
        <v>2020</v>
      </c>
      <c r="F497" s="17" t="s">
        <v>2308</v>
      </c>
      <c r="G497" t="s">
        <v>2035</v>
      </c>
      <c r="H497" s="6">
        <v>34.6</v>
      </c>
      <c r="I497" s="6">
        <v>-77.2</v>
      </c>
      <c r="J497" s="6">
        <v>1986</v>
      </c>
      <c r="K497" s="6">
        <v>2013</v>
      </c>
      <c r="L497" s="6">
        <f t="shared" si="17"/>
        <v>28</v>
      </c>
      <c r="M497" t="s">
        <v>2036</v>
      </c>
      <c r="N497" t="s">
        <v>2141</v>
      </c>
      <c r="O497" t="s">
        <v>2217</v>
      </c>
      <c r="P497" t="s">
        <v>2829</v>
      </c>
      <c r="Q497" s="14" t="s">
        <v>2830</v>
      </c>
      <c r="R497" t="s">
        <v>2052</v>
      </c>
      <c r="S497" t="s">
        <v>2039</v>
      </c>
      <c r="T497" t="s">
        <v>163</v>
      </c>
      <c r="U497" t="s">
        <v>2113</v>
      </c>
      <c r="V497">
        <f>-1.09*10</f>
        <v>-10.9</v>
      </c>
      <c r="W497" t="s">
        <v>2041</v>
      </c>
      <c r="X497" t="s">
        <v>2041</v>
      </c>
      <c r="Y497" t="s">
        <v>19</v>
      </c>
      <c r="Z497" t="str">
        <f t="shared" si="18"/>
        <v>Y</v>
      </c>
      <c r="AA497" t="s">
        <v>2826</v>
      </c>
      <c r="AB497" t="s">
        <v>2827</v>
      </c>
      <c r="AC497" t="s">
        <v>2828</v>
      </c>
      <c r="AD497" t="s">
        <v>595</v>
      </c>
      <c r="AE497" t="s">
        <v>2822</v>
      </c>
      <c r="AF497" t="s">
        <v>2041</v>
      </c>
      <c r="AG497" t="s">
        <v>595</v>
      </c>
    </row>
    <row r="498" spans="2:33" ht="15.5">
      <c r="B498" t="s">
        <v>19</v>
      </c>
      <c r="C498" t="s">
        <v>2823</v>
      </c>
      <c r="E498">
        <v>2020</v>
      </c>
      <c r="F498" s="17" t="s">
        <v>2308</v>
      </c>
      <c r="G498" t="s">
        <v>2035</v>
      </c>
      <c r="H498" s="6">
        <v>34.6</v>
      </c>
      <c r="I498" s="6">
        <v>-77.2</v>
      </c>
      <c r="J498" s="6">
        <v>1986</v>
      </c>
      <c r="K498" s="6">
        <v>2013</v>
      </c>
      <c r="L498" s="6">
        <f t="shared" si="17"/>
        <v>28</v>
      </c>
      <c r="M498" t="s">
        <v>2036</v>
      </c>
      <c r="N498" t="s">
        <v>2141</v>
      </c>
      <c r="O498" t="s">
        <v>2217</v>
      </c>
      <c r="P498" t="s">
        <v>2831</v>
      </c>
      <c r="Q498" s="14" t="s">
        <v>1120</v>
      </c>
      <c r="R498" t="s">
        <v>2052</v>
      </c>
      <c r="S498" t="s">
        <v>2039</v>
      </c>
      <c r="T498" t="s">
        <v>163</v>
      </c>
      <c r="U498" t="s">
        <v>2113</v>
      </c>
      <c r="V498">
        <f>-0.15*10</f>
        <v>-1.5</v>
      </c>
      <c r="W498" t="s">
        <v>2041</v>
      </c>
      <c r="X498" t="s">
        <v>2041</v>
      </c>
      <c r="Y498" t="s">
        <v>19</v>
      </c>
      <c r="Z498" t="str">
        <f t="shared" si="18"/>
        <v>Y</v>
      </c>
      <c r="AA498" t="s">
        <v>2826</v>
      </c>
      <c r="AB498" t="s">
        <v>2827</v>
      </c>
      <c r="AC498" t="s">
        <v>2828</v>
      </c>
      <c r="AD498" t="s">
        <v>595</v>
      </c>
      <c r="AE498" t="s">
        <v>2822</v>
      </c>
      <c r="AF498" t="s">
        <v>2041</v>
      </c>
      <c r="AG498" t="s">
        <v>595</v>
      </c>
    </row>
    <row r="499" spans="2:33" ht="15.5">
      <c r="B499" t="s">
        <v>19</v>
      </c>
      <c r="C499" t="s">
        <v>2823</v>
      </c>
      <c r="E499">
        <v>2020</v>
      </c>
      <c r="F499" s="17" t="s">
        <v>2308</v>
      </c>
      <c r="G499" t="s">
        <v>2035</v>
      </c>
      <c r="H499" s="6">
        <v>34.6</v>
      </c>
      <c r="I499" s="6">
        <v>-77.2</v>
      </c>
      <c r="J499" s="6">
        <v>1986</v>
      </c>
      <c r="K499" s="6">
        <v>2013</v>
      </c>
      <c r="L499" s="6">
        <f t="shared" si="17"/>
        <v>28</v>
      </c>
      <c r="M499" t="s">
        <v>2036</v>
      </c>
      <c r="N499" t="s">
        <v>2141</v>
      </c>
      <c r="O499" t="s">
        <v>2217</v>
      </c>
      <c r="P499" t="s">
        <v>2832</v>
      </c>
      <c r="Q499" s="14" t="s">
        <v>1121</v>
      </c>
      <c r="R499" t="s">
        <v>2052</v>
      </c>
      <c r="S499" t="s">
        <v>2039</v>
      </c>
      <c r="T499" t="s">
        <v>163</v>
      </c>
      <c r="U499" t="s">
        <v>2113</v>
      </c>
      <c r="V499">
        <f>-0.21*10</f>
        <v>-2.1</v>
      </c>
      <c r="W499" t="s">
        <v>2041</v>
      </c>
      <c r="X499" t="s">
        <v>2041</v>
      </c>
      <c r="Y499" t="s">
        <v>19</v>
      </c>
      <c r="Z499" t="str">
        <f t="shared" si="18"/>
        <v>Y</v>
      </c>
      <c r="AA499" t="s">
        <v>2826</v>
      </c>
      <c r="AB499" t="s">
        <v>2827</v>
      </c>
      <c r="AC499" t="s">
        <v>2828</v>
      </c>
      <c r="AD499" t="s">
        <v>595</v>
      </c>
      <c r="AE499" t="s">
        <v>2822</v>
      </c>
      <c r="AF499" t="s">
        <v>2041</v>
      </c>
      <c r="AG499" t="s">
        <v>595</v>
      </c>
    </row>
    <row r="500" spans="2:33" ht="15.5">
      <c r="B500" t="s">
        <v>19</v>
      </c>
      <c r="C500" t="s">
        <v>2823</v>
      </c>
      <c r="E500">
        <v>2020</v>
      </c>
      <c r="F500" s="17" t="s">
        <v>2308</v>
      </c>
      <c r="G500" t="s">
        <v>2035</v>
      </c>
      <c r="H500" s="6">
        <v>34.6</v>
      </c>
      <c r="I500" s="6">
        <v>-77.2</v>
      </c>
      <c r="J500" s="6">
        <v>1986</v>
      </c>
      <c r="K500" s="6">
        <v>2013</v>
      </c>
      <c r="L500" s="6">
        <f t="shared" si="17"/>
        <v>28</v>
      </c>
      <c r="M500" t="s">
        <v>2036</v>
      </c>
      <c r="N500" t="s">
        <v>2141</v>
      </c>
      <c r="O500" t="s">
        <v>2217</v>
      </c>
      <c r="P500" t="s">
        <v>2833</v>
      </c>
      <c r="Q500" s="14" t="s">
        <v>1202</v>
      </c>
      <c r="R500" t="s">
        <v>2052</v>
      </c>
      <c r="S500" t="s">
        <v>2039</v>
      </c>
      <c r="T500" t="s">
        <v>163</v>
      </c>
      <c r="U500" t="s">
        <v>2113</v>
      </c>
      <c r="V500">
        <f>-0.91*10</f>
        <v>-9.1</v>
      </c>
      <c r="W500" t="s">
        <v>2041</v>
      </c>
      <c r="X500" t="s">
        <v>2041</v>
      </c>
      <c r="Y500" t="s">
        <v>19</v>
      </c>
      <c r="Z500" t="str">
        <f t="shared" si="18"/>
        <v>Y</v>
      </c>
      <c r="AA500" t="s">
        <v>2826</v>
      </c>
      <c r="AB500" t="s">
        <v>2827</v>
      </c>
      <c r="AC500" t="s">
        <v>2828</v>
      </c>
      <c r="AD500" t="s">
        <v>595</v>
      </c>
      <c r="AE500" t="s">
        <v>2822</v>
      </c>
      <c r="AF500" t="s">
        <v>2041</v>
      </c>
      <c r="AG500" t="s">
        <v>595</v>
      </c>
    </row>
    <row r="501" spans="2:33" ht="15.5">
      <c r="B501" t="s">
        <v>19</v>
      </c>
      <c r="C501" t="s">
        <v>2823</v>
      </c>
      <c r="E501">
        <v>2020</v>
      </c>
      <c r="F501" s="17" t="s">
        <v>2308</v>
      </c>
      <c r="G501" t="s">
        <v>2035</v>
      </c>
      <c r="H501" s="6">
        <v>34.6</v>
      </c>
      <c r="I501" s="6">
        <v>-77.2</v>
      </c>
      <c r="J501" s="6">
        <v>1986</v>
      </c>
      <c r="K501" s="6">
        <v>2013</v>
      </c>
      <c r="L501" s="6">
        <f t="shared" si="17"/>
        <v>28</v>
      </c>
      <c r="M501" t="s">
        <v>2036</v>
      </c>
      <c r="N501" t="s">
        <v>2141</v>
      </c>
      <c r="O501" t="s">
        <v>2217</v>
      </c>
      <c r="P501" s="19" t="s">
        <v>2834</v>
      </c>
      <c r="Q501" s="14" t="s">
        <v>2835</v>
      </c>
      <c r="R501" t="s">
        <v>2052</v>
      </c>
      <c r="S501" t="s">
        <v>2039</v>
      </c>
      <c r="T501" t="s">
        <v>163</v>
      </c>
      <c r="U501" t="s">
        <v>2113</v>
      </c>
      <c r="V501">
        <f>-1.45*10</f>
        <v>-14.5</v>
      </c>
      <c r="W501" t="s">
        <v>2041</v>
      </c>
      <c r="X501" t="s">
        <v>2041</v>
      </c>
      <c r="Y501" t="s">
        <v>19</v>
      </c>
      <c r="Z501" t="str">
        <f t="shared" si="18"/>
        <v>Y</v>
      </c>
      <c r="AA501" t="s">
        <v>2826</v>
      </c>
      <c r="AB501" t="s">
        <v>2827</v>
      </c>
      <c r="AC501" t="s">
        <v>2828</v>
      </c>
      <c r="AD501" t="s">
        <v>595</v>
      </c>
      <c r="AE501" t="s">
        <v>2822</v>
      </c>
      <c r="AF501" t="s">
        <v>2041</v>
      </c>
      <c r="AG501" t="s">
        <v>595</v>
      </c>
    </row>
    <row r="502" spans="2:33" ht="15.5">
      <c r="B502" t="s">
        <v>19</v>
      </c>
      <c r="C502" t="s">
        <v>2823</v>
      </c>
      <c r="E502">
        <v>2020</v>
      </c>
      <c r="F502" s="17" t="s">
        <v>2308</v>
      </c>
      <c r="G502" t="s">
        <v>2035</v>
      </c>
      <c r="H502" s="6">
        <v>34.6</v>
      </c>
      <c r="I502" s="6">
        <v>-77.2</v>
      </c>
      <c r="J502" s="6">
        <v>1986</v>
      </c>
      <c r="K502" s="6">
        <v>2013</v>
      </c>
      <c r="L502" s="6">
        <f t="shared" si="17"/>
        <v>28</v>
      </c>
      <c r="M502" t="s">
        <v>2036</v>
      </c>
      <c r="N502" t="s">
        <v>2141</v>
      </c>
      <c r="O502" t="s">
        <v>2217</v>
      </c>
      <c r="P502" t="s">
        <v>2836</v>
      </c>
      <c r="Q502" s="14" t="s">
        <v>1119</v>
      </c>
      <c r="R502" t="s">
        <v>2052</v>
      </c>
      <c r="S502" t="s">
        <v>2039</v>
      </c>
      <c r="T502" t="s">
        <v>163</v>
      </c>
      <c r="U502" t="s">
        <v>2113</v>
      </c>
      <c r="V502">
        <f>-1.44*10</f>
        <v>-14.399999999999999</v>
      </c>
      <c r="W502" t="s">
        <v>2041</v>
      </c>
      <c r="X502" t="s">
        <v>2041</v>
      </c>
      <c r="Y502" t="s">
        <v>19</v>
      </c>
      <c r="Z502" t="str">
        <f t="shared" si="18"/>
        <v>Y</v>
      </c>
      <c r="AA502" t="s">
        <v>2826</v>
      </c>
      <c r="AB502" t="s">
        <v>2827</v>
      </c>
      <c r="AC502" t="s">
        <v>2828</v>
      </c>
      <c r="AD502" t="s">
        <v>595</v>
      </c>
      <c r="AE502" t="s">
        <v>2822</v>
      </c>
      <c r="AF502" t="s">
        <v>2041</v>
      </c>
      <c r="AG502" t="s">
        <v>595</v>
      </c>
    </row>
    <row r="503" spans="2:33" ht="15.5">
      <c r="B503" t="s">
        <v>19</v>
      </c>
      <c r="C503" t="s">
        <v>2823</v>
      </c>
      <c r="E503">
        <v>2020</v>
      </c>
      <c r="F503" s="17" t="s">
        <v>2308</v>
      </c>
      <c r="G503" t="s">
        <v>2035</v>
      </c>
      <c r="H503" s="6">
        <v>34.6</v>
      </c>
      <c r="I503" s="6">
        <v>-77.2</v>
      </c>
      <c r="J503" s="6">
        <v>1986</v>
      </c>
      <c r="K503" s="6">
        <v>2013</v>
      </c>
      <c r="L503" s="6">
        <f t="shared" si="17"/>
        <v>28</v>
      </c>
      <c r="M503" t="s">
        <v>2036</v>
      </c>
      <c r="N503" t="s">
        <v>2141</v>
      </c>
      <c r="O503" t="s">
        <v>2217</v>
      </c>
      <c r="P503" t="s">
        <v>2837</v>
      </c>
      <c r="Q503" s="14" t="s">
        <v>2838</v>
      </c>
      <c r="R503" t="s">
        <v>2052</v>
      </c>
      <c r="S503" t="s">
        <v>2039</v>
      </c>
      <c r="T503" t="s">
        <v>163</v>
      </c>
      <c r="U503" t="s">
        <v>2113</v>
      </c>
      <c r="V503">
        <f>-1.39*10</f>
        <v>-13.899999999999999</v>
      </c>
      <c r="W503" t="s">
        <v>2041</v>
      </c>
      <c r="X503" t="s">
        <v>2041</v>
      </c>
      <c r="Y503" t="s">
        <v>19</v>
      </c>
      <c r="Z503" t="str">
        <f t="shared" si="18"/>
        <v>Y</v>
      </c>
      <c r="AA503" t="s">
        <v>2826</v>
      </c>
      <c r="AB503" t="s">
        <v>2827</v>
      </c>
      <c r="AC503" t="s">
        <v>2828</v>
      </c>
      <c r="AD503" t="s">
        <v>595</v>
      </c>
      <c r="AE503" t="s">
        <v>2822</v>
      </c>
      <c r="AF503" t="s">
        <v>2041</v>
      </c>
      <c r="AG503" t="s">
        <v>595</v>
      </c>
    </row>
    <row r="504" spans="2:33" ht="15.5">
      <c r="B504" t="s">
        <v>19</v>
      </c>
      <c r="C504" t="s">
        <v>2823</v>
      </c>
      <c r="E504">
        <v>2020</v>
      </c>
      <c r="F504" s="17" t="s">
        <v>2308</v>
      </c>
      <c r="G504" t="s">
        <v>2035</v>
      </c>
      <c r="H504" s="6">
        <v>34.6</v>
      </c>
      <c r="I504" s="6">
        <v>-77.2</v>
      </c>
      <c r="J504" s="6">
        <v>1986</v>
      </c>
      <c r="K504" s="6">
        <v>2013</v>
      </c>
      <c r="L504" s="6">
        <f t="shared" si="17"/>
        <v>28</v>
      </c>
      <c r="M504" t="s">
        <v>2036</v>
      </c>
      <c r="N504" t="s">
        <v>2141</v>
      </c>
      <c r="O504" t="s">
        <v>2217</v>
      </c>
      <c r="P504" t="s">
        <v>2195</v>
      </c>
      <c r="Q504" s="14" t="s">
        <v>229</v>
      </c>
      <c r="R504" t="s">
        <v>2052</v>
      </c>
      <c r="S504" t="s">
        <v>2039</v>
      </c>
      <c r="T504" t="s">
        <v>163</v>
      </c>
      <c r="U504" t="s">
        <v>2113</v>
      </c>
      <c r="V504">
        <f>-0.42*10</f>
        <v>-4.2</v>
      </c>
      <c r="W504" t="s">
        <v>2041</v>
      </c>
      <c r="X504" t="s">
        <v>2041</v>
      </c>
      <c r="Y504" t="s">
        <v>19</v>
      </c>
      <c r="Z504" t="str">
        <f t="shared" si="18"/>
        <v>Y</v>
      </c>
      <c r="AA504" t="s">
        <v>2826</v>
      </c>
      <c r="AB504" t="s">
        <v>2827</v>
      </c>
      <c r="AC504" t="s">
        <v>2828</v>
      </c>
      <c r="AD504" t="s">
        <v>595</v>
      </c>
      <c r="AE504" t="s">
        <v>2822</v>
      </c>
      <c r="AF504" t="s">
        <v>2041</v>
      </c>
      <c r="AG504" t="s">
        <v>595</v>
      </c>
    </row>
    <row r="505" spans="2:33" ht="15.5">
      <c r="B505" t="s">
        <v>19</v>
      </c>
      <c r="C505" t="s">
        <v>2823</v>
      </c>
      <c r="E505">
        <v>2020</v>
      </c>
      <c r="F505" s="17" t="s">
        <v>2308</v>
      </c>
      <c r="G505" t="s">
        <v>2035</v>
      </c>
      <c r="H505" s="6">
        <v>34.6</v>
      </c>
      <c r="I505" s="6">
        <v>-77.2</v>
      </c>
      <c r="J505" s="6">
        <v>1986</v>
      </c>
      <c r="K505" s="6">
        <v>2013</v>
      </c>
      <c r="L505" s="6">
        <f t="shared" si="17"/>
        <v>28</v>
      </c>
      <c r="M505" t="s">
        <v>2036</v>
      </c>
      <c r="N505" t="s">
        <v>2141</v>
      </c>
      <c r="O505" t="s">
        <v>2217</v>
      </c>
      <c r="P505" t="s">
        <v>2839</v>
      </c>
      <c r="Q505" s="14" t="s">
        <v>2840</v>
      </c>
      <c r="R505" t="s">
        <v>2052</v>
      </c>
      <c r="S505" t="s">
        <v>2039</v>
      </c>
      <c r="T505" t="s">
        <v>163</v>
      </c>
      <c r="U505" t="s">
        <v>2113</v>
      </c>
      <c r="V505">
        <f>-0.28*10</f>
        <v>-2.8000000000000003</v>
      </c>
      <c r="W505" t="s">
        <v>2041</v>
      </c>
      <c r="X505" t="s">
        <v>2041</v>
      </c>
      <c r="Y505" t="s">
        <v>19</v>
      </c>
      <c r="Z505" t="str">
        <f t="shared" si="18"/>
        <v>Y</v>
      </c>
      <c r="AA505" t="s">
        <v>2826</v>
      </c>
      <c r="AB505" t="s">
        <v>2827</v>
      </c>
      <c r="AC505" t="s">
        <v>2828</v>
      </c>
      <c r="AD505" t="s">
        <v>595</v>
      </c>
      <c r="AE505" t="s">
        <v>2822</v>
      </c>
      <c r="AF505" t="s">
        <v>2041</v>
      </c>
      <c r="AG505" t="s">
        <v>595</v>
      </c>
    </row>
    <row r="506" spans="2:33">
      <c r="B506" t="s">
        <v>19</v>
      </c>
      <c r="C506" t="s">
        <v>2841</v>
      </c>
      <c r="E506">
        <v>2020</v>
      </c>
      <c r="F506" s="17" t="s">
        <v>2500</v>
      </c>
      <c r="G506" t="s">
        <v>2035</v>
      </c>
      <c r="H506" s="6">
        <v>44.9</v>
      </c>
      <c r="I506" s="6">
        <v>-66.7</v>
      </c>
      <c r="J506" s="6">
        <v>1988</v>
      </c>
      <c r="K506" s="6">
        <v>2014</v>
      </c>
      <c r="L506" s="6">
        <f t="shared" si="17"/>
        <v>27</v>
      </c>
      <c r="M506" t="s">
        <v>2036</v>
      </c>
      <c r="N506" t="s">
        <v>51</v>
      </c>
      <c r="O506" t="s">
        <v>2382</v>
      </c>
      <c r="P506" t="s">
        <v>2842</v>
      </c>
      <c r="Q506" t="s">
        <v>2843</v>
      </c>
      <c r="R506" t="s">
        <v>2844</v>
      </c>
      <c r="S506" t="s">
        <v>2039</v>
      </c>
      <c r="T506">
        <v>175</v>
      </c>
      <c r="U506" t="s">
        <v>2101</v>
      </c>
      <c r="V506">
        <f>-0.75*10</f>
        <v>-7.5</v>
      </c>
      <c r="W506" t="s">
        <v>2041</v>
      </c>
      <c r="X506" t="s">
        <v>2041</v>
      </c>
      <c r="Y506" t="s">
        <v>19</v>
      </c>
      <c r="Z506" t="str">
        <f t="shared" si="18"/>
        <v>Y</v>
      </c>
      <c r="AA506" t="s">
        <v>2845</v>
      </c>
      <c r="AB506" t="s">
        <v>2846</v>
      </c>
      <c r="AC506" t="s">
        <v>2847</v>
      </c>
      <c r="AD506" t="s">
        <v>593</v>
      </c>
      <c r="AE506" t="s">
        <v>163</v>
      </c>
      <c r="AF506" t="s">
        <v>2041</v>
      </c>
      <c r="AG506" t="s">
        <v>595</v>
      </c>
    </row>
    <row r="507" spans="2:33" ht="15.5">
      <c r="B507" t="s">
        <v>19</v>
      </c>
      <c r="C507" t="s">
        <v>2848</v>
      </c>
      <c r="E507">
        <v>2021</v>
      </c>
      <c r="F507" s="20" t="s">
        <v>2849</v>
      </c>
      <c r="G507" t="s">
        <v>2035</v>
      </c>
      <c r="H507" s="6">
        <v>41.5</v>
      </c>
      <c r="I507" s="6">
        <v>-71.400000000000006</v>
      </c>
      <c r="J507" s="6">
        <v>1959</v>
      </c>
      <c r="K507" s="6">
        <v>2016</v>
      </c>
      <c r="L507" s="6">
        <f t="shared" si="17"/>
        <v>58</v>
      </c>
      <c r="M507" t="s">
        <v>2148</v>
      </c>
      <c r="N507" t="s">
        <v>161</v>
      </c>
      <c r="O507" t="s">
        <v>2813</v>
      </c>
      <c r="P507" s="21" t="s">
        <v>2184</v>
      </c>
      <c r="Q507" s="21" t="s">
        <v>213</v>
      </c>
      <c r="R507" t="s">
        <v>2844</v>
      </c>
      <c r="S507" t="s">
        <v>2039</v>
      </c>
      <c r="T507" t="s">
        <v>163</v>
      </c>
      <c r="U507" t="s">
        <v>2113</v>
      </c>
      <c r="V507">
        <f>29.2/L507*10</f>
        <v>5.0344827586206895</v>
      </c>
      <c r="W507" t="s">
        <v>2058</v>
      </c>
      <c r="X507" t="s">
        <v>2041</v>
      </c>
      <c r="Y507" t="s">
        <v>19</v>
      </c>
      <c r="Z507" t="str">
        <f t="shared" si="18"/>
        <v>Y</v>
      </c>
      <c r="AA507" t="s">
        <v>2850</v>
      </c>
      <c r="AB507" t="s">
        <v>2851</v>
      </c>
      <c r="AC507" t="s">
        <v>2852</v>
      </c>
      <c r="AD507" t="s">
        <v>595</v>
      </c>
      <c r="AE507" t="s">
        <v>2853</v>
      </c>
      <c r="AF507" t="s">
        <v>2041</v>
      </c>
      <c r="AG507" t="s">
        <v>595</v>
      </c>
    </row>
    <row r="508" spans="2:33" ht="15.5">
      <c r="B508" t="s">
        <v>19</v>
      </c>
      <c r="C508" t="s">
        <v>2848</v>
      </c>
      <c r="E508">
        <v>2021</v>
      </c>
      <c r="F508" s="20" t="s">
        <v>2849</v>
      </c>
      <c r="G508" t="s">
        <v>2035</v>
      </c>
      <c r="H508" s="6">
        <v>41.5</v>
      </c>
      <c r="I508" s="6">
        <v>-71.400000000000006</v>
      </c>
      <c r="J508" s="6">
        <v>1959</v>
      </c>
      <c r="K508" s="6">
        <v>2016</v>
      </c>
      <c r="L508" s="6">
        <f t="shared" si="17"/>
        <v>58</v>
      </c>
      <c r="M508" t="s">
        <v>2148</v>
      </c>
      <c r="N508" t="s">
        <v>161</v>
      </c>
      <c r="O508" t="s">
        <v>2813</v>
      </c>
      <c r="P508" s="21" t="s">
        <v>2185</v>
      </c>
      <c r="Q508" s="21" t="s">
        <v>209</v>
      </c>
      <c r="R508" t="s">
        <v>2844</v>
      </c>
      <c r="S508" t="s">
        <v>2039</v>
      </c>
      <c r="T508" t="s">
        <v>163</v>
      </c>
      <c r="U508" t="s">
        <v>2113</v>
      </c>
      <c r="V508">
        <f>56.7/L508*10</f>
        <v>9.7758620689655178</v>
      </c>
      <c r="W508" t="s">
        <v>2058</v>
      </c>
      <c r="X508" t="s">
        <v>2041</v>
      </c>
      <c r="Y508" t="s">
        <v>19</v>
      </c>
      <c r="Z508" t="str">
        <f t="shared" si="18"/>
        <v>Y</v>
      </c>
      <c r="AA508" t="s">
        <v>2850</v>
      </c>
      <c r="AB508" t="s">
        <v>2851</v>
      </c>
      <c r="AC508" t="s">
        <v>2852</v>
      </c>
      <c r="AD508" t="s">
        <v>595</v>
      </c>
      <c r="AE508" t="s">
        <v>2853</v>
      </c>
      <c r="AF508" t="s">
        <v>2041</v>
      </c>
      <c r="AG508" t="s">
        <v>595</v>
      </c>
    </row>
    <row r="509" spans="2:33" ht="15.5">
      <c r="B509" t="s">
        <v>19</v>
      </c>
      <c r="C509" t="s">
        <v>2848</v>
      </c>
      <c r="E509">
        <v>2021</v>
      </c>
      <c r="F509" s="20" t="s">
        <v>2849</v>
      </c>
      <c r="G509" t="s">
        <v>2035</v>
      </c>
      <c r="H509" s="6">
        <v>41.5</v>
      </c>
      <c r="I509" s="6">
        <v>-71.400000000000006</v>
      </c>
      <c r="J509" s="6">
        <v>1959</v>
      </c>
      <c r="K509" s="6">
        <v>2016</v>
      </c>
      <c r="L509" s="6">
        <f t="shared" si="17"/>
        <v>58</v>
      </c>
      <c r="M509" t="s">
        <v>2148</v>
      </c>
      <c r="N509" t="s">
        <v>161</v>
      </c>
      <c r="O509" t="s">
        <v>2813</v>
      </c>
      <c r="P509" s="21" t="s">
        <v>696</v>
      </c>
      <c r="Q509" s="21" t="s">
        <v>224</v>
      </c>
      <c r="R509" t="s">
        <v>2844</v>
      </c>
      <c r="S509" t="s">
        <v>2039</v>
      </c>
      <c r="T509" t="s">
        <v>163</v>
      </c>
      <c r="U509" t="s">
        <v>2113</v>
      </c>
      <c r="V509">
        <f>0/L509*10</f>
        <v>0</v>
      </c>
      <c r="W509" t="s">
        <v>2080</v>
      </c>
      <c r="X509" t="s">
        <v>2041</v>
      </c>
      <c r="Y509" t="s">
        <v>19</v>
      </c>
      <c r="Z509" t="str">
        <f t="shared" si="18"/>
        <v>Y</v>
      </c>
      <c r="AA509" t="s">
        <v>2850</v>
      </c>
      <c r="AB509" t="s">
        <v>2851</v>
      </c>
      <c r="AC509" t="s">
        <v>2852</v>
      </c>
      <c r="AD509" t="s">
        <v>595</v>
      </c>
      <c r="AE509" t="s">
        <v>2853</v>
      </c>
      <c r="AF509" t="s">
        <v>2041</v>
      </c>
      <c r="AG509" t="s">
        <v>595</v>
      </c>
    </row>
    <row r="510" spans="2:33" ht="15.5">
      <c r="B510" t="s">
        <v>19</v>
      </c>
      <c r="C510" t="s">
        <v>2848</v>
      </c>
      <c r="E510">
        <v>2021</v>
      </c>
      <c r="F510" s="20" t="s">
        <v>2849</v>
      </c>
      <c r="G510" t="s">
        <v>2035</v>
      </c>
      <c r="H510" s="6">
        <v>41.5</v>
      </c>
      <c r="I510" s="6">
        <v>-71.400000000000006</v>
      </c>
      <c r="J510" s="6">
        <v>1959</v>
      </c>
      <c r="K510" s="6">
        <v>2016</v>
      </c>
      <c r="L510" s="6">
        <f t="shared" si="17"/>
        <v>58</v>
      </c>
      <c r="M510" t="s">
        <v>2148</v>
      </c>
      <c r="N510" t="s">
        <v>161</v>
      </c>
      <c r="O510" t="s">
        <v>2813</v>
      </c>
      <c r="P510" s="21" t="s">
        <v>2854</v>
      </c>
      <c r="Q510" s="21" t="s">
        <v>208</v>
      </c>
      <c r="R510" t="s">
        <v>2844</v>
      </c>
      <c r="S510" t="s">
        <v>2039</v>
      </c>
      <c r="T510" t="s">
        <v>163</v>
      </c>
      <c r="U510" t="s">
        <v>2113</v>
      </c>
      <c r="V510">
        <f>51.4/L510*10</f>
        <v>8.862068965517242</v>
      </c>
      <c r="W510" t="s">
        <v>2058</v>
      </c>
      <c r="X510" t="s">
        <v>2041</v>
      </c>
      <c r="Y510" t="s">
        <v>19</v>
      </c>
      <c r="Z510" t="str">
        <f t="shared" si="18"/>
        <v>Y</v>
      </c>
      <c r="AA510" t="s">
        <v>2850</v>
      </c>
      <c r="AB510" t="s">
        <v>2851</v>
      </c>
      <c r="AC510" t="s">
        <v>2852</v>
      </c>
      <c r="AD510" t="s">
        <v>595</v>
      </c>
      <c r="AE510" t="s">
        <v>2853</v>
      </c>
      <c r="AF510" t="s">
        <v>2041</v>
      </c>
      <c r="AG510" t="s">
        <v>595</v>
      </c>
    </row>
    <row r="511" spans="2:33" ht="15.5">
      <c r="B511" t="s">
        <v>19</v>
      </c>
      <c r="C511" t="s">
        <v>2848</v>
      </c>
      <c r="E511">
        <v>2021</v>
      </c>
      <c r="F511" s="20" t="s">
        <v>2849</v>
      </c>
      <c r="G511" t="s">
        <v>2035</v>
      </c>
      <c r="H511" s="6">
        <v>41.5</v>
      </c>
      <c r="I511" s="6">
        <v>-71.400000000000006</v>
      </c>
      <c r="J511" s="6">
        <v>1959</v>
      </c>
      <c r="K511" s="6">
        <v>2016</v>
      </c>
      <c r="L511" s="6">
        <f t="shared" si="17"/>
        <v>58</v>
      </c>
      <c r="M511" t="s">
        <v>2148</v>
      </c>
      <c r="N511" t="s">
        <v>161</v>
      </c>
      <c r="O511" t="s">
        <v>2813</v>
      </c>
      <c r="P511" s="21" t="s">
        <v>2855</v>
      </c>
      <c r="Q511" s="21" t="s">
        <v>662</v>
      </c>
      <c r="R511" t="s">
        <v>2844</v>
      </c>
      <c r="S511" t="s">
        <v>2039</v>
      </c>
      <c r="T511" t="s">
        <v>163</v>
      </c>
      <c r="U511" t="s">
        <v>2101</v>
      </c>
      <c r="V511">
        <f>0/L511*10</f>
        <v>0</v>
      </c>
      <c r="W511" t="s">
        <v>2080</v>
      </c>
      <c r="X511" t="s">
        <v>2041</v>
      </c>
      <c r="Y511" t="s">
        <v>19</v>
      </c>
      <c r="Z511" t="str">
        <f t="shared" si="18"/>
        <v>Y</v>
      </c>
      <c r="AA511" t="s">
        <v>2850</v>
      </c>
      <c r="AB511" t="s">
        <v>2851</v>
      </c>
      <c r="AC511" t="s">
        <v>2852</v>
      </c>
      <c r="AD511" t="s">
        <v>595</v>
      </c>
      <c r="AE511" t="s">
        <v>2853</v>
      </c>
      <c r="AF511" t="s">
        <v>2041</v>
      </c>
      <c r="AG511" t="s">
        <v>595</v>
      </c>
    </row>
    <row r="512" spans="2:33" ht="15.5">
      <c r="B512" t="s">
        <v>19</v>
      </c>
      <c r="C512" t="s">
        <v>2848</v>
      </c>
      <c r="E512">
        <v>2021</v>
      </c>
      <c r="F512" s="20" t="s">
        <v>2849</v>
      </c>
      <c r="G512" t="s">
        <v>2035</v>
      </c>
      <c r="H512" s="6">
        <v>41.5</v>
      </c>
      <c r="I512" s="6">
        <v>-71.400000000000006</v>
      </c>
      <c r="J512" s="6">
        <v>1959</v>
      </c>
      <c r="K512" s="6">
        <v>2016</v>
      </c>
      <c r="L512" s="6">
        <f t="shared" si="17"/>
        <v>58</v>
      </c>
      <c r="M512" t="s">
        <v>2148</v>
      </c>
      <c r="N512" t="s">
        <v>161</v>
      </c>
      <c r="O512" t="s">
        <v>2813</v>
      </c>
      <c r="P512" s="21" t="s">
        <v>2856</v>
      </c>
      <c r="Q512" s="21" t="s">
        <v>618</v>
      </c>
      <c r="R512" t="s">
        <v>2844</v>
      </c>
      <c r="S512" t="s">
        <v>2039</v>
      </c>
      <c r="T512" t="s">
        <v>163</v>
      </c>
      <c r="U512" t="s">
        <v>2101</v>
      </c>
      <c r="V512">
        <f>0/L512*10</f>
        <v>0</v>
      </c>
      <c r="W512" t="s">
        <v>2080</v>
      </c>
      <c r="X512" t="s">
        <v>2041</v>
      </c>
      <c r="Y512" t="s">
        <v>19</v>
      </c>
      <c r="Z512" t="str">
        <f t="shared" si="18"/>
        <v>Y</v>
      </c>
      <c r="AA512" t="s">
        <v>2850</v>
      </c>
      <c r="AB512" t="s">
        <v>2851</v>
      </c>
      <c r="AC512" t="s">
        <v>2852</v>
      </c>
      <c r="AD512" t="s">
        <v>595</v>
      </c>
      <c r="AE512" t="s">
        <v>2853</v>
      </c>
      <c r="AF512" t="s">
        <v>2041</v>
      </c>
      <c r="AG512" t="s">
        <v>595</v>
      </c>
    </row>
    <row r="513" spans="1:33" ht="15.5">
      <c r="B513" t="s">
        <v>19</v>
      </c>
      <c r="C513" t="s">
        <v>2848</v>
      </c>
      <c r="E513">
        <v>2021</v>
      </c>
      <c r="F513" s="20" t="s">
        <v>2849</v>
      </c>
      <c r="G513" t="s">
        <v>2035</v>
      </c>
      <c r="H513" s="6">
        <v>41.5</v>
      </c>
      <c r="I513" s="6">
        <v>-71.400000000000006</v>
      </c>
      <c r="J513" s="6">
        <v>1959</v>
      </c>
      <c r="K513" s="6">
        <v>2016</v>
      </c>
      <c r="L513" s="6">
        <f t="shared" si="17"/>
        <v>58</v>
      </c>
      <c r="M513" t="s">
        <v>2148</v>
      </c>
      <c r="N513" t="s">
        <v>161</v>
      </c>
      <c r="O513" t="s">
        <v>2813</v>
      </c>
      <c r="P513" s="21" t="s">
        <v>2179</v>
      </c>
      <c r="Q513" s="21" t="s">
        <v>901</v>
      </c>
      <c r="R513" t="s">
        <v>2844</v>
      </c>
      <c r="S513" t="s">
        <v>2039</v>
      </c>
      <c r="T513" t="s">
        <v>163</v>
      </c>
      <c r="U513" t="s">
        <v>2101</v>
      </c>
      <c r="V513">
        <f>-18.2/L513*10</f>
        <v>-3.137931034482758</v>
      </c>
      <c r="W513" t="s">
        <v>2041</v>
      </c>
      <c r="X513" t="s">
        <v>2041</v>
      </c>
      <c r="Y513" t="s">
        <v>19</v>
      </c>
      <c r="Z513" t="str">
        <f t="shared" si="18"/>
        <v>Y</v>
      </c>
      <c r="AA513" t="s">
        <v>2850</v>
      </c>
      <c r="AB513" t="s">
        <v>2851</v>
      </c>
      <c r="AC513" t="s">
        <v>2852</v>
      </c>
      <c r="AD513" t="s">
        <v>595</v>
      </c>
      <c r="AE513" t="s">
        <v>2853</v>
      </c>
      <c r="AF513" t="s">
        <v>2041</v>
      </c>
      <c r="AG513" t="s">
        <v>595</v>
      </c>
    </row>
    <row r="514" spans="1:33" ht="15.5">
      <c r="B514" t="s">
        <v>19</v>
      </c>
      <c r="C514" t="s">
        <v>2848</v>
      </c>
      <c r="E514">
        <v>2021</v>
      </c>
      <c r="F514" s="20" t="s">
        <v>2849</v>
      </c>
      <c r="G514" t="s">
        <v>2035</v>
      </c>
      <c r="H514" s="6">
        <v>41.5</v>
      </c>
      <c r="I514" s="6">
        <v>-71.400000000000006</v>
      </c>
      <c r="J514" s="6">
        <v>1959</v>
      </c>
      <c r="K514" s="6">
        <v>2016</v>
      </c>
      <c r="L514" s="6">
        <f t="shared" ref="L514:L527" si="19">K514-J514+1</f>
        <v>58</v>
      </c>
      <c r="M514" t="s">
        <v>2148</v>
      </c>
      <c r="N514" t="s">
        <v>161</v>
      </c>
      <c r="O514" t="s">
        <v>2813</v>
      </c>
      <c r="P514" s="21" t="s">
        <v>2857</v>
      </c>
      <c r="Q514" s="21" t="s">
        <v>652</v>
      </c>
      <c r="R514" t="s">
        <v>2844</v>
      </c>
      <c r="S514" t="s">
        <v>2039</v>
      </c>
      <c r="T514" t="s">
        <v>163</v>
      </c>
      <c r="U514" t="s">
        <v>2101</v>
      </c>
      <c r="V514">
        <f>-12.2/L514*10</f>
        <v>-2.1034482758620685</v>
      </c>
      <c r="W514" t="s">
        <v>2041</v>
      </c>
      <c r="X514" t="s">
        <v>2041</v>
      </c>
      <c r="Y514" t="s">
        <v>19</v>
      </c>
      <c r="Z514" t="str">
        <f t="shared" ref="Z514:Z577" si="20">IF(L514&gt;=19,"Y","N")</f>
        <v>Y</v>
      </c>
      <c r="AA514" t="s">
        <v>2850</v>
      </c>
      <c r="AB514" t="s">
        <v>2851</v>
      </c>
      <c r="AC514" t="s">
        <v>2852</v>
      </c>
      <c r="AD514" t="s">
        <v>595</v>
      </c>
      <c r="AE514" t="s">
        <v>2853</v>
      </c>
      <c r="AF514" t="s">
        <v>2041</v>
      </c>
      <c r="AG514" t="s">
        <v>595</v>
      </c>
    </row>
    <row r="515" spans="1:33" ht="15.5">
      <c r="B515" t="s">
        <v>19</v>
      </c>
      <c r="C515" t="s">
        <v>2848</v>
      </c>
      <c r="E515">
        <v>2021</v>
      </c>
      <c r="F515" s="20" t="s">
        <v>2849</v>
      </c>
      <c r="G515" t="s">
        <v>2035</v>
      </c>
      <c r="H515" s="6">
        <v>41.5</v>
      </c>
      <c r="I515" s="6">
        <v>-71.400000000000006</v>
      </c>
      <c r="J515" s="6">
        <v>1959</v>
      </c>
      <c r="K515" s="6">
        <v>2016</v>
      </c>
      <c r="L515" s="6">
        <f t="shared" si="19"/>
        <v>58</v>
      </c>
      <c r="M515" t="s">
        <v>2148</v>
      </c>
      <c r="N515" t="s">
        <v>161</v>
      </c>
      <c r="O515" t="s">
        <v>2813</v>
      </c>
      <c r="P515" s="21" t="s">
        <v>2858</v>
      </c>
      <c r="Q515" s="21" t="s">
        <v>655</v>
      </c>
      <c r="R515" t="s">
        <v>2844</v>
      </c>
      <c r="S515" t="s">
        <v>2039</v>
      </c>
      <c r="T515" t="s">
        <v>163</v>
      </c>
      <c r="U515" t="s">
        <v>2101</v>
      </c>
      <c r="V515">
        <f>-36.9/L515*10</f>
        <v>-6.3620689655172411</v>
      </c>
      <c r="W515" t="s">
        <v>2041</v>
      </c>
      <c r="X515" t="s">
        <v>2041</v>
      </c>
      <c r="Y515" t="s">
        <v>19</v>
      </c>
      <c r="Z515" t="str">
        <f t="shared" si="20"/>
        <v>Y</v>
      </c>
      <c r="AA515" t="s">
        <v>2850</v>
      </c>
      <c r="AB515" t="s">
        <v>2851</v>
      </c>
      <c r="AC515" t="s">
        <v>2852</v>
      </c>
      <c r="AD515" t="s">
        <v>595</v>
      </c>
      <c r="AE515" t="s">
        <v>2853</v>
      </c>
      <c r="AF515" t="s">
        <v>2041</v>
      </c>
      <c r="AG515" t="s">
        <v>595</v>
      </c>
    </row>
    <row r="516" spans="1:33" ht="15.5">
      <c r="B516" t="s">
        <v>19</v>
      </c>
      <c r="C516" t="s">
        <v>2848</v>
      </c>
      <c r="E516">
        <v>2021</v>
      </c>
      <c r="F516" s="20" t="s">
        <v>2849</v>
      </c>
      <c r="G516" t="s">
        <v>2035</v>
      </c>
      <c r="H516" s="6">
        <v>41.5</v>
      </c>
      <c r="I516" s="6">
        <v>-71.400000000000006</v>
      </c>
      <c r="J516" s="6">
        <v>1959</v>
      </c>
      <c r="K516" s="6">
        <v>2016</v>
      </c>
      <c r="L516" s="6">
        <f t="shared" si="19"/>
        <v>58</v>
      </c>
      <c r="M516" t="s">
        <v>2148</v>
      </c>
      <c r="N516" t="s">
        <v>161</v>
      </c>
      <c r="O516" t="s">
        <v>2813</v>
      </c>
      <c r="P516" s="21" t="s">
        <v>2195</v>
      </c>
      <c r="Q516" s="21" t="s">
        <v>229</v>
      </c>
      <c r="R516" t="s">
        <v>2844</v>
      </c>
      <c r="S516" t="s">
        <v>2039</v>
      </c>
      <c r="T516" t="s">
        <v>163</v>
      </c>
      <c r="U516" t="s">
        <v>2101</v>
      </c>
      <c r="V516">
        <f>-35.6/L516*10</f>
        <v>-6.1379310344827589</v>
      </c>
      <c r="W516" t="s">
        <v>2041</v>
      </c>
      <c r="X516" t="s">
        <v>2041</v>
      </c>
      <c r="Y516" t="s">
        <v>19</v>
      </c>
      <c r="Z516" t="str">
        <f t="shared" si="20"/>
        <v>Y</v>
      </c>
      <c r="AA516" t="s">
        <v>2850</v>
      </c>
      <c r="AB516" t="s">
        <v>2851</v>
      </c>
      <c r="AC516" t="s">
        <v>2852</v>
      </c>
      <c r="AD516" t="s">
        <v>595</v>
      </c>
      <c r="AE516" t="s">
        <v>2853</v>
      </c>
      <c r="AF516" t="s">
        <v>2041</v>
      </c>
      <c r="AG516" t="s">
        <v>595</v>
      </c>
    </row>
    <row r="517" spans="1:33" ht="15.5">
      <c r="B517" t="s">
        <v>19</v>
      </c>
      <c r="C517" t="s">
        <v>2848</v>
      </c>
      <c r="E517">
        <v>2021</v>
      </c>
      <c r="F517" s="20" t="s">
        <v>2849</v>
      </c>
      <c r="G517" t="s">
        <v>2035</v>
      </c>
      <c r="H517" s="6">
        <v>41.5</v>
      </c>
      <c r="I517" s="6">
        <v>-71.400000000000006</v>
      </c>
      <c r="J517" s="6">
        <v>1959</v>
      </c>
      <c r="K517" s="6">
        <v>2016</v>
      </c>
      <c r="L517" s="6">
        <f t="shared" si="19"/>
        <v>58</v>
      </c>
      <c r="M517" t="s">
        <v>2148</v>
      </c>
      <c r="N517" t="s">
        <v>161</v>
      </c>
      <c r="O517" t="s">
        <v>2813</v>
      </c>
      <c r="P517" s="21" t="s">
        <v>2859</v>
      </c>
      <c r="Q517" s="21" t="s">
        <v>1487</v>
      </c>
      <c r="R517" t="s">
        <v>2844</v>
      </c>
      <c r="S517" t="s">
        <v>2039</v>
      </c>
      <c r="T517" t="s">
        <v>163</v>
      </c>
      <c r="U517" t="s">
        <v>2101</v>
      </c>
      <c r="V517">
        <f>-44.9/L517*10</f>
        <v>-7.7413793103448274</v>
      </c>
      <c r="W517" t="s">
        <v>2041</v>
      </c>
      <c r="X517" t="s">
        <v>2041</v>
      </c>
      <c r="Y517" t="s">
        <v>19</v>
      </c>
      <c r="Z517" t="str">
        <f t="shared" si="20"/>
        <v>Y</v>
      </c>
      <c r="AA517" t="s">
        <v>2850</v>
      </c>
      <c r="AB517" t="s">
        <v>2851</v>
      </c>
      <c r="AC517" t="s">
        <v>2852</v>
      </c>
      <c r="AD517" t="s">
        <v>595</v>
      </c>
      <c r="AE517" t="s">
        <v>2853</v>
      </c>
      <c r="AF517" t="s">
        <v>2041</v>
      </c>
      <c r="AG517" t="s">
        <v>595</v>
      </c>
    </row>
    <row r="518" spans="1:33" ht="15.5">
      <c r="B518" t="s">
        <v>19</v>
      </c>
      <c r="C518" t="s">
        <v>2848</v>
      </c>
      <c r="E518">
        <v>2021</v>
      </c>
      <c r="F518" s="20" t="s">
        <v>2849</v>
      </c>
      <c r="G518" t="s">
        <v>2035</v>
      </c>
      <c r="H518" s="6">
        <v>41.5</v>
      </c>
      <c r="I518" s="6">
        <v>-71.400000000000006</v>
      </c>
      <c r="J518" s="6">
        <v>1959</v>
      </c>
      <c r="K518" s="6">
        <v>2016</v>
      </c>
      <c r="L518" s="6">
        <f t="shared" si="19"/>
        <v>58</v>
      </c>
      <c r="M518" t="s">
        <v>2148</v>
      </c>
      <c r="N518" t="s">
        <v>161</v>
      </c>
      <c r="O518" t="s">
        <v>2813</v>
      </c>
      <c r="P518" s="21" t="s">
        <v>2207</v>
      </c>
      <c r="Q518" s="21" t="s">
        <v>927</v>
      </c>
      <c r="R518" t="s">
        <v>2844</v>
      </c>
      <c r="S518" t="s">
        <v>2039</v>
      </c>
      <c r="T518" t="s">
        <v>163</v>
      </c>
      <c r="U518" t="s">
        <v>2101</v>
      </c>
      <c r="V518">
        <f>-16.7/L518*10</f>
        <v>-2.8793103448275859</v>
      </c>
      <c r="W518" t="s">
        <v>2041</v>
      </c>
      <c r="X518" t="s">
        <v>2041</v>
      </c>
      <c r="Y518" t="s">
        <v>19</v>
      </c>
      <c r="Z518" t="str">
        <f t="shared" si="20"/>
        <v>Y</v>
      </c>
      <c r="AA518" t="s">
        <v>2850</v>
      </c>
      <c r="AB518" t="s">
        <v>2851</v>
      </c>
      <c r="AC518" t="s">
        <v>2852</v>
      </c>
      <c r="AD518" t="s">
        <v>595</v>
      </c>
      <c r="AE518" t="s">
        <v>2853</v>
      </c>
      <c r="AF518" t="s">
        <v>2041</v>
      </c>
      <c r="AG518" t="s">
        <v>595</v>
      </c>
    </row>
    <row r="519" spans="1:33" ht="15.5">
      <c r="B519" t="s">
        <v>19</v>
      </c>
      <c r="C519" t="s">
        <v>2860</v>
      </c>
      <c r="E519">
        <v>2015</v>
      </c>
      <c r="F519" t="s">
        <v>2861</v>
      </c>
      <c r="G519" t="s">
        <v>2035</v>
      </c>
      <c r="H519" s="6">
        <v>58.38</v>
      </c>
      <c r="I519" s="6">
        <v>-134.63999999999999</v>
      </c>
      <c r="J519" s="6">
        <v>1981</v>
      </c>
      <c r="K519" s="6">
        <v>2010</v>
      </c>
      <c r="L519" s="6">
        <f t="shared" si="19"/>
        <v>30</v>
      </c>
      <c r="M519" t="s">
        <v>2036</v>
      </c>
      <c r="N519" t="s">
        <v>161</v>
      </c>
      <c r="O519" t="s">
        <v>2813</v>
      </c>
      <c r="P519" s="21" t="s">
        <v>2046</v>
      </c>
      <c r="Q519" t="s">
        <v>2047</v>
      </c>
      <c r="R519" t="s">
        <v>2862</v>
      </c>
      <c r="S519" t="s">
        <v>2039</v>
      </c>
      <c r="T519" t="s">
        <v>163</v>
      </c>
      <c r="U519" t="s">
        <v>163</v>
      </c>
      <c r="V519">
        <f>-0.46*30.25/L519*10</f>
        <v>-4.6383333333333336</v>
      </c>
      <c r="W519" t="s">
        <v>2041</v>
      </c>
      <c r="X519" t="s">
        <v>2041</v>
      </c>
      <c r="Y519" t="s">
        <v>19</v>
      </c>
      <c r="Z519" t="str">
        <f t="shared" si="20"/>
        <v>Y</v>
      </c>
      <c r="AA519" t="s">
        <v>2863</v>
      </c>
      <c r="AB519" t="s">
        <v>2864</v>
      </c>
      <c r="AC519" s="12" t="s">
        <v>2865</v>
      </c>
      <c r="AD519" t="s">
        <v>595</v>
      </c>
      <c r="AE519" t="s">
        <v>2822</v>
      </c>
      <c r="AF519" t="s">
        <v>2041</v>
      </c>
      <c r="AG519" t="s">
        <v>595</v>
      </c>
    </row>
    <row r="520" spans="1:33" ht="15.5">
      <c r="B520" t="s">
        <v>19</v>
      </c>
      <c r="C520" t="s">
        <v>2860</v>
      </c>
      <c r="E520">
        <v>2015</v>
      </c>
      <c r="F520" t="s">
        <v>2861</v>
      </c>
      <c r="G520" t="s">
        <v>2035</v>
      </c>
      <c r="H520" s="6">
        <v>58.38</v>
      </c>
      <c r="I520" s="6">
        <v>-134.63999999999999</v>
      </c>
      <c r="J520" s="6">
        <v>1981</v>
      </c>
      <c r="K520" s="6">
        <v>2010</v>
      </c>
      <c r="L520" s="6">
        <f t="shared" si="19"/>
        <v>30</v>
      </c>
      <c r="M520" t="s">
        <v>2036</v>
      </c>
      <c r="N520" t="s">
        <v>161</v>
      </c>
      <c r="O520" t="s">
        <v>2813</v>
      </c>
      <c r="P520" s="21" t="s">
        <v>2088</v>
      </c>
      <c r="Q520" t="s">
        <v>2089</v>
      </c>
      <c r="R520" t="s">
        <v>2862</v>
      </c>
      <c r="S520" t="s">
        <v>2039</v>
      </c>
      <c r="T520" t="s">
        <v>163</v>
      </c>
      <c r="U520" t="s">
        <v>163</v>
      </c>
      <c r="V520">
        <f>-0.14*30.25/L520*10</f>
        <v>-1.4116666666666668</v>
      </c>
      <c r="W520" t="s">
        <v>2041</v>
      </c>
      <c r="X520" t="s">
        <v>2041</v>
      </c>
      <c r="Y520" t="s">
        <v>19</v>
      </c>
      <c r="Z520" t="str">
        <f t="shared" si="20"/>
        <v>Y</v>
      </c>
      <c r="AA520" t="s">
        <v>2863</v>
      </c>
      <c r="AB520" t="s">
        <v>2864</v>
      </c>
      <c r="AC520" s="12" t="s">
        <v>2866</v>
      </c>
      <c r="AD520" t="s">
        <v>595</v>
      </c>
      <c r="AE520" t="s">
        <v>2822</v>
      </c>
      <c r="AF520" t="s">
        <v>2041</v>
      </c>
      <c r="AG520" t="s">
        <v>595</v>
      </c>
    </row>
    <row r="521" spans="1:33" ht="15.5">
      <c r="B521" t="s">
        <v>19</v>
      </c>
      <c r="C521" t="s">
        <v>2860</v>
      </c>
      <c r="E521">
        <v>2015</v>
      </c>
      <c r="F521" t="s">
        <v>2861</v>
      </c>
      <c r="G521" t="s">
        <v>2035</v>
      </c>
      <c r="H521" s="6">
        <v>58.38</v>
      </c>
      <c r="I521" s="6">
        <v>-134.63999999999999</v>
      </c>
      <c r="J521" s="6">
        <v>1981</v>
      </c>
      <c r="K521" s="6">
        <v>2010</v>
      </c>
      <c r="L521" s="6">
        <f t="shared" si="19"/>
        <v>30</v>
      </c>
      <c r="M521" t="s">
        <v>2036</v>
      </c>
      <c r="N521" t="s">
        <v>161</v>
      </c>
      <c r="O521" t="s">
        <v>2813</v>
      </c>
      <c r="P521" s="21" t="s">
        <v>2867</v>
      </c>
      <c r="Q521" t="s">
        <v>2868</v>
      </c>
      <c r="R521" t="s">
        <v>2862</v>
      </c>
      <c r="S521" t="s">
        <v>2039</v>
      </c>
      <c r="T521" t="s">
        <v>163</v>
      </c>
      <c r="U521" t="s">
        <v>2101</v>
      </c>
      <c r="V521">
        <f>0.16*30.25/L521*10</f>
        <v>1.6133333333333333</v>
      </c>
      <c r="W521" t="s">
        <v>2058</v>
      </c>
      <c r="X521" t="s">
        <v>2041</v>
      </c>
      <c r="Y521" t="s">
        <v>19</v>
      </c>
      <c r="Z521" t="str">
        <f t="shared" si="20"/>
        <v>Y</v>
      </c>
      <c r="AA521" t="s">
        <v>2863</v>
      </c>
      <c r="AB521" t="s">
        <v>2864</v>
      </c>
      <c r="AC521" s="12" t="s">
        <v>2865</v>
      </c>
      <c r="AD521" t="s">
        <v>595</v>
      </c>
      <c r="AE521" t="s">
        <v>2822</v>
      </c>
      <c r="AF521" t="s">
        <v>2041</v>
      </c>
      <c r="AG521" t="s">
        <v>595</v>
      </c>
    </row>
    <row r="522" spans="1:33" ht="15.5">
      <c r="B522" t="s">
        <v>19</v>
      </c>
      <c r="C522" t="s">
        <v>2860</v>
      </c>
      <c r="E522">
        <v>2015</v>
      </c>
      <c r="F522" t="s">
        <v>2861</v>
      </c>
      <c r="G522" t="s">
        <v>2035</v>
      </c>
      <c r="H522" s="6">
        <v>58.38</v>
      </c>
      <c r="I522" s="6">
        <v>-134.63999999999999</v>
      </c>
      <c r="J522" s="6">
        <v>1981</v>
      </c>
      <c r="K522" s="6">
        <v>2010</v>
      </c>
      <c r="L522" s="6">
        <f t="shared" si="19"/>
        <v>30</v>
      </c>
      <c r="M522" t="s">
        <v>2036</v>
      </c>
      <c r="N522" t="s">
        <v>161</v>
      </c>
      <c r="O522" t="s">
        <v>2813</v>
      </c>
      <c r="P522" s="21" t="s">
        <v>2037</v>
      </c>
      <c r="Q522" t="s">
        <v>1134</v>
      </c>
      <c r="R522" t="s">
        <v>2862</v>
      </c>
      <c r="S522" t="s">
        <v>2039</v>
      </c>
      <c r="T522" t="s">
        <v>163</v>
      </c>
      <c r="U522" t="s">
        <v>163</v>
      </c>
      <c r="V522">
        <f>-0.39*30.25/L522*10</f>
        <v>-3.9325000000000006</v>
      </c>
      <c r="W522" t="s">
        <v>2041</v>
      </c>
      <c r="X522" t="s">
        <v>2041</v>
      </c>
      <c r="Y522" t="s">
        <v>19</v>
      </c>
      <c r="Z522" t="str">
        <f t="shared" si="20"/>
        <v>Y</v>
      </c>
      <c r="AA522" t="s">
        <v>2863</v>
      </c>
      <c r="AB522" t="s">
        <v>2864</v>
      </c>
      <c r="AC522" s="12" t="s">
        <v>2866</v>
      </c>
      <c r="AD522" t="s">
        <v>595</v>
      </c>
      <c r="AE522" t="s">
        <v>2822</v>
      </c>
      <c r="AF522" t="s">
        <v>2041</v>
      </c>
      <c r="AG522" t="s">
        <v>595</v>
      </c>
    </row>
    <row r="523" spans="1:33" ht="15.5">
      <c r="B523" t="s">
        <v>19</v>
      </c>
      <c r="C523" t="s">
        <v>2860</v>
      </c>
      <c r="E523">
        <v>2015</v>
      </c>
      <c r="F523" t="s">
        <v>2861</v>
      </c>
      <c r="G523" t="s">
        <v>2035</v>
      </c>
      <c r="H523" s="6">
        <v>58.38</v>
      </c>
      <c r="I523" s="6">
        <v>-134.63999999999999</v>
      </c>
      <c r="J523" s="6">
        <v>1981</v>
      </c>
      <c r="K523" s="6">
        <v>2010</v>
      </c>
      <c r="L523" s="6">
        <f t="shared" si="19"/>
        <v>30</v>
      </c>
      <c r="M523" t="s">
        <v>2036</v>
      </c>
      <c r="N523" t="s">
        <v>161</v>
      </c>
      <c r="O523" t="s">
        <v>2813</v>
      </c>
      <c r="P523" s="21" t="s">
        <v>2869</v>
      </c>
      <c r="Q523" t="s">
        <v>639</v>
      </c>
      <c r="R523" t="s">
        <v>2862</v>
      </c>
      <c r="S523" t="s">
        <v>2039</v>
      </c>
      <c r="T523" t="s">
        <v>163</v>
      </c>
      <c r="U523" t="s">
        <v>163</v>
      </c>
      <c r="V523">
        <f>0.08*30.25/L523*10</f>
        <v>0.80666666666666664</v>
      </c>
      <c r="W523" t="s">
        <v>2058</v>
      </c>
      <c r="X523" t="s">
        <v>2041</v>
      </c>
      <c r="Y523" t="s">
        <v>19</v>
      </c>
      <c r="Z523" t="str">
        <f t="shared" si="20"/>
        <v>Y</v>
      </c>
      <c r="AA523" t="s">
        <v>2863</v>
      </c>
      <c r="AB523" t="s">
        <v>2864</v>
      </c>
      <c r="AC523" s="12" t="s">
        <v>2866</v>
      </c>
      <c r="AD523" t="s">
        <v>595</v>
      </c>
      <c r="AE523" t="s">
        <v>2822</v>
      </c>
      <c r="AF523" t="s">
        <v>2041</v>
      </c>
      <c r="AG523" t="s">
        <v>595</v>
      </c>
    </row>
    <row r="524" spans="1:33">
      <c r="A524">
        <v>432</v>
      </c>
      <c r="B524" t="s">
        <v>2074</v>
      </c>
      <c r="C524" t="s">
        <v>2487</v>
      </c>
      <c r="E524">
        <v>2009</v>
      </c>
      <c r="F524" t="s">
        <v>1214</v>
      </c>
      <c r="G524" t="s">
        <v>2035</v>
      </c>
      <c r="H524" s="6">
        <v>55.62</v>
      </c>
      <c r="I524" s="6">
        <v>-1.63</v>
      </c>
      <c r="J524" s="6">
        <v>1972</v>
      </c>
      <c r="K524" s="6">
        <v>2006</v>
      </c>
      <c r="L524" s="6">
        <f t="shared" si="19"/>
        <v>35</v>
      </c>
      <c r="M524" t="s">
        <v>2077</v>
      </c>
      <c r="N524" t="s">
        <v>394</v>
      </c>
      <c r="O524" t="s">
        <v>394</v>
      </c>
      <c r="P524" t="s">
        <v>2414</v>
      </c>
      <c r="Q524" t="s">
        <v>437</v>
      </c>
      <c r="V524">
        <v>-1.6</v>
      </c>
      <c r="W524" t="s">
        <v>2041</v>
      </c>
      <c r="X524" t="s">
        <v>2041</v>
      </c>
      <c r="Y524" t="s">
        <v>2081</v>
      </c>
      <c r="Z524" t="str">
        <f t="shared" si="20"/>
        <v>Y</v>
      </c>
    </row>
    <row r="525" spans="1:33" ht="15.5">
      <c r="B525" t="s">
        <v>19</v>
      </c>
      <c r="C525" t="s">
        <v>2870</v>
      </c>
      <c r="E525">
        <v>2011</v>
      </c>
      <c r="F525" t="s">
        <v>2871</v>
      </c>
      <c r="G525" t="s">
        <v>2035</v>
      </c>
      <c r="H525" s="6">
        <v>46.24</v>
      </c>
      <c r="I525" s="6">
        <v>-124</v>
      </c>
      <c r="J525" s="6">
        <v>1936</v>
      </c>
      <c r="K525" s="6">
        <v>2010</v>
      </c>
      <c r="L525" s="6">
        <f t="shared" si="19"/>
        <v>75</v>
      </c>
      <c r="M525" t="s">
        <v>2036</v>
      </c>
      <c r="N525" t="s">
        <v>161</v>
      </c>
      <c r="O525" t="s">
        <v>2813</v>
      </c>
      <c r="P525" s="21" t="s">
        <v>2867</v>
      </c>
      <c r="Q525" t="s">
        <v>2868</v>
      </c>
      <c r="R525" t="s">
        <v>2038</v>
      </c>
      <c r="S525" t="s">
        <v>2039</v>
      </c>
      <c r="T525">
        <f>6*30.25+6</f>
        <v>187.5</v>
      </c>
      <c r="U525" t="s">
        <v>2101</v>
      </c>
      <c r="V525">
        <f>-10.3/L525*10</f>
        <v>-1.3733333333333333</v>
      </c>
      <c r="W525" t="s">
        <v>2041</v>
      </c>
      <c r="X525" t="s">
        <v>2041</v>
      </c>
      <c r="Y525" t="s">
        <v>19</v>
      </c>
      <c r="Z525" t="str">
        <f t="shared" si="20"/>
        <v>Y</v>
      </c>
      <c r="AA525" t="s">
        <v>2872</v>
      </c>
      <c r="AB525" t="s">
        <v>2873</v>
      </c>
      <c r="AC525" s="12" t="s">
        <v>2874</v>
      </c>
      <c r="AD525" t="s">
        <v>595</v>
      </c>
      <c r="AE525" t="s">
        <v>2875</v>
      </c>
      <c r="AF525" t="s">
        <v>2041</v>
      </c>
      <c r="AG525" t="s">
        <v>595</v>
      </c>
    </row>
    <row r="526" spans="1:33" ht="15.5">
      <c r="B526" t="s">
        <v>19</v>
      </c>
      <c r="C526" t="s">
        <v>2876</v>
      </c>
      <c r="E526">
        <v>2020</v>
      </c>
      <c r="F526" t="s">
        <v>2877</v>
      </c>
      <c r="G526" t="s">
        <v>2035</v>
      </c>
      <c r="H526" s="6">
        <v>43.117600000000003</v>
      </c>
      <c r="I526" s="6">
        <v>-72.431799999999996</v>
      </c>
      <c r="J526" s="6">
        <v>1981</v>
      </c>
      <c r="K526" s="6">
        <v>2011</v>
      </c>
      <c r="L526" s="6">
        <f t="shared" si="19"/>
        <v>31</v>
      </c>
      <c r="M526" t="s">
        <v>2036</v>
      </c>
      <c r="N526" t="s">
        <v>161</v>
      </c>
      <c r="O526" t="s">
        <v>2813</v>
      </c>
      <c r="P526" s="21" t="s">
        <v>2210</v>
      </c>
      <c r="Q526" s="19" t="s">
        <v>221</v>
      </c>
      <c r="R526" t="s">
        <v>2480</v>
      </c>
      <c r="S526" t="s">
        <v>2039</v>
      </c>
      <c r="T526">
        <v>122</v>
      </c>
      <c r="U526" t="s">
        <v>2053</v>
      </c>
      <c r="V526">
        <f>-0.4*10</f>
        <v>-4</v>
      </c>
      <c r="W526" t="s">
        <v>2041</v>
      </c>
      <c r="X526" t="s">
        <v>2041</v>
      </c>
      <c r="Y526" t="s">
        <v>19</v>
      </c>
      <c r="Z526" t="str">
        <f t="shared" si="20"/>
        <v>Y</v>
      </c>
      <c r="AA526" t="s">
        <v>2878</v>
      </c>
      <c r="AB526" t="s">
        <v>2873</v>
      </c>
      <c r="AC526" s="12" t="s">
        <v>2879</v>
      </c>
      <c r="AD526" t="s">
        <v>595</v>
      </c>
      <c r="AE526" t="s">
        <v>2822</v>
      </c>
      <c r="AF526" t="s">
        <v>2041</v>
      </c>
      <c r="AG526" t="s">
        <v>595</v>
      </c>
    </row>
    <row r="527" spans="1:33" ht="15.5">
      <c r="B527" t="s">
        <v>19</v>
      </c>
      <c r="C527" t="s">
        <v>2876</v>
      </c>
      <c r="E527">
        <v>2020</v>
      </c>
      <c r="F527" t="s">
        <v>2877</v>
      </c>
      <c r="G527" t="s">
        <v>2035</v>
      </c>
      <c r="H527" s="6">
        <v>43.27</v>
      </c>
      <c r="I527" s="6">
        <v>-70.98</v>
      </c>
      <c r="J527" s="6">
        <v>1979</v>
      </c>
      <c r="K527" s="6">
        <v>2016</v>
      </c>
      <c r="L527" s="6">
        <f t="shared" si="19"/>
        <v>38</v>
      </c>
      <c r="M527" t="s">
        <v>2036</v>
      </c>
      <c r="N527" t="s">
        <v>161</v>
      </c>
      <c r="O527" t="s">
        <v>2813</v>
      </c>
      <c r="P527" s="21" t="s">
        <v>2880</v>
      </c>
      <c r="Q527" t="s">
        <v>2881</v>
      </c>
      <c r="R527" t="s">
        <v>2480</v>
      </c>
      <c r="S527" t="s">
        <v>2039</v>
      </c>
      <c r="T527">
        <v>124</v>
      </c>
      <c r="U527" t="s">
        <v>2053</v>
      </c>
      <c r="V527">
        <f>-0.35*10</f>
        <v>-3.5</v>
      </c>
      <c r="W527" t="s">
        <v>2041</v>
      </c>
      <c r="X527" t="s">
        <v>2041</v>
      </c>
      <c r="Y527" t="s">
        <v>19</v>
      </c>
      <c r="Z527" t="str">
        <f t="shared" si="20"/>
        <v>Y</v>
      </c>
      <c r="AA527" t="s">
        <v>2878</v>
      </c>
      <c r="AB527" t="s">
        <v>2873</v>
      </c>
      <c r="AC527" s="12" t="s">
        <v>2882</v>
      </c>
      <c r="AD527" t="s">
        <v>595</v>
      </c>
      <c r="AE527" t="s">
        <v>2822</v>
      </c>
      <c r="AF527" t="s">
        <v>2041</v>
      </c>
      <c r="AG527" t="s">
        <v>595</v>
      </c>
    </row>
    <row r="528" spans="1:33">
      <c r="B528" t="s">
        <v>19</v>
      </c>
      <c r="C528" t="s">
        <v>2883</v>
      </c>
      <c r="E528">
        <v>2021</v>
      </c>
      <c r="N528" t="s">
        <v>161</v>
      </c>
      <c r="O528" t="s">
        <v>2813</v>
      </c>
      <c r="P528" t="s">
        <v>2037</v>
      </c>
      <c r="Q528" t="s">
        <v>1134</v>
      </c>
      <c r="R528" t="s">
        <v>2480</v>
      </c>
      <c r="S528" t="s">
        <v>2039</v>
      </c>
      <c r="X528" t="s">
        <v>2058</v>
      </c>
      <c r="Z528" t="str">
        <f t="shared" si="20"/>
        <v>N</v>
      </c>
    </row>
    <row r="529" spans="1:29">
      <c r="A529">
        <v>247</v>
      </c>
      <c r="B529" t="s">
        <v>2074</v>
      </c>
      <c r="C529" t="s">
        <v>2884</v>
      </c>
      <c r="E529">
        <v>2010</v>
      </c>
      <c r="F529" t="s">
        <v>1214</v>
      </c>
      <c r="G529" t="s">
        <v>2035</v>
      </c>
      <c r="H529" s="6">
        <v>54.18</v>
      </c>
      <c r="I529" s="6">
        <v>7.9</v>
      </c>
      <c r="J529" s="6">
        <v>1975</v>
      </c>
      <c r="K529" s="6">
        <v>2004</v>
      </c>
      <c r="L529" s="6">
        <f t="shared" ref="L529:L592" si="21">K529-J529+1</f>
        <v>30</v>
      </c>
      <c r="M529" t="s">
        <v>2036</v>
      </c>
      <c r="N529" t="s">
        <v>2132</v>
      </c>
      <c r="O529" t="s">
        <v>2133</v>
      </c>
      <c r="P529" t="s">
        <v>2134</v>
      </c>
      <c r="Q529" t="s">
        <v>2885</v>
      </c>
      <c r="V529">
        <f>-7/(L529/10)</f>
        <v>-2.3333333333333335</v>
      </c>
      <c r="W529" t="s">
        <v>2080</v>
      </c>
      <c r="X529" s="11" t="s">
        <v>2041</v>
      </c>
      <c r="Y529" t="s">
        <v>19</v>
      </c>
      <c r="Z529" t="str">
        <f t="shared" si="20"/>
        <v>Y</v>
      </c>
      <c r="AC529" t="s">
        <v>2886</v>
      </c>
    </row>
    <row r="530" spans="1:29">
      <c r="A530">
        <v>248</v>
      </c>
      <c r="B530" t="s">
        <v>2074</v>
      </c>
      <c r="C530" t="s">
        <v>2884</v>
      </c>
      <c r="E530">
        <v>2010</v>
      </c>
      <c r="F530" t="s">
        <v>1214</v>
      </c>
      <c r="G530" t="s">
        <v>2035</v>
      </c>
      <c r="H530" s="6">
        <v>54.18</v>
      </c>
      <c r="I530" s="6">
        <v>7.9</v>
      </c>
      <c r="J530" s="6">
        <v>1975</v>
      </c>
      <c r="K530" s="6">
        <v>2004</v>
      </c>
      <c r="L530" s="6">
        <f t="shared" si="21"/>
        <v>30</v>
      </c>
      <c r="M530" t="s">
        <v>2036</v>
      </c>
      <c r="N530" t="s">
        <v>2132</v>
      </c>
      <c r="O530" t="s">
        <v>2142</v>
      </c>
      <c r="P530" t="s">
        <v>2887</v>
      </c>
      <c r="Q530" t="s">
        <v>2888</v>
      </c>
      <c r="V530">
        <v>-9.33</v>
      </c>
      <c r="W530" t="s">
        <v>2041</v>
      </c>
      <c r="X530" t="s">
        <v>2041</v>
      </c>
      <c r="Y530" t="s">
        <v>2889</v>
      </c>
      <c r="Z530" t="str">
        <f t="shared" si="20"/>
        <v>Y</v>
      </c>
    </row>
    <row r="531" spans="1:29">
      <c r="A531">
        <v>249</v>
      </c>
      <c r="B531" t="s">
        <v>2074</v>
      </c>
      <c r="C531" t="s">
        <v>2884</v>
      </c>
      <c r="E531">
        <v>2010</v>
      </c>
      <c r="F531" t="s">
        <v>1214</v>
      </c>
      <c r="G531" t="s">
        <v>2035</v>
      </c>
      <c r="H531" s="6">
        <v>54.18</v>
      </c>
      <c r="I531" s="6">
        <v>7.9</v>
      </c>
      <c r="J531" s="6">
        <v>1975</v>
      </c>
      <c r="K531" s="6">
        <v>2004</v>
      </c>
      <c r="L531" s="6">
        <f t="shared" si="21"/>
        <v>30</v>
      </c>
      <c r="M531" t="s">
        <v>2036</v>
      </c>
      <c r="N531" t="s">
        <v>2132</v>
      </c>
      <c r="O531" t="s">
        <v>2142</v>
      </c>
      <c r="P531" t="s">
        <v>2887</v>
      </c>
      <c r="Q531" t="s">
        <v>2890</v>
      </c>
      <c r="V531">
        <v>-14</v>
      </c>
      <c r="W531" t="s">
        <v>2041</v>
      </c>
      <c r="X531" t="s">
        <v>2041</v>
      </c>
      <c r="Y531" t="s">
        <v>2889</v>
      </c>
      <c r="Z531" t="str">
        <f t="shared" si="20"/>
        <v>Y</v>
      </c>
    </row>
    <row r="532" spans="1:29">
      <c r="A532">
        <v>250</v>
      </c>
      <c r="B532" t="s">
        <v>2074</v>
      </c>
      <c r="C532" t="s">
        <v>2884</v>
      </c>
      <c r="E532">
        <v>2010</v>
      </c>
      <c r="F532" t="s">
        <v>1214</v>
      </c>
      <c r="G532" t="s">
        <v>2035</v>
      </c>
      <c r="H532" s="6">
        <v>54.18</v>
      </c>
      <c r="I532" s="6">
        <v>7.9</v>
      </c>
      <c r="J532" s="6">
        <v>1975</v>
      </c>
      <c r="K532" s="6">
        <v>2004</v>
      </c>
      <c r="L532" s="6">
        <f t="shared" si="21"/>
        <v>30</v>
      </c>
      <c r="M532" t="s">
        <v>2036</v>
      </c>
      <c r="N532" t="s">
        <v>2132</v>
      </c>
      <c r="O532" t="s">
        <v>2142</v>
      </c>
      <c r="P532" t="s">
        <v>2887</v>
      </c>
      <c r="Q532" t="s">
        <v>2890</v>
      </c>
      <c r="V532">
        <v>-14</v>
      </c>
      <c r="W532" t="s">
        <v>2041</v>
      </c>
      <c r="X532" t="s">
        <v>2041</v>
      </c>
      <c r="Y532" t="s">
        <v>2889</v>
      </c>
      <c r="Z532" t="str">
        <f t="shared" si="20"/>
        <v>Y</v>
      </c>
    </row>
    <row r="533" spans="1:29">
      <c r="A533">
        <v>278</v>
      </c>
      <c r="B533" t="s">
        <v>2074</v>
      </c>
      <c r="C533" t="s">
        <v>2891</v>
      </c>
      <c r="E533">
        <v>2006</v>
      </c>
      <c r="F533" t="s">
        <v>2892</v>
      </c>
      <c r="G533" t="s">
        <v>2035</v>
      </c>
      <c r="H533" s="6">
        <v>41.5</v>
      </c>
      <c r="I533" s="6">
        <v>-71.349999999999994</v>
      </c>
      <c r="J533" s="6">
        <v>1951</v>
      </c>
      <c r="K533" s="6">
        <v>2003</v>
      </c>
      <c r="L533" s="6">
        <f t="shared" si="21"/>
        <v>53</v>
      </c>
      <c r="M533" t="s">
        <v>2077</v>
      </c>
      <c r="N533" t="s">
        <v>2132</v>
      </c>
      <c r="O533" t="s">
        <v>2133</v>
      </c>
      <c r="P533" t="s">
        <v>2134</v>
      </c>
      <c r="Q533" t="s">
        <v>2893</v>
      </c>
      <c r="V533">
        <v>0</v>
      </c>
      <c r="W533" t="s">
        <v>2041</v>
      </c>
      <c r="X533" t="s">
        <v>2041</v>
      </c>
      <c r="Y533" t="s">
        <v>2889</v>
      </c>
      <c r="Z533" t="str">
        <f t="shared" si="20"/>
        <v>Y</v>
      </c>
    </row>
    <row r="534" spans="1:29">
      <c r="A534">
        <v>279</v>
      </c>
      <c r="B534" t="s">
        <v>2074</v>
      </c>
      <c r="C534" t="s">
        <v>2891</v>
      </c>
      <c r="E534">
        <v>2006</v>
      </c>
      <c r="F534" t="s">
        <v>2892</v>
      </c>
      <c r="G534" t="s">
        <v>2035</v>
      </c>
      <c r="H534" s="6">
        <v>41.5</v>
      </c>
      <c r="I534" s="6">
        <v>-71.349999999999994</v>
      </c>
      <c r="J534" s="6">
        <v>1951</v>
      </c>
      <c r="K534" s="6">
        <v>2003</v>
      </c>
      <c r="L534" s="6">
        <f t="shared" si="21"/>
        <v>53</v>
      </c>
      <c r="M534" t="s">
        <v>2077</v>
      </c>
      <c r="N534" t="s">
        <v>2132</v>
      </c>
      <c r="O534" t="s">
        <v>2142</v>
      </c>
      <c r="P534" t="s">
        <v>163</v>
      </c>
      <c r="Q534" t="s">
        <v>2894</v>
      </c>
      <c r="V534">
        <v>-11.13</v>
      </c>
      <c r="W534" t="s">
        <v>2041</v>
      </c>
      <c r="X534" t="s">
        <v>2041</v>
      </c>
      <c r="Y534" t="s">
        <v>2889</v>
      </c>
      <c r="Z534" t="str">
        <f t="shared" si="20"/>
        <v>Y</v>
      </c>
    </row>
    <row r="535" spans="1:29">
      <c r="A535">
        <v>252</v>
      </c>
      <c r="B535" t="s">
        <v>2074</v>
      </c>
      <c r="C535" t="s">
        <v>2895</v>
      </c>
      <c r="E535">
        <v>2005</v>
      </c>
      <c r="F535" t="s">
        <v>2290</v>
      </c>
      <c r="G535" t="s">
        <v>2035</v>
      </c>
      <c r="H535" s="6">
        <v>56</v>
      </c>
      <c r="I535" s="6">
        <v>3</v>
      </c>
      <c r="J535" s="6">
        <v>1958</v>
      </c>
      <c r="K535" s="6">
        <v>2005</v>
      </c>
      <c r="L535" s="6">
        <f t="shared" si="21"/>
        <v>48</v>
      </c>
      <c r="M535" t="s">
        <v>2036</v>
      </c>
      <c r="N535" t="s">
        <v>2132</v>
      </c>
      <c r="O535" t="s">
        <v>2133</v>
      </c>
      <c r="P535" t="s">
        <v>2134</v>
      </c>
      <c r="Q535" t="s">
        <v>163</v>
      </c>
      <c r="V535" t="s">
        <v>163</v>
      </c>
      <c r="W535" t="s">
        <v>2041</v>
      </c>
      <c r="X535" t="s">
        <v>2041</v>
      </c>
      <c r="Y535" t="s">
        <v>2889</v>
      </c>
      <c r="Z535" t="str">
        <f t="shared" si="20"/>
        <v>Y</v>
      </c>
    </row>
    <row r="536" spans="1:29">
      <c r="A536">
        <v>340</v>
      </c>
      <c r="B536" t="s">
        <v>2074</v>
      </c>
      <c r="C536" t="s">
        <v>2896</v>
      </c>
      <c r="E536">
        <v>2004</v>
      </c>
      <c r="F536" t="s">
        <v>1214</v>
      </c>
      <c r="G536" t="s">
        <v>2035</v>
      </c>
      <c r="H536" s="6">
        <v>55</v>
      </c>
      <c r="I536" s="6">
        <v>5</v>
      </c>
      <c r="J536" s="6">
        <v>1958</v>
      </c>
      <c r="K536" s="6">
        <v>2002</v>
      </c>
      <c r="L536" s="6">
        <f t="shared" si="21"/>
        <v>45</v>
      </c>
      <c r="M536" t="s">
        <v>2036</v>
      </c>
      <c r="N536" t="s">
        <v>2132</v>
      </c>
      <c r="O536" t="s">
        <v>2142</v>
      </c>
      <c r="P536" t="s">
        <v>163</v>
      </c>
      <c r="Q536" t="s">
        <v>2897</v>
      </c>
      <c r="V536">
        <v>-6.6810718329999998</v>
      </c>
      <c r="W536" t="s">
        <v>2041</v>
      </c>
      <c r="X536" t="s">
        <v>2041</v>
      </c>
      <c r="Y536" t="s">
        <v>2898</v>
      </c>
      <c r="Z536" t="str">
        <f t="shared" si="20"/>
        <v>Y</v>
      </c>
    </row>
    <row r="537" spans="1:29">
      <c r="A537">
        <v>346</v>
      </c>
      <c r="B537" t="s">
        <v>2074</v>
      </c>
      <c r="C537" t="s">
        <v>2896</v>
      </c>
      <c r="E537">
        <v>2004</v>
      </c>
      <c r="F537" t="s">
        <v>1214</v>
      </c>
      <c r="G537" t="s">
        <v>2035</v>
      </c>
      <c r="H537" s="6">
        <v>55</v>
      </c>
      <c r="I537" s="6">
        <v>5</v>
      </c>
      <c r="J537" s="6">
        <v>1958</v>
      </c>
      <c r="K537" s="6">
        <v>2002</v>
      </c>
      <c r="L537" s="6">
        <f t="shared" si="21"/>
        <v>45</v>
      </c>
      <c r="M537" t="s">
        <v>2036</v>
      </c>
      <c r="N537" t="s">
        <v>2132</v>
      </c>
      <c r="O537" t="s">
        <v>2133</v>
      </c>
      <c r="P537" t="s">
        <v>2133</v>
      </c>
      <c r="Q537" t="s">
        <v>2899</v>
      </c>
      <c r="V537">
        <v>-5.7319899999999997</v>
      </c>
      <c r="W537" t="s">
        <v>2041</v>
      </c>
      <c r="X537" t="s">
        <v>2041</v>
      </c>
      <c r="Y537" t="s">
        <v>2898</v>
      </c>
      <c r="Z537" t="str">
        <f t="shared" si="20"/>
        <v>Y</v>
      </c>
    </row>
    <row r="538" spans="1:29">
      <c r="A538">
        <v>251</v>
      </c>
      <c r="B538" t="s">
        <v>2074</v>
      </c>
      <c r="C538" t="s">
        <v>2900</v>
      </c>
      <c r="E538">
        <v>2009</v>
      </c>
      <c r="F538" t="s">
        <v>160</v>
      </c>
      <c r="G538" t="s">
        <v>2035</v>
      </c>
      <c r="H538" s="6">
        <v>41</v>
      </c>
      <c r="I538" s="6">
        <v>-14</v>
      </c>
      <c r="J538" s="6">
        <v>1908</v>
      </c>
      <c r="K538" s="6">
        <v>2005</v>
      </c>
      <c r="L538" s="6">
        <f t="shared" si="21"/>
        <v>98</v>
      </c>
      <c r="M538" t="s">
        <v>2077</v>
      </c>
      <c r="N538" t="s">
        <v>51</v>
      </c>
      <c r="O538" t="s">
        <v>2518</v>
      </c>
      <c r="P538" t="s">
        <v>163</v>
      </c>
      <c r="Q538" t="s">
        <v>163</v>
      </c>
      <c r="V538" t="s">
        <v>163</v>
      </c>
      <c r="W538" t="s">
        <v>2041</v>
      </c>
      <c r="X538" t="s">
        <v>2041</v>
      </c>
      <c r="Y538" t="s">
        <v>2889</v>
      </c>
      <c r="Z538" t="str">
        <f t="shared" si="20"/>
        <v>Y</v>
      </c>
    </row>
    <row r="539" spans="1:29">
      <c r="A539">
        <v>348</v>
      </c>
      <c r="B539" t="s">
        <v>2074</v>
      </c>
      <c r="C539" t="s">
        <v>2896</v>
      </c>
      <c r="E539">
        <v>2004</v>
      </c>
      <c r="F539" t="s">
        <v>1214</v>
      </c>
      <c r="G539" t="s">
        <v>2035</v>
      </c>
      <c r="H539" s="6">
        <v>55</v>
      </c>
      <c r="I539" s="6">
        <v>5</v>
      </c>
      <c r="J539" s="6">
        <v>1958</v>
      </c>
      <c r="K539" s="6">
        <v>2002</v>
      </c>
      <c r="L539" s="6">
        <f t="shared" si="21"/>
        <v>45</v>
      </c>
      <c r="M539" t="s">
        <v>2036</v>
      </c>
      <c r="N539" t="s">
        <v>2132</v>
      </c>
      <c r="O539" t="s">
        <v>2133</v>
      </c>
      <c r="P539" t="s">
        <v>2133</v>
      </c>
      <c r="Q539" t="s">
        <v>2901</v>
      </c>
      <c r="V539">
        <v>-4.9787362780000004</v>
      </c>
      <c r="W539" t="s">
        <v>2041</v>
      </c>
      <c r="X539" t="s">
        <v>2041</v>
      </c>
      <c r="Y539" t="s">
        <v>2898</v>
      </c>
      <c r="Z539" t="str">
        <f t="shared" si="20"/>
        <v>Y</v>
      </c>
    </row>
    <row r="540" spans="1:29">
      <c r="A540">
        <v>253</v>
      </c>
      <c r="B540" t="s">
        <v>2074</v>
      </c>
      <c r="C540" t="s">
        <v>2902</v>
      </c>
      <c r="E540">
        <v>2006</v>
      </c>
      <c r="F540" t="s">
        <v>1447</v>
      </c>
      <c r="G540" t="s">
        <v>2035</v>
      </c>
      <c r="H540" s="6">
        <v>58.2</v>
      </c>
      <c r="I540" s="6">
        <v>24.3</v>
      </c>
      <c r="J540" s="6">
        <v>1951</v>
      </c>
      <c r="K540" s="6">
        <v>1998</v>
      </c>
      <c r="L540" s="6">
        <f t="shared" si="21"/>
        <v>48</v>
      </c>
      <c r="M540" t="s">
        <v>2077</v>
      </c>
      <c r="N540" t="s">
        <v>161</v>
      </c>
      <c r="O540" t="s">
        <v>2813</v>
      </c>
      <c r="P540" t="s">
        <v>2903</v>
      </c>
      <c r="Q540" t="s">
        <v>2904</v>
      </c>
      <c r="V540">
        <v>-0.05</v>
      </c>
      <c r="W540" t="s">
        <v>2041</v>
      </c>
      <c r="X540" t="s">
        <v>2041</v>
      </c>
      <c r="Y540" t="s">
        <v>2889</v>
      </c>
      <c r="Z540" t="str">
        <f t="shared" si="20"/>
        <v>Y</v>
      </c>
    </row>
    <row r="541" spans="1:29">
      <c r="A541">
        <v>254</v>
      </c>
      <c r="B541" t="s">
        <v>2074</v>
      </c>
      <c r="C541" t="s">
        <v>2902</v>
      </c>
      <c r="E541">
        <v>2006</v>
      </c>
      <c r="F541" t="s">
        <v>1447</v>
      </c>
      <c r="G541" t="s">
        <v>2035</v>
      </c>
      <c r="H541" s="6">
        <v>58.2</v>
      </c>
      <c r="I541" s="6">
        <v>24.3</v>
      </c>
      <c r="J541" s="6">
        <v>1951</v>
      </c>
      <c r="K541" s="6">
        <v>1998</v>
      </c>
      <c r="L541" s="6">
        <f t="shared" si="21"/>
        <v>48</v>
      </c>
      <c r="M541" t="s">
        <v>2077</v>
      </c>
      <c r="N541" t="s">
        <v>161</v>
      </c>
      <c r="O541" t="s">
        <v>2813</v>
      </c>
      <c r="P541" t="s">
        <v>2903</v>
      </c>
      <c r="Q541" t="s">
        <v>2905</v>
      </c>
      <c r="V541">
        <v>-0.11</v>
      </c>
      <c r="W541" t="s">
        <v>2041</v>
      </c>
      <c r="X541" t="s">
        <v>2041</v>
      </c>
      <c r="Y541" t="s">
        <v>2889</v>
      </c>
      <c r="Z541" t="str">
        <f t="shared" si="20"/>
        <v>Y</v>
      </c>
    </row>
    <row r="542" spans="1:29">
      <c r="A542">
        <v>255</v>
      </c>
      <c r="B542" t="s">
        <v>2074</v>
      </c>
      <c r="C542" t="s">
        <v>2906</v>
      </c>
      <c r="E542">
        <v>2003</v>
      </c>
      <c r="F542" t="s">
        <v>1214</v>
      </c>
      <c r="G542" t="s">
        <v>2035</v>
      </c>
      <c r="H542" s="6">
        <v>53</v>
      </c>
      <c r="I542" s="6">
        <v>4.8</v>
      </c>
      <c r="J542" s="6">
        <v>1973</v>
      </c>
      <c r="K542" s="6">
        <v>2001</v>
      </c>
      <c r="L542" s="6">
        <f t="shared" si="21"/>
        <v>29</v>
      </c>
      <c r="M542" t="s">
        <v>2036</v>
      </c>
      <c r="N542" t="s">
        <v>47</v>
      </c>
      <c r="O542" t="s">
        <v>2907</v>
      </c>
      <c r="P542" t="s">
        <v>2908</v>
      </c>
      <c r="Q542" t="s">
        <v>2909</v>
      </c>
      <c r="V542">
        <f>-0.44*10</f>
        <v>-4.4000000000000004</v>
      </c>
      <c r="W542" t="s">
        <v>2041</v>
      </c>
      <c r="X542" t="s">
        <v>2041</v>
      </c>
      <c r="Y542" t="s">
        <v>2910</v>
      </c>
      <c r="Z542" t="str">
        <f t="shared" si="20"/>
        <v>Y</v>
      </c>
      <c r="AC542" t="s">
        <v>2911</v>
      </c>
    </row>
    <row r="543" spans="1:29">
      <c r="A543">
        <v>256</v>
      </c>
      <c r="B543" t="s">
        <v>2074</v>
      </c>
      <c r="C543" t="s">
        <v>2912</v>
      </c>
      <c r="E543">
        <v>2008</v>
      </c>
      <c r="F543" t="s">
        <v>160</v>
      </c>
      <c r="G543" t="s">
        <v>2035</v>
      </c>
      <c r="H543" s="6">
        <v>37.729999999999997</v>
      </c>
      <c r="I543" s="6">
        <v>20.89</v>
      </c>
      <c r="J543" s="6">
        <v>1984</v>
      </c>
      <c r="K543" s="6">
        <v>2002</v>
      </c>
      <c r="L543" s="6">
        <f t="shared" si="21"/>
        <v>19</v>
      </c>
      <c r="M543" t="s">
        <v>2036</v>
      </c>
      <c r="N543" t="s">
        <v>2429</v>
      </c>
      <c r="O543" t="s">
        <v>2533</v>
      </c>
      <c r="P543" t="s">
        <v>2913</v>
      </c>
      <c r="Q543" t="s">
        <v>2914</v>
      </c>
      <c r="V543">
        <v>-14.21</v>
      </c>
      <c r="W543" t="s">
        <v>2041</v>
      </c>
      <c r="X543" t="s">
        <v>2041</v>
      </c>
      <c r="Y543" t="s">
        <v>2915</v>
      </c>
      <c r="Z543" t="str">
        <f t="shared" si="20"/>
        <v>Y</v>
      </c>
    </row>
    <row r="544" spans="1:29">
      <c r="A544">
        <v>257</v>
      </c>
      <c r="B544" t="s">
        <v>2074</v>
      </c>
      <c r="C544" t="s">
        <v>2912</v>
      </c>
      <c r="E544">
        <v>2008</v>
      </c>
      <c r="F544" t="s">
        <v>160</v>
      </c>
      <c r="G544" t="s">
        <v>2035</v>
      </c>
      <c r="H544" s="6">
        <v>37.729999999999997</v>
      </c>
      <c r="I544" s="6">
        <v>20.89</v>
      </c>
      <c r="J544" s="6">
        <v>1984</v>
      </c>
      <c r="K544" s="6">
        <v>2002</v>
      </c>
      <c r="L544" s="6">
        <f t="shared" si="21"/>
        <v>19</v>
      </c>
      <c r="M544" t="s">
        <v>2036</v>
      </c>
      <c r="N544" t="s">
        <v>2429</v>
      </c>
      <c r="O544" t="s">
        <v>2533</v>
      </c>
      <c r="P544" t="s">
        <v>2913</v>
      </c>
      <c r="Q544" t="s">
        <v>2914</v>
      </c>
      <c r="V544">
        <v>-8.9499999999999993</v>
      </c>
      <c r="W544" t="s">
        <v>2041</v>
      </c>
      <c r="X544" t="s">
        <v>2041</v>
      </c>
      <c r="Y544" t="s">
        <v>2915</v>
      </c>
      <c r="Z544" t="str">
        <f t="shared" si="20"/>
        <v>Y</v>
      </c>
    </row>
    <row r="545" spans="1:29">
      <c r="A545">
        <v>258</v>
      </c>
      <c r="B545" t="s">
        <v>2074</v>
      </c>
      <c r="C545" t="s">
        <v>2912</v>
      </c>
      <c r="E545">
        <v>2008</v>
      </c>
      <c r="F545" t="s">
        <v>160</v>
      </c>
      <c r="G545" t="s">
        <v>2035</v>
      </c>
      <c r="H545" s="6">
        <v>37.729999999999997</v>
      </c>
      <c r="I545" s="6">
        <v>20.89</v>
      </c>
      <c r="J545" s="6">
        <v>1984</v>
      </c>
      <c r="K545" s="6">
        <v>2002</v>
      </c>
      <c r="L545" s="6">
        <f t="shared" si="21"/>
        <v>19</v>
      </c>
      <c r="M545" t="s">
        <v>2036</v>
      </c>
      <c r="N545" t="s">
        <v>2429</v>
      </c>
      <c r="O545" t="s">
        <v>2533</v>
      </c>
      <c r="P545" t="s">
        <v>2913</v>
      </c>
      <c r="Q545" t="s">
        <v>2914</v>
      </c>
      <c r="V545">
        <v>0</v>
      </c>
      <c r="W545" t="s">
        <v>2080</v>
      </c>
      <c r="X545" t="s">
        <v>2041</v>
      </c>
      <c r="Y545" t="s">
        <v>2915</v>
      </c>
      <c r="Z545" t="str">
        <f t="shared" si="20"/>
        <v>Y</v>
      </c>
    </row>
    <row r="546" spans="1:29">
      <c r="A546">
        <v>259</v>
      </c>
      <c r="B546" t="s">
        <v>2074</v>
      </c>
      <c r="C546" t="s">
        <v>2912</v>
      </c>
      <c r="E546">
        <v>2008</v>
      </c>
      <c r="F546" t="s">
        <v>160</v>
      </c>
      <c r="G546" t="s">
        <v>2035</v>
      </c>
      <c r="H546" s="6">
        <v>37.729999999999997</v>
      </c>
      <c r="I546" s="6">
        <v>20.89</v>
      </c>
      <c r="J546" s="6">
        <v>1984</v>
      </c>
      <c r="K546" s="6">
        <v>2002</v>
      </c>
      <c r="L546" s="6">
        <f t="shared" si="21"/>
        <v>19</v>
      </c>
      <c r="M546" t="s">
        <v>2036</v>
      </c>
      <c r="N546" t="s">
        <v>2429</v>
      </c>
      <c r="O546" t="s">
        <v>2533</v>
      </c>
      <c r="P546" t="s">
        <v>2913</v>
      </c>
      <c r="Q546" t="s">
        <v>2914</v>
      </c>
      <c r="V546" t="s">
        <v>163</v>
      </c>
      <c r="W546" t="s">
        <v>2041</v>
      </c>
      <c r="X546" t="s">
        <v>2041</v>
      </c>
      <c r="Y546" t="s">
        <v>2915</v>
      </c>
      <c r="Z546" t="str">
        <f t="shared" si="20"/>
        <v>Y</v>
      </c>
    </row>
    <row r="547" spans="1:29">
      <c r="A547">
        <v>260</v>
      </c>
      <c r="B547" t="s">
        <v>2074</v>
      </c>
      <c r="C547" t="s">
        <v>2912</v>
      </c>
      <c r="E547">
        <v>2008</v>
      </c>
      <c r="F547" t="s">
        <v>160</v>
      </c>
      <c r="G547" t="s">
        <v>2035</v>
      </c>
      <c r="H547" s="6">
        <v>37.729999999999997</v>
      </c>
      <c r="I547" s="6">
        <v>20.89</v>
      </c>
      <c r="J547" s="6">
        <v>1984</v>
      </c>
      <c r="K547" s="6">
        <v>2002</v>
      </c>
      <c r="L547" s="6">
        <f t="shared" si="21"/>
        <v>19</v>
      </c>
      <c r="M547" t="s">
        <v>2036</v>
      </c>
      <c r="N547" t="s">
        <v>2429</v>
      </c>
      <c r="O547" t="s">
        <v>2533</v>
      </c>
      <c r="P547" t="s">
        <v>2913</v>
      </c>
      <c r="Q547" t="s">
        <v>2914</v>
      </c>
      <c r="V547" t="s">
        <v>163</v>
      </c>
      <c r="W547" t="s">
        <v>2041</v>
      </c>
      <c r="X547" t="s">
        <v>2041</v>
      </c>
      <c r="Y547" t="s">
        <v>2915</v>
      </c>
      <c r="Z547" t="str">
        <f t="shared" si="20"/>
        <v>Y</v>
      </c>
    </row>
    <row r="548" spans="1:29">
      <c r="A548">
        <v>261</v>
      </c>
      <c r="B548" t="s">
        <v>2074</v>
      </c>
      <c r="C548" t="s">
        <v>2912</v>
      </c>
      <c r="E548">
        <v>2008</v>
      </c>
      <c r="F548" t="s">
        <v>160</v>
      </c>
      <c r="G548" t="s">
        <v>2035</v>
      </c>
      <c r="H548" s="6">
        <v>37.729999999999997</v>
      </c>
      <c r="I548" s="6">
        <v>20.89</v>
      </c>
      <c r="J548" s="6">
        <v>1984</v>
      </c>
      <c r="K548" s="6">
        <v>2002</v>
      </c>
      <c r="L548" s="6">
        <f t="shared" si="21"/>
        <v>19</v>
      </c>
      <c r="M548" t="s">
        <v>2036</v>
      </c>
      <c r="N548" t="s">
        <v>2429</v>
      </c>
      <c r="O548" t="s">
        <v>2533</v>
      </c>
      <c r="P548" t="s">
        <v>2913</v>
      </c>
      <c r="Q548" t="s">
        <v>2914</v>
      </c>
      <c r="V548" t="s">
        <v>163</v>
      </c>
      <c r="W548" t="s">
        <v>2080</v>
      </c>
      <c r="X548" t="s">
        <v>2041</v>
      </c>
      <c r="Y548" t="s">
        <v>2915</v>
      </c>
      <c r="Z548" t="str">
        <f t="shared" si="20"/>
        <v>Y</v>
      </c>
    </row>
    <row r="549" spans="1:29">
      <c r="A549">
        <v>262</v>
      </c>
      <c r="B549" t="s">
        <v>2074</v>
      </c>
      <c r="C549" t="s">
        <v>2916</v>
      </c>
      <c r="E549">
        <v>2007</v>
      </c>
      <c r="F549" t="s">
        <v>2892</v>
      </c>
      <c r="G549" t="s">
        <v>2035</v>
      </c>
      <c r="H549" s="6">
        <v>33.83</v>
      </c>
      <c r="I549" s="6">
        <v>-77.95</v>
      </c>
      <c r="J549" s="6">
        <v>1983</v>
      </c>
      <c r="K549" s="6">
        <v>2005</v>
      </c>
      <c r="L549" s="6">
        <f t="shared" si="21"/>
        <v>23</v>
      </c>
      <c r="M549" t="s">
        <v>2036</v>
      </c>
      <c r="N549" t="s">
        <v>2429</v>
      </c>
      <c r="O549" t="s">
        <v>2533</v>
      </c>
      <c r="P549" t="s">
        <v>2913</v>
      </c>
      <c r="Q549" t="s">
        <v>2914</v>
      </c>
      <c r="V549">
        <v>0</v>
      </c>
      <c r="W549" t="s">
        <v>2041</v>
      </c>
      <c r="X549" t="s">
        <v>2041</v>
      </c>
      <c r="Y549" t="s">
        <v>2915</v>
      </c>
      <c r="Z549" t="str">
        <f t="shared" si="20"/>
        <v>Y</v>
      </c>
    </row>
    <row r="550" spans="1:29">
      <c r="A550">
        <v>263</v>
      </c>
      <c r="B550" t="s">
        <v>2074</v>
      </c>
      <c r="C550" t="s">
        <v>2916</v>
      </c>
      <c r="E550">
        <v>2007</v>
      </c>
      <c r="F550" t="s">
        <v>2892</v>
      </c>
      <c r="G550" t="s">
        <v>2035</v>
      </c>
      <c r="H550" s="6">
        <v>33.83</v>
      </c>
      <c r="I550" s="6">
        <v>-77.95</v>
      </c>
      <c r="J550" s="6">
        <v>1983</v>
      </c>
      <c r="K550" s="6">
        <v>2005</v>
      </c>
      <c r="L550" s="6">
        <f t="shared" si="21"/>
        <v>23</v>
      </c>
      <c r="M550" t="s">
        <v>2036</v>
      </c>
      <c r="N550" t="s">
        <v>2429</v>
      </c>
      <c r="O550" t="s">
        <v>2533</v>
      </c>
      <c r="P550" t="s">
        <v>2913</v>
      </c>
      <c r="Q550" t="s">
        <v>2914</v>
      </c>
      <c r="V550">
        <v>0</v>
      </c>
      <c r="W550" t="s">
        <v>2041</v>
      </c>
      <c r="X550" t="s">
        <v>2041</v>
      </c>
      <c r="Y550" t="s">
        <v>2915</v>
      </c>
      <c r="Z550" t="str">
        <f t="shared" si="20"/>
        <v>Y</v>
      </c>
    </row>
    <row r="551" spans="1:29">
      <c r="A551">
        <v>264</v>
      </c>
      <c r="B551" t="s">
        <v>2074</v>
      </c>
      <c r="C551" t="s">
        <v>2916</v>
      </c>
      <c r="E551">
        <v>2007</v>
      </c>
      <c r="F551" t="s">
        <v>2892</v>
      </c>
      <c r="G551" t="s">
        <v>2035</v>
      </c>
      <c r="H551" s="6">
        <v>33.83</v>
      </c>
      <c r="I551" s="6">
        <v>-77.95</v>
      </c>
      <c r="J551" s="6">
        <v>1983</v>
      </c>
      <c r="K551" s="6">
        <v>2005</v>
      </c>
      <c r="L551" s="6">
        <f t="shared" si="21"/>
        <v>23</v>
      </c>
      <c r="M551" t="s">
        <v>2036</v>
      </c>
      <c r="N551" t="s">
        <v>2429</v>
      </c>
      <c r="O551" t="s">
        <v>2533</v>
      </c>
      <c r="P551" t="s">
        <v>2913</v>
      </c>
      <c r="Q551" t="s">
        <v>2914</v>
      </c>
      <c r="V551" t="s">
        <v>163</v>
      </c>
      <c r="W551" t="s">
        <v>2080</v>
      </c>
      <c r="X551" t="s">
        <v>2041</v>
      </c>
      <c r="Y551" t="s">
        <v>2915</v>
      </c>
      <c r="Z551" t="str">
        <f t="shared" si="20"/>
        <v>Y</v>
      </c>
    </row>
    <row r="552" spans="1:29">
      <c r="A552">
        <v>265</v>
      </c>
      <c r="B552" t="s">
        <v>2074</v>
      </c>
      <c r="C552" t="s">
        <v>2916</v>
      </c>
      <c r="E552">
        <v>2007</v>
      </c>
      <c r="F552" t="s">
        <v>2892</v>
      </c>
      <c r="G552" t="s">
        <v>2035</v>
      </c>
      <c r="H552" s="6">
        <v>33.83</v>
      </c>
      <c r="I552" s="6">
        <v>-77.95</v>
      </c>
      <c r="J552" s="6">
        <v>1983</v>
      </c>
      <c r="K552" s="6">
        <v>2005</v>
      </c>
      <c r="L552" s="6">
        <f t="shared" si="21"/>
        <v>23</v>
      </c>
      <c r="M552" t="s">
        <v>2036</v>
      </c>
      <c r="N552" t="s">
        <v>2429</v>
      </c>
      <c r="O552" t="s">
        <v>2533</v>
      </c>
      <c r="P552" t="s">
        <v>2913</v>
      </c>
      <c r="Q552" t="s">
        <v>2914</v>
      </c>
      <c r="V552" t="s">
        <v>163</v>
      </c>
      <c r="W552" t="s">
        <v>2080</v>
      </c>
      <c r="X552" t="s">
        <v>2041</v>
      </c>
      <c r="Y552" t="s">
        <v>2915</v>
      </c>
      <c r="Z552" t="str">
        <f t="shared" si="20"/>
        <v>Y</v>
      </c>
    </row>
    <row r="553" spans="1:29">
      <c r="A553">
        <v>266</v>
      </c>
      <c r="B553" t="s">
        <v>2074</v>
      </c>
      <c r="C553" t="s">
        <v>2916</v>
      </c>
      <c r="E553">
        <v>2007</v>
      </c>
      <c r="F553" t="s">
        <v>2892</v>
      </c>
      <c r="G553" t="s">
        <v>2035</v>
      </c>
      <c r="H553" s="6">
        <v>33.83</v>
      </c>
      <c r="I553" s="6">
        <v>-77.95</v>
      </c>
      <c r="J553" s="6">
        <v>1983</v>
      </c>
      <c r="K553" s="6">
        <v>2005</v>
      </c>
      <c r="L553" s="6">
        <f t="shared" si="21"/>
        <v>23</v>
      </c>
      <c r="M553" t="s">
        <v>2036</v>
      </c>
      <c r="N553" t="s">
        <v>2429</v>
      </c>
      <c r="O553" t="s">
        <v>2533</v>
      </c>
      <c r="P553" t="s">
        <v>2913</v>
      </c>
      <c r="Q553" t="s">
        <v>2914</v>
      </c>
      <c r="V553" t="s">
        <v>163</v>
      </c>
      <c r="W553" t="s">
        <v>2080</v>
      </c>
      <c r="X553" t="s">
        <v>2041</v>
      </c>
      <c r="Y553" t="s">
        <v>2915</v>
      </c>
      <c r="Z553" t="str">
        <f t="shared" si="20"/>
        <v>Y</v>
      </c>
    </row>
    <row r="554" spans="1:29">
      <c r="A554">
        <v>267</v>
      </c>
      <c r="B554" t="s">
        <v>2074</v>
      </c>
      <c r="C554" t="s">
        <v>2917</v>
      </c>
      <c r="E554">
        <v>2006</v>
      </c>
      <c r="F554" t="s">
        <v>2892</v>
      </c>
      <c r="G554" t="s">
        <v>2035</v>
      </c>
      <c r="H554" s="6">
        <v>28.76</v>
      </c>
      <c r="I554" s="6">
        <v>-80.78</v>
      </c>
      <c r="J554" s="6">
        <v>1989</v>
      </c>
      <c r="K554" s="6">
        <v>2003</v>
      </c>
      <c r="L554" s="6">
        <f t="shared" si="21"/>
        <v>15</v>
      </c>
      <c r="M554" t="s">
        <v>2036</v>
      </c>
      <c r="N554" t="s">
        <v>2429</v>
      </c>
      <c r="O554" t="s">
        <v>2533</v>
      </c>
      <c r="P554" t="s">
        <v>2913</v>
      </c>
      <c r="Q554" t="s">
        <v>2914</v>
      </c>
      <c r="V554">
        <v>-41.3</v>
      </c>
      <c r="W554" t="s">
        <v>2041</v>
      </c>
      <c r="X554" t="s">
        <v>2041</v>
      </c>
      <c r="Y554" t="s">
        <v>2915</v>
      </c>
      <c r="Z554" t="str">
        <f t="shared" si="20"/>
        <v>N</v>
      </c>
    </row>
    <row r="555" spans="1:29">
      <c r="A555">
        <v>268</v>
      </c>
      <c r="B555" t="s">
        <v>2074</v>
      </c>
      <c r="C555" t="s">
        <v>2917</v>
      </c>
      <c r="E555">
        <v>2006</v>
      </c>
      <c r="F555" t="s">
        <v>2892</v>
      </c>
      <c r="G555" t="s">
        <v>2035</v>
      </c>
      <c r="H555" s="6">
        <v>28.76</v>
      </c>
      <c r="I555" s="6">
        <v>-80.78</v>
      </c>
      <c r="J555" s="6">
        <v>1989</v>
      </c>
      <c r="K555" s="6">
        <v>2003</v>
      </c>
      <c r="L555" s="6">
        <f t="shared" si="21"/>
        <v>15</v>
      </c>
      <c r="M555" t="s">
        <v>2036</v>
      </c>
      <c r="N555" t="s">
        <v>2429</v>
      </c>
      <c r="O555" t="s">
        <v>2533</v>
      </c>
      <c r="P555" t="s">
        <v>2913</v>
      </c>
      <c r="Q555" t="s">
        <v>2914</v>
      </c>
      <c r="V555">
        <v>-5</v>
      </c>
      <c r="W555" t="s">
        <v>2041</v>
      </c>
      <c r="X555" t="s">
        <v>2041</v>
      </c>
      <c r="Y555" t="s">
        <v>2915</v>
      </c>
      <c r="Z555" t="str">
        <f t="shared" si="20"/>
        <v>N</v>
      </c>
    </row>
    <row r="556" spans="1:29">
      <c r="A556">
        <v>269</v>
      </c>
      <c r="B556" t="s">
        <v>2074</v>
      </c>
      <c r="C556" t="s">
        <v>2917</v>
      </c>
      <c r="E556">
        <v>2006</v>
      </c>
      <c r="F556" t="s">
        <v>2892</v>
      </c>
      <c r="G556" t="s">
        <v>2035</v>
      </c>
      <c r="H556" s="6">
        <v>28.76</v>
      </c>
      <c r="I556" s="6">
        <v>-80.78</v>
      </c>
      <c r="J556" s="6">
        <v>1989</v>
      </c>
      <c r="K556" s="6">
        <v>2003</v>
      </c>
      <c r="L556" s="6">
        <f t="shared" si="21"/>
        <v>15</v>
      </c>
      <c r="M556" t="s">
        <v>2036</v>
      </c>
      <c r="N556" t="s">
        <v>2429</v>
      </c>
      <c r="O556" t="s">
        <v>2533</v>
      </c>
      <c r="P556" t="s">
        <v>2913</v>
      </c>
      <c r="Q556" t="s">
        <v>2914</v>
      </c>
      <c r="V556">
        <v>0</v>
      </c>
      <c r="W556" t="s">
        <v>2041</v>
      </c>
      <c r="X556" t="s">
        <v>2041</v>
      </c>
      <c r="Y556" t="s">
        <v>2915</v>
      </c>
      <c r="Z556" t="str">
        <f t="shared" si="20"/>
        <v>N</v>
      </c>
    </row>
    <row r="557" spans="1:29">
      <c r="A557">
        <v>270</v>
      </c>
      <c r="B557" t="s">
        <v>2074</v>
      </c>
      <c r="C557" t="s">
        <v>2918</v>
      </c>
      <c r="E557">
        <v>2004</v>
      </c>
      <c r="F557" t="s">
        <v>2892</v>
      </c>
      <c r="G557" t="s">
        <v>2035</v>
      </c>
      <c r="H557" s="6">
        <v>28.05</v>
      </c>
      <c r="I557" s="6">
        <v>-80.03</v>
      </c>
      <c r="J557" s="6">
        <v>1989</v>
      </c>
      <c r="K557" s="6">
        <v>2003</v>
      </c>
      <c r="L557" s="6">
        <f t="shared" si="21"/>
        <v>15</v>
      </c>
      <c r="M557" t="s">
        <v>2036</v>
      </c>
      <c r="N557" t="s">
        <v>2429</v>
      </c>
      <c r="O557" t="s">
        <v>2533</v>
      </c>
      <c r="P557" t="s">
        <v>2919</v>
      </c>
      <c r="Q557" t="s">
        <v>2914</v>
      </c>
      <c r="V557">
        <v>-6.7</v>
      </c>
      <c r="W557" t="s">
        <v>2041</v>
      </c>
      <c r="X557" t="s">
        <v>2041</v>
      </c>
      <c r="Y557" t="s">
        <v>2889</v>
      </c>
      <c r="Z557" t="str">
        <f t="shared" si="20"/>
        <v>N</v>
      </c>
    </row>
    <row r="558" spans="1:29">
      <c r="A558">
        <v>271</v>
      </c>
      <c r="B558" t="s">
        <v>2074</v>
      </c>
      <c r="C558" t="s">
        <v>2920</v>
      </c>
      <c r="E558">
        <v>2009</v>
      </c>
      <c r="F558" t="s">
        <v>1214</v>
      </c>
      <c r="G558" t="s">
        <v>2035</v>
      </c>
      <c r="H558" s="6">
        <v>53</v>
      </c>
      <c r="I558" s="6">
        <v>6</v>
      </c>
      <c r="J558" s="6">
        <v>1969</v>
      </c>
      <c r="K558" s="6">
        <v>2007</v>
      </c>
      <c r="L558" s="6">
        <f t="shared" si="21"/>
        <v>39</v>
      </c>
      <c r="M558" t="s">
        <v>2036</v>
      </c>
      <c r="N558" t="s">
        <v>36</v>
      </c>
      <c r="O558" t="s">
        <v>36</v>
      </c>
      <c r="P558" t="s">
        <v>2921</v>
      </c>
      <c r="Q558" t="s">
        <v>40</v>
      </c>
      <c r="V558">
        <f>-21/(L558/10)</f>
        <v>-5.384615384615385</v>
      </c>
      <c r="W558" t="s">
        <v>2041</v>
      </c>
      <c r="X558" t="s">
        <v>2041</v>
      </c>
      <c r="Y558" t="s">
        <v>2910</v>
      </c>
      <c r="Z558" t="str">
        <f t="shared" si="20"/>
        <v>Y</v>
      </c>
      <c r="AC558" t="s">
        <v>2922</v>
      </c>
    </row>
    <row r="559" spans="1:29">
      <c r="A559">
        <v>272</v>
      </c>
      <c r="B559" t="s">
        <v>2074</v>
      </c>
      <c r="C559" t="s">
        <v>2923</v>
      </c>
      <c r="E559">
        <v>2010</v>
      </c>
      <c r="F559" t="s">
        <v>2290</v>
      </c>
      <c r="G559" t="s">
        <v>2035</v>
      </c>
      <c r="H559" s="6">
        <v>46</v>
      </c>
      <c r="I559" s="6">
        <v>-13</v>
      </c>
      <c r="J559" s="6">
        <v>1981</v>
      </c>
      <c r="K559" s="6">
        <v>2005</v>
      </c>
      <c r="L559" s="6">
        <f t="shared" si="21"/>
        <v>25</v>
      </c>
      <c r="M559" t="s">
        <v>2148</v>
      </c>
      <c r="N559" t="s">
        <v>161</v>
      </c>
      <c r="O559" t="s">
        <v>2813</v>
      </c>
      <c r="P559" t="s">
        <v>2924</v>
      </c>
      <c r="Q559" t="s">
        <v>2925</v>
      </c>
      <c r="V559">
        <v>-0.4</v>
      </c>
      <c r="W559" t="s">
        <v>2041</v>
      </c>
      <c r="X559" t="s">
        <v>2041</v>
      </c>
      <c r="Y559" t="s">
        <v>2889</v>
      </c>
      <c r="Z559" t="str">
        <f t="shared" si="20"/>
        <v>Y</v>
      </c>
    </row>
    <row r="560" spans="1:29">
      <c r="A560">
        <v>273</v>
      </c>
      <c r="B560" t="s">
        <v>2074</v>
      </c>
      <c r="C560" t="s">
        <v>2923</v>
      </c>
      <c r="E560">
        <v>2010</v>
      </c>
      <c r="F560" t="s">
        <v>2290</v>
      </c>
      <c r="G560" t="s">
        <v>2035</v>
      </c>
      <c r="H560" s="6">
        <v>46</v>
      </c>
      <c r="I560" s="6">
        <v>-13</v>
      </c>
      <c r="J560" s="6">
        <v>1967</v>
      </c>
      <c r="K560" s="6">
        <v>2005</v>
      </c>
      <c r="L560" s="6">
        <f t="shared" si="21"/>
        <v>39</v>
      </c>
      <c r="M560" t="s">
        <v>2148</v>
      </c>
      <c r="N560" t="s">
        <v>161</v>
      </c>
      <c r="O560" t="s">
        <v>2813</v>
      </c>
      <c r="P560" t="s">
        <v>2926</v>
      </c>
      <c r="Q560" t="s">
        <v>2479</v>
      </c>
      <c r="V560">
        <v>-2</v>
      </c>
      <c r="W560" t="s">
        <v>2041</v>
      </c>
      <c r="X560" t="s">
        <v>2041</v>
      </c>
      <c r="Y560" t="s">
        <v>2889</v>
      </c>
      <c r="Z560" t="str">
        <f t="shared" si="20"/>
        <v>Y</v>
      </c>
    </row>
    <row r="561" spans="1:29">
      <c r="A561">
        <v>274</v>
      </c>
      <c r="B561" t="s">
        <v>2074</v>
      </c>
      <c r="C561" t="s">
        <v>2923</v>
      </c>
      <c r="E561">
        <v>2010</v>
      </c>
      <c r="F561" t="s">
        <v>2290</v>
      </c>
      <c r="G561" t="s">
        <v>2035</v>
      </c>
      <c r="H561" s="6">
        <v>46</v>
      </c>
      <c r="I561" s="6">
        <v>-13</v>
      </c>
      <c r="J561" s="6">
        <v>1967</v>
      </c>
      <c r="K561" s="6">
        <v>2005</v>
      </c>
      <c r="L561" s="6">
        <f t="shared" si="21"/>
        <v>39</v>
      </c>
      <c r="M561" t="s">
        <v>2148</v>
      </c>
      <c r="N561" t="s">
        <v>161</v>
      </c>
      <c r="O561" t="s">
        <v>2813</v>
      </c>
      <c r="P561" t="s">
        <v>2926</v>
      </c>
      <c r="Q561" t="s">
        <v>2479</v>
      </c>
      <c r="V561">
        <v>-4</v>
      </c>
      <c r="W561" t="s">
        <v>2041</v>
      </c>
      <c r="X561" t="s">
        <v>2041</v>
      </c>
      <c r="Y561" t="s">
        <v>2889</v>
      </c>
      <c r="Z561" t="str">
        <f t="shared" si="20"/>
        <v>Y</v>
      </c>
    </row>
    <row r="562" spans="1:29">
      <c r="A562">
        <v>275</v>
      </c>
      <c r="B562" t="s">
        <v>2074</v>
      </c>
      <c r="C562" t="s">
        <v>2923</v>
      </c>
      <c r="E562">
        <v>2010</v>
      </c>
      <c r="F562" t="s">
        <v>2290</v>
      </c>
      <c r="G562" t="s">
        <v>2035</v>
      </c>
      <c r="H562" s="6">
        <v>46</v>
      </c>
      <c r="I562" s="6">
        <v>-13</v>
      </c>
      <c r="J562" s="6">
        <v>1981</v>
      </c>
      <c r="K562" s="6">
        <v>2005</v>
      </c>
      <c r="L562" s="6">
        <f t="shared" si="21"/>
        <v>25</v>
      </c>
      <c r="M562" t="s">
        <v>2148</v>
      </c>
      <c r="N562" t="s">
        <v>161</v>
      </c>
      <c r="O562" t="s">
        <v>2813</v>
      </c>
      <c r="P562" t="s">
        <v>2924</v>
      </c>
      <c r="Q562" t="s">
        <v>2925</v>
      </c>
      <c r="V562">
        <v>-5.6</v>
      </c>
      <c r="W562" t="s">
        <v>2041</v>
      </c>
      <c r="X562" t="s">
        <v>2041</v>
      </c>
      <c r="Y562" t="s">
        <v>2889</v>
      </c>
      <c r="Z562" t="str">
        <f t="shared" si="20"/>
        <v>Y</v>
      </c>
    </row>
    <row r="563" spans="1:29">
      <c r="A563">
        <v>276</v>
      </c>
      <c r="B563" t="s">
        <v>2074</v>
      </c>
      <c r="C563" t="s">
        <v>2923</v>
      </c>
      <c r="E563">
        <v>2010</v>
      </c>
      <c r="F563" t="s">
        <v>2290</v>
      </c>
      <c r="G563" t="s">
        <v>2035</v>
      </c>
      <c r="H563" s="6">
        <v>46</v>
      </c>
      <c r="I563" s="6">
        <v>-13</v>
      </c>
      <c r="J563" s="6">
        <v>1967</v>
      </c>
      <c r="K563" s="6">
        <v>1992</v>
      </c>
      <c r="L563" s="6">
        <f t="shared" si="21"/>
        <v>26</v>
      </c>
      <c r="M563" t="s">
        <v>2148</v>
      </c>
      <c r="N563" t="s">
        <v>161</v>
      </c>
      <c r="O563" t="s">
        <v>2813</v>
      </c>
      <c r="P563" t="s">
        <v>2926</v>
      </c>
      <c r="Q563" t="s">
        <v>2479</v>
      </c>
      <c r="V563">
        <v>0</v>
      </c>
      <c r="W563" t="s">
        <v>2080</v>
      </c>
      <c r="X563" t="s">
        <v>2041</v>
      </c>
      <c r="Y563" t="s">
        <v>2927</v>
      </c>
      <c r="Z563" t="str">
        <f t="shared" si="20"/>
        <v>Y</v>
      </c>
    </row>
    <row r="564" spans="1:29">
      <c r="A564">
        <v>277</v>
      </c>
      <c r="B564" t="s">
        <v>2074</v>
      </c>
      <c r="C564" t="s">
        <v>2923</v>
      </c>
      <c r="E564">
        <v>2010</v>
      </c>
      <c r="F564" t="s">
        <v>2290</v>
      </c>
      <c r="G564" t="s">
        <v>2035</v>
      </c>
      <c r="H564" s="6">
        <v>46</v>
      </c>
      <c r="I564" s="6">
        <v>-13</v>
      </c>
      <c r="J564" s="6">
        <v>1986</v>
      </c>
      <c r="K564" s="6">
        <v>2005</v>
      </c>
      <c r="L564" s="6">
        <f t="shared" si="21"/>
        <v>20</v>
      </c>
      <c r="M564" t="s">
        <v>2148</v>
      </c>
      <c r="N564" t="s">
        <v>161</v>
      </c>
      <c r="O564" t="s">
        <v>2813</v>
      </c>
      <c r="P564" t="s">
        <v>2924</v>
      </c>
      <c r="Q564" t="s">
        <v>2925</v>
      </c>
      <c r="V564">
        <v>-24</v>
      </c>
      <c r="W564" t="s">
        <v>2041</v>
      </c>
      <c r="X564" t="s">
        <v>2041</v>
      </c>
      <c r="Y564" t="s">
        <v>2889</v>
      </c>
      <c r="Z564" t="str">
        <f t="shared" si="20"/>
        <v>Y</v>
      </c>
    </row>
    <row r="565" spans="1:29">
      <c r="A565">
        <v>353</v>
      </c>
      <c r="B565" t="s">
        <v>2074</v>
      </c>
      <c r="C565" t="s">
        <v>2896</v>
      </c>
      <c r="E565">
        <v>2004</v>
      </c>
      <c r="F565" t="s">
        <v>1214</v>
      </c>
      <c r="G565" t="s">
        <v>2035</v>
      </c>
      <c r="H565" s="6">
        <v>55</v>
      </c>
      <c r="I565" s="6">
        <v>5</v>
      </c>
      <c r="J565" s="6">
        <v>1958</v>
      </c>
      <c r="K565" s="6">
        <v>2002</v>
      </c>
      <c r="L565" s="6">
        <f t="shared" si="21"/>
        <v>45</v>
      </c>
      <c r="M565" t="s">
        <v>2036</v>
      </c>
      <c r="N565" t="s">
        <v>2132</v>
      </c>
      <c r="O565" t="s">
        <v>2133</v>
      </c>
      <c r="P565" t="s">
        <v>2133</v>
      </c>
      <c r="Q565" t="s">
        <v>2135</v>
      </c>
      <c r="V565">
        <v>-3.5302630000000002</v>
      </c>
      <c r="W565" t="s">
        <v>2041</v>
      </c>
      <c r="X565" t="s">
        <v>2041</v>
      </c>
      <c r="Y565" t="s">
        <v>2898</v>
      </c>
      <c r="Z565" t="str">
        <f t="shared" si="20"/>
        <v>Y</v>
      </c>
    </row>
    <row r="566" spans="1:29">
      <c r="A566">
        <v>369</v>
      </c>
      <c r="B566" t="s">
        <v>2074</v>
      </c>
      <c r="C566" t="s">
        <v>2896</v>
      </c>
      <c r="E566">
        <v>2004</v>
      </c>
      <c r="F566" t="s">
        <v>1214</v>
      </c>
      <c r="G566" t="s">
        <v>2035</v>
      </c>
      <c r="H566" s="6">
        <v>55</v>
      </c>
      <c r="I566" s="6">
        <v>5</v>
      </c>
      <c r="J566" s="6">
        <v>1958</v>
      </c>
      <c r="K566" s="6">
        <v>2002</v>
      </c>
      <c r="L566" s="6">
        <f t="shared" si="21"/>
        <v>45</v>
      </c>
      <c r="M566" t="s">
        <v>2036</v>
      </c>
      <c r="N566" t="s">
        <v>2132</v>
      </c>
      <c r="O566" t="s">
        <v>2133</v>
      </c>
      <c r="P566" t="s">
        <v>2133</v>
      </c>
      <c r="Q566" t="s">
        <v>34</v>
      </c>
      <c r="V566">
        <v>-3.1332497780000002</v>
      </c>
      <c r="W566" t="s">
        <v>2041</v>
      </c>
      <c r="X566" t="s">
        <v>2041</v>
      </c>
      <c r="Y566" t="s">
        <v>2898</v>
      </c>
      <c r="Z566" t="str">
        <f t="shared" si="20"/>
        <v>Y</v>
      </c>
    </row>
    <row r="567" spans="1:29">
      <c r="A567">
        <v>280</v>
      </c>
      <c r="B567" t="s">
        <v>2074</v>
      </c>
      <c r="C567" t="s">
        <v>2928</v>
      </c>
      <c r="E567">
        <v>2011</v>
      </c>
      <c r="F567" t="s">
        <v>2290</v>
      </c>
      <c r="G567" t="s">
        <v>2035</v>
      </c>
      <c r="H567" s="6">
        <v>50.58</v>
      </c>
      <c r="I567" s="6">
        <v>-4.32</v>
      </c>
      <c r="J567" s="6">
        <v>1946</v>
      </c>
      <c r="K567" s="6">
        <v>2007</v>
      </c>
      <c r="L567" s="6">
        <f t="shared" si="21"/>
        <v>62</v>
      </c>
      <c r="M567" t="s">
        <v>2148</v>
      </c>
      <c r="N567" t="s">
        <v>36</v>
      </c>
      <c r="O567" t="s">
        <v>36</v>
      </c>
      <c r="P567" t="s">
        <v>2929</v>
      </c>
      <c r="Q567" t="s">
        <v>2160</v>
      </c>
      <c r="V567">
        <v>-10.199999999999999</v>
      </c>
      <c r="W567" t="s">
        <v>2041</v>
      </c>
      <c r="X567" t="s">
        <v>2041</v>
      </c>
      <c r="Y567" t="s">
        <v>2910</v>
      </c>
      <c r="Z567" t="str">
        <f t="shared" si="20"/>
        <v>Y</v>
      </c>
      <c r="AC567" t="s">
        <v>2930</v>
      </c>
    </row>
    <row r="568" spans="1:29">
      <c r="A568">
        <v>281</v>
      </c>
      <c r="B568" t="s">
        <v>2074</v>
      </c>
      <c r="C568" t="s">
        <v>2928</v>
      </c>
      <c r="E568">
        <v>2011</v>
      </c>
      <c r="F568" t="s">
        <v>2290</v>
      </c>
      <c r="G568" t="s">
        <v>2035</v>
      </c>
      <c r="H568" s="6">
        <v>50.58</v>
      </c>
      <c r="I568" s="6">
        <v>-4.32</v>
      </c>
      <c r="J568" s="6">
        <v>1946</v>
      </c>
      <c r="K568" s="6">
        <v>2007</v>
      </c>
      <c r="L568" s="6">
        <f t="shared" si="21"/>
        <v>62</v>
      </c>
      <c r="M568" t="s">
        <v>2148</v>
      </c>
      <c r="N568" t="s">
        <v>36</v>
      </c>
      <c r="O568" t="s">
        <v>36</v>
      </c>
      <c r="P568" t="s">
        <v>2931</v>
      </c>
      <c r="Q568" t="s">
        <v>935</v>
      </c>
      <c r="V568">
        <v>3.3</v>
      </c>
      <c r="W568" t="s">
        <v>2058</v>
      </c>
      <c r="X568" t="s">
        <v>2041</v>
      </c>
      <c r="Y568" t="s">
        <v>2910</v>
      </c>
      <c r="Z568" t="str">
        <f t="shared" si="20"/>
        <v>Y</v>
      </c>
      <c r="AC568" t="s">
        <v>2930</v>
      </c>
    </row>
    <row r="569" spans="1:29">
      <c r="A569">
        <v>283</v>
      </c>
      <c r="B569" t="s">
        <v>2074</v>
      </c>
      <c r="C569" t="s">
        <v>2932</v>
      </c>
      <c r="E569">
        <v>2004</v>
      </c>
      <c r="F569" t="s">
        <v>2892</v>
      </c>
      <c r="G569" t="s">
        <v>2035</v>
      </c>
      <c r="H569" s="6">
        <v>41.25</v>
      </c>
      <c r="I569" s="6">
        <v>-72.349999999999994</v>
      </c>
      <c r="J569" s="6">
        <v>1978</v>
      </c>
      <c r="K569" s="6">
        <v>2000</v>
      </c>
      <c r="L569" s="6">
        <f t="shared" si="21"/>
        <v>23</v>
      </c>
      <c r="M569" t="s">
        <v>2036</v>
      </c>
      <c r="N569" t="s">
        <v>161</v>
      </c>
      <c r="O569" t="s">
        <v>2813</v>
      </c>
      <c r="P569" t="s">
        <v>2309</v>
      </c>
      <c r="Q569" t="s">
        <v>2100</v>
      </c>
      <c r="V569">
        <v>-0.37</v>
      </c>
      <c r="W569" t="s">
        <v>2041</v>
      </c>
      <c r="X569" t="s">
        <v>2041</v>
      </c>
      <c r="Y569" t="s">
        <v>2889</v>
      </c>
      <c r="Z569" t="str">
        <f t="shared" si="20"/>
        <v>Y</v>
      </c>
    </row>
    <row r="570" spans="1:29">
      <c r="A570">
        <v>284</v>
      </c>
      <c r="B570" t="s">
        <v>2074</v>
      </c>
      <c r="C570" t="s">
        <v>2932</v>
      </c>
      <c r="E570">
        <v>2004</v>
      </c>
      <c r="F570" t="s">
        <v>2892</v>
      </c>
      <c r="G570" t="s">
        <v>2035</v>
      </c>
      <c r="H570" s="6">
        <v>47.17</v>
      </c>
      <c r="I570" s="6">
        <v>-65.03</v>
      </c>
      <c r="J570" s="6">
        <v>1954</v>
      </c>
      <c r="K570" s="6">
        <v>1992</v>
      </c>
      <c r="L570" s="6">
        <f t="shared" si="21"/>
        <v>39</v>
      </c>
      <c r="M570" t="s">
        <v>2036</v>
      </c>
      <c r="N570" t="s">
        <v>161</v>
      </c>
      <c r="O570" t="s">
        <v>2813</v>
      </c>
      <c r="P570" t="s">
        <v>2309</v>
      </c>
      <c r="Q570" t="s">
        <v>2100</v>
      </c>
      <c r="V570">
        <v>-0.71</v>
      </c>
      <c r="W570" t="s">
        <v>2041</v>
      </c>
      <c r="X570" t="s">
        <v>2041</v>
      </c>
      <c r="Y570" t="s">
        <v>2889</v>
      </c>
      <c r="Z570" t="str">
        <f t="shared" si="20"/>
        <v>Y</v>
      </c>
    </row>
    <row r="571" spans="1:29">
      <c r="A571">
        <v>285</v>
      </c>
      <c r="B571" t="s">
        <v>2074</v>
      </c>
      <c r="C571" t="s">
        <v>2932</v>
      </c>
      <c r="E571">
        <v>2004</v>
      </c>
      <c r="F571" t="s">
        <v>2892</v>
      </c>
      <c r="G571" t="s">
        <v>2035</v>
      </c>
      <c r="H571" s="6">
        <v>47.17</v>
      </c>
      <c r="I571" s="6">
        <v>-65.03</v>
      </c>
      <c r="J571" s="6">
        <v>1954</v>
      </c>
      <c r="K571" s="6">
        <v>1992</v>
      </c>
      <c r="L571" s="6">
        <f t="shared" si="21"/>
        <v>39</v>
      </c>
      <c r="M571" t="s">
        <v>2036</v>
      </c>
      <c r="N571" t="s">
        <v>161</v>
      </c>
      <c r="O571" t="s">
        <v>2813</v>
      </c>
      <c r="P571" t="s">
        <v>2309</v>
      </c>
      <c r="Q571" t="s">
        <v>2100</v>
      </c>
      <c r="V571">
        <v>-2.86</v>
      </c>
      <c r="W571" t="s">
        <v>2041</v>
      </c>
      <c r="X571" t="s">
        <v>2041</v>
      </c>
      <c r="Y571" t="s">
        <v>2889</v>
      </c>
      <c r="Z571" t="str">
        <f t="shared" si="20"/>
        <v>Y</v>
      </c>
    </row>
    <row r="572" spans="1:29">
      <c r="A572">
        <v>286</v>
      </c>
      <c r="B572" t="s">
        <v>2074</v>
      </c>
      <c r="C572" t="s">
        <v>2932</v>
      </c>
      <c r="E572">
        <v>2004</v>
      </c>
      <c r="F572" t="s">
        <v>2892</v>
      </c>
      <c r="G572" t="s">
        <v>2035</v>
      </c>
      <c r="H572" s="6">
        <v>47.17</v>
      </c>
      <c r="I572" s="6">
        <v>-65.03</v>
      </c>
      <c r="J572" s="6">
        <v>1954</v>
      </c>
      <c r="K572" s="6">
        <v>1992</v>
      </c>
      <c r="L572" s="6">
        <f t="shared" si="21"/>
        <v>39</v>
      </c>
      <c r="M572" t="s">
        <v>2036</v>
      </c>
      <c r="N572" t="s">
        <v>161</v>
      </c>
      <c r="O572" t="s">
        <v>2813</v>
      </c>
      <c r="P572" t="s">
        <v>2309</v>
      </c>
      <c r="Q572" t="s">
        <v>2100</v>
      </c>
      <c r="V572">
        <v>-3</v>
      </c>
      <c r="W572" t="s">
        <v>2041</v>
      </c>
      <c r="X572" t="s">
        <v>2041</v>
      </c>
      <c r="Y572" t="s">
        <v>2889</v>
      </c>
      <c r="Z572" t="str">
        <f t="shared" si="20"/>
        <v>Y</v>
      </c>
    </row>
    <row r="573" spans="1:29">
      <c r="A573">
        <v>287</v>
      </c>
      <c r="B573" t="s">
        <v>2074</v>
      </c>
      <c r="C573" t="s">
        <v>2932</v>
      </c>
      <c r="E573">
        <v>2004</v>
      </c>
      <c r="F573" t="s">
        <v>2892</v>
      </c>
      <c r="G573" t="s">
        <v>2035</v>
      </c>
      <c r="H573" s="6">
        <v>47.17</v>
      </c>
      <c r="I573" s="6">
        <v>-65.03</v>
      </c>
      <c r="J573" s="6">
        <v>1954</v>
      </c>
      <c r="K573" s="6">
        <v>1992</v>
      </c>
      <c r="L573" s="6">
        <f t="shared" si="21"/>
        <v>39</v>
      </c>
      <c r="M573" t="s">
        <v>2036</v>
      </c>
      <c r="N573" t="s">
        <v>161</v>
      </c>
      <c r="O573" t="s">
        <v>2813</v>
      </c>
      <c r="P573" t="s">
        <v>2309</v>
      </c>
      <c r="Q573" t="s">
        <v>2100</v>
      </c>
      <c r="V573">
        <v>-4</v>
      </c>
      <c r="W573" t="s">
        <v>2041</v>
      </c>
      <c r="X573" t="s">
        <v>2041</v>
      </c>
      <c r="Y573" t="s">
        <v>2889</v>
      </c>
      <c r="Z573" t="str">
        <f t="shared" si="20"/>
        <v>Y</v>
      </c>
    </row>
    <row r="574" spans="1:29">
      <c r="A574">
        <v>288</v>
      </c>
      <c r="B574" t="s">
        <v>2074</v>
      </c>
      <c r="C574" t="s">
        <v>2932</v>
      </c>
      <c r="E574">
        <v>2004</v>
      </c>
      <c r="F574" t="s">
        <v>2892</v>
      </c>
      <c r="G574" t="s">
        <v>2035</v>
      </c>
      <c r="H574" s="6">
        <v>44.05</v>
      </c>
      <c r="I574" s="6">
        <v>-68.95</v>
      </c>
      <c r="J574" s="6">
        <v>1978</v>
      </c>
      <c r="K574" s="6">
        <v>2001</v>
      </c>
      <c r="L574" s="6">
        <f t="shared" si="21"/>
        <v>24</v>
      </c>
      <c r="M574" t="s">
        <v>2036</v>
      </c>
      <c r="N574" t="s">
        <v>161</v>
      </c>
      <c r="O574" t="s">
        <v>2813</v>
      </c>
      <c r="P574" t="s">
        <v>2309</v>
      </c>
      <c r="Q574" t="s">
        <v>2100</v>
      </c>
      <c r="V574">
        <v>-4</v>
      </c>
      <c r="W574" t="s">
        <v>2041</v>
      </c>
      <c r="X574" t="s">
        <v>2041</v>
      </c>
      <c r="Y574" t="s">
        <v>2889</v>
      </c>
      <c r="Z574" t="str">
        <f t="shared" si="20"/>
        <v>Y</v>
      </c>
    </row>
    <row r="575" spans="1:29">
      <c r="A575">
        <v>289</v>
      </c>
      <c r="B575" t="s">
        <v>2074</v>
      </c>
      <c r="C575" t="s">
        <v>2932</v>
      </c>
      <c r="E575">
        <v>2004</v>
      </c>
      <c r="F575" t="s">
        <v>2892</v>
      </c>
      <c r="G575" t="s">
        <v>2035</v>
      </c>
      <c r="H575" s="6">
        <v>41.25</v>
      </c>
      <c r="I575" s="6">
        <v>-72.349999999999994</v>
      </c>
      <c r="J575" s="6">
        <v>1978</v>
      </c>
      <c r="K575" s="6">
        <v>2000</v>
      </c>
      <c r="L575" s="6">
        <f t="shared" si="21"/>
        <v>23</v>
      </c>
      <c r="M575" t="s">
        <v>2036</v>
      </c>
      <c r="N575" t="s">
        <v>161</v>
      </c>
      <c r="O575" t="s">
        <v>2813</v>
      </c>
      <c r="P575" t="s">
        <v>2309</v>
      </c>
      <c r="Q575" t="s">
        <v>2100</v>
      </c>
      <c r="V575">
        <v>-4.4000000000000004</v>
      </c>
      <c r="W575" t="s">
        <v>2041</v>
      </c>
      <c r="X575" t="s">
        <v>2041</v>
      </c>
      <c r="Y575" t="s">
        <v>2889</v>
      </c>
      <c r="Z575" t="str">
        <f t="shared" si="20"/>
        <v>Y</v>
      </c>
    </row>
    <row r="576" spans="1:29">
      <c r="A576">
        <v>290</v>
      </c>
      <c r="B576" t="s">
        <v>2074</v>
      </c>
      <c r="C576" t="s">
        <v>2932</v>
      </c>
      <c r="E576">
        <v>2004</v>
      </c>
      <c r="F576" t="s">
        <v>2892</v>
      </c>
      <c r="G576" t="s">
        <v>2035</v>
      </c>
      <c r="H576" s="6">
        <v>41.25</v>
      </c>
      <c r="I576" s="6">
        <v>-72.349999999999994</v>
      </c>
      <c r="J576" s="6">
        <v>1978</v>
      </c>
      <c r="K576" s="6">
        <v>2000</v>
      </c>
      <c r="L576" s="6">
        <f t="shared" si="21"/>
        <v>23</v>
      </c>
      <c r="M576" t="s">
        <v>2036</v>
      </c>
      <c r="N576" t="s">
        <v>161</v>
      </c>
      <c r="O576" t="s">
        <v>2813</v>
      </c>
      <c r="P576" t="s">
        <v>2309</v>
      </c>
      <c r="Q576" t="s">
        <v>2100</v>
      </c>
      <c r="V576">
        <v>-4.5</v>
      </c>
      <c r="W576" t="s">
        <v>2041</v>
      </c>
      <c r="X576" t="s">
        <v>2041</v>
      </c>
      <c r="Y576" t="s">
        <v>2889</v>
      </c>
      <c r="Z576" t="str">
        <f t="shared" si="20"/>
        <v>Y</v>
      </c>
    </row>
    <row r="577" spans="1:26">
      <c r="A577">
        <v>291</v>
      </c>
      <c r="B577" t="s">
        <v>2074</v>
      </c>
      <c r="C577" t="s">
        <v>2932</v>
      </c>
      <c r="E577">
        <v>2004</v>
      </c>
      <c r="F577" t="s">
        <v>2892</v>
      </c>
      <c r="G577" t="s">
        <v>2035</v>
      </c>
      <c r="H577" s="6">
        <v>49.2</v>
      </c>
      <c r="I577" s="6">
        <v>-58.35</v>
      </c>
      <c r="J577" s="6">
        <v>1967</v>
      </c>
      <c r="K577" s="6">
        <v>1999</v>
      </c>
      <c r="L577" s="6">
        <f t="shared" si="21"/>
        <v>33</v>
      </c>
      <c r="M577" t="s">
        <v>2036</v>
      </c>
      <c r="N577" t="s">
        <v>161</v>
      </c>
      <c r="O577" t="s">
        <v>2813</v>
      </c>
      <c r="P577" t="s">
        <v>2309</v>
      </c>
      <c r="Q577" t="s">
        <v>2100</v>
      </c>
      <c r="V577">
        <v>-4.7</v>
      </c>
      <c r="W577" t="s">
        <v>2041</v>
      </c>
      <c r="X577" t="s">
        <v>2041</v>
      </c>
      <c r="Y577" t="s">
        <v>2889</v>
      </c>
      <c r="Z577" t="str">
        <f t="shared" si="20"/>
        <v>Y</v>
      </c>
    </row>
    <row r="578" spans="1:26">
      <c r="A578">
        <v>292</v>
      </c>
      <c r="B578" t="s">
        <v>2074</v>
      </c>
      <c r="C578" t="s">
        <v>2932</v>
      </c>
      <c r="E578">
        <v>2004</v>
      </c>
      <c r="F578" t="s">
        <v>2892</v>
      </c>
      <c r="G578" t="s">
        <v>2035</v>
      </c>
      <c r="H578" s="6">
        <v>41.25</v>
      </c>
      <c r="I578" s="6">
        <v>-72.349999999999994</v>
      </c>
      <c r="J578" s="6">
        <v>1978</v>
      </c>
      <c r="K578" s="6">
        <v>2000</v>
      </c>
      <c r="L578" s="6">
        <f t="shared" si="21"/>
        <v>23</v>
      </c>
      <c r="M578" t="s">
        <v>2036</v>
      </c>
      <c r="N578" t="s">
        <v>161</v>
      </c>
      <c r="O578" t="s">
        <v>2813</v>
      </c>
      <c r="P578" t="s">
        <v>2309</v>
      </c>
      <c r="Q578" t="s">
        <v>2100</v>
      </c>
      <c r="V578">
        <v>-5</v>
      </c>
      <c r="W578" t="s">
        <v>2041</v>
      </c>
      <c r="X578" t="s">
        <v>2041</v>
      </c>
      <c r="Y578" t="s">
        <v>2889</v>
      </c>
      <c r="Z578" t="str">
        <f t="shared" ref="Z578:Z641" si="22">IF(L578&gt;=19,"Y","N")</f>
        <v>Y</v>
      </c>
    </row>
    <row r="579" spans="1:26">
      <c r="A579">
        <v>293</v>
      </c>
      <c r="B579" t="s">
        <v>2074</v>
      </c>
      <c r="C579" t="s">
        <v>2932</v>
      </c>
      <c r="E579">
        <v>2004</v>
      </c>
      <c r="F579" t="s">
        <v>2892</v>
      </c>
      <c r="G579" t="s">
        <v>2035</v>
      </c>
      <c r="H579" s="6">
        <v>49.2</v>
      </c>
      <c r="I579" s="6">
        <v>-58.35</v>
      </c>
      <c r="J579" s="6">
        <v>1966</v>
      </c>
      <c r="K579" s="6">
        <v>1999</v>
      </c>
      <c r="L579" s="6">
        <f t="shared" si="21"/>
        <v>34</v>
      </c>
      <c r="M579" t="s">
        <v>2036</v>
      </c>
      <c r="N579" t="s">
        <v>161</v>
      </c>
      <c r="O579" t="s">
        <v>2813</v>
      </c>
      <c r="P579" t="s">
        <v>2309</v>
      </c>
      <c r="Q579" t="s">
        <v>2100</v>
      </c>
      <c r="V579">
        <v>-5.13</v>
      </c>
      <c r="W579" t="s">
        <v>2041</v>
      </c>
      <c r="X579" t="s">
        <v>2041</v>
      </c>
      <c r="Y579" t="s">
        <v>2889</v>
      </c>
      <c r="Z579" t="str">
        <f t="shared" si="22"/>
        <v>Y</v>
      </c>
    </row>
    <row r="580" spans="1:26">
      <c r="A580">
        <v>294</v>
      </c>
      <c r="B580" t="s">
        <v>2074</v>
      </c>
      <c r="C580" t="s">
        <v>2932</v>
      </c>
      <c r="E580">
        <v>2004</v>
      </c>
      <c r="F580" t="s">
        <v>2892</v>
      </c>
      <c r="G580" t="s">
        <v>2035</v>
      </c>
      <c r="H580" s="6">
        <v>41.25</v>
      </c>
      <c r="I580" s="6">
        <v>-72.349999999999994</v>
      </c>
      <c r="J580" s="6">
        <v>1978</v>
      </c>
      <c r="K580" s="6">
        <v>2000</v>
      </c>
      <c r="L580" s="6">
        <f t="shared" si="21"/>
        <v>23</v>
      </c>
      <c r="M580" t="s">
        <v>2036</v>
      </c>
      <c r="N580" t="s">
        <v>161</v>
      </c>
      <c r="O580" t="s">
        <v>2813</v>
      </c>
      <c r="P580" t="s">
        <v>2309</v>
      </c>
      <c r="Q580" t="s">
        <v>2100</v>
      </c>
      <c r="V580">
        <v>-5.34</v>
      </c>
      <c r="W580" t="s">
        <v>2041</v>
      </c>
      <c r="X580" t="s">
        <v>2041</v>
      </c>
      <c r="Y580" t="s">
        <v>2889</v>
      </c>
      <c r="Z580" t="str">
        <f t="shared" si="22"/>
        <v>Y</v>
      </c>
    </row>
    <row r="581" spans="1:26">
      <c r="A581">
        <v>295</v>
      </c>
      <c r="B581" t="s">
        <v>2074</v>
      </c>
      <c r="C581" t="s">
        <v>2932</v>
      </c>
      <c r="E581">
        <v>2004</v>
      </c>
      <c r="F581" t="s">
        <v>2892</v>
      </c>
      <c r="G581" t="s">
        <v>2035</v>
      </c>
      <c r="H581" s="6">
        <v>41.25</v>
      </c>
      <c r="I581" s="6">
        <v>-72.349999999999994</v>
      </c>
      <c r="J581" s="6">
        <v>1978</v>
      </c>
      <c r="K581" s="6">
        <v>2000</v>
      </c>
      <c r="L581" s="6">
        <f t="shared" si="21"/>
        <v>23</v>
      </c>
      <c r="M581" t="s">
        <v>2036</v>
      </c>
      <c r="N581" t="s">
        <v>161</v>
      </c>
      <c r="O581" t="s">
        <v>2813</v>
      </c>
      <c r="P581" t="s">
        <v>2309</v>
      </c>
      <c r="Q581" t="s">
        <v>2100</v>
      </c>
      <c r="V581">
        <v>-5.39</v>
      </c>
      <c r="W581" t="s">
        <v>2041</v>
      </c>
      <c r="X581" t="s">
        <v>2041</v>
      </c>
      <c r="Y581" t="s">
        <v>2889</v>
      </c>
      <c r="Z581" t="str">
        <f t="shared" si="22"/>
        <v>Y</v>
      </c>
    </row>
    <row r="582" spans="1:26">
      <c r="A582">
        <v>296</v>
      </c>
      <c r="B582" t="s">
        <v>2074</v>
      </c>
      <c r="C582" t="s">
        <v>2932</v>
      </c>
      <c r="E582">
        <v>2004</v>
      </c>
      <c r="F582" t="s">
        <v>2892</v>
      </c>
      <c r="G582" t="s">
        <v>2035</v>
      </c>
      <c r="H582" s="6">
        <v>41.25</v>
      </c>
      <c r="I582" s="6">
        <v>-72.349999999999994</v>
      </c>
      <c r="J582" s="6">
        <v>1978</v>
      </c>
      <c r="K582" s="6">
        <v>2000</v>
      </c>
      <c r="L582" s="6">
        <f t="shared" si="21"/>
        <v>23</v>
      </c>
      <c r="M582" t="s">
        <v>2036</v>
      </c>
      <c r="N582" t="s">
        <v>161</v>
      </c>
      <c r="O582" t="s">
        <v>2813</v>
      </c>
      <c r="P582" t="s">
        <v>2309</v>
      </c>
      <c r="Q582" t="s">
        <v>2100</v>
      </c>
      <c r="V582">
        <v>-5.44</v>
      </c>
      <c r="W582" t="s">
        <v>2041</v>
      </c>
      <c r="X582" t="s">
        <v>2041</v>
      </c>
      <c r="Y582" t="s">
        <v>2889</v>
      </c>
      <c r="Z582" t="str">
        <f t="shared" si="22"/>
        <v>Y</v>
      </c>
    </row>
    <row r="583" spans="1:26">
      <c r="A583">
        <v>297</v>
      </c>
      <c r="B583" t="s">
        <v>2074</v>
      </c>
      <c r="C583" t="s">
        <v>2932</v>
      </c>
      <c r="E583">
        <v>2004</v>
      </c>
      <c r="F583" t="s">
        <v>2892</v>
      </c>
      <c r="G583" t="s">
        <v>2035</v>
      </c>
      <c r="H583" s="6">
        <v>47.17</v>
      </c>
      <c r="I583" s="6">
        <v>-65.03</v>
      </c>
      <c r="J583" s="6">
        <v>1954</v>
      </c>
      <c r="K583" s="6">
        <v>1992</v>
      </c>
      <c r="L583" s="6">
        <f t="shared" si="21"/>
        <v>39</v>
      </c>
      <c r="M583" t="s">
        <v>2036</v>
      </c>
      <c r="N583" t="s">
        <v>161</v>
      </c>
      <c r="O583" t="s">
        <v>2813</v>
      </c>
      <c r="P583" t="s">
        <v>2309</v>
      </c>
      <c r="Q583" t="s">
        <v>2100</v>
      </c>
      <c r="V583">
        <v>-6.6</v>
      </c>
      <c r="W583" t="s">
        <v>2041</v>
      </c>
      <c r="X583" t="s">
        <v>2041</v>
      </c>
      <c r="Y583" t="s">
        <v>2889</v>
      </c>
      <c r="Z583" t="str">
        <f t="shared" si="22"/>
        <v>Y</v>
      </c>
    </row>
    <row r="584" spans="1:26">
      <c r="A584">
        <v>298</v>
      </c>
      <c r="B584" t="s">
        <v>2074</v>
      </c>
      <c r="C584" t="s">
        <v>2932</v>
      </c>
      <c r="E584">
        <v>2004</v>
      </c>
      <c r="F584" t="s">
        <v>2892</v>
      </c>
      <c r="G584" t="s">
        <v>2035</v>
      </c>
      <c r="H584" s="6">
        <v>41.25</v>
      </c>
      <c r="I584" s="6">
        <v>-72.349999999999994</v>
      </c>
      <c r="J584" s="6">
        <v>1978</v>
      </c>
      <c r="K584" s="6">
        <v>2000</v>
      </c>
      <c r="L584" s="6">
        <f t="shared" si="21"/>
        <v>23</v>
      </c>
      <c r="M584" t="s">
        <v>2036</v>
      </c>
      <c r="N584" t="s">
        <v>161</v>
      </c>
      <c r="O584" t="s">
        <v>2813</v>
      </c>
      <c r="P584" t="s">
        <v>2309</v>
      </c>
      <c r="Q584" t="s">
        <v>2100</v>
      </c>
      <c r="V584">
        <v>-6.8</v>
      </c>
      <c r="W584" t="s">
        <v>2041</v>
      </c>
      <c r="X584" t="s">
        <v>2041</v>
      </c>
      <c r="Y584" t="s">
        <v>2889</v>
      </c>
      <c r="Z584" t="str">
        <f t="shared" si="22"/>
        <v>Y</v>
      </c>
    </row>
    <row r="585" spans="1:26">
      <c r="A585">
        <v>299</v>
      </c>
      <c r="B585" t="s">
        <v>2074</v>
      </c>
      <c r="C585" t="s">
        <v>2932</v>
      </c>
      <c r="E585">
        <v>2004</v>
      </c>
      <c r="F585" t="s">
        <v>2892</v>
      </c>
      <c r="G585" t="s">
        <v>2035</v>
      </c>
      <c r="H585" s="6">
        <v>49.2</v>
      </c>
      <c r="I585" s="6">
        <v>-58.35</v>
      </c>
      <c r="J585" s="6">
        <v>1967</v>
      </c>
      <c r="K585" s="6">
        <v>1999</v>
      </c>
      <c r="L585" s="6">
        <f t="shared" si="21"/>
        <v>33</v>
      </c>
      <c r="M585" t="s">
        <v>2036</v>
      </c>
      <c r="N585" t="s">
        <v>161</v>
      </c>
      <c r="O585" t="s">
        <v>2813</v>
      </c>
      <c r="P585" t="s">
        <v>2309</v>
      </c>
      <c r="Q585" t="s">
        <v>2100</v>
      </c>
      <c r="V585">
        <v>-6.9</v>
      </c>
      <c r="W585" t="s">
        <v>2041</v>
      </c>
      <c r="X585" t="s">
        <v>2041</v>
      </c>
      <c r="Y585" t="s">
        <v>2889</v>
      </c>
      <c r="Z585" t="str">
        <f t="shared" si="22"/>
        <v>Y</v>
      </c>
    </row>
    <row r="586" spans="1:26">
      <c r="A586">
        <v>300</v>
      </c>
      <c r="B586" t="s">
        <v>2074</v>
      </c>
      <c r="C586" t="s">
        <v>2932</v>
      </c>
      <c r="E586">
        <v>2004</v>
      </c>
      <c r="F586" t="s">
        <v>2892</v>
      </c>
      <c r="G586" t="s">
        <v>2035</v>
      </c>
      <c r="H586" s="6">
        <v>44.05</v>
      </c>
      <c r="I586" s="6">
        <v>-68.95</v>
      </c>
      <c r="J586" s="6">
        <v>1978</v>
      </c>
      <c r="K586" s="6">
        <v>2001</v>
      </c>
      <c r="L586" s="6">
        <f t="shared" si="21"/>
        <v>24</v>
      </c>
      <c r="M586" t="s">
        <v>2036</v>
      </c>
      <c r="N586" t="s">
        <v>161</v>
      </c>
      <c r="O586" t="s">
        <v>2813</v>
      </c>
      <c r="P586" t="s">
        <v>2309</v>
      </c>
      <c r="Q586" t="s">
        <v>2100</v>
      </c>
      <c r="V586">
        <v>-7</v>
      </c>
      <c r="W586" t="s">
        <v>2041</v>
      </c>
      <c r="X586" t="s">
        <v>2041</v>
      </c>
      <c r="Y586" t="s">
        <v>2889</v>
      </c>
      <c r="Z586" t="str">
        <f t="shared" si="22"/>
        <v>Y</v>
      </c>
    </row>
    <row r="587" spans="1:26">
      <c r="A587">
        <v>301</v>
      </c>
      <c r="B587" t="s">
        <v>2074</v>
      </c>
      <c r="C587" t="s">
        <v>2932</v>
      </c>
      <c r="E587">
        <v>2004</v>
      </c>
      <c r="F587" t="s">
        <v>2892</v>
      </c>
      <c r="G587" t="s">
        <v>2035</v>
      </c>
      <c r="H587" s="6">
        <v>44.05</v>
      </c>
      <c r="I587" s="6">
        <v>-68.95</v>
      </c>
      <c r="J587" s="6">
        <v>1978</v>
      </c>
      <c r="K587" s="6">
        <v>2001</v>
      </c>
      <c r="L587" s="6">
        <f t="shared" si="21"/>
        <v>24</v>
      </c>
      <c r="M587" t="s">
        <v>2036</v>
      </c>
      <c r="N587" t="s">
        <v>161</v>
      </c>
      <c r="O587" t="s">
        <v>2813</v>
      </c>
      <c r="P587" t="s">
        <v>2309</v>
      </c>
      <c r="Q587" t="s">
        <v>2100</v>
      </c>
      <c r="V587">
        <v>-7.1</v>
      </c>
      <c r="W587" t="s">
        <v>2041</v>
      </c>
      <c r="X587" t="s">
        <v>2041</v>
      </c>
      <c r="Y587" t="s">
        <v>2889</v>
      </c>
      <c r="Z587" t="str">
        <f t="shared" si="22"/>
        <v>Y</v>
      </c>
    </row>
    <row r="588" spans="1:26">
      <c r="A588">
        <v>302</v>
      </c>
      <c r="B588" t="s">
        <v>2074</v>
      </c>
      <c r="C588" t="s">
        <v>2932</v>
      </c>
      <c r="E588">
        <v>2004</v>
      </c>
      <c r="F588" t="s">
        <v>2892</v>
      </c>
      <c r="G588" t="s">
        <v>2035</v>
      </c>
      <c r="H588" s="6">
        <v>44.05</v>
      </c>
      <c r="I588" s="6">
        <v>-68.95</v>
      </c>
      <c r="J588" s="6">
        <v>1978</v>
      </c>
      <c r="K588" s="6">
        <v>2001</v>
      </c>
      <c r="L588" s="6">
        <f t="shared" si="21"/>
        <v>24</v>
      </c>
      <c r="M588" t="s">
        <v>2036</v>
      </c>
      <c r="N588" t="s">
        <v>161</v>
      </c>
      <c r="O588" t="s">
        <v>2813</v>
      </c>
      <c r="P588" t="s">
        <v>2309</v>
      </c>
      <c r="Q588" t="s">
        <v>2100</v>
      </c>
      <c r="V588">
        <v>-7.3</v>
      </c>
      <c r="W588" t="s">
        <v>2041</v>
      </c>
      <c r="X588" t="s">
        <v>2041</v>
      </c>
      <c r="Y588" t="s">
        <v>2889</v>
      </c>
      <c r="Z588" t="str">
        <f t="shared" si="22"/>
        <v>Y</v>
      </c>
    </row>
    <row r="589" spans="1:26">
      <c r="A589">
        <v>303</v>
      </c>
      <c r="B589" t="s">
        <v>2074</v>
      </c>
      <c r="C589" t="s">
        <v>2932</v>
      </c>
      <c r="E589">
        <v>2004</v>
      </c>
      <c r="F589" t="s">
        <v>2892</v>
      </c>
      <c r="G589" t="s">
        <v>2035</v>
      </c>
      <c r="H589" s="6">
        <v>49.2</v>
      </c>
      <c r="I589" s="6">
        <v>-58.35</v>
      </c>
      <c r="J589" s="6">
        <v>1967</v>
      </c>
      <c r="K589" s="6">
        <v>1999</v>
      </c>
      <c r="L589" s="6">
        <f t="shared" si="21"/>
        <v>33</v>
      </c>
      <c r="M589" t="s">
        <v>2036</v>
      </c>
      <c r="N589" t="s">
        <v>161</v>
      </c>
      <c r="O589" t="s">
        <v>2813</v>
      </c>
      <c r="P589" t="s">
        <v>2309</v>
      </c>
      <c r="Q589" t="s">
        <v>2100</v>
      </c>
      <c r="V589">
        <v>-8.14</v>
      </c>
      <c r="W589" t="s">
        <v>2041</v>
      </c>
      <c r="X589" t="s">
        <v>2041</v>
      </c>
      <c r="Y589" t="s">
        <v>2889</v>
      </c>
      <c r="Z589" t="str">
        <f t="shared" si="22"/>
        <v>Y</v>
      </c>
    </row>
    <row r="590" spans="1:26">
      <c r="A590">
        <v>304</v>
      </c>
      <c r="B590" t="s">
        <v>2074</v>
      </c>
      <c r="C590" t="s">
        <v>2932</v>
      </c>
      <c r="E590">
        <v>2004</v>
      </c>
      <c r="F590" t="s">
        <v>2892</v>
      </c>
      <c r="G590" t="s">
        <v>2035</v>
      </c>
      <c r="H590" s="6">
        <v>41.25</v>
      </c>
      <c r="I590" s="6">
        <v>-72.349999999999994</v>
      </c>
      <c r="J590" s="6">
        <v>1978</v>
      </c>
      <c r="K590" s="6">
        <v>2000</v>
      </c>
      <c r="L590" s="6">
        <f t="shared" si="21"/>
        <v>23</v>
      </c>
      <c r="M590" t="s">
        <v>2036</v>
      </c>
      <c r="N590" t="s">
        <v>161</v>
      </c>
      <c r="O590" t="s">
        <v>2813</v>
      </c>
      <c r="P590" t="s">
        <v>2309</v>
      </c>
      <c r="Q590" t="s">
        <v>2100</v>
      </c>
      <c r="V590">
        <v>-8.4</v>
      </c>
      <c r="W590" t="s">
        <v>2041</v>
      </c>
      <c r="X590" t="s">
        <v>2041</v>
      </c>
      <c r="Y590" t="s">
        <v>2889</v>
      </c>
      <c r="Z590" t="str">
        <f t="shared" si="22"/>
        <v>Y</v>
      </c>
    </row>
    <row r="591" spans="1:26">
      <c r="A591">
        <v>305</v>
      </c>
      <c r="B591" t="s">
        <v>2074</v>
      </c>
      <c r="C591" t="s">
        <v>2932</v>
      </c>
      <c r="E591">
        <v>2004</v>
      </c>
      <c r="F591" t="s">
        <v>2892</v>
      </c>
      <c r="G591" t="s">
        <v>2035</v>
      </c>
      <c r="H591" s="6">
        <v>49.2</v>
      </c>
      <c r="I591" s="6">
        <v>-58.35</v>
      </c>
      <c r="J591" s="6">
        <v>1967</v>
      </c>
      <c r="K591" s="6">
        <v>1999</v>
      </c>
      <c r="L591" s="6">
        <f t="shared" si="21"/>
        <v>33</v>
      </c>
      <c r="M591" t="s">
        <v>2036</v>
      </c>
      <c r="N591" t="s">
        <v>161</v>
      </c>
      <c r="O591" t="s">
        <v>2813</v>
      </c>
      <c r="P591" t="s">
        <v>2309</v>
      </c>
      <c r="Q591" t="s">
        <v>2100</v>
      </c>
      <c r="V591">
        <v>-8.41</v>
      </c>
      <c r="W591" t="s">
        <v>2041</v>
      </c>
      <c r="X591" t="s">
        <v>2041</v>
      </c>
      <c r="Y591" t="s">
        <v>2889</v>
      </c>
      <c r="Z591" t="str">
        <f t="shared" si="22"/>
        <v>Y</v>
      </c>
    </row>
    <row r="592" spans="1:26">
      <c r="A592">
        <v>306</v>
      </c>
      <c r="B592" t="s">
        <v>2074</v>
      </c>
      <c r="C592" t="s">
        <v>2932</v>
      </c>
      <c r="E592">
        <v>2004</v>
      </c>
      <c r="F592" t="s">
        <v>2892</v>
      </c>
      <c r="G592" t="s">
        <v>2035</v>
      </c>
      <c r="H592" s="6">
        <v>41.25</v>
      </c>
      <c r="I592" s="6">
        <v>-72.349999999999994</v>
      </c>
      <c r="J592" s="6">
        <v>1978</v>
      </c>
      <c r="K592" s="6">
        <v>2000</v>
      </c>
      <c r="L592" s="6">
        <f t="shared" si="21"/>
        <v>23</v>
      </c>
      <c r="M592" t="s">
        <v>2036</v>
      </c>
      <c r="N592" t="s">
        <v>161</v>
      </c>
      <c r="O592" t="s">
        <v>2813</v>
      </c>
      <c r="P592" t="s">
        <v>2309</v>
      </c>
      <c r="Q592" t="s">
        <v>2100</v>
      </c>
      <c r="V592">
        <v>-8.8000000000000007</v>
      </c>
      <c r="W592" t="s">
        <v>2041</v>
      </c>
      <c r="X592" t="s">
        <v>2041</v>
      </c>
      <c r="Y592" t="s">
        <v>2889</v>
      </c>
      <c r="Z592" t="str">
        <f t="shared" si="22"/>
        <v>Y</v>
      </c>
    </row>
    <row r="593" spans="1:26">
      <c r="A593">
        <v>307</v>
      </c>
      <c r="B593" t="s">
        <v>2074</v>
      </c>
      <c r="C593" t="s">
        <v>2932</v>
      </c>
      <c r="E593">
        <v>2004</v>
      </c>
      <c r="F593" t="s">
        <v>2892</v>
      </c>
      <c r="G593" t="s">
        <v>2035</v>
      </c>
      <c r="H593" s="6">
        <v>49.2</v>
      </c>
      <c r="I593" s="6">
        <v>-58.35</v>
      </c>
      <c r="J593" s="6">
        <v>1967</v>
      </c>
      <c r="K593" s="6">
        <v>1999</v>
      </c>
      <c r="L593" s="6">
        <f t="shared" ref="L593:L647" si="23">K593-J593+1</f>
        <v>33</v>
      </c>
      <c r="M593" t="s">
        <v>2036</v>
      </c>
      <c r="N593" t="s">
        <v>161</v>
      </c>
      <c r="O593" t="s">
        <v>2813</v>
      </c>
      <c r="P593" t="s">
        <v>2309</v>
      </c>
      <c r="Q593" t="s">
        <v>2100</v>
      </c>
      <c r="V593">
        <v>-9.11</v>
      </c>
      <c r="W593" t="s">
        <v>2041</v>
      </c>
      <c r="X593" t="s">
        <v>2041</v>
      </c>
      <c r="Y593" t="s">
        <v>2889</v>
      </c>
      <c r="Z593" t="str">
        <f t="shared" si="22"/>
        <v>Y</v>
      </c>
    </row>
    <row r="594" spans="1:26">
      <c r="A594">
        <v>308</v>
      </c>
      <c r="B594" t="s">
        <v>2074</v>
      </c>
      <c r="C594" t="s">
        <v>2932</v>
      </c>
      <c r="E594">
        <v>2004</v>
      </c>
      <c r="F594" t="s">
        <v>2892</v>
      </c>
      <c r="G594" t="s">
        <v>2035</v>
      </c>
      <c r="H594" s="6">
        <v>44.05</v>
      </c>
      <c r="I594" s="6">
        <v>-68.95</v>
      </c>
      <c r="J594" s="6">
        <v>1978</v>
      </c>
      <c r="K594" s="6">
        <v>2001</v>
      </c>
      <c r="L594" s="6">
        <f t="shared" si="23"/>
        <v>24</v>
      </c>
      <c r="M594" t="s">
        <v>2036</v>
      </c>
      <c r="N594" t="s">
        <v>161</v>
      </c>
      <c r="O594" t="s">
        <v>2813</v>
      </c>
      <c r="P594" t="s">
        <v>2309</v>
      </c>
      <c r="Q594" t="s">
        <v>2100</v>
      </c>
      <c r="V594">
        <v>-9.6999999999999993</v>
      </c>
      <c r="W594" t="s">
        <v>2041</v>
      </c>
      <c r="X594" t="s">
        <v>2041</v>
      </c>
      <c r="Y594" t="s">
        <v>2889</v>
      </c>
      <c r="Z594" t="str">
        <f t="shared" si="22"/>
        <v>Y</v>
      </c>
    </row>
    <row r="595" spans="1:26">
      <c r="A595">
        <v>309</v>
      </c>
      <c r="B595" t="s">
        <v>2074</v>
      </c>
      <c r="C595" t="s">
        <v>2932</v>
      </c>
      <c r="E595">
        <v>2004</v>
      </c>
      <c r="F595" t="s">
        <v>2892</v>
      </c>
      <c r="G595" t="s">
        <v>2035</v>
      </c>
      <c r="H595" s="6">
        <v>47.17</v>
      </c>
      <c r="I595" s="6">
        <v>-65.03</v>
      </c>
      <c r="J595" s="6">
        <v>1953</v>
      </c>
      <c r="K595" s="6">
        <v>1992</v>
      </c>
      <c r="L595" s="6">
        <f t="shared" si="23"/>
        <v>40</v>
      </c>
      <c r="M595" t="s">
        <v>2036</v>
      </c>
      <c r="N595" t="s">
        <v>161</v>
      </c>
      <c r="O595" t="s">
        <v>2813</v>
      </c>
      <c r="P595" t="s">
        <v>2309</v>
      </c>
      <c r="Q595" t="s">
        <v>2100</v>
      </c>
      <c r="V595">
        <v>-19</v>
      </c>
      <c r="W595" t="s">
        <v>2041</v>
      </c>
      <c r="X595" t="s">
        <v>2041</v>
      </c>
      <c r="Y595" t="s">
        <v>2889</v>
      </c>
      <c r="Z595" t="str">
        <f t="shared" si="22"/>
        <v>Y</v>
      </c>
    </row>
    <row r="596" spans="1:26">
      <c r="A596">
        <v>310</v>
      </c>
      <c r="B596" t="s">
        <v>2074</v>
      </c>
      <c r="C596" t="s">
        <v>2932</v>
      </c>
      <c r="E596">
        <v>2004</v>
      </c>
      <c r="F596" t="s">
        <v>2892</v>
      </c>
      <c r="G596" t="s">
        <v>2035</v>
      </c>
      <c r="H596" s="6">
        <v>47.17</v>
      </c>
      <c r="I596" s="6">
        <v>-65.03</v>
      </c>
      <c r="J596" s="6">
        <v>1954</v>
      </c>
      <c r="K596" s="6">
        <v>1992</v>
      </c>
      <c r="L596" s="6">
        <f t="shared" si="23"/>
        <v>39</v>
      </c>
      <c r="M596" t="s">
        <v>2036</v>
      </c>
      <c r="N596" t="s">
        <v>161</v>
      </c>
      <c r="O596" t="s">
        <v>2813</v>
      </c>
      <c r="P596" t="s">
        <v>2309</v>
      </c>
      <c r="Q596" t="s">
        <v>2100</v>
      </c>
      <c r="V596">
        <v>-19.399999999999999</v>
      </c>
      <c r="W596" t="s">
        <v>2041</v>
      </c>
      <c r="X596" t="s">
        <v>2041</v>
      </c>
      <c r="Y596" t="s">
        <v>2889</v>
      </c>
      <c r="Z596" t="str">
        <f t="shared" si="22"/>
        <v>Y</v>
      </c>
    </row>
    <row r="597" spans="1:26">
      <c r="A597">
        <v>311</v>
      </c>
      <c r="B597" t="s">
        <v>2074</v>
      </c>
      <c r="C597" t="s">
        <v>2932</v>
      </c>
      <c r="E597">
        <v>2004</v>
      </c>
      <c r="F597" t="s">
        <v>2892</v>
      </c>
      <c r="G597" t="s">
        <v>2035</v>
      </c>
      <c r="H597" s="6">
        <v>47.17</v>
      </c>
      <c r="I597" s="6">
        <v>-65.03</v>
      </c>
      <c r="J597" s="6">
        <v>1954</v>
      </c>
      <c r="K597" s="6">
        <v>1992</v>
      </c>
      <c r="L597" s="6">
        <f t="shared" si="23"/>
        <v>39</v>
      </c>
      <c r="M597" t="s">
        <v>2036</v>
      </c>
      <c r="N597" t="s">
        <v>161</v>
      </c>
      <c r="O597" t="s">
        <v>2813</v>
      </c>
      <c r="P597" t="s">
        <v>2309</v>
      </c>
      <c r="Q597" t="s">
        <v>2100</v>
      </c>
      <c r="V597">
        <v>-21.3</v>
      </c>
      <c r="W597" t="s">
        <v>2041</v>
      </c>
      <c r="X597" t="s">
        <v>2041</v>
      </c>
      <c r="Y597" t="s">
        <v>2889</v>
      </c>
      <c r="Z597" t="str">
        <f t="shared" si="22"/>
        <v>Y</v>
      </c>
    </row>
    <row r="598" spans="1:26">
      <c r="A598">
        <v>312</v>
      </c>
      <c r="B598" t="s">
        <v>2074</v>
      </c>
      <c r="C598" t="s">
        <v>2932</v>
      </c>
      <c r="E598">
        <v>2004</v>
      </c>
      <c r="F598" t="s">
        <v>2892</v>
      </c>
      <c r="G598" t="s">
        <v>2035</v>
      </c>
      <c r="H598" s="6">
        <v>44.05</v>
      </c>
      <c r="I598" s="6">
        <v>-68.95</v>
      </c>
      <c r="J598" s="6">
        <v>1978</v>
      </c>
      <c r="K598" s="6">
        <v>2001</v>
      </c>
      <c r="L598" s="6">
        <f t="shared" si="23"/>
        <v>24</v>
      </c>
      <c r="M598" t="s">
        <v>2036</v>
      </c>
      <c r="N598" t="s">
        <v>161</v>
      </c>
      <c r="O598" t="s">
        <v>2813</v>
      </c>
      <c r="P598" t="s">
        <v>2309</v>
      </c>
      <c r="Q598" t="s">
        <v>2100</v>
      </c>
      <c r="V598">
        <v>-28.1</v>
      </c>
      <c r="W598" t="s">
        <v>2041</v>
      </c>
      <c r="X598" t="s">
        <v>2041</v>
      </c>
      <c r="Y598" t="s">
        <v>2889</v>
      </c>
      <c r="Z598" t="str">
        <f t="shared" si="22"/>
        <v>Y</v>
      </c>
    </row>
    <row r="599" spans="1:26">
      <c r="A599">
        <v>313</v>
      </c>
      <c r="B599" t="s">
        <v>2074</v>
      </c>
      <c r="C599" t="s">
        <v>2933</v>
      </c>
      <c r="E599">
        <v>2010</v>
      </c>
      <c r="F599" t="s">
        <v>2290</v>
      </c>
      <c r="G599" t="s">
        <v>2035</v>
      </c>
      <c r="H599" s="6">
        <v>55.2</v>
      </c>
      <c r="I599" s="6">
        <v>-6.53</v>
      </c>
      <c r="J599" s="6">
        <v>1978</v>
      </c>
      <c r="K599" s="6">
        <v>2008</v>
      </c>
      <c r="L599" s="6">
        <f t="shared" si="23"/>
        <v>31</v>
      </c>
      <c r="M599" t="s">
        <v>2036</v>
      </c>
      <c r="N599" t="s">
        <v>161</v>
      </c>
      <c r="O599" t="s">
        <v>2813</v>
      </c>
      <c r="P599" t="s">
        <v>2309</v>
      </c>
      <c r="Q599" t="s">
        <v>2100</v>
      </c>
      <c r="V599">
        <v>-3.6</v>
      </c>
      <c r="W599" t="s">
        <v>2041</v>
      </c>
      <c r="X599" t="s">
        <v>2041</v>
      </c>
      <c r="Y599" t="s">
        <v>2889</v>
      </c>
      <c r="Z599" t="str">
        <f t="shared" si="22"/>
        <v>Y</v>
      </c>
    </row>
    <row r="600" spans="1:26">
      <c r="A600">
        <v>314</v>
      </c>
      <c r="B600" t="s">
        <v>2074</v>
      </c>
      <c r="C600" t="s">
        <v>2934</v>
      </c>
      <c r="E600">
        <v>2004</v>
      </c>
      <c r="F600" t="s">
        <v>1214</v>
      </c>
      <c r="G600" t="s">
        <v>2035</v>
      </c>
      <c r="H600" s="6">
        <v>54.18</v>
      </c>
      <c r="I600" s="6">
        <v>7.9</v>
      </c>
      <c r="J600" s="6">
        <v>1962</v>
      </c>
      <c r="K600" s="6">
        <v>2002</v>
      </c>
      <c r="L600" s="6">
        <f t="shared" si="23"/>
        <v>41</v>
      </c>
      <c r="M600" t="s">
        <v>2036</v>
      </c>
      <c r="N600" t="s">
        <v>51</v>
      </c>
      <c r="O600" t="s">
        <v>2451</v>
      </c>
      <c r="P600" t="s">
        <v>163</v>
      </c>
      <c r="Q600" t="s">
        <v>163</v>
      </c>
      <c r="V600" t="s">
        <v>163</v>
      </c>
      <c r="W600" t="s">
        <v>2080</v>
      </c>
      <c r="X600" t="s">
        <v>2041</v>
      </c>
      <c r="Y600" t="s">
        <v>2889</v>
      </c>
      <c r="Z600" t="str">
        <f t="shared" si="22"/>
        <v>Y</v>
      </c>
    </row>
    <row r="601" spans="1:26">
      <c r="A601">
        <v>315</v>
      </c>
      <c r="B601" t="s">
        <v>2074</v>
      </c>
      <c r="C601" t="s">
        <v>2934</v>
      </c>
      <c r="E601">
        <v>2004</v>
      </c>
      <c r="F601" t="s">
        <v>1214</v>
      </c>
      <c r="G601" t="s">
        <v>2035</v>
      </c>
      <c r="H601" s="6">
        <v>54.18</v>
      </c>
      <c r="I601" s="6">
        <v>7.9</v>
      </c>
      <c r="J601" s="6">
        <v>1962</v>
      </c>
      <c r="K601" s="6">
        <v>2002</v>
      </c>
      <c r="L601" s="6">
        <f t="shared" si="23"/>
        <v>41</v>
      </c>
      <c r="M601" t="s">
        <v>2036</v>
      </c>
      <c r="N601" t="s">
        <v>51</v>
      </c>
      <c r="O601" t="s">
        <v>2451</v>
      </c>
      <c r="P601" t="s">
        <v>163</v>
      </c>
      <c r="Q601" t="s">
        <v>163</v>
      </c>
      <c r="V601" t="s">
        <v>163</v>
      </c>
      <c r="W601" t="s">
        <v>2080</v>
      </c>
      <c r="X601" t="s">
        <v>2041</v>
      </c>
      <c r="Y601" t="s">
        <v>2889</v>
      </c>
      <c r="Z601" t="str">
        <f t="shared" si="22"/>
        <v>Y</v>
      </c>
    </row>
    <row r="602" spans="1:26">
      <c r="A602">
        <v>316</v>
      </c>
      <c r="B602" t="s">
        <v>2074</v>
      </c>
      <c r="C602" t="s">
        <v>2934</v>
      </c>
      <c r="E602">
        <v>2004</v>
      </c>
      <c r="F602" t="s">
        <v>1214</v>
      </c>
      <c r="G602" t="s">
        <v>2035</v>
      </c>
      <c r="H602" s="6">
        <v>54.18</v>
      </c>
      <c r="I602" s="6">
        <v>7.9</v>
      </c>
      <c r="J602" s="6">
        <v>1962</v>
      </c>
      <c r="K602" s="6">
        <v>2002</v>
      </c>
      <c r="L602" s="6">
        <f t="shared" si="23"/>
        <v>41</v>
      </c>
      <c r="M602" t="s">
        <v>2036</v>
      </c>
      <c r="N602" t="s">
        <v>51</v>
      </c>
      <c r="O602" t="s">
        <v>2451</v>
      </c>
      <c r="P602" t="s">
        <v>163</v>
      </c>
      <c r="Q602" t="s">
        <v>163</v>
      </c>
      <c r="V602" t="s">
        <v>163</v>
      </c>
      <c r="W602" t="s">
        <v>2080</v>
      </c>
      <c r="X602" t="s">
        <v>2041</v>
      </c>
      <c r="Y602" t="s">
        <v>2889</v>
      </c>
      <c r="Z602" t="str">
        <f t="shared" si="22"/>
        <v>Y</v>
      </c>
    </row>
    <row r="603" spans="1:26">
      <c r="A603">
        <v>317</v>
      </c>
      <c r="B603" t="s">
        <v>2074</v>
      </c>
      <c r="C603" t="s">
        <v>2934</v>
      </c>
      <c r="E603">
        <v>2004</v>
      </c>
      <c r="F603" t="s">
        <v>1214</v>
      </c>
      <c r="G603" t="s">
        <v>2035</v>
      </c>
      <c r="H603" s="6">
        <v>54.18</v>
      </c>
      <c r="I603" s="6">
        <v>7.9</v>
      </c>
      <c r="J603" s="6">
        <v>1962</v>
      </c>
      <c r="K603" s="6">
        <v>2002</v>
      </c>
      <c r="L603" s="6">
        <f t="shared" si="23"/>
        <v>41</v>
      </c>
      <c r="M603" t="s">
        <v>2036</v>
      </c>
      <c r="N603" t="s">
        <v>51</v>
      </c>
      <c r="O603" t="s">
        <v>2451</v>
      </c>
      <c r="P603" t="s">
        <v>163</v>
      </c>
      <c r="Q603" t="s">
        <v>163</v>
      </c>
      <c r="V603" t="s">
        <v>163</v>
      </c>
      <c r="W603" t="s">
        <v>2041</v>
      </c>
      <c r="X603" t="s">
        <v>2041</v>
      </c>
      <c r="Y603" t="s">
        <v>2889</v>
      </c>
      <c r="Z603" t="str">
        <f t="shared" si="22"/>
        <v>Y</v>
      </c>
    </row>
    <row r="604" spans="1:26">
      <c r="A604">
        <v>318</v>
      </c>
      <c r="B604" t="s">
        <v>2074</v>
      </c>
      <c r="C604" t="s">
        <v>2896</v>
      </c>
      <c r="E604">
        <v>2004</v>
      </c>
      <c r="F604" t="s">
        <v>1214</v>
      </c>
      <c r="G604" t="s">
        <v>2035</v>
      </c>
      <c r="H604" s="6">
        <v>55</v>
      </c>
      <c r="I604" s="6">
        <v>5</v>
      </c>
      <c r="J604" s="6">
        <v>1958</v>
      </c>
      <c r="K604" s="6">
        <v>2002</v>
      </c>
      <c r="L604" s="6">
        <f t="shared" si="23"/>
        <v>45</v>
      </c>
      <c r="M604" t="s">
        <v>2036</v>
      </c>
      <c r="N604" t="s">
        <v>51</v>
      </c>
      <c r="O604" t="s">
        <v>2518</v>
      </c>
      <c r="P604" t="s">
        <v>163</v>
      </c>
      <c r="Q604" t="s">
        <v>2446</v>
      </c>
      <c r="V604">
        <v>-8.6045324440000002</v>
      </c>
      <c r="W604" t="s">
        <v>2041</v>
      </c>
      <c r="X604" t="s">
        <v>2041</v>
      </c>
      <c r="Y604" t="s">
        <v>2898</v>
      </c>
      <c r="Z604" t="str">
        <f t="shared" si="22"/>
        <v>Y</v>
      </c>
    </row>
    <row r="605" spans="1:26">
      <c r="A605">
        <v>319</v>
      </c>
      <c r="B605" t="s">
        <v>2074</v>
      </c>
      <c r="C605" t="s">
        <v>2896</v>
      </c>
      <c r="E605">
        <v>2004</v>
      </c>
      <c r="F605" t="s">
        <v>1214</v>
      </c>
      <c r="G605" t="s">
        <v>2035</v>
      </c>
      <c r="H605" s="6">
        <v>55</v>
      </c>
      <c r="I605" s="6">
        <v>5</v>
      </c>
      <c r="J605" s="6">
        <v>1958</v>
      </c>
      <c r="K605" s="6">
        <v>2002</v>
      </c>
      <c r="L605" s="6">
        <f t="shared" si="23"/>
        <v>45</v>
      </c>
      <c r="M605" t="s">
        <v>2036</v>
      </c>
      <c r="N605" t="s">
        <v>51</v>
      </c>
      <c r="O605" t="s">
        <v>2518</v>
      </c>
      <c r="P605" t="s">
        <v>163</v>
      </c>
      <c r="Q605" t="s">
        <v>2442</v>
      </c>
      <c r="V605">
        <v>-8.3322182779999991</v>
      </c>
      <c r="W605" t="s">
        <v>2041</v>
      </c>
      <c r="X605" t="s">
        <v>2041</v>
      </c>
      <c r="Y605" t="s">
        <v>2898</v>
      </c>
      <c r="Z605" t="str">
        <f t="shared" si="22"/>
        <v>Y</v>
      </c>
    </row>
    <row r="606" spans="1:26">
      <c r="A606">
        <v>320</v>
      </c>
      <c r="B606" t="s">
        <v>2074</v>
      </c>
      <c r="C606" t="s">
        <v>2896</v>
      </c>
      <c r="E606">
        <v>2004</v>
      </c>
      <c r="F606" t="s">
        <v>1214</v>
      </c>
      <c r="G606" t="s">
        <v>2035</v>
      </c>
      <c r="H606" s="6">
        <v>55</v>
      </c>
      <c r="I606" s="6">
        <v>5</v>
      </c>
      <c r="J606" s="6">
        <v>1958</v>
      </c>
      <c r="K606" s="6">
        <v>2002</v>
      </c>
      <c r="L606" s="6">
        <f t="shared" si="23"/>
        <v>45</v>
      </c>
      <c r="M606" t="s">
        <v>2036</v>
      </c>
      <c r="N606" t="s">
        <v>51</v>
      </c>
      <c r="O606" t="s">
        <v>2451</v>
      </c>
      <c r="P606" t="s">
        <v>163</v>
      </c>
      <c r="Q606" t="s">
        <v>2935</v>
      </c>
      <c r="V606">
        <v>-7.5405727220000003</v>
      </c>
      <c r="W606" t="s">
        <v>2041</v>
      </c>
      <c r="X606" t="s">
        <v>2041</v>
      </c>
      <c r="Y606" t="s">
        <v>2898</v>
      </c>
      <c r="Z606" t="str">
        <f t="shared" si="22"/>
        <v>Y</v>
      </c>
    </row>
    <row r="607" spans="1:26">
      <c r="A607">
        <v>433</v>
      </c>
      <c r="B607" t="s">
        <v>2074</v>
      </c>
      <c r="C607" t="s">
        <v>2487</v>
      </c>
      <c r="E607">
        <v>2009</v>
      </c>
      <c r="F607" t="s">
        <v>1214</v>
      </c>
      <c r="G607" t="s">
        <v>2035</v>
      </c>
      <c r="H607" s="6">
        <v>55.62</v>
      </c>
      <c r="I607" s="6">
        <v>-1.63</v>
      </c>
      <c r="J607" s="6">
        <v>1979</v>
      </c>
      <c r="K607" s="6">
        <v>2006</v>
      </c>
      <c r="L607" s="6">
        <f t="shared" si="23"/>
        <v>28</v>
      </c>
      <c r="M607" t="s">
        <v>2036</v>
      </c>
      <c r="N607" t="s">
        <v>394</v>
      </c>
      <c r="O607" t="s">
        <v>394</v>
      </c>
      <c r="P607" t="s">
        <v>2425</v>
      </c>
      <c r="Q607" t="s">
        <v>997</v>
      </c>
      <c r="V607">
        <v>-1.5</v>
      </c>
      <c r="W607" t="s">
        <v>2041</v>
      </c>
      <c r="X607" t="s">
        <v>2041</v>
      </c>
      <c r="Y607" t="s">
        <v>2081</v>
      </c>
      <c r="Z607" t="str">
        <f t="shared" si="22"/>
        <v>Y</v>
      </c>
    </row>
    <row r="608" spans="1:26">
      <c r="A608">
        <v>434</v>
      </c>
      <c r="B608" t="s">
        <v>2074</v>
      </c>
      <c r="C608" t="s">
        <v>2487</v>
      </c>
      <c r="E608">
        <v>2009</v>
      </c>
      <c r="F608" t="s">
        <v>1214</v>
      </c>
      <c r="G608" t="s">
        <v>2035</v>
      </c>
      <c r="H608" s="6">
        <v>55.62</v>
      </c>
      <c r="I608" s="6">
        <v>-1.63</v>
      </c>
      <c r="J608" s="6">
        <v>1976</v>
      </c>
      <c r="K608" s="6">
        <v>2006</v>
      </c>
      <c r="L608" s="6">
        <f t="shared" si="23"/>
        <v>31</v>
      </c>
      <c r="M608" t="s">
        <v>2036</v>
      </c>
      <c r="N608" t="s">
        <v>394</v>
      </c>
      <c r="O608" t="s">
        <v>394</v>
      </c>
      <c r="P608" t="s">
        <v>2484</v>
      </c>
      <c r="Q608" t="s">
        <v>2936</v>
      </c>
      <c r="V608">
        <v>-0.18</v>
      </c>
      <c r="W608" t="s">
        <v>2041</v>
      </c>
      <c r="X608" t="s">
        <v>2041</v>
      </c>
      <c r="Y608" t="s">
        <v>2081</v>
      </c>
      <c r="Z608" t="str">
        <f t="shared" si="22"/>
        <v>Y</v>
      </c>
    </row>
    <row r="609" spans="1:34">
      <c r="A609">
        <v>435</v>
      </c>
      <c r="B609" t="s">
        <v>2074</v>
      </c>
      <c r="C609" t="s">
        <v>2487</v>
      </c>
      <c r="E609">
        <v>2009</v>
      </c>
      <c r="F609" t="s">
        <v>1214</v>
      </c>
      <c r="G609" t="s">
        <v>2035</v>
      </c>
      <c r="H609" s="6">
        <v>55.62</v>
      </c>
      <c r="I609" s="6">
        <v>-1.63</v>
      </c>
      <c r="J609" s="6">
        <v>1976</v>
      </c>
      <c r="K609" s="6">
        <v>2006</v>
      </c>
      <c r="L609" s="6">
        <f t="shared" si="23"/>
        <v>31</v>
      </c>
      <c r="M609" t="s">
        <v>2036</v>
      </c>
      <c r="N609" t="s">
        <v>394</v>
      </c>
      <c r="O609" t="s">
        <v>394</v>
      </c>
      <c r="P609" t="s">
        <v>2485</v>
      </c>
      <c r="Q609" t="s">
        <v>459</v>
      </c>
      <c r="V609">
        <v>-0.45</v>
      </c>
      <c r="W609" t="s">
        <v>2041</v>
      </c>
      <c r="X609" t="s">
        <v>2041</v>
      </c>
      <c r="Y609" t="s">
        <v>2081</v>
      </c>
      <c r="Z609" t="str">
        <f t="shared" si="22"/>
        <v>Y</v>
      </c>
    </row>
    <row r="610" spans="1:34">
      <c r="A610">
        <v>436</v>
      </c>
      <c r="B610" t="s">
        <v>2074</v>
      </c>
      <c r="C610" t="s">
        <v>2487</v>
      </c>
      <c r="E610">
        <v>2009</v>
      </c>
      <c r="F610" t="s">
        <v>1214</v>
      </c>
      <c r="G610" t="s">
        <v>2035</v>
      </c>
      <c r="H610" s="6">
        <v>55.62</v>
      </c>
      <c r="I610" s="6">
        <v>-1.63</v>
      </c>
      <c r="J610" s="6">
        <v>1972</v>
      </c>
      <c r="K610" s="6">
        <v>2006</v>
      </c>
      <c r="L610" s="6">
        <f t="shared" si="23"/>
        <v>35</v>
      </c>
      <c r="M610" t="s">
        <v>2036</v>
      </c>
      <c r="N610" t="s">
        <v>394</v>
      </c>
      <c r="O610" t="s">
        <v>394</v>
      </c>
      <c r="P610" t="s">
        <v>2486</v>
      </c>
      <c r="Q610" t="s">
        <v>483</v>
      </c>
      <c r="V610">
        <v>-1.6</v>
      </c>
      <c r="W610" t="s">
        <v>2041</v>
      </c>
      <c r="X610" t="s">
        <v>2041</v>
      </c>
      <c r="Y610" t="s">
        <v>2081</v>
      </c>
      <c r="Z610" t="str">
        <f t="shared" si="22"/>
        <v>Y</v>
      </c>
    </row>
    <row r="611" spans="1:34">
      <c r="A611">
        <v>437</v>
      </c>
      <c r="B611" t="s">
        <v>2074</v>
      </c>
      <c r="C611" t="s">
        <v>2487</v>
      </c>
      <c r="E611">
        <v>2009</v>
      </c>
      <c r="F611" t="s">
        <v>1214</v>
      </c>
      <c r="G611" t="s">
        <v>2035</v>
      </c>
      <c r="H611" s="6">
        <v>55.62</v>
      </c>
      <c r="I611" s="6">
        <v>-1.63</v>
      </c>
      <c r="J611" s="6">
        <v>1971</v>
      </c>
      <c r="K611" s="6">
        <v>2006</v>
      </c>
      <c r="L611" s="6">
        <f t="shared" si="23"/>
        <v>36</v>
      </c>
      <c r="M611" t="s">
        <v>2036</v>
      </c>
      <c r="N611" t="s">
        <v>394</v>
      </c>
      <c r="O611" t="s">
        <v>394</v>
      </c>
      <c r="P611" t="s">
        <v>2484</v>
      </c>
      <c r="Q611" t="s">
        <v>2936</v>
      </c>
      <c r="V611">
        <v>-6.2</v>
      </c>
      <c r="W611" t="s">
        <v>2041</v>
      </c>
      <c r="X611" t="s">
        <v>2041</v>
      </c>
      <c r="Y611" t="s">
        <v>2081</v>
      </c>
      <c r="Z611" t="str">
        <f t="shared" si="22"/>
        <v>Y</v>
      </c>
    </row>
    <row r="612" spans="1:34">
      <c r="A612">
        <v>438</v>
      </c>
      <c r="B612" t="s">
        <v>2074</v>
      </c>
      <c r="C612" t="s">
        <v>2487</v>
      </c>
      <c r="E612">
        <v>2009</v>
      </c>
      <c r="F612" t="s">
        <v>1214</v>
      </c>
      <c r="G612" t="s">
        <v>2035</v>
      </c>
      <c r="H612" s="6">
        <v>55.62</v>
      </c>
      <c r="I612" s="6">
        <v>-1.63</v>
      </c>
      <c r="J612" s="6">
        <v>1974</v>
      </c>
      <c r="K612" s="6">
        <v>2006</v>
      </c>
      <c r="L612" s="6">
        <f t="shared" si="23"/>
        <v>33</v>
      </c>
      <c r="M612" t="s">
        <v>2036</v>
      </c>
      <c r="N612" t="s">
        <v>394</v>
      </c>
      <c r="O612" t="s">
        <v>394</v>
      </c>
      <c r="P612" t="s">
        <v>2485</v>
      </c>
      <c r="Q612" t="s">
        <v>459</v>
      </c>
      <c r="V612">
        <v>-6.7</v>
      </c>
      <c r="W612" t="s">
        <v>2041</v>
      </c>
      <c r="X612" t="s">
        <v>2041</v>
      </c>
      <c r="Y612" t="s">
        <v>2081</v>
      </c>
      <c r="Z612" t="str">
        <f t="shared" si="22"/>
        <v>Y</v>
      </c>
    </row>
    <row r="613" spans="1:34">
      <c r="A613">
        <v>439</v>
      </c>
      <c r="B613" t="s">
        <v>2074</v>
      </c>
      <c r="C613" t="s">
        <v>2487</v>
      </c>
      <c r="E613">
        <v>2009</v>
      </c>
      <c r="F613" t="s">
        <v>1214</v>
      </c>
      <c r="G613" t="s">
        <v>2035</v>
      </c>
      <c r="H613" s="6">
        <v>55.62</v>
      </c>
      <c r="I613" s="6">
        <v>-1.63</v>
      </c>
      <c r="J613" s="6">
        <v>1971</v>
      </c>
      <c r="K613" s="6">
        <v>2006</v>
      </c>
      <c r="L613" s="6">
        <f t="shared" si="23"/>
        <v>36</v>
      </c>
      <c r="M613" t="s">
        <v>2036</v>
      </c>
      <c r="N613" t="s">
        <v>394</v>
      </c>
      <c r="O613" t="s">
        <v>394</v>
      </c>
      <c r="P613" t="s">
        <v>2486</v>
      </c>
      <c r="Q613" t="s">
        <v>483</v>
      </c>
      <c r="V613">
        <v>-3.6</v>
      </c>
      <c r="W613" t="s">
        <v>2041</v>
      </c>
      <c r="X613" t="s">
        <v>2041</v>
      </c>
      <c r="Y613" t="s">
        <v>2081</v>
      </c>
      <c r="Z613" t="str">
        <f t="shared" si="22"/>
        <v>Y</v>
      </c>
    </row>
    <row r="614" spans="1:34">
      <c r="A614">
        <v>440</v>
      </c>
      <c r="B614" t="s">
        <v>2074</v>
      </c>
      <c r="C614" t="s">
        <v>2937</v>
      </c>
      <c r="E614">
        <v>2008</v>
      </c>
      <c r="F614" t="s">
        <v>2290</v>
      </c>
      <c r="G614" t="s">
        <v>2035</v>
      </c>
      <c r="H614" s="6">
        <v>55</v>
      </c>
      <c r="I614" s="6">
        <v>-5</v>
      </c>
      <c r="J614" s="6">
        <v>1980</v>
      </c>
      <c r="K614" s="6">
        <v>2007</v>
      </c>
      <c r="L614" s="6">
        <f t="shared" si="23"/>
        <v>28</v>
      </c>
      <c r="M614" t="s">
        <v>2077</v>
      </c>
      <c r="N614" t="s">
        <v>394</v>
      </c>
      <c r="O614" t="s">
        <v>394</v>
      </c>
      <c r="P614" t="s">
        <v>2938</v>
      </c>
      <c r="Q614" t="s">
        <v>2939</v>
      </c>
      <c r="V614">
        <v>2.1</v>
      </c>
      <c r="W614" t="s">
        <v>2058</v>
      </c>
      <c r="X614" t="s">
        <v>2041</v>
      </c>
      <c r="Y614" t="s">
        <v>2081</v>
      </c>
      <c r="Z614" t="str">
        <f t="shared" si="22"/>
        <v>Y</v>
      </c>
    </row>
    <row r="615" spans="1:34">
      <c r="A615">
        <v>365</v>
      </c>
      <c r="B615" t="s">
        <v>2074</v>
      </c>
      <c r="C615" t="s">
        <v>2940</v>
      </c>
      <c r="E615">
        <v>2010</v>
      </c>
      <c r="F615" t="s">
        <v>2290</v>
      </c>
      <c r="G615" t="s">
        <v>2035</v>
      </c>
      <c r="H615" s="6">
        <v>64.02</v>
      </c>
      <c r="I615" s="6">
        <v>-22.71</v>
      </c>
      <c r="J615" s="6">
        <v>1977</v>
      </c>
      <c r="K615" s="6">
        <v>2006</v>
      </c>
      <c r="L615" s="6">
        <f t="shared" si="23"/>
        <v>30</v>
      </c>
      <c r="M615" t="s">
        <v>2036</v>
      </c>
      <c r="N615" t="s">
        <v>394</v>
      </c>
      <c r="O615" t="s">
        <v>394</v>
      </c>
      <c r="P615" t="s">
        <v>2379</v>
      </c>
      <c r="Q615" t="s">
        <v>439</v>
      </c>
      <c r="V615">
        <v>-2.8</v>
      </c>
      <c r="W615" t="s">
        <v>2041</v>
      </c>
      <c r="X615" t="s">
        <v>2041</v>
      </c>
      <c r="Y615" t="s">
        <v>2081</v>
      </c>
      <c r="Z615" t="str">
        <f t="shared" si="22"/>
        <v>Y</v>
      </c>
    </row>
    <row r="616" spans="1:34">
      <c r="A616">
        <v>150</v>
      </c>
      <c r="B616" t="s">
        <v>19</v>
      </c>
      <c r="C616" t="s">
        <v>2941</v>
      </c>
      <c r="E616">
        <v>2012</v>
      </c>
      <c r="F616" t="s">
        <v>2942</v>
      </c>
      <c r="G616" t="s">
        <v>2286</v>
      </c>
      <c r="H616" s="6">
        <v>-38.516666666666666</v>
      </c>
      <c r="I616" s="6">
        <v>145.13333333333333</v>
      </c>
      <c r="J616" s="6">
        <v>1968</v>
      </c>
      <c r="K616" s="6">
        <v>1998</v>
      </c>
      <c r="L616" s="6">
        <f t="shared" si="23"/>
        <v>31</v>
      </c>
      <c r="N616" t="s">
        <v>394</v>
      </c>
      <c r="O616" t="s">
        <v>394</v>
      </c>
      <c r="P616" t="s">
        <v>2287</v>
      </c>
      <c r="Q616" t="s">
        <v>2288</v>
      </c>
      <c r="R616" t="s">
        <v>2943</v>
      </c>
      <c r="V616">
        <f>0.04*10</f>
        <v>0.4</v>
      </c>
      <c r="W616" t="s">
        <v>2058</v>
      </c>
      <c r="X616" s="11" t="s">
        <v>2041</v>
      </c>
      <c r="Y616" t="s">
        <v>19</v>
      </c>
      <c r="Z616" t="str">
        <f t="shared" si="22"/>
        <v>Y</v>
      </c>
      <c r="AC616" t="s">
        <v>2096</v>
      </c>
      <c r="AD616" s="11"/>
      <c r="AE616" s="11"/>
      <c r="AF616" s="11"/>
    </row>
    <row r="617" spans="1:34">
      <c r="A617">
        <v>151</v>
      </c>
      <c r="B617" t="s">
        <v>19</v>
      </c>
      <c r="C617" t="s">
        <v>2944</v>
      </c>
      <c r="E617">
        <v>2012</v>
      </c>
      <c r="F617" t="s">
        <v>2945</v>
      </c>
      <c r="G617" t="s">
        <v>2286</v>
      </c>
      <c r="H617" s="6">
        <v>-54.620800000000003</v>
      </c>
      <c r="I617" s="6">
        <v>158.85560000000001</v>
      </c>
      <c r="J617" s="6">
        <v>1964</v>
      </c>
      <c r="K617" s="6">
        <v>1999</v>
      </c>
      <c r="L617" s="6">
        <f t="shared" si="23"/>
        <v>36</v>
      </c>
      <c r="N617" t="s">
        <v>394</v>
      </c>
      <c r="O617" t="s">
        <v>394</v>
      </c>
      <c r="P617" t="s">
        <v>2946</v>
      </c>
      <c r="Q617" t="s">
        <v>2947</v>
      </c>
      <c r="V617">
        <f>-0.108*10</f>
        <v>-1.08</v>
      </c>
      <c r="W617" t="s">
        <v>2041</v>
      </c>
      <c r="X617" s="11" t="s">
        <v>2041</v>
      </c>
      <c r="Y617" t="s">
        <v>19</v>
      </c>
      <c r="Z617" t="str">
        <f t="shared" si="22"/>
        <v>Y</v>
      </c>
      <c r="AC617" t="s">
        <v>2096</v>
      </c>
      <c r="AD617" s="11"/>
      <c r="AE617" s="11"/>
      <c r="AF617" s="11"/>
    </row>
    <row r="618" spans="1:34">
      <c r="B618" t="s">
        <v>19</v>
      </c>
      <c r="C618" t="s">
        <v>2339</v>
      </c>
      <c r="E618">
        <v>2012</v>
      </c>
      <c r="F618" t="s">
        <v>1214</v>
      </c>
      <c r="G618" t="s">
        <v>2035</v>
      </c>
      <c r="H618" s="6">
        <v>56.5</v>
      </c>
      <c r="I618" s="6">
        <v>-1.5</v>
      </c>
      <c r="J618" s="6">
        <v>1983</v>
      </c>
      <c r="K618" s="6">
        <v>2006</v>
      </c>
      <c r="L618" s="6">
        <f t="shared" si="23"/>
        <v>24</v>
      </c>
      <c r="M618" t="s">
        <v>2036</v>
      </c>
      <c r="N618" t="s">
        <v>394</v>
      </c>
      <c r="O618" t="s">
        <v>394</v>
      </c>
      <c r="P618" t="s">
        <v>394</v>
      </c>
      <c r="Q618" t="s">
        <v>2948</v>
      </c>
      <c r="R618" t="s">
        <v>2943</v>
      </c>
      <c r="V618">
        <v>2.9202887215356701</v>
      </c>
      <c r="W618" t="s">
        <v>2058</v>
      </c>
      <c r="X618" t="s">
        <v>2041</v>
      </c>
      <c r="Y618" t="s">
        <v>19</v>
      </c>
      <c r="Z618" t="str">
        <f t="shared" si="22"/>
        <v>Y</v>
      </c>
      <c r="AC618" t="s">
        <v>2949</v>
      </c>
    </row>
    <row r="619" spans="1:34">
      <c r="B619" t="s">
        <v>19</v>
      </c>
      <c r="C619" t="s">
        <v>2339</v>
      </c>
      <c r="E619">
        <v>2012</v>
      </c>
      <c r="F619" t="s">
        <v>1214</v>
      </c>
      <c r="G619" t="s">
        <v>2035</v>
      </c>
      <c r="H619" s="6">
        <v>56.5</v>
      </c>
      <c r="I619" s="6">
        <v>-1.5</v>
      </c>
      <c r="J619" s="6">
        <v>1983</v>
      </c>
      <c r="K619" s="6">
        <v>2006</v>
      </c>
      <c r="L619" s="6">
        <f t="shared" si="23"/>
        <v>24</v>
      </c>
      <c r="M619" t="s">
        <v>2036</v>
      </c>
      <c r="N619" t="s">
        <v>394</v>
      </c>
      <c r="O619" t="s">
        <v>394</v>
      </c>
      <c r="P619" t="s">
        <v>394</v>
      </c>
      <c r="Q619" t="s">
        <v>2414</v>
      </c>
      <c r="R619" t="s">
        <v>2943</v>
      </c>
      <c r="V619">
        <v>1.40360678450915</v>
      </c>
      <c r="W619" t="s">
        <v>2058</v>
      </c>
      <c r="X619" t="s">
        <v>2041</v>
      </c>
      <c r="Y619" t="s">
        <v>19</v>
      </c>
      <c r="Z619" t="str">
        <f t="shared" si="22"/>
        <v>Y</v>
      </c>
      <c r="AC619" t="s">
        <v>2949</v>
      </c>
    </row>
    <row r="620" spans="1:34">
      <c r="B620" t="s">
        <v>19</v>
      </c>
      <c r="C620" t="s">
        <v>2339</v>
      </c>
      <c r="E620">
        <v>2012</v>
      </c>
      <c r="F620" t="s">
        <v>1214</v>
      </c>
      <c r="G620" t="s">
        <v>2035</v>
      </c>
      <c r="H620" s="6">
        <v>56.5</v>
      </c>
      <c r="I620" s="6">
        <v>-1.5</v>
      </c>
      <c r="J620" s="6">
        <v>1983</v>
      </c>
      <c r="K620" s="6">
        <v>2006</v>
      </c>
      <c r="L620" s="6">
        <f t="shared" si="23"/>
        <v>24</v>
      </c>
      <c r="M620" t="s">
        <v>2036</v>
      </c>
      <c r="N620" t="s">
        <v>394</v>
      </c>
      <c r="O620" t="s">
        <v>394</v>
      </c>
      <c r="P620" t="s">
        <v>394</v>
      </c>
      <c r="Q620" t="s">
        <v>2950</v>
      </c>
      <c r="R620" t="s">
        <v>2480</v>
      </c>
      <c r="V620">
        <v>-5.1817917718831703</v>
      </c>
      <c r="W620" t="s">
        <v>2041</v>
      </c>
      <c r="X620" t="s">
        <v>2041</v>
      </c>
      <c r="Y620" t="s">
        <v>19</v>
      </c>
      <c r="Z620" t="str">
        <f t="shared" si="22"/>
        <v>Y</v>
      </c>
      <c r="AC620" t="s">
        <v>2341</v>
      </c>
    </row>
    <row r="621" spans="1:34">
      <c r="B621" t="s">
        <v>19</v>
      </c>
      <c r="C621" t="s">
        <v>2339</v>
      </c>
      <c r="E621">
        <v>2012</v>
      </c>
      <c r="F621" t="s">
        <v>1214</v>
      </c>
      <c r="G621" t="s">
        <v>2035</v>
      </c>
      <c r="H621" s="6">
        <v>56.5</v>
      </c>
      <c r="I621" s="6">
        <v>-1.5</v>
      </c>
      <c r="J621" s="6">
        <v>1983</v>
      </c>
      <c r="K621" s="6">
        <v>2006</v>
      </c>
      <c r="L621" s="6">
        <f t="shared" si="23"/>
        <v>24</v>
      </c>
      <c r="M621" t="s">
        <v>2036</v>
      </c>
      <c r="N621" t="s">
        <v>394</v>
      </c>
      <c r="O621" t="s">
        <v>394</v>
      </c>
      <c r="P621" t="s">
        <v>394</v>
      </c>
      <c r="Q621" t="s">
        <v>2951</v>
      </c>
      <c r="R621" t="s">
        <v>2952</v>
      </c>
      <c r="V621">
        <v>6.8631701267067404</v>
      </c>
      <c r="W621" t="s">
        <v>2058</v>
      </c>
      <c r="X621" t="s">
        <v>2041</v>
      </c>
      <c r="Y621" t="s">
        <v>19</v>
      </c>
      <c r="Z621" t="str">
        <f t="shared" si="22"/>
        <v>Y</v>
      </c>
      <c r="AC621" t="s">
        <v>2341</v>
      </c>
    </row>
    <row r="622" spans="1:34">
      <c r="B622" t="s">
        <v>19</v>
      </c>
      <c r="C622" t="s">
        <v>2339</v>
      </c>
      <c r="E622">
        <v>2012</v>
      </c>
      <c r="F622" t="s">
        <v>1214</v>
      </c>
      <c r="G622" t="s">
        <v>2035</v>
      </c>
      <c r="H622" s="6">
        <v>56.5</v>
      </c>
      <c r="I622" s="6">
        <v>-1.5</v>
      </c>
      <c r="J622" s="6">
        <v>1983</v>
      </c>
      <c r="K622" s="6">
        <v>2006</v>
      </c>
      <c r="L622" s="6">
        <f t="shared" si="23"/>
        <v>24</v>
      </c>
      <c r="M622" t="s">
        <v>2036</v>
      </c>
      <c r="N622" t="s">
        <v>394</v>
      </c>
      <c r="O622" t="s">
        <v>394</v>
      </c>
      <c r="P622" t="s">
        <v>394</v>
      </c>
      <c r="Q622" t="s">
        <v>2953</v>
      </c>
      <c r="R622" t="s">
        <v>2952</v>
      </c>
      <c r="V622">
        <v>2.33278955954323</v>
      </c>
      <c r="W622" t="s">
        <v>2058</v>
      </c>
      <c r="X622" t="s">
        <v>2041</v>
      </c>
      <c r="Y622" t="s">
        <v>19</v>
      </c>
      <c r="Z622" t="str">
        <f t="shared" si="22"/>
        <v>Y</v>
      </c>
      <c r="AC622" t="s">
        <v>2341</v>
      </c>
    </row>
    <row r="623" spans="1:34" ht="15.5">
      <c r="A623">
        <v>139</v>
      </c>
      <c r="B623" t="s">
        <v>19</v>
      </c>
      <c r="C623" t="s">
        <v>2954</v>
      </c>
      <c r="E623">
        <v>2013</v>
      </c>
      <c r="F623" t="s">
        <v>2955</v>
      </c>
      <c r="G623" t="s">
        <v>2286</v>
      </c>
      <c r="H623" s="6">
        <v>-38.489899999999999</v>
      </c>
      <c r="I623" s="7">
        <v>145.2038</v>
      </c>
      <c r="J623" s="6">
        <v>1968</v>
      </c>
      <c r="K623" s="6">
        <v>2007</v>
      </c>
      <c r="L623" s="6">
        <f t="shared" si="23"/>
        <v>40</v>
      </c>
      <c r="N623" t="s">
        <v>394</v>
      </c>
      <c r="O623" t="s">
        <v>394</v>
      </c>
      <c r="P623" t="s">
        <v>2287</v>
      </c>
      <c r="Q623" t="s">
        <v>2956</v>
      </c>
      <c r="R623" t="s">
        <v>2065</v>
      </c>
      <c r="V623" t="s">
        <v>163</v>
      </c>
      <c r="W623" t="s">
        <v>2080</v>
      </c>
      <c r="X623" t="s">
        <v>2041</v>
      </c>
      <c r="Y623" t="s">
        <v>19</v>
      </c>
      <c r="Z623" t="str">
        <f t="shared" si="22"/>
        <v>Y</v>
      </c>
      <c r="AC623" t="s">
        <v>2957</v>
      </c>
      <c r="AH623">
        <v>1</v>
      </c>
    </row>
    <row r="624" spans="1:34" ht="15.5">
      <c r="A624">
        <v>140</v>
      </c>
      <c r="B624" t="s">
        <v>19</v>
      </c>
      <c r="C624" t="s">
        <v>2954</v>
      </c>
      <c r="E624">
        <v>2013</v>
      </c>
      <c r="F624" t="s">
        <v>2958</v>
      </c>
      <c r="G624" t="s">
        <v>2286</v>
      </c>
      <c r="H624" s="6">
        <v>-37.863999999999997</v>
      </c>
      <c r="I624" s="7">
        <v>144.982</v>
      </c>
      <c r="J624" s="6">
        <v>1986</v>
      </c>
      <c r="K624" s="6">
        <v>2011</v>
      </c>
      <c r="L624" s="6">
        <f t="shared" si="23"/>
        <v>26</v>
      </c>
      <c r="N624" t="s">
        <v>394</v>
      </c>
      <c r="O624" t="s">
        <v>394</v>
      </c>
      <c r="P624" t="s">
        <v>2287</v>
      </c>
      <c r="Q624" t="s">
        <v>2956</v>
      </c>
      <c r="R624" t="s">
        <v>2065</v>
      </c>
      <c r="V624" t="s">
        <v>163</v>
      </c>
      <c r="W624" t="s">
        <v>2080</v>
      </c>
      <c r="X624" t="s">
        <v>2041</v>
      </c>
      <c r="Y624" t="s">
        <v>19</v>
      </c>
      <c r="Z624" t="str">
        <f t="shared" si="22"/>
        <v>Y</v>
      </c>
      <c r="AC624" t="s">
        <v>2959</v>
      </c>
      <c r="AH624">
        <v>1</v>
      </c>
    </row>
    <row r="625" spans="1:26">
      <c r="A625">
        <v>339</v>
      </c>
      <c r="B625" t="s">
        <v>2074</v>
      </c>
      <c r="C625" t="s">
        <v>2896</v>
      </c>
      <c r="E625">
        <v>2004</v>
      </c>
      <c r="F625" t="s">
        <v>1214</v>
      </c>
      <c r="G625" t="s">
        <v>2035</v>
      </c>
      <c r="H625" s="6">
        <v>55</v>
      </c>
      <c r="I625" s="6">
        <v>5</v>
      </c>
      <c r="J625" s="6">
        <v>1958</v>
      </c>
      <c r="K625" s="6">
        <v>2002</v>
      </c>
      <c r="L625" s="6">
        <f t="shared" si="23"/>
        <v>45</v>
      </c>
      <c r="M625" t="s">
        <v>2036</v>
      </c>
      <c r="N625" t="s">
        <v>51</v>
      </c>
      <c r="O625" t="s">
        <v>2451</v>
      </c>
      <c r="P625" t="s">
        <v>163</v>
      </c>
      <c r="Q625" t="s">
        <v>2474</v>
      </c>
      <c r="V625">
        <v>-7.2030817220000003</v>
      </c>
      <c r="W625" t="s">
        <v>2041</v>
      </c>
      <c r="X625" t="s">
        <v>2041</v>
      </c>
      <c r="Y625" t="s">
        <v>2898</v>
      </c>
      <c r="Z625" t="str">
        <f t="shared" si="22"/>
        <v>Y</v>
      </c>
    </row>
    <row r="626" spans="1:26">
      <c r="A626">
        <v>370</v>
      </c>
      <c r="B626" t="s">
        <v>2074</v>
      </c>
      <c r="C626" t="s">
        <v>2896</v>
      </c>
      <c r="E626">
        <v>2004</v>
      </c>
      <c r="F626" t="s">
        <v>1214</v>
      </c>
      <c r="G626" t="s">
        <v>2035</v>
      </c>
      <c r="H626" s="6">
        <v>55</v>
      </c>
      <c r="I626" s="6">
        <v>5</v>
      </c>
      <c r="J626" s="6">
        <v>1958</v>
      </c>
      <c r="K626" s="6">
        <v>2002</v>
      </c>
      <c r="L626" s="6">
        <f t="shared" si="23"/>
        <v>45</v>
      </c>
      <c r="M626" t="s">
        <v>2036</v>
      </c>
      <c r="N626" t="s">
        <v>2132</v>
      </c>
      <c r="O626" t="s">
        <v>2133</v>
      </c>
      <c r="P626" t="s">
        <v>2133</v>
      </c>
      <c r="Q626" t="s">
        <v>2960</v>
      </c>
      <c r="V626">
        <v>-2.711951489</v>
      </c>
      <c r="W626" t="s">
        <v>2041</v>
      </c>
      <c r="X626" t="s">
        <v>2041</v>
      </c>
      <c r="Y626" t="s">
        <v>2898</v>
      </c>
      <c r="Z626" t="str">
        <f t="shared" si="22"/>
        <v>Y</v>
      </c>
    </row>
    <row r="627" spans="1:26">
      <c r="A627">
        <v>341</v>
      </c>
      <c r="B627" t="s">
        <v>2074</v>
      </c>
      <c r="C627" t="s">
        <v>2896</v>
      </c>
      <c r="E627">
        <v>2004</v>
      </c>
      <c r="F627" t="s">
        <v>1214</v>
      </c>
      <c r="G627" t="s">
        <v>2035</v>
      </c>
      <c r="H627" s="6">
        <v>55</v>
      </c>
      <c r="I627" s="6">
        <v>5</v>
      </c>
      <c r="J627" s="6">
        <v>1958</v>
      </c>
      <c r="K627" s="6">
        <v>2002</v>
      </c>
      <c r="L627" s="6">
        <f t="shared" si="23"/>
        <v>45</v>
      </c>
      <c r="M627" t="s">
        <v>2036</v>
      </c>
      <c r="N627" t="s">
        <v>51</v>
      </c>
      <c r="O627" t="s">
        <v>2518</v>
      </c>
      <c r="P627" t="s">
        <v>163</v>
      </c>
      <c r="Q627" t="s">
        <v>2449</v>
      </c>
      <c r="V627">
        <v>-6.1920967779999998</v>
      </c>
      <c r="W627" t="s">
        <v>2041</v>
      </c>
      <c r="X627" t="s">
        <v>2041</v>
      </c>
      <c r="Y627" t="s">
        <v>2898</v>
      </c>
      <c r="Z627" t="str">
        <f t="shared" si="22"/>
        <v>Y</v>
      </c>
    </row>
    <row r="628" spans="1:26">
      <c r="A628">
        <v>342</v>
      </c>
      <c r="B628" t="s">
        <v>2074</v>
      </c>
      <c r="C628" t="s">
        <v>2896</v>
      </c>
      <c r="E628">
        <v>2004</v>
      </c>
      <c r="F628" t="s">
        <v>1214</v>
      </c>
      <c r="G628" t="s">
        <v>2035</v>
      </c>
      <c r="H628" s="6">
        <v>55</v>
      </c>
      <c r="I628" s="6">
        <v>5</v>
      </c>
      <c r="J628" s="6">
        <v>1958</v>
      </c>
      <c r="K628" s="6">
        <v>2002</v>
      </c>
      <c r="L628" s="6">
        <f t="shared" si="23"/>
        <v>45</v>
      </c>
      <c r="M628" t="s">
        <v>2036</v>
      </c>
      <c r="N628" t="s">
        <v>51</v>
      </c>
      <c r="O628" t="s">
        <v>2518</v>
      </c>
      <c r="P628" t="s">
        <v>163</v>
      </c>
      <c r="Q628" t="s">
        <v>2447</v>
      </c>
      <c r="V628">
        <v>-6.1790018890000002</v>
      </c>
      <c r="W628" t="s">
        <v>2041</v>
      </c>
      <c r="X628" t="s">
        <v>2041</v>
      </c>
      <c r="Y628" t="s">
        <v>2898</v>
      </c>
      <c r="Z628" t="str">
        <f t="shared" si="22"/>
        <v>Y</v>
      </c>
    </row>
    <row r="629" spans="1:26">
      <c r="A629">
        <v>343</v>
      </c>
      <c r="B629" t="s">
        <v>2074</v>
      </c>
      <c r="C629" t="s">
        <v>2896</v>
      </c>
      <c r="E629">
        <v>2004</v>
      </c>
      <c r="F629" t="s">
        <v>1214</v>
      </c>
      <c r="G629" t="s">
        <v>2035</v>
      </c>
      <c r="H629" s="6">
        <v>55</v>
      </c>
      <c r="I629" s="6">
        <v>5</v>
      </c>
      <c r="J629" s="6">
        <v>1958</v>
      </c>
      <c r="K629" s="6">
        <v>2002</v>
      </c>
      <c r="L629" s="6">
        <f t="shared" si="23"/>
        <v>45</v>
      </c>
      <c r="M629" t="s">
        <v>2036</v>
      </c>
      <c r="N629" t="s">
        <v>51</v>
      </c>
      <c r="O629" t="s">
        <v>2518</v>
      </c>
      <c r="P629" t="s">
        <v>163</v>
      </c>
      <c r="Q629" t="s">
        <v>2438</v>
      </c>
      <c r="V629">
        <v>-6.0888257220000002</v>
      </c>
      <c r="W629" t="s">
        <v>2041</v>
      </c>
      <c r="X629" t="s">
        <v>2041</v>
      </c>
      <c r="Y629" t="s">
        <v>2898</v>
      </c>
      <c r="Z629" t="str">
        <f t="shared" si="22"/>
        <v>Y</v>
      </c>
    </row>
    <row r="630" spans="1:26">
      <c r="A630">
        <v>344</v>
      </c>
      <c r="B630" t="s">
        <v>2074</v>
      </c>
      <c r="C630" t="s">
        <v>2896</v>
      </c>
      <c r="E630">
        <v>2004</v>
      </c>
      <c r="F630" t="s">
        <v>1214</v>
      </c>
      <c r="G630" t="s">
        <v>2035</v>
      </c>
      <c r="H630" s="6">
        <v>55</v>
      </c>
      <c r="I630" s="6">
        <v>5</v>
      </c>
      <c r="J630" s="6">
        <v>1958</v>
      </c>
      <c r="K630" s="6">
        <v>2002</v>
      </c>
      <c r="L630" s="6">
        <f t="shared" si="23"/>
        <v>45</v>
      </c>
      <c r="M630" t="s">
        <v>2036</v>
      </c>
      <c r="N630" t="s">
        <v>51</v>
      </c>
      <c r="O630" t="s">
        <v>2518</v>
      </c>
      <c r="P630" t="s">
        <v>163</v>
      </c>
      <c r="Q630" t="s">
        <v>2450</v>
      </c>
      <c r="V630">
        <v>-5.8929976110000002</v>
      </c>
      <c r="W630" t="s">
        <v>2041</v>
      </c>
      <c r="X630" t="s">
        <v>2041</v>
      </c>
      <c r="Y630" t="s">
        <v>2898</v>
      </c>
      <c r="Z630" t="str">
        <f t="shared" si="22"/>
        <v>Y</v>
      </c>
    </row>
    <row r="631" spans="1:26">
      <c r="A631">
        <v>345</v>
      </c>
      <c r="B631" t="s">
        <v>2074</v>
      </c>
      <c r="C631" t="s">
        <v>2896</v>
      </c>
      <c r="E631">
        <v>2004</v>
      </c>
      <c r="F631" t="s">
        <v>1214</v>
      </c>
      <c r="G631" t="s">
        <v>2035</v>
      </c>
      <c r="H631" s="6">
        <v>55</v>
      </c>
      <c r="I631" s="6">
        <v>5</v>
      </c>
      <c r="J631" s="6">
        <v>1958</v>
      </c>
      <c r="K631" s="6">
        <v>2002</v>
      </c>
      <c r="L631" s="6">
        <f t="shared" si="23"/>
        <v>45</v>
      </c>
      <c r="M631" t="s">
        <v>2036</v>
      </c>
      <c r="N631" t="s">
        <v>51</v>
      </c>
      <c r="O631" t="s">
        <v>2451</v>
      </c>
      <c r="P631" t="s">
        <v>163</v>
      </c>
      <c r="Q631" t="s">
        <v>2461</v>
      </c>
      <c r="V631">
        <v>-5.8852597219999998</v>
      </c>
      <c r="W631" t="s">
        <v>2041</v>
      </c>
      <c r="X631" t="s">
        <v>2041</v>
      </c>
      <c r="Y631" t="s">
        <v>2898</v>
      </c>
      <c r="Z631" t="str">
        <f t="shared" si="22"/>
        <v>Y</v>
      </c>
    </row>
    <row r="632" spans="1:26">
      <c r="A632">
        <v>371</v>
      </c>
      <c r="B632" t="s">
        <v>2074</v>
      </c>
      <c r="C632" t="s">
        <v>2896</v>
      </c>
      <c r="E632">
        <v>2004</v>
      </c>
      <c r="F632" t="s">
        <v>1214</v>
      </c>
      <c r="G632" t="s">
        <v>2035</v>
      </c>
      <c r="H632" s="6">
        <v>55</v>
      </c>
      <c r="I632" s="6">
        <v>5</v>
      </c>
      <c r="J632" s="6">
        <v>1958</v>
      </c>
      <c r="K632" s="6">
        <v>2002</v>
      </c>
      <c r="L632" s="6">
        <f t="shared" si="23"/>
        <v>45</v>
      </c>
      <c r="M632" t="s">
        <v>2036</v>
      </c>
      <c r="N632" t="s">
        <v>2132</v>
      </c>
      <c r="O632" t="s">
        <v>2133</v>
      </c>
      <c r="P632" t="s">
        <v>2133</v>
      </c>
      <c r="Q632" t="s">
        <v>2961</v>
      </c>
      <c r="V632">
        <v>-2.5749908559999999</v>
      </c>
      <c r="W632" t="s">
        <v>2041</v>
      </c>
      <c r="X632" t="s">
        <v>2041</v>
      </c>
      <c r="Y632" t="s">
        <v>2898</v>
      </c>
      <c r="Z632" t="str">
        <f t="shared" si="22"/>
        <v>Y</v>
      </c>
    </row>
    <row r="633" spans="1:26">
      <c r="A633">
        <v>347</v>
      </c>
      <c r="B633" t="s">
        <v>2074</v>
      </c>
      <c r="C633" t="s">
        <v>2896</v>
      </c>
      <c r="E633">
        <v>2004</v>
      </c>
      <c r="F633" t="s">
        <v>1214</v>
      </c>
      <c r="G633" t="s">
        <v>2035</v>
      </c>
      <c r="H633" s="6">
        <v>55</v>
      </c>
      <c r="I633" s="6">
        <v>5</v>
      </c>
      <c r="J633" s="6">
        <v>1958</v>
      </c>
      <c r="K633" s="6">
        <v>2002</v>
      </c>
      <c r="L633" s="6">
        <f t="shared" si="23"/>
        <v>45</v>
      </c>
      <c r="M633" t="s">
        <v>2036</v>
      </c>
      <c r="N633" t="s">
        <v>51</v>
      </c>
      <c r="O633" t="s">
        <v>2518</v>
      </c>
      <c r="P633" t="s">
        <v>163</v>
      </c>
      <c r="Q633" t="s">
        <v>2448</v>
      </c>
      <c r="V633">
        <v>-5.3760471110000001</v>
      </c>
      <c r="W633" t="s">
        <v>2041</v>
      </c>
      <c r="X633" t="s">
        <v>2041</v>
      </c>
      <c r="Y633" t="s">
        <v>2898</v>
      </c>
      <c r="Z633" t="str">
        <f t="shared" si="22"/>
        <v>Y</v>
      </c>
    </row>
    <row r="634" spans="1:26">
      <c r="A634">
        <v>372</v>
      </c>
      <c r="B634" t="s">
        <v>2074</v>
      </c>
      <c r="C634" t="s">
        <v>2896</v>
      </c>
      <c r="E634">
        <v>2004</v>
      </c>
      <c r="F634" t="s">
        <v>1214</v>
      </c>
      <c r="G634" t="s">
        <v>2035</v>
      </c>
      <c r="H634" s="6">
        <v>55</v>
      </c>
      <c r="I634" s="6">
        <v>5</v>
      </c>
      <c r="J634" s="6">
        <v>1958</v>
      </c>
      <c r="K634" s="6">
        <v>2002</v>
      </c>
      <c r="L634" s="6">
        <f t="shared" si="23"/>
        <v>45</v>
      </c>
      <c r="M634" t="s">
        <v>2036</v>
      </c>
      <c r="N634" t="s">
        <v>2132</v>
      </c>
      <c r="O634" t="s">
        <v>2133</v>
      </c>
      <c r="P634" t="s">
        <v>2133</v>
      </c>
      <c r="Q634" t="s">
        <v>2962</v>
      </c>
      <c r="V634">
        <v>-2.5209744390000002</v>
      </c>
      <c r="W634" t="s">
        <v>2041</v>
      </c>
      <c r="X634" t="s">
        <v>2041</v>
      </c>
      <c r="Y634" t="s">
        <v>2898</v>
      </c>
      <c r="Z634" t="str">
        <f t="shared" si="22"/>
        <v>Y</v>
      </c>
    </row>
    <row r="635" spans="1:26">
      <c r="A635">
        <v>349</v>
      </c>
      <c r="B635" t="s">
        <v>2074</v>
      </c>
      <c r="C635" t="s">
        <v>2896</v>
      </c>
      <c r="E635">
        <v>2004</v>
      </c>
      <c r="F635" t="s">
        <v>1214</v>
      </c>
      <c r="G635" t="s">
        <v>2035</v>
      </c>
      <c r="H635" s="6">
        <v>55</v>
      </c>
      <c r="I635" s="6">
        <v>5</v>
      </c>
      <c r="J635" s="6">
        <v>1958</v>
      </c>
      <c r="K635" s="6">
        <v>2002</v>
      </c>
      <c r="L635" s="6">
        <f t="shared" si="23"/>
        <v>45</v>
      </c>
      <c r="M635" t="s">
        <v>2036</v>
      </c>
      <c r="N635" t="s">
        <v>51</v>
      </c>
      <c r="O635" t="s">
        <v>2451</v>
      </c>
      <c r="P635" t="s">
        <v>163</v>
      </c>
      <c r="Q635" t="s">
        <v>2458</v>
      </c>
      <c r="V635">
        <v>-4.908797667</v>
      </c>
      <c r="W635" t="s">
        <v>2041</v>
      </c>
      <c r="X635" t="s">
        <v>2041</v>
      </c>
      <c r="Y635" t="s">
        <v>2898</v>
      </c>
      <c r="Z635" t="str">
        <f t="shared" si="22"/>
        <v>Y</v>
      </c>
    </row>
    <row r="636" spans="1:26">
      <c r="A636">
        <v>350</v>
      </c>
      <c r="B636" t="s">
        <v>2074</v>
      </c>
      <c r="C636" t="s">
        <v>2896</v>
      </c>
      <c r="E636">
        <v>2004</v>
      </c>
      <c r="F636" t="s">
        <v>1214</v>
      </c>
      <c r="G636" t="s">
        <v>2035</v>
      </c>
      <c r="H636" s="6">
        <v>55</v>
      </c>
      <c r="I636" s="6">
        <v>5</v>
      </c>
      <c r="J636" s="6">
        <v>1958</v>
      </c>
      <c r="K636" s="6">
        <v>2002</v>
      </c>
      <c r="L636" s="6">
        <f t="shared" si="23"/>
        <v>45</v>
      </c>
      <c r="M636" t="s">
        <v>2036</v>
      </c>
      <c r="N636" t="s">
        <v>51</v>
      </c>
      <c r="O636" t="s">
        <v>2451</v>
      </c>
      <c r="P636" t="s">
        <v>163</v>
      </c>
      <c r="Q636" t="s">
        <v>2963</v>
      </c>
      <c r="V636">
        <v>-3.9963220000000002</v>
      </c>
      <c r="W636" t="s">
        <v>2041</v>
      </c>
      <c r="X636" t="s">
        <v>2041</v>
      </c>
      <c r="Y636" t="s">
        <v>2898</v>
      </c>
      <c r="Z636" t="str">
        <f t="shared" si="22"/>
        <v>Y</v>
      </c>
    </row>
    <row r="637" spans="1:26">
      <c r="A637">
        <v>351</v>
      </c>
      <c r="B637" t="s">
        <v>2074</v>
      </c>
      <c r="C637" t="s">
        <v>2896</v>
      </c>
      <c r="E637">
        <v>2004</v>
      </c>
      <c r="F637" t="s">
        <v>1214</v>
      </c>
      <c r="G637" t="s">
        <v>2035</v>
      </c>
      <c r="H637" s="6">
        <v>55</v>
      </c>
      <c r="I637" s="6">
        <v>5</v>
      </c>
      <c r="J637" s="6">
        <v>1958</v>
      </c>
      <c r="K637" s="6">
        <v>2002</v>
      </c>
      <c r="L637" s="6">
        <f t="shared" si="23"/>
        <v>45</v>
      </c>
      <c r="M637" t="s">
        <v>2036</v>
      </c>
      <c r="N637" t="s">
        <v>51</v>
      </c>
      <c r="O637" t="s">
        <v>2518</v>
      </c>
      <c r="P637" t="s">
        <v>163</v>
      </c>
      <c r="Q637" t="s">
        <v>2443</v>
      </c>
      <c r="V637">
        <v>-3.6829375</v>
      </c>
      <c r="W637" t="s">
        <v>2041</v>
      </c>
      <c r="X637" t="s">
        <v>2041</v>
      </c>
      <c r="Y637" t="s">
        <v>2898</v>
      </c>
      <c r="Z637" t="str">
        <f t="shared" si="22"/>
        <v>Y</v>
      </c>
    </row>
    <row r="638" spans="1:26">
      <c r="A638">
        <v>352</v>
      </c>
      <c r="B638" t="s">
        <v>2074</v>
      </c>
      <c r="C638" t="s">
        <v>2896</v>
      </c>
      <c r="E638">
        <v>2004</v>
      </c>
      <c r="F638" t="s">
        <v>1214</v>
      </c>
      <c r="G638" t="s">
        <v>2035</v>
      </c>
      <c r="H638" s="6">
        <v>55</v>
      </c>
      <c r="I638" s="6">
        <v>5</v>
      </c>
      <c r="J638" s="6">
        <v>1958</v>
      </c>
      <c r="K638" s="6">
        <v>2002</v>
      </c>
      <c r="L638" s="6">
        <f t="shared" si="23"/>
        <v>45</v>
      </c>
      <c r="M638" t="s">
        <v>2036</v>
      </c>
      <c r="N638" t="s">
        <v>51</v>
      </c>
      <c r="O638" t="s">
        <v>2451</v>
      </c>
      <c r="P638" t="s">
        <v>163</v>
      </c>
      <c r="Q638" t="s">
        <v>2964</v>
      </c>
      <c r="V638">
        <v>-3.5668691670000001</v>
      </c>
      <c r="W638" t="s">
        <v>2041</v>
      </c>
      <c r="X638" t="s">
        <v>2041</v>
      </c>
      <c r="Y638" t="s">
        <v>2898</v>
      </c>
      <c r="Z638" t="str">
        <f t="shared" si="22"/>
        <v>Y</v>
      </c>
    </row>
    <row r="639" spans="1:26">
      <c r="A639">
        <v>374</v>
      </c>
      <c r="B639" t="s">
        <v>2074</v>
      </c>
      <c r="C639" t="s">
        <v>2896</v>
      </c>
      <c r="E639">
        <v>2004</v>
      </c>
      <c r="F639" t="s">
        <v>1214</v>
      </c>
      <c r="G639" t="s">
        <v>2035</v>
      </c>
      <c r="H639" s="6">
        <v>55</v>
      </c>
      <c r="I639" s="6">
        <v>5</v>
      </c>
      <c r="J639" s="6">
        <v>1958</v>
      </c>
      <c r="K639" s="6">
        <v>2002</v>
      </c>
      <c r="L639" s="6">
        <f t="shared" si="23"/>
        <v>45</v>
      </c>
      <c r="M639" t="s">
        <v>2036</v>
      </c>
      <c r="N639" t="s">
        <v>2132</v>
      </c>
      <c r="O639" t="s">
        <v>2142</v>
      </c>
      <c r="P639" t="s">
        <v>2965</v>
      </c>
      <c r="Q639" t="s">
        <v>2404</v>
      </c>
      <c r="V639">
        <v>-6.5280997220000003</v>
      </c>
      <c r="W639" t="s">
        <v>2041</v>
      </c>
      <c r="X639" t="s">
        <v>2041</v>
      </c>
      <c r="Y639" t="s">
        <v>2898</v>
      </c>
      <c r="Z639" t="str">
        <f t="shared" si="22"/>
        <v>Y</v>
      </c>
    </row>
    <row r="640" spans="1:26">
      <c r="A640">
        <v>354</v>
      </c>
      <c r="B640" t="s">
        <v>2074</v>
      </c>
      <c r="C640" t="s">
        <v>2896</v>
      </c>
      <c r="E640">
        <v>2004</v>
      </c>
      <c r="F640" t="s">
        <v>1214</v>
      </c>
      <c r="G640" t="s">
        <v>2035</v>
      </c>
      <c r="H640" s="6">
        <v>55</v>
      </c>
      <c r="I640" s="6">
        <v>5</v>
      </c>
      <c r="J640" s="6">
        <v>1958</v>
      </c>
      <c r="K640" s="6">
        <v>2002</v>
      </c>
      <c r="L640" s="6">
        <f t="shared" si="23"/>
        <v>45</v>
      </c>
      <c r="M640" t="s">
        <v>2036</v>
      </c>
      <c r="N640" t="s">
        <v>51</v>
      </c>
      <c r="O640" t="s">
        <v>2518</v>
      </c>
      <c r="P640" t="s">
        <v>163</v>
      </c>
      <c r="Q640" t="s">
        <v>2444</v>
      </c>
      <c r="V640">
        <v>-3.1990218330000002</v>
      </c>
      <c r="W640" t="s">
        <v>2041</v>
      </c>
      <c r="X640" t="s">
        <v>2041</v>
      </c>
      <c r="Y640" t="s">
        <v>2898</v>
      </c>
      <c r="Z640" t="str">
        <f t="shared" si="22"/>
        <v>Y</v>
      </c>
    </row>
    <row r="641" spans="1:82" ht="15.5">
      <c r="A641">
        <v>141</v>
      </c>
      <c r="B641" t="s">
        <v>19</v>
      </c>
      <c r="C641" t="s">
        <v>2954</v>
      </c>
      <c r="E641">
        <v>2013</v>
      </c>
      <c r="F641" t="s">
        <v>2966</v>
      </c>
      <c r="G641" t="s">
        <v>2286</v>
      </c>
      <c r="H641" s="6">
        <v>-32.305700000000002</v>
      </c>
      <c r="I641" s="7">
        <v>115.6906</v>
      </c>
      <c r="J641" s="6">
        <v>1986</v>
      </c>
      <c r="K641" s="6">
        <v>2011</v>
      </c>
      <c r="L641" s="6">
        <f t="shared" si="23"/>
        <v>26</v>
      </c>
      <c r="N641" t="s">
        <v>394</v>
      </c>
      <c r="O641" t="s">
        <v>394</v>
      </c>
      <c r="P641" t="s">
        <v>2287</v>
      </c>
      <c r="Q641" t="s">
        <v>2956</v>
      </c>
      <c r="R641" t="s">
        <v>2065</v>
      </c>
      <c r="V641" t="s">
        <v>163</v>
      </c>
      <c r="W641" t="s">
        <v>2080</v>
      </c>
      <c r="X641" t="s">
        <v>2041</v>
      </c>
      <c r="Y641" t="s">
        <v>19</v>
      </c>
      <c r="Z641" t="str">
        <f t="shared" si="22"/>
        <v>Y</v>
      </c>
      <c r="AC641" t="s">
        <v>2967</v>
      </c>
      <c r="AH641">
        <v>1</v>
      </c>
    </row>
    <row r="642" spans="1:82">
      <c r="A642">
        <v>142</v>
      </c>
      <c r="B642" t="s">
        <v>19</v>
      </c>
      <c r="C642" t="s">
        <v>2954</v>
      </c>
      <c r="E642">
        <v>2013</v>
      </c>
      <c r="F642" t="s">
        <v>2968</v>
      </c>
      <c r="G642" t="s">
        <v>2286</v>
      </c>
      <c r="H642" s="6">
        <v>-28.777699999999999</v>
      </c>
      <c r="I642" s="6">
        <v>113.85850000000001</v>
      </c>
      <c r="J642" s="6">
        <v>1991</v>
      </c>
      <c r="K642" s="6">
        <v>2010</v>
      </c>
      <c r="L642" s="6">
        <f t="shared" si="23"/>
        <v>20</v>
      </c>
      <c r="N642" t="s">
        <v>394</v>
      </c>
      <c r="O642" t="s">
        <v>394</v>
      </c>
      <c r="P642" t="s">
        <v>2969</v>
      </c>
      <c r="Q642" t="s">
        <v>2970</v>
      </c>
      <c r="R642" t="s">
        <v>2065</v>
      </c>
      <c r="V642" s="16" t="s">
        <v>163</v>
      </c>
      <c r="W642" t="s">
        <v>2058</v>
      </c>
      <c r="X642" t="s">
        <v>2041</v>
      </c>
      <c r="Y642" t="s">
        <v>19</v>
      </c>
      <c r="Z642" t="str">
        <f t="shared" ref="Z642:Z705" si="24">IF(L642&gt;=19,"Y","N")</f>
        <v>Y</v>
      </c>
      <c r="AC642" t="s">
        <v>2971</v>
      </c>
      <c r="AH642">
        <v>1</v>
      </c>
    </row>
    <row r="643" spans="1:82" ht="15.5">
      <c r="A643">
        <v>143</v>
      </c>
      <c r="B643" t="s">
        <v>19</v>
      </c>
      <c r="C643" t="s">
        <v>2954</v>
      </c>
      <c r="E643">
        <v>2013</v>
      </c>
      <c r="F643" t="s">
        <v>2966</v>
      </c>
      <c r="G643" t="s">
        <v>2286</v>
      </c>
      <c r="H643" s="6">
        <v>-32.305700000000002</v>
      </c>
      <c r="I643" s="7">
        <v>115.6906</v>
      </c>
      <c r="J643" s="6">
        <v>1986</v>
      </c>
      <c r="K643" s="6">
        <v>2011</v>
      </c>
      <c r="L643" s="6">
        <f t="shared" si="23"/>
        <v>26</v>
      </c>
      <c r="N643" t="s">
        <v>394</v>
      </c>
      <c r="O643" t="s">
        <v>394</v>
      </c>
      <c r="P643" t="s">
        <v>2972</v>
      </c>
      <c r="Q643" t="s">
        <v>2973</v>
      </c>
      <c r="R643" t="s">
        <v>2065</v>
      </c>
      <c r="V643" s="16" t="s">
        <v>163</v>
      </c>
      <c r="W643" t="s">
        <v>2058</v>
      </c>
      <c r="X643" t="s">
        <v>2041</v>
      </c>
      <c r="Y643" t="s">
        <v>19</v>
      </c>
      <c r="Z643" t="str">
        <f t="shared" si="24"/>
        <v>Y</v>
      </c>
      <c r="AC643" t="s">
        <v>2974</v>
      </c>
      <c r="AH643">
        <v>1</v>
      </c>
    </row>
    <row r="644" spans="1:82">
      <c r="A644">
        <v>144</v>
      </c>
      <c r="B644" t="s">
        <v>19</v>
      </c>
      <c r="C644" t="s">
        <v>2954</v>
      </c>
      <c r="E644">
        <v>2013</v>
      </c>
      <c r="F644" t="s">
        <v>2968</v>
      </c>
      <c r="G644" t="s">
        <v>2286</v>
      </c>
      <c r="H644" s="6">
        <v>-28.777699999999999</v>
      </c>
      <c r="I644" s="6">
        <v>113.85850000000001</v>
      </c>
      <c r="J644" s="6">
        <v>1991</v>
      </c>
      <c r="K644" s="6">
        <v>2010</v>
      </c>
      <c r="L644" s="6">
        <f t="shared" si="23"/>
        <v>20</v>
      </c>
      <c r="N644" t="s">
        <v>394</v>
      </c>
      <c r="O644" t="s">
        <v>394</v>
      </c>
      <c r="P644" t="s">
        <v>2975</v>
      </c>
      <c r="Q644" t="s">
        <v>2976</v>
      </c>
      <c r="R644" t="s">
        <v>2065</v>
      </c>
      <c r="V644" s="16" t="s">
        <v>163</v>
      </c>
      <c r="W644" t="s">
        <v>2058</v>
      </c>
      <c r="X644" t="s">
        <v>2041</v>
      </c>
      <c r="Y644" t="s">
        <v>19</v>
      </c>
      <c r="Z644" t="str">
        <f t="shared" si="24"/>
        <v>Y</v>
      </c>
      <c r="AC644" t="s">
        <v>2977</v>
      </c>
      <c r="AH644">
        <v>1</v>
      </c>
    </row>
    <row r="645" spans="1:82">
      <c r="A645">
        <v>145</v>
      </c>
      <c r="B645" t="s">
        <v>19</v>
      </c>
      <c r="C645" t="s">
        <v>2954</v>
      </c>
      <c r="E645">
        <v>2013</v>
      </c>
      <c r="F645" t="s">
        <v>2968</v>
      </c>
      <c r="G645" t="s">
        <v>2286</v>
      </c>
      <c r="H645" s="6">
        <v>-28.777699999999999</v>
      </c>
      <c r="I645" s="6">
        <v>113.85850000000001</v>
      </c>
      <c r="J645" s="6">
        <v>1991</v>
      </c>
      <c r="K645" s="6">
        <v>2010</v>
      </c>
      <c r="L645" s="6">
        <f t="shared" si="23"/>
        <v>20</v>
      </c>
      <c r="N645" t="s">
        <v>394</v>
      </c>
      <c r="O645" t="s">
        <v>394</v>
      </c>
      <c r="P645" t="s">
        <v>2978</v>
      </c>
      <c r="Q645" t="s">
        <v>2979</v>
      </c>
      <c r="R645" t="s">
        <v>2065</v>
      </c>
      <c r="V645" t="s">
        <v>163</v>
      </c>
      <c r="W645" t="s">
        <v>2080</v>
      </c>
      <c r="X645" t="s">
        <v>2041</v>
      </c>
      <c r="Y645" t="s">
        <v>19</v>
      </c>
      <c r="Z645" t="str">
        <f t="shared" si="24"/>
        <v>Y</v>
      </c>
      <c r="AC645" t="s">
        <v>2980</v>
      </c>
      <c r="AH645">
        <v>1</v>
      </c>
    </row>
    <row r="646" spans="1:82">
      <c r="A646">
        <v>146</v>
      </c>
      <c r="B646" t="s">
        <v>19</v>
      </c>
      <c r="C646" t="s">
        <v>2954</v>
      </c>
      <c r="E646">
        <v>2013</v>
      </c>
      <c r="F646" t="s">
        <v>2968</v>
      </c>
      <c r="G646" t="s">
        <v>2286</v>
      </c>
      <c r="H646" s="6">
        <v>-28.777699999999999</v>
      </c>
      <c r="I646" s="6">
        <v>113.85850000000001</v>
      </c>
      <c r="J646" s="6">
        <v>1991</v>
      </c>
      <c r="K646" s="6">
        <v>2010</v>
      </c>
      <c r="L646" s="6">
        <f t="shared" si="23"/>
        <v>20</v>
      </c>
      <c r="N646" t="s">
        <v>394</v>
      </c>
      <c r="O646" t="s">
        <v>394</v>
      </c>
      <c r="P646" t="s">
        <v>2981</v>
      </c>
      <c r="Q646" t="s">
        <v>2982</v>
      </c>
      <c r="R646" t="s">
        <v>2065</v>
      </c>
      <c r="V646" t="s">
        <v>163</v>
      </c>
      <c r="W646" t="s">
        <v>2080</v>
      </c>
      <c r="X646" t="s">
        <v>2041</v>
      </c>
      <c r="Y646" t="s">
        <v>19</v>
      </c>
      <c r="Z646" t="str">
        <f t="shared" si="24"/>
        <v>Y</v>
      </c>
      <c r="AC646" t="s">
        <v>2980</v>
      </c>
      <c r="AH646">
        <v>1</v>
      </c>
    </row>
    <row r="647" spans="1:82">
      <c r="A647">
        <v>147</v>
      </c>
      <c r="B647" t="s">
        <v>19</v>
      </c>
      <c r="C647" t="s">
        <v>2954</v>
      </c>
      <c r="E647">
        <v>2013</v>
      </c>
      <c r="F647" t="s">
        <v>2983</v>
      </c>
      <c r="G647" t="s">
        <v>2286</v>
      </c>
      <c r="H647" s="6">
        <v>-44.045400000000001</v>
      </c>
      <c r="I647" s="6">
        <v>65.223500000000001</v>
      </c>
      <c r="J647" s="6">
        <v>1983</v>
      </c>
      <c r="K647" s="6">
        <v>2006</v>
      </c>
      <c r="L647" s="6">
        <f t="shared" si="23"/>
        <v>24</v>
      </c>
      <c r="N647" t="s">
        <v>394</v>
      </c>
      <c r="O647" t="s">
        <v>394</v>
      </c>
      <c r="P647" t="s">
        <v>2984</v>
      </c>
      <c r="Q647" t="s">
        <v>2985</v>
      </c>
      <c r="R647" t="s">
        <v>2065</v>
      </c>
      <c r="V647" s="16" t="s">
        <v>163</v>
      </c>
      <c r="W647" t="s">
        <v>2058</v>
      </c>
      <c r="X647" t="s">
        <v>2041</v>
      </c>
      <c r="Y647" t="s">
        <v>19</v>
      </c>
      <c r="Z647" t="str">
        <f t="shared" si="24"/>
        <v>Y</v>
      </c>
      <c r="AC647" t="s">
        <v>2986</v>
      </c>
      <c r="AH647">
        <v>1</v>
      </c>
    </row>
    <row r="648" spans="1:82">
      <c r="B648" t="s">
        <v>19</v>
      </c>
      <c r="C648" t="s">
        <v>2987</v>
      </c>
      <c r="E648">
        <v>2019</v>
      </c>
      <c r="F648" t="s">
        <v>1030</v>
      </c>
      <c r="G648" t="s">
        <v>2035</v>
      </c>
      <c r="H648" s="22">
        <v>52.35</v>
      </c>
      <c r="I648" s="22">
        <v>-176.93</v>
      </c>
      <c r="J648" s="9">
        <v>1988</v>
      </c>
      <c r="K648" s="9">
        <v>2015</v>
      </c>
      <c r="L648" s="9">
        <v>28</v>
      </c>
      <c r="M648" t="s">
        <v>2036</v>
      </c>
      <c r="N648" t="s">
        <v>394</v>
      </c>
      <c r="O648" t="s">
        <v>394</v>
      </c>
      <c r="P648" s="9" t="s">
        <v>2988</v>
      </c>
      <c r="Q648" s="9" t="s">
        <v>2989</v>
      </c>
      <c r="R648" t="s">
        <v>2423</v>
      </c>
      <c r="S648" t="s">
        <v>2039</v>
      </c>
      <c r="T648" s="9">
        <v>180.34229999999999</v>
      </c>
      <c r="U648" s="9" t="s">
        <v>2101</v>
      </c>
      <c r="V648" s="9">
        <v>2.5073460000000001E-3</v>
      </c>
      <c r="W648" t="s">
        <v>2058</v>
      </c>
      <c r="X648" t="s">
        <v>2041</v>
      </c>
      <c r="Y648" t="s">
        <v>19</v>
      </c>
      <c r="Z648" t="str">
        <f t="shared" si="24"/>
        <v>Y</v>
      </c>
      <c r="AA648" t="s">
        <v>2054</v>
      </c>
      <c r="AB648" t="s">
        <v>2990</v>
      </c>
      <c r="AC648" s="9" t="s">
        <v>2991</v>
      </c>
      <c r="AD648" s="9" t="s">
        <v>595</v>
      </c>
      <c r="AE648" s="9" t="s">
        <v>2992</v>
      </c>
      <c r="AF648" s="9" t="s">
        <v>2041</v>
      </c>
      <c r="AG648" t="s">
        <v>595</v>
      </c>
      <c r="AI648" s="9"/>
      <c r="AJ648" s="9"/>
      <c r="AK648" s="9"/>
      <c r="AL648" s="9"/>
      <c r="AM648" s="9"/>
      <c r="AN648" s="9"/>
      <c r="CD648">
        <v>207.19101123595499</v>
      </c>
    </row>
    <row r="649" spans="1:82">
      <c r="B649" t="s">
        <v>19</v>
      </c>
      <c r="C649" t="s">
        <v>2987</v>
      </c>
      <c r="E649">
        <v>2019</v>
      </c>
      <c r="F649" t="s">
        <v>1030</v>
      </c>
      <c r="G649" t="s">
        <v>2035</v>
      </c>
      <c r="H649" s="22">
        <v>52.35</v>
      </c>
      <c r="I649" s="22">
        <v>-176.93</v>
      </c>
      <c r="J649" s="9">
        <v>1991</v>
      </c>
      <c r="K649" s="9">
        <v>2015</v>
      </c>
      <c r="L649" s="9">
        <v>25</v>
      </c>
      <c r="M649" t="s">
        <v>2036</v>
      </c>
      <c r="N649" t="s">
        <v>394</v>
      </c>
      <c r="O649" t="s">
        <v>394</v>
      </c>
      <c r="P649" s="9" t="s">
        <v>2993</v>
      </c>
      <c r="Q649" s="9" t="s">
        <v>2994</v>
      </c>
      <c r="R649" t="s">
        <v>2423</v>
      </c>
      <c r="S649" t="s">
        <v>2039</v>
      </c>
      <c r="T649" s="9">
        <v>186.5367</v>
      </c>
      <c r="U649" s="9" t="s">
        <v>2101</v>
      </c>
      <c r="V649" s="9">
        <v>-7.7341068999999998E-2</v>
      </c>
      <c r="W649" t="s">
        <v>2041</v>
      </c>
      <c r="X649" t="s">
        <v>2041</v>
      </c>
      <c r="Y649" t="s">
        <v>19</v>
      </c>
      <c r="Z649" t="str">
        <f t="shared" si="24"/>
        <v>Y</v>
      </c>
      <c r="AA649" t="s">
        <v>2054</v>
      </c>
      <c r="AB649" t="s">
        <v>2990</v>
      </c>
      <c r="AC649" s="9" t="s">
        <v>2991</v>
      </c>
      <c r="AD649" s="9" t="s">
        <v>595</v>
      </c>
      <c r="AE649" s="9" t="s">
        <v>2992</v>
      </c>
      <c r="AF649" s="9" t="s">
        <v>2041</v>
      </c>
      <c r="AG649" t="s">
        <v>595</v>
      </c>
      <c r="AI649" s="9"/>
      <c r="AJ649" s="9"/>
      <c r="AK649" s="9"/>
      <c r="AL649" s="9"/>
      <c r="AM649" s="9"/>
      <c r="AN649" s="9"/>
      <c r="CD649">
        <v>233.93258426966199</v>
      </c>
    </row>
    <row r="650" spans="1:82">
      <c r="B650" t="s">
        <v>19</v>
      </c>
      <c r="C650" t="s">
        <v>2987</v>
      </c>
      <c r="E650">
        <v>2019</v>
      </c>
      <c r="F650" t="s">
        <v>1030</v>
      </c>
      <c r="G650" t="s">
        <v>2035</v>
      </c>
      <c r="H650" s="22">
        <v>52.35</v>
      </c>
      <c r="I650" s="22">
        <v>-176.93</v>
      </c>
      <c r="J650" s="9">
        <v>1982</v>
      </c>
      <c r="K650" s="9">
        <v>2015</v>
      </c>
      <c r="L650" s="9">
        <v>34</v>
      </c>
      <c r="M650" t="s">
        <v>2036</v>
      </c>
      <c r="N650" t="s">
        <v>394</v>
      </c>
      <c r="O650" t="s">
        <v>394</v>
      </c>
      <c r="P650" s="9" t="s">
        <v>2995</v>
      </c>
      <c r="Q650" s="9" t="s">
        <v>2996</v>
      </c>
      <c r="R650" t="s">
        <v>2423</v>
      </c>
      <c r="S650" t="s">
        <v>2039</v>
      </c>
      <c r="T650" s="9">
        <v>180.4571</v>
      </c>
      <c r="U650" s="9" t="s">
        <v>2101</v>
      </c>
      <c r="V650" s="9">
        <v>8.5706141E-2</v>
      </c>
      <c r="W650" t="s">
        <v>2058</v>
      </c>
      <c r="X650" t="s">
        <v>2041</v>
      </c>
      <c r="Y650" t="s">
        <v>19</v>
      </c>
      <c r="Z650" t="str">
        <f t="shared" si="24"/>
        <v>Y</v>
      </c>
      <c r="AA650" t="s">
        <v>2054</v>
      </c>
      <c r="AB650" t="s">
        <v>2990</v>
      </c>
      <c r="AC650" s="9" t="s">
        <v>2991</v>
      </c>
      <c r="AD650" s="9" t="s">
        <v>595</v>
      </c>
      <c r="AE650" s="9" t="s">
        <v>2992</v>
      </c>
      <c r="AF650" s="9" t="s">
        <v>2041</v>
      </c>
      <c r="AG650" t="s">
        <v>595</v>
      </c>
      <c r="AI650" s="9"/>
      <c r="AJ650" s="9"/>
      <c r="AK650" s="9"/>
      <c r="AL650" s="9"/>
      <c r="AM650" s="9"/>
      <c r="AN650" s="9"/>
      <c r="CD650">
        <v>219.38202247191001</v>
      </c>
    </row>
    <row r="651" spans="1:82">
      <c r="B651" t="s">
        <v>19</v>
      </c>
      <c r="C651" t="s">
        <v>2987</v>
      </c>
      <c r="E651">
        <v>2019</v>
      </c>
      <c r="F651" t="s">
        <v>1030</v>
      </c>
      <c r="G651" t="s">
        <v>2035</v>
      </c>
      <c r="H651" s="22">
        <v>52.35</v>
      </c>
      <c r="I651" s="22">
        <v>-176.93</v>
      </c>
      <c r="J651" s="9">
        <v>1988</v>
      </c>
      <c r="K651" s="9">
        <v>2015</v>
      </c>
      <c r="L651" s="9">
        <v>28</v>
      </c>
      <c r="M651" t="s">
        <v>2036</v>
      </c>
      <c r="N651" t="s">
        <v>394</v>
      </c>
      <c r="O651" t="s">
        <v>394</v>
      </c>
      <c r="P651" s="9" t="s">
        <v>2997</v>
      </c>
      <c r="Q651" s="9" t="s">
        <v>2998</v>
      </c>
      <c r="R651" t="s">
        <v>2423</v>
      </c>
      <c r="S651" t="s">
        <v>2039</v>
      </c>
      <c r="T651" s="9">
        <v>177.71789999999999</v>
      </c>
      <c r="U651" s="9" t="s">
        <v>2101</v>
      </c>
      <c r="V651" s="9">
        <v>-0.175655423</v>
      </c>
      <c r="W651" t="s">
        <v>2041</v>
      </c>
      <c r="X651" t="s">
        <v>2041</v>
      </c>
      <c r="Y651" t="s">
        <v>19</v>
      </c>
      <c r="Z651" t="str">
        <f t="shared" si="24"/>
        <v>Y</v>
      </c>
      <c r="AA651" t="s">
        <v>2054</v>
      </c>
      <c r="AB651" t="s">
        <v>2990</v>
      </c>
      <c r="AC651" s="9" t="s">
        <v>2991</v>
      </c>
      <c r="AD651" s="9" t="s">
        <v>595</v>
      </c>
      <c r="AE651" s="9" t="s">
        <v>2992</v>
      </c>
      <c r="AF651" s="9" t="s">
        <v>2041</v>
      </c>
      <c r="AG651" t="s">
        <v>595</v>
      </c>
      <c r="AI651" s="9"/>
      <c r="AJ651" s="9"/>
      <c r="AK651" s="9"/>
      <c r="AL651" s="9"/>
      <c r="AM651" s="9"/>
      <c r="AN651" s="9"/>
      <c r="CD651">
        <v>211.51685393258401</v>
      </c>
    </row>
    <row r="652" spans="1:82">
      <c r="A652">
        <v>366</v>
      </c>
      <c r="B652" t="s">
        <v>2074</v>
      </c>
      <c r="C652" t="s">
        <v>2896</v>
      </c>
      <c r="E652">
        <v>2004</v>
      </c>
      <c r="F652" t="s">
        <v>1214</v>
      </c>
      <c r="G652" t="s">
        <v>2035</v>
      </c>
      <c r="H652" s="6">
        <v>55</v>
      </c>
      <c r="I652" s="6">
        <v>5</v>
      </c>
      <c r="J652" s="6">
        <v>1958</v>
      </c>
      <c r="K652" s="6">
        <v>2002</v>
      </c>
      <c r="L652" s="6">
        <f t="shared" ref="L652:L682" si="25">K652-J652+1</f>
        <v>45</v>
      </c>
      <c r="M652" t="s">
        <v>2036</v>
      </c>
      <c r="N652" t="s">
        <v>2141</v>
      </c>
      <c r="O652" t="s">
        <v>2217</v>
      </c>
      <c r="P652" t="s">
        <v>163</v>
      </c>
      <c r="Q652" t="s">
        <v>2999</v>
      </c>
      <c r="V652">
        <v>-12.882989780000001</v>
      </c>
      <c r="W652" t="s">
        <v>2041</v>
      </c>
      <c r="X652" t="s">
        <v>2041</v>
      </c>
      <c r="Y652" t="s">
        <v>2898</v>
      </c>
      <c r="Z652" t="str">
        <f t="shared" si="24"/>
        <v>Y</v>
      </c>
    </row>
    <row r="653" spans="1:82">
      <c r="A653">
        <v>367</v>
      </c>
      <c r="B653" t="s">
        <v>2074</v>
      </c>
      <c r="C653" t="s">
        <v>2896</v>
      </c>
      <c r="E653">
        <v>2004</v>
      </c>
      <c r="F653" t="s">
        <v>1214</v>
      </c>
      <c r="G653" t="s">
        <v>2035</v>
      </c>
      <c r="H653" s="6">
        <v>55</v>
      </c>
      <c r="I653" s="6">
        <v>5</v>
      </c>
      <c r="J653" s="6">
        <v>1958</v>
      </c>
      <c r="K653" s="6">
        <v>2002</v>
      </c>
      <c r="L653" s="6">
        <f t="shared" si="25"/>
        <v>45</v>
      </c>
      <c r="M653" t="s">
        <v>2036</v>
      </c>
      <c r="N653" t="s">
        <v>2141</v>
      </c>
      <c r="O653" t="s">
        <v>2142</v>
      </c>
      <c r="P653" t="s">
        <v>163</v>
      </c>
      <c r="Q653" t="s">
        <v>3000</v>
      </c>
      <c r="V653">
        <v>-10.31787961</v>
      </c>
      <c r="W653" t="s">
        <v>2041</v>
      </c>
      <c r="X653" t="s">
        <v>2041</v>
      </c>
      <c r="Y653" t="s">
        <v>2898</v>
      </c>
      <c r="Z653" t="str">
        <f t="shared" si="24"/>
        <v>Y</v>
      </c>
    </row>
    <row r="654" spans="1:82">
      <c r="A654">
        <v>368</v>
      </c>
      <c r="B654" t="s">
        <v>2074</v>
      </c>
      <c r="C654" t="s">
        <v>2896</v>
      </c>
      <c r="E654">
        <v>2004</v>
      </c>
      <c r="F654" t="s">
        <v>1214</v>
      </c>
      <c r="G654" t="s">
        <v>2035</v>
      </c>
      <c r="H654" s="6">
        <v>55</v>
      </c>
      <c r="I654" s="6">
        <v>5</v>
      </c>
      <c r="J654" s="6">
        <v>1958</v>
      </c>
      <c r="K654" s="6">
        <v>2002</v>
      </c>
      <c r="L654" s="6">
        <f t="shared" si="25"/>
        <v>45</v>
      </c>
      <c r="M654" t="s">
        <v>2036</v>
      </c>
      <c r="N654" t="s">
        <v>2141</v>
      </c>
      <c r="O654" t="s">
        <v>2217</v>
      </c>
      <c r="P654" t="s">
        <v>163</v>
      </c>
      <c r="Q654" t="s">
        <v>2217</v>
      </c>
      <c r="V654">
        <v>-9.4943896670000001</v>
      </c>
      <c r="W654" t="s">
        <v>2041</v>
      </c>
      <c r="X654" t="s">
        <v>2041</v>
      </c>
      <c r="Y654" t="s">
        <v>2898</v>
      </c>
      <c r="Z654" t="str">
        <f t="shared" si="24"/>
        <v>Y</v>
      </c>
    </row>
    <row r="655" spans="1:82">
      <c r="A655">
        <v>375</v>
      </c>
      <c r="B655" t="s">
        <v>2074</v>
      </c>
      <c r="C655" t="s">
        <v>2896</v>
      </c>
      <c r="E655">
        <v>2004</v>
      </c>
      <c r="F655" t="s">
        <v>1214</v>
      </c>
      <c r="G655" t="s">
        <v>2035</v>
      </c>
      <c r="H655" s="6">
        <v>55</v>
      </c>
      <c r="I655" s="6">
        <v>5</v>
      </c>
      <c r="J655" s="6">
        <v>1958</v>
      </c>
      <c r="K655" s="6">
        <v>2002</v>
      </c>
      <c r="L655" s="6">
        <f t="shared" si="25"/>
        <v>45</v>
      </c>
      <c r="M655" t="s">
        <v>2036</v>
      </c>
      <c r="N655" t="s">
        <v>2132</v>
      </c>
      <c r="O655" t="s">
        <v>2133</v>
      </c>
      <c r="P655" t="s">
        <v>2133</v>
      </c>
      <c r="Q655" t="s">
        <v>42</v>
      </c>
      <c r="V655">
        <v>-2.2707132560000001</v>
      </c>
      <c r="W655" t="s">
        <v>2041</v>
      </c>
      <c r="X655" t="s">
        <v>2041</v>
      </c>
      <c r="Y655" t="s">
        <v>2898</v>
      </c>
      <c r="Z655" t="str">
        <f t="shared" si="24"/>
        <v>Y</v>
      </c>
    </row>
    <row r="656" spans="1:82">
      <c r="A656">
        <v>377</v>
      </c>
      <c r="B656" t="s">
        <v>2074</v>
      </c>
      <c r="C656" t="s">
        <v>2896</v>
      </c>
      <c r="E656">
        <v>2004</v>
      </c>
      <c r="F656" t="s">
        <v>1214</v>
      </c>
      <c r="G656" t="s">
        <v>2035</v>
      </c>
      <c r="H656" s="6">
        <v>55</v>
      </c>
      <c r="I656" s="6">
        <v>5</v>
      </c>
      <c r="J656" s="6">
        <v>1958</v>
      </c>
      <c r="K656" s="6">
        <v>2002</v>
      </c>
      <c r="L656" s="6">
        <f t="shared" si="25"/>
        <v>45</v>
      </c>
      <c r="M656" t="s">
        <v>2036</v>
      </c>
      <c r="N656" t="s">
        <v>2132</v>
      </c>
      <c r="O656" t="s">
        <v>2133</v>
      </c>
      <c r="P656" t="s">
        <v>2133</v>
      </c>
      <c r="Q656" t="s">
        <v>3001</v>
      </c>
      <c r="V656">
        <v>-1.698645178</v>
      </c>
      <c r="W656" t="s">
        <v>2041</v>
      </c>
      <c r="X656" t="s">
        <v>2041</v>
      </c>
      <c r="Y656" t="s">
        <v>2898</v>
      </c>
      <c r="Z656" t="str">
        <f t="shared" si="24"/>
        <v>Y</v>
      </c>
    </row>
    <row r="657" spans="1:26">
      <c r="A657">
        <v>379</v>
      </c>
      <c r="B657" t="s">
        <v>2074</v>
      </c>
      <c r="C657" t="s">
        <v>2896</v>
      </c>
      <c r="E657">
        <v>2004</v>
      </c>
      <c r="F657" t="s">
        <v>1214</v>
      </c>
      <c r="G657" t="s">
        <v>2035</v>
      </c>
      <c r="H657" s="6">
        <v>55</v>
      </c>
      <c r="I657" s="6">
        <v>5</v>
      </c>
      <c r="J657" s="6">
        <v>1958</v>
      </c>
      <c r="K657" s="6">
        <v>2002</v>
      </c>
      <c r="L657" s="6">
        <f t="shared" si="25"/>
        <v>45</v>
      </c>
      <c r="M657" t="s">
        <v>2036</v>
      </c>
      <c r="N657" t="s">
        <v>2132</v>
      </c>
      <c r="O657" t="s">
        <v>2133</v>
      </c>
      <c r="P657" t="s">
        <v>2133</v>
      </c>
      <c r="Q657" t="s">
        <v>2407</v>
      </c>
      <c r="V657">
        <v>-0.80795464400000006</v>
      </c>
      <c r="W657" t="s">
        <v>2041</v>
      </c>
      <c r="X657" t="s">
        <v>2041</v>
      </c>
      <c r="Y657" t="s">
        <v>2898</v>
      </c>
      <c r="Z657" t="str">
        <f t="shared" si="24"/>
        <v>Y</v>
      </c>
    </row>
    <row r="658" spans="1:26">
      <c r="A658">
        <v>380</v>
      </c>
      <c r="B658" t="s">
        <v>2074</v>
      </c>
      <c r="C658" t="s">
        <v>2896</v>
      </c>
      <c r="E658">
        <v>2004</v>
      </c>
      <c r="F658" t="s">
        <v>1214</v>
      </c>
      <c r="G658" t="s">
        <v>2035</v>
      </c>
      <c r="H658" s="6">
        <v>55</v>
      </c>
      <c r="I658" s="6">
        <v>5</v>
      </c>
      <c r="J658" s="6">
        <v>1958</v>
      </c>
      <c r="K658" s="6">
        <v>2002</v>
      </c>
      <c r="L658" s="6">
        <f t="shared" si="25"/>
        <v>45</v>
      </c>
      <c r="M658" t="s">
        <v>2036</v>
      </c>
      <c r="N658" t="s">
        <v>2132</v>
      </c>
      <c r="O658" t="s">
        <v>2133</v>
      </c>
      <c r="P658" t="s">
        <v>2133</v>
      </c>
      <c r="Q658" t="s">
        <v>2342</v>
      </c>
      <c r="V658">
        <v>1.3625827109999999</v>
      </c>
      <c r="W658" t="s">
        <v>2058</v>
      </c>
      <c r="X658" t="s">
        <v>2041</v>
      </c>
      <c r="Y658" t="s">
        <v>2898</v>
      </c>
      <c r="Z658" t="str">
        <f t="shared" si="24"/>
        <v>Y</v>
      </c>
    </row>
    <row r="659" spans="1:26">
      <c r="A659">
        <v>373</v>
      </c>
      <c r="B659" t="s">
        <v>2074</v>
      </c>
      <c r="C659" t="s">
        <v>2896</v>
      </c>
      <c r="E659">
        <v>2004</v>
      </c>
      <c r="F659" t="s">
        <v>1214</v>
      </c>
      <c r="G659" t="s">
        <v>2035</v>
      </c>
      <c r="H659" s="6">
        <v>55</v>
      </c>
      <c r="I659" s="6">
        <v>5</v>
      </c>
      <c r="J659" s="6">
        <v>1958</v>
      </c>
      <c r="K659" s="6">
        <v>2002</v>
      </c>
      <c r="L659" s="6">
        <f t="shared" si="25"/>
        <v>45</v>
      </c>
      <c r="M659" t="s">
        <v>2036</v>
      </c>
      <c r="N659" t="s">
        <v>51</v>
      </c>
      <c r="O659" t="s">
        <v>2451</v>
      </c>
      <c r="P659" t="s">
        <v>163</v>
      </c>
      <c r="Q659" t="s">
        <v>3002</v>
      </c>
      <c r="V659">
        <v>-2.4823147560000001</v>
      </c>
      <c r="W659" t="s">
        <v>2041</v>
      </c>
      <c r="X659" t="s">
        <v>2041</v>
      </c>
      <c r="Y659" t="s">
        <v>2898</v>
      </c>
      <c r="Z659" t="str">
        <f t="shared" si="24"/>
        <v>Y</v>
      </c>
    </row>
    <row r="660" spans="1:26">
      <c r="A660">
        <v>382</v>
      </c>
      <c r="B660" t="s">
        <v>2074</v>
      </c>
      <c r="C660" t="s">
        <v>2896</v>
      </c>
      <c r="E660">
        <v>2004</v>
      </c>
      <c r="F660" t="s">
        <v>1214</v>
      </c>
      <c r="G660" t="s">
        <v>2035</v>
      </c>
      <c r="H660" s="6">
        <v>55</v>
      </c>
      <c r="I660" s="6">
        <v>5</v>
      </c>
      <c r="J660" s="6">
        <v>1958</v>
      </c>
      <c r="K660" s="6">
        <v>2002</v>
      </c>
      <c r="L660" s="6">
        <f t="shared" si="25"/>
        <v>45</v>
      </c>
      <c r="M660" t="s">
        <v>2036</v>
      </c>
      <c r="N660" t="s">
        <v>2132</v>
      </c>
      <c r="O660" t="s">
        <v>2142</v>
      </c>
      <c r="P660" t="s">
        <v>3003</v>
      </c>
      <c r="Q660" t="s">
        <v>3004</v>
      </c>
      <c r="V660">
        <v>-5.0671267780000004</v>
      </c>
      <c r="W660" t="s">
        <v>2041</v>
      </c>
      <c r="X660" t="s">
        <v>2041</v>
      </c>
      <c r="Y660" t="s">
        <v>2898</v>
      </c>
      <c r="Z660" t="str">
        <f t="shared" si="24"/>
        <v>Y</v>
      </c>
    </row>
    <row r="661" spans="1:26">
      <c r="A661">
        <v>384</v>
      </c>
      <c r="B661" t="s">
        <v>2074</v>
      </c>
      <c r="C661" t="s">
        <v>2896</v>
      </c>
      <c r="E661">
        <v>2004</v>
      </c>
      <c r="F661" t="s">
        <v>1214</v>
      </c>
      <c r="G661" t="s">
        <v>2035</v>
      </c>
      <c r="H661" s="6">
        <v>55</v>
      </c>
      <c r="I661" s="6">
        <v>5</v>
      </c>
      <c r="J661" s="6">
        <v>1958</v>
      </c>
      <c r="K661" s="6">
        <v>2002</v>
      </c>
      <c r="L661" s="6">
        <f t="shared" si="25"/>
        <v>45</v>
      </c>
      <c r="M661" t="s">
        <v>2036</v>
      </c>
      <c r="N661" t="s">
        <v>2132</v>
      </c>
      <c r="O661" t="s">
        <v>2133</v>
      </c>
      <c r="P661" t="s">
        <v>2133</v>
      </c>
      <c r="Q661" t="s">
        <v>3005</v>
      </c>
      <c r="V661">
        <v>5.5694943329999997</v>
      </c>
      <c r="W661" t="s">
        <v>2058</v>
      </c>
      <c r="X661" t="s">
        <v>2041</v>
      </c>
      <c r="Y661" t="s">
        <v>2898</v>
      </c>
      <c r="Z661" t="str">
        <f t="shared" si="24"/>
        <v>Y</v>
      </c>
    </row>
    <row r="662" spans="1:26">
      <c r="A662">
        <v>376</v>
      </c>
      <c r="B662" t="s">
        <v>2074</v>
      </c>
      <c r="C662" t="s">
        <v>2896</v>
      </c>
      <c r="E662">
        <v>2004</v>
      </c>
      <c r="F662" t="s">
        <v>1214</v>
      </c>
      <c r="G662" t="s">
        <v>2035</v>
      </c>
      <c r="H662" s="6">
        <v>55</v>
      </c>
      <c r="I662" s="6">
        <v>5</v>
      </c>
      <c r="J662" s="6">
        <v>1958</v>
      </c>
      <c r="K662" s="6">
        <v>2002</v>
      </c>
      <c r="L662" s="6">
        <f t="shared" si="25"/>
        <v>45</v>
      </c>
      <c r="M662" t="s">
        <v>2036</v>
      </c>
      <c r="N662" t="s">
        <v>51</v>
      </c>
      <c r="O662" t="s">
        <v>2451</v>
      </c>
      <c r="P662" t="s">
        <v>163</v>
      </c>
      <c r="Q662" t="s">
        <v>2463</v>
      </c>
      <c r="V662">
        <v>-1.9932504170000001</v>
      </c>
      <c r="W662" t="s">
        <v>2041</v>
      </c>
      <c r="X662" t="s">
        <v>2041</v>
      </c>
      <c r="Y662" t="s">
        <v>2898</v>
      </c>
      <c r="Z662" t="str">
        <f t="shared" si="24"/>
        <v>Y</v>
      </c>
    </row>
    <row r="663" spans="1:26">
      <c r="A663">
        <v>385</v>
      </c>
      <c r="B663" t="s">
        <v>2074</v>
      </c>
      <c r="C663" t="s">
        <v>2896</v>
      </c>
      <c r="E663">
        <v>2004</v>
      </c>
      <c r="F663" t="s">
        <v>1214</v>
      </c>
      <c r="G663" t="s">
        <v>2035</v>
      </c>
      <c r="H663" s="6">
        <v>55</v>
      </c>
      <c r="I663" s="6">
        <v>5</v>
      </c>
      <c r="J663" s="6">
        <v>1958</v>
      </c>
      <c r="K663" s="6">
        <v>2002</v>
      </c>
      <c r="L663" s="6">
        <f t="shared" si="25"/>
        <v>45</v>
      </c>
      <c r="M663" t="s">
        <v>2036</v>
      </c>
      <c r="N663" t="s">
        <v>2132</v>
      </c>
      <c r="O663" t="s">
        <v>2142</v>
      </c>
      <c r="P663" t="s">
        <v>3006</v>
      </c>
      <c r="Q663" t="s">
        <v>3007</v>
      </c>
      <c r="V663">
        <v>-4.1859002780000001</v>
      </c>
      <c r="W663" t="s">
        <v>2041</v>
      </c>
      <c r="X663" t="s">
        <v>2041</v>
      </c>
      <c r="Y663" t="s">
        <v>2898</v>
      </c>
      <c r="Z663" t="str">
        <f t="shared" si="24"/>
        <v>Y</v>
      </c>
    </row>
    <row r="664" spans="1:26">
      <c r="A664">
        <v>378</v>
      </c>
      <c r="B664" t="s">
        <v>2074</v>
      </c>
      <c r="C664" t="s">
        <v>2896</v>
      </c>
      <c r="E664">
        <v>2004</v>
      </c>
      <c r="F664" t="s">
        <v>1214</v>
      </c>
      <c r="G664" t="s">
        <v>2035</v>
      </c>
      <c r="H664" s="6">
        <v>55</v>
      </c>
      <c r="I664" s="6">
        <v>5</v>
      </c>
      <c r="J664" s="6">
        <v>1958</v>
      </c>
      <c r="K664" s="6">
        <v>2002</v>
      </c>
      <c r="L664" s="6">
        <f t="shared" si="25"/>
        <v>45</v>
      </c>
      <c r="M664" t="s">
        <v>2036</v>
      </c>
      <c r="N664" t="s">
        <v>51</v>
      </c>
      <c r="O664" t="s">
        <v>2451</v>
      </c>
      <c r="P664" t="s">
        <v>163</v>
      </c>
      <c r="Q664" t="s">
        <v>2462</v>
      </c>
      <c r="V664">
        <v>-0.93458817199999999</v>
      </c>
      <c r="W664" t="s">
        <v>2041</v>
      </c>
      <c r="X664" t="s">
        <v>2041</v>
      </c>
      <c r="Y664" t="s">
        <v>2898</v>
      </c>
      <c r="Z664" t="str">
        <f t="shared" si="24"/>
        <v>Y</v>
      </c>
    </row>
    <row r="665" spans="1:26">
      <c r="A665">
        <v>388</v>
      </c>
      <c r="B665" t="s">
        <v>2074</v>
      </c>
      <c r="C665" t="s">
        <v>2896</v>
      </c>
      <c r="E665">
        <v>2004</v>
      </c>
      <c r="F665" t="s">
        <v>1214</v>
      </c>
      <c r="G665" t="s">
        <v>2035</v>
      </c>
      <c r="H665" s="6">
        <v>55</v>
      </c>
      <c r="I665" s="6">
        <v>5</v>
      </c>
      <c r="J665" s="6">
        <v>1958</v>
      </c>
      <c r="K665" s="6">
        <v>2002</v>
      </c>
      <c r="L665" s="6">
        <f t="shared" si="25"/>
        <v>45</v>
      </c>
      <c r="M665" t="s">
        <v>2036</v>
      </c>
      <c r="N665" t="s">
        <v>2132</v>
      </c>
      <c r="O665" t="s">
        <v>2142</v>
      </c>
      <c r="P665" t="s">
        <v>163</v>
      </c>
      <c r="Q665" t="s">
        <v>3008</v>
      </c>
      <c r="V665">
        <v>-2.7707892059999999</v>
      </c>
      <c r="W665" t="s">
        <v>2041</v>
      </c>
      <c r="X665" t="s">
        <v>2041</v>
      </c>
      <c r="Y665" t="s">
        <v>2898</v>
      </c>
      <c r="Z665" t="str">
        <f t="shared" si="24"/>
        <v>Y</v>
      </c>
    </row>
    <row r="666" spans="1:26">
      <c r="A666">
        <v>392</v>
      </c>
      <c r="B666" t="s">
        <v>2074</v>
      </c>
      <c r="C666" t="s">
        <v>2896</v>
      </c>
      <c r="E666">
        <v>2004</v>
      </c>
      <c r="F666" t="s">
        <v>1214</v>
      </c>
      <c r="G666" t="s">
        <v>2035</v>
      </c>
      <c r="H666" s="6">
        <v>55</v>
      </c>
      <c r="I666" s="6">
        <v>5</v>
      </c>
      <c r="J666" s="6">
        <v>1958</v>
      </c>
      <c r="K666" s="6">
        <v>2002</v>
      </c>
      <c r="L666" s="6">
        <f t="shared" si="25"/>
        <v>45</v>
      </c>
      <c r="M666" t="s">
        <v>2036</v>
      </c>
      <c r="N666" t="s">
        <v>2132</v>
      </c>
      <c r="O666" t="s">
        <v>2142</v>
      </c>
      <c r="P666" t="s">
        <v>2965</v>
      </c>
      <c r="Q666" t="s">
        <v>2403</v>
      </c>
      <c r="V666">
        <v>-2.2308928890000002</v>
      </c>
      <c r="W666" t="s">
        <v>2041</v>
      </c>
      <c r="X666" t="s">
        <v>2041</v>
      </c>
      <c r="Y666" t="s">
        <v>2898</v>
      </c>
      <c r="Z666" t="str">
        <f t="shared" si="24"/>
        <v>Y</v>
      </c>
    </row>
    <row r="667" spans="1:26">
      <c r="A667">
        <v>381</v>
      </c>
      <c r="B667" t="s">
        <v>2074</v>
      </c>
      <c r="C667" t="s">
        <v>2896</v>
      </c>
      <c r="E667">
        <v>2004</v>
      </c>
      <c r="F667" t="s">
        <v>1214</v>
      </c>
      <c r="G667" t="s">
        <v>2035</v>
      </c>
      <c r="H667" s="6">
        <v>55</v>
      </c>
      <c r="I667" s="6">
        <v>5</v>
      </c>
      <c r="J667" s="6">
        <v>1958</v>
      </c>
      <c r="K667" s="6">
        <v>2002</v>
      </c>
      <c r="L667" s="6">
        <f t="shared" si="25"/>
        <v>45</v>
      </c>
      <c r="M667" t="s">
        <v>2036</v>
      </c>
      <c r="N667" t="s">
        <v>51</v>
      </c>
      <c r="O667" t="s">
        <v>2451</v>
      </c>
      <c r="P667" t="s">
        <v>163</v>
      </c>
      <c r="Q667" t="s">
        <v>2471</v>
      </c>
      <c r="V667">
        <v>1.8140290059999999</v>
      </c>
      <c r="W667" t="s">
        <v>2058</v>
      </c>
      <c r="X667" t="s">
        <v>2041</v>
      </c>
      <c r="Y667" t="s">
        <v>2898</v>
      </c>
      <c r="Z667" t="str">
        <f t="shared" si="24"/>
        <v>Y</v>
      </c>
    </row>
    <row r="668" spans="1:26">
      <c r="A668">
        <v>395</v>
      </c>
      <c r="B668" t="s">
        <v>2074</v>
      </c>
      <c r="C668" t="s">
        <v>2896</v>
      </c>
      <c r="E668">
        <v>2004</v>
      </c>
      <c r="F668" t="s">
        <v>1214</v>
      </c>
      <c r="G668" t="s">
        <v>2035</v>
      </c>
      <c r="H668" s="6">
        <v>55</v>
      </c>
      <c r="I668" s="6">
        <v>5</v>
      </c>
      <c r="J668" s="6">
        <v>1958</v>
      </c>
      <c r="K668" s="6">
        <v>2002</v>
      </c>
      <c r="L668" s="6">
        <f t="shared" si="25"/>
        <v>45</v>
      </c>
      <c r="M668" t="s">
        <v>2036</v>
      </c>
      <c r="N668" t="s">
        <v>2132</v>
      </c>
      <c r="O668" t="s">
        <v>2142</v>
      </c>
      <c r="P668" t="s">
        <v>3009</v>
      </c>
      <c r="Q668" t="s">
        <v>3010</v>
      </c>
      <c r="V668">
        <v>-0.33636007800000001</v>
      </c>
      <c r="W668" t="s">
        <v>2041</v>
      </c>
      <c r="X668" t="s">
        <v>2041</v>
      </c>
      <c r="Y668" t="s">
        <v>2898</v>
      </c>
      <c r="Z668" t="str">
        <f t="shared" si="24"/>
        <v>Y</v>
      </c>
    </row>
    <row r="669" spans="1:26">
      <c r="A669">
        <v>383</v>
      </c>
      <c r="B669" t="s">
        <v>2074</v>
      </c>
      <c r="C669" t="s">
        <v>2896</v>
      </c>
      <c r="E669">
        <v>2004</v>
      </c>
      <c r="F669" t="s">
        <v>1214</v>
      </c>
      <c r="G669" t="s">
        <v>2035</v>
      </c>
      <c r="H669" s="6">
        <v>55</v>
      </c>
      <c r="I669" s="6">
        <v>5</v>
      </c>
      <c r="J669" s="6">
        <v>1958</v>
      </c>
      <c r="K669" s="6">
        <v>2002</v>
      </c>
      <c r="L669" s="6">
        <f t="shared" si="25"/>
        <v>45</v>
      </c>
      <c r="M669" t="s">
        <v>2036</v>
      </c>
      <c r="N669" t="s">
        <v>51</v>
      </c>
      <c r="O669" t="s">
        <v>2518</v>
      </c>
      <c r="P669" t="s">
        <v>163</v>
      </c>
      <c r="Q669" t="s">
        <v>2445</v>
      </c>
      <c r="V669">
        <v>2.865310494</v>
      </c>
      <c r="W669" t="s">
        <v>2058</v>
      </c>
      <c r="X669" t="s">
        <v>2041</v>
      </c>
      <c r="Y669" t="s">
        <v>2898</v>
      </c>
      <c r="Z669" t="str">
        <f t="shared" si="24"/>
        <v>Y</v>
      </c>
    </row>
    <row r="670" spans="1:26">
      <c r="A670">
        <v>396</v>
      </c>
      <c r="B670" t="s">
        <v>2074</v>
      </c>
      <c r="C670" t="s">
        <v>2896</v>
      </c>
      <c r="E670">
        <v>2004</v>
      </c>
      <c r="F670" t="s">
        <v>1214</v>
      </c>
      <c r="G670" t="s">
        <v>2035</v>
      </c>
      <c r="H670" s="6">
        <v>55</v>
      </c>
      <c r="I670" s="6">
        <v>5</v>
      </c>
      <c r="J670" s="6">
        <v>1958</v>
      </c>
      <c r="K670" s="6">
        <v>2002</v>
      </c>
      <c r="L670" s="6">
        <f t="shared" si="25"/>
        <v>45</v>
      </c>
      <c r="M670" t="s">
        <v>2036</v>
      </c>
      <c r="N670" t="s">
        <v>2132</v>
      </c>
      <c r="O670" t="s">
        <v>2142</v>
      </c>
      <c r="P670" t="s">
        <v>3011</v>
      </c>
      <c r="Q670" t="s">
        <v>3012</v>
      </c>
      <c r="V670">
        <v>3.2082477780000001</v>
      </c>
      <c r="W670" t="s">
        <v>2058</v>
      </c>
      <c r="X670" t="s">
        <v>2041</v>
      </c>
      <c r="Y670" t="s">
        <v>2898</v>
      </c>
      <c r="Z670" t="str">
        <f t="shared" si="24"/>
        <v>Y</v>
      </c>
    </row>
    <row r="671" spans="1:26">
      <c r="A671">
        <v>397</v>
      </c>
      <c r="B671" t="s">
        <v>2074</v>
      </c>
      <c r="C671" t="s">
        <v>2896</v>
      </c>
      <c r="E671">
        <v>2004</v>
      </c>
      <c r="F671" t="s">
        <v>1214</v>
      </c>
      <c r="G671" t="s">
        <v>2035</v>
      </c>
      <c r="H671" s="6">
        <v>55</v>
      </c>
      <c r="I671" s="6">
        <v>5</v>
      </c>
      <c r="J671" s="6">
        <v>1958</v>
      </c>
      <c r="K671" s="6">
        <v>2002</v>
      </c>
      <c r="L671" s="6">
        <f t="shared" si="25"/>
        <v>45</v>
      </c>
      <c r="M671" t="s">
        <v>2036</v>
      </c>
      <c r="N671" t="s">
        <v>2132</v>
      </c>
      <c r="O671" t="s">
        <v>2142</v>
      </c>
      <c r="P671" t="s">
        <v>3011</v>
      </c>
      <c r="Q671" t="s">
        <v>3013</v>
      </c>
      <c r="V671">
        <v>8.3682292220000001</v>
      </c>
      <c r="W671" t="s">
        <v>2058</v>
      </c>
      <c r="X671" t="s">
        <v>2041</v>
      </c>
      <c r="Y671" t="s">
        <v>2898</v>
      </c>
      <c r="Z671" t="str">
        <f t="shared" si="24"/>
        <v>Y</v>
      </c>
    </row>
    <row r="672" spans="1:26">
      <c r="A672">
        <v>386</v>
      </c>
      <c r="B672" t="s">
        <v>2074</v>
      </c>
      <c r="C672" t="s">
        <v>2896</v>
      </c>
      <c r="E672">
        <v>2004</v>
      </c>
      <c r="F672" t="s">
        <v>1214</v>
      </c>
      <c r="G672" t="s">
        <v>2035</v>
      </c>
      <c r="H672" s="6">
        <v>55</v>
      </c>
      <c r="I672" s="6">
        <v>5</v>
      </c>
      <c r="J672" s="6">
        <v>1958</v>
      </c>
      <c r="K672" s="6">
        <v>2002</v>
      </c>
      <c r="L672" s="6">
        <f t="shared" si="25"/>
        <v>45</v>
      </c>
      <c r="M672" t="s">
        <v>2036</v>
      </c>
      <c r="N672" t="s">
        <v>51</v>
      </c>
      <c r="O672" t="s">
        <v>2451</v>
      </c>
      <c r="P672" t="s">
        <v>163</v>
      </c>
      <c r="Q672" t="s">
        <v>3014</v>
      </c>
      <c r="V672">
        <v>6.4953624999999997</v>
      </c>
      <c r="W672" t="s">
        <v>2058</v>
      </c>
      <c r="X672" t="s">
        <v>2041</v>
      </c>
      <c r="Y672" t="s">
        <v>2898</v>
      </c>
      <c r="Z672" t="str">
        <f t="shared" si="24"/>
        <v>Y</v>
      </c>
    </row>
    <row r="673" spans="1:82">
      <c r="A673">
        <v>387</v>
      </c>
      <c r="B673" t="s">
        <v>2074</v>
      </c>
      <c r="C673" t="s">
        <v>2896</v>
      </c>
      <c r="E673">
        <v>2004</v>
      </c>
      <c r="F673" t="s">
        <v>1214</v>
      </c>
      <c r="G673" t="s">
        <v>2035</v>
      </c>
      <c r="H673" s="6">
        <v>55</v>
      </c>
      <c r="I673" s="6">
        <v>5</v>
      </c>
      <c r="J673" s="6">
        <v>1958</v>
      </c>
      <c r="K673" s="6">
        <v>2002</v>
      </c>
      <c r="L673" s="6">
        <f t="shared" si="25"/>
        <v>45</v>
      </c>
      <c r="M673" t="s">
        <v>2036</v>
      </c>
      <c r="N673" t="s">
        <v>2141</v>
      </c>
      <c r="O673" t="s">
        <v>2142</v>
      </c>
      <c r="P673" t="s">
        <v>163</v>
      </c>
      <c r="Q673" t="s">
        <v>3015</v>
      </c>
      <c r="V673">
        <v>-3.1808675559999999</v>
      </c>
      <c r="W673" t="s">
        <v>2041</v>
      </c>
      <c r="X673" t="s">
        <v>2041</v>
      </c>
      <c r="Y673" t="s">
        <v>2898</v>
      </c>
      <c r="Z673" t="str">
        <f t="shared" si="24"/>
        <v>Y</v>
      </c>
    </row>
    <row r="674" spans="1:82">
      <c r="A674">
        <v>402</v>
      </c>
      <c r="B674" t="s">
        <v>2074</v>
      </c>
      <c r="C674" t="s">
        <v>3016</v>
      </c>
      <c r="E674">
        <v>2004</v>
      </c>
      <c r="F674" t="s">
        <v>1214</v>
      </c>
      <c r="G674" t="s">
        <v>2035</v>
      </c>
      <c r="H674" s="6">
        <v>54.19</v>
      </c>
      <c r="I674" s="6">
        <v>7.9</v>
      </c>
      <c r="J674" s="6">
        <v>1974</v>
      </c>
      <c r="K674" s="6">
        <v>2004</v>
      </c>
      <c r="L674" s="6">
        <f t="shared" si="25"/>
        <v>31</v>
      </c>
      <c r="M674" t="s">
        <v>2036</v>
      </c>
      <c r="N674" t="s">
        <v>2132</v>
      </c>
      <c r="O674" t="s">
        <v>2142</v>
      </c>
      <c r="P674" t="s">
        <v>2965</v>
      </c>
      <c r="Q674" t="s">
        <v>2404</v>
      </c>
      <c r="V674">
        <v>-14.7</v>
      </c>
      <c r="W674" t="s">
        <v>2041</v>
      </c>
      <c r="X674" t="s">
        <v>2041</v>
      </c>
      <c r="Y674" t="s">
        <v>2898</v>
      </c>
      <c r="Z674" t="str">
        <f t="shared" si="24"/>
        <v>Y</v>
      </c>
    </row>
    <row r="675" spans="1:82">
      <c r="A675">
        <v>389</v>
      </c>
      <c r="B675" t="s">
        <v>2074</v>
      </c>
      <c r="C675" t="s">
        <v>2896</v>
      </c>
      <c r="E675">
        <v>2004</v>
      </c>
      <c r="F675" t="s">
        <v>1214</v>
      </c>
      <c r="G675" t="s">
        <v>2035</v>
      </c>
      <c r="H675" s="6">
        <v>55</v>
      </c>
      <c r="I675" s="6">
        <v>5</v>
      </c>
      <c r="J675" s="6">
        <v>1958</v>
      </c>
      <c r="K675" s="6">
        <v>2002</v>
      </c>
      <c r="L675" s="6">
        <f t="shared" si="25"/>
        <v>45</v>
      </c>
      <c r="M675" t="s">
        <v>2036</v>
      </c>
      <c r="N675" t="s">
        <v>2141</v>
      </c>
      <c r="O675" t="s">
        <v>2142</v>
      </c>
      <c r="P675" t="s">
        <v>163</v>
      </c>
      <c r="Q675" t="s">
        <v>3017</v>
      </c>
      <c r="V675">
        <v>-2.7590335669999999</v>
      </c>
      <c r="W675" t="s">
        <v>2041</v>
      </c>
      <c r="X675" t="s">
        <v>2041</v>
      </c>
      <c r="Y675" t="s">
        <v>2898</v>
      </c>
      <c r="Z675" t="str">
        <f t="shared" si="24"/>
        <v>Y</v>
      </c>
    </row>
    <row r="676" spans="1:82">
      <c r="A676">
        <v>390</v>
      </c>
      <c r="B676" t="s">
        <v>2074</v>
      </c>
      <c r="C676" t="s">
        <v>2896</v>
      </c>
      <c r="E676">
        <v>2004</v>
      </c>
      <c r="F676" t="s">
        <v>1214</v>
      </c>
      <c r="G676" t="s">
        <v>2035</v>
      </c>
      <c r="H676" s="6">
        <v>55</v>
      </c>
      <c r="I676" s="6">
        <v>5</v>
      </c>
      <c r="J676" s="6">
        <v>1958</v>
      </c>
      <c r="K676" s="6">
        <v>2002</v>
      </c>
      <c r="L676" s="6">
        <f t="shared" si="25"/>
        <v>45</v>
      </c>
      <c r="M676" t="s">
        <v>2036</v>
      </c>
      <c r="N676" t="s">
        <v>2141</v>
      </c>
      <c r="O676" t="s">
        <v>2142</v>
      </c>
      <c r="P676" t="s">
        <v>163</v>
      </c>
      <c r="Q676" t="s">
        <v>3018</v>
      </c>
      <c r="V676">
        <v>-2.7181418000000002</v>
      </c>
      <c r="W676" t="s">
        <v>2041</v>
      </c>
      <c r="X676" t="s">
        <v>2041</v>
      </c>
      <c r="Y676" t="s">
        <v>2898</v>
      </c>
      <c r="Z676" t="str">
        <f t="shared" si="24"/>
        <v>Y</v>
      </c>
    </row>
    <row r="677" spans="1:82">
      <c r="A677">
        <v>391</v>
      </c>
      <c r="B677" t="s">
        <v>2074</v>
      </c>
      <c r="C677" t="s">
        <v>2906</v>
      </c>
      <c r="E677">
        <v>2003</v>
      </c>
      <c r="F677" t="s">
        <v>1214</v>
      </c>
      <c r="G677" t="s">
        <v>2035</v>
      </c>
      <c r="H677" s="6">
        <v>53</v>
      </c>
      <c r="I677" s="6">
        <v>4.8</v>
      </c>
      <c r="J677" s="6">
        <v>1973</v>
      </c>
      <c r="K677" s="6">
        <v>2001</v>
      </c>
      <c r="L677" s="6">
        <f t="shared" si="25"/>
        <v>29</v>
      </c>
      <c r="M677" t="s">
        <v>2036</v>
      </c>
      <c r="N677" t="s">
        <v>51</v>
      </c>
      <c r="O677" t="s">
        <v>3019</v>
      </c>
      <c r="P677" t="s">
        <v>3020</v>
      </c>
      <c r="Q677" t="s">
        <v>163</v>
      </c>
      <c r="V677" t="s">
        <v>163</v>
      </c>
      <c r="W677" t="s">
        <v>2080</v>
      </c>
      <c r="X677" t="s">
        <v>2041</v>
      </c>
      <c r="Y677" t="s">
        <v>2910</v>
      </c>
      <c r="Z677" t="str">
        <f t="shared" si="24"/>
        <v>Y</v>
      </c>
      <c r="AC677" t="s">
        <v>3021</v>
      </c>
    </row>
    <row r="678" spans="1:82" ht="15.5">
      <c r="A678">
        <v>405</v>
      </c>
      <c r="B678" t="s">
        <v>2074</v>
      </c>
      <c r="C678" t="s">
        <v>2075</v>
      </c>
      <c r="E678">
        <v>2001</v>
      </c>
      <c r="F678" t="s">
        <v>2076</v>
      </c>
      <c r="G678" t="s">
        <v>2035</v>
      </c>
      <c r="H678" s="6">
        <v>50</v>
      </c>
      <c r="I678" s="6">
        <v>145</v>
      </c>
      <c r="J678" s="6">
        <v>1975</v>
      </c>
      <c r="K678" s="6">
        <v>1996</v>
      </c>
      <c r="L678" s="6">
        <f t="shared" si="25"/>
        <v>22</v>
      </c>
      <c r="M678" t="s">
        <v>2077</v>
      </c>
      <c r="N678" t="s">
        <v>2132</v>
      </c>
      <c r="O678" s="12" t="s">
        <v>2133</v>
      </c>
      <c r="P678" t="s">
        <v>2133</v>
      </c>
      <c r="Q678" t="s">
        <v>3022</v>
      </c>
      <c r="V678">
        <v>-22</v>
      </c>
      <c r="W678" t="s">
        <v>2041</v>
      </c>
      <c r="X678" t="s">
        <v>2041</v>
      </c>
      <c r="Y678" t="s">
        <v>2081</v>
      </c>
      <c r="Z678" t="str">
        <f t="shared" si="24"/>
        <v>Y</v>
      </c>
    </row>
    <row r="679" spans="1:82">
      <c r="A679">
        <v>393</v>
      </c>
      <c r="B679" t="s">
        <v>2074</v>
      </c>
      <c r="C679" t="s">
        <v>2896</v>
      </c>
      <c r="E679">
        <v>2004</v>
      </c>
      <c r="F679" t="s">
        <v>1214</v>
      </c>
      <c r="G679" t="s">
        <v>2035</v>
      </c>
      <c r="H679" s="6">
        <v>55</v>
      </c>
      <c r="I679" s="6">
        <v>5</v>
      </c>
      <c r="J679" s="6">
        <v>1958</v>
      </c>
      <c r="K679" s="6">
        <v>2002</v>
      </c>
      <c r="L679" s="6">
        <f t="shared" si="25"/>
        <v>45</v>
      </c>
      <c r="M679" t="s">
        <v>2036</v>
      </c>
      <c r="N679" t="s">
        <v>2141</v>
      </c>
      <c r="O679" t="s">
        <v>2142</v>
      </c>
      <c r="P679" t="s">
        <v>3006</v>
      </c>
      <c r="Q679" t="s">
        <v>3023</v>
      </c>
      <c r="V679">
        <v>-1.7645957999999999</v>
      </c>
      <c r="W679" t="s">
        <v>2041</v>
      </c>
      <c r="X679" t="s">
        <v>2041</v>
      </c>
      <c r="Y679" t="s">
        <v>2898</v>
      </c>
      <c r="Z679" t="str">
        <f t="shared" si="24"/>
        <v>Y</v>
      </c>
    </row>
    <row r="680" spans="1:82">
      <c r="A680">
        <v>394</v>
      </c>
      <c r="B680" t="s">
        <v>2074</v>
      </c>
      <c r="C680" t="s">
        <v>2896</v>
      </c>
      <c r="E680">
        <v>2004</v>
      </c>
      <c r="F680" t="s">
        <v>1214</v>
      </c>
      <c r="G680" t="s">
        <v>2035</v>
      </c>
      <c r="H680" s="6">
        <v>55</v>
      </c>
      <c r="I680" s="6">
        <v>5</v>
      </c>
      <c r="J680" s="6">
        <v>1958</v>
      </c>
      <c r="K680" s="6">
        <v>2002</v>
      </c>
      <c r="L680" s="6">
        <f t="shared" si="25"/>
        <v>45</v>
      </c>
      <c r="M680" t="s">
        <v>2036</v>
      </c>
      <c r="N680" t="s">
        <v>2141</v>
      </c>
      <c r="O680" t="s">
        <v>2142</v>
      </c>
      <c r="P680" t="s">
        <v>3024</v>
      </c>
      <c r="Q680" t="s">
        <v>3025</v>
      </c>
      <c r="V680">
        <v>-1.3691003939999999</v>
      </c>
      <c r="W680" t="s">
        <v>2041</v>
      </c>
      <c r="X680" t="s">
        <v>2041</v>
      </c>
      <c r="Y680" t="s">
        <v>2898</v>
      </c>
      <c r="Z680" t="str">
        <f t="shared" si="24"/>
        <v>Y</v>
      </c>
    </row>
    <row r="681" spans="1:82">
      <c r="A681">
        <v>406</v>
      </c>
      <c r="B681" t="s">
        <v>2074</v>
      </c>
      <c r="C681" t="s">
        <v>2075</v>
      </c>
      <c r="E681">
        <v>2001</v>
      </c>
      <c r="F681" t="s">
        <v>2076</v>
      </c>
      <c r="G681" t="s">
        <v>2035</v>
      </c>
      <c r="H681" s="6">
        <v>48.65</v>
      </c>
      <c r="I681" s="6">
        <v>-126.67</v>
      </c>
      <c r="J681" s="6">
        <v>1975</v>
      </c>
      <c r="K681" s="6">
        <v>1998</v>
      </c>
      <c r="L681" s="6">
        <f t="shared" si="25"/>
        <v>24</v>
      </c>
      <c r="M681" t="s">
        <v>2077</v>
      </c>
      <c r="N681" t="s">
        <v>2132</v>
      </c>
      <c r="O681" t="s">
        <v>2133</v>
      </c>
      <c r="P681" t="s">
        <v>2133</v>
      </c>
      <c r="Q681" t="s">
        <v>3022</v>
      </c>
      <c r="V681">
        <v>-13</v>
      </c>
      <c r="W681" t="s">
        <v>2041</v>
      </c>
      <c r="X681" t="s">
        <v>2041</v>
      </c>
      <c r="Y681" t="s">
        <v>2081</v>
      </c>
      <c r="Z681" t="str">
        <f t="shared" si="24"/>
        <v>Y</v>
      </c>
    </row>
    <row r="682" spans="1:82">
      <c r="A682">
        <v>407</v>
      </c>
      <c r="B682" t="s">
        <v>2074</v>
      </c>
      <c r="C682" t="s">
        <v>3026</v>
      </c>
      <c r="E682">
        <v>1998</v>
      </c>
      <c r="F682" t="s">
        <v>3027</v>
      </c>
      <c r="G682" t="s">
        <v>2035</v>
      </c>
      <c r="H682" s="6">
        <v>50</v>
      </c>
      <c r="I682" s="6">
        <v>-145</v>
      </c>
      <c r="J682" s="6">
        <v>1968</v>
      </c>
      <c r="K682" s="6">
        <v>1996</v>
      </c>
      <c r="L682" s="6">
        <f t="shared" si="25"/>
        <v>29</v>
      </c>
      <c r="M682" t="s">
        <v>2036</v>
      </c>
      <c r="N682" t="s">
        <v>2132</v>
      </c>
      <c r="O682" t="s">
        <v>2133</v>
      </c>
      <c r="P682" t="s">
        <v>3028</v>
      </c>
      <c r="Q682" t="s">
        <v>3022</v>
      </c>
      <c r="V682">
        <v>-10.34</v>
      </c>
      <c r="W682" t="s">
        <v>2041</v>
      </c>
      <c r="X682" t="s">
        <v>2041</v>
      </c>
      <c r="Y682" t="s">
        <v>2889</v>
      </c>
      <c r="Z682" t="str">
        <f t="shared" si="24"/>
        <v>Y</v>
      </c>
    </row>
    <row r="683" spans="1:82">
      <c r="B683" t="s">
        <v>19</v>
      </c>
      <c r="C683" t="s">
        <v>2987</v>
      </c>
      <c r="E683">
        <v>2019</v>
      </c>
      <c r="F683" t="s">
        <v>1030</v>
      </c>
      <c r="G683" t="s">
        <v>2035</v>
      </c>
      <c r="H683" s="22">
        <v>70.37</v>
      </c>
      <c r="I683" s="22">
        <v>31.13</v>
      </c>
      <c r="J683" s="9">
        <v>1982</v>
      </c>
      <c r="K683" s="9">
        <v>2013</v>
      </c>
      <c r="L683" s="9">
        <v>32</v>
      </c>
      <c r="M683" t="s">
        <v>2036</v>
      </c>
      <c r="N683" t="s">
        <v>394</v>
      </c>
      <c r="O683" t="s">
        <v>394</v>
      </c>
      <c r="P683" s="9" t="s">
        <v>2414</v>
      </c>
      <c r="Q683" s="9" t="s">
        <v>3029</v>
      </c>
      <c r="R683" t="s">
        <v>2423</v>
      </c>
      <c r="S683" t="s">
        <v>2039</v>
      </c>
      <c r="T683" s="9">
        <v>183.7526</v>
      </c>
      <c r="U683" s="9" t="s">
        <v>2101</v>
      </c>
      <c r="V683" s="9">
        <v>-3.1848055E-2</v>
      </c>
      <c r="W683" t="s">
        <v>2041</v>
      </c>
      <c r="X683" t="s">
        <v>2041</v>
      </c>
      <c r="Y683" t="s">
        <v>19</v>
      </c>
      <c r="Z683" t="str">
        <f t="shared" si="24"/>
        <v>Y</v>
      </c>
      <c r="AA683" t="s">
        <v>2054</v>
      </c>
      <c r="AB683" t="s">
        <v>2990</v>
      </c>
      <c r="AC683" s="9" t="s">
        <v>2991</v>
      </c>
      <c r="AD683" s="9" t="s">
        <v>595</v>
      </c>
      <c r="AE683" s="9" t="s">
        <v>2992</v>
      </c>
      <c r="AF683" s="9" t="s">
        <v>2041</v>
      </c>
      <c r="AG683" t="s">
        <v>595</v>
      </c>
      <c r="AI683" s="9"/>
      <c r="AJ683" s="9"/>
      <c r="AK683" s="9"/>
      <c r="AL683" s="9"/>
      <c r="AM683" s="9"/>
      <c r="AN683" s="9"/>
      <c r="CD683">
        <v>228.82022471910099</v>
      </c>
    </row>
    <row r="684" spans="1:82">
      <c r="B684" t="s">
        <v>19</v>
      </c>
      <c r="C684" t="s">
        <v>2987</v>
      </c>
      <c r="E684">
        <v>2019</v>
      </c>
      <c r="F684" t="s">
        <v>1030</v>
      </c>
      <c r="G684" t="s">
        <v>2035</v>
      </c>
      <c r="H684" s="22">
        <v>77</v>
      </c>
      <c r="I684" s="22">
        <v>15.55</v>
      </c>
      <c r="J684" s="9">
        <v>1983</v>
      </c>
      <c r="K684" s="9">
        <v>2016</v>
      </c>
      <c r="L684" s="9">
        <v>34</v>
      </c>
      <c r="M684" t="s">
        <v>2036</v>
      </c>
      <c r="N684" t="s">
        <v>394</v>
      </c>
      <c r="O684" t="s">
        <v>394</v>
      </c>
      <c r="P684" s="9" t="s">
        <v>3030</v>
      </c>
      <c r="Q684" s="9" t="s">
        <v>3031</v>
      </c>
      <c r="R684" t="s">
        <v>2423</v>
      </c>
      <c r="S684" t="s">
        <v>2039</v>
      </c>
      <c r="T684" s="9">
        <v>201.7071</v>
      </c>
      <c r="U684" s="9" t="s">
        <v>2101</v>
      </c>
      <c r="V684" s="9">
        <v>-0.33915676700000003</v>
      </c>
      <c r="W684" t="s">
        <v>2041</v>
      </c>
      <c r="X684" t="s">
        <v>2041</v>
      </c>
      <c r="Y684" t="s">
        <v>19</v>
      </c>
      <c r="Z684" t="str">
        <f t="shared" si="24"/>
        <v>Y</v>
      </c>
      <c r="AA684" t="s">
        <v>2054</v>
      </c>
      <c r="AB684" t="s">
        <v>2990</v>
      </c>
      <c r="AC684" s="9" t="s">
        <v>2991</v>
      </c>
      <c r="AD684" s="9" t="s">
        <v>595</v>
      </c>
      <c r="AE684" s="9" t="s">
        <v>2992</v>
      </c>
      <c r="AF684" s="9" t="s">
        <v>2041</v>
      </c>
      <c r="AG684" t="s">
        <v>595</v>
      </c>
      <c r="AI684" s="9"/>
      <c r="AJ684" s="9"/>
      <c r="AK684" s="9"/>
      <c r="AL684" s="9"/>
      <c r="AM684" s="9"/>
      <c r="AN684" s="9"/>
      <c r="CD684">
        <v>232.752808988764</v>
      </c>
    </row>
    <row r="685" spans="1:82">
      <c r="B685" t="s">
        <v>19</v>
      </c>
      <c r="C685" t="s">
        <v>2987</v>
      </c>
      <c r="E685">
        <v>2019</v>
      </c>
      <c r="F685" t="s">
        <v>1030</v>
      </c>
      <c r="G685" t="s">
        <v>2035</v>
      </c>
      <c r="H685" s="22">
        <v>59.61</v>
      </c>
      <c r="I685" s="22">
        <v>-151.35</v>
      </c>
      <c r="J685" s="9">
        <v>1995</v>
      </c>
      <c r="K685" s="9">
        <v>1999</v>
      </c>
      <c r="L685" s="9">
        <v>5</v>
      </c>
      <c r="M685" t="s">
        <v>2036</v>
      </c>
      <c r="N685" t="s">
        <v>394</v>
      </c>
      <c r="O685" t="s">
        <v>394</v>
      </c>
      <c r="P685" s="9" t="s">
        <v>3032</v>
      </c>
      <c r="Q685" s="9" t="s">
        <v>3033</v>
      </c>
      <c r="R685" t="s">
        <v>2423</v>
      </c>
      <c r="S685" t="s">
        <v>2039</v>
      </c>
      <c r="T685" s="9">
        <v>183.2</v>
      </c>
      <c r="U685" s="9" t="s">
        <v>2101</v>
      </c>
      <c r="V685" s="9">
        <v>-0.4</v>
      </c>
      <c r="W685" t="s">
        <v>2041</v>
      </c>
      <c r="X685" t="s">
        <v>2041</v>
      </c>
      <c r="Y685" t="s">
        <v>19</v>
      </c>
      <c r="Z685" t="str">
        <f t="shared" si="24"/>
        <v>N</v>
      </c>
      <c r="AA685" t="s">
        <v>2054</v>
      </c>
      <c r="AB685" t="s">
        <v>2990</v>
      </c>
      <c r="AC685" s="9" t="s">
        <v>2991</v>
      </c>
      <c r="AD685" s="9" t="s">
        <v>595</v>
      </c>
      <c r="AE685" s="9" t="s">
        <v>2992</v>
      </c>
      <c r="AF685" s="9" t="s">
        <v>2041</v>
      </c>
      <c r="AG685" t="s">
        <v>595</v>
      </c>
      <c r="AI685" s="9"/>
      <c r="AJ685" s="9"/>
      <c r="AK685" s="9"/>
      <c r="AL685" s="9"/>
      <c r="AM685" s="9"/>
      <c r="AN685" s="9"/>
      <c r="CD685">
        <v>208.370786516853</v>
      </c>
    </row>
    <row r="686" spans="1:82" ht="17" customHeight="1">
      <c r="B686" t="s">
        <v>19</v>
      </c>
      <c r="C686" t="s">
        <v>2987</v>
      </c>
      <c r="E686">
        <v>2019</v>
      </c>
      <c r="F686" t="s">
        <v>1030</v>
      </c>
      <c r="G686" t="s">
        <v>2035</v>
      </c>
      <c r="H686" s="22">
        <v>56.98</v>
      </c>
      <c r="I686" s="22">
        <v>-135.71</v>
      </c>
      <c r="J686" s="9">
        <v>1995</v>
      </c>
      <c r="K686" s="9">
        <v>2015</v>
      </c>
      <c r="L686" s="9">
        <v>21</v>
      </c>
      <c r="M686" t="s">
        <v>2036</v>
      </c>
      <c r="N686" t="s">
        <v>394</v>
      </c>
      <c r="O686" t="s">
        <v>394</v>
      </c>
      <c r="P686" s="9" t="s">
        <v>3034</v>
      </c>
      <c r="Q686" s="9" t="s">
        <v>3035</v>
      </c>
      <c r="R686" t="s">
        <v>2423</v>
      </c>
      <c r="S686" t="s">
        <v>2039</v>
      </c>
      <c r="T686" s="9">
        <v>175.29220000000001</v>
      </c>
      <c r="U686" s="9" t="s">
        <v>2101</v>
      </c>
      <c r="V686" s="9">
        <v>0.12077922100000001</v>
      </c>
      <c r="W686" t="s">
        <v>2058</v>
      </c>
      <c r="X686" t="s">
        <v>2041</v>
      </c>
      <c r="Y686" t="s">
        <v>19</v>
      </c>
      <c r="Z686" t="str">
        <f t="shared" si="24"/>
        <v>Y</v>
      </c>
      <c r="AA686" t="s">
        <v>2054</v>
      </c>
      <c r="AB686" t="s">
        <v>2990</v>
      </c>
      <c r="AC686" s="9" t="s">
        <v>2991</v>
      </c>
      <c r="AD686" s="9" t="s">
        <v>595</v>
      </c>
      <c r="AE686" s="9" t="s">
        <v>2992</v>
      </c>
      <c r="AF686" s="9" t="s">
        <v>2041</v>
      </c>
      <c r="AG686" t="s">
        <v>595</v>
      </c>
      <c r="AI686" s="9"/>
      <c r="AJ686" s="9"/>
      <c r="AK686" s="9"/>
      <c r="AL686" s="9"/>
      <c r="AM686" s="9"/>
      <c r="AN686" s="9"/>
      <c r="CD686">
        <v>229.60674157303299</v>
      </c>
    </row>
    <row r="687" spans="1:82">
      <c r="B687" t="s">
        <v>19</v>
      </c>
      <c r="C687" t="s">
        <v>2987</v>
      </c>
      <c r="E687">
        <v>2019</v>
      </c>
      <c r="F687" t="s">
        <v>1030</v>
      </c>
      <c r="G687" t="s">
        <v>2035</v>
      </c>
      <c r="H687" s="22">
        <v>69.069999999999993</v>
      </c>
      <c r="I687" s="22">
        <v>15.17</v>
      </c>
      <c r="J687" s="9">
        <v>1982</v>
      </c>
      <c r="K687" s="9">
        <v>2016</v>
      </c>
      <c r="L687" s="9">
        <v>35</v>
      </c>
      <c r="M687" t="s">
        <v>2036</v>
      </c>
      <c r="N687" t="s">
        <v>394</v>
      </c>
      <c r="O687" t="s">
        <v>394</v>
      </c>
      <c r="P687" s="9" t="s">
        <v>3036</v>
      </c>
      <c r="Q687" s="9" t="s">
        <v>3037</v>
      </c>
      <c r="R687" t="s">
        <v>2423</v>
      </c>
      <c r="S687" t="s">
        <v>2039</v>
      </c>
      <c r="T687" s="9">
        <v>186.7534</v>
      </c>
      <c r="U687" s="9" t="s">
        <v>2101</v>
      </c>
      <c r="V687" s="9">
        <v>-0.317453139</v>
      </c>
      <c r="W687" t="s">
        <v>2041</v>
      </c>
      <c r="X687" t="s">
        <v>2041</v>
      </c>
      <c r="Y687" t="s">
        <v>19</v>
      </c>
      <c r="Z687" t="str">
        <f t="shared" si="24"/>
        <v>Y</v>
      </c>
      <c r="AA687" t="s">
        <v>2054</v>
      </c>
      <c r="AB687" t="s">
        <v>2990</v>
      </c>
      <c r="AC687" s="9" t="s">
        <v>2991</v>
      </c>
      <c r="AD687" s="9" t="s">
        <v>595</v>
      </c>
      <c r="AE687" s="9" t="s">
        <v>2992</v>
      </c>
      <c r="AF687" s="9" t="s">
        <v>2041</v>
      </c>
      <c r="AG687" t="s">
        <v>595</v>
      </c>
      <c r="AI687" s="9"/>
      <c r="AJ687" s="9"/>
      <c r="AK687" s="9"/>
      <c r="AL687" s="9"/>
      <c r="AM687" s="9"/>
      <c r="AN687" s="9"/>
      <c r="CD687">
        <v>236.29213483146</v>
      </c>
    </row>
    <row r="688" spans="1:82">
      <c r="B688" t="s">
        <v>19</v>
      </c>
      <c r="C688" t="s">
        <v>2987</v>
      </c>
      <c r="E688">
        <v>2019</v>
      </c>
      <c r="F688" t="s">
        <v>1030</v>
      </c>
      <c r="G688" t="s">
        <v>2035</v>
      </c>
      <c r="H688" s="22">
        <v>54.18</v>
      </c>
      <c r="I688" s="22">
        <v>-164.83</v>
      </c>
      <c r="J688" s="9">
        <v>1988</v>
      </c>
      <c r="K688" s="9">
        <v>2015</v>
      </c>
      <c r="L688" s="9">
        <v>28</v>
      </c>
      <c r="M688" t="s">
        <v>2036</v>
      </c>
      <c r="N688" t="s">
        <v>394</v>
      </c>
      <c r="O688" t="s">
        <v>394</v>
      </c>
      <c r="P688" s="9" t="s">
        <v>3038</v>
      </c>
      <c r="Q688" s="9" t="s">
        <v>3039</v>
      </c>
      <c r="R688" t="s">
        <v>2423</v>
      </c>
      <c r="S688" t="s">
        <v>2039</v>
      </c>
      <c r="T688" s="9">
        <v>200.70670000000001</v>
      </c>
      <c r="U688" s="9" t="s">
        <v>2101</v>
      </c>
      <c r="V688" s="9">
        <v>0.185105142</v>
      </c>
      <c r="W688" t="s">
        <v>2058</v>
      </c>
      <c r="X688" t="s">
        <v>2041</v>
      </c>
      <c r="Y688" t="s">
        <v>19</v>
      </c>
      <c r="Z688" t="str">
        <f t="shared" si="24"/>
        <v>Y</v>
      </c>
      <c r="AA688" t="s">
        <v>2054</v>
      </c>
      <c r="AB688" t="s">
        <v>2990</v>
      </c>
      <c r="AC688" s="9" t="s">
        <v>2991</v>
      </c>
      <c r="AD688" s="9" t="s">
        <v>595</v>
      </c>
      <c r="AE688" s="9" t="s">
        <v>2992</v>
      </c>
      <c r="AF688" s="9" t="s">
        <v>2041</v>
      </c>
      <c r="AG688" t="s">
        <v>595</v>
      </c>
      <c r="AI688" s="9"/>
      <c r="AJ688" s="9"/>
      <c r="AK688" s="9"/>
      <c r="AL688" s="9"/>
      <c r="AM688" s="9"/>
      <c r="AN688" s="9"/>
      <c r="CD688">
        <v>238.25842696629201</v>
      </c>
    </row>
    <row r="689" spans="2:82">
      <c r="B689" t="s">
        <v>19</v>
      </c>
      <c r="C689" t="s">
        <v>2987</v>
      </c>
      <c r="E689">
        <v>2019</v>
      </c>
      <c r="F689" t="s">
        <v>1030</v>
      </c>
      <c r="G689" t="s">
        <v>2035</v>
      </c>
      <c r="H689" s="22">
        <v>54.18</v>
      </c>
      <c r="I689" s="22">
        <v>-164.83</v>
      </c>
      <c r="J689" s="9">
        <v>1988</v>
      </c>
      <c r="K689" s="9">
        <v>2015</v>
      </c>
      <c r="L689" s="9">
        <v>28</v>
      </c>
      <c r="M689" t="s">
        <v>2036</v>
      </c>
      <c r="N689" t="s">
        <v>394</v>
      </c>
      <c r="O689" t="s">
        <v>394</v>
      </c>
      <c r="P689" s="9" t="s">
        <v>3040</v>
      </c>
      <c r="Q689" s="9" t="s">
        <v>3041</v>
      </c>
      <c r="R689" t="s">
        <v>2423</v>
      </c>
      <c r="S689" t="s">
        <v>2039</v>
      </c>
      <c r="T689" s="9">
        <v>204.6798</v>
      </c>
      <c r="U689" s="9" t="s">
        <v>2101</v>
      </c>
      <c r="V689" s="9">
        <v>0.26481236699999999</v>
      </c>
      <c r="W689" t="s">
        <v>2058</v>
      </c>
      <c r="X689" t="s">
        <v>2041</v>
      </c>
      <c r="Y689" t="s">
        <v>19</v>
      </c>
      <c r="Z689" t="str">
        <f t="shared" si="24"/>
        <v>Y</v>
      </c>
      <c r="AA689" t="s">
        <v>2054</v>
      </c>
      <c r="AB689" t="s">
        <v>2990</v>
      </c>
      <c r="AC689" s="9" t="s">
        <v>2991</v>
      </c>
      <c r="AD689" s="9" t="s">
        <v>595</v>
      </c>
      <c r="AE689" s="9" t="s">
        <v>2992</v>
      </c>
      <c r="AF689" s="9" t="s">
        <v>2041</v>
      </c>
      <c r="AG689" t="s">
        <v>595</v>
      </c>
      <c r="AI689" s="9"/>
      <c r="AJ689" s="9"/>
      <c r="AK689" s="9"/>
      <c r="AL689" s="9"/>
      <c r="AM689" s="9"/>
      <c r="AN689" s="9"/>
      <c r="CD689">
        <v>239.831460674157</v>
      </c>
    </row>
    <row r="690" spans="2:82">
      <c r="B690" t="s">
        <v>19</v>
      </c>
      <c r="C690" t="s">
        <v>2987</v>
      </c>
      <c r="E690">
        <v>2019</v>
      </c>
      <c r="F690" t="s">
        <v>1030</v>
      </c>
      <c r="G690" t="s">
        <v>2035</v>
      </c>
      <c r="H690" s="22">
        <v>74.010000000000005</v>
      </c>
      <c r="I690" s="22">
        <v>-89.94</v>
      </c>
      <c r="J690" s="9">
        <v>2000</v>
      </c>
      <c r="K690" s="9">
        <v>2005</v>
      </c>
      <c r="L690" s="9">
        <v>6</v>
      </c>
      <c r="M690" t="s">
        <v>2036</v>
      </c>
      <c r="N690" t="s">
        <v>394</v>
      </c>
      <c r="O690" t="s">
        <v>394</v>
      </c>
      <c r="P690" s="9" t="s">
        <v>3042</v>
      </c>
      <c r="Q690" s="9" t="s">
        <v>3043</v>
      </c>
      <c r="R690" t="s">
        <v>2423</v>
      </c>
      <c r="S690" t="s">
        <v>2039</v>
      </c>
      <c r="T690" s="9">
        <v>211.7568</v>
      </c>
      <c r="U690" s="9" t="s">
        <v>2101</v>
      </c>
      <c r="V690" s="9">
        <v>-1.162162162</v>
      </c>
      <c r="W690" t="s">
        <v>2041</v>
      </c>
      <c r="X690" t="s">
        <v>2041</v>
      </c>
      <c r="Y690" t="s">
        <v>19</v>
      </c>
      <c r="Z690" t="str">
        <f t="shared" si="24"/>
        <v>N</v>
      </c>
      <c r="AA690" t="s">
        <v>2054</v>
      </c>
      <c r="AB690" t="s">
        <v>2990</v>
      </c>
      <c r="AC690" s="9" t="s">
        <v>2991</v>
      </c>
      <c r="AD690" s="9" t="s">
        <v>595</v>
      </c>
      <c r="AE690" s="9" t="s">
        <v>2992</v>
      </c>
      <c r="AF690" s="9" t="s">
        <v>2041</v>
      </c>
      <c r="AG690" t="s">
        <v>595</v>
      </c>
      <c r="AI690" s="9"/>
      <c r="AJ690" s="9"/>
      <c r="AK690" s="9"/>
      <c r="AL690" s="9"/>
      <c r="AM690" s="9"/>
      <c r="AN690" s="9"/>
      <c r="CD690">
        <v>244.94382022471899</v>
      </c>
    </row>
    <row r="691" spans="2:82" ht="30" customHeight="1">
      <c r="B691" t="s">
        <v>19</v>
      </c>
      <c r="C691" t="s">
        <v>2987</v>
      </c>
      <c r="E691">
        <v>2019</v>
      </c>
      <c r="F691" t="s">
        <v>1030</v>
      </c>
      <c r="G691" t="s">
        <v>2035</v>
      </c>
      <c r="H691" s="22">
        <v>54.18</v>
      </c>
      <c r="I691" s="22">
        <v>-164.83</v>
      </c>
      <c r="J691" s="9">
        <v>1994</v>
      </c>
      <c r="K691" s="9">
        <v>2015</v>
      </c>
      <c r="L691" s="9">
        <v>22</v>
      </c>
      <c r="M691" t="s">
        <v>2036</v>
      </c>
      <c r="N691" t="s">
        <v>394</v>
      </c>
      <c r="O691" t="s">
        <v>394</v>
      </c>
      <c r="P691" s="9" t="s">
        <v>3044</v>
      </c>
      <c r="Q691" s="9" t="s">
        <v>3045</v>
      </c>
      <c r="R691" t="s">
        <v>2423</v>
      </c>
      <c r="S691" t="s">
        <v>2039</v>
      </c>
      <c r="T691" s="9">
        <v>185.34469999999999</v>
      </c>
      <c r="U691" s="9" t="s">
        <v>2101</v>
      </c>
      <c r="V691" s="9">
        <v>-8.1295479000000004E-2</v>
      </c>
      <c r="W691" t="s">
        <v>2041</v>
      </c>
      <c r="X691" t="s">
        <v>2041</v>
      </c>
      <c r="Y691" t="s">
        <v>19</v>
      </c>
      <c r="Z691" t="str">
        <f t="shared" si="24"/>
        <v>Y</v>
      </c>
      <c r="AA691" t="s">
        <v>2054</v>
      </c>
      <c r="AB691" t="s">
        <v>2990</v>
      </c>
      <c r="AC691" s="9" t="s">
        <v>2991</v>
      </c>
      <c r="AD691" s="9" t="s">
        <v>595</v>
      </c>
      <c r="AE691" s="9" t="s">
        <v>2992</v>
      </c>
      <c r="AF691" s="9" t="s">
        <v>2041</v>
      </c>
      <c r="AG691" t="s">
        <v>595</v>
      </c>
      <c r="AI691" s="9"/>
      <c r="AJ691" s="9"/>
      <c r="AK691" s="9"/>
      <c r="AL691" s="9"/>
      <c r="AM691" s="9"/>
      <c r="AN691" s="9"/>
      <c r="CD691">
        <v>257.13483146067398</v>
      </c>
    </row>
    <row r="692" spans="2:82">
      <c r="B692" t="s">
        <v>19</v>
      </c>
      <c r="C692" t="s">
        <v>2987</v>
      </c>
      <c r="E692">
        <v>2019</v>
      </c>
      <c r="F692" t="s">
        <v>1030</v>
      </c>
      <c r="G692" t="s">
        <v>2035</v>
      </c>
      <c r="H692" s="22">
        <v>78.900000000000006</v>
      </c>
      <c r="I692" s="22">
        <v>12.2</v>
      </c>
      <c r="J692" s="9">
        <v>2000</v>
      </c>
      <c r="K692" s="9">
        <v>2015</v>
      </c>
      <c r="L692" s="9">
        <v>16</v>
      </c>
      <c r="M692" t="s">
        <v>2036</v>
      </c>
      <c r="N692" t="s">
        <v>394</v>
      </c>
      <c r="O692" t="s">
        <v>394</v>
      </c>
      <c r="P692" s="9" t="s">
        <v>3046</v>
      </c>
      <c r="Q692" s="9" t="s">
        <v>3047</v>
      </c>
      <c r="R692" t="s">
        <v>2423</v>
      </c>
      <c r="S692" t="s">
        <v>2039</v>
      </c>
      <c r="T692" s="9">
        <v>191.34460000000001</v>
      </c>
      <c r="U692" s="9" t="s">
        <v>2101</v>
      </c>
      <c r="V692" s="9">
        <v>-0.65180722899999999</v>
      </c>
      <c r="W692" t="s">
        <v>2041</v>
      </c>
      <c r="X692" t="s">
        <v>2041</v>
      </c>
      <c r="Y692" t="s">
        <v>19</v>
      </c>
      <c r="Z692" t="str">
        <f t="shared" si="24"/>
        <v>N</v>
      </c>
      <c r="AA692" t="s">
        <v>2054</v>
      </c>
      <c r="AB692" t="s">
        <v>2990</v>
      </c>
      <c r="AC692" s="9" t="s">
        <v>2991</v>
      </c>
      <c r="AD692" s="9" t="s">
        <v>595</v>
      </c>
      <c r="AE692" s="9" t="s">
        <v>2992</v>
      </c>
      <c r="AF692" s="9" t="s">
        <v>2041</v>
      </c>
      <c r="AG692" t="s">
        <v>595</v>
      </c>
      <c r="AI692" s="9"/>
      <c r="AJ692" s="9"/>
      <c r="AK692" s="9"/>
      <c r="AL692" s="9"/>
      <c r="AM692" s="9"/>
      <c r="AN692" s="9"/>
    </row>
    <row r="693" spans="2:82">
      <c r="B693" t="s">
        <v>19</v>
      </c>
      <c r="C693" t="s">
        <v>2987</v>
      </c>
      <c r="E693">
        <v>2019</v>
      </c>
      <c r="F693" t="s">
        <v>1030</v>
      </c>
      <c r="G693" t="s">
        <v>2035</v>
      </c>
      <c r="H693" s="22">
        <v>54.18</v>
      </c>
      <c r="I693" s="22">
        <v>-164.83</v>
      </c>
      <c r="J693" s="9">
        <v>1982</v>
      </c>
      <c r="K693" s="9">
        <v>2015</v>
      </c>
      <c r="L693" s="9">
        <v>34</v>
      </c>
      <c r="M693" t="s">
        <v>2036</v>
      </c>
      <c r="N693" t="s">
        <v>394</v>
      </c>
      <c r="O693" t="s">
        <v>394</v>
      </c>
      <c r="P693" s="9" t="s">
        <v>3048</v>
      </c>
      <c r="Q693" s="9" t="s">
        <v>3049</v>
      </c>
      <c r="R693" t="s">
        <v>2423</v>
      </c>
      <c r="S693" t="s">
        <v>2039</v>
      </c>
      <c r="T693" s="9">
        <v>211.48249999999999</v>
      </c>
      <c r="U693" s="9" t="s">
        <v>2101</v>
      </c>
      <c r="V693" s="9">
        <v>-0.742437244</v>
      </c>
      <c r="W693" t="s">
        <v>2041</v>
      </c>
      <c r="X693" t="s">
        <v>2041</v>
      </c>
      <c r="Y693" t="s">
        <v>19</v>
      </c>
      <c r="Z693" t="str">
        <f t="shared" si="24"/>
        <v>Y</v>
      </c>
      <c r="AA693" t="s">
        <v>2054</v>
      </c>
      <c r="AB693" t="s">
        <v>2990</v>
      </c>
      <c r="AC693" s="9" t="s">
        <v>2991</v>
      </c>
      <c r="AD693" s="9" t="s">
        <v>595</v>
      </c>
      <c r="AE693" s="9" t="s">
        <v>2992</v>
      </c>
      <c r="AF693" s="9" t="s">
        <v>2041</v>
      </c>
      <c r="AG693" t="s">
        <v>595</v>
      </c>
      <c r="AI693" s="9"/>
      <c r="AJ693" s="9"/>
      <c r="AK693" s="9"/>
      <c r="AL693" s="9"/>
      <c r="AM693" s="9"/>
      <c r="AN693" s="9"/>
    </row>
    <row r="694" spans="2:82">
      <c r="B694" t="s">
        <v>19</v>
      </c>
      <c r="C694" t="s">
        <v>2987</v>
      </c>
      <c r="E694">
        <v>2019</v>
      </c>
      <c r="F694" t="s">
        <v>1030</v>
      </c>
      <c r="G694" t="s">
        <v>2035</v>
      </c>
      <c r="H694" s="22">
        <v>54.18</v>
      </c>
      <c r="I694" s="22">
        <v>-164.83</v>
      </c>
      <c r="J694" s="9">
        <v>1995</v>
      </c>
      <c r="K694" s="9">
        <v>2015</v>
      </c>
      <c r="L694" s="9">
        <v>21</v>
      </c>
      <c r="M694" t="s">
        <v>2036</v>
      </c>
      <c r="N694" t="s">
        <v>394</v>
      </c>
      <c r="O694" t="s">
        <v>394</v>
      </c>
      <c r="P694" s="9" t="s">
        <v>3050</v>
      </c>
      <c r="Q694" s="9" t="s">
        <v>3051</v>
      </c>
      <c r="R694" t="s">
        <v>2423</v>
      </c>
      <c r="S694" t="s">
        <v>2039</v>
      </c>
      <c r="T694" s="9">
        <v>216.4913</v>
      </c>
      <c r="U694" s="9" t="s">
        <v>2101</v>
      </c>
      <c r="V694" s="9">
        <v>-0.52949595100000002</v>
      </c>
      <c r="W694" t="s">
        <v>2041</v>
      </c>
      <c r="X694" t="s">
        <v>2041</v>
      </c>
      <c r="Y694" t="s">
        <v>19</v>
      </c>
      <c r="Z694" t="str">
        <f t="shared" si="24"/>
        <v>Y</v>
      </c>
      <c r="AA694" t="s">
        <v>2054</v>
      </c>
      <c r="AB694" t="s">
        <v>2990</v>
      </c>
      <c r="AC694" s="9" t="s">
        <v>2991</v>
      </c>
      <c r="AD694" s="9" t="s">
        <v>595</v>
      </c>
      <c r="AE694" s="9" t="s">
        <v>2992</v>
      </c>
      <c r="AF694" s="9" t="s">
        <v>2041</v>
      </c>
      <c r="AG694" t="s">
        <v>595</v>
      </c>
      <c r="AI694" s="9"/>
      <c r="AJ694" s="9"/>
      <c r="AK694" s="9"/>
      <c r="AL694" s="9"/>
      <c r="AM694" s="9"/>
      <c r="AN694" s="9"/>
    </row>
    <row r="695" spans="2:82">
      <c r="B695" t="s">
        <v>19</v>
      </c>
      <c r="C695" t="s">
        <v>2987</v>
      </c>
      <c r="E695">
        <v>2019</v>
      </c>
      <c r="F695" t="s">
        <v>1030</v>
      </c>
      <c r="G695" t="s">
        <v>2035</v>
      </c>
      <c r="H695" s="22">
        <v>65.2</v>
      </c>
      <c r="I695" s="22">
        <v>10.99</v>
      </c>
      <c r="J695" s="9">
        <v>2007</v>
      </c>
      <c r="K695" s="9">
        <v>2016</v>
      </c>
      <c r="L695" s="9">
        <v>10</v>
      </c>
      <c r="M695" t="s">
        <v>2036</v>
      </c>
      <c r="N695" t="s">
        <v>394</v>
      </c>
      <c r="O695" t="s">
        <v>394</v>
      </c>
      <c r="P695" s="9" t="s">
        <v>3052</v>
      </c>
      <c r="Q695" s="9" t="s">
        <v>3053</v>
      </c>
      <c r="R695" t="s">
        <v>2423</v>
      </c>
      <c r="S695" t="s">
        <v>2039</v>
      </c>
      <c r="T695" s="9">
        <v>175.87270000000001</v>
      </c>
      <c r="U695" s="9" t="s">
        <v>2101</v>
      </c>
      <c r="V695" s="9">
        <v>-6.0606061000000003E-2</v>
      </c>
      <c r="W695" t="s">
        <v>2041</v>
      </c>
      <c r="X695" t="s">
        <v>2041</v>
      </c>
      <c r="Y695" t="s">
        <v>19</v>
      </c>
      <c r="Z695" t="str">
        <f t="shared" si="24"/>
        <v>N</v>
      </c>
      <c r="AA695" t="s">
        <v>2054</v>
      </c>
      <c r="AB695" t="s">
        <v>2990</v>
      </c>
      <c r="AC695" s="9" t="s">
        <v>2991</v>
      </c>
      <c r="AD695" s="9" t="s">
        <v>595</v>
      </c>
      <c r="AE695" s="9" t="s">
        <v>2992</v>
      </c>
      <c r="AF695" s="9" t="s">
        <v>2041</v>
      </c>
      <c r="AG695" t="s">
        <v>595</v>
      </c>
      <c r="AI695" s="9"/>
      <c r="AJ695" s="9"/>
      <c r="AK695" s="9"/>
      <c r="AL695" s="9"/>
      <c r="AM695" s="9"/>
      <c r="AN695" s="9"/>
    </row>
    <row r="696" spans="2:82">
      <c r="B696" t="s">
        <v>19</v>
      </c>
      <c r="C696" t="s">
        <v>2987</v>
      </c>
      <c r="E696">
        <v>2019</v>
      </c>
      <c r="F696" t="s">
        <v>1030</v>
      </c>
      <c r="G696" t="s">
        <v>2035</v>
      </c>
      <c r="H696" s="22">
        <v>59.58</v>
      </c>
      <c r="I696" s="22">
        <v>-151.33000000000001</v>
      </c>
      <c r="J696" s="9">
        <v>1995</v>
      </c>
      <c r="K696" s="9">
        <v>1999</v>
      </c>
      <c r="L696" s="9">
        <v>5</v>
      </c>
      <c r="M696" t="s">
        <v>2036</v>
      </c>
      <c r="N696" t="s">
        <v>394</v>
      </c>
      <c r="O696" t="s">
        <v>394</v>
      </c>
      <c r="P696" s="9" t="s">
        <v>3054</v>
      </c>
      <c r="Q696" s="9" t="s">
        <v>3055</v>
      </c>
      <c r="R696" t="s">
        <v>2423</v>
      </c>
      <c r="S696" t="s">
        <v>2039</v>
      </c>
      <c r="T696" s="9">
        <v>202.8</v>
      </c>
      <c r="U696" s="9" t="s">
        <v>2101</v>
      </c>
      <c r="V696" s="9">
        <v>-2.2000000000000002</v>
      </c>
      <c r="W696" t="s">
        <v>2041</v>
      </c>
      <c r="X696" t="s">
        <v>2041</v>
      </c>
      <c r="Y696" t="s">
        <v>19</v>
      </c>
      <c r="Z696" t="str">
        <f t="shared" si="24"/>
        <v>N</v>
      </c>
      <c r="AA696" t="s">
        <v>2054</v>
      </c>
      <c r="AB696" t="s">
        <v>2990</v>
      </c>
      <c r="AC696" s="9" t="s">
        <v>2991</v>
      </c>
      <c r="AD696" s="9" t="s">
        <v>595</v>
      </c>
      <c r="AE696" s="9" t="s">
        <v>2992</v>
      </c>
      <c r="AF696" s="9" t="s">
        <v>2041</v>
      </c>
      <c r="AG696" t="s">
        <v>595</v>
      </c>
      <c r="AI696" s="9"/>
      <c r="AJ696" s="9"/>
      <c r="AK696" s="9"/>
      <c r="AL696" s="9"/>
      <c r="AM696" s="9"/>
      <c r="AN696" s="9"/>
    </row>
    <row r="697" spans="2:82">
      <c r="B697" t="s">
        <v>19</v>
      </c>
      <c r="C697" t="s">
        <v>2987</v>
      </c>
      <c r="E697">
        <v>2019</v>
      </c>
      <c r="F697" t="s">
        <v>1030</v>
      </c>
      <c r="G697" t="s">
        <v>2035</v>
      </c>
      <c r="H697" s="22">
        <v>57.13</v>
      </c>
      <c r="I697" s="22">
        <v>-170.28</v>
      </c>
      <c r="J697" s="9">
        <v>1985</v>
      </c>
      <c r="K697" s="9">
        <v>2015</v>
      </c>
      <c r="L697" s="9">
        <v>31</v>
      </c>
      <c r="M697" t="s">
        <v>2036</v>
      </c>
      <c r="N697" t="s">
        <v>394</v>
      </c>
      <c r="O697" t="s">
        <v>394</v>
      </c>
      <c r="P697" s="9" t="s">
        <v>3056</v>
      </c>
      <c r="Q697" s="9" t="s">
        <v>3057</v>
      </c>
      <c r="R697" t="s">
        <v>2423</v>
      </c>
      <c r="S697" t="s">
        <v>2039</v>
      </c>
      <c r="T697" s="9">
        <v>183.3246</v>
      </c>
      <c r="U697" s="9" t="s">
        <v>2101</v>
      </c>
      <c r="V697" s="9">
        <v>-0.16085751600000001</v>
      </c>
      <c r="W697" t="s">
        <v>2041</v>
      </c>
      <c r="X697" t="s">
        <v>2041</v>
      </c>
      <c r="Y697" t="s">
        <v>19</v>
      </c>
      <c r="Z697" t="str">
        <f t="shared" si="24"/>
        <v>Y</v>
      </c>
      <c r="AA697" t="s">
        <v>2054</v>
      </c>
      <c r="AB697" t="s">
        <v>2990</v>
      </c>
      <c r="AC697" s="9" t="s">
        <v>2991</v>
      </c>
      <c r="AD697" s="9" t="s">
        <v>595</v>
      </c>
      <c r="AE697" s="9" t="s">
        <v>2992</v>
      </c>
      <c r="AF697" s="9" t="s">
        <v>2041</v>
      </c>
      <c r="AG697" t="s">
        <v>595</v>
      </c>
      <c r="AI697" s="9"/>
      <c r="AJ697" s="9"/>
      <c r="AK697" s="9"/>
      <c r="AL697" s="9"/>
      <c r="AM697" s="9"/>
      <c r="AN697" s="9"/>
    </row>
    <row r="698" spans="2:82">
      <c r="B698" t="s">
        <v>19</v>
      </c>
      <c r="C698" t="s">
        <v>2987</v>
      </c>
      <c r="E698">
        <v>2019</v>
      </c>
      <c r="F698" t="s">
        <v>1030</v>
      </c>
      <c r="G698" t="s">
        <v>2035</v>
      </c>
      <c r="H698" s="22">
        <v>52.35</v>
      </c>
      <c r="I698" s="22">
        <v>-176.93</v>
      </c>
      <c r="J698" s="9">
        <v>1985</v>
      </c>
      <c r="K698" s="9">
        <v>2015</v>
      </c>
      <c r="L698" s="9">
        <v>31</v>
      </c>
      <c r="M698" t="s">
        <v>2036</v>
      </c>
      <c r="N698" t="s">
        <v>394</v>
      </c>
      <c r="O698" t="s">
        <v>394</v>
      </c>
      <c r="P698" s="9" t="s">
        <v>3058</v>
      </c>
      <c r="Q698" s="9" t="s">
        <v>3059</v>
      </c>
      <c r="R698" t="s">
        <v>2423</v>
      </c>
      <c r="S698" t="s">
        <v>2039</v>
      </c>
      <c r="T698" s="9">
        <v>200.97319999999999</v>
      </c>
      <c r="U698" s="9" t="s">
        <v>2101</v>
      </c>
      <c r="V698" s="9">
        <v>-0.43783360300000002</v>
      </c>
      <c r="W698" t="s">
        <v>2041</v>
      </c>
      <c r="X698" t="s">
        <v>2041</v>
      </c>
      <c r="Y698" t="s">
        <v>19</v>
      </c>
      <c r="Z698" t="str">
        <f t="shared" si="24"/>
        <v>Y</v>
      </c>
      <c r="AA698" t="s">
        <v>2054</v>
      </c>
      <c r="AB698" t="s">
        <v>2990</v>
      </c>
      <c r="AC698" s="9" t="s">
        <v>2991</v>
      </c>
      <c r="AD698" s="9" t="s">
        <v>595</v>
      </c>
      <c r="AE698" s="9" t="s">
        <v>2992</v>
      </c>
      <c r="AF698" s="9" t="s">
        <v>2041</v>
      </c>
      <c r="AG698" t="s">
        <v>595</v>
      </c>
      <c r="AI698" s="9"/>
      <c r="AJ698" s="9"/>
      <c r="AK698" s="9"/>
      <c r="AL698" s="9"/>
      <c r="AM698" s="9"/>
      <c r="AN698" s="9"/>
    </row>
    <row r="699" spans="2:82">
      <c r="B699" t="s">
        <v>19</v>
      </c>
      <c r="C699" t="s">
        <v>2987</v>
      </c>
      <c r="E699">
        <v>2019</v>
      </c>
      <c r="F699" t="s">
        <v>1030</v>
      </c>
      <c r="G699" t="s">
        <v>2035</v>
      </c>
      <c r="H699" s="22">
        <v>58.92</v>
      </c>
      <c r="I699" s="22">
        <v>-152.16999999999999</v>
      </c>
      <c r="J699" s="9">
        <v>1982</v>
      </c>
      <c r="K699" s="9">
        <v>2016</v>
      </c>
      <c r="L699" s="9">
        <v>35</v>
      </c>
      <c r="M699" t="s">
        <v>2036</v>
      </c>
      <c r="N699" t="s">
        <v>394</v>
      </c>
      <c r="O699" t="s">
        <v>394</v>
      </c>
      <c r="P699" s="9" t="s">
        <v>3060</v>
      </c>
      <c r="Q699" s="9" t="s">
        <v>3061</v>
      </c>
      <c r="R699" t="s">
        <v>2423</v>
      </c>
      <c r="S699" t="s">
        <v>2039</v>
      </c>
      <c r="T699" s="9">
        <v>191.2834</v>
      </c>
      <c r="U699" s="9" t="s">
        <v>2101</v>
      </c>
      <c r="V699" s="9">
        <v>4.4101085999999998E-2</v>
      </c>
      <c r="W699" t="s">
        <v>2058</v>
      </c>
      <c r="X699" t="s">
        <v>2041</v>
      </c>
      <c r="Y699" t="s">
        <v>19</v>
      </c>
      <c r="Z699" t="str">
        <f t="shared" si="24"/>
        <v>Y</v>
      </c>
      <c r="AA699" t="s">
        <v>2054</v>
      </c>
      <c r="AB699" t="s">
        <v>2990</v>
      </c>
      <c r="AC699" s="9" t="s">
        <v>2991</v>
      </c>
      <c r="AD699" s="9" t="s">
        <v>595</v>
      </c>
      <c r="AE699" s="9" t="s">
        <v>2992</v>
      </c>
      <c r="AF699" s="9" t="s">
        <v>2041</v>
      </c>
      <c r="AG699" t="s">
        <v>595</v>
      </c>
      <c r="AI699" s="9"/>
      <c r="AJ699" s="9"/>
      <c r="AK699" s="9"/>
      <c r="AL699" s="9"/>
      <c r="AM699" s="9"/>
      <c r="AN699" s="9"/>
    </row>
    <row r="700" spans="2:82">
      <c r="B700" t="s">
        <v>19</v>
      </c>
      <c r="C700" t="s">
        <v>2987</v>
      </c>
      <c r="E700">
        <v>2019</v>
      </c>
      <c r="F700" t="s">
        <v>1030</v>
      </c>
      <c r="G700" t="s">
        <v>2035</v>
      </c>
      <c r="H700" s="22">
        <v>61.33</v>
      </c>
      <c r="I700" s="22">
        <v>-165.58</v>
      </c>
      <c r="J700" s="9">
        <v>1991</v>
      </c>
      <c r="K700" s="9">
        <v>2004</v>
      </c>
      <c r="L700" s="9">
        <v>14</v>
      </c>
      <c r="M700" t="s">
        <v>2036</v>
      </c>
      <c r="N700" t="s">
        <v>394</v>
      </c>
      <c r="O700" t="s">
        <v>394</v>
      </c>
      <c r="P700" s="9" t="s">
        <v>3062</v>
      </c>
      <c r="Q700" s="9" t="s">
        <v>3063</v>
      </c>
      <c r="R700" t="s">
        <v>2423</v>
      </c>
      <c r="S700" t="s">
        <v>2039</v>
      </c>
      <c r="T700" s="9">
        <v>173.5616</v>
      </c>
      <c r="U700" s="9" t="s">
        <v>2101</v>
      </c>
      <c r="V700" s="9">
        <v>-7.0316187000000002E-2</v>
      </c>
      <c r="W700" t="s">
        <v>2041</v>
      </c>
      <c r="X700" t="s">
        <v>2041</v>
      </c>
      <c r="Y700" t="s">
        <v>19</v>
      </c>
      <c r="Z700" t="str">
        <f t="shared" si="24"/>
        <v>N</v>
      </c>
      <c r="AA700" t="s">
        <v>2054</v>
      </c>
      <c r="AB700" t="s">
        <v>2990</v>
      </c>
      <c r="AC700" s="9" t="s">
        <v>2991</v>
      </c>
      <c r="AD700" s="9" t="s">
        <v>595</v>
      </c>
      <c r="AE700" s="9" t="s">
        <v>2992</v>
      </c>
      <c r="AF700" s="9" t="s">
        <v>2041</v>
      </c>
      <c r="AG700" t="s">
        <v>595</v>
      </c>
      <c r="AI700" s="9"/>
      <c r="AJ700" s="9"/>
      <c r="AK700" s="9"/>
      <c r="AL700" s="9"/>
      <c r="AM700" s="9"/>
      <c r="AN700" s="9"/>
    </row>
    <row r="701" spans="2:82">
      <c r="B701" t="s">
        <v>19</v>
      </c>
      <c r="C701" t="s">
        <v>2987</v>
      </c>
      <c r="E701">
        <v>2019</v>
      </c>
      <c r="F701" t="s">
        <v>1030</v>
      </c>
      <c r="G701" t="s">
        <v>2035</v>
      </c>
      <c r="H701" s="22">
        <v>61.33</v>
      </c>
      <c r="I701" s="22">
        <v>-165.58</v>
      </c>
      <c r="J701" s="9">
        <v>1991</v>
      </c>
      <c r="K701" s="9">
        <v>1995</v>
      </c>
      <c r="L701" s="9">
        <v>5</v>
      </c>
      <c r="M701" t="s">
        <v>2036</v>
      </c>
      <c r="N701" t="s">
        <v>394</v>
      </c>
      <c r="O701" t="s">
        <v>394</v>
      </c>
      <c r="P701" s="9" t="s">
        <v>3064</v>
      </c>
      <c r="Q701" s="9" t="s">
        <v>3065</v>
      </c>
      <c r="R701" t="s">
        <v>2423</v>
      </c>
      <c r="S701" t="s">
        <v>2039</v>
      </c>
      <c r="T701" s="9">
        <v>174.2</v>
      </c>
      <c r="U701" s="9" t="s">
        <v>2101</v>
      </c>
      <c r="V701" s="9">
        <v>-1.1000000000000001</v>
      </c>
      <c r="W701" t="s">
        <v>2041</v>
      </c>
      <c r="X701" t="s">
        <v>2041</v>
      </c>
      <c r="Y701" t="s">
        <v>19</v>
      </c>
      <c r="Z701" t="str">
        <f t="shared" si="24"/>
        <v>N</v>
      </c>
      <c r="AA701" t="s">
        <v>2054</v>
      </c>
      <c r="AB701" t="s">
        <v>2990</v>
      </c>
      <c r="AC701" s="9" t="s">
        <v>2991</v>
      </c>
      <c r="AD701" s="9" t="s">
        <v>595</v>
      </c>
      <c r="AE701" s="9" t="s">
        <v>2992</v>
      </c>
      <c r="AF701" s="9" t="s">
        <v>2041</v>
      </c>
      <c r="AG701" t="s">
        <v>595</v>
      </c>
      <c r="AI701" s="9"/>
      <c r="AJ701" s="9"/>
      <c r="AK701" s="9"/>
      <c r="AL701" s="9"/>
      <c r="AM701" s="9"/>
      <c r="AN701" s="9"/>
    </row>
    <row r="702" spans="2:82">
      <c r="B702" t="s">
        <v>19</v>
      </c>
      <c r="C702" t="s">
        <v>2987</v>
      </c>
      <c r="E702">
        <v>2019</v>
      </c>
      <c r="F702" t="s">
        <v>1030</v>
      </c>
      <c r="G702" t="s">
        <v>2035</v>
      </c>
      <c r="H702" s="22">
        <v>74.47</v>
      </c>
      <c r="I702" s="22">
        <v>-20.57</v>
      </c>
      <c r="J702" s="9">
        <v>1997</v>
      </c>
      <c r="K702" s="9">
        <v>2005</v>
      </c>
      <c r="L702" s="9">
        <v>9</v>
      </c>
      <c r="M702" t="s">
        <v>2036</v>
      </c>
      <c r="N702" t="s">
        <v>394</v>
      </c>
      <c r="O702" t="s">
        <v>394</v>
      </c>
      <c r="P702" s="9" t="s">
        <v>3066</v>
      </c>
      <c r="Q702" s="9" t="s">
        <v>3067</v>
      </c>
      <c r="R702" t="s">
        <v>2423</v>
      </c>
      <c r="S702" t="s">
        <v>2039</v>
      </c>
      <c r="T702" s="9">
        <v>189.6</v>
      </c>
      <c r="U702" s="9" t="s">
        <v>2101</v>
      </c>
      <c r="V702" s="9">
        <v>-0.31666666700000001</v>
      </c>
      <c r="W702" t="s">
        <v>2041</v>
      </c>
      <c r="X702" t="s">
        <v>2041</v>
      </c>
      <c r="Y702" t="s">
        <v>19</v>
      </c>
      <c r="Z702" t="str">
        <f t="shared" si="24"/>
        <v>N</v>
      </c>
      <c r="AA702" t="s">
        <v>2054</v>
      </c>
      <c r="AB702" t="s">
        <v>2990</v>
      </c>
      <c r="AC702" s="9" t="s">
        <v>2991</v>
      </c>
      <c r="AD702" s="9" t="s">
        <v>595</v>
      </c>
      <c r="AE702" s="9" t="s">
        <v>2992</v>
      </c>
      <c r="AF702" s="9" t="s">
        <v>2041</v>
      </c>
      <c r="AG702" t="s">
        <v>595</v>
      </c>
      <c r="AI702" s="9"/>
      <c r="AJ702" s="9"/>
      <c r="AK702" s="9"/>
      <c r="AL702" s="9"/>
      <c r="AM702" s="9"/>
      <c r="AN702" s="9"/>
    </row>
    <row r="703" spans="2:82">
      <c r="B703" t="s">
        <v>19</v>
      </c>
      <c r="C703" t="s">
        <v>2987</v>
      </c>
      <c r="E703">
        <v>2019</v>
      </c>
      <c r="F703" t="s">
        <v>1030</v>
      </c>
      <c r="G703" t="s">
        <v>2035</v>
      </c>
      <c r="H703" s="22">
        <v>75.83</v>
      </c>
      <c r="I703" s="22">
        <v>-96.31</v>
      </c>
      <c r="J703" s="9">
        <v>2007</v>
      </c>
      <c r="K703" s="9">
        <v>2011</v>
      </c>
      <c r="L703" s="9">
        <v>5</v>
      </c>
      <c r="M703" t="s">
        <v>2036</v>
      </c>
      <c r="N703" t="s">
        <v>394</v>
      </c>
      <c r="O703" t="s">
        <v>394</v>
      </c>
      <c r="P703" s="9" t="s">
        <v>3068</v>
      </c>
      <c r="Q703" s="9" t="s">
        <v>3069</v>
      </c>
      <c r="R703" t="s">
        <v>2423</v>
      </c>
      <c r="S703" t="s">
        <v>2039</v>
      </c>
      <c r="T703" s="9">
        <v>211.4</v>
      </c>
      <c r="U703" s="9" t="s">
        <v>2101</v>
      </c>
      <c r="V703" s="9">
        <v>-1.1000000000000001</v>
      </c>
      <c r="W703" t="s">
        <v>2041</v>
      </c>
      <c r="X703" t="s">
        <v>2041</v>
      </c>
      <c r="Y703" t="s">
        <v>19</v>
      </c>
      <c r="Z703" t="str">
        <f t="shared" si="24"/>
        <v>N</v>
      </c>
      <c r="AA703" t="s">
        <v>2054</v>
      </c>
      <c r="AB703" t="s">
        <v>2990</v>
      </c>
      <c r="AC703" s="9" t="s">
        <v>2991</v>
      </c>
      <c r="AD703" s="9" t="s">
        <v>595</v>
      </c>
      <c r="AE703" s="9" t="s">
        <v>2992</v>
      </c>
      <c r="AF703" s="9" t="s">
        <v>2041</v>
      </c>
      <c r="AG703" t="s">
        <v>595</v>
      </c>
      <c r="AI703" s="9"/>
      <c r="AJ703" s="9"/>
      <c r="AK703" s="9"/>
      <c r="AL703" s="9"/>
      <c r="AM703" s="9"/>
      <c r="AN703" s="9"/>
    </row>
    <row r="704" spans="2:82">
      <c r="B704" t="s">
        <v>19</v>
      </c>
      <c r="C704" t="s">
        <v>2987</v>
      </c>
      <c r="E704">
        <v>2019</v>
      </c>
      <c r="F704" t="s">
        <v>1030</v>
      </c>
      <c r="G704" t="s">
        <v>2035</v>
      </c>
      <c r="H704" s="22">
        <v>54.18</v>
      </c>
      <c r="I704" s="22">
        <v>-164.83</v>
      </c>
      <c r="J704" s="9">
        <v>1997</v>
      </c>
      <c r="K704" s="9">
        <v>2015</v>
      </c>
      <c r="L704" s="9">
        <v>19</v>
      </c>
      <c r="M704" t="s">
        <v>2036</v>
      </c>
      <c r="N704" t="s">
        <v>394</v>
      </c>
      <c r="O704" t="s">
        <v>394</v>
      </c>
      <c r="P704" s="9" t="s">
        <v>3070</v>
      </c>
      <c r="Q704" s="9" t="s">
        <v>3071</v>
      </c>
      <c r="R704" t="s">
        <v>2423</v>
      </c>
      <c r="S704" t="s">
        <v>2039</v>
      </c>
      <c r="T704" s="9">
        <v>186.23159999999999</v>
      </c>
      <c r="U704" s="9" t="s">
        <v>2101</v>
      </c>
      <c r="V704" s="9">
        <v>-0.207017544</v>
      </c>
      <c r="W704" t="s">
        <v>2041</v>
      </c>
      <c r="X704" t="s">
        <v>2041</v>
      </c>
      <c r="Y704" t="s">
        <v>19</v>
      </c>
      <c r="Z704" t="str">
        <f t="shared" si="24"/>
        <v>Y</v>
      </c>
      <c r="AA704" t="s">
        <v>2054</v>
      </c>
      <c r="AB704" t="s">
        <v>2990</v>
      </c>
      <c r="AC704" s="9" t="s">
        <v>2991</v>
      </c>
      <c r="AD704" s="9" t="s">
        <v>595</v>
      </c>
      <c r="AE704" s="9" t="s">
        <v>2992</v>
      </c>
      <c r="AF704" s="9" t="s">
        <v>2041</v>
      </c>
      <c r="AG704" t="s">
        <v>595</v>
      </c>
      <c r="AI704" s="9"/>
      <c r="AJ704" s="9"/>
      <c r="AK704" s="9"/>
      <c r="AL704" s="9"/>
      <c r="AM704" s="9"/>
      <c r="AN704" s="9"/>
    </row>
    <row r="705" spans="2:40">
      <c r="B705" t="s">
        <v>19</v>
      </c>
      <c r="C705" t="s">
        <v>2987</v>
      </c>
      <c r="E705">
        <v>2019</v>
      </c>
      <c r="F705" t="s">
        <v>1030</v>
      </c>
      <c r="G705" t="s">
        <v>2035</v>
      </c>
      <c r="H705" s="22">
        <v>54.18</v>
      </c>
      <c r="I705" s="22">
        <v>-164.83</v>
      </c>
      <c r="J705" s="9">
        <v>1982</v>
      </c>
      <c r="K705" s="9">
        <v>2015</v>
      </c>
      <c r="L705" s="9">
        <v>34</v>
      </c>
      <c r="M705" t="s">
        <v>2036</v>
      </c>
      <c r="N705" t="s">
        <v>394</v>
      </c>
      <c r="O705" t="s">
        <v>394</v>
      </c>
      <c r="P705" s="9" t="s">
        <v>3072</v>
      </c>
      <c r="Q705" s="9" t="s">
        <v>3073</v>
      </c>
      <c r="R705" t="s">
        <v>2423</v>
      </c>
      <c r="S705" t="s">
        <v>2039</v>
      </c>
      <c r="T705" s="9">
        <v>214.9759</v>
      </c>
      <c r="U705" s="9" t="s">
        <v>2101</v>
      </c>
      <c r="V705" s="9">
        <v>7.0104085999999996E-2</v>
      </c>
      <c r="W705" t="s">
        <v>2058</v>
      </c>
      <c r="X705" t="s">
        <v>2041</v>
      </c>
      <c r="Y705" t="s">
        <v>19</v>
      </c>
      <c r="Z705" t="str">
        <f t="shared" si="24"/>
        <v>Y</v>
      </c>
      <c r="AA705" t="s">
        <v>2054</v>
      </c>
      <c r="AB705" t="s">
        <v>2990</v>
      </c>
      <c r="AC705" s="9" t="s">
        <v>2991</v>
      </c>
      <c r="AD705" s="9" t="s">
        <v>595</v>
      </c>
      <c r="AE705" s="9" t="s">
        <v>2992</v>
      </c>
      <c r="AF705" s="9" t="s">
        <v>2041</v>
      </c>
      <c r="AG705" t="s">
        <v>595</v>
      </c>
      <c r="AI705" s="9"/>
      <c r="AJ705" s="9"/>
      <c r="AK705" s="9"/>
      <c r="AL705" s="9"/>
      <c r="AM705" s="9"/>
      <c r="AN705" s="9"/>
    </row>
    <row r="706" spans="2:40">
      <c r="B706" t="s">
        <v>19</v>
      </c>
      <c r="C706" t="s">
        <v>2987</v>
      </c>
      <c r="E706">
        <v>2019</v>
      </c>
      <c r="F706" t="s">
        <v>1030</v>
      </c>
      <c r="G706" t="s">
        <v>2035</v>
      </c>
      <c r="H706" s="22">
        <v>54.18</v>
      </c>
      <c r="I706" s="22">
        <v>-164.83</v>
      </c>
      <c r="J706" s="9">
        <v>1982</v>
      </c>
      <c r="K706" s="9">
        <v>2016</v>
      </c>
      <c r="L706" s="9">
        <v>35</v>
      </c>
      <c r="M706" t="s">
        <v>2036</v>
      </c>
      <c r="N706" t="s">
        <v>394</v>
      </c>
      <c r="O706" t="s">
        <v>394</v>
      </c>
      <c r="P706" s="9" t="s">
        <v>3074</v>
      </c>
      <c r="Q706" s="9" t="s">
        <v>3075</v>
      </c>
      <c r="R706" t="s">
        <v>2423</v>
      </c>
      <c r="S706" t="s">
        <v>2039</v>
      </c>
      <c r="T706" s="9">
        <v>215.10220000000001</v>
      </c>
      <c r="U706" s="9" t="s">
        <v>2101</v>
      </c>
      <c r="V706" s="9">
        <v>-0.31422850699999999</v>
      </c>
      <c r="W706" t="s">
        <v>2041</v>
      </c>
      <c r="X706" t="s">
        <v>2041</v>
      </c>
      <c r="Y706" t="s">
        <v>19</v>
      </c>
      <c r="Z706" t="str">
        <f t="shared" ref="Z706:Z769" si="26">IF(L706&gt;=19,"Y","N")</f>
        <v>Y</v>
      </c>
      <c r="AA706" t="s">
        <v>2054</v>
      </c>
      <c r="AB706" t="s">
        <v>2990</v>
      </c>
      <c r="AC706" s="9" t="s">
        <v>2991</v>
      </c>
      <c r="AD706" s="9" t="s">
        <v>595</v>
      </c>
      <c r="AE706" s="9" t="s">
        <v>2992</v>
      </c>
      <c r="AF706" s="9" t="s">
        <v>2041</v>
      </c>
      <c r="AG706" t="s">
        <v>595</v>
      </c>
      <c r="AI706" s="9"/>
      <c r="AJ706" s="9"/>
      <c r="AK706" s="9"/>
      <c r="AL706" s="9"/>
      <c r="AM706" s="9"/>
      <c r="AN706" s="9"/>
    </row>
    <row r="707" spans="2:40">
      <c r="B707" t="s">
        <v>19</v>
      </c>
      <c r="C707" t="s">
        <v>2987</v>
      </c>
      <c r="E707">
        <v>2019</v>
      </c>
      <c r="F707" t="s">
        <v>1030</v>
      </c>
      <c r="G707" t="s">
        <v>2035</v>
      </c>
      <c r="H707" s="22">
        <v>75.83</v>
      </c>
      <c r="I707" s="22">
        <v>-96.31</v>
      </c>
      <c r="J707" s="9">
        <v>1998</v>
      </c>
      <c r="K707" s="9">
        <v>2012</v>
      </c>
      <c r="L707" s="9">
        <v>15</v>
      </c>
      <c r="M707" t="s">
        <v>2036</v>
      </c>
      <c r="N707" t="s">
        <v>394</v>
      </c>
      <c r="O707" t="s">
        <v>394</v>
      </c>
      <c r="P707" s="9" t="s">
        <v>3076</v>
      </c>
      <c r="Q707" s="9" t="s">
        <v>3077</v>
      </c>
      <c r="R707" t="s">
        <v>2423</v>
      </c>
      <c r="S707" t="s">
        <v>2039</v>
      </c>
      <c r="T707" s="9">
        <v>193.74289999999999</v>
      </c>
      <c r="U707" s="9" t="s">
        <v>2101</v>
      </c>
      <c r="V707" s="9">
        <v>0.68761904799999995</v>
      </c>
      <c r="W707" t="s">
        <v>2058</v>
      </c>
      <c r="X707" t="s">
        <v>2041</v>
      </c>
      <c r="Y707" t="s">
        <v>19</v>
      </c>
      <c r="Z707" t="str">
        <f t="shared" si="26"/>
        <v>N</v>
      </c>
      <c r="AA707" t="s">
        <v>2054</v>
      </c>
      <c r="AB707" t="s">
        <v>2990</v>
      </c>
      <c r="AC707" s="9" t="s">
        <v>2991</v>
      </c>
      <c r="AD707" s="9" t="s">
        <v>595</v>
      </c>
      <c r="AE707" s="9" t="s">
        <v>2992</v>
      </c>
      <c r="AF707" s="9" t="s">
        <v>2041</v>
      </c>
      <c r="AG707" t="s">
        <v>595</v>
      </c>
      <c r="AI707" s="9"/>
      <c r="AJ707" s="9"/>
      <c r="AK707" s="9"/>
      <c r="AL707" s="9"/>
      <c r="AM707" s="9"/>
      <c r="AN707" s="9"/>
    </row>
    <row r="708" spans="2:40">
      <c r="B708" t="s">
        <v>19</v>
      </c>
      <c r="C708" t="s">
        <v>3078</v>
      </c>
      <c r="E708">
        <v>2019</v>
      </c>
      <c r="F708" t="s">
        <v>2861</v>
      </c>
      <c r="G708" t="s">
        <v>2035</v>
      </c>
      <c r="H708" s="6">
        <v>71.33</v>
      </c>
      <c r="I708" s="6">
        <v>-155.68333333333334</v>
      </c>
      <c r="J708" s="6">
        <v>1976</v>
      </c>
      <c r="K708" s="6">
        <v>2017</v>
      </c>
      <c r="L708" s="6">
        <f t="shared" ref="L708:L771" si="27">K708-J708+1</f>
        <v>42</v>
      </c>
      <c r="M708" t="s">
        <v>2036</v>
      </c>
      <c r="N708" t="s">
        <v>394</v>
      </c>
      <c r="O708" t="s">
        <v>394</v>
      </c>
      <c r="P708" t="s">
        <v>3079</v>
      </c>
      <c r="Q708" t="s">
        <v>3080</v>
      </c>
      <c r="R708" t="s">
        <v>3081</v>
      </c>
      <c r="S708" t="s">
        <v>2039</v>
      </c>
      <c r="T708">
        <v>183</v>
      </c>
      <c r="U708" t="s">
        <v>2101</v>
      </c>
      <c r="V708">
        <f>-7.8/4.2</f>
        <v>-1.857142857142857</v>
      </c>
      <c r="W708" t="s">
        <v>2041</v>
      </c>
      <c r="X708" t="s">
        <v>2041</v>
      </c>
      <c r="Y708" t="s">
        <v>19</v>
      </c>
      <c r="Z708" t="str">
        <f t="shared" si="26"/>
        <v>Y</v>
      </c>
      <c r="AA708" t="s">
        <v>3082</v>
      </c>
      <c r="AB708" t="s">
        <v>3083</v>
      </c>
      <c r="AC708" t="s">
        <v>3084</v>
      </c>
      <c r="AD708" t="s">
        <v>595</v>
      </c>
      <c r="AE708" t="s">
        <v>2992</v>
      </c>
      <c r="AF708" t="s">
        <v>2041</v>
      </c>
      <c r="AG708" t="s">
        <v>595</v>
      </c>
    </row>
    <row r="709" spans="2:40">
      <c r="B709" t="s">
        <v>19</v>
      </c>
      <c r="C709" t="s">
        <v>3085</v>
      </c>
      <c r="E709">
        <v>2019</v>
      </c>
      <c r="F709" t="s">
        <v>3086</v>
      </c>
      <c r="G709" t="s">
        <v>2035</v>
      </c>
      <c r="H709" s="6">
        <v>73</v>
      </c>
      <c r="I709" s="6">
        <v>125</v>
      </c>
      <c r="J709" s="6">
        <v>1982</v>
      </c>
      <c r="K709" s="6">
        <v>2013</v>
      </c>
      <c r="L709" s="6">
        <f t="shared" si="27"/>
        <v>32</v>
      </c>
      <c r="M709" t="s">
        <v>2036</v>
      </c>
      <c r="N709" t="s">
        <v>394</v>
      </c>
      <c r="O709" t="s">
        <v>394</v>
      </c>
      <c r="P709" t="s">
        <v>3087</v>
      </c>
      <c r="Q709" t="s">
        <v>3088</v>
      </c>
      <c r="R709" t="s">
        <v>2480</v>
      </c>
      <c r="S709" t="s">
        <v>2039</v>
      </c>
      <c r="T709" t="s">
        <v>163</v>
      </c>
      <c r="U709" t="s">
        <v>2101</v>
      </c>
      <c r="V709" t="s">
        <v>163</v>
      </c>
      <c r="W709" t="s">
        <v>2041</v>
      </c>
      <c r="X709" t="s">
        <v>2041</v>
      </c>
      <c r="Y709" t="s">
        <v>19</v>
      </c>
      <c r="Z709" t="str">
        <f t="shared" si="26"/>
        <v>Y</v>
      </c>
      <c r="AA709" t="s">
        <v>3089</v>
      </c>
      <c r="AB709" t="s">
        <v>2873</v>
      </c>
      <c r="AC709" t="s">
        <v>3090</v>
      </c>
      <c r="AD709" t="s">
        <v>595</v>
      </c>
      <c r="AE709" t="s">
        <v>3091</v>
      </c>
      <c r="AF709" t="s">
        <v>2041</v>
      </c>
      <c r="AG709" t="s">
        <v>595</v>
      </c>
      <c r="AH709">
        <v>1</v>
      </c>
    </row>
    <row r="710" spans="2:40" ht="15.5">
      <c r="B710" t="s">
        <v>393</v>
      </c>
      <c r="C710" t="s">
        <v>3092</v>
      </c>
      <c r="D710" t="s">
        <v>3093</v>
      </c>
      <c r="E710">
        <v>2022</v>
      </c>
      <c r="F710" t="s">
        <v>3094</v>
      </c>
      <c r="G710" t="s">
        <v>2035</v>
      </c>
      <c r="H710" s="6">
        <v>59.43</v>
      </c>
      <c r="I710" s="6">
        <v>-146.33000000000001</v>
      </c>
      <c r="J710" s="6">
        <v>1996</v>
      </c>
      <c r="K710" s="6">
        <v>2019</v>
      </c>
      <c r="L710" s="6">
        <f t="shared" si="27"/>
        <v>24</v>
      </c>
      <c r="M710" t="s">
        <v>2036</v>
      </c>
      <c r="N710" t="s">
        <v>394</v>
      </c>
      <c r="O710" t="s">
        <v>394</v>
      </c>
      <c r="P710" s="23" t="s">
        <v>2380</v>
      </c>
      <c r="Q710" s="9" t="s">
        <v>465</v>
      </c>
      <c r="R710" t="s">
        <v>3095</v>
      </c>
      <c r="S710" t="s">
        <v>2039</v>
      </c>
      <c r="V710" t="s">
        <v>3096</v>
      </c>
      <c r="W710" t="s">
        <v>2041</v>
      </c>
      <c r="X710" t="s">
        <v>2041</v>
      </c>
      <c r="Y710" t="s">
        <v>393</v>
      </c>
      <c r="Z710" t="str">
        <f t="shared" si="26"/>
        <v>Y</v>
      </c>
      <c r="AA710" t="s">
        <v>3097</v>
      </c>
      <c r="AB710" t="s">
        <v>3098</v>
      </c>
      <c r="AC710" s="9" t="s">
        <v>3099</v>
      </c>
    </row>
    <row r="711" spans="2:40">
      <c r="B711" t="s">
        <v>393</v>
      </c>
      <c r="C711" t="s">
        <v>3092</v>
      </c>
      <c r="D711" t="s">
        <v>3093</v>
      </c>
      <c r="E711">
        <v>2022</v>
      </c>
      <c r="F711" t="s">
        <v>3100</v>
      </c>
      <c r="G711" t="s">
        <v>2035</v>
      </c>
      <c r="H711" s="6">
        <v>62.93</v>
      </c>
      <c r="I711" s="6">
        <v>-81.92</v>
      </c>
      <c r="J711" s="6">
        <v>1990</v>
      </c>
      <c r="K711" s="6">
        <v>2019</v>
      </c>
      <c r="L711" s="6">
        <f t="shared" si="27"/>
        <v>30</v>
      </c>
      <c r="M711" t="s">
        <v>2036</v>
      </c>
      <c r="N711" t="s">
        <v>394</v>
      </c>
      <c r="O711" t="s">
        <v>394</v>
      </c>
      <c r="P711" t="s">
        <v>3101</v>
      </c>
      <c r="Q711" s="9" t="s">
        <v>469</v>
      </c>
      <c r="R711" t="s">
        <v>3095</v>
      </c>
      <c r="S711" t="s">
        <v>2039</v>
      </c>
      <c r="V711" t="s">
        <v>3102</v>
      </c>
      <c r="W711" t="s">
        <v>2041</v>
      </c>
      <c r="X711" t="s">
        <v>2041</v>
      </c>
      <c r="Y711" t="s">
        <v>393</v>
      </c>
      <c r="Z711" t="str">
        <f t="shared" si="26"/>
        <v>Y</v>
      </c>
      <c r="AA711" t="s">
        <v>3097</v>
      </c>
      <c r="AB711" t="s">
        <v>3098</v>
      </c>
      <c r="AC711" s="9" t="s">
        <v>3103</v>
      </c>
    </row>
    <row r="712" spans="2:40">
      <c r="B712" t="s">
        <v>393</v>
      </c>
      <c r="C712" t="s">
        <v>3104</v>
      </c>
      <c r="D712" t="s">
        <v>3105</v>
      </c>
      <c r="E712">
        <v>2022</v>
      </c>
      <c r="F712" t="s">
        <v>3106</v>
      </c>
      <c r="G712" t="s">
        <v>2035</v>
      </c>
      <c r="H712" s="6">
        <v>74.010000000000005</v>
      </c>
      <c r="I712" s="6">
        <v>-90.02</v>
      </c>
      <c r="J712" s="6">
        <v>1975</v>
      </c>
      <c r="K712" s="6">
        <v>2009</v>
      </c>
      <c r="L712" s="6">
        <f t="shared" si="27"/>
        <v>35</v>
      </c>
      <c r="M712" t="s">
        <v>2036</v>
      </c>
      <c r="N712" t="s">
        <v>394</v>
      </c>
      <c r="O712" t="s">
        <v>394</v>
      </c>
      <c r="P712" t="s">
        <v>497</v>
      </c>
      <c r="Q712" s="9" t="s">
        <v>988</v>
      </c>
      <c r="R712" t="s">
        <v>3107</v>
      </c>
      <c r="S712" t="s">
        <v>2039</v>
      </c>
      <c r="V712">
        <v>0.41339999999999999</v>
      </c>
      <c r="W712" t="s">
        <v>2058</v>
      </c>
      <c r="X712" t="s">
        <v>2041</v>
      </c>
      <c r="Y712" t="s">
        <v>393</v>
      </c>
      <c r="Z712" t="str">
        <f t="shared" si="26"/>
        <v>Y</v>
      </c>
      <c r="AA712" t="s">
        <v>3108</v>
      </c>
      <c r="AB712" t="s">
        <v>3109</v>
      </c>
      <c r="AC712" s="9" t="s">
        <v>3110</v>
      </c>
    </row>
    <row r="713" spans="2:40">
      <c r="B713" t="s">
        <v>393</v>
      </c>
      <c r="C713" t="s">
        <v>3104</v>
      </c>
      <c r="D713" t="s">
        <v>3105</v>
      </c>
      <c r="E713">
        <v>2022</v>
      </c>
      <c r="F713" t="s">
        <v>3106</v>
      </c>
      <c r="G713" t="s">
        <v>2035</v>
      </c>
      <c r="H713" s="6">
        <v>74.010000000000005</v>
      </c>
      <c r="I713" s="6">
        <v>-90.02</v>
      </c>
      <c r="J713" s="6">
        <v>2000</v>
      </c>
      <c r="K713" s="6">
        <v>2014</v>
      </c>
      <c r="L713" s="6">
        <f t="shared" si="27"/>
        <v>15</v>
      </c>
      <c r="M713" t="s">
        <v>2036</v>
      </c>
      <c r="N713" t="s">
        <v>394</v>
      </c>
      <c r="O713" t="s">
        <v>394</v>
      </c>
      <c r="P713" t="s">
        <v>3111</v>
      </c>
      <c r="Q713" t="s">
        <v>443</v>
      </c>
      <c r="R713" t="s">
        <v>3107</v>
      </c>
      <c r="S713" t="s">
        <v>2039</v>
      </c>
      <c r="V713">
        <v>2.3780000000000001</v>
      </c>
      <c r="W713" t="s">
        <v>2058</v>
      </c>
      <c r="X713" t="s">
        <v>2058</v>
      </c>
      <c r="Y713" t="s">
        <v>393</v>
      </c>
      <c r="Z713" t="str">
        <f t="shared" si="26"/>
        <v>N</v>
      </c>
      <c r="AA713" t="s">
        <v>3108</v>
      </c>
      <c r="AB713" t="s">
        <v>3109</v>
      </c>
      <c r="AC713" s="9" t="s">
        <v>3110</v>
      </c>
    </row>
    <row r="714" spans="2:40">
      <c r="B714" t="s">
        <v>393</v>
      </c>
      <c r="C714" t="s">
        <v>3104</v>
      </c>
      <c r="D714" t="s">
        <v>3105</v>
      </c>
      <c r="E714">
        <v>2022</v>
      </c>
      <c r="F714" t="s">
        <v>3106</v>
      </c>
      <c r="G714" t="s">
        <v>2035</v>
      </c>
      <c r="H714" s="6">
        <v>74.010000000000005</v>
      </c>
      <c r="I714" s="6">
        <v>-90.02</v>
      </c>
      <c r="J714" s="6">
        <v>1976</v>
      </c>
      <c r="K714" s="6">
        <v>2012</v>
      </c>
      <c r="L714" s="6">
        <f t="shared" si="27"/>
        <v>37</v>
      </c>
      <c r="M714" t="s">
        <v>2036</v>
      </c>
      <c r="N714" t="s">
        <v>394</v>
      </c>
      <c r="O714" t="s">
        <v>394</v>
      </c>
      <c r="P714" t="s">
        <v>2380</v>
      </c>
      <c r="Q714" t="s">
        <v>465</v>
      </c>
      <c r="R714" t="s">
        <v>3107</v>
      </c>
      <c r="S714" t="s">
        <v>2039</v>
      </c>
      <c r="V714">
        <v>1.1819999999999999</v>
      </c>
      <c r="W714" t="s">
        <v>2058</v>
      </c>
      <c r="X714" t="s">
        <v>2041</v>
      </c>
      <c r="Y714" t="s">
        <v>393</v>
      </c>
      <c r="Z714" t="str">
        <f t="shared" si="26"/>
        <v>Y</v>
      </c>
      <c r="AA714" t="s">
        <v>3108</v>
      </c>
      <c r="AB714" t="s">
        <v>3109</v>
      </c>
      <c r="AC714" s="9" t="s">
        <v>3110</v>
      </c>
    </row>
    <row r="715" spans="2:40">
      <c r="B715" t="s">
        <v>393</v>
      </c>
      <c r="C715" t="s">
        <v>3104</v>
      </c>
      <c r="D715" t="s">
        <v>3105</v>
      </c>
      <c r="E715">
        <v>2022</v>
      </c>
      <c r="F715" t="s">
        <v>3106</v>
      </c>
      <c r="G715" t="s">
        <v>2035</v>
      </c>
      <c r="H715" s="6">
        <v>74.010000000000005</v>
      </c>
      <c r="I715" s="6">
        <v>-90.02</v>
      </c>
      <c r="J715" s="6">
        <v>1975</v>
      </c>
      <c r="K715" s="6">
        <v>2014</v>
      </c>
      <c r="L715" s="6">
        <f t="shared" si="27"/>
        <v>40</v>
      </c>
      <c r="M715" t="s">
        <v>2036</v>
      </c>
      <c r="N715" t="s">
        <v>394</v>
      </c>
      <c r="O715" t="s">
        <v>394</v>
      </c>
      <c r="P715" s="9" t="s">
        <v>3074</v>
      </c>
      <c r="Q715" t="s">
        <v>469</v>
      </c>
      <c r="R715" t="s">
        <v>3107</v>
      </c>
      <c r="S715" t="s">
        <v>2039</v>
      </c>
      <c r="V715">
        <v>-0.83199999999999996</v>
      </c>
      <c r="W715" t="s">
        <v>2041</v>
      </c>
      <c r="X715" t="s">
        <v>2041</v>
      </c>
      <c r="Y715" t="s">
        <v>393</v>
      </c>
      <c r="Z715" t="str">
        <f t="shared" si="26"/>
        <v>Y</v>
      </c>
      <c r="AA715" t="s">
        <v>3108</v>
      </c>
      <c r="AB715" t="s">
        <v>3109</v>
      </c>
      <c r="AC715" s="9" t="s">
        <v>3110</v>
      </c>
    </row>
    <row r="716" spans="2:40">
      <c r="B716" t="s">
        <v>393</v>
      </c>
      <c r="C716" t="s">
        <v>3112</v>
      </c>
      <c r="D716" t="s">
        <v>3113</v>
      </c>
      <c r="E716">
        <v>2018</v>
      </c>
      <c r="F716" t="s">
        <v>3114</v>
      </c>
      <c r="G716" t="s">
        <v>505</v>
      </c>
      <c r="H716" s="6">
        <v>-66.7</v>
      </c>
      <c r="I716" s="6">
        <v>140</v>
      </c>
      <c r="J716" s="6">
        <v>1952</v>
      </c>
      <c r="K716" s="6">
        <v>2014</v>
      </c>
      <c r="L716" s="6">
        <f t="shared" si="27"/>
        <v>63</v>
      </c>
      <c r="M716" t="s">
        <v>2036</v>
      </c>
      <c r="N716" t="s">
        <v>394</v>
      </c>
      <c r="O716" t="s">
        <v>394</v>
      </c>
      <c r="P716" t="s">
        <v>3115</v>
      </c>
      <c r="Q716" t="s">
        <v>645</v>
      </c>
      <c r="R716" t="s">
        <v>3116</v>
      </c>
      <c r="V716">
        <v>0.3</v>
      </c>
      <c r="W716" t="str">
        <f t="shared" ref="W716:W721" si="28">IF(V716&lt;0,"Y","N")</f>
        <v>N</v>
      </c>
      <c r="X716" t="s">
        <v>2041</v>
      </c>
      <c r="Z716" t="str">
        <f t="shared" si="26"/>
        <v>Y</v>
      </c>
      <c r="AA716" t="s">
        <v>2054</v>
      </c>
      <c r="AB716" t="s">
        <v>3117</v>
      </c>
      <c r="AC716" s="9" t="s">
        <v>3118</v>
      </c>
      <c r="AD716" s="9" t="s">
        <v>3118</v>
      </c>
      <c r="AE716" s="9" t="s">
        <v>3118</v>
      </c>
      <c r="AF716" s="9" t="s">
        <v>3118</v>
      </c>
      <c r="AG716" s="9" t="s">
        <v>3118</v>
      </c>
    </row>
    <row r="717" spans="2:40">
      <c r="B717" t="s">
        <v>393</v>
      </c>
      <c r="C717" t="s">
        <v>3112</v>
      </c>
      <c r="D717" t="s">
        <v>3113</v>
      </c>
      <c r="E717">
        <v>2018</v>
      </c>
      <c r="F717" t="s">
        <v>3114</v>
      </c>
      <c r="G717" t="s">
        <v>505</v>
      </c>
      <c r="H717" s="6">
        <v>-66.7</v>
      </c>
      <c r="I717" s="6">
        <v>140</v>
      </c>
      <c r="J717" s="6">
        <v>1952</v>
      </c>
      <c r="K717" s="6">
        <v>2014</v>
      </c>
      <c r="L717" s="6">
        <f t="shared" si="27"/>
        <v>63</v>
      </c>
      <c r="M717" t="s">
        <v>2036</v>
      </c>
      <c r="N717" t="s">
        <v>394</v>
      </c>
      <c r="O717" t="s">
        <v>394</v>
      </c>
      <c r="P717" t="s">
        <v>3119</v>
      </c>
      <c r="Q717" t="s">
        <v>2319</v>
      </c>
      <c r="R717" t="s">
        <v>3116</v>
      </c>
      <c r="V717">
        <v>-0.3</v>
      </c>
      <c r="W717" t="str">
        <f t="shared" si="28"/>
        <v>Y</v>
      </c>
      <c r="X717" t="s">
        <v>2041</v>
      </c>
      <c r="Z717" t="str">
        <f t="shared" si="26"/>
        <v>Y</v>
      </c>
      <c r="AA717" t="s">
        <v>2054</v>
      </c>
      <c r="AB717" t="s">
        <v>3117</v>
      </c>
      <c r="AC717" s="9" t="s">
        <v>3118</v>
      </c>
    </row>
    <row r="718" spans="2:40">
      <c r="B718" t="s">
        <v>393</v>
      </c>
      <c r="C718" t="s">
        <v>3112</v>
      </c>
      <c r="D718" t="s">
        <v>3113</v>
      </c>
      <c r="E718">
        <v>2018</v>
      </c>
      <c r="F718" t="s">
        <v>3114</v>
      </c>
      <c r="G718" t="s">
        <v>505</v>
      </c>
      <c r="H718" s="6">
        <v>-66.7</v>
      </c>
      <c r="I718" s="6">
        <v>140</v>
      </c>
      <c r="J718" s="6">
        <v>1952</v>
      </c>
      <c r="K718" s="6">
        <v>2014</v>
      </c>
      <c r="L718" s="6">
        <f t="shared" si="27"/>
        <v>63</v>
      </c>
      <c r="M718" t="s">
        <v>2036</v>
      </c>
      <c r="N718" t="s">
        <v>394</v>
      </c>
      <c r="O718" t="s">
        <v>394</v>
      </c>
      <c r="P718" t="s">
        <v>3120</v>
      </c>
      <c r="Q718" t="s">
        <v>982</v>
      </c>
      <c r="R718" t="s">
        <v>3116</v>
      </c>
      <c r="V718">
        <v>0.6</v>
      </c>
      <c r="W718" t="str">
        <f t="shared" si="28"/>
        <v>N</v>
      </c>
      <c r="X718" t="s">
        <v>2041</v>
      </c>
      <c r="Z718" t="str">
        <f t="shared" si="26"/>
        <v>Y</v>
      </c>
      <c r="AA718" t="s">
        <v>2054</v>
      </c>
      <c r="AB718" t="s">
        <v>3117</v>
      </c>
      <c r="AC718" s="9" t="s">
        <v>3118</v>
      </c>
    </row>
    <row r="719" spans="2:40">
      <c r="B719" t="s">
        <v>393</v>
      </c>
      <c r="C719" t="s">
        <v>3112</v>
      </c>
      <c r="D719" t="s">
        <v>3113</v>
      </c>
      <c r="E719">
        <v>2018</v>
      </c>
      <c r="F719" t="s">
        <v>3114</v>
      </c>
      <c r="G719" t="s">
        <v>505</v>
      </c>
      <c r="H719" s="6">
        <v>-66.7</v>
      </c>
      <c r="I719" s="6">
        <v>140</v>
      </c>
      <c r="J719" s="6">
        <v>1952</v>
      </c>
      <c r="K719" s="6">
        <v>2014</v>
      </c>
      <c r="L719" s="6">
        <f t="shared" si="27"/>
        <v>63</v>
      </c>
      <c r="M719" t="s">
        <v>2036</v>
      </c>
      <c r="N719" t="s">
        <v>394</v>
      </c>
      <c r="O719" t="s">
        <v>394</v>
      </c>
      <c r="P719" t="s">
        <v>3121</v>
      </c>
      <c r="Q719" t="s">
        <v>2322</v>
      </c>
      <c r="R719" t="s">
        <v>3116</v>
      </c>
      <c r="V719">
        <v>0.2</v>
      </c>
      <c r="W719" t="str">
        <f t="shared" si="28"/>
        <v>N</v>
      </c>
      <c r="X719" t="s">
        <v>2041</v>
      </c>
      <c r="Z719" t="str">
        <f t="shared" si="26"/>
        <v>Y</v>
      </c>
      <c r="AA719" t="s">
        <v>2054</v>
      </c>
      <c r="AB719" t="s">
        <v>3117</v>
      </c>
      <c r="AC719" s="9" t="s">
        <v>3118</v>
      </c>
    </row>
    <row r="720" spans="2:40">
      <c r="B720" t="s">
        <v>393</v>
      </c>
      <c r="C720" t="s">
        <v>3112</v>
      </c>
      <c r="D720" t="s">
        <v>3113</v>
      </c>
      <c r="E720">
        <v>2018</v>
      </c>
      <c r="F720" t="s">
        <v>3114</v>
      </c>
      <c r="G720" t="s">
        <v>505</v>
      </c>
      <c r="H720" s="6">
        <v>-66.7</v>
      </c>
      <c r="I720" s="6">
        <v>140</v>
      </c>
      <c r="J720" s="6">
        <v>1952</v>
      </c>
      <c r="K720" s="6">
        <v>2006</v>
      </c>
      <c r="L720" s="6">
        <f t="shared" si="27"/>
        <v>55</v>
      </c>
      <c r="M720" t="s">
        <v>2036</v>
      </c>
      <c r="N720" t="s">
        <v>394</v>
      </c>
      <c r="O720" t="s">
        <v>394</v>
      </c>
      <c r="P720" t="s">
        <v>3122</v>
      </c>
      <c r="Q720" t="s">
        <v>2314</v>
      </c>
      <c r="R720" t="s">
        <v>3116</v>
      </c>
      <c r="V720">
        <v>0</v>
      </c>
      <c r="W720" t="str">
        <f t="shared" si="28"/>
        <v>N</v>
      </c>
      <c r="X720" t="s">
        <v>2041</v>
      </c>
      <c r="Z720" t="str">
        <f t="shared" si="26"/>
        <v>Y</v>
      </c>
      <c r="AA720" t="s">
        <v>2054</v>
      </c>
      <c r="AB720" t="s">
        <v>3117</v>
      </c>
      <c r="AC720" s="9" t="s">
        <v>3118</v>
      </c>
    </row>
    <row r="721" spans="1:29">
      <c r="B721" t="s">
        <v>393</v>
      </c>
      <c r="C721" t="s">
        <v>3112</v>
      </c>
      <c r="D721" t="s">
        <v>3113</v>
      </c>
      <c r="E721">
        <v>2018</v>
      </c>
      <c r="F721" t="s">
        <v>3114</v>
      </c>
      <c r="G721" t="s">
        <v>505</v>
      </c>
      <c r="H721" s="6">
        <v>-66.7</v>
      </c>
      <c r="I721" s="6">
        <v>140</v>
      </c>
      <c r="J721" s="6">
        <v>1958</v>
      </c>
      <c r="K721" s="6">
        <v>2014</v>
      </c>
      <c r="L721" s="6">
        <f t="shared" si="27"/>
        <v>57</v>
      </c>
      <c r="M721" t="s">
        <v>2036</v>
      </c>
      <c r="N721" t="s">
        <v>394</v>
      </c>
      <c r="O721" t="s">
        <v>394</v>
      </c>
      <c r="P721" t="s">
        <v>3123</v>
      </c>
      <c r="Q721" t="s">
        <v>422</v>
      </c>
      <c r="R721" t="s">
        <v>3116</v>
      </c>
      <c r="V721">
        <v>1.7000000000000002</v>
      </c>
      <c r="W721" t="str">
        <f t="shared" si="28"/>
        <v>N</v>
      </c>
      <c r="X721" t="s">
        <v>2041</v>
      </c>
      <c r="Z721" t="str">
        <f t="shared" si="26"/>
        <v>Y</v>
      </c>
      <c r="AA721" t="s">
        <v>2054</v>
      </c>
      <c r="AB721" t="s">
        <v>3117</v>
      </c>
      <c r="AC721" s="9" t="s">
        <v>3118</v>
      </c>
    </row>
    <row r="722" spans="1:29">
      <c r="A722">
        <v>441</v>
      </c>
      <c r="B722" t="s">
        <v>2074</v>
      </c>
      <c r="C722" t="s">
        <v>2381</v>
      </c>
      <c r="E722">
        <v>1996</v>
      </c>
      <c r="F722" t="s">
        <v>1214</v>
      </c>
      <c r="G722" t="s">
        <v>2035</v>
      </c>
      <c r="H722" s="6">
        <v>54.19</v>
      </c>
      <c r="I722" s="6">
        <v>7.9</v>
      </c>
      <c r="J722" s="6">
        <v>1975</v>
      </c>
      <c r="K722" s="6">
        <v>1993</v>
      </c>
      <c r="L722" s="6">
        <f t="shared" si="27"/>
        <v>19</v>
      </c>
      <c r="M722" t="s">
        <v>2036</v>
      </c>
      <c r="N722" t="s">
        <v>2141</v>
      </c>
      <c r="O722" t="s">
        <v>2217</v>
      </c>
      <c r="P722" t="s">
        <v>2217</v>
      </c>
      <c r="Q722" t="s">
        <v>163</v>
      </c>
      <c r="V722">
        <v>-32.11</v>
      </c>
      <c r="W722" t="s">
        <v>2041</v>
      </c>
      <c r="X722" t="s">
        <v>2041</v>
      </c>
      <c r="Y722" t="s">
        <v>2889</v>
      </c>
      <c r="Z722" t="str">
        <f t="shared" si="26"/>
        <v>Y</v>
      </c>
    </row>
    <row r="723" spans="1:29">
      <c r="A723">
        <v>442</v>
      </c>
      <c r="B723" t="s">
        <v>2074</v>
      </c>
      <c r="C723" t="s">
        <v>2381</v>
      </c>
      <c r="E723">
        <v>1996</v>
      </c>
      <c r="F723" t="s">
        <v>1214</v>
      </c>
      <c r="G723" t="s">
        <v>2035</v>
      </c>
      <c r="H723" s="6">
        <v>54.19</v>
      </c>
      <c r="I723" s="6">
        <v>7.9</v>
      </c>
      <c r="J723" s="6">
        <v>1975</v>
      </c>
      <c r="K723" s="6">
        <v>1993</v>
      </c>
      <c r="L723" s="6">
        <f t="shared" si="27"/>
        <v>19</v>
      </c>
      <c r="M723" t="s">
        <v>2036</v>
      </c>
      <c r="N723" t="s">
        <v>2141</v>
      </c>
      <c r="O723" t="s">
        <v>2217</v>
      </c>
      <c r="P723" t="s">
        <v>2217</v>
      </c>
      <c r="Q723" t="s">
        <v>163</v>
      </c>
      <c r="V723">
        <v>-26.32</v>
      </c>
      <c r="W723" t="s">
        <v>2041</v>
      </c>
      <c r="X723" t="s">
        <v>2041</v>
      </c>
      <c r="Y723" t="s">
        <v>2889</v>
      </c>
      <c r="Z723" t="str">
        <f t="shared" si="26"/>
        <v>Y</v>
      </c>
    </row>
    <row r="724" spans="1:29">
      <c r="B724" t="s">
        <v>393</v>
      </c>
      <c r="C724" t="s">
        <v>3112</v>
      </c>
      <c r="D724" t="s">
        <v>3113</v>
      </c>
      <c r="E724">
        <v>2018</v>
      </c>
      <c r="F724" t="s">
        <v>3124</v>
      </c>
      <c r="G724" t="s">
        <v>554</v>
      </c>
      <c r="H724" s="6">
        <v>54.11</v>
      </c>
      <c r="I724" s="6">
        <v>-164.49</v>
      </c>
      <c r="J724" s="6">
        <v>1997</v>
      </c>
      <c r="K724" s="6">
        <v>2015</v>
      </c>
      <c r="L724" s="6">
        <f t="shared" si="27"/>
        <v>19</v>
      </c>
      <c r="M724" t="s">
        <v>2036</v>
      </c>
      <c r="N724" t="s">
        <v>394</v>
      </c>
      <c r="O724" t="s">
        <v>394</v>
      </c>
      <c r="P724" t="s">
        <v>3125</v>
      </c>
      <c r="Q724" t="s">
        <v>2093</v>
      </c>
      <c r="R724" t="s">
        <v>3126</v>
      </c>
      <c r="V724">
        <v>-2.2000000000000002</v>
      </c>
      <c r="W724" t="str">
        <f>IF(V724&lt;0,"Y","N")</f>
        <v>Y</v>
      </c>
      <c r="X724" t="s">
        <v>2041</v>
      </c>
      <c r="Z724" t="str">
        <f t="shared" si="26"/>
        <v>Y</v>
      </c>
      <c r="AA724" t="s">
        <v>2054</v>
      </c>
      <c r="AB724" t="s">
        <v>3117</v>
      </c>
      <c r="AC724" s="9" t="s">
        <v>3118</v>
      </c>
    </row>
    <row r="725" spans="1:29">
      <c r="B725" t="s">
        <v>393</v>
      </c>
      <c r="C725" t="s">
        <v>3112</v>
      </c>
      <c r="D725" t="s">
        <v>3113</v>
      </c>
      <c r="E725">
        <v>2018</v>
      </c>
      <c r="F725" t="s">
        <v>3124</v>
      </c>
      <c r="G725" t="s">
        <v>554</v>
      </c>
      <c r="H725" s="6">
        <v>54.11</v>
      </c>
      <c r="I725" s="6">
        <v>-164.49</v>
      </c>
      <c r="J725" s="6">
        <v>1995</v>
      </c>
      <c r="K725" s="6">
        <v>2015</v>
      </c>
      <c r="L725" s="6">
        <f t="shared" si="27"/>
        <v>21</v>
      </c>
      <c r="M725" t="s">
        <v>2036</v>
      </c>
      <c r="N725" t="s">
        <v>394</v>
      </c>
      <c r="O725" t="s">
        <v>394</v>
      </c>
      <c r="P725" t="s">
        <v>2291</v>
      </c>
      <c r="Q725" t="s">
        <v>984</v>
      </c>
      <c r="R725" t="s">
        <v>3126</v>
      </c>
      <c r="V725">
        <v>1.9</v>
      </c>
      <c r="W725" t="str">
        <f>IF(V725&lt;0,"Y","N")</f>
        <v>N</v>
      </c>
      <c r="X725" t="s">
        <v>2041</v>
      </c>
      <c r="Z725" t="str">
        <f t="shared" si="26"/>
        <v>Y</v>
      </c>
      <c r="AA725" t="s">
        <v>2054</v>
      </c>
      <c r="AB725" t="s">
        <v>3117</v>
      </c>
      <c r="AC725" s="9" t="s">
        <v>3118</v>
      </c>
    </row>
    <row r="726" spans="1:29">
      <c r="B726" t="s">
        <v>393</v>
      </c>
      <c r="C726" t="s">
        <v>3112</v>
      </c>
      <c r="D726" t="s">
        <v>3113</v>
      </c>
      <c r="E726">
        <v>2018</v>
      </c>
      <c r="F726" t="s">
        <v>3124</v>
      </c>
      <c r="G726" t="s">
        <v>554</v>
      </c>
      <c r="H726" s="6">
        <v>54.11</v>
      </c>
      <c r="I726" s="6">
        <v>-164.49</v>
      </c>
      <c r="J726" s="6">
        <v>1996</v>
      </c>
      <c r="K726" s="6">
        <v>2015</v>
      </c>
      <c r="L726" s="6">
        <f t="shared" si="27"/>
        <v>20</v>
      </c>
      <c r="M726" t="s">
        <v>2036</v>
      </c>
      <c r="N726" t="s">
        <v>394</v>
      </c>
      <c r="O726" t="s">
        <v>394</v>
      </c>
      <c r="P726" t="s">
        <v>3127</v>
      </c>
      <c r="Q726" t="s">
        <v>3128</v>
      </c>
      <c r="R726" t="s">
        <v>3126</v>
      </c>
      <c r="V726">
        <v>-2.3000000000000003</v>
      </c>
      <c r="W726" t="str">
        <f t="shared" ref="W726:W789" si="29">IF(V726&lt;0,"Y","N")</f>
        <v>Y</v>
      </c>
      <c r="X726" t="s">
        <v>2041</v>
      </c>
      <c r="Z726" t="str">
        <f t="shared" si="26"/>
        <v>Y</v>
      </c>
      <c r="AA726" t="s">
        <v>2054</v>
      </c>
      <c r="AB726" t="s">
        <v>3117</v>
      </c>
      <c r="AC726" s="9" t="s">
        <v>3118</v>
      </c>
    </row>
    <row r="727" spans="1:29">
      <c r="A727" s="2"/>
      <c r="B727" t="s">
        <v>393</v>
      </c>
      <c r="C727" t="s">
        <v>3112</v>
      </c>
      <c r="D727" t="s">
        <v>3113</v>
      </c>
      <c r="E727">
        <v>2018</v>
      </c>
      <c r="F727" t="s">
        <v>3124</v>
      </c>
      <c r="G727" t="s">
        <v>554</v>
      </c>
      <c r="H727" s="6">
        <v>54.11</v>
      </c>
      <c r="I727" s="6">
        <v>-164.49</v>
      </c>
      <c r="J727" s="6">
        <v>1995</v>
      </c>
      <c r="K727" s="6">
        <v>2015</v>
      </c>
      <c r="L727" s="6">
        <f t="shared" si="27"/>
        <v>21</v>
      </c>
      <c r="M727" t="s">
        <v>2036</v>
      </c>
      <c r="N727" t="s">
        <v>394</v>
      </c>
      <c r="O727" t="s">
        <v>394</v>
      </c>
      <c r="P727" t="s">
        <v>3129</v>
      </c>
      <c r="Q727" t="s">
        <v>448</v>
      </c>
      <c r="R727" t="s">
        <v>3126</v>
      </c>
      <c r="V727">
        <v>-0.3</v>
      </c>
      <c r="W727" t="str">
        <f t="shared" si="29"/>
        <v>Y</v>
      </c>
      <c r="X727" t="s">
        <v>2041</v>
      </c>
      <c r="Z727" t="str">
        <f t="shared" si="26"/>
        <v>Y</v>
      </c>
      <c r="AA727" t="s">
        <v>2054</v>
      </c>
      <c r="AB727" t="s">
        <v>3117</v>
      </c>
      <c r="AC727" s="9" t="s">
        <v>3118</v>
      </c>
    </row>
    <row r="728" spans="1:29">
      <c r="A728" s="2"/>
      <c r="B728" t="s">
        <v>393</v>
      </c>
      <c r="C728" t="s">
        <v>3112</v>
      </c>
      <c r="D728" t="s">
        <v>3113</v>
      </c>
      <c r="E728">
        <v>2018</v>
      </c>
      <c r="F728" t="s">
        <v>3124</v>
      </c>
      <c r="G728" t="s">
        <v>554</v>
      </c>
      <c r="H728" s="6">
        <v>54.11</v>
      </c>
      <c r="I728" s="6">
        <v>-164.49</v>
      </c>
      <c r="J728" s="6">
        <v>1996</v>
      </c>
      <c r="K728" s="6">
        <v>2015</v>
      </c>
      <c r="L728" s="6">
        <f t="shared" si="27"/>
        <v>20</v>
      </c>
      <c r="M728" t="s">
        <v>2036</v>
      </c>
      <c r="N728" t="s">
        <v>394</v>
      </c>
      <c r="O728" t="s">
        <v>394</v>
      </c>
      <c r="P728" t="s">
        <v>3130</v>
      </c>
      <c r="Q728" t="s">
        <v>3131</v>
      </c>
      <c r="R728" t="s">
        <v>3126</v>
      </c>
      <c r="V728">
        <v>-5.2</v>
      </c>
      <c r="W728" t="str">
        <f t="shared" si="29"/>
        <v>Y</v>
      </c>
      <c r="X728" t="s">
        <v>2041</v>
      </c>
      <c r="Z728" t="str">
        <f t="shared" si="26"/>
        <v>Y</v>
      </c>
      <c r="AA728" t="s">
        <v>2054</v>
      </c>
      <c r="AB728" t="s">
        <v>3117</v>
      </c>
      <c r="AC728" s="9" t="s">
        <v>3118</v>
      </c>
    </row>
    <row r="729" spans="1:29">
      <c r="B729" t="s">
        <v>393</v>
      </c>
      <c r="C729" t="s">
        <v>3112</v>
      </c>
      <c r="D729" t="s">
        <v>3113</v>
      </c>
      <c r="E729">
        <v>2018</v>
      </c>
      <c r="F729" t="s">
        <v>3124</v>
      </c>
      <c r="G729" t="s">
        <v>554</v>
      </c>
      <c r="H729" s="6">
        <v>54.11</v>
      </c>
      <c r="I729" s="6">
        <v>-164.49</v>
      </c>
      <c r="J729" s="6">
        <v>1996</v>
      </c>
      <c r="K729" s="6">
        <v>2015</v>
      </c>
      <c r="L729" s="6">
        <f t="shared" si="27"/>
        <v>20</v>
      </c>
      <c r="M729" t="s">
        <v>2036</v>
      </c>
      <c r="N729" t="s">
        <v>394</v>
      </c>
      <c r="O729" t="s">
        <v>394</v>
      </c>
      <c r="P729" t="s">
        <v>3132</v>
      </c>
      <c r="Q729" t="s">
        <v>3133</v>
      </c>
      <c r="R729" t="s">
        <v>3126</v>
      </c>
      <c r="V729">
        <v>-5.6999999999999993</v>
      </c>
      <c r="W729" t="str">
        <f t="shared" si="29"/>
        <v>Y</v>
      </c>
      <c r="X729" t="s">
        <v>2041</v>
      </c>
      <c r="Z729" t="str">
        <f t="shared" si="26"/>
        <v>Y</v>
      </c>
      <c r="AA729" t="s">
        <v>2054</v>
      </c>
      <c r="AB729" t="s">
        <v>3117</v>
      </c>
      <c r="AC729" s="9" t="s">
        <v>3118</v>
      </c>
    </row>
    <row r="730" spans="1:29">
      <c r="B730" t="s">
        <v>393</v>
      </c>
      <c r="C730" t="s">
        <v>3112</v>
      </c>
      <c r="D730" t="s">
        <v>3113</v>
      </c>
      <c r="E730">
        <v>2018</v>
      </c>
      <c r="F730" t="s">
        <v>3124</v>
      </c>
      <c r="G730" t="s">
        <v>554</v>
      </c>
      <c r="H730" s="6">
        <v>54.11</v>
      </c>
      <c r="I730" s="6">
        <v>-164.49</v>
      </c>
      <c r="J730" s="6">
        <v>1995</v>
      </c>
      <c r="K730" s="6">
        <v>2015</v>
      </c>
      <c r="L730" s="6">
        <f t="shared" si="27"/>
        <v>21</v>
      </c>
      <c r="M730" t="s">
        <v>2036</v>
      </c>
      <c r="N730" t="s">
        <v>394</v>
      </c>
      <c r="O730" t="s">
        <v>394</v>
      </c>
      <c r="P730" t="s">
        <v>2371</v>
      </c>
      <c r="Q730" t="s">
        <v>469</v>
      </c>
      <c r="R730" t="s">
        <v>3126</v>
      </c>
      <c r="V730">
        <v>-2.2000000000000002</v>
      </c>
      <c r="W730" t="str">
        <f t="shared" si="29"/>
        <v>Y</v>
      </c>
      <c r="X730" t="s">
        <v>2041</v>
      </c>
      <c r="Z730" t="str">
        <f t="shared" si="26"/>
        <v>Y</v>
      </c>
      <c r="AA730" t="s">
        <v>2054</v>
      </c>
      <c r="AB730" t="s">
        <v>3117</v>
      </c>
      <c r="AC730" s="9" t="s">
        <v>3118</v>
      </c>
    </row>
    <row r="731" spans="1:29">
      <c r="B731" t="s">
        <v>393</v>
      </c>
      <c r="C731" t="s">
        <v>3112</v>
      </c>
      <c r="D731" t="s">
        <v>3113</v>
      </c>
      <c r="E731">
        <v>2018</v>
      </c>
      <c r="F731" t="s">
        <v>3124</v>
      </c>
      <c r="G731" t="s">
        <v>554</v>
      </c>
      <c r="H731" s="6">
        <v>54.11</v>
      </c>
      <c r="I731" s="6">
        <v>-164.49</v>
      </c>
      <c r="J731" s="6">
        <v>1995</v>
      </c>
      <c r="K731" s="6">
        <v>2015</v>
      </c>
      <c r="L731" s="6">
        <f t="shared" si="27"/>
        <v>21</v>
      </c>
      <c r="M731" t="s">
        <v>2036</v>
      </c>
      <c r="N731" t="s">
        <v>394</v>
      </c>
      <c r="O731" t="s">
        <v>394</v>
      </c>
      <c r="P731" t="s">
        <v>3134</v>
      </c>
      <c r="Q731" t="s">
        <v>2085</v>
      </c>
      <c r="R731" t="s">
        <v>3126</v>
      </c>
      <c r="V731">
        <v>1.1000000000000001</v>
      </c>
      <c r="W731" t="str">
        <f t="shared" si="29"/>
        <v>N</v>
      </c>
      <c r="X731" t="s">
        <v>2041</v>
      </c>
      <c r="Z731" t="str">
        <f t="shared" si="26"/>
        <v>Y</v>
      </c>
      <c r="AA731" t="s">
        <v>2054</v>
      </c>
      <c r="AB731" t="s">
        <v>3117</v>
      </c>
      <c r="AC731" s="9" t="s">
        <v>3118</v>
      </c>
    </row>
    <row r="732" spans="1:29">
      <c r="B732" t="s">
        <v>393</v>
      </c>
      <c r="C732" t="s">
        <v>3112</v>
      </c>
      <c r="D732" t="s">
        <v>3113</v>
      </c>
      <c r="E732">
        <v>2018</v>
      </c>
      <c r="F732" t="s">
        <v>3135</v>
      </c>
      <c r="G732" t="s">
        <v>554</v>
      </c>
      <c r="H732" s="6">
        <v>55.15</v>
      </c>
      <c r="I732" s="6">
        <v>-5.12</v>
      </c>
      <c r="J732" s="6">
        <v>1982</v>
      </c>
      <c r="K732" s="6">
        <v>2009</v>
      </c>
      <c r="L732" s="6">
        <f t="shared" si="27"/>
        <v>28</v>
      </c>
      <c r="M732" t="s">
        <v>2036</v>
      </c>
      <c r="N732" t="s">
        <v>394</v>
      </c>
      <c r="O732" t="s">
        <v>394</v>
      </c>
      <c r="P732" t="s">
        <v>3136</v>
      </c>
      <c r="Q732" t="s">
        <v>2939</v>
      </c>
      <c r="R732" t="s">
        <v>3137</v>
      </c>
      <c r="V732">
        <v>5.4</v>
      </c>
      <c r="W732" t="str">
        <f t="shared" si="29"/>
        <v>N</v>
      </c>
      <c r="X732" t="s">
        <v>2041</v>
      </c>
      <c r="Z732" t="str">
        <f t="shared" si="26"/>
        <v>Y</v>
      </c>
      <c r="AA732" t="s">
        <v>2054</v>
      </c>
      <c r="AB732" t="s">
        <v>3117</v>
      </c>
      <c r="AC732" s="9" t="s">
        <v>3118</v>
      </c>
    </row>
    <row r="733" spans="1:29">
      <c r="B733" t="s">
        <v>393</v>
      </c>
      <c r="C733" t="s">
        <v>3112</v>
      </c>
      <c r="D733" t="s">
        <v>3113</v>
      </c>
      <c r="E733">
        <v>2018</v>
      </c>
      <c r="F733" t="s">
        <v>3138</v>
      </c>
      <c r="G733" t="s">
        <v>554</v>
      </c>
      <c r="H733" s="6">
        <v>69.040000000000006</v>
      </c>
      <c r="I733" s="6">
        <v>15.1</v>
      </c>
      <c r="J733" s="6">
        <v>2005</v>
      </c>
      <c r="K733" s="6">
        <v>2013</v>
      </c>
      <c r="L733" s="6">
        <f t="shared" si="27"/>
        <v>9</v>
      </c>
      <c r="M733" t="s">
        <v>2036</v>
      </c>
      <c r="N733" t="s">
        <v>394</v>
      </c>
      <c r="O733" t="s">
        <v>394</v>
      </c>
      <c r="P733" t="s">
        <v>3139</v>
      </c>
      <c r="Q733" t="s">
        <v>997</v>
      </c>
      <c r="R733" t="s">
        <v>3126</v>
      </c>
      <c r="V733">
        <v>0.5</v>
      </c>
      <c r="W733" t="str">
        <f t="shared" si="29"/>
        <v>N</v>
      </c>
      <c r="X733" t="s">
        <v>2058</v>
      </c>
      <c r="Z733" t="str">
        <f t="shared" si="26"/>
        <v>N</v>
      </c>
      <c r="AA733" t="s">
        <v>2054</v>
      </c>
      <c r="AB733" t="s">
        <v>3117</v>
      </c>
      <c r="AC733" s="9" t="s">
        <v>3118</v>
      </c>
    </row>
    <row r="734" spans="1:29">
      <c r="B734" t="s">
        <v>393</v>
      </c>
      <c r="C734" t="s">
        <v>3112</v>
      </c>
      <c r="D734" t="s">
        <v>3113</v>
      </c>
      <c r="E734">
        <v>2018</v>
      </c>
      <c r="F734" t="s">
        <v>3138</v>
      </c>
      <c r="G734" t="s">
        <v>554</v>
      </c>
      <c r="H734" s="6">
        <v>69.040000000000006</v>
      </c>
      <c r="I734" s="6">
        <v>15.1</v>
      </c>
      <c r="J734" s="6">
        <v>2006</v>
      </c>
      <c r="K734" s="6">
        <v>2013</v>
      </c>
      <c r="L734" s="6">
        <f t="shared" si="27"/>
        <v>8</v>
      </c>
      <c r="M734" t="s">
        <v>2036</v>
      </c>
      <c r="N734" t="s">
        <v>394</v>
      </c>
      <c r="O734" t="s">
        <v>394</v>
      </c>
      <c r="P734" t="s">
        <v>2293</v>
      </c>
      <c r="Q734" t="s">
        <v>465</v>
      </c>
      <c r="R734" t="s">
        <v>3126</v>
      </c>
      <c r="V734">
        <v>-3.5</v>
      </c>
      <c r="W734" t="str">
        <f t="shared" si="29"/>
        <v>Y</v>
      </c>
      <c r="X734" t="s">
        <v>2058</v>
      </c>
      <c r="Z734" t="str">
        <f t="shared" si="26"/>
        <v>N</v>
      </c>
      <c r="AA734" t="s">
        <v>2054</v>
      </c>
      <c r="AB734" t="s">
        <v>3117</v>
      </c>
      <c r="AC734" s="9" t="s">
        <v>3118</v>
      </c>
    </row>
    <row r="735" spans="1:29">
      <c r="B735" t="s">
        <v>393</v>
      </c>
      <c r="C735" t="s">
        <v>3112</v>
      </c>
      <c r="D735" t="s">
        <v>3113</v>
      </c>
      <c r="E735">
        <v>2018</v>
      </c>
      <c r="F735" t="s">
        <v>3140</v>
      </c>
      <c r="G735" t="s">
        <v>505</v>
      </c>
      <c r="H735" s="6">
        <v>-4.0999999999999996</v>
      </c>
      <c r="I735" s="6">
        <v>55.4</v>
      </c>
      <c r="J735" s="6">
        <v>1985</v>
      </c>
      <c r="K735" s="6">
        <v>2011</v>
      </c>
      <c r="L735" s="6">
        <f t="shared" si="27"/>
        <v>27</v>
      </c>
      <c r="M735" t="s">
        <v>2036</v>
      </c>
      <c r="N735" t="s">
        <v>394</v>
      </c>
      <c r="O735" t="s">
        <v>394</v>
      </c>
      <c r="P735" t="s">
        <v>3141</v>
      </c>
      <c r="Q735" t="s">
        <v>538</v>
      </c>
      <c r="R735" t="s">
        <v>3142</v>
      </c>
      <c r="V735">
        <v>-1.1000000000000001</v>
      </c>
      <c r="W735" t="str">
        <f t="shared" si="29"/>
        <v>Y</v>
      </c>
      <c r="X735" t="s">
        <v>2041</v>
      </c>
      <c r="Z735" t="str">
        <f t="shared" si="26"/>
        <v>Y</v>
      </c>
      <c r="AA735" t="s">
        <v>2054</v>
      </c>
      <c r="AB735" t="s">
        <v>3117</v>
      </c>
      <c r="AC735" s="9" t="s">
        <v>3118</v>
      </c>
    </row>
    <row r="736" spans="1:29">
      <c r="B736" t="s">
        <v>393</v>
      </c>
      <c r="C736" t="s">
        <v>3112</v>
      </c>
      <c r="D736" t="s">
        <v>3113</v>
      </c>
      <c r="E736">
        <v>2018</v>
      </c>
      <c r="F736" t="s">
        <v>3143</v>
      </c>
      <c r="G736" t="s">
        <v>554</v>
      </c>
      <c r="H736" s="6">
        <v>53.3</v>
      </c>
      <c r="I736" s="6">
        <v>8.11</v>
      </c>
      <c r="J736" s="6">
        <v>1992</v>
      </c>
      <c r="K736" s="6">
        <v>2015</v>
      </c>
      <c r="L736" s="6">
        <f t="shared" si="27"/>
        <v>24</v>
      </c>
      <c r="M736" t="s">
        <v>2036</v>
      </c>
      <c r="N736" t="s">
        <v>394</v>
      </c>
      <c r="O736" t="s">
        <v>394</v>
      </c>
      <c r="P736" t="s">
        <v>3144</v>
      </c>
      <c r="Q736" t="s">
        <v>459</v>
      </c>
      <c r="R736" t="s">
        <v>3145</v>
      </c>
      <c r="V736">
        <v>-3</v>
      </c>
      <c r="W736" t="str">
        <f t="shared" si="29"/>
        <v>Y</v>
      </c>
      <c r="X736" t="s">
        <v>2041</v>
      </c>
      <c r="Z736" t="str">
        <f t="shared" si="26"/>
        <v>Y</v>
      </c>
      <c r="AA736" t="s">
        <v>2054</v>
      </c>
      <c r="AB736" t="s">
        <v>3117</v>
      </c>
      <c r="AC736" s="9" t="s">
        <v>3118</v>
      </c>
    </row>
    <row r="737" spans="2:29">
      <c r="B737" t="s">
        <v>393</v>
      </c>
      <c r="C737" t="s">
        <v>3112</v>
      </c>
      <c r="D737" t="s">
        <v>3113</v>
      </c>
      <c r="E737">
        <v>2018</v>
      </c>
      <c r="F737" t="s">
        <v>3146</v>
      </c>
      <c r="G737" t="s">
        <v>505</v>
      </c>
      <c r="H737" s="6">
        <v>-67.349999999999994</v>
      </c>
      <c r="I737" s="6">
        <v>62.49</v>
      </c>
      <c r="J737" s="6">
        <v>1990</v>
      </c>
      <c r="K737" s="6">
        <v>2005</v>
      </c>
      <c r="L737" s="6">
        <f t="shared" si="27"/>
        <v>16</v>
      </c>
      <c r="M737" t="s">
        <v>2036</v>
      </c>
      <c r="N737" t="s">
        <v>394</v>
      </c>
      <c r="O737" t="s">
        <v>394</v>
      </c>
      <c r="P737" t="s">
        <v>3115</v>
      </c>
      <c r="Q737" t="s">
        <v>645</v>
      </c>
      <c r="R737" t="s">
        <v>3126</v>
      </c>
      <c r="V737">
        <v>-1.7999999999999998</v>
      </c>
      <c r="W737" t="str">
        <f t="shared" si="29"/>
        <v>Y</v>
      </c>
      <c r="X737" t="s">
        <v>2058</v>
      </c>
      <c r="Z737" t="str">
        <f t="shared" si="26"/>
        <v>N</v>
      </c>
      <c r="AA737" t="s">
        <v>2054</v>
      </c>
      <c r="AB737" t="s">
        <v>3117</v>
      </c>
      <c r="AC737" s="9" t="s">
        <v>3118</v>
      </c>
    </row>
    <row r="738" spans="2:29">
      <c r="B738" t="s">
        <v>393</v>
      </c>
      <c r="C738" t="s">
        <v>3112</v>
      </c>
      <c r="D738" t="s">
        <v>3113</v>
      </c>
      <c r="E738">
        <v>2018</v>
      </c>
      <c r="F738" t="s">
        <v>3146</v>
      </c>
      <c r="G738" t="s">
        <v>505</v>
      </c>
      <c r="H738" s="6">
        <v>-67.349999999999994</v>
      </c>
      <c r="I738" s="6">
        <v>62.49</v>
      </c>
      <c r="J738" s="6">
        <v>1990</v>
      </c>
      <c r="K738" s="6">
        <v>2005</v>
      </c>
      <c r="L738" s="6">
        <f t="shared" si="27"/>
        <v>16</v>
      </c>
      <c r="M738" t="s">
        <v>2036</v>
      </c>
      <c r="N738" t="s">
        <v>394</v>
      </c>
      <c r="O738" t="s">
        <v>394</v>
      </c>
      <c r="P738" t="s">
        <v>3115</v>
      </c>
      <c r="Q738" t="s">
        <v>645</v>
      </c>
      <c r="R738" t="s">
        <v>3137</v>
      </c>
      <c r="V738">
        <v>-1.6</v>
      </c>
      <c r="W738" t="str">
        <f t="shared" si="29"/>
        <v>Y</v>
      </c>
      <c r="X738" t="s">
        <v>2058</v>
      </c>
      <c r="Z738" t="str">
        <f t="shared" si="26"/>
        <v>N</v>
      </c>
      <c r="AA738" t="s">
        <v>2054</v>
      </c>
      <c r="AB738" t="s">
        <v>3117</v>
      </c>
      <c r="AC738" s="9" t="s">
        <v>3118</v>
      </c>
    </row>
    <row r="739" spans="2:29">
      <c r="B739" t="s">
        <v>393</v>
      </c>
      <c r="C739" t="s">
        <v>3112</v>
      </c>
      <c r="D739" t="s">
        <v>3113</v>
      </c>
      <c r="E739">
        <v>2018</v>
      </c>
      <c r="F739" t="s">
        <v>3147</v>
      </c>
      <c r="G739" t="s">
        <v>554</v>
      </c>
      <c r="H739" s="6">
        <v>38.299999999999997</v>
      </c>
      <c r="I739" s="6">
        <v>-7.0000000000000007E-2</v>
      </c>
      <c r="J739" s="6">
        <v>1993</v>
      </c>
      <c r="K739" s="6">
        <v>2015</v>
      </c>
      <c r="L739" s="6">
        <f t="shared" si="27"/>
        <v>23</v>
      </c>
      <c r="M739" t="s">
        <v>2036</v>
      </c>
      <c r="N739" t="s">
        <v>394</v>
      </c>
      <c r="O739" t="s">
        <v>394</v>
      </c>
      <c r="P739" t="s">
        <v>3148</v>
      </c>
      <c r="Q739" t="s">
        <v>3149</v>
      </c>
      <c r="R739" t="s">
        <v>3145</v>
      </c>
      <c r="V739">
        <v>0.5</v>
      </c>
      <c r="W739" t="str">
        <f t="shared" si="29"/>
        <v>N</v>
      </c>
      <c r="X739" t="s">
        <v>2041</v>
      </c>
      <c r="Z739" t="str">
        <f t="shared" si="26"/>
        <v>Y</v>
      </c>
      <c r="AA739" t="s">
        <v>2054</v>
      </c>
      <c r="AB739" t="s">
        <v>3117</v>
      </c>
      <c r="AC739" s="9" t="s">
        <v>3118</v>
      </c>
    </row>
    <row r="740" spans="2:29">
      <c r="B740" t="s">
        <v>393</v>
      </c>
      <c r="C740" t="s">
        <v>3112</v>
      </c>
      <c r="D740" t="s">
        <v>3113</v>
      </c>
      <c r="E740">
        <v>2018</v>
      </c>
      <c r="F740" t="s">
        <v>3150</v>
      </c>
      <c r="G740" t="s">
        <v>554</v>
      </c>
      <c r="H740" s="6">
        <v>41.67</v>
      </c>
      <c r="I740" s="6">
        <v>-70.72</v>
      </c>
      <c r="J740" s="6">
        <v>1968</v>
      </c>
      <c r="K740" s="6">
        <v>2015</v>
      </c>
      <c r="L740" s="6">
        <f t="shared" si="27"/>
        <v>48</v>
      </c>
      <c r="M740" t="s">
        <v>2036</v>
      </c>
      <c r="N740" t="s">
        <v>394</v>
      </c>
      <c r="O740" t="s">
        <v>394</v>
      </c>
      <c r="P740" t="s">
        <v>3144</v>
      </c>
      <c r="Q740" t="s">
        <v>459</v>
      </c>
      <c r="R740" t="s">
        <v>3145</v>
      </c>
      <c r="V740">
        <v>-0.4</v>
      </c>
      <c r="W740" t="str">
        <f t="shared" si="29"/>
        <v>Y</v>
      </c>
      <c r="X740" t="s">
        <v>2041</v>
      </c>
      <c r="Z740" t="str">
        <f t="shared" si="26"/>
        <v>Y</v>
      </c>
      <c r="AA740" t="s">
        <v>2054</v>
      </c>
      <c r="AB740" t="s">
        <v>3117</v>
      </c>
      <c r="AC740" s="9" t="s">
        <v>3118</v>
      </c>
    </row>
    <row r="741" spans="2:29">
      <c r="B741" t="s">
        <v>393</v>
      </c>
      <c r="C741" t="s">
        <v>3112</v>
      </c>
      <c r="D741" t="s">
        <v>3113</v>
      </c>
      <c r="E741">
        <v>2018</v>
      </c>
      <c r="F741" t="s">
        <v>3150</v>
      </c>
      <c r="G741" t="s">
        <v>554</v>
      </c>
      <c r="H741" s="6">
        <v>41.67</v>
      </c>
      <c r="I741" s="6">
        <v>-70.72</v>
      </c>
      <c r="J741" s="6">
        <v>1968</v>
      </c>
      <c r="K741" s="6">
        <v>2015</v>
      </c>
      <c r="L741" s="6">
        <f t="shared" si="27"/>
        <v>48</v>
      </c>
      <c r="M741" t="s">
        <v>2036</v>
      </c>
      <c r="N741" t="s">
        <v>394</v>
      </c>
      <c r="O741" t="s">
        <v>394</v>
      </c>
      <c r="P741" t="s">
        <v>3141</v>
      </c>
      <c r="Q741" t="s">
        <v>538</v>
      </c>
      <c r="R741" t="s">
        <v>3116</v>
      </c>
      <c r="V741">
        <v>-1</v>
      </c>
      <c r="W741" t="str">
        <f t="shared" si="29"/>
        <v>Y</v>
      </c>
      <c r="X741" t="s">
        <v>2041</v>
      </c>
      <c r="Z741" t="str">
        <f t="shared" si="26"/>
        <v>Y</v>
      </c>
      <c r="AA741" t="s">
        <v>2054</v>
      </c>
      <c r="AB741" t="s">
        <v>3117</v>
      </c>
      <c r="AC741" s="9" t="s">
        <v>3118</v>
      </c>
    </row>
    <row r="742" spans="2:29">
      <c r="B742" t="s">
        <v>393</v>
      </c>
      <c r="C742" t="s">
        <v>3112</v>
      </c>
      <c r="D742" t="s">
        <v>3113</v>
      </c>
      <c r="E742">
        <v>2018</v>
      </c>
      <c r="F742" t="s">
        <v>3151</v>
      </c>
      <c r="G742" t="s">
        <v>505</v>
      </c>
      <c r="H742" s="6">
        <v>-54</v>
      </c>
      <c r="I742" s="6">
        <v>-38.049999999999997</v>
      </c>
      <c r="J742" s="6">
        <v>1984</v>
      </c>
      <c r="K742" s="6">
        <v>2015</v>
      </c>
      <c r="L742" s="6">
        <f t="shared" si="27"/>
        <v>32</v>
      </c>
      <c r="M742" t="s">
        <v>2036</v>
      </c>
      <c r="N742" t="s">
        <v>394</v>
      </c>
      <c r="O742" t="s">
        <v>394</v>
      </c>
      <c r="P742" t="s">
        <v>3152</v>
      </c>
      <c r="Q742" t="s">
        <v>424</v>
      </c>
      <c r="R742" t="s">
        <v>3142</v>
      </c>
      <c r="V742">
        <v>-0.8</v>
      </c>
      <c r="W742" t="str">
        <f t="shared" si="29"/>
        <v>Y</v>
      </c>
      <c r="X742" t="s">
        <v>2041</v>
      </c>
      <c r="Z742" t="str">
        <f t="shared" si="26"/>
        <v>Y</v>
      </c>
      <c r="AA742" t="s">
        <v>2054</v>
      </c>
      <c r="AB742" t="s">
        <v>3117</v>
      </c>
      <c r="AC742" s="9" t="s">
        <v>3118</v>
      </c>
    </row>
    <row r="743" spans="2:29">
      <c r="B743" t="s">
        <v>393</v>
      </c>
      <c r="C743" t="s">
        <v>3112</v>
      </c>
      <c r="D743" t="s">
        <v>3113</v>
      </c>
      <c r="E743">
        <v>2018</v>
      </c>
      <c r="F743" t="s">
        <v>3151</v>
      </c>
      <c r="G743" t="s">
        <v>505</v>
      </c>
      <c r="H743" s="6">
        <v>-54</v>
      </c>
      <c r="I743" s="6">
        <v>-38.049999999999997</v>
      </c>
      <c r="J743" s="6">
        <v>1984</v>
      </c>
      <c r="K743" s="6">
        <v>2015</v>
      </c>
      <c r="L743" s="6">
        <f t="shared" si="27"/>
        <v>32</v>
      </c>
      <c r="M743" t="s">
        <v>2036</v>
      </c>
      <c r="N743" t="s">
        <v>394</v>
      </c>
      <c r="O743" t="s">
        <v>394</v>
      </c>
      <c r="P743" t="s">
        <v>3152</v>
      </c>
      <c r="Q743" t="s">
        <v>424</v>
      </c>
      <c r="R743" t="s">
        <v>3145</v>
      </c>
      <c r="V743">
        <v>-0.5</v>
      </c>
      <c r="W743" t="str">
        <f t="shared" si="29"/>
        <v>Y</v>
      </c>
      <c r="X743" t="s">
        <v>2041</v>
      </c>
      <c r="Z743" t="str">
        <f t="shared" si="26"/>
        <v>Y</v>
      </c>
      <c r="AA743" t="s">
        <v>2054</v>
      </c>
      <c r="AB743" t="s">
        <v>3117</v>
      </c>
      <c r="AC743" s="9" t="s">
        <v>3118</v>
      </c>
    </row>
    <row r="744" spans="2:29">
      <c r="B744" t="s">
        <v>393</v>
      </c>
      <c r="C744" t="s">
        <v>3112</v>
      </c>
      <c r="D744" t="s">
        <v>3113</v>
      </c>
      <c r="E744">
        <v>2018</v>
      </c>
      <c r="F744" t="s">
        <v>3151</v>
      </c>
      <c r="G744" t="s">
        <v>505</v>
      </c>
      <c r="H744" s="6">
        <v>-54</v>
      </c>
      <c r="I744" s="6">
        <v>-38.049999999999997</v>
      </c>
      <c r="J744" s="6">
        <v>1988</v>
      </c>
      <c r="K744" s="6">
        <v>2015</v>
      </c>
      <c r="L744" s="6">
        <f t="shared" si="27"/>
        <v>28</v>
      </c>
      <c r="M744" t="s">
        <v>2036</v>
      </c>
      <c r="N744" t="s">
        <v>394</v>
      </c>
      <c r="O744" t="s">
        <v>394</v>
      </c>
      <c r="P744" t="s">
        <v>3153</v>
      </c>
      <c r="Q744" t="s">
        <v>3154</v>
      </c>
      <c r="R744" t="s">
        <v>3116</v>
      </c>
      <c r="V744">
        <v>-3.9000000000000004</v>
      </c>
      <c r="W744" t="str">
        <f t="shared" si="29"/>
        <v>Y</v>
      </c>
      <c r="X744" t="s">
        <v>2041</v>
      </c>
      <c r="Z744" t="str">
        <f t="shared" si="26"/>
        <v>Y</v>
      </c>
      <c r="AA744" t="s">
        <v>2054</v>
      </c>
      <c r="AB744" t="s">
        <v>3117</v>
      </c>
      <c r="AC744" s="9" t="s">
        <v>3118</v>
      </c>
    </row>
    <row r="745" spans="2:29">
      <c r="B745" t="s">
        <v>393</v>
      </c>
      <c r="C745" t="s">
        <v>3112</v>
      </c>
      <c r="D745" t="s">
        <v>3113</v>
      </c>
      <c r="E745">
        <v>2018</v>
      </c>
      <c r="F745" t="s">
        <v>3151</v>
      </c>
      <c r="G745" t="s">
        <v>505</v>
      </c>
      <c r="H745" s="6">
        <v>-54</v>
      </c>
      <c r="I745" s="6">
        <v>-38.049999999999997</v>
      </c>
      <c r="J745" s="6">
        <v>1984</v>
      </c>
      <c r="K745" s="6">
        <v>2015</v>
      </c>
      <c r="L745" s="6">
        <f t="shared" si="27"/>
        <v>32</v>
      </c>
      <c r="M745" t="s">
        <v>2036</v>
      </c>
      <c r="N745" t="s">
        <v>394</v>
      </c>
      <c r="O745" t="s">
        <v>394</v>
      </c>
      <c r="P745" t="s">
        <v>3155</v>
      </c>
      <c r="Q745" t="s">
        <v>3156</v>
      </c>
      <c r="R745" t="s">
        <v>3142</v>
      </c>
      <c r="V745">
        <v>-0.89999999999999991</v>
      </c>
      <c r="W745" t="str">
        <f t="shared" si="29"/>
        <v>Y</v>
      </c>
      <c r="X745" t="s">
        <v>2041</v>
      </c>
      <c r="Z745" t="str">
        <f t="shared" si="26"/>
        <v>Y</v>
      </c>
      <c r="AA745" t="s">
        <v>2054</v>
      </c>
      <c r="AB745" t="s">
        <v>3117</v>
      </c>
      <c r="AC745" s="9" t="s">
        <v>3118</v>
      </c>
    </row>
    <row r="746" spans="2:29">
      <c r="B746" t="s">
        <v>393</v>
      </c>
      <c r="C746" t="s">
        <v>3112</v>
      </c>
      <c r="D746" t="s">
        <v>3113</v>
      </c>
      <c r="E746">
        <v>2018</v>
      </c>
      <c r="F746" t="s">
        <v>3151</v>
      </c>
      <c r="G746" t="s">
        <v>505</v>
      </c>
      <c r="H746" s="6">
        <v>-54</v>
      </c>
      <c r="I746" s="6">
        <v>-38.049999999999997</v>
      </c>
      <c r="J746" s="6">
        <v>1984</v>
      </c>
      <c r="K746" s="6">
        <v>2015</v>
      </c>
      <c r="L746" s="6">
        <f t="shared" si="27"/>
        <v>32</v>
      </c>
      <c r="M746" t="s">
        <v>2036</v>
      </c>
      <c r="N746" t="s">
        <v>394</v>
      </c>
      <c r="O746" t="s">
        <v>394</v>
      </c>
      <c r="P746" t="s">
        <v>3155</v>
      </c>
      <c r="Q746" t="s">
        <v>3156</v>
      </c>
      <c r="R746" t="s">
        <v>3145</v>
      </c>
      <c r="V746">
        <v>0</v>
      </c>
      <c r="W746" t="str">
        <f t="shared" si="29"/>
        <v>N</v>
      </c>
      <c r="X746" t="s">
        <v>2041</v>
      </c>
      <c r="Z746" t="str">
        <f t="shared" si="26"/>
        <v>Y</v>
      </c>
      <c r="AA746" t="s">
        <v>2054</v>
      </c>
      <c r="AB746" t="s">
        <v>3117</v>
      </c>
      <c r="AC746" s="9" t="s">
        <v>3118</v>
      </c>
    </row>
    <row r="747" spans="2:29">
      <c r="B747" t="s">
        <v>393</v>
      </c>
      <c r="C747" t="s">
        <v>3112</v>
      </c>
      <c r="D747" t="s">
        <v>3113</v>
      </c>
      <c r="E747">
        <v>2018</v>
      </c>
      <c r="F747" t="s">
        <v>3151</v>
      </c>
      <c r="G747" t="s">
        <v>505</v>
      </c>
      <c r="H747" s="6">
        <v>-54</v>
      </c>
      <c r="I747" s="6">
        <v>-38.049999999999997</v>
      </c>
      <c r="J747" s="6">
        <v>1988</v>
      </c>
      <c r="K747" s="6">
        <v>2015</v>
      </c>
      <c r="L747" s="6">
        <f t="shared" si="27"/>
        <v>28</v>
      </c>
      <c r="M747" t="s">
        <v>2036</v>
      </c>
      <c r="N747" t="s">
        <v>394</v>
      </c>
      <c r="O747" t="s">
        <v>394</v>
      </c>
      <c r="P747" t="s">
        <v>3157</v>
      </c>
      <c r="Q747" t="s">
        <v>3158</v>
      </c>
      <c r="R747" t="s">
        <v>3116</v>
      </c>
      <c r="V747">
        <v>0.5</v>
      </c>
      <c r="W747" t="str">
        <f t="shared" si="29"/>
        <v>N</v>
      </c>
      <c r="X747" t="s">
        <v>2041</v>
      </c>
      <c r="Z747" t="str">
        <f t="shared" si="26"/>
        <v>Y</v>
      </c>
      <c r="AA747" t="s">
        <v>2054</v>
      </c>
      <c r="AB747" t="s">
        <v>3117</v>
      </c>
      <c r="AC747" s="9" t="s">
        <v>3118</v>
      </c>
    </row>
    <row r="748" spans="2:29">
      <c r="B748" t="s">
        <v>393</v>
      </c>
      <c r="C748" t="s">
        <v>3112</v>
      </c>
      <c r="D748" t="s">
        <v>3113</v>
      </c>
      <c r="E748">
        <v>2018</v>
      </c>
      <c r="F748" t="s">
        <v>3151</v>
      </c>
      <c r="G748" t="s">
        <v>505</v>
      </c>
      <c r="H748" s="6">
        <v>-54</v>
      </c>
      <c r="I748" s="6">
        <v>-38.049999999999997</v>
      </c>
      <c r="J748" s="6">
        <v>2006</v>
      </c>
      <c r="K748" s="6">
        <v>2015</v>
      </c>
      <c r="L748" s="6">
        <f t="shared" si="27"/>
        <v>10</v>
      </c>
      <c r="M748" t="s">
        <v>2036</v>
      </c>
      <c r="N748" t="s">
        <v>394</v>
      </c>
      <c r="O748" t="s">
        <v>394</v>
      </c>
      <c r="P748" t="s">
        <v>3159</v>
      </c>
      <c r="Q748" t="s">
        <v>3160</v>
      </c>
      <c r="R748" t="s">
        <v>3142</v>
      </c>
      <c r="V748">
        <v>-0.2</v>
      </c>
      <c r="W748" t="str">
        <f t="shared" si="29"/>
        <v>Y</v>
      </c>
      <c r="X748" t="s">
        <v>2058</v>
      </c>
      <c r="Y748" t="s">
        <v>2058</v>
      </c>
      <c r="Z748" t="str">
        <f t="shared" si="26"/>
        <v>N</v>
      </c>
      <c r="AA748" t="s">
        <v>2054</v>
      </c>
      <c r="AB748" t="s">
        <v>3117</v>
      </c>
      <c r="AC748" s="9" t="s">
        <v>3118</v>
      </c>
    </row>
    <row r="749" spans="2:29">
      <c r="B749" t="s">
        <v>393</v>
      </c>
      <c r="C749" t="s">
        <v>3112</v>
      </c>
      <c r="D749" t="s">
        <v>3113</v>
      </c>
      <c r="E749">
        <v>2018</v>
      </c>
      <c r="F749" t="s">
        <v>3151</v>
      </c>
      <c r="G749" t="s">
        <v>505</v>
      </c>
      <c r="H749" s="6">
        <v>-54</v>
      </c>
      <c r="I749" s="6">
        <v>-38.049999999999997</v>
      </c>
      <c r="J749" s="6">
        <v>2006</v>
      </c>
      <c r="K749" s="6">
        <v>2015</v>
      </c>
      <c r="L749" s="6">
        <f t="shared" si="27"/>
        <v>10</v>
      </c>
      <c r="M749" t="s">
        <v>2036</v>
      </c>
      <c r="N749" t="s">
        <v>394</v>
      </c>
      <c r="O749" t="s">
        <v>394</v>
      </c>
      <c r="P749" t="s">
        <v>3159</v>
      </c>
      <c r="Q749" t="s">
        <v>3160</v>
      </c>
      <c r="R749" t="s">
        <v>3145</v>
      </c>
      <c r="V749">
        <v>-0.2</v>
      </c>
      <c r="W749" t="str">
        <f t="shared" si="29"/>
        <v>Y</v>
      </c>
      <c r="X749" t="s">
        <v>2058</v>
      </c>
      <c r="Z749" t="str">
        <f t="shared" si="26"/>
        <v>N</v>
      </c>
      <c r="AA749" t="s">
        <v>2054</v>
      </c>
      <c r="AB749" t="s">
        <v>3117</v>
      </c>
      <c r="AC749" s="9" t="s">
        <v>3118</v>
      </c>
    </row>
    <row r="750" spans="2:29">
      <c r="B750" t="s">
        <v>393</v>
      </c>
      <c r="C750" t="s">
        <v>3112</v>
      </c>
      <c r="D750" t="s">
        <v>3113</v>
      </c>
      <c r="E750">
        <v>2018</v>
      </c>
      <c r="F750" t="s">
        <v>3151</v>
      </c>
      <c r="G750" t="s">
        <v>505</v>
      </c>
      <c r="H750" s="6">
        <v>-54</v>
      </c>
      <c r="I750" s="6">
        <v>-38.049999999999997</v>
      </c>
      <c r="J750" s="6">
        <v>2006</v>
      </c>
      <c r="K750" s="6">
        <v>2015</v>
      </c>
      <c r="L750" s="6">
        <f t="shared" si="27"/>
        <v>10</v>
      </c>
      <c r="M750" t="s">
        <v>2036</v>
      </c>
      <c r="N750" t="s">
        <v>394</v>
      </c>
      <c r="O750" t="s">
        <v>394</v>
      </c>
      <c r="P750" t="s">
        <v>3161</v>
      </c>
      <c r="Q750" t="s">
        <v>2312</v>
      </c>
      <c r="R750" t="s">
        <v>3142</v>
      </c>
      <c r="V750">
        <v>-3.1</v>
      </c>
      <c r="W750" t="str">
        <f t="shared" si="29"/>
        <v>Y</v>
      </c>
      <c r="X750" t="s">
        <v>2058</v>
      </c>
      <c r="Z750" t="str">
        <f t="shared" si="26"/>
        <v>N</v>
      </c>
      <c r="AA750" t="s">
        <v>2054</v>
      </c>
      <c r="AB750" t="s">
        <v>3117</v>
      </c>
      <c r="AC750" s="9" t="s">
        <v>3118</v>
      </c>
    </row>
    <row r="751" spans="2:29">
      <c r="B751" t="s">
        <v>393</v>
      </c>
      <c r="C751" t="s">
        <v>3112</v>
      </c>
      <c r="D751" t="s">
        <v>3113</v>
      </c>
      <c r="E751">
        <v>2018</v>
      </c>
      <c r="F751" t="s">
        <v>3151</v>
      </c>
      <c r="G751" t="s">
        <v>505</v>
      </c>
      <c r="H751" s="6">
        <v>-54</v>
      </c>
      <c r="I751" s="6">
        <v>-38.049999999999997</v>
      </c>
      <c r="J751" s="6">
        <v>2006</v>
      </c>
      <c r="K751" s="6">
        <v>2015</v>
      </c>
      <c r="L751" s="6">
        <f t="shared" si="27"/>
        <v>10</v>
      </c>
      <c r="M751" t="s">
        <v>2036</v>
      </c>
      <c r="N751" t="s">
        <v>394</v>
      </c>
      <c r="O751" t="s">
        <v>394</v>
      </c>
      <c r="P751" t="s">
        <v>3161</v>
      </c>
      <c r="Q751" t="s">
        <v>2312</v>
      </c>
      <c r="R751" t="s">
        <v>3145</v>
      </c>
      <c r="V751">
        <v>-1.6</v>
      </c>
      <c r="W751" t="str">
        <f t="shared" si="29"/>
        <v>Y</v>
      </c>
      <c r="X751" t="s">
        <v>2058</v>
      </c>
      <c r="Z751" t="str">
        <f t="shared" si="26"/>
        <v>N</v>
      </c>
      <c r="AA751" t="s">
        <v>2054</v>
      </c>
      <c r="AB751" t="s">
        <v>3117</v>
      </c>
      <c r="AC751" s="9" t="s">
        <v>3118</v>
      </c>
    </row>
    <row r="752" spans="2:29">
      <c r="B752" t="s">
        <v>393</v>
      </c>
      <c r="C752" t="s">
        <v>3112</v>
      </c>
      <c r="D752" t="s">
        <v>3113</v>
      </c>
      <c r="E752">
        <v>2018</v>
      </c>
      <c r="F752" t="s">
        <v>3151</v>
      </c>
      <c r="G752" t="s">
        <v>505</v>
      </c>
      <c r="H752" s="6">
        <v>-54</v>
      </c>
      <c r="I752" s="6">
        <v>-38.049999999999997</v>
      </c>
      <c r="J752" s="6">
        <v>1980</v>
      </c>
      <c r="K752" s="6">
        <v>2015</v>
      </c>
      <c r="L752" s="6">
        <f t="shared" si="27"/>
        <v>36</v>
      </c>
      <c r="M752" t="s">
        <v>2036</v>
      </c>
      <c r="N752" t="s">
        <v>394</v>
      </c>
      <c r="O752" t="s">
        <v>394</v>
      </c>
      <c r="P752" t="s">
        <v>3162</v>
      </c>
      <c r="Q752" t="s">
        <v>647</v>
      </c>
      <c r="R752" t="s">
        <v>3116</v>
      </c>
      <c r="V752">
        <v>-0.3</v>
      </c>
      <c r="W752" t="str">
        <f t="shared" si="29"/>
        <v>Y</v>
      </c>
      <c r="X752" t="s">
        <v>2041</v>
      </c>
      <c r="Z752" t="str">
        <f t="shared" si="26"/>
        <v>Y</v>
      </c>
      <c r="AA752" t="s">
        <v>2054</v>
      </c>
      <c r="AB752" t="s">
        <v>3117</v>
      </c>
      <c r="AC752" s="9" t="s">
        <v>3118</v>
      </c>
    </row>
    <row r="753" spans="2:29">
      <c r="B753" t="s">
        <v>393</v>
      </c>
      <c r="C753" t="s">
        <v>3112</v>
      </c>
      <c r="D753" t="s">
        <v>3113</v>
      </c>
      <c r="E753">
        <v>2018</v>
      </c>
      <c r="F753" t="s">
        <v>3151</v>
      </c>
      <c r="G753" t="s">
        <v>505</v>
      </c>
      <c r="H753" s="6">
        <v>-54</v>
      </c>
      <c r="I753" s="6">
        <v>-38.049999999999997</v>
      </c>
      <c r="J753" s="6">
        <v>1980</v>
      </c>
      <c r="K753" s="6">
        <v>2015</v>
      </c>
      <c r="L753" s="6">
        <f t="shared" si="27"/>
        <v>36</v>
      </c>
      <c r="M753" t="s">
        <v>2036</v>
      </c>
      <c r="N753" t="s">
        <v>394</v>
      </c>
      <c r="O753" t="s">
        <v>394</v>
      </c>
      <c r="P753" t="s">
        <v>3162</v>
      </c>
      <c r="Q753" t="s">
        <v>647</v>
      </c>
      <c r="R753" t="s">
        <v>3126</v>
      </c>
      <c r="V753">
        <v>-0.5</v>
      </c>
      <c r="W753" t="str">
        <f t="shared" si="29"/>
        <v>Y</v>
      </c>
      <c r="X753" t="s">
        <v>2041</v>
      </c>
      <c r="Z753" t="str">
        <f t="shared" si="26"/>
        <v>Y</v>
      </c>
      <c r="AA753" t="s">
        <v>2054</v>
      </c>
      <c r="AB753" t="s">
        <v>3117</v>
      </c>
      <c r="AC753" s="9" t="s">
        <v>3118</v>
      </c>
    </row>
    <row r="754" spans="2:29">
      <c r="B754" t="s">
        <v>393</v>
      </c>
      <c r="C754" t="s">
        <v>3112</v>
      </c>
      <c r="D754" t="s">
        <v>3113</v>
      </c>
      <c r="E754">
        <v>2018</v>
      </c>
      <c r="F754" t="s">
        <v>3151</v>
      </c>
      <c r="G754" t="s">
        <v>505</v>
      </c>
      <c r="H754" s="6">
        <v>-54</v>
      </c>
      <c r="I754" s="6">
        <v>-38.049999999999997</v>
      </c>
      <c r="J754" s="6">
        <v>1980</v>
      </c>
      <c r="K754" s="6">
        <v>2015</v>
      </c>
      <c r="L754" s="6">
        <f t="shared" si="27"/>
        <v>36</v>
      </c>
      <c r="M754" t="s">
        <v>2036</v>
      </c>
      <c r="N754" t="s">
        <v>394</v>
      </c>
      <c r="O754" t="s">
        <v>394</v>
      </c>
      <c r="P754" t="s">
        <v>3162</v>
      </c>
      <c r="Q754" t="s">
        <v>647</v>
      </c>
      <c r="R754" t="s">
        <v>3142</v>
      </c>
      <c r="V754">
        <v>-0.3</v>
      </c>
      <c r="W754" t="str">
        <f t="shared" si="29"/>
        <v>Y</v>
      </c>
      <c r="X754" t="s">
        <v>2041</v>
      </c>
      <c r="Z754" t="str">
        <f t="shared" si="26"/>
        <v>Y</v>
      </c>
      <c r="AA754" t="s">
        <v>2054</v>
      </c>
      <c r="AB754" t="s">
        <v>3117</v>
      </c>
      <c r="AC754" s="9" t="s">
        <v>3118</v>
      </c>
    </row>
    <row r="755" spans="2:29">
      <c r="B755" t="s">
        <v>393</v>
      </c>
      <c r="C755" t="s">
        <v>3112</v>
      </c>
      <c r="D755" t="s">
        <v>3113</v>
      </c>
      <c r="E755">
        <v>2018</v>
      </c>
      <c r="F755" t="s">
        <v>3151</v>
      </c>
      <c r="G755" t="s">
        <v>505</v>
      </c>
      <c r="H755" s="6">
        <v>-54</v>
      </c>
      <c r="I755" s="6">
        <v>-38.049999999999997</v>
      </c>
      <c r="J755" s="6">
        <v>1980</v>
      </c>
      <c r="K755" s="6">
        <v>2015</v>
      </c>
      <c r="L755" s="6">
        <f t="shared" si="27"/>
        <v>36</v>
      </c>
      <c r="M755" t="s">
        <v>2036</v>
      </c>
      <c r="N755" t="s">
        <v>394</v>
      </c>
      <c r="O755" t="s">
        <v>394</v>
      </c>
      <c r="P755" t="s">
        <v>3162</v>
      </c>
      <c r="Q755" t="s">
        <v>647</v>
      </c>
      <c r="R755" t="s">
        <v>3137</v>
      </c>
      <c r="V755">
        <v>-0.4</v>
      </c>
      <c r="W755" t="str">
        <f t="shared" si="29"/>
        <v>Y</v>
      </c>
      <c r="X755" t="s">
        <v>2041</v>
      </c>
      <c r="Z755" t="str">
        <f t="shared" si="26"/>
        <v>Y</v>
      </c>
      <c r="AA755" t="s">
        <v>2054</v>
      </c>
      <c r="AB755" t="s">
        <v>3117</v>
      </c>
      <c r="AC755" s="9" t="s">
        <v>3118</v>
      </c>
    </row>
    <row r="756" spans="2:29">
      <c r="B756" t="s">
        <v>393</v>
      </c>
      <c r="C756" t="s">
        <v>3112</v>
      </c>
      <c r="D756" t="s">
        <v>3113</v>
      </c>
      <c r="E756">
        <v>2018</v>
      </c>
      <c r="F756" t="s">
        <v>3151</v>
      </c>
      <c r="G756" t="s">
        <v>505</v>
      </c>
      <c r="H756" s="6">
        <v>-54</v>
      </c>
      <c r="I756" s="6">
        <v>-38.049999999999997</v>
      </c>
      <c r="J756" s="6">
        <v>1980</v>
      </c>
      <c r="K756" s="6">
        <v>2015</v>
      </c>
      <c r="L756" s="6">
        <f t="shared" si="27"/>
        <v>36</v>
      </c>
      <c r="M756" t="s">
        <v>2036</v>
      </c>
      <c r="N756" t="s">
        <v>394</v>
      </c>
      <c r="O756" t="s">
        <v>394</v>
      </c>
      <c r="P756" t="s">
        <v>3162</v>
      </c>
      <c r="Q756" t="s">
        <v>647</v>
      </c>
      <c r="R756" t="s">
        <v>3145</v>
      </c>
      <c r="V756">
        <v>-0.2</v>
      </c>
      <c r="W756" t="str">
        <f t="shared" si="29"/>
        <v>Y</v>
      </c>
      <c r="X756" t="s">
        <v>2041</v>
      </c>
      <c r="Z756" t="str">
        <f t="shared" si="26"/>
        <v>Y</v>
      </c>
      <c r="AA756" t="s">
        <v>2054</v>
      </c>
      <c r="AB756" t="s">
        <v>3117</v>
      </c>
      <c r="AC756" s="9" t="s">
        <v>3118</v>
      </c>
    </row>
    <row r="757" spans="2:29">
      <c r="B757" t="s">
        <v>393</v>
      </c>
      <c r="C757" t="s">
        <v>3112</v>
      </c>
      <c r="D757" t="s">
        <v>3113</v>
      </c>
      <c r="E757">
        <v>2018</v>
      </c>
      <c r="F757" t="s">
        <v>3163</v>
      </c>
      <c r="G757" t="s">
        <v>554</v>
      </c>
      <c r="H757" s="6">
        <v>52.21</v>
      </c>
      <c r="I757" s="6">
        <v>176.56</v>
      </c>
      <c r="J757" s="6">
        <v>1988</v>
      </c>
      <c r="K757" s="6">
        <v>2015</v>
      </c>
      <c r="L757" s="6">
        <f t="shared" si="27"/>
        <v>28</v>
      </c>
      <c r="M757" t="s">
        <v>2036</v>
      </c>
      <c r="N757" t="s">
        <v>394</v>
      </c>
      <c r="O757" t="s">
        <v>394</v>
      </c>
      <c r="P757" t="s">
        <v>2293</v>
      </c>
      <c r="Q757" t="s">
        <v>465</v>
      </c>
      <c r="R757" t="s">
        <v>3126</v>
      </c>
      <c r="V757">
        <v>1.1000000000000001</v>
      </c>
      <c r="W757" t="str">
        <f t="shared" si="29"/>
        <v>N</v>
      </c>
      <c r="X757" t="s">
        <v>2041</v>
      </c>
      <c r="Z757" t="str">
        <f t="shared" si="26"/>
        <v>Y</v>
      </c>
      <c r="AA757" t="s">
        <v>2054</v>
      </c>
      <c r="AB757" t="s">
        <v>3117</v>
      </c>
      <c r="AC757" s="9" t="s">
        <v>3118</v>
      </c>
    </row>
    <row r="758" spans="2:29">
      <c r="B758" t="s">
        <v>393</v>
      </c>
      <c r="C758" t="s">
        <v>3112</v>
      </c>
      <c r="D758" t="s">
        <v>3113</v>
      </c>
      <c r="E758">
        <v>2018</v>
      </c>
      <c r="F758" t="s">
        <v>3163</v>
      </c>
      <c r="G758" t="s">
        <v>554</v>
      </c>
      <c r="H758" s="6">
        <v>52.21</v>
      </c>
      <c r="I758" s="6">
        <v>176.56</v>
      </c>
      <c r="J758" s="6">
        <v>1976</v>
      </c>
      <c r="K758" s="6">
        <v>2015</v>
      </c>
      <c r="L758" s="6">
        <f t="shared" si="27"/>
        <v>40</v>
      </c>
      <c r="M758" t="s">
        <v>2036</v>
      </c>
      <c r="N758" t="s">
        <v>394</v>
      </c>
      <c r="O758" t="s">
        <v>394</v>
      </c>
      <c r="P758" t="s">
        <v>3164</v>
      </c>
      <c r="Q758" t="s">
        <v>466</v>
      </c>
      <c r="R758" t="s">
        <v>3126</v>
      </c>
      <c r="V758">
        <v>-1</v>
      </c>
      <c r="W758" t="str">
        <f t="shared" si="29"/>
        <v>Y</v>
      </c>
      <c r="X758" t="s">
        <v>2041</v>
      </c>
      <c r="Z758" t="str">
        <f t="shared" si="26"/>
        <v>Y</v>
      </c>
      <c r="AA758" t="s">
        <v>2054</v>
      </c>
      <c r="AB758" t="s">
        <v>3117</v>
      </c>
      <c r="AC758" s="9" t="s">
        <v>3118</v>
      </c>
    </row>
    <row r="759" spans="2:29">
      <c r="B759" t="s">
        <v>393</v>
      </c>
      <c r="C759" t="s">
        <v>3112</v>
      </c>
      <c r="D759" t="s">
        <v>3113</v>
      </c>
      <c r="E759">
        <v>2018</v>
      </c>
      <c r="F759" t="s">
        <v>3163</v>
      </c>
      <c r="G759" t="s">
        <v>554</v>
      </c>
      <c r="H759" s="6">
        <v>52.21</v>
      </c>
      <c r="I759" s="6">
        <v>176.56</v>
      </c>
      <c r="J759" s="6">
        <v>1997</v>
      </c>
      <c r="K759" s="6">
        <v>2015</v>
      </c>
      <c r="L759" s="6">
        <f t="shared" si="27"/>
        <v>19</v>
      </c>
      <c r="M759" t="s">
        <v>2036</v>
      </c>
      <c r="N759" t="s">
        <v>394</v>
      </c>
      <c r="O759" t="s">
        <v>394</v>
      </c>
      <c r="P759" t="s">
        <v>3129</v>
      </c>
      <c r="Q759" t="s">
        <v>448</v>
      </c>
      <c r="R759" t="s">
        <v>3126</v>
      </c>
      <c r="V759">
        <v>-5.6999999999999993</v>
      </c>
      <c r="W759" t="str">
        <f t="shared" si="29"/>
        <v>Y</v>
      </c>
      <c r="X759" t="s">
        <v>2041</v>
      </c>
      <c r="Z759" t="str">
        <f t="shared" si="26"/>
        <v>Y</v>
      </c>
      <c r="AA759" t="s">
        <v>2054</v>
      </c>
      <c r="AB759" t="s">
        <v>3117</v>
      </c>
      <c r="AC759" s="9" t="s">
        <v>3118</v>
      </c>
    </row>
    <row r="760" spans="2:29">
      <c r="B760" t="s">
        <v>393</v>
      </c>
      <c r="C760" t="s">
        <v>3112</v>
      </c>
      <c r="D760" t="s">
        <v>3113</v>
      </c>
      <c r="E760">
        <v>2018</v>
      </c>
      <c r="F760" t="s">
        <v>3163</v>
      </c>
      <c r="G760" t="s">
        <v>554</v>
      </c>
      <c r="H760" s="6">
        <v>52.21</v>
      </c>
      <c r="I760" s="6">
        <v>176.56</v>
      </c>
      <c r="J760" s="6">
        <v>1988</v>
      </c>
      <c r="K760" s="6">
        <v>2015</v>
      </c>
      <c r="L760" s="6">
        <f t="shared" si="27"/>
        <v>28</v>
      </c>
      <c r="M760" t="s">
        <v>2036</v>
      </c>
      <c r="N760" t="s">
        <v>394</v>
      </c>
      <c r="O760" t="s">
        <v>394</v>
      </c>
      <c r="P760" t="s">
        <v>3130</v>
      </c>
      <c r="Q760" t="s">
        <v>3131</v>
      </c>
      <c r="R760" t="s">
        <v>3126</v>
      </c>
      <c r="V760">
        <v>1.4000000000000001</v>
      </c>
      <c r="W760" t="str">
        <f t="shared" si="29"/>
        <v>N</v>
      </c>
      <c r="X760" t="s">
        <v>2041</v>
      </c>
      <c r="Z760" t="str">
        <f t="shared" si="26"/>
        <v>Y</v>
      </c>
      <c r="AA760" t="s">
        <v>2054</v>
      </c>
      <c r="AB760" t="s">
        <v>3117</v>
      </c>
      <c r="AC760" s="9" t="s">
        <v>3118</v>
      </c>
    </row>
    <row r="761" spans="2:29">
      <c r="B761" t="s">
        <v>393</v>
      </c>
      <c r="C761" t="s">
        <v>3112</v>
      </c>
      <c r="D761" t="s">
        <v>3113</v>
      </c>
      <c r="E761">
        <v>2018</v>
      </c>
      <c r="F761" t="s">
        <v>3163</v>
      </c>
      <c r="G761" t="s">
        <v>554</v>
      </c>
      <c r="H761" s="6">
        <v>52.21</v>
      </c>
      <c r="I761" s="6">
        <v>176.56</v>
      </c>
      <c r="J761" s="6">
        <v>1976</v>
      </c>
      <c r="K761" s="6">
        <v>2015</v>
      </c>
      <c r="L761" s="6">
        <f t="shared" si="27"/>
        <v>40</v>
      </c>
      <c r="M761" t="s">
        <v>2036</v>
      </c>
      <c r="N761" t="s">
        <v>394</v>
      </c>
      <c r="O761" t="s">
        <v>394</v>
      </c>
      <c r="P761" t="s">
        <v>3165</v>
      </c>
      <c r="Q761" t="s">
        <v>3166</v>
      </c>
      <c r="R761" t="s">
        <v>3126</v>
      </c>
      <c r="V761">
        <v>-2.8000000000000003</v>
      </c>
      <c r="W761" t="str">
        <f t="shared" si="29"/>
        <v>Y</v>
      </c>
      <c r="X761" t="s">
        <v>2041</v>
      </c>
      <c r="Z761" t="str">
        <f t="shared" si="26"/>
        <v>Y</v>
      </c>
      <c r="AA761" t="s">
        <v>2054</v>
      </c>
      <c r="AB761" t="s">
        <v>3117</v>
      </c>
      <c r="AC761" s="9" t="s">
        <v>3118</v>
      </c>
    </row>
    <row r="762" spans="2:29">
      <c r="B762" t="s">
        <v>393</v>
      </c>
      <c r="C762" t="s">
        <v>3112</v>
      </c>
      <c r="D762" t="s">
        <v>3113</v>
      </c>
      <c r="E762">
        <v>2018</v>
      </c>
      <c r="F762" t="s">
        <v>3163</v>
      </c>
      <c r="G762" t="s">
        <v>554</v>
      </c>
      <c r="H762" s="6">
        <v>52.21</v>
      </c>
      <c r="I762" s="6">
        <v>176.56</v>
      </c>
      <c r="J762" s="6">
        <v>1991</v>
      </c>
      <c r="K762" s="6">
        <v>2015</v>
      </c>
      <c r="L762" s="6">
        <f t="shared" si="27"/>
        <v>25</v>
      </c>
      <c r="M762" t="s">
        <v>2036</v>
      </c>
      <c r="N762" t="s">
        <v>394</v>
      </c>
      <c r="O762" t="s">
        <v>394</v>
      </c>
      <c r="P762" t="s">
        <v>3167</v>
      </c>
      <c r="Q762" t="s">
        <v>3168</v>
      </c>
      <c r="R762" t="s">
        <v>3126</v>
      </c>
      <c r="V762">
        <v>-0.3</v>
      </c>
      <c r="W762" t="str">
        <f t="shared" si="29"/>
        <v>Y</v>
      </c>
      <c r="X762" t="s">
        <v>2041</v>
      </c>
      <c r="Z762" t="str">
        <f t="shared" si="26"/>
        <v>Y</v>
      </c>
      <c r="AA762" t="s">
        <v>2054</v>
      </c>
      <c r="AB762" t="s">
        <v>3117</v>
      </c>
      <c r="AC762" s="9" t="s">
        <v>3118</v>
      </c>
    </row>
    <row r="763" spans="2:29">
      <c r="B763" t="s">
        <v>393</v>
      </c>
      <c r="C763" t="s">
        <v>3112</v>
      </c>
      <c r="D763" t="s">
        <v>3113</v>
      </c>
      <c r="E763">
        <v>2018</v>
      </c>
      <c r="F763" t="s">
        <v>3163</v>
      </c>
      <c r="G763" t="s">
        <v>554</v>
      </c>
      <c r="H763" s="6">
        <v>52.21</v>
      </c>
      <c r="I763" s="6">
        <v>176.56</v>
      </c>
      <c r="J763" s="6">
        <v>1988</v>
      </c>
      <c r="K763" s="6">
        <v>2015</v>
      </c>
      <c r="L763" s="6">
        <f t="shared" si="27"/>
        <v>28</v>
      </c>
      <c r="M763" t="s">
        <v>2036</v>
      </c>
      <c r="N763" t="s">
        <v>394</v>
      </c>
      <c r="O763" t="s">
        <v>394</v>
      </c>
      <c r="P763" t="s">
        <v>2369</v>
      </c>
      <c r="Q763" t="s">
        <v>2366</v>
      </c>
      <c r="R763" t="s">
        <v>3126</v>
      </c>
      <c r="V763">
        <v>-0.4</v>
      </c>
      <c r="W763" t="str">
        <f t="shared" si="29"/>
        <v>Y</v>
      </c>
      <c r="X763" t="s">
        <v>2041</v>
      </c>
      <c r="Z763" t="str">
        <f t="shared" si="26"/>
        <v>Y</v>
      </c>
      <c r="AA763" t="s">
        <v>2054</v>
      </c>
      <c r="AB763" t="s">
        <v>3117</v>
      </c>
      <c r="AC763" s="9" t="s">
        <v>3118</v>
      </c>
    </row>
    <row r="764" spans="2:29">
      <c r="B764" t="s">
        <v>393</v>
      </c>
      <c r="C764" t="s">
        <v>3112</v>
      </c>
      <c r="D764" t="s">
        <v>3113</v>
      </c>
      <c r="E764">
        <v>2018</v>
      </c>
      <c r="F764" t="s">
        <v>3163</v>
      </c>
      <c r="G764" t="s">
        <v>554</v>
      </c>
      <c r="H764" s="6">
        <v>52.21</v>
      </c>
      <c r="I764" s="6">
        <v>176.56</v>
      </c>
      <c r="J764" s="6">
        <v>1988</v>
      </c>
      <c r="K764" s="6">
        <v>2015</v>
      </c>
      <c r="L764" s="6">
        <f t="shared" si="27"/>
        <v>28</v>
      </c>
      <c r="M764" t="s">
        <v>2036</v>
      </c>
      <c r="N764" t="s">
        <v>394</v>
      </c>
      <c r="O764" t="s">
        <v>394</v>
      </c>
      <c r="P764" t="s">
        <v>2371</v>
      </c>
      <c r="Q764" t="s">
        <v>469</v>
      </c>
      <c r="R764" t="s">
        <v>3126</v>
      </c>
      <c r="V764">
        <v>1.5</v>
      </c>
      <c r="W764" t="str">
        <f t="shared" si="29"/>
        <v>N</v>
      </c>
      <c r="X764" t="s">
        <v>2041</v>
      </c>
      <c r="Z764" t="str">
        <f t="shared" si="26"/>
        <v>Y</v>
      </c>
      <c r="AA764" t="s">
        <v>2054</v>
      </c>
      <c r="AB764" t="s">
        <v>3117</v>
      </c>
      <c r="AC764" s="9" t="s">
        <v>3118</v>
      </c>
    </row>
    <row r="765" spans="2:29">
      <c r="B765" t="s">
        <v>393</v>
      </c>
      <c r="C765" t="s">
        <v>3112</v>
      </c>
      <c r="D765" t="s">
        <v>3113</v>
      </c>
      <c r="E765">
        <v>2018</v>
      </c>
      <c r="F765" t="s">
        <v>3163</v>
      </c>
      <c r="G765" t="s">
        <v>554</v>
      </c>
      <c r="H765" s="6">
        <v>52.21</v>
      </c>
      <c r="I765" s="6">
        <v>176.56</v>
      </c>
      <c r="J765" s="6">
        <v>1988</v>
      </c>
      <c r="K765" s="6">
        <v>2015</v>
      </c>
      <c r="L765" s="6">
        <f t="shared" si="27"/>
        <v>28</v>
      </c>
      <c r="M765" t="s">
        <v>2036</v>
      </c>
      <c r="N765" t="s">
        <v>394</v>
      </c>
      <c r="O765" t="s">
        <v>394</v>
      </c>
      <c r="P765" t="s">
        <v>3134</v>
      </c>
      <c r="Q765" t="s">
        <v>2085</v>
      </c>
      <c r="R765" t="s">
        <v>3126</v>
      </c>
      <c r="V765">
        <v>0</v>
      </c>
      <c r="W765" t="str">
        <f t="shared" si="29"/>
        <v>N</v>
      </c>
      <c r="X765" t="s">
        <v>2041</v>
      </c>
      <c r="Z765" t="str">
        <f t="shared" si="26"/>
        <v>Y</v>
      </c>
      <c r="AA765" t="s">
        <v>2054</v>
      </c>
      <c r="AB765" t="s">
        <v>3117</v>
      </c>
      <c r="AC765" s="9" t="s">
        <v>3118</v>
      </c>
    </row>
    <row r="766" spans="2:29">
      <c r="B766" t="s">
        <v>393</v>
      </c>
      <c r="C766" t="s">
        <v>3112</v>
      </c>
      <c r="D766" t="s">
        <v>3113</v>
      </c>
      <c r="E766">
        <v>2018</v>
      </c>
      <c r="F766" t="s">
        <v>3163</v>
      </c>
      <c r="G766" t="s">
        <v>554</v>
      </c>
      <c r="H766" s="6">
        <v>52.21</v>
      </c>
      <c r="I766" s="6">
        <v>176.56</v>
      </c>
      <c r="J766" s="6">
        <v>1976</v>
      </c>
      <c r="K766" s="6">
        <v>2015</v>
      </c>
      <c r="L766" s="6">
        <f t="shared" si="27"/>
        <v>40</v>
      </c>
      <c r="M766" t="s">
        <v>2036</v>
      </c>
      <c r="N766" t="s">
        <v>394</v>
      </c>
      <c r="O766" t="s">
        <v>394</v>
      </c>
      <c r="P766" t="s">
        <v>3169</v>
      </c>
      <c r="Q766" t="s">
        <v>3170</v>
      </c>
      <c r="R766" t="s">
        <v>3126</v>
      </c>
      <c r="V766">
        <v>-2.4</v>
      </c>
      <c r="W766" t="str">
        <f t="shared" si="29"/>
        <v>Y</v>
      </c>
      <c r="X766" t="s">
        <v>2041</v>
      </c>
      <c r="Z766" t="str">
        <f t="shared" si="26"/>
        <v>Y</v>
      </c>
      <c r="AA766" t="s">
        <v>2054</v>
      </c>
      <c r="AB766" t="s">
        <v>3117</v>
      </c>
      <c r="AC766" s="9" t="s">
        <v>3118</v>
      </c>
    </row>
    <row r="767" spans="2:29">
      <c r="B767" t="s">
        <v>393</v>
      </c>
      <c r="C767" t="s">
        <v>3112</v>
      </c>
      <c r="D767" t="s">
        <v>3113</v>
      </c>
      <c r="E767">
        <v>2018</v>
      </c>
      <c r="F767" t="s">
        <v>3171</v>
      </c>
      <c r="G767" t="s">
        <v>505</v>
      </c>
      <c r="H767" s="6">
        <v>-77.209999999999994</v>
      </c>
      <c r="I767" s="6">
        <v>166.46</v>
      </c>
      <c r="J767" s="6">
        <v>2002</v>
      </c>
      <c r="K767" s="6">
        <v>2014</v>
      </c>
      <c r="L767" s="6">
        <f t="shared" si="27"/>
        <v>13</v>
      </c>
      <c r="M767" t="s">
        <v>2036</v>
      </c>
      <c r="N767" t="s">
        <v>394</v>
      </c>
      <c r="O767" t="s">
        <v>394</v>
      </c>
      <c r="P767" t="s">
        <v>3115</v>
      </c>
      <c r="Q767" t="s">
        <v>645</v>
      </c>
      <c r="R767" t="s">
        <v>3116</v>
      </c>
      <c r="V767">
        <v>-2.7</v>
      </c>
      <c r="W767" t="str">
        <f t="shared" si="29"/>
        <v>Y</v>
      </c>
      <c r="X767" t="s">
        <v>2058</v>
      </c>
      <c r="Z767" t="str">
        <f t="shared" si="26"/>
        <v>N</v>
      </c>
      <c r="AA767" t="s">
        <v>2054</v>
      </c>
      <c r="AB767" t="s">
        <v>3117</v>
      </c>
      <c r="AC767" s="9" t="s">
        <v>3118</v>
      </c>
    </row>
    <row r="768" spans="2:29">
      <c r="B768" t="s">
        <v>393</v>
      </c>
      <c r="C768" t="s">
        <v>3112</v>
      </c>
      <c r="D768" t="s">
        <v>3113</v>
      </c>
      <c r="E768">
        <v>2018</v>
      </c>
      <c r="F768" t="s">
        <v>3171</v>
      </c>
      <c r="G768" t="s">
        <v>505</v>
      </c>
      <c r="H768" s="6">
        <v>-77.209999999999994</v>
      </c>
      <c r="I768" s="6">
        <v>166.46</v>
      </c>
      <c r="J768" s="6">
        <v>2002</v>
      </c>
      <c r="K768" s="6">
        <v>2014</v>
      </c>
      <c r="L768" s="6">
        <f t="shared" si="27"/>
        <v>13</v>
      </c>
      <c r="M768" t="s">
        <v>2036</v>
      </c>
      <c r="N768" t="s">
        <v>394</v>
      </c>
      <c r="O768" t="s">
        <v>394</v>
      </c>
      <c r="P768" t="s">
        <v>3115</v>
      </c>
      <c r="Q768" t="s">
        <v>645</v>
      </c>
      <c r="R768" t="s">
        <v>3126</v>
      </c>
      <c r="V768">
        <v>1.1000000000000001</v>
      </c>
      <c r="W768" t="str">
        <f t="shared" si="29"/>
        <v>N</v>
      </c>
      <c r="X768" t="s">
        <v>2058</v>
      </c>
      <c r="Z768" t="str">
        <f t="shared" si="26"/>
        <v>N</v>
      </c>
      <c r="AA768" t="s">
        <v>2054</v>
      </c>
      <c r="AB768" t="s">
        <v>3117</v>
      </c>
      <c r="AC768" s="9" t="s">
        <v>3118</v>
      </c>
    </row>
    <row r="769" spans="2:29">
      <c r="B769" t="s">
        <v>393</v>
      </c>
      <c r="C769" t="s">
        <v>3112</v>
      </c>
      <c r="D769" t="s">
        <v>3113</v>
      </c>
      <c r="E769">
        <v>2018</v>
      </c>
      <c r="F769" t="s">
        <v>3171</v>
      </c>
      <c r="G769" t="s">
        <v>505</v>
      </c>
      <c r="H769" s="6">
        <v>-77.209999999999994</v>
      </c>
      <c r="I769" s="6">
        <v>166.46</v>
      </c>
      <c r="J769" s="6">
        <v>2002</v>
      </c>
      <c r="K769" s="6">
        <v>2014</v>
      </c>
      <c r="L769" s="6">
        <f t="shared" si="27"/>
        <v>13</v>
      </c>
      <c r="M769" t="s">
        <v>2036</v>
      </c>
      <c r="N769" t="s">
        <v>394</v>
      </c>
      <c r="O769" t="s">
        <v>394</v>
      </c>
      <c r="P769" t="s">
        <v>3115</v>
      </c>
      <c r="Q769" t="s">
        <v>645</v>
      </c>
      <c r="R769" t="s">
        <v>3142</v>
      </c>
      <c r="V769">
        <v>1.1000000000000001</v>
      </c>
      <c r="W769" t="str">
        <f t="shared" si="29"/>
        <v>N</v>
      </c>
      <c r="X769" t="s">
        <v>2058</v>
      </c>
      <c r="Z769" t="str">
        <f t="shared" si="26"/>
        <v>N</v>
      </c>
      <c r="AA769" t="s">
        <v>2054</v>
      </c>
      <c r="AB769" t="s">
        <v>3117</v>
      </c>
      <c r="AC769" s="9" t="s">
        <v>3118</v>
      </c>
    </row>
    <row r="770" spans="2:29">
      <c r="B770" t="s">
        <v>393</v>
      </c>
      <c r="C770" t="s">
        <v>3112</v>
      </c>
      <c r="D770" t="s">
        <v>3113</v>
      </c>
      <c r="E770">
        <v>2018</v>
      </c>
      <c r="F770" t="s">
        <v>3171</v>
      </c>
      <c r="G770" t="s">
        <v>505</v>
      </c>
      <c r="H770" s="6">
        <v>-77.209999999999994</v>
      </c>
      <c r="I770" s="6">
        <v>166.46</v>
      </c>
      <c r="J770" s="6">
        <v>2002</v>
      </c>
      <c r="K770" s="6">
        <v>2014</v>
      </c>
      <c r="L770" s="6">
        <f t="shared" si="27"/>
        <v>13</v>
      </c>
      <c r="M770" t="s">
        <v>2036</v>
      </c>
      <c r="N770" t="s">
        <v>394</v>
      </c>
      <c r="O770" t="s">
        <v>394</v>
      </c>
      <c r="P770" t="s">
        <v>3115</v>
      </c>
      <c r="Q770" t="s">
        <v>645</v>
      </c>
      <c r="R770" t="s">
        <v>3137</v>
      </c>
      <c r="V770">
        <v>1.1000000000000001</v>
      </c>
      <c r="W770" t="str">
        <f t="shared" si="29"/>
        <v>N</v>
      </c>
      <c r="X770" t="s">
        <v>2058</v>
      </c>
      <c r="Z770" t="str">
        <f t="shared" ref="Z770:Z833" si="30">IF(L770&gt;=19,"Y","N")</f>
        <v>N</v>
      </c>
      <c r="AA770" t="s">
        <v>2054</v>
      </c>
      <c r="AB770" t="s">
        <v>3117</v>
      </c>
      <c r="AC770" s="9" t="s">
        <v>3118</v>
      </c>
    </row>
    <row r="771" spans="2:29">
      <c r="B771" t="s">
        <v>393</v>
      </c>
      <c r="C771" t="s">
        <v>3112</v>
      </c>
      <c r="D771" t="s">
        <v>3113</v>
      </c>
      <c r="E771">
        <v>2018</v>
      </c>
      <c r="F771" t="s">
        <v>3171</v>
      </c>
      <c r="G771" t="s">
        <v>505</v>
      </c>
      <c r="H771" s="6">
        <v>-77.209999999999994</v>
      </c>
      <c r="I771" s="6">
        <v>166.46</v>
      </c>
      <c r="J771" s="6">
        <v>2002</v>
      </c>
      <c r="K771" s="6">
        <v>2014</v>
      </c>
      <c r="L771" s="6">
        <f t="shared" si="27"/>
        <v>13</v>
      </c>
      <c r="M771" t="s">
        <v>2036</v>
      </c>
      <c r="N771" t="s">
        <v>394</v>
      </c>
      <c r="O771" t="s">
        <v>394</v>
      </c>
      <c r="P771" t="s">
        <v>3115</v>
      </c>
      <c r="Q771" t="s">
        <v>645</v>
      </c>
      <c r="R771" t="s">
        <v>3145</v>
      </c>
      <c r="V771">
        <v>1.1000000000000001</v>
      </c>
      <c r="W771" t="str">
        <f t="shared" si="29"/>
        <v>N</v>
      </c>
      <c r="X771" t="s">
        <v>2058</v>
      </c>
      <c r="Z771" t="str">
        <f t="shared" si="30"/>
        <v>N</v>
      </c>
      <c r="AA771" t="s">
        <v>2054</v>
      </c>
      <c r="AB771" t="s">
        <v>3117</v>
      </c>
      <c r="AC771" s="9" t="s">
        <v>3118</v>
      </c>
    </row>
    <row r="772" spans="2:29">
      <c r="B772" t="s">
        <v>393</v>
      </c>
      <c r="C772" t="s">
        <v>3112</v>
      </c>
      <c r="D772" t="s">
        <v>3113</v>
      </c>
      <c r="E772">
        <v>2018</v>
      </c>
      <c r="F772" t="s">
        <v>3172</v>
      </c>
      <c r="G772" t="s">
        <v>505</v>
      </c>
      <c r="H772" s="6">
        <v>-77.510000000000005</v>
      </c>
      <c r="I772" s="6">
        <v>169.38</v>
      </c>
      <c r="J772" s="6">
        <v>2002</v>
      </c>
      <c r="K772" s="6">
        <v>2014</v>
      </c>
      <c r="L772" s="6">
        <f t="shared" ref="L772:L835" si="31">K772-J772+1</f>
        <v>13</v>
      </c>
      <c r="M772" t="s">
        <v>2036</v>
      </c>
      <c r="N772" t="s">
        <v>394</v>
      </c>
      <c r="O772" t="s">
        <v>394</v>
      </c>
      <c r="P772" t="s">
        <v>3115</v>
      </c>
      <c r="Q772" t="s">
        <v>645</v>
      </c>
      <c r="R772" t="s">
        <v>3116</v>
      </c>
      <c r="V772">
        <v>-0.89999999999999991</v>
      </c>
      <c r="W772" t="str">
        <f t="shared" si="29"/>
        <v>Y</v>
      </c>
      <c r="X772" t="s">
        <v>2058</v>
      </c>
      <c r="Z772" t="str">
        <f t="shared" si="30"/>
        <v>N</v>
      </c>
      <c r="AA772" t="s">
        <v>2054</v>
      </c>
      <c r="AB772" t="s">
        <v>3117</v>
      </c>
      <c r="AC772" s="9" t="s">
        <v>3118</v>
      </c>
    </row>
    <row r="773" spans="2:29">
      <c r="B773" t="s">
        <v>393</v>
      </c>
      <c r="C773" t="s">
        <v>3112</v>
      </c>
      <c r="D773" t="s">
        <v>3113</v>
      </c>
      <c r="E773">
        <v>2018</v>
      </c>
      <c r="F773" t="s">
        <v>3172</v>
      </c>
      <c r="G773" t="s">
        <v>505</v>
      </c>
      <c r="H773" s="6">
        <v>-77.510000000000005</v>
      </c>
      <c r="I773" s="6">
        <v>169.38</v>
      </c>
      <c r="J773" s="6">
        <v>2002</v>
      </c>
      <c r="K773" s="6">
        <v>2014</v>
      </c>
      <c r="L773" s="6">
        <f t="shared" si="31"/>
        <v>13</v>
      </c>
      <c r="M773" t="s">
        <v>2036</v>
      </c>
      <c r="N773" t="s">
        <v>394</v>
      </c>
      <c r="O773" t="s">
        <v>394</v>
      </c>
      <c r="P773" t="s">
        <v>3115</v>
      </c>
      <c r="Q773" t="s">
        <v>645</v>
      </c>
      <c r="R773" t="s">
        <v>3126</v>
      </c>
      <c r="V773">
        <v>1.7000000000000002</v>
      </c>
      <c r="W773" t="str">
        <f t="shared" si="29"/>
        <v>N</v>
      </c>
      <c r="X773" t="s">
        <v>2058</v>
      </c>
      <c r="Z773" t="str">
        <f t="shared" si="30"/>
        <v>N</v>
      </c>
      <c r="AA773" t="s">
        <v>2054</v>
      </c>
      <c r="AB773" t="s">
        <v>3117</v>
      </c>
      <c r="AC773" s="9" t="s">
        <v>3118</v>
      </c>
    </row>
    <row r="774" spans="2:29">
      <c r="B774" t="s">
        <v>393</v>
      </c>
      <c r="C774" t="s">
        <v>3112</v>
      </c>
      <c r="D774" t="s">
        <v>3113</v>
      </c>
      <c r="E774">
        <v>2018</v>
      </c>
      <c r="F774" t="s">
        <v>3172</v>
      </c>
      <c r="G774" t="s">
        <v>505</v>
      </c>
      <c r="H774" s="6">
        <v>-77.510000000000005</v>
      </c>
      <c r="I774" s="6">
        <v>169.38</v>
      </c>
      <c r="J774" s="6">
        <v>2002</v>
      </c>
      <c r="K774" s="6">
        <v>2014</v>
      </c>
      <c r="L774" s="6">
        <f t="shared" si="31"/>
        <v>13</v>
      </c>
      <c r="M774" t="s">
        <v>2036</v>
      </c>
      <c r="N774" t="s">
        <v>394</v>
      </c>
      <c r="O774" t="s">
        <v>394</v>
      </c>
      <c r="P774" t="s">
        <v>3115</v>
      </c>
      <c r="Q774" t="s">
        <v>645</v>
      </c>
      <c r="R774" t="s">
        <v>3142</v>
      </c>
      <c r="V774">
        <v>1.7000000000000002</v>
      </c>
      <c r="W774" t="str">
        <f t="shared" si="29"/>
        <v>N</v>
      </c>
      <c r="X774" t="s">
        <v>2058</v>
      </c>
      <c r="Z774" t="str">
        <f t="shared" si="30"/>
        <v>N</v>
      </c>
      <c r="AA774" t="s">
        <v>2054</v>
      </c>
      <c r="AB774" t="s">
        <v>3117</v>
      </c>
      <c r="AC774" s="9" t="s">
        <v>3118</v>
      </c>
    </row>
    <row r="775" spans="2:29">
      <c r="B775" t="s">
        <v>393</v>
      </c>
      <c r="C775" t="s">
        <v>3112</v>
      </c>
      <c r="D775" t="s">
        <v>3113</v>
      </c>
      <c r="E775">
        <v>2018</v>
      </c>
      <c r="F775" t="s">
        <v>3172</v>
      </c>
      <c r="G775" t="s">
        <v>505</v>
      </c>
      <c r="H775" s="6">
        <v>-77.510000000000005</v>
      </c>
      <c r="I775" s="6">
        <v>169.38</v>
      </c>
      <c r="J775" s="6">
        <v>2002</v>
      </c>
      <c r="K775" s="6">
        <v>2014</v>
      </c>
      <c r="L775" s="6">
        <f t="shared" si="31"/>
        <v>13</v>
      </c>
      <c r="M775" t="s">
        <v>2036</v>
      </c>
      <c r="N775" t="s">
        <v>394</v>
      </c>
      <c r="O775" t="s">
        <v>394</v>
      </c>
      <c r="P775" t="s">
        <v>3115</v>
      </c>
      <c r="Q775" t="s">
        <v>645</v>
      </c>
      <c r="R775" t="s">
        <v>3137</v>
      </c>
      <c r="V775">
        <v>1.3</v>
      </c>
      <c r="W775" t="str">
        <f t="shared" si="29"/>
        <v>N</v>
      </c>
      <c r="X775" t="s">
        <v>2058</v>
      </c>
      <c r="Z775" t="str">
        <f t="shared" si="30"/>
        <v>N</v>
      </c>
      <c r="AA775" t="s">
        <v>2054</v>
      </c>
      <c r="AB775" t="s">
        <v>3117</v>
      </c>
      <c r="AC775" s="9" t="s">
        <v>3118</v>
      </c>
    </row>
    <row r="776" spans="2:29">
      <c r="B776" t="s">
        <v>393</v>
      </c>
      <c r="C776" t="s">
        <v>3112</v>
      </c>
      <c r="D776" t="s">
        <v>3113</v>
      </c>
      <c r="E776">
        <v>2018</v>
      </c>
      <c r="F776" t="s">
        <v>3172</v>
      </c>
      <c r="G776" t="s">
        <v>505</v>
      </c>
      <c r="H776" s="6">
        <v>-77.510000000000005</v>
      </c>
      <c r="I776" s="6">
        <v>169.38</v>
      </c>
      <c r="J776" s="6">
        <v>2002</v>
      </c>
      <c r="K776" s="6">
        <v>2014</v>
      </c>
      <c r="L776" s="6">
        <f t="shared" si="31"/>
        <v>13</v>
      </c>
      <c r="M776" t="s">
        <v>2036</v>
      </c>
      <c r="N776" t="s">
        <v>394</v>
      </c>
      <c r="O776" t="s">
        <v>394</v>
      </c>
      <c r="P776" t="s">
        <v>3115</v>
      </c>
      <c r="Q776" t="s">
        <v>645</v>
      </c>
      <c r="R776" t="s">
        <v>3145</v>
      </c>
      <c r="V776">
        <v>1.3</v>
      </c>
      <c r="W776" t="str">
        <f t="shared" si="29"/>
        <v>N</v>
      </c>
      <c r="X776" t="s">
        <v>2058</v>
      </c>
      <c r="Z776" t="str">
        <f t="shared" si="30"/>
        <v>N</v>
      </c>
      <c r="AA776" t="s">
        <v>2054</v>
      </c>
      <c r="AB776" t="s">
        <v>3117</v>
      </c>
      <c r="AC776" s="9" t="s">
        <v>3118</v>
      </c>
    </row>
    <row r="777" spans="2:29">
      <c r="B777" t="s">
        <v>393</v>
      </c>
      <c r="C777" t="s">
        <v>3112</v>
      </c>
      <c r="D777" t="s">
        <v>3113</v>
      </c>
      <c r="E777">
        <v>2018</v>
      </c>
      <c r="F777" t="s">
        <v>3173</v>
      </c>
      <c r="G777" t="s">
        <v>505</v>
      </c>
      <c r="H777" s="6">
        <v>-77.56</v>
      </c>
      <c r="I777" s="6">
        <v>166.18</v>
      </c>
      <c r="J777" s="6">
        <v>2004</v>
      </c>
      <c r="K777" s="6">
        <v>2014</v>
      </c>
      <c r="L777" s="6">
        <f t="shared" si="31"/>
        <v>11</v>
      </c>
      <c r="M777" t="s">
        <v>2036</v>
      </c>
      <c r="N777" t="s">
        <v>394</v>
      </c>
      <c r="O777" t="s">
        <v>394</v>
      </c>
      <c r="P777" t="s">
        <v>3115</v>
      </c>
      <c r="Q777" t="s">
        <v>645</v>
      </c>
      <c r="R777" t="s">
        <v>3116</v>
      </c>
      <c r="V777">
        <v>4.4000000000000004</v>
      </c>
      <c r="W777" t="str">
        <f t="shared" si="29"/>
        <v>N</v>
      </c>
      <c r="X777" t="s">
        <v>2058</v>
      </c>
      <c r="Z777" t="str">
        <f t="shared" si="30"/>
        <v>N</v>
      </c>
      <c r="AA777" t="s">
        <v>2054</v>
      </c>
      <c r="AB777" t="s">
        <v>3117</v>
      </c>
      <c r="AC777" s="9" t="s">
        <v>3118</v>
      </c>
    </row>
    <row r="778" spans="2:29">
      <c r="B778" t="s">
        <v>393</v>
      </c>
      <c r="C778" t="s">
        <v>3112</v>
      </c>
      <c r="D778" t="s">
        <v>3113</v>
      </c>
      <c r="E778">
        <v>2018</v>
      </c>
      <c r="F778" t="s">
        <v>3173</v>
      </c>
      <c r="G778" t="s">
        <v>505</v>
      </c>
      <c r="H778" s="6">
        <v>-77.56</v>
      </c>
      <c r="I778" s="6">
        <v>166.18</v>
      </c>
      <c r="J778" s="6">
        <v>2004</v>
      </c>
      <c r="K778" s="6">
        <v>2014</v>
      </c>
      <c r="L778" s="6">
        <f t="shared" si="31"/>
        <v>11</v>
      </c>
      <c r="M778" t="s">
        <v>2036</v>
      </c>
      <c r="N778" t="s">
        <v>394</v>
      </c>
      <c r="O778" t="s">
        <v>394</v>
      </c>
      <c r="P778" t="s">
        <v>3115</v>
      </c>
      <c r="Q778" t="s">
        <v>645</v>
      </c>
      <c r="R778" t="s">
        <v>3126</v>
      </c>
      <c r="V778">
        <v>5.4</v>
      </c>
      <c r="W778" t="str">
        <f t="shared" si="29"/>
        <v>N</v>
      </c>
      <c r="X778" t="s">
        <v>2058</v>
      </c>
      <c r="Z778" t="str">
        <f t="shared" si="30"/>
        <v>N</v>
      </c>
      <c r="AA778" t="s">
        <v>2054</v>
      </c>
      <c r="AB778" t="s">
        <v>3117</v>
      </c>
      <c r="AC778" s="9" t="s">
        <v>3118</v>
      </c>
    </row>
    <row r="779" spans="2:29">
      <c r="B779" t="s">
        <v>393</v>
      </c>
      <c r="C779" t="s">
        <v>3112</v>
      </c>
      <c r="D779" t="s">
        <v>3113</v>
      </c>
      <c r="E779">
        <v>2018</v>
      </c>
      <c r="F779" t="s">
        <v>3173</v>
      </c>
      <c r="G779" t="s">
        <v>505</v>
      </c>
      <c r="H779" s="6">
        <v>-77.56</v>
      </c>
      <c r="I779" s="6">
        <v>166.18</v>
      </c>
      <c r="J779" s="6">
        <v>2004</v>
      </c>
      <c r="K779" s="6">
        <v>2014</v>
      </c>
      <c r="L779" s="6">
        <f t="shared" si="31"/>
        <v>11</v>
      </c>
      <c r="M779" t="s">
        <v>2036</v>
      </c>
      <c r="N779" t="s">
        <v>394</v>
      </c>
      <c r="O779" t="s">
        <v>394</v>
      </c>
      <c r="P779" t="s">
        <v>3115</v>
      </c>
      <c r="Q779" t="s">
        <v>645</v>
      </c>
      <c r="R779" t="s">
        <v>3142</v>
      </c>
      <c r="V779">
        <v>2.4</v>
      </c>
      <c r="W779" t="str">
        <f t="shared" si="29"/>
        <v>N</v>
      </c>
      <c r="X779" t="s">
        <v>2058</v>
      </c>
      <c r="Z779" t="str">
        <f t="shared" si="30"/>
        <v>N</v>
      </c>
      <c r="AA779" t="s">
        <v>2054</v>
      </c>
      <c r="AB779" t="s">
        <v>3117</v>
      </c>
      <c r="AC779" s="9" t="s">
        <v>3118</v>
      </c>
    </row>
    <row r="780" spans="2:29">
      <c r="B780" t="s">
        <v>393</v>
      </c>
      <c r="C780" t="s">
        <v>3112</v>
      </c>
      <c r="D780" t="s">
        <v>3113</v>
      </c>
      <c r="E780">
        <v>2018</v>
      </c>
      <c r="F780" t="s">
        <v>3173</v>
      </c>
      <c r="G780" t="s">
        <v>505</v>
      </c>
      <c r="H780" s="6">
        <v>-77.56</v>
      </c>
      <c r="I780" s="6">
        <v>166.18</v>
      </c>
      <c r="J780" s="6">
        <v>2004</v>
      </c>
      <c r="K780" s="6">
        <v>2014</v>
      </c>
      <c r="L780" s="6">
        <f t="shared" si="31"/>
        <v>11</v>
      </c>
      <c r="M780" t="s">
        <v>2036</v>
      </c>
      <c r="N780" t="s">
        <v>394</v>
      </c>
      <c r="O780" t="s">
        <v>394</v>
      </c>
      <c r="P780" t="s">
        <v>3115</v>
      </c>
      <c r="Q780" t="s">
        <v>645</v>
      </c>
      <c r="R780" t="s">
        <v>3137</v>
      </c>
      <c r="V780">
        <v>4.9000000000000004</v>
      </c>
      <c r="W780" t="str">
        <f t="shared" si="29"/>
        <v>N</v>
      </c>
      <c r="X780" t="s">
        <v>2058</v>
      </c>
      <c r="Z780" t="str">
        <f t="shared" si="30"/>
        <v>N</v>
      </c>
      <c r="AA780" t="s">
        <v>2054</v>
      </c>
      <c r="AB780" t="s">
        <v>3117</v>
      </c>
      <c r="AC780" s="9" t="s">
        <v>3118</v>
      </c>
    </row>
    <row r="781" spans="2:29">
      <c r="B781" t="s">
        <v>393</v>
      </c>
      <c r="C781" t="s">
        <v>3112</v>
      </c>
      <c r="D781" t="s">
        <v>3113</v>
      </c>
      <c r="E781">
        <v>2018</v>
      </c>
      <c r="F781" t="s">
        <v>3173</v>
      </c>
      <c r="G781" t="s">
        <v>505</v>
      </c>
      <c r="H781" s="6">
        <v>-77.56</v>
      </c>
      <c r="I781" s="6">
        <v>166.18</v>
      </c>
      <c r="J781" s="6">
        <v>2004</v>
      </c>
      <c r="K781" s="6">
        <v>2014</v>
      </c>
      <c r="L781" s="6">
        <f t="shared" si="31"/>
        <v>11</v>
      </c>
      <c r="M781" t="s">
        <v>2036</v>
      </c>
      <c r="N781" t="s">
        <v>394</v>
      </c>
      <c r="O781" t="s">
        <v>394</v>
      </c>
      <c r="P781" t="s">
        <v>3115</v>
      </c>
      <c r="Q781" t="s">
        <v>645</v>
      </c>
      <c r="R781" t="s">
        <v>3145</v>
      </c>
      <c r="V781">
        <v>2</v>
      </c>
      <c r="W781" t="str">
        <f t="shared" si="29"/>
        <v>N</v>
      </c>
      <c r="X781" t="s">
        <v>2058</v>
      </c>
      <c r="Z781" t="str">
        <f t="shared" si="30"/>
        <v>N</v>
      </c>
      <c r="AA781" t="s">
        <v>2054</v>
      </c>
      <c r="AB781" t="s">
        <v>3117</v>
      </c>
      <c r="AC781" s="9" t="s">
        <v>3118</v>
      </c>
    </row>
    <row r="782" spans="2:29">
      <c r="B782" t="s">
        <v>393</v>
      </c>
      <c r="C782" t="s">
        <v>3112</v>
      </c>
      <c r="D782" t="s">
        <v>3113</v>
      </c>
      <c r="E782">
        <v>2018</v>
      </c>
      <c r="F782" t="s">
        <v>3174</v>
      </c>
      <c r="G782" t="s">
        <v>505</v>
      </c>
      <c r="H782" s="6">
        <v>-62.46</v>
      </c>
      <c r="I782" s="6">
        <v>-60.79</v>
      </c>
      <c r="J782" s="6">
        <v>1997</v>
      </c>
      <c r="K782" s="6">
        <v>2014</v>
      </c>
      <c r="L782" s="6">
        <f t="shared" si="31"/>
        <v>18</v>
      </c>
      <c r="M782" t="s">
        <v>2036</v>
      </c>
      <c r="N782" t="s">
        <v>394</v>
      </c>
      <c r="O782" t="s">
        <v>394</v>
      </c>
      <c r="P782" t="s">
        <v>3175</v>
      </c>
      <c r="Q782" t="s">
        <v>3176</v>
      </c>
      <c r="R782" t="s">
        <v>3137</v>
      </c>
      <c r="V782">
        <v>2</v>
      </c>
      <c r="W782" t="str">
        <f t="shared" si="29"/>
        <v>N</v>
      </c>
      <c r="X782" t="s">
        <v>2058</v>
      </c>
      <c r="Z782" t="str">
        <f t="shared" si="30"/>
        <v>N</v>
      </c>
      <c r="AA782" t="s">
        <v>2054</v>
      </c>
      <c r="AB782" t="s">
        <v>3117</v>
      </c>
      <c r="AC782" s="9" t="s">
        <v>3118</v>
      </c>
    </row>
    <row r="783" spans="2:29">
      <c r="B783" t="s">
        <v>393</v>
      </c>
      <c r="C783" t="s">
        <v>3112</v>
      </c>
      <c r="D783" t="s">
        <v>3113</v>
      </c>
      <c r="E783">
        <v>2018</v>
      </c>
      <c r="F783" t="s">
        <v>3174</v>
      </c>
      <c r="G783" t="s">
        <v>505</v>
      </c>
      <c r="H783" s="6">
        <v>-62.46</v>
      </c>
      <c r="I783" s="6">
        <v>-60.79</v>
      </c>
      <c r="J783" s="6">
        <v>1997</v>
      </c>
      <c r="K783" s="6">
        <v>2014</v>
      </c>
      <c r="L783" s="6">
        <f t="shared" si="31"/>
        <v>18</v>
      </c>
      <c r="M783" t="s">
        <v>2036</v>
      </c>
      <c r="N783" t="s">
        <v>394</v>
      </c>
      <c r="O783" t="s">
        <v>394</v>
      </c>
      <c r="P783" t="s">
        <v>3175</v>
      </c>
      <c r="Q783" t="s">
        <v>3176</v>
      </c>
      <c r="R783" t="s">
        <v>3145</v>
      </c>
      <c r="V783">
        <v>1.5</v>
      </c>
      <c r="W783" t="str">
        <f t="shared" si="29"/>
        <v>N</v>
      </c>
      <c r="X783" t="s">
        <v>2058</v>
      </c>
      <c r="Z783" t="str">
        <f t="shared" si="30"/>
        <v>N</v>
      </c>
      <c r="AA783" t="s">
        <v>2054</v>
      </c>
      <c r="AB783" t="s">
        <v>3117</v>
      </c>
      <c r="AC783" s="9" t="s">
        <v>3118</v>
      </c>
    </row>
    <row r="784" spans="2:29">
      <c r="B784" t="s">
        <v>393</v>
      </c>
      <c r="C784" t="s">
        <v>3112</v>
      </c>
      <c r="D784" t="s">
        <v>3113</v>
      </c>
      <c r="E784">
        <v>2018</v>
      </c>
      <c r="F784" t="s">
        <v>3174</v>
      </c>
      <c r="G784" t="s">
        <v>505</v>
      </c>
      <c r="H784" s="6">
        <v>-62.46</v>
      </c>
      <c r="I784" s="6">
        <v>-60.79</v>
      </c>
      <c r="J784" s="6">
        <v>1998</v>
      </c>
      <c r="K784" s="6">
        <v>2014</v>
      </c>
      <c r="L784" s="6">
        <f t="shared" si="31"/>
        <v>17</v>
      </c>
      <c r="M784" t="s">
        <v>2036</v>
      </c>
      <c r="N784" t="s">
        <v>394</v>
      </c>
      <c r="O784" t="s">
        <v>394</v>
      </c>
      <c r="P784" t="s">
        <v>3153</v>
      </c>
      <c r="Q784" t="s">
        <v>3154</v>
      </c>
      <c r="R784" t="s">
        <v>3137</v>
      </c>
      <c r="V784">
        <v>5.3000000000000007</v>
      </c>
      <c r="W784" t="str">
        <f t="shared" si="29"/>
        <v>N</v>
      </c>
      <c r="X784" t="s">
        <v>2058</v>
      </c>
      <c r="Z784" t="str">
        <f t="shared" si="30"/>
        <v>N</v>
      </c>
      <c r="AA784" t="s">
        <v>2054</v>
      </c>
      <c r="AB784" t="s">
        <v>3117</v>
      </c>
      <c r="AC784" s="9" t="s">
        <v>3118</v>
      </c>
    </row>
    <row r="785" spans="2:29">
      <c r="B785" t="s">
        <v>393</v>
      </c>
      <c r="C785" t="s">
        <v>3112</v>
      </c>
      <c r="D785" t="s">
        <v>3113</v>
      </c>
      <c r="E785">
        <v>2018</v>
      </c>
      <c r="F785" t="s">
        <v>3174</v>
      </c>
      <c r="G785" t="s">
        <v>505</v>
      </c>
      <c r="H785" s="6">
        <v>-62.46</v>
      </c>
      <c r="I785" s="6">
        <v>-60.79</v>
      </c>
      <c r="J785" s="6">
        <v>1998</v>
      </c>
      <c r="K785" s="6">
        <v>2014</v>
      </c>
      <c r="L785" s="6">
        <f t="shared" si="31"/>
        <v>17</v>
      </c>
      <c r="M785" t="s">
        <v>2036</v>
      </c>
      <c r="N785" t="s">
        <v>394</v>
      </c>
      <c r="O785" t="s">
        <v>394</v>
      </c>
      <c r="P785" t="s">
        <v>3153</v>
      </c>
      <c r="Q785" t="s">
        <v>3154</v>
      </c>
      <c r="R785" t="s">
        <v>3145</v>
      </c>
      <c r="V785">
        <v>3.9000000000000004</v>
      </c>
      <c r="W785" t="str">
        <f t="shared" si="29"/>
        <v>N</v>
      </c>
      <c r="X785" t="s">
        <v>2058</v>
      </c>
      <c r="Z785" t="str">
        <f t="shared" si="30"/>
        <v>N</v>
      </c>
      <c r="AA785" t="s">
        <v>2054</v>
      </c>
      <c r="AB785" t="s">
        <v>3117</v>
      </c>
      <c r="AC785" s="9" t="s">
        <v>3118</v>
      </c>
    </row>
    <row r="786" spans="2:29">
      <c r="B786" t="s">
        <v>393</v>
      </c>
      <c r="C786" t="s">
        <v>3112</v>
      </c>
      <c r="D786" t="s">
        <v>3113</v>
      </c>
      <c r="E786">
        <v>2018</v>
      </c>
      <c r="F786" t="s">
        <v>3177</v>
      </c>
      <c r="G786" t="s">
        <v>554</v>
      </c>
      <c r="H786" s="6">
        <v>56.02</v>
      </c>
      <c r="I786" s="6">
        <v>-156.41</v>
      </c>
      <c r="J786" s="6">
        <v>1976</v>
      </c>
      <c r="K786" s="6">
        <v>2015</v>
      </c>
      <c r="L786" s="6">
        <f t="shared" si="31"/>
        <v>40</v>
      </c>
      <c r="M786" t="s">
        <v>2036</v>
      </c>
      <c r="N786" t="s">
        <v>394</v>
      </c>
      <c r="O786" t="s">
        <v>394</v>
      </c>
      <c r="P786" t="s">
        <v>2293</v>
      </c>
      <c r="Q786" t="s">
        <v>465</v>
      </c>
      <c r="R786" t="s">
        <v>3126</v>
      </c>
      <c r="V786">
        <v>-0.1</v>
      </c>
      <c r="W786" t="str">
        <f t="shared" si="29"/>
        <v>Y</v>
      </c>
      <c r="X786" t="s">
        <v>2041</v>
      </c>
      <c r="Z786" t="str">
        <f t="shared" si="30"/>
        <v>Y</v>
      </c>
      <c r="AA786" t="s">
        <v>2054</v>
      </c>
      <c r="AB786" t="s">
        <v>3117</v>
      </c>
      <c r="AC786" s="9" t="s">
        <v>3118</v>
      </c>
    </row>
    <row r="787" spans="2:29">
      <c r="B787" t="s">
        <v>393</v>
      </c>
      <c r="C787" t="s">
        <v>3112</v>
      </c>
      <c r="D787" t="s">
        <v>3113</v>
      </c>
      <c r="E787">
        <v>2018</v>
      </c>
      <c r="F787" t="s">
        <v>3177</v>
      </c>
      <c r="G787" t="s">
        <v>554</v>
      </c>
      <c r="H787" s="6">
        <v>56.02</v>
      </c>
      <c r="I787" s="6">
        <v>-156.41</v>
      </c>
      <c r="J787" s="6">
        <v>1979</v>
      </c>
      <c r="K787" s="6">
        <v>2014</v>
      </c>
      <c r="L787" s="6">
        <f t="shared" si="31"/>
        <v>36</v>
      </c>
      <c r="M787" t="s">
        <v>2036</v>
      </c>
      <c r="N787" t="s">
        <v>394</v>
      </c>
      <c r="O787" t="s">
        <v>394</v>
      </c>
      <c r="P787" t="s">
        <v>2291</v>
      </c>
      <c r="Q787" t="s">
        <v>984</v>
      </c>
      <c r="R787" t="s">
        <v>3126</v>
      </c>
      <c r="V787">
        <v>0.2</v>
      </c>
      <c r="W787" t="str">
        <f t="shared" si="29"/>
        <v>N</v>
      </c>
      <c r="X787" t="s">
        <v>2041</v>
      </c>
      <c r="Z787" t="str">
        <f t="shared" si="30"/>
        <v>Y</v>
      </c>
      <c r="AA787" t="s">
        <v>2054</v>
      </c>
      <c r="AB787" t="s">
        <v>3117</v>
      </c>
      <c r="AC787" s="9" t="s">
        <v>3118</v>
      </c>
    </row>
    <row r="788" spans="2:29">
      <c r="B788" t="s">
        <v>393</v>
      </c>
      <c r="C788" t="s">
        <v>3112</v>
      </c>
      <c r="D788" t="s">
        <v>3113</v>
      </c>
      <c r="E788">
        <v>2018</v>
      </c>
      <c r="F788" t="s">
        <v>3177</v>
      </c>
      <c r="G788" t="s">
        <v>554</v>
      </c>
      <c r="H788" s="6">
        <v>56.02</v>
      </c>
      <c r="I788" s="6">
        <v>-156.41</v>
      </c>
      <c r="J788" s="6">
        <v>2004</v>
      </c>
      <c r="K788" s="6">
        <v>2015</v>
      </c>
      <c r="L788" s="6">
        <f t="shared" si="31"/>
        <v>12</v>
      </c>
      <c r="M788" t="s">
        <v>2036</v>
      </c>
      <c r="N788" t="s">
        <v>394</v>
      </c>
      <c r="O788" t="s">
        <v>394</v>
      </c>
      <c r="P788" t="s">
        <v>3129</v>
      </c>
      <c r="Q788" t="s">
        <v>448</v>
      </c>
      <c r="R788" t="s">
        <v>3126</v>
      </c>
      <c r="V788">
        <v>-3.5</v>
      </c>
      <c r="W788" t="str">
        <f t="shared" si="29"/>
        <v>Y</v>
      </c>
      <c r="X788" t="s">
        <v>2058</v>
      </c>
      <c r="Z788" t="str">
        <f t="shared" si="30"/>
        <v>N</v>
      </c>
      <c r="AA788" t="s">
        <v>2054</v>
      </c>
      <c r="AB788" t="s">
        <v>3117</v>
      </c>
      <c r="AC788" s="9" t="s">
        <v>3118</v>
      </c>
    </row>
    <row r="789" spans="2:29">
      <c r="B789" t="s">
        <v>393</v>
      </c>
      <c r="C789" t="s">
        <v>3112</v>
      </c>
      <c r="D789" t="s">
        <v>3113</v>
      </c>
      <c r="E789">
        <v>2018</v>
      </c>
      <c r="F789" t="s">
        <v>3177</v>
      </c>
      <c r="G789" t="s">
        <v>554</v>
      </c>
      <c r="H789" s="6">
        <v>56.02</v>
      </c>
      <c r="I789" s="6">
        <v>-156.41</v>
      </c>
      <c r="J789" s="6">
        <v>1976</v>
      </c>
      <c r="K789" s="6">
        <v>2015</v>
      </c>
      <c r="L789" s="6">
        <f t="shared" si="31"/>
        <v>40</v>
      </c>
      <c r="M789" t="s">
        <v>2036</v>
      </c>
      <c r="N789" t="s">
        <v>394</v>
      </c>
      <c r="O789" t="s">
        <v>394</v>
      </c>
      <c r="P789" t="s">
        <v>3130</v>
      </c>
      <c r="Q789" t="s">
        <v>3131</v>
      </c>
      <c r="R789" t="s">
        <v>3126</v>
      </c>
      <c r="V789">
        <v>-0.3</v>
      </c>
      <c r="W789" t="str">
        <f t="shared" si="29"/>
        <v>Y</v>
      </c>
      <c r="X789" t="s">
        <v>2041</v>
      </c>
      <c r="Z789" t="str">
        <f t="shared" si="30"/>
        <v>Y</v>
      </c>
      <c r="AA789" t="s">
        <v>2054</v>
      </c>
      <c r="AB789" t="s">
        <v>3117</v>
      </c>
      <c r="AC789" s="9" t="s">
        <v>3118</v>
      </c>
    </row>
    <row r="790" spans="2:29">
      <c r="B790" t="s">
        <v>393</v>
      </c>
      <c r="C790" t="s">
        <v>3112</v>
      </c>
      <c r="D790" t="s">
        <v>3113</v>
      </c>
      <c r="E790">
        <v>2018</v>
      </c>
      <c r="F790" t="s">
        <v>3177</v>
      </c>
      <c r="G790" t="s">
        <v>554</v>
      </c>
      <c r="H790" s="6">
        <v>56.02</v>
      </c>
      <c r="I790" s="6">
        <v>-156.41</v>
      </c>
      <c r="J790" s="6">
        <v>1976</v>
      </c>
      <c r="K790" s="6">
        <v>2015</v>
      </c>
      <c r="L790" s="6">
        <f t="shared" si="31"/>
        <v>40</v>
      </c>
      <c r="M790" t="s">
        <v>2036</v>
      </c>
      <c r="N790" t="s">
        <v>394</v>
      </c>
      <c r="O790" t="s">
        <v>394</v>
      </c>
      <c r="P790" t="s">
        <v>3167</v>
      </c>
      <c r="Q790" t="s">
        <v>3168</v>
      </c>
      <c r="R790" t="s">
        <v>3126</v>
      </c>
      <c r="V790">
        <v>-1.7999999999999998</v>
      </c>
      <c r="W790" t="str">
        <f t="shared" ref="W790:W853" si="32">IF(V790&lt;0,"Y","N")</f>
        <v>Y</v>
      </c>
      <c r="X790" t="s">
        <v>2041</v>
      </c>
      <c r="Z790" t="str">
        <f t="shared" si="30"/>
        <v>Y</v>
      </c>
      <c r="AA790" t="s">
        <v>2054</v>
      </c>
      <c r="AB790" t="s">
        <v>3117</v>
      </c>
      <c r="AC790" s="9" t="s">
        <v>3118</v>
      </c>
    </row>
    <row r="791" spans="2:29">
      <c r="B791" t="s">
        <v>393</v>
      </c>
      <c r="C791" t="s">
        <v>3112</v>
      </c>
      <c r="D791" t="s">
        <v>3113</v>
      </c>
      <c r="E791">
        <v>2018</v>
      </c>
      <c r="F791" t="s">
        <v>3177</v>
      </c>
      <c r="G791" t="s">
        <v>554</v>
      </c>
      <c r="H791" s="6">
        <v>56.02</v>
      </c>
      <c r="I791" s="6">
        <v>-156.41</v>
      </c>
      <c r="J791" s="6">
        <v>1978</v>
      </c>
      <c r="K791" s="6">
        <v>2014</v>
      </c>
      <c r="L791" s="6">
        <f t="shared" si="31"/>
        <v>37</v>
      </c>
      <c r="M791" t="s">
        <v>2036</v>
      </c>
      <c r="N791" t="s">
        <v>394</v>
      </c>
      <c r="O791" t="s">
        <v>394</v>
      </c>
      <c r="P791" t="s">
        <v>2371</v>
      </c>
      <c r="Q791" t="s">
        <v>469</v>
      </c>
      <c r="R791" t="s">
        <v>3126</v>
      </c>
      <c r="V791">
        <v>0.2</v>
      </c>
      <c r="W791" t="str">
        <f t="shared" si="32"/>
        <v>N</v>
      </c>
      <c r="X791" t="s">
        <v>2041</v>
      </c>
      <c r="Z791" t="str">
        <f t="shared" si="30"/>
        <v>Y</v>
      </c>
      <c r="AA791" t="s">
        <v>2054</v>
      </c>
      <c r="AB791" t="s">
        <v>3117</v>
      </c>
      <c r="AC791" s="9" t="s">
        <v>3118</v>
      </c>
    </row>
    <row r="792" spans="2:29">
      <c r="B792" t="s">
        <v>393</v>
      </c>
      <c r="C792" t="s">
        <v>3112</v>
      </c>
      <c r="D792" t="s">
        <v>3113</v>
      </c>
      <c r="E792">
        <v>2018</v>
      </c>
      <c r="F792" t="s">
        <v>3177</v>
      </c>
      <c r="G792" t="s">
        <v>554</v>
      </c>
      <c r="H792" s="6">
        <v>56.02</v>
      </c>
      <c r="I792" s="6">
        <v>-156.41</v>
      </c>
      <c r="J792" s="6">
        <v>1976</v>
      </c>
      <c r="K792" s="6">
        <v>2015</v>
      </c>
      <c r="L792" s="6">
        <f t="shared" si="31"/>
        <v>40</v>
      </c>
      <c r="M792" t="s">
        <v>2036</v>
      </c>
      <c r="N792" t="s">
        <v>394</v>
      </c>
      <c r="O792" t="s">
        <v>394</v>
      </c>
      <c r="P792" t="s">
        <v>3134</v>
      </c>
      <c r="Q792" t="s">
        <v>2085</v>
      </c>
      <c r="R792" t="s">
        <v>3126</v>
      </c>
      <c r="V792">
        <v>1.2</v>
      </c>
      <c r="W792" t="str">
        <f t="shared" si="32"/>
        <v>N</v>
      </c>
      <c r="X792" t="s">
        <v>2041</v>
      </c>
      <c r="Z792" t="str">
        <f t="shared" si="30"/>
        <v>Y</v>
      </c>
      <c r="AA792" t="s">
        <v>2054</v>
      </c>
      <c r="AB792" t="s">
        <v>3117</v>
      </c>
      <c r="AC792" s="9" t="s">
        <v>3118</v>
      </c>
    </row>
    <row r="793" spans="2:29">
      <c r="B793" t="s">
        <v>393</v>
      </c>
      <c r="C793" t="s">
        <v>3112</v>
      </c>
      <c r="D793" t="s">
        <v>3113</v>
      </c>
      <c r="E793">
        <v>2018</v>
      </c>
      <c r="F793" t="s">
        <v>3178</v>
      </c>
      <c r="G793" t="s">
        <v>554</v>
      </c>
      <c r="H793" s="6">
        <v>62.95</v>
      </c>
      <c r="I793" s="6">
        <v>-82.01</v>
      </c>
      <c r="J793" s="6">
        <v>2000</v>
      </c>
      <c r="K793" s="6">
        <v>2010</v>
      </c>
      <c r="L793" s="6">
        <f t="shared" si="31"/>
        <v>11</v>
      </c>
      <c r="M793" t="s">
        <v>2036</v>
      </c>
      <c r="N793" t="s">
        <v>394</v>
      </c>
      <c r="O793" t="s">
        <v>394</v>
      </c>
      <c r="P793" t="s">
        <v>3179</v>
      </c>
      <c r="Q793" t="s">
        <v>443</v>
      </c>
      <c r="R793" t="s">
        <v>3116</v>
      </c>
      <c r="V793">
        <v>-4.0999999999999996</v>
      </c>
      <c r="W793" t="str">
        <f t="shared" si="32"/>
        <v>Y</v>
      </c>
      <c r="X793" t="s">
        <v>2058</v>
      </c>
      <c r="Z793" t="str">
        <f t="shared" si="30"/>
        <v>N</v>
      </c>
      <c r="AA793" t="s">
        <v>2054</v>
      </c>
      <c r="AB793" t="s">
        <v>3117</v>
      </c>
      <c r="AC793" s="9" t="s">
        <v>3118</v>
      </c>
    </row>
    <row r="794" spans="2:29">
      <c r="B794" t="s">
        <v>393</v>
      </c>
      <c r="C794" t="s">
        <v>3112</v>
      </c>
      <c r="D794" t="s">
        <v>3113</v>
      </c>
      <c r="E794">
        <v>2018</v>
      </c>
      <c r="F794" t="s">
        <v>3178</v>
      </c>
      <c r="G794" t="s">
        <v>554</v>
      </c>
      <c r="H794" s="6">
        <v>62.95</v>
      </c>
      <c r="I794" s="6">
        <v>-82.01</v>
      </c>
      <c r="J794" s="6">
        <v>1975</v>
      </c>
      <c r="K794" s="6">
        <v>2014</v>
      </c>
      <c r="L794" s="6">
        <f t="shared" si="31"/>
        <v>40</v>
      </c>
      <c r="M794" t="s">
        <v>2036</v>
      </c>
      <c r="N794" t="s">
        <v>394</v>
      </c>
      <c r="O794" t="s">
        <v>394</v>
      </c>
      <c r="P794" t="s">
        <v>2371</v>
      </c>
      <c r="Q794" t="s">
        <v>469</v>
      </c>
      <c r="R794" t="s">
        <v>3137</v>
      </c>
      <c r="V794">
        <v>-1.7999999999999998</v>
      </c>
      <c r="W794" t="str">
        <f t="shared" si="32"/>
        <v>Y</v>
      </c>
      <c r="X794" t="s">
        <v>2041</v>
      </c>
      <c r="Z794" t="str">
        <f t="shared" si="30"/>
        <v>Y</v>
      </c>
      <c r="AA794" t="s">
        <v>2054</v>
      </c>
      <c r="AB794" t="s">
        <v>3117</v>
      </c>
      <c r="AC794" s="9" t="s">
        <v>3118</v>
      </c>
    </row>
    <row r="795" spans="2:29">
      <c r="B795" t="s">
        <v>393</v>
      </c>
      <c r="C795" t="s">
        <v>3112</v>
      </c>
      <c r="D795" t="s">
        <v>3113</v>
      </c>
      <c r="E795">
        <v>2018</v>
      </c>
      <c r="F795" t="s">
        <v>3180</v>
      </c>
      <c r="G795" t="s">
        <v>554</v>
      </c>
      <c r="H795" s="6">
        <v>71.23</v>
      </c>
      <c r="I795" s="6">
        <v>-155.68</v>
      </c>
      <c r="J795" s="6">
        <v>1975</v>
      </c>
      <c r="K795" s="6">
        <v>2015</v>
      </c>
      <c r="L795" s="6">
        <f t="shared" si="31"/>
        <v>41</v>
      </c>
      <c r="M795" t="s">
        <v>2036</v>
      </c>
      <c r="N795" t="s">
        <v>394</v>
      </c>
      <c r="O795" t="s">
        <v>394</v>
      </c>
      <c r="P795" t="s">
        <v>3181</v>
      </c>
      <c r="Q795" t="s">
        <v>438</v>
      </c>
      <c r="R795" t="s">
        <v>3145</v>
      </c>
      <c r="V795">
        <v>-2.3000000000000003</v>
      </c>
      <c r="W795" t="str">
        <f t="shared" si="32"/>
        <v>Y</v>
      </c>
      <c r="X795" t="s">
        <v>2041</v>
      </c>
      <c r="Z795" t="str">
        <f t="shared" si="30"/>
        <v>Y</v>
      </c>
      <c r="AA795" t="s">
        <v>2054</v>
      </c>
      <c r="AB795" t="s">
        <v>3117</v>
      </c>
      <c r="AC795" s="9" t="s">
        <v>3118</v>
      </c>
    </row>
    <row r="796" spans="2:29">
      <c r="B796" t="s">
        <v>393</v>
      </c>
      <c r="C796" t="s">
        <v>3112</v>
      </c>
      <c r="D796" t="s">
        <v>3113</v>
      </c>
      <c r="E796">
        <v>2018</v>
      </c>
      <c r="F796" t="s">
        <v>3182</v>
      </c>
      <c r="G796" t="s">
        <v>505</v>
      </c>
      <c r="H796" s="6">
        <v>-62.21</v>
      </c>
      <c r="I796" s="6">
        <v>-58.42</v>
      </c>
      <c r="J796" s="6">
        <v>1991</v>
      </c>
      <c r="K796" s="6">
        <v>2013</v>
      </c>
      <c r="L796" s="6">
        <f t="shared" si="31"/>
        <v>23</v>
      </c>
      <c r="M796" t="s">
        <v>2036</v>
      </c>
      <c r="N796" t="s">
        <v>394</v>
      </c>
      <c r="O796" t="s">
        <v>394</v>
      </c>
      <c r="P796" t="s">
        <v>3115</v>
      </c>
      <c r="Q796" t="s">
        <v>645</v>
      </c>
      <c r="R796" t="s">
        <v>3137</v>
      </c>
      <c r="V796">
        <v>-0.3</v>
      </c>
      <c r="W796" t="str">
        <f t="shared" si="32"/>
        <v>Y</v>
      </c>
      <c r="X796" t="s">
        <v>2041</v>
      </c>
      <c r="Z796" t="str">
        <f t="shared" si="30"/>
        <v>Y</v>
      </c>
      <c r="AA796" t="s">
        <v>2054</v>
      </c>
      <c r="AB796" t="s">
        <v>3117</v>
      </c>
      <c r="AC796" s="9" t="s">
        <v>3118</v>
      </c>
    </row>
    <row r="797" spans="2:29">
      <c r="B797" t="s">
        <v>393</v>
      </c>
      <c r="C797" t="s">
        <v>3112</v>
      </c>
      <c r="D797" t="s">
        <v>3113</v>
      </c>
      <c r="E797">
        <v>2018</v>
      </c>
      <c r="F797" t="s">
        <v>3182</v>
      </c>
      <c r="G797" t="s">
        <v>505</v>
      </c>
      <c r="H797" s="6">
        <v>-62.21</v>
      </c>
      <c r="I797" s="6">
        <v>-58.42</v>
      </c>
      <c r="J797" s="6">
        <v>1991</v>
      </c>
      <c r="K797" s="6">
        <v>2013</v>
      </c>
      <c r="L797" s="6">
        <f t="shared" si="31"/>
        <v>23</v>
      </c>
      <c r="M797" t="s">
        <v>2036</v>
      </c>
      <c r="N797" t="s">
        <v>394</v>
      </c>
      <c r="O797" t="s">
        <v>394</v>
      </c>
      <c r="P797" t="s">
        <v>3115</v>
      </c>
      <c r="Q797" t="s">
        <v>645</v>
      </c>
      <c r="R797" t="s">
        <v>3145</v>
      </c>
      <c r="V797">
        <v>-0.89999999999999991</v>
      </c>
      <c r="W797" t="str">
        <f t="shared" si="32"/>
        <v>Y</v>
      </c>
      <c r="X797" t="s">
        <v>2041</v>
      </c>
      <c r="Z797" t="str">
        <f t="shared" si="30"/>
        <v>Y</v>
      </c>
      <c r="AA797" t="s">
        <v>2054</v>
      </c>
      <c r="AB797" t="s">
        <v>3117</v>
      </c>
      <c r="AC797" s="9" t="s">
        <v>3118</v>
      </c>
    </row>
    <row r="798" spans="2:29">
      <c r="B798" t="s">
        <v>393</v>
      </c>
      <c r="C798" t="s">
        <v>3112</v>
      </c>
      <c r="D798" t="s">
        <v>3113</v>
      </c>
      <c r="E798">
        <v>2018</v>
      </c>
      <c r="F798" t="s">
        <v>3182</v>
      </c>
      <c r="G798" t="s">
        <v>505</v>
      </c>
      <c r="H798" s="6">
        <v>-62.21</v>
      </c>
      <c r="I798" s="6">
        <v>-58.42</v>
      </c>
      <c r="J798" s="6">
        <v>1991</v>
      </c>
      <c r="K798" s="6">
        <v>2013</v>
      </c>
      <c r="L798" s="6">
        <f t="shared" si="31"/>
        <v>23</v>
      </c>
      <c r="M798" t="s">
        <v>2036</v>
      </c>
      <c r="N798" t="s">
        <v>394</v>
      </c>
      <c r="O798" t="s">
        <v>394</v>
      </c>
      <c r="P798" t="s">
        <v>3153</v>
      </c>
      <c r="Q798" t="s">
        <v>3154</v>
      </c>
      <c r="R798" t="s">
        <v>3137</v>
      </c>
      <c r="V798">
        <v>-2</v>
      </c>
      <c r="W798" t="str">
        <f t="shared" si="32"/>
        <v>Y</v>
      </c>
      <c r="X798" t="s">
        <v>2041</v>
      </c>
      <c r="Z798" t="str">
        <f t="shared" si="30"/>
        <v>Y</v>
      </c>
      <c r="AA798" t="s">
        <v>2054</v>
      </c>
      <c r="AB798" t="s">
        <v>3117</v>
      </c>
      <c r="AC798" s="9" t="s">
        <v>3118</v>
      </c>
    </row>
    <row r="799" spans="2:29">
      <c r="B799" t="s">
        <v>393</v>
      </c>
      <c r="C799" t="s">
        <v>3112</v>
      </c>
      <c r="D799" t="s">
        <v>3113</v>
      </c>
      <c r="E799">
        <v>2018</v>
      </c>
      <c r="F799" t="s">
        <v>3182</v>
      </c>
      <c r="G799" t="s">
        <v>505</v>
      </c>
      <c r="H799" s="6">
        <v>-62.21</v>
      </c>
      <c r="I799" s="6">
        <v>-58.42</v>
      </c>
      <c r="J799" s="6">
        <v>1991</v>
      </c>
      <c r="K799" s="6">
        <v>2013</v>
      </c>
      <c r="L799" s="6">
        <f t="shared" si="31"/>
        <v>23</v>
      </c>
      <c r="M799" t="s">
        <v>2036</v>
      </c>
      <c r="N799" t="s">
        <v>394</v>
      </c>
      <c r="O799" t="s">
        <v>394</v>
      </c>
      <c r="P799" t="s">
        <v>3153</v>
      </c>
      <c r="Q799" t="s">
        <v>3154</v>
      </c>
      <c r="R799" t="s">
        <v>3145</v>
      </c>
      <c r="V799">
        <v>-2.3000000000000003</v>
      </c>
      <c r="W799" t="str">
        <f t="shared" si="32"/>
        <v>Y</v>
      </c>
      <c r="X799" t="s">
        <v>2041</v>
      </c>
      <c r="Z799" t="str">
        <f t="shared" si="30"/>
        <v>Y</v>
      </c>
      <c r="AA799" t="s">
        <v>2054</v>
      </c>
      <c r="AB799" t="s">
        <v>3117</v>
      </c>
      <c r="AC799" s="9" t="s">
        <v>3118</v>
      </c>
    </row>
    <row r="800" spans="2:29">
      <c r="B800" t="s">
        <v>393</v>
      </c>
      <c r="C800" t="s">
        <v>3112</v>
      </c>
      <c r="D800" t="s">
        <v>3113</v>
      </c>
      <c r="E800">
        <v>2018</v>
      </c>
      <c r="F800" t="s">
        <v>3183</v>
      </c>
      <c r="G800" t="s">
        <v>554</v>
      </c>
      <c r="H800" s="6">
        <v>58.55</v>
      </c>
      <c r="I800" s="6">
        <v>-152.1</v>
      </c>
      <c r="J800" s="6">
        <v>1994</v>
      </c>
      <c r="K800" s="6">
        <v>2014</v>
      </c>
      <c r="L800" s="6">
        <f t="shared" si="31"/>
        <v>21</v>
      </c>
      <c r="M800" t="s">
        <v>2036</v>
      </c>
      <c r="N800" t="s">
        <v>394</v>
      </c>
      <c r="O800" t="s">
        <v>394</v>
      </c>
      <c r="P800" t="s">
        <v>2293</v>
      </c>
      <c r="Q800" t="s">
        <v>465</v>
      </c>
      <c r="R800" t="s">
        <v>3126</v>
      </c>
      <c r="V800">
        <v>-0.70000000000000007</v>
      </c>
      <c r="W800" t="str">
        <f t="shared" si="32"/>
        <v>Y</v>
      </c>
      <c r="X800" t="s">
        <v>2041</v>
      </c>
      <c r="Z800" t="str">
        <f t="shared" si="30"/>
        <v>Y</v>
      </c>
      <c r="AA800" t="s">
        <v>2054</v>
      </c>
      <c r="AB800" t="s">
        <v>3117</v>
      </c>
      <c r="AC800" s="9" t="s">
        <v>3118</v>
      </c>
    </row>
    <row r="801" spans="2:29">
      <c r="B801" t="s">
        <v>393</v>
      </c>
      <c r="C801" t="s">
        <v>3112</v>
      </c>
      <c r="D801" t="s">
        <v>3113</v>
      </c>
      <c r="E801">
        <v>2018</v>
      </c>
      <c r="F801" t="s">
        <v>3183</v>
      </c>
      <c r="G801" t="s">
        <v>554</v>
      </c>
      <c r="H801" s="6">
        <v>58.55</v>
      </c>
      <c r="I801" s="6">
        <v>-152.1</v>
      </c>
      <c r="J801" s="6">
        <v>1993</v>
      </c>
      <c r="K801" s="6">
        <v>2014</v>
      </c>
      <c r="L801" s="6">
        <f t="shared" si="31"/>
        <v>22</v>
      </c>
      <c r="M801" t="s">
        <v>2036</v>
      </c>
      <c r="N801" t="s">
        <v>394</v>
      </c>
      <c r="O801" t="s">
        <v>394</v>
      </c>
      <c r="P801" t="s">
        <v>2291</v>
      </c>
      <c r="Q801" t="s">
        <v>984</v>
      </c>
      <c r="R801" t="s">
        <v>3126</v>
      </c>
      <c r="V801">
        <v>3.3000000000000003</v>
      </c>
      <c r="W801" t="str">
        <f t="shared" si="32"/>
        <v>N</v>
      </c>
      <c r="X801" t="s">
        <v>2041</v>
      </c>
      <c r="Z801" t="str">
        <f t="shared" si="30"/>
        <v>Y</v>
      </c>
      <c r="AA801" t="s">
        <v>2054</v>
      </c>
      <c r="AB801" t="s">
        <v>3117</v>
      </c>
      <c r="AC801" s="9" t="s">
        <v>3118</v>
      </c>
    </row>
    <row r="802" spans="2:29">
      <c r="B802" t="s">
        <v>393</v>
      </c>
      <c r="C802" t="s">
        <v>3112</v>
      </c>
      <c r="D802" t="s">
        <v>3113</v>
      </c>
      <c r="E802">
        <v>2018</v>
      </c>
      <c r="F802" t="s">
        <v>3184</v>
      </c>
      <c r="G802" t="s">
        <v>554</v>
      </c>
      <c r="H802" s="6">
        <v>43.85</v>
      </c>
      <c r="I802" s="6">
        <v>-69.38</v>
      </c>
      <c r="J802" s="6">
        <v>1987</v>
      </c>
      <c r="K802" s="6">
        <v>2015</v>
      </c>
      <c r="L802" s="6">
        <f t="shared" si="31"/>
        <v>29</v>
      </c>
      <c r="M802" t="s">
        <v>2036</v>
      </c>
      <c r="N802" t="s">
        <v>394</v>
      </c>
      <c r="O802" t="s">
        <v>394</v>
      </c>
      <c r="P802" t="s">
        <v>3144</v>
      </c>
      <c r="Q802" t="s">
        <v>459</v>
      </c>
      <c r="R802" t="s">
        <v>3116</v>
      </c>
      <c r="V802">
        <v>-1.2</v>
      </c>
      <c r="W802" t="str">
        <f t="shared" si="32"/>
        <v>Y</v>
      </c>
      <c r="X802" t="s">
        <v>2041</v>
      </c>
      <c r="Z802" t="str">
        <f t="shared" si="30"/>
        <v>Y</v>
      </c>
      <c r="AA802" t="s">
        <v>2054</v>
      </c>
      <c r="AB802" t="s">
        <v>3117</v>
      </c>
      <c r="AC802" s="9" t="s">
        <v>3118</v>
      </c>
    </row>
    <row r="803" spans="2:29">
      <c r="B803" t="s">
        <v>393</v>
      </c>
      <c r="C803" t="s">
        <v>3112</v>
      </c>
      <c r="D803" t="s">
        <v>3113</v>
      </c>
      <c r="E803">
        <v>2018</v>
      </c>
      <c r="F803" t="s">
        <v>3185</v>
      </c>
      <c r="G803" t="s">
        <v>554</v>
      </c>
      <c r="H803" s="6">
        <v>40.340000000000003</v>
      </c>
      <c r="I803" s="6">
        <v>0.39</v>
      </c>
      <c r="J803" s="6">
        <v>1992</v>
      </c>
      <c r="K803" s="6">
        <v>2015</v>
      </c>
      <c r="L803" s="6">
        <f t="shared" si="31"/>
        <v>24</v>
      </c>
      <c r="M803" t="s">
        <v>2036</v>
      </c>
      <c r="N803" t="s">
        <v>394</v>
      </c>
      <c r="O803" t="s">
        <v>394</v>
      </c>
      <c r="P803" t="s">
        <v>3186</v>
      </c>
      <c r="Q803" t="s">
        <v>3187</v>
      </c>
      <c r="R803" t="s">
        <v>3145</v>
      </c>
      <c r="V803">
        <v>-7.4</v>
      </c>
      <c r="W803" t="str">
        <f t="shared" si="32"/>
        <v>Y</v>
      </c>
      <c r="X803" t="s">
        <v>2041</v>
      </c>
      <c r="Z803" t="str">
        <f t="shared" si="30"/>
        <v>Y</v>
      </c>
      <c r="AA803" t="s">
        <v>2054</v>
      </c>
      <c r="AB803" t="s">
        <v>3117</v>
      </c>
      <c r="AC803" s="9" t="s">
        <v>3118</v>
      </c>
    </row>
    <row r="804" spans="2:29">
      <c r="B804" t="s">
        <v>393</v>
      </c>
      <c r="C804" t="s">
        <v>3112</v>
      </c>
      <c r="D804" t="s">
        <v>3113</v>
      </c>
      <c r="E804">
        <v>2018</v>
      </c>
      <c r="F804" t="s">
        <v>3188</v>
      </c>
      <c r="G804" t="s">
        <v>554</v>
      </c>
      <c r="H804" s="6">
        <v>67.27</v>
      </c>
      <c r="I804" s="6">
        <v>11.55</v>
      </c>
      <c r="J804" s="6">
        <v>1985</v>
      </c>
      <c r="K804" s="6">
        <v>2012</v>
      </c>
      <c r="L804" s="6">
        <f t="shared" si="31"/>
        <v>28</v>
      </c>
      <c r="M804" t="s">
        <v>2036</v>
      </c>
      <c r="N804" t="s">
        <v>394</v>
      </c>
      <c r="O804" t="s">
        <v>394</v>
      </c>
      <c r="P804" t="s">
        <v>2294</v>
      </c>
      <c r="Q804" t="s">
        <v>2295</v>
      </c>
      <c r="R804" t="s">
        <v>3137</v>
      </c>
      <c r="V804">
        <v>7.9</v>
      </c>
      <c r="W804" t="str">
        <f t="shared" si="32"/>
        <v>N</v>
      </c>
      <c r="X804" t="s">
        <v>2041</v>
      </c>
      <c r="Z804" t="str">
        <f t="shared" si="30"/>
        <v>Y</v>
      </c>
      <c r="AA804" t="s">
        <v>2054</v>
      </c>
      <c r="AB804" t="s">
        <v>3117</v>
      </c>
      <c r="AC804" s="9" t="s">
        <v>3118</v>
      </c>
    </row>
    <row r="805" spans="2:29">
      <c r="B805" t="s">
        <v>393</v>
      </c>
      <c r="C805" t="s">
        <v>3112</v>
      </c>
      <c r="D805" t="s">
        <v>3113</v>
      </c>
      <c r="E805">
        <v>2018</v>
      </c>
      <c r="F805" t="s">
        <v>3189</v>
      </c>
      <c r="G805" t="s">
        <v>505</v>
      </c>
      <c r="H805" s="6">
        <v>-40.32</v>
      </c>
      <c r="I805" s="6">
        <v>-9.94</v>
      </c>
      <c r="J805" s="6">
        <v>2003</v>
      </c>
      <c r="K805" s="6">
        <v>2015</v>
      </c>
      <c r="L805" s="6">
        <f t="shared" si="31"/>
        <v>13</v>
      </c>
      <c r="M805" t="s">
        <v>2036</v>
      </c>
      <c r="N805" t="s">
        <v>394</v>
      </c>
      <c r="O805" t="s">
        <v>394</v>
      </c>
      <c r="P805" t="s">
        <v>3190</v>
      </c>
      <c r="Q805" t="s">
        <v>981</v>
      </c>
      <c r="R805" t="s">
        <v>3126</v>
      </c>
      <c r="V805">
        <v>0</v>
      </c>
      <c r="W805" t="str">
        <f t="shared" si="32"/>
        <v>N</v>
      </c>
      <c r="X805" t="s">
        <v>2058</v>
      </c>
      <c r="Z805" t="str">
        <f t="shared" si="30"/>
        <v>N</v>
      </c>
      <c r="AA805" t="s">
        <v>2054</v>
      </c>
      <c r="AB805" t="s">
        <v>3117</v>
      </c>
      <c r="AC805" s="9" t="s">
        <v>3118</v>
      </c>
    </row>
    <row r="806" spans="2:29">
      <c r="B806" t="s">
        <v>393</v>
      </c>
      <c r="C806" t="s">
        <v>3112</v>
      </c>
      <c r="D806" t="s">
        <v>3113</v>
      </c>
      <c r="E806">
        <v>2018</v>
      </c>
      <c r="F806" t="s">
        <v>3189</v>
      </c>
      <c r="G806" t="s">
        <v>505</v>
      </c>
      <c r="H806" s="6">
        <v>-40.32</v>
      </c>
      <c r="I806" s="6">
        <v>-9.94</v>
      </c>
      <c r="J806" s="6">
        <v>2003</v>
      </c>
      <c r="K806" s="6">
        <v>2015</v>
      </c>
      <c r="L806" s="6">
        <f t="shared" si="31"/>
        <v>13</v>
      </c>
      <c r="M806" t="s">
        <v>2036</v>
      </c>
      <c r="N806" t="s">
        <v>394</v>
      </c>
      <c r="O806" t="s">
        <v>394</v>
      </c>
      <c r="P806" t="s">
        <v>3190</v>
      </c>
      <c r="Q806" t="s">
        <v>981</v>
      </c>
      <c r="R806" t="s">
        <v>3142</v>
      </c>
      <c r="V806">
        <v>-5.8999999999999995</v>
      </c>
      <c r="W806" t="str">
        <f t="shared" si="32"/>
        <v>Y</v>
      </c>
      <c r="X806" t="s">
        <v>2058</v>
      </c>
      <c r="Z806" t="str">
        <f t="shared" si="30"/>
        <v>N</v>
      </c>
      <c r="AA806" t="s">
        <v>2054</v>
      </c>
      <c r="AB806" t="s">
        <v>3117</v>
      </c>
      <c r="AC806" s="9" t="s">
        <v>3118</v>
      </c>
    </row>
    <row r="807" spans="2:29">
      <c r="B807" t="s">
        <v>393</v>
      </c>
      <c r="C807" t="s">
        <v>3112</v>
      </c>
      <c r="D807" t="s">
        <v>3113</v>
      </c>
      <c r="E807">
        <v>2018</v>
      </c>
      <c r="F807" t="s">
        <v>3191</v>
      </c>
      <c r="G807" t="s">
        <v>554</v>
      </c>
      <c r="H807" s="6">
        <v>78.099999999999994</v>
      </c>
      <c r="I807" s="6">
        <v>15.09</v>
      </c>
      <c r="J807" s="6">
        <v>2008</v>
      </c>
      <c r="K807" s="6">
        <v>2012</v>
      </c>
      <c r="L807" s="6">
        <f t="shared" si="31"/>
        <v>5</v>
      </c>
      <c r="M807" t="s">
        <v>2036</v>
      </c>
      <c r="N807" t="s">
        <v>394</v>
      </c>
      <c r="O807" t="s">
        <v>394</v>
      </c>
      <c r="P807" t="s">
        <v>2293</v>
      </c>
      <c r="Q807" t="s">
        <v>465</v>
      </c>
      <c r="R807" t="s">
        <v>3126</v>
      </c>
      <c r="V807">
        <v>1.7000000000000002</v>
      </c>
      <c r="W807" t="str">
        <f t="shared" si="32"/>
        <v>N</v>
      </c>
      <c r="X807" t="s">
        <v>2058</v>
      </c>
      <c r="Z807" t="str">
        <f t="shared" si="30"/>
        <v>N</v>
      </c>
      <c r="AA807" t="s">
        <v>2054</v>
      </c>
      <c r="AB807" t="s">
        <v>3117</v>
      </c>
      <c r="AC807" s="9" t="s">
        <v>3118</v>
      </c>
    </row>
    <row r="808" spans="2:29">
      <c r="B808" t="s">
        <v>393</v>
      </c>
      <c r="C808" t="s">
        <v>3112</v>
      </c>
      <c r="D808" t="s">
        <v>3113</v>
      </c>
      <c r="E808">
        <v>2018</v>
      </c>
      <c r="F808" t="s">
        <v>3192</v>
      </c>
      <c r="G808" t="s">
        <v>554</v>
      </c>
      <c r="H808" s="6">
        <v>47.25</v>
      </c>
      <c r="I808" s="6">
        <v>-52.77</v>
      </c>
      <c r="J808" s="6">
        <v>2003</v>
      </c>
      <c r="K808" s="6">
        <v>2014</v>
      </c>
      <c r="L808" s="6">
        <f t="shared" si="31"/>
        <v>12</v>
      </c>
      <c r="M808" t="s">
        <v>2036</v>
      </c>
      <c r="N808" t="s">
        <v>394</v>
      </c>
      <c r="O808" t="s">
        <v>394</v>
      </c>
      <c r="P808" t="s">
        <v>3132</v>
      </c>
      <c r="Q808" t="s">
        <v>3133</v>
      </c>
      <c r="R808" t="s">
        <v>3137</v>
      </c>
      <c r="V808">
        <v>0</v>
      </c>
      <c r="W808" t="str">
        <f t="shared" si="32"/>
        <v>N</v>
      </c>
      <c r="X808" t="s">
        <v>2058</v>
      </c>
      <c r="Z808" t="str">
        <f t="shared" si="30"/>
        <v>N</v>
      </c>
      <c r="AA808" t="s">
        <v>2054</v>
      </c>
      <c r="AB808" t="s">
        <v>3117</v>
      </c>
      <c r="AC808" s="9" t="s">
        <v>3118</v>
      </c>
    </row>
    <row r="809" spans="2:29">
      <c r="B809" t="s">
        <v>393</v>
      </c>
      <c r="C809" t="s">
        <v>3112</v>
      </c>
      <c r="D809" t="s">
        <v>3113</v>
      </c>
      <c r="E809">
        <v>2018</v>
      </c>
      <c r="F809" t="s">
        <v>3193</v>
      </c>
      <c r="G809" t="s">
        <v>554</v>
      </c>
      <c r="H809" s="6">
        <v>67.260000000000005</v>
      </c>
      <c r="I809" s="6">
        <v>11.52</v>
      </c>
      <c r="J809" s="6">
        <v>1978</v>
      </c>
      <c r="K809" s="6">
        <v>2015</v>
      </c>
      <c r="L809" s="6">
        <f t="shared" si="31"/>
        <v>38</v>
      </c>
      <c r="M809" t="s">
        <v>2036</v>
      </c>
      <c r="N809" t="s">
        <v>394</v>
      </c>
      <c r="O809" t="s">
        <v>394</v>
      </c>
      <c r="P809" t="s">
        <v>3139</v>
      </c>
      <c r="Q809" t="s">
        <v>997</v>
      </c>
      <c r="R809" t="s">
        <v>3126</v>
      </c>
      <c r="V809">
        <v>0.5</v>
      </c>
      <c r="W809" t="str">
        <f t="shared" si="32"/>
        <v>N</v>
      </c>
      <c r="X809" t="s">
        <v>2041</v>
      </c>
      <c r="Z809" t="str">
        <f t="shared" si="30"/>
        <v>Y</v>
      </c>
      <c r="AA809" t="s">
        <v>2054</v>
      </c>
      <c r="AB809" t="s">
        <v>3117</v>
      </c>
      <c r="AC809" s="9" t="s">
        <v>3118</v>
      </c>
    </row>
    <row r="810" spans="2:29">
      <c r="B810" t="s">
        <v>393</v>
      </c>
      <c r="C810" t="s">
        <v>3112</v>
      </c>
      <c r="D810" t="s">
        <v>3113</v>
      </c>
      <c r="E810">
        <v>2018</v>
      </c>
      <c r="F810" t="s">
        <v>3194</v>
      </c>
      <c r="G810" t="s">
        <v>554</v>
      </c>
      <c r="H810" s="6">
        <v>70.22</v>
      </c>
      <c r="I810" s="6">
        <v>31.08</v>
      </c>
      <c r="J810" s="6">
        <v>1980</v>
      </c>
      <c r="K810" s="6">
        <v>2015</v>
      </c>
      <c r="L810" s="6">
        <f t="shared" si="31"/>
        <v>36</v>
      </c>
      <c r="M810" t="s">
        <v>2036</v>
      </c>
      <c r="N810" t="s">
        <v>394</v>
      </c>
      <c r="O810" t="s">
        <v>394</v>
      </c>
      <c r="P810" t="s">
        <v>3139</v>
      </c>
      <c r="Q810" t="s">
        <v>997</v>
      </c>
      <c r="R810" t="s">
        <v>3126</v>
      </c>
      <c r="V810">
        <v>-0.70000000000000007</v>
      </c>
      <c r="W810" t="str">
        <f t="shared" si="32"/>
        <v>Y</v>
      </c>
      <c r="X810" t="s">
        <v>2041</v>
      </c>
      <c r="Z810" t="str">
        <f t="shared" si="30"/>
        <v>Y</v>
      </c>
      <c r="AA810" t="s">
        <v>2054</v>
      </c>
      <c r="AB810" t="s">
        <v>3117</v>
      </c>
      <c r="AC810" s="9" t="s">
        <v>3118</v>
      </c>
    </row>
    <row r="811" spans="2:29">
      <c r="B811" t="s">
        <v>393</v>
      </c>
      <c r="C811" t="s">
        <v>3112</v>
      </c>
      <c r="D811" t="s">
        <v>3113</v>
      </c>
      <c r="E811">
        <v>2018</v>
      </c>
      <c r="F811" t="s">
        <v>3194</v>
      </c>
      <c r="G811" t="s">
        <v>554</v>
      </c>
      <c r="H811" s="6">
        <v>70.23</v>
      </c>
      <c r="I811" s="6">
        <v>31.09</v>
      </c>
      <c r="J811" s="6">
        <v>1995</v>
      </c>
      <c r="K811" s="6">
        <v>2016</v>
      </c>
      <c r="L811" s="6">
        <f t="shared" si="31"/>
        <v>22</v>
      </c>
      <c r="M811" t="s">
        <v>2036</v>
      </c>
      <c r="N811" t="s">
        <v>394</v>
      </c>
      <c r="O811" t="s">
        <v>394</v>
      </c>
      <c r="P811" t="s">
        <v>2293</v>
      </c>
      <c r="Q811" t="s">
        <v>465</v>
      </c>
      <c r="R811" t="s">
        <v>3126</v>
      </c>
      <c r="V811">
        <v>-3.1</v>
      </c>
      <c r="W811" t="str">
        <f t="shared" si="32"/>
        <v>Y</v>
      </c>
      <c r="X811" t="s">
        <v>2041</v>
      </c>
      <c r="Z811" t="str">
        <f t="shared" si="30"/>
        <v>Y</v>
      </c>
      <c r="AA811" t="s">
        <v>2054</v>
      </c>
      <c r="AB811" t="s">
        <v>3117</v>
      </c>
      <c r="AC811" s="9" t="s">
        <v>3118</v>
      </c>
    </row>
    <row r="812" spans="2:29">
      <c r="B812" t="s">
        <v>393</v>
      </c>
      <c r="C812" t="s">
        <v>3112</v>
      </c>
      <c r="D812" t="s">
        <v>3113</v>
      </c>
      <c r="E812">
        <v>2018</v>
      </c>
      <c r="F812" t="s">
        <v>3195</v>
      </c>
      <c r="G812" t="s">
        <v>505</v>
      </c>
      <c r="H812" s="6">
        <v>-64.459999999999994</v>
      </c>
      <c r="I812" s="6">
        <v>-64.06</v>
      </c>
      <c r="J812" s="6">
        <v>1992</v>
      </c>
      <c r="K812" s="6">
        <v>2013</v>
      </c>
      <c r="L812" s="6">
        <f t="shared" si="31"/>
        <v>22</v>
      </c>
      <c r="M812" t="s">
        <v>2036</v>
      </c>
      <c r="N812" t="s">
        <v>394</v>
      </c>
      <c r="O812" t="s">
        <v>394</v>
      </c>
      <c r="P812" t="s">
        <v>3115</v>
      </c>
      <c r="Q812" t="s">
        <v>645</v>
      </c>
      <c r="R812" t="s">
        <v>3126</v>
      </c>
      <c r="V812">
        <v>-1.5</v>
      </c>
      <c r="W812" t="str">
        <f t="shared" si="32"/>
        <v>Y</v>
      </c>
      <c r="X812" t="s">
        <v>2041</v>
      </c>
      <c r="Z812" t="str">
        <f t="shared" si="30"/>
        <v>Y</v>
      </c>
      <c r="AA812" t="s">
        <v>2054</v>
      </c>
      <c r="AB812" t="s">
        <v>3117</v>
      </c>
      <c r="AC812" s="9" t="s">
        <v>3118</v>
      </c>
    </row>
    <row r="813" spans="2:29">
      <c r="B813" t="s">
        <v>393</v>
      </c>
      <c r="C813" t="s">
        <v>3112</v>
      </c>
      <c r="D813" t="s">
        <v>3113</v>
      </c>
      <c r="E813">
        <v>2018</v>
      </c>
      <c r="F813" t="s">
        <v>3195</v>
      </c>
      <c r="G813" t="s">
        <v>505</v>
      </c>
      <c r="H813" s="6">
        <v>-64.459999999999994</v>
      </c>
      <c r="I813" s="6">
        <v>-64.06</v>
      </c>
      <c r="J813" s="6">
        <v>1992</v>
      </c>
      <c r="K813" s="6">
        <v>2013</v>
      </c>
      <c r="L813" s="6">
        <f t="shared" si="31"/>
        <v>22</v>
      </c>
      <c r="M813" t="s">
        <v>2036</v>
      </c>
      <c r="N813" t="s">
        <v>394</v>
      </c>
      <c r="O813" t="s">
        <v>394</v>
      </c>
      <c r="P813" t="s">
        <v>3115</v>
      </c>
      <c r="Q813" t="s">
        <v>645</v>
      </c>
      <c r="R813" t="s">
        <v>3142</v>
      </c>
      <c r="V813">
        <v>-1.4000000000000001</v>
      </c>
      <c r="W813" t="str">
        <f t="shared" si="32"/>
        <v>Y</v>
      </c>
      <c r="X813" t="s">
        <v>2041</v>
      </c>
      <c r="Z813" t="str">
        <f t="shared" si="30"/>
        <v>Y</v>
      </c>
      <c r="AA813" t="s">
        <v>2054</v>
      </c>
      <c r="AB813" t="s">
        <v>3117</v>
      </c>
      <c r="AC813" s="9" t="s">
        <v>3118</v>
      </c>
    </row>
    <row r="814" spans="2:29">
      <c r="B814" t="s">
        <v>393</v>
      </c>
      <c r="C814" t="s">
        <v>3112</v>
      </c>
      <c r="D814" t="s">
        <v>3113</v>
      </c>
      <c r="E814">
        <v>2018</v>
      </c>
      <c r="F814" t="s">
        <v>3195</v>
      </c>
      <c r="G814" t="s">
        <v>505</v>
      </c>
      <c r="H814" s="6">
        <v>-64.459999999999994</v>
      </c>
      <c r="I814" s="6">
        <v>-64.06</v>
      </c>
      <c r="J814" s="6">
        <v>1992</v>
      </c>
      <c r="K814" s="6">
        <v>2013</v>
      </c>
      <c r="L814" s="6">
        <f t="shared" si="31"/>
        <v>22</v>
      </c>
      <c r="M814" t="s">
        <v>2036</v>
      </c>
      <c r="N814" t="s">
        <v>394</v>
      </c>
      <c r="O814" t="s">
        <v>394</v>
      </c>
      <c r="P814" t="s">
        <v>3115</v>
      </c>
      <c r="Q814" t="s">
        <v>645</v>
      </c>
      <c r="R814" t="s">
        <v>3137</v>
      </c>
      <c r="V814">
        <v>-1.4000000000000001</v>
      </c>
      <c r="W814" t="str">
        <f t="shared" si="32"/>
        <v>Y</v>
      </c>
      <c r="X814" t="s">
        <v>2041</v>
      </c>
      <c r="Z814" t="str">
        <f t="shared" si="30"/>
        <v>Y</v>
      </c>
      <c r="AA814" t="s">
        <v>2054</v>
      </c>
      <c r="AB814" t="s">
        <v>3117</v>
      </c>
      <c r="AC814" s="9" t="s">
        <v>3118</v>
      </c>
    </row>
    <row r="815" spans="2:29">
      <c r="B815" t="s">
        <v>393</v>
      </c>
      <c r="C815" t="s">
        <v>3112</v>
      </c>
      <c r="D815" t="s">
        <v>3113</v>
      </c>
      <c r="E815">
        <v>2018</v>
      </c>
      <c r="F815" t="s">
        <v>3195</v>
      </c>
      <c r="G815" t="s">
        <v>505</v>
      </c>
      <c r="H815" s="6">
        <v>-64.459999999999994</v>
      </c>
      <c r="I815" s="6">
        <v>-64.06</v>
      </c>
      <c r="J815" s="6">
        <v>1992</v>
      </c>
      <c r="K815" s="6">
        <v>2013</v>
      </c>
      <c r="L815" s="6">
        <f t="shared" si="31"/>
        <v>22</v>
      </c>
      <c r="M815" t="s">
        <v>2036</v>
      </c>
      <c r="N815" t="s">
        <v>394</v>
      </c>
      <c r="O815" t="s">
        <v>394</v>
      </c>
      <c r="P815" t="s">
        <v>3115</v>
      </c>
      <c r="Q815" t="s">
        <v>645</v>
      </c>
      <c r="R815" t="s">
        <v>3145</v>
      </c>
      <c r="V815">
        <v>-1.4000000000000001</v>
      </c>
      <c r="W815" t="str">
        <f t="shared" si="32"/>
        <v>Y</v>
      </c>
      <c r="X815" t="s">
        <v>2041</v>
      </c>
      <c r="Z815" t="str">
        <f t="shared" si="30"/>
        <v>Y</v>
      </c>
      <c r="AA815" t="s">
        <v>2054</v>
      </c>
      <c r="AB815" t="s">
        <v>3117</v>
      </c>
      <c r="AC815" s="9" t="s">
        <v>3118</v>
      </c>
    </row>
    <row r="816" spans="2:29">
      <c r="B816" t="s">
        <v>393</v>
      </c>
      <c r="C816" t="s">
        <v>3112</v>
      </c>
      <c r="D816" t="s">
        <v>3113</v>
      </c>
      <c r="E816">
        <v>2018</v>
      </c>
      <c r="F816" t="s">
        <v>3196</v>
      </c>
      <c r="G816" t="s">
        <v>554</v>
      </c>
      <c r="H816" s="6">
        <v>21.52</v>
      </c>
      <c r="I816" s="6">
        <v>-105.54</v>
      </c>
      <c r="J816" s="6">
        <v>1989</v>
      </c>
      <c r="K816" s="6">
        <v>2015</v>
      </c>
      <c r="L816" s="6">
        <f t="shared" si="31"/>
        <v>27</v>
      </c>
      <c r="M816" t="s">
        <v>2036</v>
      </c>
      <c r="N816" t="s">
        <v>394</v>
      </c>
      <c r="O816" t="s">
        <v>394</v>
      </c>
      <c r="P816" t="s">
        <v>3197</v>
      </c>
      <c r="Q816" t="s">
        <v>1007</v>
      </c>
      <c r="R816" t="s">
        <v>3137</v>
      </c>
      <c r="V816">
        <v>-6.6000000000000005</v>
      </c>
      <c r="W816" t="str">
        <f t="shared" si="32"/>
        <v>Y</v>
      </c>
      <c r="X816" t="s">
        <v>2041</v>
      </c>
      <c r="Z816" t="str">
        <f t="shared" si="30"/>
        <v>Y</v>
      </c>
      <c r="AA816" t="s">
        <v>2054</v>
      </c>
      <c r="AB816" t="s">
        <v>3117</v>
      </c>
      <c r="AC816" s="9" t="s">
        <v>3118</v>
      </c>
    </row>
    <row r="817" spans="2:29">
      <c r="B817" t="s">
        <v>393</v>
      </c>
      <c r="C817" t="s">
        <v>3112</v>
      </c>
      <c r="D817" t="s">
        <v>3113</v>
      </c>
      <c r="E817">
        <v>2018</v>
      </c>
      <c r="F817" t="s">
        <v>3196</v>
      </c>
      <c r="G817" t="s">
        <v>554</v>
      </c>
      <c r="H817" s="6">
        <v>21.52</v>
      </c>
      <c r="I817" s="6">
        <v>-105.54</v>
      </c>
      <c r="J817" s="6">
        <v>1989</v>
      </c>
      <c r="K817" s="6">
        <v>2015</v>
      </c>
      <c r="L817" s="6">
        <f t="shared" si="31"/>
        <v>27</v>
      </c>
      <c r="M817" t="s">
        <v>2036</v>
      </c>
      <c r="N817" t="s">
        <v>394</v>
      </c>
      <c r="O817" t="s">
        <v>394</v>
      </c>
      <c r="P817" t="s">
        <v>3197</v>
      </c>
      <c r="Q817" t="s">
        <v>1007</v>
      </c>
      <c r="R817" t="s">
        <v>3145</v>
      </c>
      <c r="V817">
        <v>11.5</v>
      </c>
      <c r="W817" t="str">
        <f t="shared" si="32"/>
        <v>N</v>
      </c>
      <c r="X817" t="s">
        <v>2041</v>
      </c>
      <c r="Z817" t="str">
        <f t="shared" si="30"/>
        <v>Y</v>
      </c>
      <c r="AA817" t="s">
        <v>2054</v>
      </c>
      <c r="AB817" t="s">
        <v>3117</v>
      </c>
      <c r="AC817" s="9" t="s">
        <v>3118</v>
      </c>
    </row>
    <row r="818" spans="2:29">
      <c r="B818" t="s">
        <v>393</v>
      </c>
      <c r="C818" t="s">
        <v>3112</v>
      </c>
      <c r="D818" t="s">
        <v>3113</v>
      </c>
      <c r="E818">
        <v>2018</v>
      </c>
      <c r="F818" t="s">
        <v>3198</v>
      </c>
      <c r="G818" t="s">
        <v>554</v>
      </c>
      <c r="H818" s="6">
        <v>56.19</v>
      </c>
      <c r="I818" s="6">
        <v>-2.56</v>
      </c>
      <c r="J818" s="6">
        <v>1973</v>
      </c>
      <c r="K818" s="6">
        <v>2015</v>
      </c>
      <c r="L818" s="6">
        <f t="shared" si="31"/>
        <v>43</v>
      </c>
      <c r="M818" t="s">
        <v>2036</v>
      </c>
      <c r="N818" t="s">
        <v>394</v>
      </c>
      <c r="O818" t="s">
        <v>394</v>
      </c>
      <c r="P818" t="s">
        <v>3139</v>
      </c>
      <c r="Q818" t="s">
        <v>997</v>
      </c>
      <c r="R818" t="s">
        <v>3116</v>
      </c>
      <c r="V818">
        <v>1.2</v>
      </c>
      <c r="W818" t="str">
        <f t="shared" si="32"/>
        <v>N</v>
      </c>
      <c r="X818" t="s">
        <v>2041</v>
      </c>
      <c r="Z818" t="str">
        <f t="shared" si="30"/>
        <v>Y</v>
      </c>
      <c r="AA818" t="s">
        <v>2054</v>
      </c>
      <c r="AB818" t="s">
        <v>3117</v>
      </c>
      <c r="AC818" s="9" t="s">
        <v>3118</v>
      </c>
    </row>
    <row r="819" spans="2:29">
      <c r="B819" t="s">
        <v>393</v>
      </c>
      <c r="C819" t="s">
        <v>3112</v>
      </c>
      <c r="D819" t="s">
        <v>3113</v>
      </c>
      <c r="E819">
        <v>2018</v>
      </c>
      <c r="F819" t="s">
        <v>3198</v>
      </c>
      <c r="G819" t="s">
        <v>554</v>
      </c>
      <c r="H819" s="6">
        <v>56.19</v>
      </c>
      <c r="I819" s="6">
        <v>-2.56</v>
      </c>
      <c r="J819" s="6">
        <v>1981</v>
      </c>
      <c r="K819" s="6">
        <v>2015</v>
      </c>
      <c r="L819" s="6">
        <f t="shared" si="31"/>
        <v>35</v>
      </c>
      <c r="M819" t="s">
        <v>2036</v>
      </c>
      <c r="N819" t="s">
        <v>394</v>
      </c>
      <c r="O819" t="s">
        <v>394</v>
      </c>
      <c r="P819" t="s">
        <v>2293</v>
      </c>
      <c r="Q819" t="s">
        <v>465</v>
      </c>
      <c r="R819" t="s">
        <v>3145</v>
      </c>
      <c r="V819">
        <v>2.7</v>
      </c>
      <c r="W819" t="str">
        <f t="shared" si="32"/>
        <v>N</v>
      </c>
      <c r="X819" t="s">
        <v>2041</v>
      </c>
      <c r="Z819" t="str">
        <f t="shared" si="30"/>
        <v>Y</v>
      </c>
      <c r="AA819" t="s">
        <v>2054</v>
      </c>
      <c r="AB819" t="s">
        <v>3117</v>
      </c>
      <c r="AC819" s="9" t="s">
        <v>3118</v>
      </c>
    </row>
    <row r="820" spans="2:29">
      <c r="B820" t="s">
        <v>393</v>
      </c>
      <c r="C820" t="s">
        <v>3112</v>
      </c>
      <c r="D820" t="s">
        <v>3113</v>
      </c>
      <c r="E820">
        <v>2018</v>
      </c>
      <c r="F820" t="s">
        <v>3198</v>
      </c>
      <c r="G820" t="s">
        <v>554</v>
      </c>
      <c r="H820" s="6">
        <v>56.19</v>
      </c>
      <c r="I820" s="6">
        <v>-2.56</v>
      </c>
      <c r="J820" s="6">
        <v>1981</v>
      </c>
      <c r="K820" s="6">
        <v>2015</v>
      </c>
      <c r="L820" s="6">
        <f t="shared" si="31"/>
        <v>35</v>
      </c>
      <c r="M820" t="s">
        <v>2036</v>
      </c>
      <c r="N820" t="s">
        <v>394</v>
      </c>
      <c r="O820" t="s">
        <v>394</v>
      </c>
      <c r="P820" t="s">
        <v>2291</v>
      </c>
      <c r="Q820" t="s">
        <v>984</v>
      </c>
      <c r="R820" t="s">
        <v>3142</v>
      </c>
      <c r="V820">
        <v>-0.70000000000000007</v>
      </c>
      <c r="W820" t="str">
        <f t="shared" si="32"/>
        <v>Y</v>
      </c>
      <c r="X820" t="s">
        <v>2041</v>
      </c>
      <c r="Z820" t="str">
        <f t="shared" si="30"/>
        <v>Y</v>
      </c>
      <c r="AA820" t="s">
        <v>2054</v>
      </c>
      <c r="AB820" t="s">
        <v>3117</v>
      </c>
      <c r="AC820" s="9" t="s">
        <v>3118</v>
      </c>
    </row>
    <row r="821" spans="2:29">
      <c r="B821" t="s">
        <v>393</v>
      </c>
      <c r="C821" t="s">
        <v>3112</v>
      </c>
      <c r="D821" t="s">
        <v>3113</v>
      </c>
      <c r="E821">
        <v>2018</v>
      </c>
      <c r="F821" t="s">
        <v>3198</v>
      </c>
      <c r="G821" t="s">
        <v>554</v>
      </c>
      <c r="H821" s="6">
        <v>56.19</v>
      </c>
      <c r="I821" s="6">
        <v>-2.56</v>
      </c>
      <c r="J821" s="6">
        <v>1981</v>
      </c>
      <c r="K821" s="6">
        <v>2015</v>
      </c>
      <c r="L821" s="6">
        <f t="shared" si="31"/>
        <v>35</v>
      </c>
      <c r="M821" t="s">
        <v>2036</v>
      </c>
      <c r="N821" t="s">
        <v>394</v>
      </c>
      <c r="O821" t="s">
        <v>394</v>
      </c>
      <c r="P821" t="s">
        <v>2291</v>
      </c>
      <c r="Q821" t="s">
        <v>984</v>
      </c>
      <c r="R821" t="s">
        <v>3145</v>
      </c>
      <c r="V821">
        <v>-0.4</v>
      </c>
      <c r="W821" t="str">
        <f t="shared" si="32"/>
        <v>Y</v>
      </c>
      <c r="X821" t="s">
        <v>2041</v>
      </c>
      <c r="Z821" t="str">
        <f t="shared" si="30"/>
        <v>Y</v>
      </c>
      <c r="AA821" t="s">
        <v>2054</v>
      </c>
      <c r="AB821" t="s">
        <v>3117</v>
      </c>
      <c r="AC821" s="9" t="s">
        <v>3118</v>
      </c>
    </row>
    <row r="822" spans="2:29">
      <c r="B822" t="s">
        <v>393</v>
      </c>
      <c r="C822" t="s">
        <v>3112</v>
      </c>
      <c r="D822" t="s">
        <v>3113</v>
      </c>
      <c r="E822">
        <v>2018</v>
      </c>
      <c r="F822" t="s">
        <v>3198</v>
      </c>
      <c r="G822" t="s">
        <v>554</v>
      </c>
      <c r="H822" s="6">
        <v>56.19</v>
      </c>
      <c r="I822" s="6">
        <v>-2.56</v>
      </c>
      <c r="J822" s="6">
        <v>1973</v>
      </c>
      <c r="K822" s="6">
        <v>2015</v>
      </c>
      <c r="L822" s="6">
        <f t="shared" si="31"/>
        <v>43</v>
      </c>
      <c r="M822" t="s">
        <v>2036</v>
      </c>
      <c r="N822" t="s">
        <v>394</v>
      </c>
      <c r="O822" t="s">
        <v>394</v>
      </c>
      <c r="P822" t="s">
        <v>2294</v>
      </c>
      <c r="Q822" t="s">
        <v>2295</v>
      </c>
      <c r="R822" t="s">
        <v>3145</v>
      </c>
      <c r="V822">
        <v>-10.199999999999999</v>
      </c>
      <c r="W822" t="str">
        <f t="shared" si="32"/>
        <v>Y</v>
      </c>
      <c r="X822" t="s">
        <v>2041</v>
      </c>
      <c r="Z822" t="str">
        <f t="shared" si="30"/>
        <v>Y</v>
      </c>
      <c r="AA822" t="s">
        <v>2054</v>
      </c>
      <c r="AB822" t="s">
        <v>3117</v>
      </c>
      <c r="AC822" s="9" t="s">
        <v>3118</v>
      </c>
    </row>
    <row r="823" spans="2:29">
      <c r="B823" t="s">
        <v>393</v>
      </c>
      <c r="C823" t="s">
        <v>3112</v>
      </c>
      <c r="D823" t="s">
        <v>3113</v>
      </c>
      <c r="E823">
        <v>2018</v>
      </c>
      <c r="F823" t="s">
        <v>3198</v>
      </c>
      <c r="G823" t="s">
        <v>554</v>
      </c>
      <c r="H823" s="6">
        <v>56.19</v>
      </c>
      <c r="I823" s="6">
        <v>-2.56</v>
      </c>
      <c r="J823" s="6">
        <v>1982</v>
      </c>
      <c r="K823" s="6">
        <v>2015</v>
      </c>
      <c r="L823" s="6">
        <f t="shared" si="31"/>
        <v>34</v>
      </c>
      <c r="M823" t="s">
        <v>2036</v>
      </c>
      <c r="N823" t="s">
        <v>394</v>
      </c>
      <c r="O823" t="s">
        <v>394</v>
      </c>
      <c r="P823" t="s">
        <v>2414</v>
      </c>
      <c r="Q823" t="s">
        <v>437</v>
      </c>
      <c r="R823" t="s">
        <v>3145</v>
      </c>
      <c r="V823">
        <v>-1.1000000000000001</v>
      </c>
      <c r="W823" t="str">
        <f t="shared" si="32"/>
        <v>Y</v>
      </c>
      <c r="X823" t="s">
        <v>2041</v>
      </c>
      <c r="Z823" t="str">
        <f t="shared" si="30"/>
        <v>Y</v>
      </c>
      <c r="AA823" t="s">
        <v>2054</v>
      </c>
      <c r="AB823" t="s">
        <v>3117</v>
      </c>
      <c r="AC823" s="9" t="s">
        <v>3118</v>
      </c>
    </row>
    <row r="824" spans="2:29">
      <c r="B824" t="s">
        <v>393</v>
      </c>
      <c r="C824" t="s">
        <v>3112</v>
      </c>
      <c r="D824" t="s">
        <v>3113</v>
      </c>
      <c r="E824">
        <v>2018</v>
      </c>
      <c r="F824" t="s">
        <v>3199</v>
      </c>
      <c r="G824" t="s">
        <v>554</v>
      </c>
      <c r="H824" s="6">
        <v>67.3</v>
      </c>
      <c r="I824" s="6">
        <v>12.03</v>
      </c>
      <c r="J824" s="6">
        <v>2006</v>
      </c>
      <c r="K824" s="6">
        <v>2015</v>
      </c>
      <c r="L824" s="6">
        <f t="shared" si="31"/>
        <v>10</v>
      </c>
      <c r="M824" t="s">
        <v>2036</v>
      </c>
      <c r="N824" t="s">
        <v>394</v>
      </c>
      <c r="O824" t="s">
        <v>394</v>
      </c>
      <c r="P824" t="s">
        <v>2293</v>
      </c>
      <c r="Q824" t="s">
        <v>465</v>
      </c>
      <c r="R824" t="s">
        <v>3126</v>
      </c>
      <c r="V824">
        <v>-15.8</v>
      </c>
      <c r="W824" t="str">
        <f t="shared" si="32"/>
        <v>Y</v>
      </c>
      <c r="X824" t="s">
        <v>2058</v>
      </c>
      <c r="Z824" t="str">
        <f t="shared" si="30"/>
        <v>N</v>
      </c>
      <c r="AA824" t="s">
        <v>2054</v>
      </c>
      <c r="AB824" t="s">
        <v>3117</v>
      </c>
      <c r="AC824" s="9" t="s">
        <v>3118</v>
      </c>
    </row>
    <row r="825" spans="2:29">
      <c r="B825" t="s">
        <v>393</v>
      </c>
      <c r="C825" t="s">
        <v>3112</v>
      </c>
      <c r="D825" t="s">
        <v>3113</v>
      </c>
      <c r="E825">
        <v>2018</v>
      </c>
      <c r="F825" t="s">
        <v>3200</v>
      </c>
      <c r="G825" t="s">
        <v>554</v>
      </c>
      <c r="H825" s="6">
        <v>72.5</v>
      </c>
      <c r="I825" s="6">
        <v>-24</v>
      </c>
      <c r="J825" s="6">
        <v>1988</v>
      </c>
      <c r="K825" s="6">
        <v>2015</v>
      </c>
      <c r="L825" s="6">
        <f t="shared" si="31"/>
        <v>28</v>
      </c>
      <c r="M825" t="s">
        <v>2036</v>
      </c>
      <c r="N825" t="s">
        <v>394</v>
      </c>
      <c r="O825" t="s">
        <v>394</v>
      </c>
      <c r="P825" t="s">
        <v>3201</v>
      </c>
      <c r="Q825" t="s">
        <v>474</v>
      </c>
      <c r="R825" t="s">
        <v>3137</v>
      </c>
      <c r="V825">
        <v>-0.8</v>
      </c>
      <c r="W825" t="str">
        <f t="shared" si="32"/>
        <v>Y</v>
      </c>
      <c r="X825" t="s">
        <v>2041</v>
      </c>
      <c r="Z825" t="str">
        <f t="shared" si="30"/>
        <v>Y</v>
      </c>
      <c r="AA825" t="s">
        <v>2054</v>
      </c>
      <c r="AB825" t="s">
        <v>3117</v>
      </c>
      <c r="AC825" s="9" t="s">
        <v>3118</v>
      </c>
    </row>
    <row r="826" spans="2:29">
      <c r="B826" t="s">
        <v>393</v>
      </c>
      <c r="C826" t="s">
        <v>3112</v>
      </c>
      <c r="D826" t="s">
        <v>3113</v>
      </c>
      <c r="E826">
        <v>2018</v>
      </c>
      <c r="F826" t="s">
        <v>3202</v>
      </c>
      <c r="G826" t="s">
        <v>554</v>
      </c>
      <c r="H826" s="6">
        <v>52.18</v>
      </c>
      <c r="I826" s="6">
        <v>-175.51</v>
      </c>
      <c r="J826" s="6">
        <v>1996</v>
      </c>
      <c r="K826" s="6">
        <v>2008</v>
      </c>
      <c r="L826" s="6">
        <f t="shared" si="31"/>
        <v>13</v>
      </c>
      <c r="M826" t="s">
        <v>2036</v>
      </c>
      <c r="N826" t="s">
        <v>394</v>
      </c>
      <c r="O826" t="s">
        <v>394</v>
      </c>
      <c r="P826" t="s">
        <v>3164</v>
      </c>
      <c r="Q826" t="s">
        <v>466</v>
      </c>
      <c r="R826" t="s">
        <v>3126</v>
      </c>
      <c r="V826">
        <v>0.89999999999999991</v>
      </c>
      <c r="W826" t="str">
        <f t="shared" si="32"/>
        <v>N</v>
      </c>
      <c r="X826" t="s">
        <v>2058</v>
      </c>
      <c r="Z826" t="str">
        <f t="shared" si="30"/>
        <v>N</v>
      </c>
      <c r="AA826" t="s">
        <v>2054</v>
      </c>
      <c r="AB826" t="s">
        <v>3117</v>
      </c>
      <c r="AC826" s="9" t="s">
        <v>3118</v>
      </c>
    </row>
    <row r="827" spans="2:29">
      <c r="B827" t="s">
        <v>393</v>
      </c>
      <c r="C827" t="s">
        <v>3112</v>
      </c>
      <c r="D827" t="s">
        <v>3113</v>
      </c>
      <c r="E827">
        <v>2018</v>
      </c>
      <c r="F827" t="s">
        <v>3202</v>
      </c>
      <c r="G827" t="s">
        <v>554</v>
      </c>
      <c r="H827" s="6">
        <v>52.18</v>
      </c>
      <c r="I827" s="6">
        <v>-175.51</v>
      </c>
      <c r="J827" s="6">
        <v>1996</v>
      </c>
      <c r="K827" s="6">
        <v>2008</v>
      </c>
      <c r="L827" s="6">
        <f t="shared" si="31"/>
        <v>13</v>
      </c>
      <c r="M827" t="s">
        <v>2036</v>
      </c>
      <c r="N827" t="s">
        <v>394</v>
      </c>
      <c r="O827" t="s">
        <v>394</v>
      </c>
      <c r="P827" t="s">
        <v>3165</v>
      </c>
      <c r="Q827" t="s">
        <v>3166</v>
      </c>
      <c r="R827" t="s">
        <v>3126</v>
      </c>
      <c r="V827">
        <v>2.5</v>
      </c>
      <c r="W827" t="str">
        <f t="shared" si="32"/>
        <v>N</v>
      </c>
      <c r="X827" t="s">
        <v>2058</v>
      </c>
      <c r="Z827" t="str">
        <f t="shared" si="30"/>
        <v>N</v>
      </c>
      <c r="AA827" t="s">
        <v>2054</v>
      </c>
      <c r="AB827" t="s">
        <v>3117</v>
      </c>
      <c r="AC827" s="9" t="s">
        <v>3118</v>
      </c>
    </row>
    <row r="828" spans="2:29">
      <c r="B828" t="s">
        <v>393</v>
      </c>
      <c r="C828" t="s">
        <v>3112</v>
      </c>
      <c r="D828" t="s">
        <v>3113</v>
      </c>
      <c r="E828">
        <v>2018</v>
      </c>
      <c r="F828" t="s">
        <v>3203</v>
      </c>
      <c r="G828" t="s">
        <v>554</v>
      </c>
      <c r="H828" s="6">
        <v>53</v>
      </c>
      <c r="I828" s="6">
        <v>4.72</v>
      </c>
      <c r="J828" s="6">
        <v>2006</v>
      </c>
      <c r="K828" s="6">
        <v>2015</v>
      </c>
      <c r="L828" s="6">
        <f t="shared" si="31"/>
        <v>10</v>
      </c>
      <c r="M828" t="s">
        <v>2036</v>
      </c>
      <c r="N828" t="s">
        <v>394</v>
      </c>
      <c r="O828" t="s">
        <v>394</v>
      </c>
      <c r="P828" t="s">
        <v>3204</v>
      </c>
      <c r="Q828" t="s">
        <v>432</v>
      </c>
      <c r="R828" t="s">
        <v>3116</v>
      </c>
      <c r="V828">
        <v>-4.3</v>
      </c>
      <c r="W828" t="str">
        <f t="shared" si="32"/>
        <v>Y</v>
      </c>
      <c r="X828" t="s">
        <v>2058</v>
      </c>
      <c r="Z828" t="str">
        <f t="shared" si="30"/>
        <v>N</v>
      </c>
      <c r="AA828" t="s">
        <v>2054</v>
      </c>
      <c r="AB828" t="s">
        <v>3117</v>
      </c>
      <c r="AC828" s="9" t="s">
        <v>3118</v>
      </c>
    </row>
    <row r="829" spans="2:29">
      <c r="B829" t="s">
        <v>393</v>
      </c>
      <c r="C829" t="s">
        <v>3112</v>
      </c>
      <c r="D829" t="s">
        <v>3113</v>
      </c>
      <c r="E829">
        <v>2018</v>
      </c>
      <c r="F829" t="s">
        <v>3203</v>
      </c>
      <c r="G829" t="s">
        <v>554</v>
      </c>
      <c r="H829" s="6">
        <v>53</v>
      </c>
      <c r="I829" s="6">
        <v>4.72</v>
      </c>
      <c r="J829" s="6">
        <v>2006</v>
      </c>
      <c r="K829" s="6">
        <v>2015</v>
      </c>
      <c r="L829" s="6">
        <f t="shared" si="31"/>
        <v>10</v>
      </c>
      <c r="M829" t="s">
        <v>2036</v>
      </c>
      <c r="N829" t="s">
        <v>394</v>
      </c>
      <c r="O829" t="s">
        <v>394</v>
      </c>
      <c r="P829" t="s">
        <v>3204</v>
      </c>
      <c r="Q829" t="s">
        <v>432</v>
      </c>
      <c r="R829" t="s">
        <v>3142</v>
      </c>
      <c r="V829">
        <v>0</v>
      </c>
      <c r="W829" t="str">
        <f t="shared" si="32"/>
        <v>N</v>
      </c>
      <c r="X829" t="s">
        <v>2058</v>
      </c>
      <c r="Z829" t="str">
        <f t="shared" si="30"/>
        <v>N</v>
      </c>
      <c r="AA829" t="s">
        <v>2054</v>
      </c>
      <c r="AB829" t="s">
        <v>3117</v>
      </c>
      <c r="AC829" s="9" t="s">
        <v>3118</v>
      </c>
    </row>
    <row r="830" spans="2:29">
      <c r="B830" t="s">
        <v>393</v>
      </c>
      <c r="C830" t="s">
        <v>3112</v>
      </c>
      <c r="D830" t="s">
        <v>3113</v>
      </c>
      <c r="E830">
        <v>2018</v>
      </c>
      <c r="F830" t="s">
        <v>3203</v>
      </c>
      <c r="G830" t="s">
        <v>554</v>
      </c>
      <c r="H830" s="6">
        <v>53</v>
      </c>
      <c r="I830" s="6">
        <v>4.72</v>
      </c>
      <c r="J830" s="6">
        <v>2006</v>
      </c>
      <c r="K830" s="6">
        <v>2015</v>
      </c>
      <c r="L830" s="6">
        <f t="shared" si="31"/>
        <v>10</v>
      </c>
      <c r="M830" t="s">
        <v>2036</v>
      </c>
      <c r="N830" t="s">
        <v>394</v>
      </c>
      <c r="O830" t="s">
        <v>394</v>
      </c>
      <c r="P830" t="s">
        <v>3204</v>
      </c>
      <c r="Q830" t="s">
        <v>432</v>
      </c>
      <c r="R830" t="s">
        <v>3137</v>
      </c>
      <c r="V830">
        <v>2.2000000000000002</v>
      </c>
      <c r="W830" t="str">
        <f t="shared" si="32"/>
        <v>N</v>
      </c>
      <c r="X830" t="s">
        <v>2058</v>
      </c>
      <c r="Z830" t="str">
        <f t="shared" si="30"/>
        <v>N</v>
      </c>
      <c r="AA830" t="s">
        <v>2054</v>
      </c>
      <c r="AB830" t="s">
        <v>3117</v>
      </c>
      <c r="AC830" s="9" t="s">
        <v>3118</v>
      </c>
    </row>
    <row r="831" spans="2:29">
      <c r="B831" t="s">
        <v>393</v>
      </c>
      <c r="C831" t="s">
        <v>3112</v>
      </c>
      <c r="D831" t="s">
        <v>3113</v>
      </c>
      <c r="E831">
        <v>2018</v>
      </c>
      <c r="F831" t="s">
        <v>3203</v>
      </c>
      <c r="G831" t="s">
        <v>554</v>
      </c>
      <c r="H831" s="6">
        <v>53</v>
      </c>
      <c r="I831" s="6">
        <v>4.72</v>
      </c>
      <c r="J831" s="6">
        <v>2006</v>
      </c>
      <c r="K831" s="6">
        <v>2015</v>
      </c>
      <c r="L831" s="6">
        <f t="shared" si="31"/>
        <v>10</v>
      </c>
      <c r="M831" t="s">
        <v>2036</v>
      </c>
      <c r="N831" t="s">
        <v>394</v>
      </c>
      <c r="O831" t="s">
        <v>394</v>
      </c>
      <c r="P831" t="s">
        <v>3204</v>
      </c>
      <c r="Q831" t="s">
        <v>432</v>
      </c>
      <c r="R831" t="s">
        <v>3145</v>
      </c>
      <c r="V831">
        <v>3.3000000000000003</v>
      </c>
      <c r="W831" t="str">
        <f t="shared" si="32"/>
        <v>N</v>
      </c>
      <c r="X831" t="s">
        <v>2058</v>
      </c>
      <c r="Z831" t="str">
        <f t="shared" si="30"/>
        <v>N</v>
      </c>
      <c r="AA831" t="s">
        <v>2054</v>
      </c>
      <c r="AB831" t="s">
        <v>3117</v>
      </c>
      <c r="AC831" s="9" t="s">
        <v>3118</v>
      </c>
    </row>
    <row r="832" spans="2:29">
      <c r="B832" t="s">
        <v>393</v>
      </c>
      <c r="C832" t="s">
        <v>3112</v>
      </c>
      <c r="D832" t="s">
        <v>3113</v>
      </c>
      <c r="E832">
        <v>2018</v>
      </c>
      <c r="F832" t="s">
        <v>3203</v>
      </c>
      <c r="G832" t="s">
        <v>554</v>
      </c>
      <c r="H832" s="6">
        <v>53</v>
      </c>
      <c r="I832" s="6">
        <v>4.72</v>
      </c>
      <c r="J832" s="6">
        <v>2006</v>
      </c>
      <c r="K832" s="6">
        <v>2015</v>
      </c>
      <c r="L832" s="6">
        <f t="shared" si="31"/>
        <v>10</v>
      </c>
      <c r="M832" t="s">
        <v>2036</v>
      </c>
      <c r="N832" t="s">
        <v>394</v>
      </c>
      <c r="O832" t="s">
        <v>394</v>
      </c>
      <c r="P832" t="s">
        <v>3205</v>
      </c>
      <c r="Q832" t="s">
        <v>473</v>
      </c>
      <c r="R832" t="s">
        <v>3116</v>
      </c>
      <c r="V832">
        <v>7.7</v>
      </c>
      <c r="W832" t="str">
        <f t="shared" si="32"/>
        <v>N</v>
      </c>
      <c r="X832" t="s">
        <v>2058</v>
      </c>
      <c r="Z832" t="str">
        <f t="shared" si="30"/>
        <v>N</v>
      </c>
      <c r="AA832" t="s">
        <v>2054</v>
      </c>
      <c r="AB832" t="s">
        <v>3117</v>
      </c>
      <c r="AC832" s="9" t="s">
        <v>3118</v>
      </c>
    </row>
    <row r="833" spans="2:29">
      <c r="B833" t="s">
        <v>393</v>
      </c>
      <c r="C833" t="s">
        <v>3112</v>
      </c>
      <c r="D833" t="s">
        <v>3113</v>
      </c>
      <c r="E833">
        <v>2018</v>
      </c>
      <c r="F833" t="s">
        <v>3203</v>
      </c>
      <c r="G833" t="s">
        <v>554</v>
      </c>
      <c r="H833" s="6">
        <v>53</v>
      </c>
      <c r="I833" s="6">
        <v>4.72</v>
      </c>
      <c r="J833" s="6">
        <v>2006</v>
      </c>
      <c r="K833" s="6">
        <v>2015</v>
      </c>
      <c r="L833" s="6">
        <f t="shared" si="31"/>
        <v>10</v>
      </c>
      <c r="M833" t="s">
        <v>2036</v>
      </c>
      <c r="N833" t="s">
        <v>394</v>
      </c>
      <c r="O833" t="s">
        <v>394</v>
      </c>
      <c r="P833" t="s">
        <v>3205</v>
      </c>
      <c r="Q833" t="s">
        <v>473</v>
      </c>
      <c r="R833" t="s">
        <v>3142</v>
      </c>
      <c r="V833">
        <v>10.199999999999999</v>
      </c>
      <c r="W833" t="str">
        <f t="shared" si="32"/>
        <v>N</v>
      </c>
      <c r="X833" t="s">
        <v>2058</v>
      </c>
      <c r="Z833" t="str">
        <f t="shared" si="30"/>
        <v>N</v>
      </c>
      <c r="AA833" t="s">
        <v>2054</v>
      </c>
      <c r="AB833" t="s">
        <v>3117</v>
      </c>
      <c r="AC833" s="9" t="s">
        <v>3118</v>
      </c>
    </row>
    <row r="834" spans="2:29">
      <c r="B834" t="s">
        <v>393</v>
      </c>
      <c r="C834" t="s">
        <v>3112</v>
      </c>
      <c r="D834" t="s">
        <v>3113</v>
      </c>
      <c r="E834">
        <v>2018</v>
      </c>
      <c r="F834" t="s">
        <v>3203</v>
      </c>
      <c r="G834" t="s">
        <v>554</v>
      </c>
      <c r="H834" s="6">
        <v>53</v>
      </c>
      <c r="I834" s="6">
        <v>4.72</v>
      </c>
      <c r="J834" s="6">
        <v>2006</v>
      </c>
      <c r="K834" s="6">
        <v>2015</v>
      </c>
      <c r="L834" s="6">
        <f t="shared" si="31"/>
        <v>10</v>
      </c>
      <c r="M834" t="s">
        <v>2036</v>
      </c>
      <c r="N834" t="s">
        <v>394</v>
      </c>
      <c r="O834" t="s">
        <v>394</v>
      </c>
      <c r="P834" t="s">
        <v>3205</v>
      </c>
      <c r="Q834" t="s">
        <v>473</v>
      </c>
      <c r="R834" t="s">
        <v>3137</v>
      </c>
      <c r="V834">
        <v>11.299999999999999</v>
      </c>
      <c r="W834" t="str">
        <f t="shared" si="32"/>
        <v>N</v>
      </c>
      <c r="X834" t="s">
        <v>2058</v>
      </c>
      <c r="Z834" t="str">
        <f t="shared" ref="Z834:Z897" si="33">IF(L834&gt;=19,"Y","N")</f>
        <v>N</v>
      </c>
      <c r="AA834" t="s">
        <v>2054</v>
      </c>
      <c r="AB834" t="s">
        <v>3117</v>
      </c>
      <c r="AC834" s="9" t="s">
        <v>3118</v>
      </c>
    </row>
    <row r="835" spans="2:29">
      <c r="B835" t="s">
        <v>393</v>
      </c>
      <c r="C835" t="s">
        <v>3112</v>
      </c>
      <c r="D835" t="s">
        <v>3113</v>
      </c>
      <c r="E835">
        <v>2018</v>
      </c>
      <c r="F835" t="s">
        <v>3203</v>
      </c>
      <c r="G835" t="s">
        <v>554</v>
      </c>
      <c r="H835" s="6">
        <v>53</v>
      </c>
      <c r="I835" s="6">
        <v>4.72</v>
      </c>
      <c r="J835" s="6">
        <v>2006</v>
      </c>
      <c r="K835" s="6">
        <v>2015</v>
      </c>
      <c r="L835" s="6">
        <f t="shared" si="31"/>
        <v>10</v>
      </c>
      <c r="M835" t="s">
        <v>2036</v>
      </c>
      <c r="N835" t="s">
        <v>394</v>
      </c>
      <c r="O835" t="s">
        <v>394</v>
      </c>
      <c r="P835" t="s">
        <v>3205</v>
      </c>
      <c r="Q835" t="s">
        <v>473</v>
      </c>
      <c r="R835" t="s">
        <v>3145</v>
      </c>
      <c r="V835">
        <v>11.7</v>
      </c>
      <c r="W835" t="str">
        <f t="shared" si="32"/>
        <v>N</v>
      </c>
      <c r="X835" t="s">
        <v>2058</v>
      </c>
      <c r="Z835" t="str">
        <f t="shared" si="33"/>
        <v>N</v>
      </c>
      <c r="AA835" t="s">
        <v>2054</v>
      </c>
      <c r="AB835" t="s">
        <v>3117</v>
      </c>
      <c r="AC835" s="9" t="s">
        <v>3118</v>
      </c>
    </row>
    <row r="836" spans="2:29">
      <c r="B836" t="s">
        <v>393</v>
      </c>
      <c r="C836" t="s">
        <v>3112</v>
      </c>
      <c r="D836" t="s">
        <v>3113</v>
      </c>
      <c r="E836">
        <v>2018</v>
      </c>
      <c r="F836" t="s">
        <v>3206</v>
      </c>
      <c r="G836" t="s">
        <v>554</v>
      </c>
      <c r="H836" s="6">
        <v>52.08</v>
      </c>
      <c r="I836" s="6">
        <v>-177.36</v>
      </c>
      <c r="J836" s="6">
        <v>2001</v>
      </c>
      <c r="K836" s="6">
        <v>2010</v>
      </c>
      <c r="L836" s="6">
        <f t="shared" ref="L836:L899" si="34">K836-J836+1</f>
        <v>10</v>
      </c>
      <c r="M836" t="s">
        <v>2036</v>
      </c>
      <c r="N836" t="s">
        <v>394</v>
      </c>
      <c r="O836" t="s">
        <v>394</v>
      </c>
      <c r="P836" t="s">
        <v>3164</v>
      </c>
      <c r="Q836" t="s">
        <v>466</v>
      </c>
      <c r="R836" t="s">
        <v>3126</v>
      </c>
      <c r="V836">
        <v>-3</v>
      </c>
      <c r="W836" t="str">
        <f t="shared" si="32"/>
        <v>Y</v>
      </c>
      <c r="X836" t="s">
        <v>2058</v>
      </c>
      <c r="Z836" t="str">
        <f t="shared" si="33"/>
        <v>N</v>
      </c>
      <c r="AA836" t="s">
        <v>2054</v>
      </c>
      <c r="AB836" t="s">
        <v>3117</v>
      </c>
      <c r="AC836" s="9" t="s">
        <v>3118</v>
      </c>
    </row>
    <row r="837" spans="2:29">
      <c r="B837" t="s">
        <v>393</v>
      </c>
      <c r="C837" t="s">
        <v>3112</v>
      </c>
      <c r="D837" t="s">
        <v>3113</v>
      </c>
      <c r="E837">
        <v>2018</v>
      </c>
      <c r="F837" t="s">
        <v>3206</v>
      </c>
      <c r="G837" t="s">
        <v>554</v>
      </c>
      <c r="H837" s="6">
        <v>52.08</v>
      </c>
      <c r="I837" s="6">
        <v>-177.36</v>
      </c>
      <c r="J837" s="6">
        <v>2001</v>
      </c>
      <c r="K837" s="6">
        <v>2008</v>
      </c>
      <c r="L837" s="6">
        <f t="shared" si="34"/>
        <v>8</v>
      </c>
      <c r="M837" t="s">
        <v>2036</v>
      </c>
      <c r="N837" t="s">
        <v>394</v>
      </c>
      <c r="O837" t="s">
        <v>394</v>
      </c>
      <c r="P837" t="s">
        <v>3165</v>
      </c>
      <c r="Q837" t="s">
        <v>3166</v>
      </c>
      <c r="R837" t="s">
        <v>3126</v>
      </c>
      <c r="V837">
        <v>-4</v>
      </c>
      <c r="W837" t="str">
        <f t="shared" si="32"/>
        <v>Y</v>
      </c>
      <c r="X837" t="s">
        <v>2058</v>
      </c>
      <c r="Z837" t="str">
        <f t="shared" si="33"/>
        <v>N</v>
      </c>
      <c r="AA837" t="s">
        <v>2054</v>
      </c>
      <c r="AB837" t="s">
        <v>3117</v>
      </c>
      <c r="AC837" s="9" t="s">
        <v>3118</v>
      </c>
    </row>
    <row r="838" spans="2:29">
      <c r="B838" t="s">
        <v>393</v>
      </c>
      <c r="C838" t="s">
        <v>3112</v>
      </c>
      <c r="D838" t="s">
        <v>3113</v>
      </c>
      <c r="E838">
        <v>2018</v>
      </c>
      <c r="F838" t="s">
        <v>3207</v>
      </c>
      <c r="G838" t="s">
        <v>554</v>
      </c>
      <c r="H838" s="6">
        <v>78.900000000000006</v>
      </c>
      <c r="I838" s="6">
        <v>12.216670000000001</v>
      </c>
      <c r="J838" s="6">
        <v>1997</v>
      </c>
      <c r="K838" s="6">
        <v>2014</v>
      </c>
      <c r="L838" s="6">
        <f t="shared" si="34"/>
        <v>18</v>
      </c>
      <c r="M838" t="s">
        <v>2036</v>
      </c>
      <c r="N838" t="s">
        <v>394</v>
      </c>
      <c r="O838" t="s">
        <v>394</v>
      </c>
      <c r="P838" t="s">
        <v>2293</v>
      </c>
      <c r="Q838" t="s">
        <v>465</v>
      </c>
      <c r="R838" t="s">
        <v>3137</v>
      </c>
      <c r="V838">
        <v>-0.3</v>
      </c>
      <c r="W838" t="str">
        <f t="shared" si="32"/>
        <v>Y</v>
      </c>
      <c r="X838" t="s">
        <v>2058</v>
      </c>
      <c r="Z838" t="str">
        <f t="shared" si="33"/>
        <v>N</v>
      </c>
      <c r="AA838" t="s">
        <v>2054</v>
      </c>
      <c r="AB838" t="s">
        <v>3117</v>
      </c>
      <c r="AC838" s="9" t="s">
        <v>3118</v>
      </c>
    </row>
    <row r="839" spans="2:29">
      <c r="B839" t="s">
        <v>393</v>
      </c>
      <c r="C839" t="s">
        <v>3112</v>
      </c>
      <c r="D839" t="s">
        <v>3113</v>
      </c>
      <c r="E839">
        <v>2018</v>
      </c>
      <c r="F839" t="s">
        <v>3208</v>
      </c>
      <c r="G839" t="s">
        <v>554</v>
      </c>
      <c r="H839" s="6">
        <v>52.887</v>
      </c>
      <c r="I839" s="6">
        <v>-131.52000000000001</v>
      </c>
      <c r="J839" s="6">
        <v>1990</v>
      </c>
      <c r="K839" s="6">
        <v>2015</v>
      </c>
      <c r="L839" s="6">
        <f t="shared" si="34"/>
        <v>26</v>
      </c>
      <c r="M839" t="s">
        <v>2036</v>
      </c>
      <c r="N839" t="s">
        <v>394</v>
      </c>
      <c r="O839" t="s">
        <v>394</v>
      </c>
      <c r="P839" t="s">
        <v>3125</v>
      </c>
      <c r="Q839" t="s">
        <v>2093</v>
      </c>
      <c r="R839" t="s">
        <v>3116</v>
      </c>
      <c r="V839">
        <v>0.2</v>
      </c>
      <c r="W839" t="str">
        <f t="shared" si="32"/>
        <v>N</v>
      </c>
      <c r="X839" t="s">
        <v>2041</v>
      </c>
      <c r="Z839" t="str">
        <f t="shared" si="33"/>
        <v>Y</v>
      </c>
      <c r="AA839" t="s">
        <v>2054</v>
      </c>
      <c r="AB839" t="s">
        <v>3117</v>
      </c>
      <c r="AC839" s="9" t="s">
        <v>3118</v>
      </c>
    </row>
    <row r="840" spans="2:29">
      <c r="B840" t="s">
        <v>393</v>
      </c>
      <c r="C840" t="s">
        <v>3112</v>
      </c>
      <c r="D840" t="s">
        <v>3113</v>
      </c>
      <c r="E840">
        <v>2018</v>
      </c>
      <c r="F840" t="s">
        <v>3208</v>
      </c>
      <c r="G840" t="s">
        <v>554</v>
      </c>
      <c r="H840" s="6">
        <v>52.887</v>
      </c>
      <c r="I840" s="6">
        <v>-131.52000000000001</v>
      </c>
      <c r="J840" s="6">
        <v>1990</v>
      </c>
      <c r="K840" s="6">
        <v>2015</v>
      </c>
      <c r="L840" s="6">
        <f t="shared" si="34"/>
        <v>26</v>
      </c>
      <c r="M840" t="s">
        <v>2036</v>
      </c>
      <c r="N840" t="s">
        <v>394</v>
      </c>
      <c r="O840" t="s">
        <v>394</v>
      </c>
      <c r="P840" t="s">
        <v>3125</v>
      </c>
      <c r="Q840" t="s">
        <v>2093</v>
      </c>
      <c r="R840" t="s">
        <v>3137</v>
      </c>
      <c r="V840">
        <v>-1.2</v>
      </c>
      <c r="W840" t="str">
        <f t="shared" si="32"/>
        <v>Y</v>
      </c>
      <c r="X840" t="s">
        <v>2041</v>
      </c>
      <c r="Z840" t="str">
        <f t="shared" si="33"/>
        <v>Y</v>
      </c>
      <c r="AA840" t="s">
        <v>2054</v>
      </c>
      <c r="AB840" t="s">
        <v>3117</v>
      </c>
      <c r="AC840" s="9" t="s">
        <v>3118</v>
      </c>
    </row>
    <row r="841" spans="2:29">
      <c r="B841" t="s">
        <v>393</v>
      </c>
      <c r="C841" t="s">
        <v>3112</v>
      </c>
      <c r="D841" t="s">
        <v>3113</v>
      </c>
      <c r="E841">
        <v>2018</v>
      </c>
      <c r="F841" t="s">
        <v>3209</v>
      </c>
      <c r="G841" t="s">
        <v>554</v>
      </c>
      <c r="H841" s="6">
        <v>44.3</v>
      </c>
      <c r="I841" s="6">
        <v>-67.06</v>
      </c>
      <c r="J841" s="6">
        <v>1995</v>
      </c>
      <c r="K841" s="6">
        <v>2014</v>
      </c>
      <c r="L841" s="6">
        <f t="shared" si="34"/>
        <v>20</v>
      </c>
      <c r="M841" t="s">
        <v>2036</v>
      </c>
      <c r="N841" t="s">
        <v>394</v>
      </c>
      <c r="O841" t="s">
        <v>394</v>
      </c>
      <c r="P841" t="s">
        <v>3210</v>
      </c>
      <c r="Q841" t="s">
        <v>483</v>
      </c>
      <c r="R841" t="s">
        <v>3116</v>
      </c>
      <c r="V841">
        <v>3.4000000000000004</v>
      </c>
      <c r="W841" t="str">
        <f t="shared" si="32"/>
        <v>N</v>
      </c>
      <c r="X841" t="s">
        <v>2041</v>
      </c>
      <c r="Z841" t="str">
        <f t="shared" si="33"/>
        <v>Y</v>
      </c>
      <c r="AA841" t="s">
        <v>2054</v>
      </c>
      <c r="AB841" t="s">
        <v>3117</v>
      </c>
      <c r="AC841" s="9" t="s">
        <v>3118</v>
      </c>
    </row>
    <row r="842" spans="2:29">
      <c r="B842" t="s">
        <v>393</v>
      </c>
      <c r="C842" t="s">
        <v>3112</v>
      </c>
      <c r="D842" t="s">
        <v>3113</v>
      </c>
      <c r="E842">
        <v>2018</v>
      </c>
      <c r="F842" t="s">
        <v>3209</v>
      </c>
      <c r="G842" t="s">
        <v>554</v>
      </c>
      <c r="H842" s="6">
        <v>44.3</v>
      </c>
      <c r="I842" s="6">
        <v>-67.06</v>
      </c>
      <c r="J842" s="6">
        <v>1995</v>
      </c>
      <c r="K842" s="6">
        <v>2014</v>
      </c>
      <c r="L842" s="6">
        <f t="shared" si="34"/>
        <v>20</v>
      </c>
      <c r="M842" t="s">
        <v>2036</v>
      </c>
      <c r="N842" t="s">
        <v>394</v>
      </c>
      <c r="O842" t="s">
        <v>394</v>
      </c>
      <c r="P842" t="s">
        <v>3210</v>
      </c>
      <c r="Q842" t="s">
        <v>483</v>
      </c>
      <c r="R842" t="s">
        <v>3142</v>
      </c>
      <c r="V842">
        <v>3</v>
      </c>
      <c r="W842" t="str">
        <f t="shared" si="32"/>
        <v>N</v>
      </c>
      <c r="X842" t="s">
        <v>2041</v>
      </c>
      <c r="Z842" t="str">
        <f t="shared" si="33"/>
        <v>Y</v>
      </c>
      <c r="AA842" t="s">
        <v>2054</v>
      </c>
      <c r="AB842" t="s">
        <v>3117</v>
      </c>
      <c r="AC842" s="9" t="s">
        <v>3118</v>
      </c>
    </row>
    <row r="843" spans="2:29">
      <c r="B843" t="s">
        <v>393</v>
      </c>
      <c r="C843" t="s">
        <v>3112</v>
      </c>
      <c r="D843" t="s">
        <v>3113</v>
      </c>
      <c r="E843">
        <v>2018</v>
      </c>
      <c r="F843" t="s">
        <v>3209</v>
      </c>
      <c r="G843" t="s">
        <v>554</v>
      </c>
      <c r="H843" s="6">
        <v>44.3</v>
      </c>
      <c r="I843" s="6">
        <v>-67.06</v>
      </c>
      <c r="J843" s="6">
        <v>1995</v>
      </c>
      <c r="K843" s="6">
        <v>2014</v>
      </c>
      <c r="L843" s="6">
        <f t="shared" si="34"/>
        <v>20</v>
      </c>
      <c r="M843" t="s">
        <v>2036</v>
      </c>
      <c r="N843" t="s">
        <v>394</v>
      </c>
      <c r="O843" t="s">
        <v>394</v>
      </c>
      <c r="P843" t="s">
        <v>3210</v>
      </c>
      <c r="Q843" t="s">
        <v>483</v>
      </c>
      <c r="R843" t="s">
        <v>3137</v>
      </c>
      <c r="V843">
        <v>3</v>
      </c>
      <c r="W843" t="str">
        <f t="shared" si="32"/>
        <v>N</v>
      </c>
      <c r="X843" t="s">
        <v>2041</v>
      </c>
      <c r="Z843" t="str">
        <f t="shared" si="33"/>
        <v>Y</v>
      </c>
      <c r="AA843" t="s">
        <v>2054</v>
      </c>
      <c r="AB843" t="s">
        <v>3117</v>
      </c>
      <c r="AC843" s="9" t="s">
        <v>3118</v>
      </c>
    </row>
    <row r="844" spans="2:29">
      <c r="B844" t="s">
        <v>393</v>
      </c>
      <c r="C844" t="s">
        <v>3112</v>
      </c>
      <c r="D844" t="s">
        <v>3113</v>
      </c>
      <c r="E844">
        <v>2018</v>
      </c>
      <c r="F844" t="s">
        <v>3209</v>
      </c>
      <c r="G844" t="s">
        <v>554</v>
      </c>
      <c r="H844" s="6">
        <v>44.3</v>
      </c>
      <c r="I844" s="6">
        <v>-67.06</v>
      </c>
      <c r="J844" s="6">
        <v>1995</v>
      </c>
      <c r="K844" s="6">
        <v>2014</v>
      </c>
      <c r="L844" s="6">
        <f t="shared" si="34"/>
        <v>20</v>
      </c>
      <c r="M844" t="s">
        <v>2036</v>
      </c>
      <c r="N844" t="s">
        <v>394</v>
      </c>
      <c r="O844" t="s">
        <v>394</v>
      </c>
      <c r="P844" t="s">
        <v>3139</v>
      </c>
      <c r="Q844" t="s">
        <v>997</v>
      </c>
      <c r="R844" t="s">
        <v>3116</v>
      </c>
      <c r="V844">
        <v>1.3</v>
      </c>
      <c r="W844" t="str">
        <f t="shared" si="32"/>
        <v>N</v>
      </c>
      <c r="X844" t="s">
        <v>2041</v>
      </c>
      <c r="Z844" t="str">
        <f t="shared" si="33"/>
        <v>Y</v>
      </c>
      <c r="AA844" t="s">
        <v>2054</v>
      </c>
      <c r="AB844" t="s">
        <v>3117</v>
      </c>
      <c r="AC844" s="9" t="s">
        <v>3118</v>
      </c>
    </row>
    <row r="845" spans="2:29">
      <c r="B845" t="s">
        <v>393</v>
      </c>
      <c r="C845" t="s">
        <v>3112</v>
      </c>
      <c r="D845" t="s">
        <v>3113</v>
      </c>
      <c r="E845">
        <v>2018</v>
      </c>
      <c r="F845" t="s">
        <v>3209</v>
      </c>
      <c r="G845" t="s">
        <v>554</v>
      </c>
      <c r="H845" s="6">
        <v>44.3</v>
      </c>
      <c r="I845" s="6">
        <v>-67.06</v>
      </c>
      <c r="J845" s="6">
        <v>1995</v>
      </c>
      <c r="K845" s="6">
        <v>2014</v>
      </c>
      <c r="L845" s="6">
        <f t="shared" si="34"/>
        <v>20</v>
      </c>
      <c r="M845" t="s">
        <v>2036</v>
      </c>
      <c r="N845" t="s">
        <v>394</v>
      </c>
      <c r="O845" t="s">
        <v>394</v>
      </c>
      <c r="P845" t="s">
        <v>3139</v>
      </c>
      <c r="Q845" t="s">
        <v>997</v>
      </c>
      <c r="R845" t="s">
        <v>3142</v>
      </c>
      <c r="V845">
        <v>3.4000000000000004</v>
      </c>
      <c r="W845" t="str">
        <f t="shared" si="32"/>
        <v>N</v>
      </c>
      <c r="X845" t="s">
        <v>2041</v>
      </c>
      <c r="Z845" t="str">
        <f t="shared" si="33"/>
        <v>Y</v>
      </c>
      <c r="AA845" t="s">
        <v>2054</v>
      </c>
      <c r="AB845" t="s">
        <v>3117</v>
      </c>
      <c r="AC845" s="9" t="s">
        <v>3118</v>
      </c>
    </row>
    <row r="846" spans="2:29">
      <c r="B846" t="s">
        <v>393</v>
      </c>
      <c r="C846" t="s">
        <v>3112</v>
      </c>
      <c r="D846" t="s">
        <v>3113</v>
      </c>
      <c r="E846">
        <v>2018</v>
      </c>
      <c r="F846" t="s">
        <v>3209</v>
      </c>
      <c r="G846" t="s">
        <v>554</v>
      </c>
      <c r="H846" s="6">
        <v>44.3</v>
      </c>
      <c r="I846" s="6">
        <v>-67.06</v>
      </c>
      <c r="J846" s="6">
        <v>1995</v>
      </c>
      <c r="K846" s="6">
        <v>2014</v>
      </c>
      <c r="L846" s="6">
        <f t="shared" si="34"/>
        <v>20</v>
      </c>
      <c r="M846" t="s">
        <v>2036</v>
      </c>
      <c r="N846" t="s">
        <v>394</v>
      </c>
      <c r="O846" t="s">
        <v>394</v>
      </c>
      <c r="P846" t="s">
        <v>3139</v>
      </c>
      <c r="Q846" t="s">
        <v>997</v>
      </c>
      <c r="R846" t="s">
        <v>3137</v>
      </c>
      <c r="V846">
        <v>3.5999999999999996</v>
      </c>
      <c r="W846" t="str">
        <f t="shared" si="32"/>
        <v>N</v>
      </c>
      <c r="X846" t="s">
        <v>2041</v>
      </c>
      <c r="Z846" t="str">
        <f t="shared" si="33"/>
        <v>Y</v>
      </c>
      <c r="AA846" t="s">
        <v>2054</v>
      </c>
      <c r="AB846" t="s">
        <v>3117</v>
      </c>
      <c r="AC846" s="9" t="s">
        <v>3118</v>
      </c>
    </row>
    <row r="847" spans="2:29">
      <c r="B847" t="s">
        <v>393</v>
      </c>
      <c r="C847" t="s">
        <v>3112</v>
      </c>
      <c r="D847" t="s">
        <v>3113</v>
      </c>
      <c r="E847">
        <v>2018</v>
      </c>
      <c r="F847" t="s">
        <v>3209</v>
      </c>
      <c r="G847" t="s">
        <v>554</v>
      </c>
      <c r="H847" s="6">
        <v>44.3</v>
      </c>
      <c r="I847" s="6">
        <v>-67.06</v>
      </c>
      <c r="J847" s="6">
        <v>1995</v>
      </c>
      <c r="K847" s="6">
        <v>2005</v>
      </c>
      <c r="L847" s="6">
        <f t="shared" si="34"/>
        <v>11</v>
      </c>
      <c r="M847" t="s">
        <v>2036</v>
      </c>
      <c r="N847" t="s">
        <v>394</v>
      </c>
      <c r="O847" t="s">
        <v>394</v>
      </c>
      <c r="P847" t="s">
        <v>3144</v>
      </c>
      <c r="Q847" t="s">
        <v>459</v>
      </c>
      <c r="R847" t="s">
        <v>3116</v>
      </c>
      <c r="V847">
        <v>2.6</v>
      </c>
      <c r="W847" t="str">
        <f t="shared" si="32"/>
        <v>N</v>
      </c>
      <c r="X847" t="s">
        <v>2058</v>
      </c>
      <c r="Z847" t="str">
        <f t="shared" si="33"/>
        <v>N</v>
      </c>
      <c r="AA847" t="s">
        <v>2054</v>
      </c>
      <c r="AB847" t="s">
        <v>3117</v>
      </c>
      <c r="AC847" s="9" t="s">
        <v>3118</v>
      </c>
    </row>
    <row r="848" spans="2:29">
      <c r="B848" t="s">
        <v>393</v>
      </c>
      <c r="C848" t="s">
        <v>3112</v>
      </c>
      <c r="D848" t="s">
        <v>3113</v>
      </c>
      <c r="E848">
        <v>2018</v>
      </c>
      <c r="F848" t="s">
        <v>3209</v>
      </c>
      <c r="G848" t="s">
        <v>554</v>
      </c>
      <c r="H848" s="6">
        <v>44.3</v>
      </c>
      <c r="I848" s="6">
        <v>-67.06</v>
      </c>
      <c r="J848" s="6">
        <v>1995</v>
      </c>
      <c r="K848" s="6">
        <v>2005</v>
      </c>
      <c r="L848" s="6">
        <f t="shared" si="34"/>
        <v>11</v>
      </c>
      <c r="M848" t="s">
        <v>2036</v>
      </c>
      <c r="N848" t="s">
        <v>394</v>
      </c>
      <c r="O848" t="s">
        <v>394</v>
      </c>
      <c r="P848" t="s">
        <v>3144</v>
      </c>
      <c r="Q848" t="s">
        <v>459</v>
      </c>
      <c r="R848" t="s">
        <v>3142</v>
      </c>
      <c r="V848">
        <v>0.70000000000000007</v>
      </c>
      <c r="W848" t="str">
        <f t="shared" si="32"/>
        <v>N</v>
      </c>
      <c r="X848" t="s">
        <v>2058</v>
      </c>
      <c r="Z848" t="str">
        <f t="shared" si="33"/>
        <v>N</v>
      </c>
      <c r="AA848" t="s">
        <v>2054</v>
      </c>
      <c r="AB848" t="s">
        <v>3117</v>
      </c>
      <c r="AC848" s="9" t="s">
        <v>3118</v>
      </c>
    </row>
    <row r="849" spans="2:29">
      <c r="B849" t="s">
        <v>393</v>
      </c>
      <c r="C849" t="s">
        <v>3112</v>
      </c>
      <c r="D849" t="s">
        <v>3113</v>
      </c>
      <c r="E849">
        <v>2018</v>
      </c>
      <c r="F849" t="s">
        <v>3209</v>
      </c>
      <c r="G849" t="s">
        <v>554</v>
      </c>
      <c r="H849" s="6">
        <v>44.3</v>
      </c>
      <c r="I849" s="6">
        <v>-67.06</v>
      </c>
      <c r="J849" s="6">
        <v>1995</v>
      </c>
      <c r="K849" s="6">
        <v>2005</v>
      </c>
      <c r="L849" s="6">
        <f t="shared" si="34"/>
        <v>11</v>
      </c>
      <c r="M849" t="s">
        <v>2036</v>
      </c>
      <c r="N849" t="s">
        <v>394</v>
      </c>
      <c r="O849" t="s">
        <v>394</v>
      </c>
      <c r="P849" t="s">
        <v>3144</v>
      </c>
      <c r="Q849" t="s">
        <v>459</v>
      </c>
      <c r="R849" t="s">
        <v>3137</v>
      </c>
      <c r="V849">
        <v>2.3000000000000003</v>
      </c>
      <c r="W849" t="str">
        <f t="shared" si="32"/>
        <v>N</v>
      </c>
      <c r="X849" t="s">
        <v>2058</v>
      </c>
      <c r="Z849" t="str">
        <f t="shared" si="33"/>
        <v>N</v>
      </c>
      <c r="AA849" t="s">
        <v>2054</v>
      </c>
      <c r="AB849" t="s">
        <v>3117</v>
      </c>
      <c r="AC849" s="9" t="s">
        <v>3118</v>
      </c>
    </row>
    <row r="850" spans="2:29">
      <c r="B850" t="s">
        <v>393</v>
      </c>
      <c r="C850" t="s">
        <v>3112</v>
      </c>
      <c r="D850" t="s">
        <v>3113</v>
      </c>
      <c r="E850">
        <v>2018</v>
      </c>
      <c r="F850" t="s">
        <v>3209</v>
      </c>
      <c r="G850" t="s">
        <v>554</v>
      </c>
      <c r="H850" s="6">
        <v>44.3</v>
      </c>
      <c r="I850" s="6">
        <v>-67.06</v>
      </c>
      <c r="J850" s="6">
        <v>1995</v>
      </c>
      <c r="K850" s="6">
        <v>2014</v>
      </c>
      <c r="L850" s="6">
        <f t="shared" si="34"/>
        <v>20</v>
      </c>
      <c r="M850" t="s">
        <v>2036</v>
      </c>
      <c r="N850" t="s">
        <v>394</v>
      </c>
      <c r="O850" t="s">
        <v>394</v>
      </c>
      <c r="P850" t="s">
        <v>2414</v>
      </c>
      <c r="Q850" t="s">
        <v>437</v>
      </c>
      <c r="R850" t="s">
        <v>3116</v>
      </c>
      <c r="V850">
        <v>-3.8</v>
      </c>
      <c r="W850" t="str">
        <f t="shared" si="32"/>
        <v>Y</v>
      </c>
      <c r="X850" t="s">
        <v>2041</v>
      </c>
      <c r="Y850" t="s">
        <v>2041</v>
      </c>
      <c r="Z850" t="str">
        <f t="shared" si="33"/>
        <v>Y</v>
      </c>
      <c r="AA850" t="s">
        <v>2054</v>
      </c>
      <c r="AB850" t="s">
        <v>3117</v>
      </c>
      <c r="AC850" s="9" t="s">
        <v>3118</v>
      </c>
    </row>
    <row r="851" spans="2:29">
      <c r="B851" t="s">
        <v>393</v>
      </c>
      <c r="C851" t="s">
        <v>3112</v>
      </c>
      <c r="D851" t="s">
        <v>3113</v>
      </c>
      <c r="E851">
        <v>2018</v>
      </c>
      <c r="F851" t="s">
        <v>3209</v>
      </c>
      <c r="G851" t="s">
        <v>554</v>
      </c>
      <c r="H851" s="6">
        <v>44.3</v>
      </c>
      <c r="I851" s="6">
        <v>-67.06</v>
      </c>
      <c r="J851" s="6">
        <v>1995</v>
      </c>
      <c r="K851" s="6">
        <v>2014</v>
      </c>
      <c r="L851" s="6">
        <f t="shared" si="34"/>
        <v>20</v>
      </c>
      <c r="M851" t="s">
        <v>2036</v>
      </c>
      <c r="N851" t="s">
        <v>394</v>
      </c>
      <c r="O851" t="s">
        <v>394</v>
      </c>
      <c r="P851" t="s">
        <v>2414</v>
      </c>
      <c r="Q851" t="s">
        <v>437</v>
      </c>
      <c r="R851" t="s">
        <v>3142</v>
      </c>
      <c r="V851">
        <v>-2.4</v>
      </c>
      <c r="W851" t="str">
        <f t="shared" si="32"/>
        <v>Y</v>
      </c>
      <c r="X851" t="s">
        <v>2041</v>
      </c>
      <c r="Z851" t="str">
        <f t="shared" si="33"/>
        <v>Y</v>
      </c>
      <c r="AA851" t="s">
        <v>2054</v>
      </c>
      <c r="AB851" t="s">
        <v>3117</v>
      </c>
      <c r="AC851" s="9" t="s">
        <v>3118</v>
      </c>
    </row>
    <row r="852" spans="2:29">
      <c r="B852" t="s">
        <v>393</v>
      </c>
      <c r="C852" t="s">
        <v>3112</v>
      </c>
      <c r="D852" t="s">
        <v>3113</v>
      </c>
      <c r="E852">
        <v>2018</v>
      </c>
      <c r="F852" t="s">
        <v>3209</v>
      </c>
      <c r="G852" t="s">
        <v>554</v>
      </c>
      <c r="H852" s="6">
        <v>44.3</v>
      </c>
      <c r="I852" s="6">
        <v>-67.06</v>
      </c>
      <c r="J852" s="6">
        <v>1995</v>
      </c>
      <c r="K852" s="6">
        <v>2014</v>
      </c>
      <c r="L852" s="6">
        <f t="shared" si="34"/>
        <v>20</v>
      </c>
      <c r="M852" t="s">
        <v>2036</v>
      </c>
      <c r="N852" t="s">
        <v>394</v>
      </c>
      <c r="O852" t="s">
        <v>394</v>
      </c>
      <c r="P852" t="s">
        <v>2414</v>
      </c>
      <c r="Q852" t="s">
        <v>437</v>
      </c>
      <c r="R852" t="s">
        <v>3137</v>
      </c>
      <c r="V852">
        <v>-0.1</v>
      </c>
      <c r="W852" t="str">
        <f t="shared" si="32"/>
        <v>Y</v>
      </c>
      <c r="X852" t="s">
        <v>2041</v>
      </c>
      <c r="Z852" t="str">
        <f t="shared" si="33"/>
        <v>Y</v>
      </c>
      <c r="AA852" t="s">
        <v>2054</v>
      </c>
      <c r="AB852" t="s">
        <v>3117</v>
      </c>
      <c r="AC852" s="9" t="s">
        <v>3118</v>
      </c>
    </row>
    <row r="853" spans="2:29">
      <c r="B853" t="s">
        <v>393</v>
      </c>
      <c r="C853" t="s">
        <v>3112</v>
      </c>
      <c r="D853" t="s">
        <v>3113</v>
      </c>
      <c r="E853">
        <v>2018</v>
      </c>
      <c r="F853" t="s">
        <v>3211</v>
      </c>
      <c r="G853" t="s">
        <v>554</v>
      </c>
      <c r="H853" s="6">
        <v>43.76</v>
      </c>
      <c r="I853" s="6">
        <v>-68.849999999999994</v>
      </c>
      <c r="J853" s="6">
        <v>1986</v>
      </c>
      <c r="K853" s="6">
        <v>2014</v>
      </c>
      <c r="L853" s="6">
        <f t="shared" si="34"/>
        <v>29</v>
      </c>
      <c r="M853" t="s">
        <v>2036</v>
      </c>
      <c r="N853" t="s">
        <v>394</v>
      </c>
      <c r="O853" t="s">
        <v>394</v>
      </c>
      <c r="P853" t="s">
        <v>3210</v>
      </c>
      <c r="Q853" t="s">
        <v>483</v>
      </c>
      <c r="R853" t="s">
        <v>3116</v>
      </c>
      <c r="V853">
        <v>0.5</v>
      </c>
      <c r="W853" t="str">
        <f t="shared" si="32"/>
        <v>N</v>
      </c>
      <c r="X853" t="s">
        <v>2041</v>
      </c>
      <c r="Z853" t="str">
        <f t="shared" si="33"/>
        <v>Y</v>
      </c>
      <c r="AA853" t="s">
        <v>2054</v>
      </c>
      <c r="AB853" t="s">
        <v>3117</v>
      </c>
      <c r="AC853" s="9" t="s">
        <v>3118</v>
      </c>
    </row>
    <row r="854" spans="2:29">
      <c r="B854" t="s">
        <v>393</v>
      </c>
      <c r="C854" t="s">
        <v>3112</v>
      </c>
      <c r="D854" t="s">
        <v>3113</v>
      </c>
      <c r="E854">
        <v>2018</v>
      </c>
      <c r="F854" t="s">
        <v>3212</v>
      </c>
      <c r="G854" t="s">
        <v>554</v>
      </c>
      <c r="H854" s="6">
        <v>75.83</v>
      </c>
      <c r="I854" s="6">
        <v>-96.31</v>
      </c>
      <c r="J854" s="6">
        <v>2007</v>
      </c>
      <c r="K854" s="6">
        <v>2011</v>
      </c>
      <c r="L854" s="6">
        <f t="shared" si="34"/>
        <v>5</v>
      </c>
      <c r="M854" t="s">
        <v>2036</v>
      </c>
      <c r="N854" t="s">
        <v>394</v>
      </c>
      <c r="O854" t="s">
        <v>394</v>
      </c>
      <c r="P854" t="s">
        <v>3210</v>
      </c>
      <c r="Q854" t="s">
        <v>483</v>
      </c>
      <c r="R854" t="s">
        <v>3142</v>
      </c>
      <c r="V854">
        <v>-11.200000000000001</v>
      </c>
      <c r="W854" t="str">
        <f t="shared" ref="W854:W917" si="35">IF(V854&lt;0,"Y","N")</f>
        <v>Y</v>
      </c>
      <c r="X854" t="s">
        <v>2058</v>
      </c>
      <c r="Z854" t="str">
        <f t="shared" si="33"/>
        <v>N</v>
      </c>
      <c r="AA854" t="s">
        <v>2054</v>
      </c>
      <c r="AB854" t="s">
        <v>3117</v>
      </c>
      <c r="AC854" s="9" t="s">
        <v>3118</v>
      </c>
    </row>
    <row r="855" spans="2:29">
      <c r="B855" t="s">
        <v>393</v>
      </c>
      <c r="C855" t="s">
        <v>3112</v>
      </c>
      <c r="D855" t="s">
        <v>3113</v>
      </c>
      <c r="E855">
        <v>2018</v>
      </c>
      <c r="F855" t="s">
        <v>3212</v>
      </c>
      <c r="G855" t="s">
        <v>554</v>
      </c>
      <c r="H855" s="6">
        <v>75.83</v>
      </c>
      <c r="I855" s="6">
        <v>-96.31</v>
      </c>
      <c r="J855" s="6">
        <v>2007</v>
      </c>
      <c r="K855" s="6">
        <v>2011</v>
      </c>
      <c r="L855" s="6">
        <f t="shared" si="34"/>
        <v>5</v>
      </c>
      <c r="M855" t="s">
        <v>2036</v>
      </c>
      <c r="N855" t="s">
        <v>394</v>
      </c>
      <c r="O855" t="s">
        <v>394</v>
      </c>
      <c r="P855" t="s">
        <v>3210</v>
      </c>
      <c r="Q855" t="s">
        <v>483</v>
      </c>
      <c r="R855" t="s">
        <v>3145</v>
      </c>
      <c r="V855">
        <v>-12.5</v>
      </c>
      <c r="W855" t="str">
        <f t="shared" si="35"/>
        <v>Y</v>
      </c>
      <c r="X855" t="s">
        <v>2058</v>
      </c>
      <c r="Z855" t="str">
        <f t="shared" si="33"/>
        <v>N</v>
      </c>
      <c r="AA855" t="s">
        <v>2054</v>
      </c>
      <c r="AB855" t="s">
        <v>3117</v>
      </c>
      <c r="AC855" s="9" t="s">
        <v>3118</v>
      </c>
    </row>
    <row r="856" spans="2:29">
      <c r="B856" t="s">
        <v>393</v>
      </c>
      <c r="C856" t="s">
        <v>3112</v>
      </c>
      <c r="D856" t="s">
        <v>3113</v>
      </c>
      <c r="E856">
        <v>2018</v>
      </c>
      <c r="F856" t="s">
        <v>3212</v>
      </c>
      <c r="G856" t="s">
        <v>554</v>
      </c>
      <c r="H856" s="6">
        <v>75.83</v>
      </c>
      <c r="I856" s="6">
        <v>-96.31</v>
      </c>
      <c r="J856" s="6">
        <v>2007</v>
      </c>
      <c r="K856" s="6">
        <v>2012</v>
      </c>
      <c r="L856" s="6">
        <f t="shared" si="34"/>
        <v>6</v>
      </c>
      <c r="M856" t="s">
        <v>2036</v>
      </c>
      <c r="N856" t="s">
        <v>394</v>
      </c>
      <c r="O856" t="s">
        <v>394</v>
      </c>
      <c r="P856" t="s">
        <v>3213</v>
      </c>
      <c r="Q856" t="s">
        <v>3214</v>
      </c>
      <c r="R856" t="s">
        <v>3116</v>
      </c>
      <c r="V856">
        <v>-2.6</v>
      </c>
      <c r="W856" t="str">
        <f t="shared" si="35"/>
        <v>Y</v>
      </c>
      <c r="X856" t="s">
        <v>2058</v>
      </c>
      <c r="Z856" t="str">
        <f t="shared" si="33"/>
        <v>N</v>
      </c>
      <c r="AA856" t="s">
        <v>2054</v>
      </c>
      <c r="AB856" t="s">
        <v>3117</v>
      </c>
      <c r="AC856" s="9" t="s">
        <v>3118</v>
      </c>
    </row>
    <row r="857" spans="2:29">
      <c r="B857" t="s">
        <v>393</v>
      </c>
      <c r="C857" t="s">
        <v>3112</v>
      </c>
      <c r="D857" t="s">
        <v>3113</v>
      </c>
      <c r="E857">
        <v>2018</v>
      </c>
      <c r="F857" t="s">
        <v>3212</v>
      </c>
      <c r="G857" t="s">
        <v>554</v>
      </c>
      <c r="H857" s="6">
        <v>75.83</v>
      </c>
      <c r="I857" s="6">
        <v>-96.31</v>
      </c>
      <c r="J857" s="6">
        <v>2007</v>
      </c>
      <c r="K857" s="6">
        <v>2012</v>
      </c>
      <c r="L857" s="6">
        <f t="shared" si="34"/>
        <v>6</v>
      </c>
      <c r="M857" t="s">
        <v>2036</v>
      </c>
      <c r="N857" t="s">
        <v>394</v>
      </c>
      <c r="O857" t="s">
        <v>394</v>
      </c>
      <c r="P857" t="s">
        <v>3213</v>
      </c>
      <c r="Q857" t="s">
        <v>3214</v>
      </c>
      <c r="R857" t="s">
        <v>3126</v>
      </c>
      <c r="V857">
        <v>2.3000000000000003</v>
      </c>
      <c r="W857" t="str">
        <f t="shared" si="35"/>
        <v>N</v>
      </c>
      <c r="X857" t="s">
        <v>2058</v>
      </c>
      <c r="Z857" t="str">
        <f t="shared" si="33"/>
        <v>N</v>
      </c>
      <c r="AA857" t="s">
        <v>2054</v>
      </c>
      <c r="AB857" t="s">
        <v>3117</v>
      </c>
      <c r="AC857" s="9" t="s">
        <v>3118</v>
      </c>
    </row>
    <row r="858" spans="2:29">
      <c r="B858" t="s">
        <v>393</v>
      </c>
      <c r="C858" t="s">
        <v>3112</v>
      </c>
      <c r="D858" t="s">
        <v>3113</v>
      </c>
      <c r="E858">
        <v>2018</v>
      </c>
      <c r="F858" t="s">
        <v>3212</v>
      </c>
      <c r="G858" t="s">
        <v>554</v>
      </c>
      <c r="H858" s="6">
        <v>75.83</v>
      </c>
      <c r="I858" s="6">
        <v>-96.31</v>
      </c>
      <c r="J858" s="6">
        <v>2007</v>
      </c>
      <c r="K858" s="6">
        <v>2012</v>
      </c>
      <c r="L858" s="6">
        <f t="shared" si="34"/>
        <v>6</v>
      </c>
      <c r="M858" t="s">
        <v>2036</v>
      </c>
      <c r="N858" t="s">
        <v>394</v>
      </c>
      <c r="O858" t="s">
        <v>394</v>
      </c>
      <c r="P858" t="s">
        <v>3213</v>
      </c>
      <c r="Q858" t="s">
        <v>3214</v>
      </c>
      <c r="R858" t="s">
        <v>3142</v>
      </c>
      <c r="V858">
        <v>-1.4000000000000001</v>
      </c>
      <c r="W858" t="str">
        <f t="shared" si="35"/>
        <v>Y</v>
      </c>
      <c r="X858" t="s">
        <v>2058</v>
      </c>
      <c r="Z858" t="str">
        <f t="shared" si="33"/>
        <v>N</v>
      </c>
      <c r="AA858" t="s">
        <v>2054</v>
      </c>
      <c r="AB858" t="s">
        <v>3117</v>
      </c>
      <c r="AC858" s="9" t="s">
        <v>3118</v>
      </c>
    </row>
    <row r="859" spans="2:29">
      <c r="B859" t="s">
        <v>393</v>
      </c>
      <c r="C859" t="s">
        <v>3112</v>
      </c>
      <c r="D859" t="s">
        <v>3113</v>
      </c>
      <c r="E859">
        <v>2018</v>
      </c>
      <c r="F859" t="s">
        <v>3212</v>
      </c>
      <c r="G859" t="s">
        <v>554</v>
      </c>
      <c r="H859" s="6">
        <v>75.83</v>
      </c>
      <c r="I859" s="6">
        <v>-96.31</v>
      </c>
      <c r="J859" s="6">
        <v>2007</v>
      </c>
      <c r="K859" s="6">
        <v>2012</v>
      </c>
      <c r="L859" s="6">
        <f t="shared" si="34"/>
        <v>6</v>
      </c>
      <c r="M859" t="s">
        <v>2036</v>
      </c>
      <c r="N859" t="s">
        <v>394</v>
      </c>
      <c r="O859" t="s">
        <v>394</v>
      </c>
      <c r="P859" t="s">
        <v>3213</v>
      </c>
      <c r="Q859" t="s">
        <v>3214</v>
      </c>
      <c r="R859" t="s">
        <v>3137</v>
      </c>
      <c r="V859">
        <v>6.5</v>
      </c>
      <c r="W859" t="str">
        <f t="shared" si="35"/>
        <v>N</v>
      </c>
      <c r="X859" t="s">
        <v>2058</v>
      </c>
      <c r="Z859" t="str">
        <f t="shared" si="33"/>
        <v>N</v>
      </c>
      <c r="AA859" t="s">
        <v>2054</v>
      </c>
      <c r="AB859" t="s">
        <v>3117</v>
      </c>
      <c r="AC859" s="9" t="s">
        <v>3118</v>
      </c>
    </row>
    <row r="860" spans="2:29">
      <c r="B860" t="s">
        <v>393</v>
      </c>
      <c r="C860" t="s">
        <v>3112</v>
      </c>
      <c r="D860" t="s">
        <v>3113</v>
      </c>
      <c r="E860">
        <v>2018</v>
      </c>
      <c r="F860" t="s">
        <v>3212</v>
      </c>
      <c r="G860" t="s">
        <v>554</v>
      </c>
      <c r="H860" s="6">
        <v>75.83</v>
      </c>
      <c r="I860" s="6">
        <v>-96.31</v>
      </c>
      <c r="J860" s="6">
        <v>2007</v>
      </c>
      <c r="K860" s="6">
        <v>2012</v>
      </c>
      <c r="L860" s="6">
        <f t="shared" si="34"/>
        <v>6</v>
      </c>
      <c r="M860" t="s">
        <v>2036</v>
      </c>
      <c r="N860" t="s">
        <v>394</v>
      </c>
      <c r="O860" t="s">
        <v>394</v>
      </c>
      <c r="P860" t="s">
        <v>3213</v>
      </c>
      <c r="Q860" t="s">
        <v>3214</v>
      </c>
      <c r="R860" t="s">
        <v>3145</v>
      </c>
      <c r="V860">
        <v>1</v>
      </c>
      <c r="W860" t="str">
        <f t="shared" si="35"/>
        <v>N</v>
      </c>
      <c r="X860" t="s">
        <v>2058</v>
      </c>
      <c r="Z860" t="str">
        <f t="shared" si="33"/>
        <v>N</v>
      </c>
      <c r="AA860" t="s">
        <v>2054</v>
      </c>
      <c r="AB860" t="s">
        <v>3117</v>
      </c>
      <c r="AC860" s="9" t="s">
        <v>3118</v>
      </c>
    </row>
    <row r="861" spans="2:29">
      <c r="B861" t="s">
        <v>393</v>
      </c>
      <c r="C861" t="s">
        <v>3112</v>
      </c>
      <c r="D861" t="s">
        <v>3113</v>
      </c>
      <c r="E861">
        <v>2018</v>
      </c>
      <c r="F861" t="s">
        <v>3215</v>
      </c>
      <c r="G861" t="s">
        <v>505</v>
      </c>
      <c r="H861" s="6">
        <v>-51.43</v>
      </c>
      <c r="I861" s="6">
        <v>-61.17</v>
      </c>
      <c r="J861" s="6">
        <v>2003</v>
      </c>
      <c r="K861" s="6">
        <v>2015</v>
      </c>
      <c r="L861" s="6">
        <f t="shared" si="34"/>
        <v>13</v>
      </c>
      <c r="M861" t="s">
        <v>2036</v>
      </c>
      <c r="N861" t="s">
        <v>394</v>
      </c>
      <c r="O861" t="s">
        <v>394</v>
      </c>
      <c r="P861" t="s">
        <v>3152</v>
      </c>
      <c r="Q861" t="s">
        <v>424</v>
      </c>
      <c r="R861" t="s">
        <v>3137</v>
      </c>
      <c r="V861">
        <v>0.1</v>
      </c>
      <c r="W861" t="str">
        <f t="shared" si="35"/>
        <v>N</v>
      </c>
      <c r="X861" t="s">
        <v>2058</v>
      </c>
      <c r="Z861" t="str">
        <f t="shared" si="33"/>
        <v>N</v>
      </c>
      <c r="AA861" t="s">
        <v>2054</v>
      </c>
      <c r="AB861" t="s">
        <v>3117</v>
      </c>
      <c r="AC861" s="9" t="s">
        <v>3118</v>
      </c>
    </row>
    <row r="862" spans="2:29">
      <c r="B862" t="s">
        <v>393</v>
      </c>
      <c r="C862" t="s">
        <v>3112</v>
      </c>
      <c r="D862" t="s">
        <v>3113</v>
      </c>
      <c r="E862">
        <v>2018</v>
      </c>
      <c r="F862" t="s">
        <v>3215</v>
      </c>
      <c r="G862" t="s">
        <v>505</v>
      </c>
      <c r="H862" s="6">
        <v>-51.71</v>
      </c>
      <c r="I862" s="6">
        <v>-61.31</v>
      </c>
      <c r="J862" s="6">
        <v>2006</v>
      </c>
      <c r="K862" s="6">
        <v>2013</v>
      </c>
      <c r="L862" s="6">
        <f t="shared" si="34"/>
        <v>8</v>
      </c>
      <c r="M862" t="s">
        <v>2036</v>
      </c>
      <c r="N862" t="s">
        <v>394</v>
      </c>
      <c r="O862" t="s">
        <v>394</v>
      </c>
      <c r="P862" t="s">
        <v>3216</v>
      </c>
      <c r="Q862" t="s">
        <v>3217</v>
      </c>
      <c r="R862" t="s">
        <v>3142</v>
      </c>
      <c r="V862">
        <v>1.4000000000000001</v>
      </c>
      <c r="W862" t="str">
        <f t="shared" si="35"/>
        <v>N</v>
      </c>
      <c r="X862" t="s">
        <v>2058</v>
      </c>
      <c r="Z862" t="str">
        <f t="shared" si="33"/>
        <v>N</v>
      </c>
      <c r="AA862" t="s">
        <v>2054</v>
      </c>
      <c r="AB862" t="s">
        <v>3117</v>
      </c>
      <c r="AC862" s="9" t="s">
        <v>3118</v>
      </c>
    </row>
    <row r="863" spans="2:29">
      <c r="B863" t="s">
        <v>393</v>
      </c>
      <c r="C863" t="s">
        <v>3112</v>
      </c>
      <c r="D863" t="s">
        <v>3113</v>
      </c>
      <c r="E863">
        <v>2018</v>
      </c>
      <c r="F863" t="s">
        <v>3215</v>
      </c>
      <c r="G863" t="s">
        <v>505</v>
      </c>
      <c r="H863" s="6">
        <v>-51.71</v>
      </c>
      <c r="I863" s="6">
        <v>-61.31</v>
      </c>
      <c r="J863" s="6">
        <v>2006</v>
      </c>
      <c r="K863" s="6">
        <v>2013</v>
      </c>
      <c r="L863" s="6">
        <f t="shared" si="34"/>
        <v>8</v>
      </c>
      <c r="M863" t="s">
        <v>2036</v>
      </c>
      <c r="N863" t="s">
        <v>394</v>
      </c>
      <c r="O863" t="s">
        <v>394</v>
      </c>
      <c r="P863" t="s">
        <v>3216</v>
      </c>
      <c r="Q863" t="s">
        <v>3217</v>
      </c>
      <c r="R863" t="s">
        <v>3145</v>
      </c>
      <c r="V863">
        <v>2.9</v>
      </c>
      <c r="W863" t="str">
        <f t="shared" si="35"/>
        <v>N</v>
      </c>
      <c r="X863" t="s">
        <v>2058</v>
      </c>
      <c r="Z863" t="str">
        <f t="shared" si="33"/>
        <v>N</v>
      </c>
      <c r="AA863" t="s">
        <v>2054</v>
      </c>
      <c r="AB863" t="s">
        <v>3117</v>
      </c>
      <c r="AC863" s="9" t="s">
        <v>3118</v>
      </c>
    </row>
    <row r="864" spans="2:29">
      <c r="B864" t="s">
        <v>393</v>
      </c>
      <c r="C864" t="s">
        <v>3112</v>
      </c>
      <c r="D864" t="s">
        <v>3113</v>
      </c>
      <c r="E864">
        <v>2018</v>
      </c>
      <c r="F864" t="s">
        <v>3218</v>
      </c>
      <c r="G864" t="s">
        <v>505</v>
      </c>
      <c r="H864" s="6">
        <v>-45.11</v>
      </c>
      <c r="I864" s="6">
        <v>170.98</v>
      </c>
      <c r="J864" s="6">
        <v>1994</v>
      </c>
      <c r="K864" s="6">
        <v>2015</v>
      </c>
      <c r="L864" s="6">
        <f t="shared" si="34"/>
        <v>22</v>
      </c>
      <c r="M864" t="s">
        <v>2036</v>
      </c>
      <c r="N864" t="s">
        <v>394</v>
      </c>
      <c r="O864" t="s">
        <v>394</v>
      </c>
      <c r="P864" t="s">
        <v>3219</v>
      </c>
      <c r="Q864" t="s">
        <v>2288</v>
      </c>
      <c r="R864" t="s">
        <v>3145</v>
      </c>
      <c r="V864">
        <v>0.70000000000000007</v>
      </c>
      <c r="W864" t="str">
        <f t="shared" si="35"/>
        <v>N</v>
      </c>
      <c r="X864" t="s">
        <v>2041</v>
      </c>
      <c r="Z864" t="str">
        <f t="shared" si="33"/>
        <v>Y</v>
      </c>
      <c r="AA864" t="s">
        <v>2054</v>
      </c>
      <c r="AB864" t="s">
        <v>3117</v>
      </c>
      <c r="AC864" s="9" t="s">
        <v>3118</v>
      </c>
    </row>
    <row r="865" spans="2:29">
      <c r="B865" t="s">
        <v>393</v>
      </c>
      <c r="C865" t="s">
        <v>3112</v>
      </c>
      <c r="D865" t="s">
        <v>3113</v>
      </c>
      <c r="E865">
        <v>2018</v>
      </c>
      <c r="F865" t="s">
        <v>3220</v>
      </c>
      <c r="G865" t="s">
        <v>554</v>
      </c>
      <c r="H865" s="6">
        <v>39.340000000000003</v>
      </c>
      <c r="I865" s="6">
        <v>2.2000000000000002</v>
      </c>
      <c r="J865" s="6">
        <v>2001</v>
      </c>
      <c r="K865" s="6">
        <v>2015</v>
      </c>
      <c r="L865" s="6">
        <f t="shared" si="34"/>
        <v>15</v>
      </c>
      <c r="M865" t="s">
        <v>2036</v>
      </c>
      <c r="N865" t="s">
        <v>394</v>
      </c>
      <c r="O865" t="s">
        <v>394</v>
      </c>
      <c r="P865" t="s">
        <v>3221</v>
      </c>
      <c r="Q865" t="s">
        <v>3222</v>
      </c>
      <c r="R865" t="s">
        <v>3145</v>
      </c>
      <c r="V865">
        <v>1</v>
      </c>
      <c r="W865" t="str">
        <f t="shared" si="35"/>
        <v>N</v>
      </c>
      <c r="X865" t="s">
        <v>2058</v>
      </c>
      <c r="Z865" t="str">
        <f t="shared" si="33"/>
        <v>N</v>
      </c>
      <c r="AA865" t="s">
        <v>2054</v>
      </c>
      <c r="AB865" t="s">
        <v>3117</v>
      </c>
      <c r="AC865" s="9" t="s">
        <v>3118</v>
      </c>
    </row>
    <row r="866" spans="2:29">
      <c r="B866" t="s">
        <v>393</v>
      </c>
      <c r="C866" t="s">
        <v>3112</v>
      </c>
      <c r="D866" t="s">
        <v>3113</v>
      </c>
      <c r="E866">
        <v>2018</v>
      </c>
      <c r="F866" t="s">
        <v>3223</v>
      </c>
      <c r="G866" t="s">
        <v>505</v>
      </c>
      <c r="H866" s="6">
        <v>-28.95</v>
      </c>
      <c r="I866" s="6">
        <v>113.97</v>
      </c>
      <c r="J866" s="6">
        <v>1993</v>
      </c>
      <c r="K866" s="6">
        <v>2015</v>
      </c>
      <c r="L866" s="6">
        <f t="shared" si="34"/>
        <v>23</v>
      </c>
      <c r="M866" t="s">
        <v>2036</v>
      </c>
      <c r="N866" t="s">
        <v>394</v>
      </c>
      <c r="O866" t="s">
        <v>394</v>
      </c>
      <c r="P866" t="s">
        <v>3224</v>
      </c>
      <c r="Q866" t="s">
        <v>3225</v>
      </c>
      <c r="R866" t="s">
        <v>3142</v>
      </c>
      <c r="V866">
        <v>12.8</v>
      </c>
      <c r="W866" t="str">
        <f t="shared" si="35"/>
        <v>N</v>
      </c>
      <c r="X866" t="s">
        <v>2041</v>
      </c>
      <c r="Z866" t="str">
        <f t="shared" si="33"/>
        <v>Y</v>
      </c>
      <c r="AA866" t="s">
        <v>2054</v>
      </c>
      <c r="AB866" t="s">
        <v>3117</v>
      </c>
      <c r="AC866" s="9" t="s">
        <v>3118</v>
      </c>
    </row>
    <row r="867" spans="2:29">
      <c r="B867" t="s">
        <v>393</v>
      </c>
      <c r="C867" t="s">
        <v>3112</v>
      </c>
      <c r="D867" t="s">
        <v>3113</v>
      </c>
      <c r="E867">
        <v>2018</v>
      </c>
      <c r="F867" t="s">
        <v>3223</v>
      </c>
      <c r="G867" t="s">
        <v>505</v>
      </c>
      <c r="H867" s="6">
        <v>-28.95</v>
      </c>
      <c r="I867" s="6">
        <v>113.97</v>
      </c>
      <c r="J867" s="6">
        <v>1991</v>
      </c>
      <c r="K867" s="6">
        <v>2015</v>
      </c>
      <c r="L867" s="6">
        <f t="shared" si="34"/>
        <v>25</v>
      </c>
      <c r="M867" t="s">
        <v>2036</v>
      </c>
      <c r="N867" t="s">
        <v>394</v>
      </c>
      <c r="O867" t="s">
        <v>394</v>
      </c>
      <c r="P867" t="s">
        <v>3226</v>
      </c>
      <c r="Q867" t="s">
        <v>3227</v>
      </c>
      <c r="R867" t="s">
        <v>3142</v>
      </c>
      <c r="V867">
        <v>14.9</v>
      </c>
      <c r="W867" t="str">
        <f t="shared" si="35"/>
        <v>N</v>
      </c>
      <c r="X867" t="s">
        <v>2041</v>
      </c>
      <c r="Z867" t="str">
        <f t="shared" si="33"/>
        <v>Y</v>
      </c>
      <c r="AA867" t="s">
        <v>2054</v>
      </c>
      <c r="AB867" t="s">
        <v>3117</v>
      </c>
      <c r="AC867" s="9" t="s">
        <v>3118</v>
      </c>
    </row>
    <row r="868" spans="2:29">
      <c r="B868" t="s">
        <v>393</v>
      </c>
      <c r="C868" t="s">
        <v>3112</v>
      </c>
      <c r="D868" t="s">
        <v>3113</v>
      </c>
      <c r="E868">
        <v>2018</v>
      </c>
      <c r="F868" t="s">
        <v>3228</v>
      </c>
      <c r="G868" t="s">
        <v>554</v>
      </c>
      <c r="H868" s="6">
        <v>41.45</v>
      </c>
      <c r="I868" s="6">
        <v>-70.92</v>
      </c>
      <c r="J868" s="6">
        <v>2003</v>
      </c>
      <c r="K868" s="6">
        <v>2015</v>
      </c>
      <c r="L868" s="6">
        <f t="shared" si="34"/>
        <v>13</v>
      </c>
      <c r="M868" t="s">
        <v>2036</v>
      </c>
      <c r="N868" t="s">
        <v>394</v>
      </c>
      <c r="O868" t="s">
        <v>394</v>
      </c>
      <c r="P868" t="s">
        <v>3144</v>
      </c>
      <c r="Q868" t="s">
        <v>459</v>
      </c>
      <c r="R868" t="s">
        <v>3145</v>
      </c>
      <c r="V868">
        <v>-6.2</v>
      </c>
      <c r="W868" t="str">
        <f t="shared" si="35"/>
        <v>Y</v>
      </c>
      <c r="X868" t="s">
        <v>2058</v>
      </c>
      <c r="Z868" t="str">
        <f t="shared" si="33"/>
        <v>N</v>
      </c>
      <c r="AA868" t="s">
        <v>2054</v>
      </c>
      <c r="AB868" t="s">
        <v>3117</v>
      </c>
      <c r="AC868" s="9" t="s">
        <v>3118</v>
      </c>
    </row>
    <row r="869" spans="2:29">
      <c r="B869" t="s">
        <v>393</v>
      </c>
      <c r="C869" t="s">
        <v>3112</v>
      </c>
      <c r="D869" t="s">
        <v>3113</v>
      </c>
      <c r="E869">
        <v>2018</v>
      </c>
      <c r="F869" t="s">
        <v>3228</v>
      </c>
      <c r="G869" t="s">
        <v>554</v>
      </c>
      <c r="H869" s="6">
        <v>41.45</v>
      </c>
      <c r="I869" s="6">
        <v>-70.92</v>
      </c>
      <c r="J869" s="6">
        <v>2002</v>
      </c>
      <c r="K869" s="6">
        <v>2015</v>
      </c>
      <c r="L869" s="6">
        <f t="shared" si="34"/>
        <v>14</v>
      </c>
      <c r="M869" t="s">
        <v>2036</v>
      </c>
      <c r="N869" t="s">
        <v>394</v>
      </c>
      <c r="O869" t="s">
        <v>394</v>
      </c>
      <c r="P869" t="s">
        <v>3141</v>
      </c>
      <c r="Q869" t="s">
        <v>538</v>
      </c>
      <c r="R869" t="s">
        <v>3145</v>
      </c>
      <c r="V869">
        <v>1.2</v>
      </c>
      <c r="W869" t="str">
        <f t="shared" si="35"/>
        <v>N</v>
      </c>
      <c r="X869" t="s">
        <v>2058</v>
      </c>
      <c r="Z869" t="str">
        <f t="shared" si="33"/>
        <v>N</v>
      </c>
      <c r="AA869" t="s">
        <v>2054</v>
      </c>
      <c r="AB869" t="s">
        <v>3117</v>
      </c>
      <c r="AC869" s="9" t="s">
        <v>3118</v>
      </c>
    </row>
    <row r="870" spans="2:29">
      <c r="B870" t="s">
        <v>393</v>
      </c>
      <c r="C870" t="s">
        <v>3112</v>
      </c>
      <c r="D870" t="s">
        <v>3113</v>
      </c>
      <c r="E870">
        <v>2018</v>
      </c>
      <c r="F870" t="s">
        <v>3229</v>
      </c>
      <c r="G870" t="s">
        <v>505</v>
      </c>
      <c r="H870" s="6">
        <v>-38.479999999999997</v>
      </c>
      <c r="I870" s="6">
        <v>145.22999999999999</v>
      </c>
      <c r="J870" s="6">
        <v>2000</v>
      </c>
      <c r="K870" s="6">
        <v>2016</v>
      </c>
      <c r="L870" s="6">
        <f t="shared" si="34"/>
        <v>17</v>
      </c>
      <c r="M870" t="s">
        <v>2036</v>
      </c>
      <c r="N870" t="s">
        <v>394</v>
      </c>
      <c r="O870" t="s">
        <v>394</v>
      </c>
      <c r="P870" t="s">
        <v>3219</v>
      </c>
      <c r="Q870" t="s">
        <v>2288</v>
      </c>
      <c r="R870" t="s">
        <v>3142</v>
      </c>
      <c r="V870">
        <v>-47.599999999999994</v>
      </c>
      <c r="W870" t="str">
        <f t="shared" si="35"/>
        <v>Y</v>
      </c>
      <c r="X870" t="s">
        <v>2058</v>
      </c>
      <c r="Z870" t="str">
        <f t="shared" si="33"/>
        <v>N</v>
      </c>
      <c r="AA870" t="s">
        <v>2054</v>
      </c>
      <c r="AB870" t="s">
        <v>3117</v>
      </c>
      <c r="AC870" s="9" t="s">
        <v>3118</v>
      </c>
    </row>
    <row r="871" spans="2:29">
      <c r="B871" t="s">
        <v>393</v>
      </c>
      <c r="C871" t="s">
        <v>3112</v>
      </c>
      <c r="D871" t="s">
        <v>3113</v>
      </c>
      <c r="E871">
        <v>2018</v>
      </c>
      <c r="F871" t="s">
        <v>3230</v>
      </c>
      <c r="G871" t="s">
        <v>505</v>
      </c>
      <c r="H871" s="6">
        <v>-38.159999999999997</v>
      </c>
      <c r="I871" s="6">
        <v>144.41</v>
      </c>
      <c r="J871" s="6">
        <v>1984</v>
      </c>
      <c r="K871" s="6">
        <v>2007</v>
      </c>
      <c r="L871" s="6">
        <f t="shared" si="34"/>
        <v>24</v>
      </c>
      <c r="M871" t="s">
        <v>2036</v>
      </c>
      <c r="N871" t="s">
        <v>394</v>
      </c>
      <c r="O871" t="s">
        <v>394</v>
      </c>
      <c r="P871" t="s">
        <v>3231</v>
      </c>
      <c r="Q871" t="s">
        <v>3232</v>
      </c>
      <c r="R871" t="s">
        <v>3145</v>
      </c>
      <c r="V871">
        <v>-7.1999999999999993</v>
      </c>
      <c r="W871" t="str">
        <f t="shared" si="35"/>
        <v>Y</v>
      </c>
      <c r="X871" t="s">
        <v>2041</v>
      </c>
      <c r="Z871" t="str">
        <f t="shared" si="33"/>
        <v>Y</v>
      </c>
      <c r="AA871" t="s">
        <v>2054</v>
      </c>
      <c r="AB871" t="s">
        <v>3117</v>
      </c>
      <c r="AC871" s="9" t="s">
        <v>3118</v>
      </c>
    </row>
    <row r="872" spans="2:29">
      <c r="B872" t="s">
        <v>393</v>
      </c>
      <c r="C872" t="s">
        <v>3112</v>
      </c>
      <c r="D872" t="s">
        <v>3113</v>
      </c>
      <c r="E872">
        <v>2018</v>
      </c>
      <c r="F872" t="s">
        <v>3233</v>
      </c>
      <c r="G872" t="s">
        <v>554</v>
      </c>
      <c r="H872" s="6">
        <v>74.010000000000005</v>
      </c>
      <c r="I872" s="6">
        <v>-89.94</v>
      </c>
      <c r="J872" s="6">
        <v>2000</v>
      </c>
      <c r="K872" s="6">
        <v>2014</v>
      </c>
      <c r="L872" s="6">
        <f t="shared" si="34"/>
        <v>15</v>
      </c>
      <c r="M872" t="s">
        <v>2036</v>
      </c>
      <c r="N872" t="s">
        <v>394</v>
      </c>
      <c r="O872" t="s">
        <v>394</v>
      </c>
      <c r="P872" t="s">
        <v>2293</v>
      </c>
      <c r="Q872" t="s">
        <v>465</v>
      </c>
      <c r="R872" t="s">
        <v>3137</v>
      </c>
      <c r="V872">
        <v>-2.5</v>
      </c>
      <c r="W872" t="str">
        <f t="shared" si="35"/>
        <v>Y</v>
      </c>
      <c r="X872" t="s">
        <v>2058</v>
      </c>
      <c r="Z872" t="str">
        <f t="shared" si="33"/>
        <v>N</v>
      </c>
      <c r="AA872" t="s">
        <v>2054</v>
      </c>
      <c r="AB872" t="s">
        <v>3117</v>
      </c>
      <c r="AC872" s="9" t="s">
        <v>3118</v>
      </c>
    </row>
    <row r="873" spans="2:29">
      <c r="B873" t="s">
        <v>393</v>
      </c>
      <c r="C873" t="s">
        <v>3112</v>
      </c>
      <c r="D873" t="s">
        <v>3113</v>
      </c>
      <c r="E873">
        <v>2018</v>
      </c>
      <c r="F873" t="s">
        <v>3233</v>
      </c>
      <c r="G873" t="s">
        <v>554</v>
      </c>
      <c r="H873" s="6">
        <v>74.010000000000005</v>
      </c>
      <c r="I873" s="6">
        <v>-89.94</v>
      </c>
      <c r="J873" s="6">
        <v>2000</v>
      </c>
      <c r="K873" s="6">
        <v>2010</v>
      </c>
      <c r="L873" s="6">
        <f t="shared" si="34"/>
        <v>11</v>
      </c>
      <c r="M873" t="s">
        <v>2036</v>
      </c>
      <c r="N873" t="s">
        <v>394</v>
      </c>
      <c r="O873" t="s">
        <v>394</v>
      </c>
      <c r="P873" t="s">
        <v>3179</v>
      </c>
      <c r="Q873" t="s">
        <v>443</v>
      </c>
      <c r="R873" t="s">
        <v>3137</v>
      </c>
      <c r="V873">
        <v>1.5</v>
      </c>
      <c r="W873" t="str">
        <f t="shared" si="35"/>
        <v>N</v>
      </c>
      <c r="X873" t="s">
        <v>2058</v>
      </c>
      <c r="Z873" t="str">
        <f t="shared" si="33"/>
        <v>N</v>
      </c>
      <c r="AA873" t="s">
        <v>2054</v>
      </c>
      <c r="AB873" t="s">
        <v>3117</v>
      </c>
      <c r="AC873" s="9" t="s">
        <v>3118</v>
      </c>
    </row>
    <row r="874" spans="2:29">
      <c r="B874" t="s">
        <v>393</v>
      </c>
      <c r="C874" t="s">
        <v>3112</v>
      </c>
      <c r="D874" t="s">
        <v>3113</v>
      </c>
      <c r="E874">
        <v>2018</v>
      </c>
      <c r="F874" t="s">
        <v>3233</v>
      </c>
      <c r="G874" t="s">
        <v>554</v>
      </c>
      <c r="H874" s="6">
        <v>74.010000000000005</v>
      </c>
      <c r="I874" s="6">
        <v>-89.94</v>
      </c>
      <c r="J874" s="6">
        <v>1975</v>
      </c>
      <c r="K874" s="6">
        <v>2014</v>
      </c>
      <c r="L874" s="6">
        <f t="shared" si="34"/>
        <v>40</v>
      </c>
      <c r="M874" t="s">
        <v>2036</v>
      </c>
      <c r="N874" t="s">
        <v>394</v>
      </c>
      <c r="O874" t="s">
        <v>394</v>
      </c>
      <c r="P874" t="s">
        <v>2371</v>
      </c>
      <c r="Q874" t="s">
        <v>469</v>
      </c>
      <c r="R874" t="s">
        <v>3137</v>
      </c>
      <c r="V874">
        <v>-0.8</v>
      </c>
      <c r="W874" t="str">
        <f t="shared" si="35"/>
        <v>Y</v>
      </c>
      <c r="X874" t="s">
        <v>2041</v>
      </c>
      <c r="Z874" t="str">
        <f t="shared" si="33"/>
        <v>Y</v>
      </c>
      <c r="AA874" t="s">
        <v>2054</v>
      </c>
      <c r="AB874" t="s">
        <v>3117</v>
      </c>
      <c r="AC874" s="9" t="s">
        <v>3118</v>
      </c>
    </row>
    <row r="875" spans="2:29">
      <c r="B875" t="s">
        <v>393</v>
      </c>
      <c r="C875" t="s">
        <v>3112</v>
      </c>
      <c r="D875" t="s">
        <v>3113</v>
      </c>
      <c r="E875">
        <v>2018</v>
      </c>
      <c r="F875" t="s">
        <v>3234</v>
      </c>
      <c r="G875" t="s">
        <v>505</v>
      </c>
      <c r="H875" s="6">
        <v>-43.06</v>
      </c>
      <c r="I875" s="6">
        <v>-64.459999999999994</v>
      </c>
      <c r="J875" s="6">
        <v>2004</v>
      </c>
      <c r="K875" s="6">
        <v>2015</v>
      </c>
      <c r="L875" s="6">
        <f t="shared" si="34"/>
        <v>12</v>
      </c>
      <c r="M875" t="s">
        <v>2036</v>
      </c>
      <c r="N875" t="s">
        <v>394</v>
      </c>
      <c r="O875" t="s">
        <v>394</v>
      </c>
      <c r="P875" t="s">
        <v>3235</v>
      </c>
      <c r="Q875" t="s">
        <v>3236</v>
      </c>
      <c r="R875" t="s">
        <v>3145</v>
      </c>
      <c r="V875">
        <v>-5.4</v>
      </c>
      <c r="W875" t="str">
        <f t="shared" si="35"/>
        <v>Y</v>
      </c>
      <c r="X875" t="s">
        <v>2058</v>
      </c>
      <c r="Z875" t="str">
        <f t="shared" si="33"/>
        <v>N</v>
      </c>
      <c r="AA875" t="s">
        <v>2054</v>
      </c>
      <c r="AB875" t="s">
        <v>3117</v>
      </c>
      <c r="AC875" s="9" t="s">
        <v>3118</v>
      </c>
    </row>
    <row r="876" spans="2:29">
      <c r="B876" t="s">
        <v>393</v>
      </c>
      <c r="C876" t="s">
        <v>3112</v>
      </c>
      <c r="D876" t="s">
        <v>3113</v>
      </c>
      <c r="E876">
        <v>2018</v>
      </c>
      <c r="F876" t="s">
        <v>3237</v>
      </c>
      <c r="G876" t="s">
        <v>554</v>
      </c>
      <c r="H876" s="6">
        <v>41.62</v>
      </c>
      <c r="I876" s="6">
        <v>-70.8</v>
      </c>
      <c r="J876" s="6">
        <v>1999</v>
      </c>
      <c r="K876" s="6">
        <v>2015</v>
      </c>
      <c r="L876" s="6">
        <f t="shared" si="34"/>
        <v>17</v>
      </c>
      <c r="M876" t="s">
        <v>2036</v>
      </c>
      <c r="N876" t="s">
        <v>394</v>
      </c>
      <c r="O876" t="s">
        <v>394</v>
      </c>
      <c r="P876" t="s">
        <v>3144</v>
      </c>
      <c r="Q876" t="s">
        <v>459</v>
      </c>
      <c r="R876" t="s">
        <v>3145</v>
      </c>
      <c r="V876">
        <v>-5.5</v>
      </c>
      <c r="W876" t="str">
        <f t="shared" si="35"/>
        <v>Y</v>
      </c>
      <c r="X876" t="s">
        <v>2058</v>
      </c>
      <c r="Z876" t="str">
        <f t="shared" si="33"/>
        <v>N</v>
      </c>
      <c r="AA876" t="s">
        <v>2054</v>
      </c>
      <c r="AB876" t="s">
        <v>3117</v>
      </c>
      <c r="AC876" s="9" t="s">
        <v>3118</v>
      </c>
    </row>
    <row r="877" spans="2:29">
      <c r="B877" t="s">
        <v>393</v>
      </c>
      <c r="C877" t="s">
        <v>3112</v>
      </c>
      <c r="D877" t="s">
        <v>3113</v>
      </c>
      <c r="E877">
        <v>2018</v>
      </c>
      <c r="F877" t="s">
        <v>3237</v>
      </c>
      <c r="G877" t="s">
        <v>554</v>
      </c>
      <c r="H877" s="6">
        <v>41.62</v>
      </c>
      <c r="I877" s="6">
        <v>-70.8</v>
      </c>
      <c r="J877" s="6">
        <v>1999</v>
      </c>
      <c r="K877" s="6">
        <v>2015</v>
      </c>
      <c r="L877" s="6">
        <f t="shared" si="34"/>
        <v>17</v>
      </c>
      <c r="M877" t="s">
        <v>2036</v>
      </c>
      <c r="N877" t="s">
        <v>394</v>
      </c>
      <c r="O877" t="s">
        <v>394</v>
      </c>
      <c r="P877" t="s">
        <v>3141</v>
      </c>
      <c r="Q877" t="s">
        <v>538</v>
      </c>
      <c r="R877" t="s">
        <v>3145</v>
      </c>
      <c r="V877">
        <v>-6.1</v>
      </c>
      <c r="W877" t="str">
        <f t="shared" si="35"/>
        <v>Y</v>
      </c>
      <c r="X877" t="s">
        <v>2058</v>
      </c>
      <c r="Z877" t="str">
        <f t="shared" si="33"/>
        <v>N</v>
      </c>
      <c r="AA877" t="s">
        <v>2054</v>
      </c>
      <c r="AB877" t="s">
        <v>3117</v>
      </c>
      <c r="AC877" s="9" t="s">
        <v>3118</v>
      </c>
    </row>
    <row r="878" spans="2:29">
      <c r="B878" t="s">
        <v>393</v>
      </c>
      <c r="C878" t="s">
        <v>3112</v>
      </c>
      <c r="D878" t="s">
        <v>3113</v>
      </c>
      <c r="E878">
        <v>2018</v>
      </c>
      <c r="F878" t="s">
        <v>3238</v>
      </c>
      <c r="G878" t="s">
        <v>554</v>
      </c>
      <c r="H878" s="6">
        <v>52.868000000000002</v>
      </c>
      <c r="I878" s="6">
        <v>-131.51300000000001</v>
      </c>
      <c r="J878" s="6">
        <v>1984</v>
      </c>
      <c r="K878" s="6">
        <v>1999</v>
      </c>
      <c r="L878" s="6">
        <f t="shared" si="34"/>
        <v>16</v>
      </c>
      <c r="M878" t="s">
        <v>2036</v>
      </c>
      <c r="N878" t="s">
        <v>394</v>
      </c>
      <c r="O878" t="s">
        <v>394</v>
      </c>
      <c r="P878" t="s">
        <v>3125</v>
      </c>
      <c r="Q878" t="s">
        <v>2093</v>
      </c>
      <c r="R878" t="s">
        <v>3137</v>
      </c>
      <c r="V878">
        <v>-3.3000000000000003</v>
      </c>
      <c r="W878" t="str">
        <f t="shared" si="35"/>
        <v>Y</v>
      </c>
      <c r="X878" t="s">
        <v>2058</v>
      </c>
      <c r="Z878" t="str">
        <f t="shared" si="33"/>
        <v>N</v>
      </c>
      <c r="AA878" t="s">
        <v>2054</v>
      </c>
      <c r="AB878" t="s">
        <v>3117</v>
      </c>
      <c r="AC878" s="9" t="s">
        <v>3118</v>
      </c>
    </row>
    <row r="879" spans="2:29">
      <c r="B879" t="s">
        <v>393</v>
      </c>
      <c r="C879" t="s">
        <v>3112</v>
      </c>
      <c r="D879" t="s">
        <v>3113</v>
      </c>
      <c r="E879">
        <v>2018</v>
      </c>
      <c r="F879" t="s">
        <v>3239</v>
      </c>
      <c r="G879" t="s">
        <v>554</v>
      </c>
      <c r="H879" s="6">
        <v>54.4</v>
      </c>
      <c r="I879" s="6">
        <v>-4.7</v>
      </c>
      <c r="J879" s="6">
        <v>1976</v>
      </c>
      <c r="K879" s="6">
        <v>2007</v>
      </c>
      <c r="L879" s="6">
        <f t="shared" si="34"/>
        <v>32</v>
      </c>
      <c r="M879" t="s">
        <v>2036</v>
      </c>
      <c r="N879" t="s">
        <v>394</v>
      </c>
      <c r="O879" t="s">
        <v>394</v>
      </c>
      <c r="P879" t="s">
        <v>3136</v>
      </c>
      <c r="Q879" t="s">
        <v>2939</v>
      </c>
      <c r="R879" t="s">
        <v>3137</v>
      </c>
      <c r="V879">
        <v>5.2</v>
      </c>
      <c r="W879" t="str">
        <f t="shared" si="35"/>
        <v>N</v>
      </c>
      <c r="X879" t="s">
        <v>2041</v>
      </c>
      <c r="Z879" t="str">
        <f t="shared" si="33"/>
        <v>Y</v>
      </c>
      <c r="AA879" t="s">
        <v>2054</v>
      </c>
      <c r="AB879" t="s">
        <v>3117</v>
      </c>
      <c r="AC879" s="9" t="s">
        <v>3118</v>
      </c>
    </row>
    <row r="880" spans="2:29">
      <c r="B880" t="s">
        <v>393</v>
      </c>
      <c r="C880" t="s">
        <v>3112</v>
      </c>
      <c r="D880" t="s">
        <v>3113</v>
      </c>
      <c r="E880">
        <v>2018</v>
      </c>
      <c r="F880" t="s">
        <v>3240</v>
      </c>
      <c r="G880" t="s">
        <v>554</v>
      </c>
      <c r="H880" s="6">
        <v>37.700000000000003</v>
      </c>
      <c r="I880" s="6">
        <v>-123</v>
      </c>
      <c r="J880" s="6">
        <v>1971</v>
      </c>
      <c r="K880" s="6">
        <v>2015</v>
      </c>
      <c r="L880" s="6">
        <f t="shared" si="34"/>
        <v>45</v>
      </c>
      <c r="M880" t="s">
        <v>2036</v>
      </c>
      <c r="N880" t="s">
        <v>394</v>
      </c>
      <c r="O880" t="s">
        <v>394</v>
      </c>
      <c r="P880" t="s">
        <v>3241</v>
      </c>
      <c r="Q880" t="s">
        <v>3242</v>
      </c>
      <c r="R880" t="s">
        <v>3142</v>
      </c>
      <c r="V880">
        <v>1.7999999999999998</v>
      </c>
      <c r="W880" t="str">
        <f t="shared" si="35"/>
        <v>N</v>
      </c>
      <c r="X880" t="s">
        <v>2041</v>
      </c>
      <c r="Z880" t="str">
        <f t="shared" si="33"/>
        <v>Y</v>
      </c>
      <c r="AA880" t="s">
        <v>2054</v>
      </c>
      <c r="AB880" t="s">
        <v>3117</v>
      </c>
      <c r="AC880" s="9" t="s">
        <v>3118</v>
      </c>
    </row>
    <row r="881" spans="2:29">
      <c r="B881" t="s">
        <v>393</v>
      </c>
      <c r="C881" t="s">
        <v>3112</v>
      </c>
      <c r="D881" t="s">
        <v>3113</v>
      </c>
      <c r="E881">
        <v>2018</v>
      </c>
      <c r="F881" t="s">
        <v>3240</v>
      </c>
      <c r="G881" t="s">
        <v>554</v>
      </c>
      <c r="H881" s="6">
        <v>37.700000000000003</v>
      </c>
      <c r="I881" s="6">
        <v>-123</v>
      </c>
      <c r="J881" s="6">
        <v>1971</v>
      </c>
      <c r="K881" s="6">
        <v>2015</v>
      </c>
      <c r="L881" s="6">
        <f t="shared" si="34"/>
        <v>45</v>
      </c>
      <c r="M881" t="s">
        <v>2036</v>
      </c>
      <c r="N881" t="s">
        <v>394</v>
      </c>
      <c r="O881" t="s">
        <v>394</v>
      </c>
      <c r="P881" t="s">
        <v>3241</v>
      </c>
      <c r="Q881" t="s">
        <v>3242</v>
      </c>
      <c r="R881" t="s">
        <v>3145</v>
      </c>
      <c r="V881">
        <v>2.1</v>
      </c>
      <c r="W881" t="str">
        <f t="shared" si="35"/>
        <v>N</v>
      </c>
      <c r="X881" t="s">
        <v>2041</v>
      </c>
      <c r="Z881" t="str">
        <f t="shared" si="33"/>
        <v>Y</v>
      </c>
      <c r="AA881" t="s">
        <v>2054</v>
      </c>
      <c r="AB881" t="s">
        <v>3117</v>
      </c>
      <c r="AC881" s="9" t="s">
        <v>3118</v>
      </c>
    </row>
    <row r="882" spans="2:29">
      <c r="B882" t="s">
        <v>393</v>
      </c>
      <c r="C882" t="s">
        <v>3112</v>
      </c>
      <c r="D882" t="s">
        <v>3113</v>
      </c>
      <c r="E882">
        <v>2018</v>
      </c>
      <c r="F882" t="s">
        <v>3240</v>
      </c>
      <c r="G882" t="s">
        <v>554</v>
      </c>
      <c r="H882" s="6">
        <v>37.700000000000003</v>
      </c>
      <c r="I882" s="6">
        <v>-123</v>
      </c>
      <c r="J882" s="6">
        <v>1972</v>
      </c>
      <c r="K882" s="6">
        <v>2015</v>
      </c>
      <c r="L882" s="6">
        <f t="shared" si="34"/>
        <v>44</v>
      </c>
      <c r="M882" t="s">
        <v>2036</v>
      </c>
      <c r="N882" t="s">
        <v>394</v>
      </c>
      <c r="O882" t="s">
        <v>394</v>
      </c>
      <c r="P882" t="s">
        <v>3243</v>
      </c>
      <c r="Q882" t="s">
        <v>2079</v>
      </c>
      <c r="R882" t="s">
        <v>3142</v>
      </c>
      <c r="V882">
        <v>0.4</v>
      </c>
      <c r="W882" t="str">
        <f t="shared" si="35"/>
        <v>N</v>
      </c>
      <c r="X882" t="s">
        <v>2041</v>
      </c>
      <c r="Z882" t="str">
        <f t="shared" si="33"/>
        <v>Y</v>
      </c>
      <c r="AA882" t="s">
        <v>2054</v>
      </c>
      <c r="AB882" t="s">
        <v>3117</v>
      </c>
      <c r="AC882" s="9" t="s">
        <v>3118</v>
      </c>
    </row>
    <row r="883" spans="2:29">
      <c r="B883" t="s">
        <v>393</v>
      </c>
      <c r="C883" t="s">
        <v>3112</v>
      </c>
      <c r="D883" t="s">
        <v>3113</v>
      </c>
      <c r="E883">
        <v>2018</v>
      </c>
      <c r="F883" t="s">
        <v>3240</v>
      </c>
      <c r="G883" t="s">
        <v>554</v>
      </c>
      <c r="H883" s="6">
        <v>37.700000000000003</v>
      </c>
      <c r="I883" s="6">
        <v>-123</v>
      </c>
      <c r="J883" s="6">
        <v>1972</v>
      </c>
      <c r="K883" s="6">
        <v>2015</v>
      </c>
      <c r="L883" s="6">
        <f t="shared" si="34"/>
        <v>44</v>
      </c>
      <c r="M883" t="s">
        <v>2036</v>
      </c>
      <c r="N883" t="s">
        <v>394</v>
      </c>
      <c r="O883" t="s">
        <v>394</v>
      </c>
      <c r="P883" t="s">
        <v>3243</v>
      </c>
      <c r="Q883" t="s">
        <v>2079</v>
      </c>
      <c r="R883" t="s">
        <v>3145</v>
      </c>
      <c r="V883">
        <v>1</v>
      </c>
      <c r="W883" t="str">
        <f t="shared" si="35"/>
        <v>N</v>
      </c>
      <c r="X883" t="s">
        <v>2041</v>
      </c>
      <c r="Z883" t="str">
        <f t="shared" si="33"/>
        <v>Y</v>
      </c>
      <c r="AA883" t="s">
        <v>2054</v>
      </c>
      <c r="AB883" t="s">
        <v>3117</v>
      </c>
      <c r="AC883" s="9" t="s">
        <v>3118</v>
      </c>
    </row>
    <row r="884" spans="2:29">
      <c r="B884" t="s">
        <v>393</v>
      </c>
      <c r="C884" t="s">
        <v>3112</v>
      </c>
      <c r="D884" t="s">
        <v>3113</v>
      </c>
      <c r="E884">
        <v>2018</v>
      </c>
      <c r="F884" t="s">
        <v>3240</v>
      </c>
      <c r="G884" t="s">
        <v>554</v>
      </c>
      <c r="H884" s="6">
        <v>37.700000000000003</v>
      </c>
      <c r="I884" s="6">
        <v>-123</v>
      </c>
      <c r="J884" s="6">
        <v>1972</v>
      </c>
      <c r="K884" s="6">
        <v>2015</v>
      </c>
      <c r="L884" s="6">
        <f t="shared" si="34"/>
        <v>44</v>
      </c>
      <c r="M884" t="s">
        <v>2036</v>
      </c>
      <c r="N884" t="s">
        <v>394</v>
      </c>
      <c r="O884" t="s">
        <v>394</v>
      </c>
      <c r="P884" t="s">
        <v>2370</v>
      </c>
      <c r="Q884" t="s">
        <v>984</v>
      </c>
      <c r="R884" t="s">
        <v>3142</v>
      </c>
      <c r="V884">
        <v>-1.1000000000000001</v>
      </c>
      <c r="W884" t="str">
        <f t="shared" si="35"/>
        <v>Y</v>
      </c>
      <c r="X884" t="s">
        <v>2041</v>
      </c>
      <c r="Z884" t="str">
        <f t="shared" si="33"/>
        <v>Y</v>
      </c>
      <c r="AA884" t="s">
        <v>2054</v>
      </c>
      <c r="AB884" t="s">
        <v>3117</v>
      </c>
      <c r="AC884" s="9" t="s">
        <v>3118</v>
      </c>
    </row>
    <row r="885" spans="2:29">
      <c r="B885" t="s">
        <v>393</v>
      </c>
      <c r="C885" t="s">
        <v>3112</v>
      </c>
      <c r="D885" t="s">
        <v>3113</v>
      </c>
      <c r="E885">
        <v>2018</v>
      </c>
      <c r="F885" t="s">
        <v>3240</v>
      </c>
      <c r="G885" t="s">
        <v>554</v>
      </c>
      <c r="H885" s="6">
        <v>37.700000000000003</v>
      </c>
      <c r="I885" s="6">
        <v>-123</v>
      </c>
      <c r="J885" s="6">
        <v>1972</v>
      </c>
      <c r="K885" s="6">
        <v>2015</v>
      </c>
      <c r="L885" s="6">
        <f t="shared" si="34"/>
        <v>44</v>
      </c>
      <c r="M885" t="s">
        <v>2036</v>
      </c>
      <c r="N885" t="s">
        <v>394</v>
      </c>
      <c r="O885" t="s">
        <v>394</v>
      </c>
      <c r="P885" t="s">
        <v>2370</v>
      </c>
      <c r="Q885" t="s">
        <v>984</v>
      </c>
      <c r="R885" t="s">
        <v>3145</v>
      </c>
      <c r="V885">
        <v>-0.89999999999999991</v>
      </c>
      <c r="W885" t="str">
        <f t="shared" si="35"/>
        <v>Y</v>
      </c>
      <c r="X885" t="s">
        <v>2041</v>
      </c>
      <c r="Z885" t="str">
        <f t="shared" si="33"/>
        <v>Y</v>
      </c>
      <c r="AA885" t="s">
        <v>2054</v>
      </c>
      <c r="AB885" t="s">
        <v>3117</v>
      </c>
      <c r="AC885" s="9" t="s">
        <v>3118</v>
      </c>
    </row>
    <row r="886" spans="2:29">
      <c r="B886" t="s">
        <v>393</v>
      </c>
      <c r="C886" t="s">
        <v>3112</v>
      </c>
      <c r="D886" t="s">
        <v>3113</v>
      </c>
      <c r="E886">
        <v>2018</v>
      </c>
      <c r="F886" t="s">
        <v>3240</v>
      </c>
      <c r="G886" t="s">
        <v>554</v>
      </c>
      <c r="H886" s="6">
        <v>37.700000000000003</v>
      </c>
      <c r="I886" s="6">
        <v>-123</v>
      </c>
      <c r="J886" s="6">
        <v>1971</v>
      </c>
      <c r="K886" s="6">
        <v>2015</v>
      </c>
      <c r="L886" s="6">
        <f t="shared" si="34"/>
        <v>45</v>
      </c>
      <c r="M886" t="s">
        <v>2036</v>
      </c>
      <c r="N886" t="s">
        <v>394</v>
      </c>
      <c r="O886" t="s">
        <v>394</v>
      </c>
      <c r="P886" t="s">
        <v>3244</v>
      </c>
      <c r="Q886" t="s">
        <v>3245</v>
      </c>
      <c r="R886" t="s">
        <v>3142</v>
      </c>
      <c r="V886">
        <v>0.6</v>
      </c>
      <c r="W886" t="str">
        <f t="shared" si="35"/>
        <v>N</v>
      </c>
      <c r="X886" t="s">
        <v>2041</v>
      </c>
      <c r="Z886" t="str">
        <f t="shared" si="33"/>
        <v>Y</v>
      </c>
      <c r="AA886" t="s">
        <v>2054</v>
      </c>
      <c r="AB886" t="s">
        <v>3117</v>
      </c>
      <c r="AC886" s="9" t="s">
        <v>3118</v>
      </c>
    </row>
    <row r="887" spans="2:29">
      <c r="B887" t="s">
        <v>393</v>
      </c>
      <c r="C887" t="s">
        <v>3112</v>
      </c>
      <c r="D887" t="s">
        <v>3113</v>
      </c>
      <c r="E887">
        <v>2018</v>
      </c>
      <c r="F887" t="s">
        <v>3240</v>
      </c>
      <c r="G887" t="s">
        <v>554</v>
      </c>
      <c r="H887" s="6">
        <v>37.700000000000003</v>
      </c>
      <c r="I887" s="6">
        <v>-123</v>
      </c>
      <c r="J887" s="6">
        <v>1971</v>
      </c>
      <c r="K887" s="6">
        <v>2015</v>
      </c>
      <c r="L887" s="6">
        <f t="shared" si="34"/>
        <v>45</v>
      </c>
      <c r="M887" t="s">
        <v>2036</v>
      </c>
      <c r="N887" t="s">
        <v>394</v>
      </c>
      <c r="O887" t="s">
        <v>394</v>
      </c>
      <c r="P887" t="s">
        <v>3244</v>
      </c>
      <c r="Q887" t="s">
        <v>3245</v>
      </c>
      <c r="R887" t="s">
        <v>3145</v>
      </c>
      <c r="V887">
        <v>0.8</v>
      </c>
      <c r="W887" t="str">
        <f t="shared" si="35"/>
        <v>N</v>
      </c>
      <c r="X887" t="s">
        <v>2041</v>
      </c>
      <c r="Z887" t="str">
        <f t="shared" si="33"/>
        <v>Y</v>
      </c>
      <c r="AA887" t="s">
        <v>2054</v>
      </c>
      <c r="AB887" t="s">
        <v>3117</v>
      </c>
      <c r="AC887" s="9" t="s">
        <v>3118</v>
      </c>
    </row>
    <row r="888" spans="2:29">
      <c r="B888" t="s">
        <v>393</v>
      </c>
      <c r="C888" t="s">
        <v>3112</v>
      </c>
      <c r="D888" t="s">
        <v>3113</v>
      </c>
      <c r="E888">
        <v>2018</v>
      </c>
      <c r="F888" t="s">
        <v>3240</v>
      </c>
      <c r="G888" t="s">
        <v>554</v>
      </c>
      <c r="H888" s="6">
        <v>37.700000000000003</v>
      </c>
      <c r="I888" s="6">
        <v>-123</v>
      </c>
      <c r="J888" s="6">
        <v>1987</v>
      </c>
      <c r="K888" s="6">
        <v>2015</v>
      </c>
      <c r="L888" s="6">
        <f t="shared" si="34"/>
        <v>29</v>
      </c>
      <c r="M888" t="s">
        <v>2036</v>
      </c>
      <c r="N888" t="s">
        <v>394</v>
      </c>
      <c r="O888" t="s">
        <v>394</v>
      </c>
      <c r="P888" t="s">
        <v>3246</v>
      </c>
      <c r="Q888" t="s">
        <v>2083</v>
      </c>
      <c r="R888" t="s">
        <v>3142</v>
      </c>
      <c r="V888">
        <v>0</v>
      </c>
      <c r="W888" t="str">
        <f t="shared" si="35"/>
        <v>N</v>
      </c>
      <c r="X888" t="s">
        <v>2041</v>
      </c>
      <c r="Z888" t="str">
        <f t="shared" si="33"/>
        <v>Y</v>
      </c>
      <c r="AA888" t="s">
        <v>2054</v>
      </c>
      <c r="AB888" t="s">
        <v>3117</v>
      </c>
      <c r="AC888" s="9" t="s">
        <v>3118</v>
      </c>
    </row>
    <row r="889" spans="2:29">
      <c r="B889" t="s">
        <v>393</v>
      </c>
      <c r="C889" t="s">
        <v>3112</v>
      </c>
      <c r="D889" t="s">
        <v>3113</v>
      </c>
      <c r="E889">
        <v>2018</v>
      </c>
      <c r="F889" t="s">
        <v>3240</v>
      </c>
      <c r="G889" t="s">
        <v>554</v>
      </c>
      <c r="H889" s="6">
        <v>37.700000000000003</v>
      </c>
      <c r="I889" s="6">
        <v>-123</v>
      </c>
      <c r="J889" s="6">
        <v>1987</v>
      </c>
      <c r="K889" s="6">
        <v>2015</v>
      </c>
      <c r="L889" s="6">
        <f t="shared" si="34"/>
        <v>29</v>
      </c>
      <c r="M889" t="s">
        <v>2036</v>
      </c>
      <c r="N889" t="s">
        <v>394</v>
      </c>
      <c r="O889" t="s">
        <v>394</v>
      </c>
      <c r="P889" t="s">
        <v>3246</v>
      </c>
      <c r="Q889" t="s">
        <v>2083</v>
      </c>
      <c r="R889" t="s">
        <v>3145</v>
      </c>
      <c r="V889">
        <v>0.5</v>
      </c>
      <c r="W889" t="str">
        <f t="shared" si="35"/>
        <v>N</v>
      </c>
      <c r="X889" t="s">
        <v>2041</v>
      </c>
      <c r="Z889" t="str">
        <f t="shared" si="33"/>
        <v>Y</v>
      </c>
      <c r="AA889" t="s">
        <v>2054</v>
      </c>
      <c r="AB889" t="s">
        <v>3117</v>
      </c>
      <c r="AC889" s="9" t="s">
        <v>3118</v>
      </c>
    </row>
    <row r="890" spans="2:29">
      <c r="B890" t="s">
        <v>393</v>
      </c>
      <c r="C890" t="s">
        <v>3112</v>
      </c>
      <c r="D890" t="s">
        <v>3113</v>
      </c>
      <c r="E890">
        <v>2018</v>
      </c>
      <c r="F890" t="s">
        <v>3247</v>
      </c>
      <c r="G890" t="s">
        <v>505</v>
      </c>
      <c r="H890" s="6">
        <v>-60.45</v>
      </c>
      <c r="I890" s="6">
        <v>-45.36</v>
      </c>
      <c r="J890" s="6">
        <v>1977</v>
      </c>
      <c r="K890" s="6">
        <v>2015</v>
      </c>
      <c r="L890" s="6">
        <f t="shared" si="34"/>
        <v>39</v>
      </c>
      <c r="M890" t="s">
        <v>2036</v>
      </c>
      <c r="N890" t="s">
        <v>394</v>
      </c>
      <c r="O890" t="s">
        <v>394</v>
      </c>
      <c r="P890" t="s">
        <v>3115</v>
      </c>
      <c r="Q890" t="s">
        <v>645</v>
      </c>
      <c r="R890" t="s">
        <v>3116</v>
      </c>
      <c r="V890">
        <v>4.9000000000000004</v>
      </c>
      <c r="W890" t="str">
        <f t="shared" si="35"/>
        <v>N</v>
      </c>
      <c r="X890" t="s">
        <v>2041</v>
      </c>
      <c r="Z890" t="str">
        <f t="shared" si="33"/>
        <v>Y</v>
      </c>
      <c r="AA890" t="s">
        <v>2054</v>
      </c>
      <c r="AB890" t="s">
        <v>3117</v>
      </c>
      <c r="AC890" s="9" t="s">
        <v>3118</v>
      </c>
    </row>
    <row r="891" spans="2:29">
      <c r="B891" t="s">
        <v>393</v>
      </c>
      <c r="C891" t="s">
        <v>3112</v>
      </c>
      <c r="D891" t="s">
        <v>3113</v>
      </c>
      <c r="E891">
        <v>2018</v>
      </c>
      <c r="F891" t="s">
        <v>3247</v>
      </c>
      <c r="G891" t="s">
        <v>505</v>
      </c>
      <c r="H891" s="6">
        <v>-60.45</v>
      </c>
      <c r="I891" s="6">
        <v>-45.36</v>
      </c>
      <c r="J891" s="6">
        <v>1977</v>
      </c>
      <c r="K891" s="6">
        <v>2015</v>
      </c>
      <c r="L891" s="6">
        <f t="shared" si="34"/>
        <v>39</v>
      </c>
      <c r="M891" t="s">
        <v>2036</v>
      </c>
      <c r="N891" t="s">
        <v>394</v>
      </c>
      <c r="O891" t="s">
        <v>394</v>
      </c>
      <c r="P891" t="s">
        <v>3115</v>
      </c>
      <c r="Q891" t="s">
        <v>645</v>
      </c>
      <c r="R891" t="s">
        <v>3137</v>
      </c>
      <c r="V891">
        <v>6.2</v>
      </c>
      <c r="W891" t="str">
        <f t="shared" si="35"/>
        <v>N</v>
      </c>
      <c r="X891" t="s">
        <v>2041</v>
      </c>
      <c r="Z891" t="str">
        <f t="shared" si="33"/>
        <v>Y</v>
      </c>
      <c r="AA891" t="s">
        <v>2054</v>
      </c>
      <c r="AB891" t="s">
        <v>3117</v>
      </c>
      <c r="AC891" s="9" t="s">
        <v>3118</v>
      </c>
    </row>
    <row r="892" spans="2:29">
      <c r="B892" t="s">
        <v>393</v>
      </c>
      <c r="C892" t="s">
        <v>3112</v>
      </c>
      <c r="D892" t="s">
        <v>3113</v>
      </c>
      <c r="E892">
        <v>2018</v>
      </c>
      <c r="F892" t="s">
        <v>3247</v>
      </c>
      <c r="G892" t="s">
        <v>505</v>
      </c>
      <c r="H892" s="6">
        <v>-60.45</v>
      </c>
      <c r="I892" s="6">
        <v>-45.36</v>
      </c>
      <c r="J892" s="6">
        <v>1977</v>
      </c>
      <c r="K892" s="6">
        <v>2015</v>
      </c>
      <c r="L892" s="6">
        <f t="shared" si="34"/>
        <v>39</v>
      </c>
      <c r="M892" t="s">
        <v>2036</v>
      </c>
      <c r="N892" t="s">
        <v>394</v>
      </c>
      <c r="O892" t="s">
        <v>394</v>
      </c>
      <c r="P892" t="s">
        <v>3175</v>
      </c>
      <c r="Q892" t="s">
        <v>3176</v>
      </c>
      <c r="R892" t="s">
        <v>3116</v>
      </c>
      <c r="V892">
        <v>0.5</v>
      </c>
      <c r="W892" t="str">
        <f t="shared" si="35"/>
        <v>N</v>
      </c>
      <c r="X892" t="s">
        <v>2041</v>
      </c>
      <c r="Z892" t="str">
        <f t="shared" si="33"/>
        <v>Y</v>
      </c>
      <c r="AA892" t="s">
        <v>2054</v>
      </c>
      <c r="AB892" t="s">
        <v>3117</v>
      </c>
      <c r="AC892" s="9" t="s">
        <v>3118</v>
      </c>
    </row>
    <row r="893" spans="2:29">
      <c r="B893" t="s">
        <v>393</v>
      </c>
      <c r="C893" t="s">
        <v>3112</v>
      </c>
      <c r="D893" t="s">
        <v>3113</v>
      </c>
      <c r="E893">
        <v>2018</v>
      </c>
      <c r="F893" t="s">
        <v>3247</v>
      </c>
      <c r="G893" t="s">
        <v>505</v>
      </c>
      <c r="H893" s="6">
        <v>-60.45</v>
      </c>
      <c r="I893" s="6">
        <v>-45.36</v>
      </c>
      <c r="J893" s="6">
        <v>1977</v>
      </c>
      <c r="K893" s="6">
        <v>2015</v>
      </c>
      <c r="L893" s="6">
        <f t="shared" si="34"/>
        <v>39</v>
      </c>
      <c r="M893" t="s">
        <v>2036</v>
      </c>
      <c r="N893" t="s">
        <v>394</v>
      </c>
      <c r="O893" t="s">
        <v>394</v>
      </c>
      <c r="P893" t="s">
        <v>3175</v>
      </c>
      <c r="Q893" t="s">
        <v>3176</v>
      </c>
      <c r="R893" t="s">
        <v>3137</v>
      </c>
      <c r="V893">
        <v>2.7</v>
      </c>
      <c r="W893" t="str">
        <f t="shared" si="35"/>
        <v>N</v>
      </c>
      <c r="X893" t="s">
        <v>2041</v>
      </c>
      <c r="Z893" t="str">
        <f t="shared" si="33"/>
        <v>Y</v>
      </c>
      <c r="AA893" t="s">
        <v>2054</v>
      </c>
      <c r="AB893" t="s">
        <v>3117</v>
      </c>
      <c r="AC893" s="9" t="s">
        <v>3118</v>
      </c>
    </row>
    <row r="894" spans="2:29">
      <c r="B894" t="s">
        <v>393</v>
      </c>
      <c r="C894" t="s">
        <v>3112</v>
      </c>
      <c r="D894" t="s">
        <v>3113</v>
      </c>
      <c r="E894">
        <v>2018</v>
      </c>
      <c r="F894" t="s">
        <v>3247</v>
      </c>
      <c r="G894" t="s">
        <v>505</v>
      </c>
      <c r="H894" s="6">
        <v>-60.45</v>
      </c>
      <c r="I894" s="6">
        <v>-45.36</v>
      </c>
      <c r="J894" s="6">
        <v>1977</v>
      </c>
      <c r="K894" s="6">
        <v>2015</v>
      </c>
      <c r="L894" s="6">
        <f t="shared" si="34"/>
        <v>39</v>
      </c>
      <c r="M894" t="s">
        <v>2036</v>
      </c>
      <c r="N894" t="s">
        <v>394</v>
      </c>
      <c r="O894" t="s">
        <v>394</v>
      </c>
      <c r="P894" t="s">
        <v>3175</v>
      </c>
      <c r="Q894" t="s">
        <v>3176</v>
      </c>
      <c r="R894" t="s">
        <v>3145</v>
      </c>
      <c r="V894">
        <v>6.8000000000000007</v>
      </c>
      <c r="W894" t="str">
        <f t="shared" si="35"/>
        <v>N</v>
      </c>
      <c r="X894" t="s">
        <v>2041</v>
      </c>
      <c r="Z894" t="str">
        <f t="shared" si="33"/>
        <v>Y</v>
      </c>
      <c r="AA894" t="s">
        <v>2054</v>
      </c>
      <c r="AB894" t="s">
        <v>3117</v>
      </c>
      <c r="AC894" s="9" t="s">
        <v>3118</v>
      </c>
    </row>
    <row r="895" spans="2:29">
      <c r="B895" t="s">
        <v>393</v>
      </c>
      <c r="C895" t="s">
        <v>3112</v>
      </c>
      <c r="D895" t="s">
        <v>3113</v>
      </c>
      <c r="E895">
        <v>2018</v>
      </c>
      <c r="F895" t="s">
        <v>3248</v>
      </c>
      <c r="G895" t="s">
        <v>554</v>
      </c>
      <c r="H895" s="6">
        <v>65.13</v>
      </c>
      <c r="I895" s="6">
        <v>10.58</v>
      </c>
      <c r="J895" s="6">
        <v>2007</v>
      </c>
      <c r="K895" s="6">
        <v>2013</v>
      </c>
      <c r="L895" s="6">
        <f t="shared" si="34"/>
        <v>7</v>
      </c>
      <c r="M895" t="s">
        <v>2036</v>
      </c>
      <c r="N895" t="s">
        <v>394</v>
      </c>
      <c r="O895" t="s">
        <v>394</v>
      </c>
      <c r="P895" t="s">
        <v>3139</v>
      </c>
      <c r="Q895" t="s">
        <v>997</v>
      </c>
      <c r="R895" t="s">
        <v>3126</v>
      </c>
      <c r="V895">
        <v>13.799999999999999</v>
      </c>
      <c r="W895" t="str">
        <f t="shared" si="35"/>
        <v>N</v>
      </c>
      <c r="X895" t="s">
        <v>2058</v>
      </c>
      <c r="Z895" t="str">
        <f t="shared" si="33"/>
        <v>N</v>
      </c>
      <c r="AA895" t="s">
        <v>2054</v>
      </c>
      <c r="AB895" t="s">
        <v>3117</v>
      </c>
      <c r="AC895" s="9" t="s">
        <v>3118</v>
      </c>
    </row>
    <row r="896" spans="2:29">
      <c r="B896" t="s">
        <v>393</v>
      </c>
      <c r="C896" t="s">
        <v>3112</v>
      </c>
      <c r="D896" t="s">
        <v>3113</v>
      </c>
      <c r="E896">
        <v>2018</v>
      </c>
      <c r="F896" t="s">
        <v>3249</v>
      </c>
      <c r="G896" t="s">
        <v>554</v>
      </c>
      <c r="H896" s="6">
        <v>51.74</v>
      </c>
      <c r="I896" s="6">
        <v>-5.29</v>
      </c>
      <c r="J896" s="6">
        <v>1973</v>
      </c>
      <c r="K896" s="6">
        <v>2008</v>
      </c>
      <c r="L896" s="6">
        <f t="shared" si="34"/>
        <v>36</v>
      </c>
      <c r="M896" t="s">
        <v>2036</v>
      </c>
      <c r="N896" t="s">
        <v>394</v>
      </c>
      <c r="O896" t="s">
        <v>394</v>
      </c>
      <c r="P896" t="s">
        <v>2291</v>
      </c>
      <c r="Q896" t="s">
        <v>984</v>
      </c>
      <c r="R896" t="s">
        <v>3145</v>
      </c>
      <c r="V896">
        <v>-1.4000000000000001</v>
      </c>
      <c r="W896" t="str">
        <f t="shared" si="35"/>
        <v>Y</v>
      </c>
      <c r="X896" t="s">
        <v>2041</v>
      </c>
      <c r="Y896" t="s">
        <v>2041</v>
      </c>
      <c r="Z896" t="str">
        <f t="shared" si="33"/>
        <v>Y</v>
      </c>
      <c r="AA896" t="s">
        <v>2054</v>
      </c>
      <c r="AB896" t="s">
        <v>3117</v>
      </c>
      <c r="AC896" s="9" t="s">
        <v>3118</v>
      </c>
    </row>
    <row r="897" spans="2:29">
      <c r="B897" t="s">
        <v>393</v>
      </c>
      <c r="C897" t="s">
        <v>3112</v>
      </c>
      <c r="D897" t="s">
        <v>3113</v>
      </c>
      <c r="E897">
        <v>2018</v>
      </c>
      <c r="F897" t="s">
        <v>3250</v>
      </c>
      <c r="G897" t="s">
        <v>554</v>
      </c>
      <c r="H897" s="6">
        <v>56.35</v>
      </c>
      <c r="I897" s="6">
        <v>-169.35</v>
      </c>
      <c r="J897" s="6">
        <v>1976</v>
      </c>
      <c r="K897" s="6">
        <v>2015</v>
      </c>
      <c r="L897" s="6">
        <f t="shared" si="34"/>
        <v>40</v>
      </c>
      <c r="M897" t="s">
        <v>2036</v>
      </c>
      <c r="N897" t="s">
        <v>394</v>
      </c>
      <c r="O897" t="s">
        <v>394</v>
      </c>
      <c r="P897" t="s">
        <v>2293</v>
      </c>
      <c r="Q897" t="s">
        <v>465</v>
      </c>
      <c r="R897" t="s">
        <v>3126</v>
      </c>
      <c r="V897">
        <v>-5.8999999999999995</v>
      </c>
      <c r="W897" t="str">
        <f t="shared" si="35"/>
        <v>Y</v>
      </c>
      <c r="X897" t="s">
        <v>2041</v>
      </c>
      <c r="Z897" t="str">
        <f t="shared" si="33"/>
        <v>Y</v>
      </c>
      <c r="AA897" t="s">
        <v>2054</v>
      </c>
      <c r="AB897" t="s">
        <v>3117</v>
      </c>
      <c r="AC897" s="9" t="s">
        <v>3118</v>
      </c>
    </row>
    <row r="898" spans="2:29">
      <c r="B898" t="s">
        <v>393</v>
      </c>
      <c r="C898" t="s">
        <v>3112</v>
      </c>
      <c r="D898" t="s">
        <v>3113</v>
      </c>
      <c r="E898">
        <v>2018</v>
      </c>
      <c r="F898" t="s">
        <v>3250</v>
      </c>
      <c r="G898" t="s">
        <v>554</v>
      </c>
      <c r="H898" s="6">
        <v>56.35</v>
      </c>
      <c r="I898" s="6">
        <v>-169.35</v>
      </c>
      <c r="J898" s="6">
        <v>1976</v>
      </c>
      <c r="K898" s="6">
        <v>2015</v>
      </c>
      <c r="L898" s="6">
        <f t="shared" si="34"/>
        <v>40</v>
      </c>
      <c r="M898" t="s">
        <v>2036</v>
      </c>
      <c r="N898" t="s">
        <v>394</v>
      </c>
      <c r="O898" t="s">
        <v>394</v>
      </c>
      <c r="P898" t="s">
        <v>2291</v>
      </c>
      <c r="Q898" t="s">
        <v>984</v>
      </c>
      <c r="R898" t="s">
        <v>3126</v>
      </c>
      <c r="V898">
        <v>1</v>
      </c>
      <c r="W898" t="str">
        <f t="shared" si="35"/>
        <v>N</v>
      </c>
      <c r="X898" t="s">
        <v>2041</v>
      </c>
      <c r="Z898" t="str">
        <f t="shared" ref="Z898:Z961" si="36">IF(L898&gt;=19,"Y","N")</f>
        <v>Y</v>
      </c>
      <c r="AA898" t="s">
        <v>2054</v>
      </c>
      <c r="AB898" t="s">
        <v>3117</v>
      </c>
      <c r="AC898" s="9" t="s">
        <v>3118</v>
      </c>
    </row>
    <row r="899" spans="2:29">
      <c r="B899" t="s">
        <v>393</v>
      </c>
      <c r="C899" t="s">
        <v>3112</v>
      </c>
      <c r="D899" t="s">
        <v>3113</v>
      </c>
      <c r="E899">
        <v>2018</v>
      </c>
      <c r="F899" t="s">
        <v>3250</v>
      </c>
      <c r="G899" t="s">
        <v>554</v>
      </c>
      <c r="H899" s="6">
        <v>56.35</v>
      </c>
      <c r="I899" s="6">
        <v>-169.35</v>
      </c>
      <c r="J899" s="6">
        <v>2008</v>
      </c>
      <c r="K899" s="6">
        <v>2015</v>
      </c>
      <c r="L899" s="6">
        <f t="shared" si="34"/>
        <v>8</v>
      </c>
      <c r="M899" t="s">
        <v>2036</v>
      </c>
      <c r="N899" t="s">
        <v>394</v>
      </c>
      <c r="O899" t="s">
        <v>394</v>
      </c>
      <c r="P899" t="s">
        <v>3165</v>
      </c>
      <c r="Q899" t="s">
        <v>3166</v>
      </c>
      <c r="R899" t="s">
        <v>3126</v>
      </c>
      <c r="V899">
        <v>-14.2</v>
      </c>
      <c r="W899" t="str">
        <f t="shared" si="35"/>
        <v>Y</v>
      </c>
      <c r="X899" t="s">
        <v>2058</v>
      </c>
      <c r="Z899" t="str">
        <f t="shared" si="36"/>
        <v>N</v>
      </c>
      <c r="AA899" t="s">
        <v>2054</v>
      </c>
      <c r="AB899" t="s">
        <v>3117</v>
      </c>
      <c r="AC899" s="9" t="s">
        <v>3118</v>
      </c>
    </row>
    <row r="900" spans="2:29">
      <c r="B900" t="s">
        <v>393</v>
      </c>
      <c r="C900" t="s">
        <v>3112</v>
      </c>
      <c r="D900" t="s">
        <v>3113</v>
      </c>
      <c r="E900">
        <v>2018</v>
      </c>
      <c r="F900" t="s">
        <v>3250</v>
      </c>
      <c r="G900" t="s">
        <v>554</v>
      </c>
      <c r="H900" s="6">
        <v>56.35</v>
      </c>
      <c r="I900" s="6">
        <v>-169.35</v>
      </c>
      <c r="J900" s="6">
        <v>1975</v>
      </c>
      <c r="K900" s="6">
        <v>2015</v>
      </c>
      <c r="L900" s="6">
        <f t="shared" ref="L900:L963" si="37">K900-J900+1</f>
        <v>41</v>
      </c>
      <c r="M900" t="s">
        <v>2036</v>
      </c>
      <c r="N900" t="s">
        <v>394</v>
      </c>
      <c r="O900" t="s">
        <v>394</v>
      </c>
      <c r="P900" t="s">
        <v>2369</v>
      </c>
      <c r="Q900" t="s">
        <v>2366</v>
      </c>
      <c r="R900" t="s">
        <v>3126</v>
      </c>
      <c r="V900">
        <v>-7</v>
      </c>
      <c r="W900" t="str">
        <f t="shared" si="35"/>
        <v>Y</v>
      </c>
      <c r="X900" t="s">
        <v>2041</v>
      </c>
      <c r="Z900" t="str">
        <f t="shared" si="36"/>
        <v>Y</v>
      </c>
      <c r="AA900" t="s">
        <v>2054</v>
      </c>
      <c r="AB900" t="s">
        <v>3117</v>
      </c>
      <c r="AC900" s="9" t="s">
        <v>3118</v>
      </c>
    </row>
    <row r="901" spans="2:29">
      <c r="B901" t="s">
        <v>393</v>
      </c>
      <c r="C901" t="s">
        <v>3112</v>
      </c>
      <c r="D901" t="s">
        <v>3113</v>
      </c>
      <c r="E901">
        <v>2018</v>
      </c>
      <c r="F901" t="s">
        <v>3250</v>
      </c>
      <c r="G901" t="s">
        <v>554</v>
      </c>
      <c r="H901" s="6">
        <v>56.35</v>
      </c>
      <c r="I901" s="6">
        <v>-169.35</v>
      </c>
      <c r="J901" s="6">
        <v>1976</v>
      </c>
      <c r="K901" s="6">
        <v>2015</v>
      </c>
      <c r="L901" s="6">
        <f t="shared" si="37"/>
        <v>40</v>
      </c>
      <c r="M901" t="s">
        <v>2036</v>
      </c>
      <c r="N901" t="s">
        <v>394</v>
      </c>
      <c r="O901" t="s">
        <v>394</v>
      </c>
      <c r="P901" t="s">
        <v>2371</v>
      </c>
      <c r="Q901" t="s">
        <v>469</v>
      </c>
      <c r="R901" t="s">
        <v>3126</v>
      </c>
      <c r="V901">
        <v>-0.2</v>
      </c>
      <c r="W901" t="str">
        <f t="shared" si="35"/>
        <v>Y</v>
      </c>
      <c r="X901" t="s">
        <v>2041</v>
      </c>
      <c r="Z901" t="str">
        <f t="shared" si="36"/>
        <v>Y</v>
      </c>
      <c r="AA901" t="s">
        <v>2054</v>
      </c>
      <c r="AB901" t="s">
        <v>3117</v>
      </c>
      <c r="AC901" s="9" t="s">
        <v>3118</v>
      </c>
    </row>
    <row r="902" spans="2:29">
      <c r="B902" t="s">
        <v>393</v>
      </c>
      <c r="C902" t="s">
        <v>3112</v>
      </c>
      <c r="D902" t="s">
        <v>3113</v>
      </c>
      <c r="E902">
        <v>2018</v>
      </c>
      <c r="F902" t="s">
        <v>3251</v>
      </c>
      <c r="G902" t="s">
        <v>554</v>
      </c>
      <c r="H902" s="6">
        <v>56.59</v>
      </c>
      <c r="I902" s="6">
        <v>-135.41999999999999</v>
      </c>
      <c r="J902" s="6">
        <v>1994</v>
      </c>
      <c r="K902" s="6">
        <v>2015</v>
      </c>
      <c r="L902" s="6">
        <f t="shared" si="37"/>
        <v>22</v>
      </c>
      <c r="M902" t="s">
        <v>2036</v>
      </c>
      <c r="N902" t="s">
        <v>394</v>
      </c>
      <c r="O902" t="s">
        <v>394</v>
      </c>
      <c r="P902" t="s">
        <v>2291</v>
      </c>
      <c r="Q902" t="s">
        <v>984</v>
      </c>
      <c r="R902" t="s">
        <v>3126</v>
      </c>
      <c r="V902">
        <v>1.6</v>
      </c>
      <c r="W902" t="str">
        <f t="shared" si="35"/>
        <v>N</v>
      </c>
      <c r="X902" t="s">
        <v>2041</v>
      </c>
      <c r="Z902" t="str">
        <f t="shared" si="36"/>
        <v>Y</v>
      </c>
      <c r="AA902" t="s">
        <v>2054</v>
      </c>
      <c r="AB902" t="s">
        <v>3117</v>
      </c>
      <c r="AC902" s="9" t="s">
        <v>3118</v>
      </c>
    </row>
    <row r="903" spans="2:29">
      <c r="B903" t="s">
        <v>393</v>
      </c>
      <c r="C903" t="s">
        <v>3112</v>
      </c>
      <c r="D903" t="s">
        <v>3113</v>
      </c>
      <c r="E903">
        <v>2018</v>
      </c>
      <c r="F903" t="s">
        <v>3251</v>
      </c>
      <c r="G903" t="s">
        <v>554</v>
      </c>
      <c r="H903" s="6">
        <v>56.59</v>
      </c>
      <c r="I903" s="6">
        <v>-135.41999999999999</v>
      </c>
      <c r="J903" s="6">
        <v>1995</v>
      </c>
      <c r="K903" s="6">
        <v>2015</v>
      </c>
      <c r="L903" s="6">
        <f t="shared" si="37"/>
        <v>21</v>
      </c>
      <c r="M903" t="s">
        <v>2036</v>
      </c>
      <c r="N903" t="s">
        <v>394</v>
      </c>
      <c r="O903" t="s">
        <v>394</v>
      </c>
      <c r="P903" t="s">
        <v>3127</v>
      </c>
      <c r="Q903" t="s">
        <v>3128</v>
      </c>
      <c r="R903" t="s">
        <v>3126</v>
      </c>
      <c r="V903">
        <v>-15.3</v>
      </c>
      <c r="W903" t="str">
        <f t="shared" si="35"/>
        <v>Y</v>
      </c>
      <c r="X903" t="s">
        <v>2041</v>
      </c>
      <c r="Z903" t="str">
        <f t="shared" si="36"/>
        <v>Y</v>
      </c>
      <c r="AA903" t="s">
        <v>2054</v>
      </c>
      <c r="AB903" t="s">
        <v>3117</v>
      </c>
      <c r="AC903" s="9" t="s">
        <v>3118</v>
      </c>
    </row>
    <row r="904" spans="2:29">
      <c r="B904" t="s">
        <v>393</v>
      </c>
      <c r="C904" t="s">
        <v>3112</v>
      </c>
      <c r="D904" t="s">
        <v>3113</v>
      </c>
      <c r="E904">
        <v>2018</v>
      </c>
      <c r="F904" t="s">
        <v>3251</v>
      </c>
      <c r="G904" t="s">
        <v>554</v>
      </c>
      <c r="H904" s="6">
        <v>56.59</v>
      </c>
      <c r="I904" s="6">
        <v>-135.41999999999999</v>
      </c>
      <c r="J904" s="6">
        <v>1994</v>
      </c>
      <c r="K904" s="6">
        <v>2015</v>
      </c>
      <c r="L904" s="6">
        <f t="shared" si="37"/>
        <v>22</v>
      </c>
      <c r="M904" t="s">
        <v>2036</v>
      </c>
      <c r="N904" t="s">
        <v>394</v>
      </c>
      <c r="O904" t="s">
        <v>394</v>
      </c>
      <c r="P904" t="s">
        <v>3129</v>
      </c>
      <c r="Q904" t="s">
        <v>448</v>
      </c>
      <c r="R904" t="s">
        <v>3126</v>
      </c>
      <c r="V904">
        <v>2.2000000000000002</v>
      </c>
      <c r="W904" t="str">
        <f t="shared" si="35"/>
        <v>N</v>
      </c>
      <c r="X904" t="s">
        <v>2041</v>
      </c>
      <c r="Z904" t="str">
        <f t="shared" si="36"/>
        <v>Y</v>
      </c>
      <c r="AA904" t="s">
        <v>2054</v>
      </c>
      <c r="AB904" t="s">
        <v>3117</v>
      </c>
      <c r="AC904" s="9" t="s">
        <v>3118</v>
      </c>
    </row>
    <row r="905" spans="2:29">
      <c r="B905" t="s">
        <v>393</v>
      </c>
      <c r="C905" t="s">
        <v>3112</v>
      </c>
      <c r="D905" t="s">
        <v>3113</v>
      </c>
      <c r="E905">
        <v>2018</v>
      </c>
      <c r="F905" t="s">
        <v>3251</v>
      </c>
      <c r="G905" t="s">
        <v>554</v>
      </c>
      <c r="H905" s="6">
        <v>56.59</v>
      </c>
      <c r="I905" s="6">
        <v>-135.41999999999999</v>
      </c>
      <c r="J905" s="6">
        <v>1995</v>
      </c>
      <c r="K905" s="6">
        <v>2015</v>
      </c>
      <c r="L905" s="6">
        <f t="shared" si="37"/>
        <v>21</v>
      </c>
      <c r="M905" t="s">
        <v>2036</v>
      </c>
      <c r="N905" t="s">
        <v>394</v>
      </c>
      <c r="O905" t="s">
        <v>394</v>
      </c>
      <c r="P905" t="s">
        <v>3132</v>
      </c>
      <c r="Q905" t="s">
        <v>3133</v>
      </c>
      <c r="R905" t="s">
        <v>3126</v>
      </c>
      <c r="V905">
        <v>-3.8</v>
      </c>
      <c r="W905" t="str">
        <f t="shared" si="35"/>
        <v>Y</v>
      </c>
      <c r="X905" t="s">
        <v>2041</v>
      </c>
      <c r="Z905" t="str">
        <f t="shared" si="36"/>
        <v>Y</v>
      </c>
      <c r="AA905" t="s">
        <v>2054</v>
      </c>
      <c r="AB905" t="s">
        <v>3117</v>
      </c>
      <c r="AC905" s="9" t="s">
        <v>3118</v>
      </c>
    </row>
    <row r="906" spans="2:29">
      <c r="B906" t="s">
        <v>393</v>
      </c>
      <c r="C906" t="s">
        <v>3112</v>
      </c>
      <c r="D906" t="s">
        <v>3113</v>
      </c>
      <c r="E906">
        <v>2018</v>
      </c>
      <c r="F906" t="s">
        <v>3251</v>
      </c>
      <c r="G906" t="s">
        <v>554</v>
      </c>
      <c r="H906" s="6">
        <v>56.59</v>
      </c>
      <c r="I906" s="6">
        <v>-135.41999999999999</v>
      </c>
      <c r="J906" s="6">
        <v>1995</v>
      </c>
      <c r="K906" s="6">
        <v>2015</v>
      </c>
      <c r="L906" s="6">
        <f t="shared" si="37"/>
        <v>21</v>
      </c>
      <c r="M906" t="s">
        <v>2036</v>
      </c>
      <c r="N906" t="s">
        <v>394</v>
      </c>
      <c r="O906" t="s">
        <v>394</v>
      </c>
      <c r="P906" t="s">
        <v>3246</v>
      </c>
      <c r="Q906" t="s">
        <v>2083</v>
      </c>
      <c r="R906" t="s">
        <v>3126</v>
      </c>
      <c r="V906">
        <v>1.9</v>
      </c>
      <c r="W906" t="str">
        <f t="shared" si="35"/>
        <v>N</v>
      </c>
      <c r="X906" t="s">
        <v>2041</v>
      </c>
      <c r="Z906" t="str">
        <f t="shared" si="36"/>
        <v>Y</v>
      </c>
      <c r="AA906" t="s">
        <v>2054</v>
      </c>
      <c r="AB906" t="s">
        <v>3117</v>
      </c>
      <c r="AC906" s="9" t="s">
        <v>3118</v>
      </c>
    </row>
    <row r="907" spans="2:29">
      <c r="B907" t="s">
        <v>393</v>
      </c>
      <c r="C907" t="s">
        <v>3112</v>
      </c>
      <c r="D907" t="s">
        <v>3113</v>
      </c>
      <c r="E907">
        <v>2018</v>
      </c>
      <c r="F907" t="s">
        <v>3251</v>
      </c>
      <c r="G907" t="s">
        <v>554</v>
      </c>
      <c r="H907" s="6">
        <v>56.59</v>
      </c>
      <c r="I907" s="6">
        <v>-135.41999999999999</v>
      </c>
      <c r="J907" s="6">
        <v>1994</v>
      </c>
      <c r="K907" s="6">
        <v>2015</v>
      </c>
      <c r="L907" s="6">
        <f t="shared" si="37"/>
        <v>22</v>
      </c>
      <c r="M907" t="s">
        <v>2036</v>
      </c>
      <c r="N907" t="s">
        <v>394</v>
      </c>
      <c r="O907" t="s">
        <v>394</v>
      </c>
      <c r="P907" t="s">
        <v>2371</v>
      </c>
      <c r="Q907" t="s">
        <v>469</v>
      </c>
      <c r="R907" t="s">
        <v>3126</v>
      </c>
      <c r="V907">
        <v>1.7000000000000002</v>
      </c>
      <c r="W907" t="str">
        <f t="shared" si="35"/>
        <v>N</v>
      </c>
      <c r="X907" t="s">
        <v>2041</v>
      </c>
      <c r="Z907" t="str">
        <f t="shared" si="36"/>
        <v>Y</v>
      </c>
      <c r="AA907" t="s">
        <v>2054</v>
      </c>
      <c r="AB907" t="s">
        <v>3117</v>
      </c>
      <c r="AC907" s="9" t="s">
        <v>3118</v>
      </c>
    </row>
    <row r="908" spans="2:29">
      <c r="B908" t="s">
        <v>393</v>
      </c>
      <c r="C908" t="s">
        <v>3112</v>
      </c>
      <c r="D908" t="s">
        <v>3113</v>
      </c>
      <c r="E908">
        <v>2018</v>
      </c>
      <c r="F908" t="s">
        <v>3252</v>
      </c>
      <c r="G908" t="s">
        <v>554</v>
      </c>
      <c r="H908" s="6">
        <v>57.28</v>
      </c>
      <c r="I908" s="6">
        <v>17.97</v>
      </c>
      <c r="J908" s="6">
        <v>1974</v>
      </c>
      <c r="K908" s="6">
        <v>2016</v>
      </c>
      <c r="L908" s="6">
        <f t="shared" si="37"/>
        <v>43</v>
      </c>
      <c r="M908" t="s">
        <v>2036</v>
      </c>
      <c r="N908" t="s">
        <v>394</v>
      </c>
      <c r="O908" t="s">
        <v>394</v>
      </c>
      <c r="P908" t="s">
        <v>2291</v>
      </c>
      <c r="Q908" t="s">
        <v>984</v>
      </c>
      <c r="R908" t="s">
        <v>3126</v>
      </c>
      <c r="V908">
        <v>-2</v>
      </c>
      <c r="W908" t="str">
        <f t="shared" si="35"/>
        <v>Y</v>
      </c>
      <c r="X908" t="s">
        <v>2041</v>
      </c>
      <c r="Z908" t="str">
        <f t="shared" si="36"/>
        <v>Y</v>
      </c>
      <c r="AA908" t="s">
        <v>2054</v>
      </c>
      <c r="AB908" t="s">
        <v>3117</v>
      </c>
      <c r="AC908" s="9" t="s">
        <v>3118</v>
      </c>
    </row>
    <row r="909" spans="2:29">
      <c r="B909" t="s">
        <v>393</v>
      </c>
      <c r="C909" t="s">
        <v>3112</v>
      </c>
      <c r="D909" t="s">
        <v>3113</v>
      </c>
      <c r="E909">
        <v>2018</v>
      </c>
      <c r="F909" t="s">
        <v>3252</v>
      </c>
      <c r="G909" t="s">
        <v>554</v>
      </c>
      <c r="H909" s="6">
        <v>57.28</v>
      </c>
      <c r="I909" s="6">
        <v>17.97</v>
      </c>
      <c r="J909" s="6">
        <v>1974</v>
      </c>
      <c r="K909" s="6">
        <v>2016</v>
      </c>
      <c r="L909" s="6">
        <f t="shared" si="37"/>
        <v>43</v>
      </c>
      <c r="M909" t="s">
        <v>2036</v>
      </c>
      <c r="N909" t="s">
        <v>394</v>
      </c>
      <c r="O909" t="s">
        <v>394</v>
      </c>
      <c r="P909" t="s">
        <v>2291</v>
      </c>
      <c r="Q909" t="s">
        <v>984</v>
      </c>
      <c r="R909" t="s">
        <v>3145</v>
      </c>
      <c r="V909">
        <v>5.6000000000000005</v>
      </c>
      <c r="W909" t="str">
        <f t="shared" si="35"/>
        <v>N</v>
      </c>
      <c r="X909" t="s">
        <v>2041</v>
      </c>
      <c r="Z909" t="str">
        <f t="shared" si="36"/>
        <v>Y</v>
      </c>
      <c r="AA909" t="s">
        <v>2054</v>
      </c>
      <c r="AB909" t="s">
        <v>3117</v>
      </c>
      <c r="AC909" s="9" t="s">
        <v>3118</v>
      </c>
    </row>
    <row r="910" spans="2:29">
      <c r="B910" t="s">
        <v>393</v>
      </c>
      <c r="C910" t="s">
        <v>3112</v>
      </c>
      <c r="D910" t="s">
        <v>3113</v>
      </c>
      <c r="E910">
        <v>2018</v>
      </c>
      <c r="F910" t="s">
        <v>3252</v>
      </c>
      <c r="G910" t="s">
        <v>554</v>
      </c>
      <c r="H910" s="6">
        <v>57.28</v>
      </c>
      <c r="I910" s="6">
        <v>17.97</v>
      </c>
      <c r="J910" s="6">
        <v>2007</v>
      </c>
      <c r="K910" s="6">
        <v>2012</v>
      </c>
      <c r="L910" s="6">
        <f t="shared" si="37"/>
        <v>6</v>
      </c>
      <c r="M910" t="s">
        <v>2036</v>
      </c>
      <c r="N910" t="s">
        <v>394</v>
      </c>
      <c r="O910" t="s">
        <v>394</v>
      </c>
      <c r="P910" t="s">
        <v>2414</v>
      </c>
      <c r="Q910" t="s">
        <v>437</v>
      </c>
      <c r="R910" t="s">
        <v>3126</v>
      </c>
      <c r="V910">
        <v>16.7</v>
      </c>
      <c r="W910" t="str">
        <f t="shared" si="35"/>
        <v>N</v>
      </c>
      <c r="X910" t="s">
        <v>2058</v>
      </c>
      <c r="Z910" t="str">
        <f t="shared" si="36"/>
        <v>N</v>
      </c>
      <c r="AA910" t="s">
        <v>2054</v>
      </c>
      <c r="AB910" t="s">
        <v>3117</v>
      </c>
      <c r="AC910" s="9" t="s">
        <v>3118</v>
      </c>
    </row>
    <row r="911" spans="2:29">
      <c r="B911" t="s">
        <v>393</v>
      </c>
      <c r="C911" t="s">
        <v>3112</v>
      </c>
      <c r="D911" t="s">
        <v>3113</v>
      </c>
      <c r="E911">
        <v>2018</v>
      </c>
      <c r="F911" t="s">
        <v>3252</v>
      </c>
      <c r="G911" t="s">
        <v>554</v>
      </c>
      <c r="H911" s="6">
        <v>57.28</v>
      </c>
      <c r="I911" s="6">
        <v>17.97</v>
      </c>
      <c r="J911" s="6">
        <v>2007</v>
      </c>
      <c r="K911" s="6">
        <v>2012</v>
      </c>
      <c r="L911" s="6">
        <f t="shared" si="37"/>
        <v>6</v>
      </c>
      <c r="M911" t="s">
        <v>2036</v>
      </c>
      <c r="N911" t="s">
        <v>394</v>
      </c>
      <c r="O911" t="s">
        <v>394</v>
      </c>
      <c r="P911" t="s">
        <v>2414</v>
      </c>
      <c r="Q911" t="s">
        <v>437</v>
      </c>
      <c r="R911" t="s">
        <v>3145</v>
      </c>
      <c r="V911">
        <v>-1.6</v>
      </c>
      <c r="W911" t="str">
        <f t="shared" si="35"/>
        <v>Y</v>
      </c>
      <c r="X911" t="s">
        <v>2058</v>
      </c>
      <c r="Z911" t="str">
        <f t="shared" si="36"/>
        <v>N</v>
      </c>
      <c r="AA911" t="s">
        <v>2054</v>
      </c>
      <c r="AB911" t="s">
        <v>3117</v>
      </c>
      <c r="AC911" s="9" t="s">
        <v>3118</v>
      </c>
    </row>
    <row r="912" spans="2:29">
      <c r="B912" t="s">
        <v>393</v>
      </c>
      <c r="C912" t="s">
        <v>3112</v>
      </c>
      <c r="D912" t="s">
        <v>3113</v>
      </c>
      <c r="E912">
        <v>2018</v>
      </c>
      <c r="F912" t="s">
        <v>3253</v>
      </c>
      <c r="G912" t="s">
        <v>554</v>
      </c>
      <c r="H912" s="6">
        <v>57.1</v>
      </c>
      <c r="I912" s="6">
        <v>-170.15</v>
      </c>
      <c r="J912" s="6">
        <v>1975</v>
      </c>
      <c r="K912" s="6">
        <v>2015</v>
      </c>
      <c r="L912" s="6">
        <f t="shared" si="37"/>
        <v>41</v>
      </c>
      <c r="M912" t="s">
        <v>2036</v>
      </c>
      <c r="N912" t="s">
        <v>394</v>
      </c>
      <c r="O912" t="s">
        <v>394</v>
      </c>
      <c r="P912" t="s">
        <v>2293</v>
      </c>
      <c r="Q912" t="s">
        <v>465</v>
      </c>
      <c r="R912" t="s">
        <v>3126</v>
      </c>
      <c r="V912">
        <v>-5.5</v>
      </c>
      <c r="W912" t="str">
        <f t="shared" si="35"/>
        <v>Y</v>
      </c>
      <c r="X912" t="s">
        <v>2041</v>
      </c>
      <c r="Z912" t="str">
        <f t="shared" si="36"/>
        <v>Y</v>
      </c>
      <c r="AA912" t="s">
        <v>2054</v>
      </c>
      <c r="AB912" t="s">
        <v>3117</v>
      </c>
      <c r="AC912" s="9" t="s">
        <v>3118</v>
      </c>
    </row>
    <row r="913" spans="2:29">
      <c r="B913" t="s">
        <v>393</v>
      </c>
      <c r="C913" t="s">
        <v>3112</v>
      </c>
      <c r="D913" t="s">
        <v>3113</v>
      </c>
      <c r="E913">
        <v>2018</v>
      </c>
      <c r="F913" t="s">
        <v>3253</v>
      </c>
      <c r="G913" t="s">
        <v>554</v>
      </c>
      <c r="H913" s="6">
        <v>57.1</v>
      </c>
      <c r="I913" s="6">
        <v>-170.15</v>
      </c>
      <c r="J913" s="6">
        <v>1975</v>
      </c>
      <c r="K913" s="6">
        <v>2015</v>
      </c>
      <c r="L913" s="6">
        <f t="shared" si="37"/>
        <v>41</v>
      </c>
      <c r="M913" t="s">
        <v>2036</v>
      </c>
      <c r="N913" t="s">
        <v>394</v>
      </c>
      <c r="O913" t="s">
        <v>394</v>
      </c>
      <c r="P913" t="s">
        <v>2291</v>
      </c>
      <c r="Q913" t="s">
        <v>984</v>
      </c>
      <c r="R913" t="s">
        <v>3126</v>
      </c>
      <c r="V913">
        <v>-0.5</v>
      </c>
      <c r="W913" t="str">
        <f t="shared" si="35"/>
        <v>Y</v>
      </c>
      <c r="X913" t="s">
        <v>2041</v>
      </c>
      <c r="Z913" t="str">
        <f t="shared" si="36"/>
        <v>Y</v>
      </c>
      <c r="AA913" t="s">
        <v>2054</v>
      </c>
      <c r="AB913" t="s">
        <v>3117</v>
      </c>
      <c r="AC913" s="9" t="s">
        <v>3118</v>
      </c>
    </row>
    <row r="914" spans="2:29">
      <c r="B914" t="s">
        <v>393</v>
      </c>
      <c r="C914" t="s">
        <v>3112</v>
      </c>
      <c r="D914" t="s">
        <v>3113</v>
      </c>
      <c r="E914">
        <v>2018</v>
      </c>
      <c r="F914" t="s">
        <v>3253</v>
      </c>
      <c r="G914" t="s">
        <v>554</v>
      </c>
      <c r="H914" s="6">
        <v>57.1</v>
      </c>
      <c r="I914" s="6">
        <v>-170.15</v>
      </c>
      <c r="J914" s="6">
        <v>1976</v>
      </c>
      <c r="K914" s="6">
        <v>2015</v>
      </c>
      <c r="L914" s="6">
        <f t="shared" si="37"/>
        <v>40</v>
      </c>
      <c r="M914" t="s">
        <v>2036</v>
      </c>
      <c r="N914" t="s">
        <v>394</v>
      </c>
      <c r="O914" t="s">
        <v>394</v>
      </c>
      <c r="P914" t="s">
        <v>3254</v>
      </c>
      <c r="Q914" t="s">
        <v>3255</v>
      </c>
      <c r="R914" t="s">
        <v>3126</v>
      </c>
      <c r="V914">
        <v>1</v>
      </c>
      <c r="W914" t="str">
        <f t="shared" si="35"/>
        <v>N</v>
      </c>
      <c r="X914" t="s">
        <v>2041</v>
      </c>
      <c r="Z914" t="str">
        <f t="shared" si="36"/>
        <v>Y</v>
      </c>
      <c r="AA914" t="s">
        <v>2054</v>
      </c>
      <c r="AB914" t="s">
        <v>3117</v>
      </c>
      <c r="AC914" s="9" t="s">
        <v>3118</v>
      </c>
    </row>
    <row r="915" spans="2:29">
      <c r="B915" t="s">
        <v>393</v>
      </c>
      <c r="C915" t="s">
        <v>3112</v>
      </c>
      <c r="D915" t="s">
        <v>3113</v>
      </c>
      <c r="E915">
        <v>2018</v>
      </c>
      <c r="F915" t="s">
        <v>3253</v>
      </c>
      <c r="G915" t="s">
        <v>554</v>
      </c>
      <c r="H915" s="6">
        <v>57.1</v>
      </c>
      <c r="I915" s="6">
        <v>-170.15</v>
      </c>
      <c r="J915" s="6">
        <v>1975</v>
      </c>
      <c r="K915" s="6">
        <v>2014</v>
      </c>
      <c r="L915" s="6">
        <f t="shared" si="37"/>
        <v>40</v>
      </c>
      <c r="M915" t="s">
        <v>2036</v>
      </c>
      <c r="N915" t="s">
        <v>394</v>
      </c>
      <c r="O915" t="s">
        <v>394</v>
      </c>
      <c r="P915" t="s">
        <v>2369</v>
      </c>
      <c r="Q915" t="s">
        <v>2366</v>
      </c>
      <c r="R915" t="s">
        <v>3126</v>
      </c>
      <c r="V915">
        <v>-7.9</v>
      </c>
      <c r="W915" t="str">
        <f t="shared" si="35"/>
        <v>Y</v>
      </c>
      <c r="X915" t="s">
        <v>2041</v>
      </c>
      <c r="Z915" t="str">
        <f t="shared" si="36"/>
        <v>Y</v>
      </c>
      <c r="AA915" t="s">
        <v>2054</v>
      </c>
      <c r="AB915" t="s">
        <v>3117</v>
      </c>
      <c r="AC915" s="9" t="s">
        <v>3118</v>
      </c>
    </row>
    <row r="916" spans="2:29">
      <c r="B916" t="s">
        <v>393</v>
      </c>
      <c r="C916" t="s">
        <v>3112</v>
      </c>
      <c r="D916" t="s">
        <v>3113</v>
      </c>
      <c r="E916">
        <v>2018</v>
      </c>
      <c r="F916" t="s">
        <v>3253</v>
      </c>
      <c r="G916" t="s">
        <v>554</v>
      </c>
      <c r="H916" s="6">
        <v>57.1</v>
      </c>
      <c r="I916" s="6">
        <v>-170.15</v>
      </c>
      <c r="J916" s="6">
        <v>1975</v>
      </c>
      <c r="K916" s="6">
        <v>2015</v>
      </c>
      <c r="L916" s="6">
        <f t="shared" si="37"/>
        <v>41</v>
      </c>
      <c r="M916" t="s">
        <v>2036</v>
      </c>
      <c r="N916" t="s">
        <v>394</v>
      </c>
      <c r="O916" t="s">
        <v>394</v>
      </c>
      <c r="P916" t="s">
        <v>2371</v>
      </c>
      <c r="Q916" t="s">
        <v>469</v>
      </c>
      <c r="R916" t="s">
        <v>3126</v>
      </c>
      <c r="V916">
        <v>2</v>
      </c>
      <c r="W916" t="str">
        <f t="shared" si="35"/>
        <v>N</v>
      </c>
      <c r="X916" t="s">
        <v>2041</v>
      </c>
      <c r="Z916" t="str">
        <f t="shared" si="36"/>
        <v>Y</v>
      </c>
      <c r="AA916" t="s">
        <v>2054</v>
      </c>
      <c r="AB916" t="s">
        <v>3117</v>
      </c>
      <c r="AC916" s="9" t="s">
        <v>3118</v>
      </c>
    </row>
    <row r="917" spans="2:29">
      <c r="B917" t="s">
        <v>393</v>
      </c>
      <c r="C917" t="s">
        <v>3112</v>
      </c>
      <c r="D917" t="s">
        <v>3113</v>
      </c>
      <c r="E917">
        <v>2018</v>
      </c>
      <c r="F917" t="s">
        <v>3256</v>
      </c>
      <c r="G917" t="s">
        <v>505</v>
      </c>
      <c r="H917" s="6">
        <v>-71.53</v>
      </c>
      <c r="I917" s="6">
        <v>5.0999999999999996</v>
      </c>
      <c r="J917" s="6">
        <v>1992</v>
      </c>
      <c r="K917" s="6">
        <v>2014</v>
      </c>
      <c r="L917" s="6">
        <f t="shared" si="37"/>
        <v>23</v>
      </c>
      <c r="M917" t="s">
        <v>2036</v>
      </c>
      <c r="N917" t="s">
        <v>394</v>
      </c>
      <c r="O917" t="s">
        <v>394</v>
      </c>
      <c r="P917" t="s">
        <v>3257</v>
      </c>
      <c r="Q917" t="s">
        <v>2317</v>
      </c>
      <c r="R917" t="s">
        <v>3116</v>
      </c>
      <c r="V917">
        <v>1.4000000000000001</v>
      </c>
      <c r="W917" t="str">
        <f t="shared" si="35"/>
        <v>N</v>
      </c>
      <c r="X917" t="s">
        <v>2041</v>
      </c>
      <c r="Z917" t="str">
        <f t="shared" si="36"/>
        <v>Y</v>
      </c>
      <c r="AA917" t="s">
        <v>2054</v>
      </c>
      <c r="AB917" t="s">
        <v>3117</v>
      </c>
      <c r="AC917" s="9" t="s">
        <v>3118</v>
      </c>
    </row>
    <row r="918" spans="2:29">
      <c r="B918" t="s">
        <v>393</v>
      </c>
      <c r="C918" t="s">
        <v>3112</v>
      </c>
      <c r="D918" t="s">
        <v>3113</v>
      </c>
      <c r="E918">
        <v>2018</v>
      </c>
      <c r="F918" t="s">
        <v>3256</v>
      </c>
      <c r="G918" t="s">
        <v>505</v>
      </c>
      <c r="H918" s="6">
        <v>-71.53</v>
      </c>
      <c r="I918" s="6">
        <v>5.0999999999999996</v>
      </c>
      <c r="J918" s="6">
        <v>1992</v>
      </c>
      <c r="K918" s="6">
        <v>2014</v>
      </c>
      <c r="L918" s="6">
        <f t="shared" si="37"/>
        <v>23</v>
      </c>
      <c r="M918" t="s">
        <v>2036</v>
      </c>
      <c r="N918" t="s">
        <v>394</v>
      </c>
      <c r="O918" t="s">
        <v>394</v>
      </c>
      <c r="P918" t="s">
        <v>3257</v>
      </c>
      <c r="Q918" t="s">
        <v>2317</v>
      </c>
      <c r="R918" t="s">
        <v>3126</v>
      </c>
      <c r="V918">
        <v>1.4000000000000001</v>
      </c>
      <c r="W918" t="str">
        <f t="shared" ref="W918:W927" si="38">IF(V918&lt;0,"Y","N")</f>
        <v>N</v>
      </c>
      <c r="X918" t="s">
        <v>2041</v>
      </c>
      <c r="Z918" t="str">
        <f t="shared" si="36"/>
        <v>Y</v>
      </c>
      <c r="AA918" t="s">
        <v>2054</v>
      </c>
      <c r="AB918" t="s">
        <v>3117</v>
      </c>
      <c r="AC918" s="9" t="s">
        <v>3118</v>
      </c>
    </row>
    <row r="919" spans="2:29">
      <c r="B919" t="s">
        <v>393</v>
      </c>
      <c r="C919" t="s">
        <v>3112</v>
      </c>
      <c r="D919" t="s">
        <v>3113</v>
      </c>
      <c r="E919">
        <v>2018</v>
      </c>
      <c r="F919" t="s">
        <v>3256</v>
      </c>
      <c r="G919" t="s">
        <v>505</v>
      </c>
      <c r="H919" s="6">
        <v>-71.53</v>
      </c>
      <c r="I919" s="6">
        <v>5.0999999999999996</v>
      </c>
      <c r="J919" s="6">
        <v>1992</v>
      </c>
      <c r="K919" s="6">
        <v>2014</v>
      </c>
      <c r="L919" s="6">
        <f t="shared" si="37"/>
        <v>23</v>
      </c>
      <c r="M919" t="s">
        <v>2036</v>
      </c>
      <c r="N919" t="s">
        <v>394</v>
      </c>
      <c r="O919" t="s">
        <v>394</v>
      </c>
      <c r="P919" t="s">
        <v>3257</v>
      </c>
      <c r="Q919" t="s">
        <v>2317</v>
      </c>
      <c r="R919" t="s">
        <v>3137</v>
      </c>
      <c r="V919">
        <v>1.2</v>
      </c>
      <c r="W919" t="str">
        <f t="shared" si="38"/>
        <v>N</v>
      </c>
      <c r="X919" t="s">
        <v>2041</v>
      </c>
      <c r="Z919" t="str">
        <f t="shared" si="36"/>
        <v>Y</v>
      </c>
      <c r="AA919" t="s">
        <v>2054</v>
      </c>
      <c r="AB919" t="s">
        <v>3117</v>
      </c>
      <c r="AC919" s="9" t="s">
        <v>3118</v>
      </c>
    </row>
    <row r="920" spans="2:29">
      <c r="B920" t="s">
        <v>393</v>
      </c>
      <c r="C920" t="s">
        <v>3112</v>
      </c>
      <c r="D920" t="s">
        <v>3113</v>
      </c>
      <c r="E920">
        <v>2018</v>
      </c>
      <c r="F920" t="s">
        <v>3258</v>
      </c>
      <c r="G920" t="s">
        <v>554</v>
      </c>
      <c r="H920" s="6">
        <v>44.42</v>
      </c>
      <c r="I920" s="6">
        <v>141.31</v>
      </c>
      <c r="J920" s="6">
        <v>1980</v>
      </c>
      <c r="K920" s="6">
        <v>2007</v>
      </c>
      <c r="L920" s="6">
        <f t="shared" si="37"/>
        <v>28</v>
      </c>
      <c r="M920" t="s">
        <v>2036</v>
      </c>
      <c r="N920" t="s">
        <v>394</v>
      </c>
      <c r="O920" t="s">
        <v>394</v>
      </c>
      <c r="P920" t="s">
        <v>3259</v>
      </c>
      <c r="Q920" t="s">
        <v>3260</v>
      </c>
      <c r="R920" t="s">
        <v>3142</v>
      </c>
      <c r="V920">
        <v>-1</v>
      </c>
      <c r="W920" t="str">
        <f t="shared" si="38"/>
        <v>Y</v>
      </c>
      <c r="X920" t="s">
        <v>2041</v>
      </c>
      <c r="Z920" t="str">
        <f t="shared" si="36"/>
        <v>Y</v>
      </c>
      <c r="AA920" t="s">
        <v>2054</v>
      </c>
      <c r="AB920" t="s">
        <v>3117</v>
      </c>
      <c r="AC920" s="9" t="s">
        <v>3118</v>
      </c>
    </row>
    <row r="921" spans="2:29">
      <c r="B921" t="s">
        <v>393</v>
      </c>
      <c r="C921" t="s">
        <v>3112</v>
      </c>
      <c r="D921" t="s">
        <v>3113</v>
      </c>
      <c r="E921">
        <v>2018</v>
      </c>
      <c r="F921" t="s">
        <v>3258</v>
      </c>
      <c r="G921" t="s">
        <v>554</v>
      </c>
      <c r="H921" s="6">
        <v>44.42</v>
      </c>
      <c r="I921" s="6">
        <v>141.31</v>
      </c>
      <c r="J921" s="6">
        <v>1992</v>
      </c>
      <c r="K921" s="6">
        <v>2015</v>
      </c>
      <c r="L921" s="6">
        <f t="shared" si="37"/>
        <v>24</v>
      </c>
      <c r="M921" t="s">
        <v>2036</v>
      </c>
      <c r="N921" t="s">
        <v>394</v>
      </c>
      <c r="O921" t="s">
        <v>394</v>
      </c>
      <c r="P921" t="s">
        <v>3261</v>
      </c>
      <c r="Q921" t="s">
        <v>3262</v>
      </c>
      <c r="R921" t="s">
        <v>3126</v>
      </c>
      <c r="V921">
        <v>9.6999999999999993</v>
      </c>
      <c r="W921" t="str">
        <f t="shared" si="38"/>
        <v>N</v>
      </c>
      <c r="X921" t="s">
        <v>2041</v>
      </c>
      <c r="Z921" t="str">
        <f t="shared" si="36"/>
        <v>Y</v>
      </c>
      <c r="AA921" t="s">
        <v>2054</v>
      </c>
      <c r="AB921" t="s">
        <v>3117</v>
      </c>
      <c r="AC921" s="9" t="s">
        <v>3118</v>
      </c>
    </row>
    <row r="922" spans="2:29">
      <c r="B922" t="s">
        <v>393</v>
      </c>
      <c r="C922" t="s">
        <v>3112</v>
      </c>
      <c r="D922" t="s">
        <v>3113</v>
      </c>
      <c r="E922">
        <v>2018</v>
      </c>
      <c r="F922" t="s">
        <v>3258</v>
      </c>
      <c r="G922" t="s">
        <v>554</v>
      </c>
      <c r="H922" s="6">
        <v>44.42</v>
      </c>
      <c r="I922" s="6">
        <v>141.31</v>
      </c>
      <c r="J922" s="6">
        <v>1984</v>
      </c>
      <c r="K922" s="6">
        <v>2015</v>
      </c>
      <c r="L922" s="6">
        <f t="shared" si="37"/>
        <v>32</v>
      </c>
      <c r="M922" t="s">
        <v>2036</v>
      </c>
      <c r="N922" t="s">
        <v>394</v>
      </c>
      <c r="O922" t="s">
        <v>394</v>
      </c>
      <c r="P922" t="s">
        <v>3246</v>
      </c>
      <c r="Q922" t="s">
        <v>2083</v>
      </c>
      <c r="R922" t="s">
        <v>3126</v>
      </c>
      <c r="V922">
        <v>2.6</v>
      </c>
      <c r="W922" t="str">
        <f t="shared" si="38"/>
        <v>N</v>
      </c>
      <c r="X922" t="s">
        <v>2041</v>
      </c>
      <c r="Z922" t="str">
        <f t="shared" si="36"/>
        <v>Y</v>
      </c>
      <c r="AA922" t="s">
        <v>2054</v>
      </c>
      <c r="AB922" t="s">
        <v>3117</v>
      </c>
      <c r="AC922" s="9" t="s">
        <v>3118</v>
      </c>
    </row>
    <row r="923" spans="2:29">
      <c r="B923" t="s">
        <v>393</v>
      </c>
      <c r="C923" t="s">
        <v>3112</v>
      </c>
      <c r="D923" t="s">
        <v>3113</v>
      </c>
      <c r="E923">
        <v>2018</v>
      </c>
      <c r="F923" t="s">
        <v>3263</v>
      </c>
      <c r="G923" t="s">
        <v>554</v>
      </c>
      <c r="H923" s="6">
        <v>57.69</v>
      </c>
      <c r="I923" s="6">
        <v>-2.2999999999999998</v>
      </c>
      <c r="J923" s="6">
        <v>1990</v>
      </c>
      <c r="K923" s="6">
        <v>2011</v>
      </c>
      <c r="L923" s="6">
        <f t="shared" si="37"/>
        <v>22</v>
      </c>
      <c r="M923" t="s">
        <v>2036</v>
      </c>
      <c r="N923" t="s">
        <v>394</v>
      </c>
      <c r="O923" t="s">
        <v>394</v>
      </c>
      <c r="P923" t="s">
        <v>3136</v>
      </c>
      <c r="Q923" t="s">
        <v>2939</v>
      </c>
      <c r="R923" t="s">
        <v>3137</v>
      </c>
      <c r="V923">
        <v>-3.8</v>
      </c>
      <c r="W923" t="str">
        <f t="shared" si="38"/>
        <v>Y</v>
      </c>
      <c r="X923" t="s">
        <v>2041</v>
      </c>
      <c r="Z923" t="str">
        <f t="shared" si="36"/>
        <v>Y</v>
      </c>
      <c r="AA923" t="s">
        <v>2054</v>
      </c>
      <c r="AB923" t="s">
        <v>3117</v>
      </c>
      <c r="AC923" s="9" t="s">
        <v>3118</v>
      </c>
    </row>
    <row r="924" spans="2:29">
      <c r="B924" t="s">
        <v>393</v>
      </c>
      <c r="C924" t="s">
        <v>3112</v>
      </c>
      <c r="D924" t="s">
        <v>3113</v>
      </c>
      <c r="E924">
        <v>2018</v>
      </c>
      <c r="F924" t="s">
        <v>3264</v>
      </c>
      <c r="G924" t="s">
        <v>554</v>
      </c>
      <c r="H924" s="6">
        <v>70.44</v>
      </c>
      <c r="I924" s="6">
        <v>-21.35</v>
      </c>
      <c r="J924" s="6">
        <v>2005</v>
      </c>
      <c r="K924" s="6">
        <v>2015</v>
      </c>
      <c r="L924" s="6">
        <f t="shared" si="37"/>
        <v>11</v>
      </c>
      <c r="M924" t="s">
        <v>2036</v>
      </c>
      <c r="N924" t="s">
        <v>394</v>
      </c>
      <c r="O924" t="s">
        <v>394</v>
      </c>
      <c r="P924" t="s">
        <v>3265</v>
      </c>
      <c r="Q924" t="s">
        <v>2491</v>
      </c>
      <c r="R924" t="s">
        <v>3137</v>
      </c>
      <c r="V924">
        <v>3.3000000000000003</v>
      </c>
      <c r="W924" t="str">
        <f t="shared" si="38"/>
        <v>N</v>
      </c>
      <c r="X924" t="s">
        <v>2058</v>
      </c>
      <c r="Z924" t="str">
        <f t="shared" si="36"/>
        <v>N</v>
      </c>
      <c r="AA924" t="s">
        <v>2054</v>
      </c>
      <c r="AB924" t="s">
        <v>3117</v>
      </c>
      <c r="AC924" s="9" t="s">
        <v>3118</v>
      </c>
    </row>
    <row r="925" spans="2:29">
      <c r="B925" t="s">
        <v>393</v>
      </c>
      <c r="C925" t="s">
        <v>3112</v>
      </c>
      <c r="D925" t="s">
        <v>3113</v>
      </c>
      <c r="E925">
        <v>2018</v>
      </c>
      <c r="F925" t="s">
        <v>3266</v>
      </c>
      <c r="G925" t="s">
        <v>554</v>
      </c>
      <c r="H925" s="6">
        <v>27.83</v>
      </c>
      <c r="I925" s="6">
        <v>-15.79</v>
      </c>
      <c r="J925" s="6">
        <v>2003</v>
      </c>
      <c r="K925" s="6">
        <v>2014</v>
      </c>
      <c r="L925" s="6">
        <f t="shared" si="37"/>
        <v>12</v>
      </c>
      <c r="M925" t="s">
        <v>2036</v>
      </c>
      <c r="N925" t="s">
        <v>394</v>
      </c>
      <c r="O925" t="s">
        <v>394</v>
      </c>
      <c r="P925" t="s">
        <v>3267</v>
      </c>
      <c r="Q925" t="s">
        <v>3222</v>
      </c>
      <c r="R925" t="s">
        <v>3142</v>
      </c>
      <c r="V925">
        <v>14.9</v>
      </c>
      <c r="W925" t="str">
        <f t="shared" si="38"/>
        <v>N</v>
      </c>
      <c r="X925" t="s">
        <v>2058</v>
      </c>
      <c r="Z925" t="str">
        <f t="shared" si="36"/>
        <v>N</v>
      </c>
      <c r="AA925" t="s">
        <v>2054</v>
      </c>
      <c r="AB925" t="s">
        <v>3117</v>
      </c>
      <c r="AC925" s="9" t="s">
        <v>3118</v>
      </c>
    </row>
    <row r="926" spans="2:29">
      <c r="B926" t="s">
        <v>393</v>
      </c>
      <c r="C926" t="s">
        <v>3112</v>
      </c>
      <c r="D926" t="s">
        <v>3113</v>
      </c>
      <c r="E926">
        <v>2018</v>
      </c>
      <c r="F926" t="s">
        <v>3268</v>
      </c>
      <c r="G926" t="s">
        <v>554</v>
      </c>
      <c r="H926" s="6">
        <v>74.5</v>
      </c>
      <c r="I926" s="6">
        <v>-20.5</v>
      </c>
      <c r="J926" s="6">
        <v>1996</v>
      </c>
      <c r="K926" s="6">
        <v>2015</v>
      </c>
      <c r="L926" s="6">
        <f t="shared" si="37"/>
        <v>20</v>
      </c>
      <c r="M926" t="s">
        <v>2036</v>
      </c>
      <c r="N926" t="s">
        <v>394</v>
      </c>
      <c r="O926" t="s">
        <v>394</v>
      </c>
      <c r="P926" t="s">
        <v>3201</v>
      </c>
      <c r="Q926" t="s">
        <v>474</v>
      </c>
      <c r="R926" t="s">
        <v>3145</v>
      </c>
      <c r="V926">
        <v>0.3</v>
      </c>
      <c r="W926" t="str">
        <f t="shared" si="38"/>
        <v>N</v>
      </c>
      <c r="X926" t="s">
        <v>2041</v>
      </c>
      <c r="Z926" t="str">
        <f t="shared" si="36"/>
        <v>Y</v>
      </c>
      <c r="AA926" t="s">
        <v>2054</v>
      </c>
      <c r="AB926" t="s">
        <v>3117</v>
      </c>
      <c r="AC926" s="9" t="s">
        <v>3118</v>
      </c>
    </row>
    <row r="927" spans="2:29">
      <c r="B927" t="s">
        <v>393</v>
      </c>
      <c r="C927" t="s">
        <v>3269</v>
      </c>
      <c r="D927" t="s">
        <v>3270</v>
      </c>
      <c r="E927">
        <v>2023</v>
      </c>
      <c r="F927" t="s">
        <v>3271</v>
      </c>
      <c r="G927" t="s">
        <v>505</v>
      </c>
      <c r="H927" s="6">
        <v>-64.8</v>
      </c>
      <c r="I927" s="6">
        <v>-64.099999999999994</v>
      </c>
      <c r="J927" s="6">
        <v>1991</v>
      </c>
      <c r="K927" s="6">
        <v>2016</v>
      </c>
      <c r="L927" s="6">
        <f t="shared" si="37"/>
        <v>26</v>
      </c>
      <c r="M927" t="s">
        <v>2036</v>
      </c>
      <c r="N927" t="s">
        <v>394</v>
      </c>
      <c r="O927" t="s">
        <v>394</v>
      </c>
      <c r="P927" t="s">
        <v>3272</v>
      </c>
      <c r="Q927" t="s">
        <v>645</v>
      </c>
      <c r="R927" t="s">
        <v>3273</v>
      </c>
      <c r="V927">
        <v>-0.72</v>
      </c>
      <c r="W927" t="str">
        <f t="shared" si="38"/>
        <v>Y</v>
      </c>
      <c r="X927" t="s">
        <v>2041</v>
      </c>
      <c r="Z927" t="str">
        <f t="shared" si="36"/>
        <v>Y</v>
      </c>
      <c r="AA927" t="s">
        <v>3274</v>
      </c>
      <c r="AB927" t="s">
        <v>3275</v>
      </c>
      <c r="AC927" s="9" t="s">
        <v>3276</v>
      </c>
    </row>
    <row r="928" spans="2:29">
      <c r="B928" t="s">
        <v>3277</v>
      </c>
      <c r="C928" t="s">
        <v>3278</v>
      </c>
      <c r="D928" t="s">
        <v>3279</v>
      </c>
      <c r="E928">
        <v>2021</v>
      </c>
      <c r="F928" t="s">
        <v>3280</v>
      </c>
      <c r="G928" t="s">
        <v>505</v>
      </c>
      <c r="H928" s="6">
        <v>-66.67</v>
      </c>
      <c r="I928" s="6">
        <v>140.01666700000001</v>
      </c>
      <c r="J928" s="6">
        <v>1993</v>
      </c>
      <c r="K928" s="6">
        <v>2018</v>
      </c>
      <c r="L928" s="6">
        <f t="shared" si="37"/>
        <v>26</v>
      </c>
      <c r="M928" t="s">
        <v>2036</v>
      </c>
      <c r="N928" t="s">
        <v>394</v>
      </c>
      <c r="O928" t="s">
        <v>394</v>
      </c>
      <c r="P928" t="s">
        <v>3281</v>
      </c>
      <c r="Q928" t="s">
        <v>2322</v>
      </c>
      <c r="R928" t="s">
        <v>3282</v>
      </c>
      <c r="V928">
        <v>1.2</v>
      </c>
      <c r="W928" t="s">
        <v>2041</v>
      </c>
      <c r="X928" t="s">
        <v>2041</v>
      </c>
      <c r="Z928" t="str">
        <f t="shared" si="36"/>
        <v>Y</v>
      </c>
      <c r="AA928" t="s">
        <v>3283</v>
      </c>
      <c r="AB928" t="s">
        <v>3284</v>
      </c>
      <c r="AC928" s="9" t="s">
        <v>3285</v>
      </c>
    </row>
    <row r="929" spans="2:29">
      <c r="B929" t="s">
        <v>393</v>
      </c>
      <c r="C929" t="s">
        <v>3286</v>
      </c>
      <c r="D929" t="s">
        <v>3287</v>
      </c>
      <c r="E929">
        <v>2024</v>
      </c>
      <c r="F929" t="s">
        <v>3288</v>
      </c>
      <c r="G929" t="s">
        <v>554</v>
      </c>
      <c r="H929" s="6">
        <v>53.511111</v>
      </c>
      <c r="I929" s="6">
        <v>8.1050000000000004</v>
      </c>
      <c r="J929" s="6">
        <v>1994</v>
      </c>
      <c r="K929" s="6">
        <v>2020</v>
      </c>
      <c r="L929" s="6">
        <f t="shared" si="37"/>
        <v>27</v>
      </c>
      <c r="M929" t="s">
        <v>2036</v>
      </c>
      <c r="N929" t="s">
        <v>394</v>
      </c>
      <c r="O929" t="s">
        <v>394</v>
      </c>
      <c r="P929" t="s">
        <v>2485</v>
      </c>
      <c r="Q929" t="s">
        <v>459</v>
      </c>
      <c r="R929" t="s">
        <v>2480</v>
      </c>
      <c r="V929">
        <v>-2</v>
      </c>
      <c r="W929" t="s">
        <v>2041</v>
      </c>
      <c r="X929" t="s">
        <v>2041</v>
      </c>
      <c r="Z929" t="str">
        <f t="shared" si="36"/>
        <v>Y</v>
      </c>
      <c r="AA929" t="s">
        <v>3289</v>
      </c>
      <c r="AB929" t="s">
        <v>3290</v>
      </c>
      <c r="AC929" s="9" t="s">
        <v>3291</v>
      </c>
    </row>
    <row r="930" spans="2:29">
      <c r="B930" t="s">
        <v>393</v>
      </c>
      <c r="C930" t="s">
        <v>3292</v>
      </c>
      <c r="D930" t="s">
        <v>3293</v>
      </c>
      <c r="E930">
        <v>2021</v>
      </c>
      <c r="F930" t="s">
        <v>3294</v>
      </c>
      <c r="G930" t="s">
        <v>554</v>
      </c>
      <c r="H930">
        <v>44.500036999999999</v>
      </c>
      <c r="I930" s="6">
        <v>-67.099999999999994</v>
      </c>
      <c r="J930" s="6">
        <v>1995</v>
      </c>
      <c r="K930" s="6">
        <v>2020</v>
      </c>
      <c r="L930" s="6">
        <f t="shared" si="37"/>
        <v>26</v>
      </c>
      <c r="M930" t="s">
        <v>2036</v>
      </c>
      <c r="N930" t="s">
        <v>394</v>
      </c>
      <c r="O930" t="s">
        <v>394</v>
      </c>
      <c r="P930" t="s">
        <v>3139</v>
      </c>
      <c r="Q930" t="s">
        <v>997</v>
      </c>
      <c r="R930" t="s">
        <v>3282</v>
      </c>
      <c r="V930">
        <v>0.13</v>
      </c>
      <c r="W930" t="s">
        <v>2041</v>
      </c>
      <c r="X930" t="s">
        <v>2041</v>
      </c>
      <c r="Z930" t="str">
        <f t="shared" si="36"/>
        <v>Y</v>
      </c>
      <c r="AA930" t="s">
        <v>2054</v>
      </c>
      <c r="AB930" t="s">
        <v>3295</v>
      </c>
      <c r="AC930" s="9" t="s">
        <v>3296</v>
      </c>
    </row>
    <row r="931" spans="2:29">
      <c r="B931" t="s">
        <v>393</v>
      </c>
      <c r="C931" t="s">
        <v>3292</v>
      </c>
      <c r="D931" t="s">
        <v>3293</v>
      </c>
      <c r="E931">
        <v>2021</v>
      </c>
      <c r="F931" t="s">
        <v>3294</v>
      </c>
      <c r="G931" t="s">
        <v>554</v>
      </c>
      <c r="H931">
        <v>44.500036999999999</v>
      </c>
      <c r="I931" s="6">
        <v>-67.099999999999994</v>
      </c>
      <c r="J931" s="6">
        <v>1995</v>
      </c>
      <c r="K931" s="6">
        <v>2020</v>
      </c>
      <c r="L931" s="6">
        <f t="shared" si="37"/>
        <v>26</v>
      </c>
      <c r="M931" t="s">
        <v>2036</v>
      </c>
      <c r="N931" t="s">
        <v>394</v>
      </c>
      <c r="O931" t="s">
        <v>394</v>
      </c>
      <c r="P931" t="s">
        <v>2414</v>
      </c>
      <c r="Q931" t="s">
        <v>437</v>
      </c>
      <c r="R931" t="s">
        <v>3282</v>
      </c>
      <c r="V931">
        <v>-2.5</v>
      </c>
      <c r="W931" t="s">
        <v>2058</v>
      </c>
      <c r="X931" t="s">
        <v>2041</v>
      </c>
      <c r="Z931" t="str">
        <f t="shared" si="36"/>
        <v>Y</v>
      </c>
      <c r="AA931" t="s">
        <v>2054</v>
      </c>
      <c r="AB931" t="s">
        <v>3295</v>
      </c>
      <c r="AC931" s="9" t="s">
        <v>3296</v>
      </c>
    </row>
    <row r="932" spans="2:29">
      <c r="B932" t="s">
        <v>393</v>
      </c>
      <c r="C932" t="s">
        <v>3292</v>
      </c>
      <c r="D932" t="s">
        <v>3293</v>
      </c>
      <c r="E932">
        <v>2021</v>
      </c>
      <c r="F932" t="s">
        <v>3294</v>
      </c>
      <c r="G932" t="s">
        <v>554</v>
      </c>
      <c r="H932">
        <v>44.500036999999999</v>
      </c>
      <c r="I932" s="6">
        <v>-67.099999999999994</v>
      </c>
      <c r="J932" s="6">
        <v>1995</v>
      </c>
      <c r="K932" s="6">
        <v>2020</v>
      </c>
      <c r="L932" s="6">
        <f t="shared" si="37"/>
        <v>26</v>
      </c>
      <c r="M932" t="s">
        <v>2036</v>
      </c>
      <c r="N932" t="s">
        <v>394</v>
      </c>
      <c r="O932" t="s">
        <v>394</v>
      </c>
      <c r="P932" t="s">
        <v>3139</v>
      </c>
      <c r="Q932" t="s">
        <v>997</v>
      </c>
      <c r="R932" t="s">
        <v>3297</v>
      </c>
      <c r="V932">
        <v>1.04</v>
      </c>
      <c r="W932" t="s">
        <v>2041</v>
      </c>
      <c r="X932" t="s">
        <v>2041</v>
      </c>
      <c r="Z932" t="str">
        <f t="shared" si="36"/>
        <v>Y</v>
      </c>
      <c r="AA932" t="s">
        <v>2054</v>
      </c>
      <c r="AB932" t="s">
        <v>3298</v>
      </c>
      <c r="AC932" s="9" t="s">
        <v>3296</v>
      </c>
    </row>
    <row r="933" spans="2:29">
      <c r="B933" t="s">
        <v>393</v>
      </c>
      <c r="C933" t="s">
        <v>3299</v>
      </c>
      <c r="F933" t="s">
        <v>3300</v>
      </c>
      <c r="G933" t="s">
        <v>2035</v>
      </c>
      <c r="H933" s="6">
        <v>54.83</v>
      </c>
      <c r="I933" s="6">
        <v>109.13</v>
      </c>
      <c r="J933" s="24">
        <v>1938</v>
      </c>
      <c r="K933" s="24">
        <v>2000</v>
      </c>
      <c r="L933" s="6">
        <f t="shared" si="37"/>
        <v>63</v>
      </c>
      <c r="M933" t="s">
        <v>2036</v>
      </c>
      <c r="N933" t="s">
        <v>394</v>
      </c>
      <c r="O933" t="s">
        <v>394</v>
      </c>
      <c r="Q933" t="s">
        <v>3301</v>
      </c>
      <c r="R933" t="s">
        <v>3302</v>
      </c>
      <c r="V933" s="25">
        <v>-0.17</v>
      </c>
      <c r="W933" t="str">
        <f t="shared" ref="W933:W996" si="39">IF(V933&lt;0,"Y","N")</f>
        <v>Y</v>
      </c>
      <c r="X933" t="str">
        <f t="shared" ref="X933:X996" si="40">IF(L933&gt;=19,"Y","N")</f>
        <v>Y</v>
      </c>
      <c r="Z933" t="str">
        <f t="shared" si="36"/>
        <v>Y</v>
      </c>
      <c r="AC933" s="9" t="s">
        <v>3303</v>
      </c>
    </row>
    <row r="934" spans="2:29">
      <c r="B934" t="s">
        <v>393</v>
      </c>
      <c r="C934" t="s">
        <v>3299</v>
      </c>
      <c r="F934" t="s">
        <v>3300</v>
      </c>
      <c r="G934" t="s">
        <v>2035</v>
      </c>
      <c r="H934" s="6">
        <v>54.83</v>
      </c>
      <c r="I934" s="6">
        <v>109.13</v>
      </c>
      <c r="J934" s="24">
        <v>1938</v>
      </c>
      <c r="K934" s="24">
        <v>2002</v>
      </c>
      <c r="L934" s="6">
        <f t="shared" si="37"/>
        <v>65</v>
      </c>
      <c r="M934" t="s">
        <v>2036</v>
      </c>
      <c r="N934" t="s">
        <v>394</v>
      </c>
      <c r="O934" t="s">
        <v>394</v>
      </c>
      <c r="Q934" t="s">
        <v>3304</v>
      </c>
      <c r="R934" t="s">
        <v>3302</v>
      </c>
      <c r="V934" s="25">
        <v>0</v>
      </c>
      <c r="W934" t="str">
        <f t="shared" si="39"/>
        <v>N</v>
      </c>
      <c r="X934" t="str">
        <f t="shared" si="40"/>
        <v>Y</v>
      </c>
      <c r="Z934" t="str">
        <f t="shared" si="36"/>
        <v>Y</v>
      </c>
      <c r="AC934" s="9" t="s">
        <v>3303</v>
      </c>
    </row>
    <row r="935" spans="2:29">
      <c r="B935" t="s">
        <v>393</v>
      </c>
      <c r="C935" t="s">
        <v>3305</v>
      </c>
      <c r="F935" t="s">
        <v>3306</v>
      </c>
      <c r="G935" t="s">
        <v>2035</v>
      </c>
      <c r="H935" s="6">
        <v>67.260000000000005</v>
      </c>
      <c r="I935" s="6">
        <v>11.52</v>
      </c>
      <c r="J935" s="24">
        <v>1978</v>
      </c>
      <c r="K935" s="24">
        <v>2011</v>
      </c>
      <c r="L935" s="6">
        <f t="shared" si="37"/>
        <v>34</v>
      </c>
      <c r="M935" t="s">
        <v>2036</v>
      </c>
      <c r="N935" t="s">
        <v>394</v>
      </c>
      <c r="O935" t="s">
        <v>394</v>
      </c>
      <c r="Q935" t="s">
        <v>3307</v>
      </c>
      <c r="R935" t="s">
        <v>3308</v>
      </c>
      <c r="V935" s="25">
        <v>1.3900000000000001</v>
      </c>
      <c r="W935" t="str">
        <f t="shared" si="39"/>
        <v>N</v>
      </c>
      <c r="X935" t="str">
        <f t="shared" si="40"/>
        <v>Y</v>
      </c>
      <c r="Z935" t="str">
        <f t="shared" si="36"/>
        <v>Y</v>
      </c>
      <c r="AC935" s="9" t="s">
        <v>3303</v>
      </c>
    </row>
    <row r="936" spans="2:29">
      <c r="B936" t="s">
        <v>393</v>
      </c>
      <c r="C936" t="s">
        <v>3305</v>
      </c>
      <c r="F936" t="s">
        <v>3309</v>
      </c>
      <c r="G936" t="s">
        <v>2035</v>
      </c>
      <c r="H936" s="6">
        <v>70.37</v>
      </c>
      <c r="I936" s="6">
        <v>31.13</v>
      </c>
      <c r="J936" s="24">
        <v>1980</v>
      </c>
      <c r="K936" s="24">
        <v>2011</v>
      </c>
      <c r="L936" s="6">
        <f t="shared" si="37"/>
        <v>32</v>
      </c>
      <c r="M936" t="s">
        <v>2036</v>
      </c>
      <c r="N936" t="s">
        <v>394</v>
      </c>
      <c r="O936" t="s">
        <v>394</v>
      </c>
      <c r="Q936" t="s">
        <v>3307</v>
      </c>
      <c r="R936" t="s">
        <v>3308</v>
      </c>
      <c r="V936" s="25">
        <v>-0.55000000000000004</v>
      </c>
      <c r="W936" t="str">
        <f t="shared" si="39"/>
        <v>Y</v>
      </c>
      <c r="X936" t="str">
        <f t="shared" si="40"/>
        <v>Y</v>
      </c>
      <c r="Z936" t="str">
        <f t="shared" si="36"/>
        <v>Y</v>
      </c>
      <c r="AC936" s="9" t="s">
        <v>3303</v>
      </c>
    </row>
    <row r="937" spans="2:29">
      <c r="B937" t="s">
        <v>393</v>
      </c>
      <c r="C937" t="s">
        <v>3310</v>
      </c>
      <c r="F937" t="s">
        <v>3311</v>
      </c>
      <c r="G937" t="s">
        <v>2035</v>
      </c>
      <c r="H937" s="6">
        <v>69.7</v>
      </c>
      <c r="I937" s="6">
        <v>18.899999999999999</v>
      </c>
      <c r="J937" s="24">
        <v>1980</v>
      </c>
      <c r="K937" s="24">
        <v>2010</v>
      </c>
      <c r="L937" s="6">
        <f t="shared" si="37"/>
        <v>31</v>
      </c>
      <c r="M937" t="s">
        <v>2036</v>
      </c>
      <c r="N937" t="s">
        <v>394</v>
      </c>
      <c r="O937" t="s">
        <v>394</v>
      </c>
      <c r="Q937" t="s">
        <v>3312</v>
      </c>
      <c r="R937" t="s">
        <v>3302</v>
      </c>
      <c r="V937" s="25">
        <v>0.89999999999999991</v>
      </c>
      <c r="W937" t="str">
        <f t="shared" si="39"/>
        <v>N</v>
      </c>
      <c r="X937" t="str">
        <f t="shared" si="40"/>
        <v>Y</v>
      </c>
      <c r="Z937" t="str">
        <f t="shared" si="36"/>
        <v>Y</v>
      </c>
      <c r="AC937" s="9" t="s">
        <v>3303</v>
      </c>
    </row>
    <row r="938" spans="2:29">
      <c r="B938" t="s">
        <v>393</v>
      </c>
      <c r="C938" t="s">
        <v>3313</v>
      </c>
      <c r="F938" t="s">
        <v>3314</v>
      </c>
      <c r="G938" t="s">
        <v>2035</v>
      </c>
      <c r="H938" s="6">
        <v>42.37</v>
      </c>
      <c r="I938" s="6">
        <v>-71.900000000000006</v>
      </c>
      <c r="J938" s="24">
        <v>1932</v>
      </c>
      <c r="K938" s="24">
        <v>1993</v>
      </c>
      <c r="L938" s="6">
        <f t="shared" si="37"/>
        <v>62</v>
      </c>
      <c r="M938" t="s">
        <v>2036</v>
      </c>
      <c r="N938" t="s">
        <v>394</v>
      </c>
      <c r="O938" t="s">
        <v>394</v>
      </c>
      <c r="Q938" t="s">
        <v>3304</v>
      </c>
      <c r="R938" t="s">
        <v>3302</v>
      </c>
      <c r="V938" s="25">
        <v>0.72</v>
      </c>
      <c r="W938" t="str">
        <f t="shared" si="39"/>
        <v>N</v>
      </c>
      <c r="X938" t="str">
        <f t="shared" si="40"/>
        <v>Y</v>
      </c>
      <c r="Z938" t="str">
        <f t="shared" si="36"/>
        <v>Y</v>
      </c>
      <c r="AC938" s="9" t="s">
        <v>3303</v>
      </c>
    </row>
    <row r="939" spans="2:29">
      <c r="B939" t="s">
        <v>393</v>
      </c>
      <c r="C939" t="s">
        <v>3315</v>
      </c>
      <c r="F939" t="s">
        <v>3316</v>
      </c>
      <c r="G939" t="s">
        <v>2035</v>
      </c>
      <c r="H939" s="6">
        <v>42.9</v>
      </c>
      <c r="I939" s="6">
        <v>-78.8</v>
      </c>
      <c r="J939" s="24">
        <v>1967</v>
      </c>
      <c r="K939" s="24">
        <v>2008</v>
      </c>
      <c r="L939" s="6">
        <f t="shared" si="37"/>
        <v>42</v>
      </c>
      <c r="M939" t="s">
        <v>2036</v>
      </c>
      <c r="N939" t="s">
        <v>394</v>
      </c>
      <c r="O939" t="s">
        <v>394</v>
      </c>
      <c r="Q939" t="s">
        <v>3317</v>
      </c>
      <c r="R939" t="s">
        <v>3302</v>
      </c>
      <c r="V939" s="25">
        <v>-4.6800000000000006</v>
      </c>
      <c r="W939" t="str">
        <f t="shared" si="39"/>
        <v>Y</v>
      </c>
      <c r="X939" t="str">
        <f t="shared" si="40"/>
        <v>Y</v>
      </c>
      <c r="Z939" t="str">
        <f t="shared" si="36"/>
        <v>Y</v>
      </c>
      <c r="AC939" s="9" t="s">
        <v>3303</v>
      </c>
    </row>
    <row r="940" spans="2:29">
      <c r="B940" t="s">
        <v>393</v>
      </c>
      <c r="C940" t="s">
        <v>3315</v>
      </c>
      <c r="F940" t="s">
        <v>3316</v>
      </c>
      <c r="G940" t="s">
        <v>2035</v>
      </c>
      <c r="H940" s="6">
        <v>42.9</v>
      </c>
      <c r="I940" s="6">
        <v>-78.8</v>
      </c>
      <c r="J940" s="24">
        <v>1967</v>
      </c>
      <c r="K940" s="24">
        <v>2008</v>
      </c>
      <c r="L940" s="6">
        <f t="shared" si="37"/>
        <v>42</v>
      </c>
      <c r="M940" t="s">
        <v>2036</v>
      </c>
      <c r="N940" t="s">
        <v>394</v>
      </c>
      <c r="O940" t="s">
        <v>394</v>
      </c>
      <c r="Q940" t="s">
        <v>3304</v>
      </c>
      <c r="R940" t="s">
        <v>3302</v>
      </c>
      <c r="V940" s="25">
        <v>-0.66</v>
      </c>
      <c r="W940" t="str">
        <f t="shared" si="39"/>
        <v>Y</v>
      </c>
      <c r="X940" t="str">
        <f t="shared" si="40"/>
        <v>Y</v>
      </c>
      <c r="Z940" t="str">
        <f t="shared" si="36"/>
        <v>Y</v>
      </c>
      <c r="AC940" s="9" t="s">
        <v>3303</v>
      </c>
    </row>
    <row r="941" spans="2:29">
      <c r="B941" t="s">
        <v>393</v>
      </c>
      <c r="C941" t="s">
        <v>3318</v>
      </c>
      <c r="F941" t="s">
        <v>3319</v>
      </c>
      <c r="G941" t="s">
        <v>2035</v>
      </c>
      <c r="H941" s="6">
        <v>53.3</v>
      </c>
      <c r="I941" s="6">
        <v>-6.3</v>
      </c>
      <c r="J941" s="24">
        <v>1980</v>
      </c>
      <c r="K941" s="24">
        <v>2003</v>
      </c>
      <c r="L941" s="6">
        <f t="shared" si="37"/>
        <v>24</v>
      </c>
      <c r="M941" t="s">
        <v>2036</v>
      </c>
      <c r="N941" t="s">
        <v>394</v>
      </c>
      <c r="O941" t="s">
        <v>394</v>
      </c>
      <c r="Q941" t="s">
        <v>3320</v>
      </c>
      <c r="R941" t="s">
        <v>3302</v>
      </c>
      <c r="V941" s="25">
        <v>-7.6049999999999995</v>
      </c>
      <c r="W941" t="str">
        <f t="shared" si="39"/>
        <v>Y</v>
      </c>
      <c r="X941" t="str">
        <f t="shared" si="40"/>
        <v>Y</v>
      </c>
      <c r="Z941" t="str">
        <f t="shared" si="36"/>
        <v>Y</v>
      </c>
      <c r="AC941" s="9" t="s">
        <v>3303</v>
      </c>
    </row>
    <row r="942" spans="2:29">
      <c r="B942" t="s">
        <v>393</v>
      </c>
      <c r="C942" t="s">
        <v>3321</v>
      </c>
      <c r="F942" t="s">
        <v>3322</v>
      </c>
      <c r="G942" t="s">
        <v>2286</v>
      </c>
      <c r="H942" s="6">
        <v>-31</v>
      </c>
      <c r="I942" s="6">
        <v>115.32</v>
      </c>
      <c r="J942" s="24">
        <v>1994</v>
      </c>
      <c r="K942" s="24">
        <v>2011</v>
      </c>
      <c r="L942" s="6">
        <f t="shared" si="37"/>
        <v>18</v>
      </c>
      <c r="M942" t="s">
        <v>2036</v>
      </c>
      <c r="N942" t="s">
        <v>394</v>
      </c>
      <c r="O942" t="s">
        <v>394</v>
      </c>
      <c r="Q942" t="s">
        <v>3323</v>
      </c>
      <c r="R942" t="s">
        <v>3308</v>
      </c>
      <c r="V942" s="25">
        <v>-3.55</v>
      </c>
      <c r="W942" t="str">
        <f t="shared" si="39"/>
        <v>Y</v>
      </c>
      <c r="X942" t="str">
        <f t="shared" si="40"/>
        <v>N</v>
      </c>
      <c r="Z942" t="str">
        <f t="shared" si="36"/>
        <v>N</v>
      </c>
      <c r="AC942" s="9" t="s">
        <v>3303</v>
      </c>
    </row>
    <row r="943" spans="2:29">
      <c r="B943" t="s">
        <v>393</v>
      </c>
      <c r="C943" t="s">
        <v>3321</v>
      </c>
      <c r="F943" t="s">
        <v>3324</v>
      </c>
      <c r="G943" t="s">
        <v>2286</v>
      </c>
      <c r="H943" s="6">
        <v>-32.299999999999997</v>
      </c>
      <c r="I943" s="6">
        <v>115.69</v>
      </c>
      <c r="J943" s="24">
        <v>1986</v>
      </c>
      <c r="K943" s="24">
        <v>2011</v>
      </c>
      <c r="L943" s="6">
        <f t="shared" si="37"/>
        <v>26</v>
      </c>
      <c r="M943" t="s">
        <v>2036</v>
      </c>
      <c r="N943" t="s">
        <v>394</v>
      </c>
      <c r="O943" t="s">
        <v>394</v>
      </c>
      <c r="Q943" t="s">
        <v>3325</v>
      </c>
      <c r="R943" t="s">
        <v>3308</v>
      </c>
      <c r="V943" s="25">
        <v>15.25</v>
      </c>
      <c r="W943" t="str">
        <f t="shared" si="39"/>
        <v>N</v>
      </c>
      <c r="X943" t="str">
        <f t="shared" si="40"/>
        <v>Y</v>
      </c>
      <c r="Z943" t="str">
        <f t="shared" si="36"/>
        <v>Y</v>
      </c>
      <c r="AC943" s="9" t="s">
        <v>3303</v>
      </c>
    </row>
    <row r="944" spans="2:29">
      <c r="B944" t="s">
        <v>393</v>
      </c>
      <c r="C944" t="s">
        <v>3326</v>
      </c>
      <c r="F944" t="s">
        <v>3327</v>
      </c>
      <c r="G944" t="s">
        <v>2035</v>
      </c>
      <c r="H944" s="6">
        <v>27.8</v>
      </c>
      <c r="I944" s="6">
        <v>-97.1</v>
      </c>
      <c r="J944" s="24">
        <v>1979</v>
      </c>
      <c r="K944" s="24">
        <v>2004</v>
      </c>
      <c r="L944" s="6">
        <f t="shared" si="37"/>
        <v>26</v>
      </c>
      <c r="M944" t="s">
        <v>2036</v>
      </c>
      <c r="N944" t="s">
        <v>394</v>
      </c>
      <c r="O944" t="s">
        <v>394</v>
      </c>
      <c r="Q944" t="s">
        <v>3328</v>
      </c>
      <c r="R944" t="s">
        <v>3329</v>
      </c>
      <c r="V944" s="25">
        <v>1.41</v>
      </c>
      <c r="W944" t="str">
        <f t="shared" si="39"/>
        <v>N</v>
      </c>
      <c r="X944" t="str">
        <f t="shared" si="40"/>
        <v>Y</v>
      </c>
      <c r="Z944" t="str">
        <f t="shared" si="36"/>
        <v>Y</v>
      </c>
      <c r="AC944" s="9" t="s">
        <v>3303</v>
      </c>
    </row>
    <row r="945" spans="2:29">
      <c r="B945" t="s">
        <v>393</v>
      </c>
      <c r="C945" t="s">
        <v>3326</v>
      </c>
      <c r="F945" t="s">
        <v>3327</v>
      </c>
      <c r="G945" t="s">
        <v>2035</v>
      </c>
      <c r="H945" s="6">
        <v>27.8</v>
      </c>
      <c r="I945" s="6">
        <v>-97.1</v>
      </c>
      <c r="J945" s="24">
        <v>1979</v>
      </c>
      <c r="K945" s="24">
        <v>2004</v>
      </c>
      <c r="L945" s="6">
        <f t="shared" si="37"/>
        <v>26</v>
      </c>
      <c r="M945" t="s">
        <v>2036</v>
      </c>
      <c r="N945" t="s">
        <v>394</v>
      </c>
      <c r="O945" t="s">
        <v>394</v>
      </c>
      <c r="Q945" t="s">
        <v>3330</v>
      </c>
      <c r="R945" t="s">
        <v>3302</v>
      </c>
      <c r="V945" s="25">
        <v>4.62</v>
      </c>
      <c r="W945" t="str">
        <f t="shared" si="39"/>
        <v>N</v>
      </c>
      <c r="X945" t="str">
        <f t="shared" si="40"/>
        <v>Y</v>
      </c>
      <c r="Z945" t="str">
        <f t="shared" si="36"/>
        <v>Y</v>
      </c>
      <c r="AC945" s="9" t="s">
        <v>3303</v>
      </c>
    </row>
    <row r="946" spans="2:29">
      <c r="B946" t="s">
        <v>393</v>
      </c>
      <c r="C946" t="s">
        <v>3326</v>
      </c>
      <c r="F946" t="s">
        <v>3327</v>
      </c>
      <c r="G946" t="s">
        <v>2035</v>
      </c>
      <c r="H946" s="6">
        <v>27.8</v>
      </c>
      <c r="I946" s="6">
        <v>-97.1</v>
      </c>
      <c r="J946" s="24">
        <v>1979</v>
      </c>
      <c r="K946" s="24">
        <v>2004</v>
      </c>
      <c r="L946" s="6">
        <f t="shared" si="37"/>
        <v>26</v>
      </c>
      <c r="M946" t="s">
        <v>2036</v>
      </c>
      <c r="N946" t="s">
        <v>394</v>
      </c>
      <c r="O946" t="s">
        <v>394</v>
      </c>
      <c r="Q946" t="s">
        <v>3330</v>
      </c>
      <c r="R946" t="s">
        <v>3329</v>
      </c>
      <c r="V946" s="25">
        <v>-3.93</v>
      </c>
      <c r="W946" t="str">
        <f t="shared" si="39"/>
        <v>Y</v>
      </c>
      <c r="X946" t="str">
        <f t="shared" si="40"/>
        <v>Y</v>
      </c>
      <c r="Z946" t="str">
        <f t="shared" si="36"/>
        <v>Y</v>
      </c>
      <c r="AC946" s="9" t="s">
        <v>3303</v>
      </c>
    </row>
    <row r="947" spans="2:29">
      <c r="B947" t="s">
        <v>393</v>
      </c>
      <c r="C947" t="s">
        <v>3326</v>
      </c>
      <c r="F947" t="s">
        <v>3327</v>
      </c>
      <c r="G947" t="s">
        <v>2035</v>
      </c>
      <c r="H947" s="6">
        <v>27.8</v>
      </c>
      <c r="I947" s="6">
        <v>-97.1</v>
      </c>
      <c r="J947" s="24">
        <v>1979</v>
      </c>
      <c r="K947" s="24">
        <v>2004</v>
      </c>
      <c r="L947" s="6">
        <f t="shared" si="37"/>
        <v>26</v>
      </c>
      <c r="M947" t="s">
        <v>2036</v>
      </c>
      <c r="N947" t="s">
        <v>394</v>
      </c>
      <c r="O947" t="s">
        <v>394</v>
      </c>
      <c r="Q947" t="s">
        <v>3320</v>
      </c>
      <c r="R947" t="s">
        <v>3302</v>
      </c>
      <c r="V947" s="25">
        <v>-5.42</v>
      </c>
      <c r="W947" t="str">
        <f t="shared" si="39"/>
        <v>Y</v>
      </c>
      <c r="X947" t="str">
        <f t="shared" si="40"/>
        <v>Y</v>
      </c>
      <c r="Z947" t="str">
        <f t="shared" si="36"/>
        <v>Y</v>
      </c>
      <c r="AC947" s="9" t="s">
        <v>3303</v>
      </c>
    </row>
    <row r="948" spans="2:29">
      <c r="B948" t="s">
        <v>393</v>
      </c>
      <c r="C948" t="s">
        <v>3326</v>
      </c>
      <c r="F948" t="s">
        <v>3327</v>
      </c>
      <c r="G948" t="s">
        <v>2035</v>
      </c>
      <c r="H948" s="6">
        <v>27.8</v>
      </c>
      <c r="I948" s="6">
        <v>-97.1</v>
      </c>
      <c r="J948" s="24">
        <v>1979</v>
      </c>
      <c r="K948" s="24">
        <v>2004</v>
      </c>
      <c r="L948" s="6">
        <f t="shared" si="37"/>
        <v>26</v>
      </c>
      <c r="M948" t="s">
        <v>2036</v>
      </c>
      <c r="N948" t="s">
        <v>394</v>
      </c>
      <c r="O948" t="s">
        <v>394</v>
      </c>
      <c r="Q948" t="s">
        <v>3320</v>
      </c>
      <c r="R948" t="s">
        <v>3329</v>
      </c>
      <c r="V948" s="25">
        <v>-4.3600000000000003</v>
      </c>
      <c r="W948" t="str">
        <f t="shared" si="39"/>
        <v>Y</v>
      </c>
      <c r="X948" t="str">
        <f t="shared" si="40"/>
        <v>Y</v>
      </c>
      <c r="Z948" t="str">
        <f t="shared" si="36"/>
        <v>Y</v>
      </c>
      <c r="AC948" s="9" t="s">
        <v>3303</v>
      </c>
    </row>
    <row r="949" spans="2:29">
      <c r="B949" t="s">
        <v>393</v>
      </c>
      <c r="C949" t="s">
        <v>3331</v>
      </c>
      <c r="F949" t="s">
        <v>3332</v>
      </c>
      <c r="G949" t="s">
        <v>2035</v>
      </c>
      <c r="H949" s="6">
        <v>62.59</v>
      </c>
      <c r="I949" s="6">
        <v>-82.99</v>
      </c>
      <c r="J949" s="24">
        <v>1986</v>
      </c>
      <c r="K949" s="24">
        <v>2010</v>
      </c>
      <c r="L949" s="6">
        <f t="shared" si="37"/>
        <v>25</v>
      </c>
      <c r="M949" t="s">
        <v>2036</v>
      </c>
      <c r="N949" t="s">
        <v>394</v>
      </c>
      <c r="O949" t="s">
        <v>394</v>
      </c>
      <c r="Q949" t="s">
        <v>3333</v>
      </c>
      <c r="R949" t="s">
        <v>3308</v>
      </c>
      <c r="V949" s="25">
        <v>-1.6500000000000001</v>
      </c>
      <c r="W949" t="str">
        <f t="shared" si="39"/>
        <v>Y</v>
      </c>
      <c r="X949" t="str">
        <f t="shared" si="40"/>
        <v>Y</v>
      </c>
      <c r="Z949" t="str">
        <f t="shared" si="36"/>
        <v>Y</v>
      </c>
      <c r="AC949" s="9" t="s">
        <v>3303</v>
      </c>
    </row>
    <row r="950" spans="2:29">
      <c r="B950" t="s">
        <v>393</v>
      </c>
      <c r="C950" t="s">
        <v>3334</v>
      </c>
      <c r="F950" t="s">
        <v>3335</v>
      </c>
      <c r="G950" t="s">
        <v>2035</v>
      </c>
      <c r="H950" s="6">
        <v>55.87</v>
      </c>
      <c r="I950" s="6">
        <v>10.17</v>
      </c>
      <c r="J950" s="24">
        <v>1984</v>
      </c>
      <c r="K950" s="24">
        <v>2004</v>
      </c>
      <c r="L950" s="6">
        <f t="shared" si="37"/>
        <v>21</v>
      </c>
      <c r="M950" t="s">
        <v>2036</v>
      </c>
      <c r="N950" t="s">
        <v>394</v>
      </c>
      <c r="O950" t="s">
        <v>394</v>
      </c>
      <c r="Q950" t="s">
        <v>3336</v>
      </c>
      <c r="R950" t="s">
        <v>3302</v>
      </c>
      <c r="V950" s="25">
        <v>1.2</v>
      </c>
      <c r="W950" t="str">
        <f t="shared" si="39"/>
        <v>N</v>
      </c>
      <c r="X950" t="str">
        <f t="shared" si="40"/>
        <v>Y</v>
      </c>
      <c r="Z950" t="str">
        <f t="shared" si="36"/>
        <v>Y</v>
      </c>
      <c r="AC950" s="9" t="s">
        <v>3303</v>
      </c>
    </row>
    <row r="951" spans="2:29">
      <c r="B951" t="s">
        <v>393</v>
      </c>
      <c r="C951" t="s">
        <v>3334</v>
      </c>
      <c r="F951" t="s">
        <v>3335</v>
      </c>
      <c r="G951" t="s">
        <v>2035</v>
      </c>
      <c r="H951" s="6">
        <v>55.87</v>
      </c>
      <c r="I951" s="6">
        <v>10.17</v>
      </c>
      <c r="J951" s="24">
        <v>1984</v>
      </c>
      <c r="K951" s="24">
        <v>2004</v>
      </c>
      <c r="L951" s="6">
        <f t="shared" si="37"/>
        <v>21</v>
      </c>
      <c r="M951" t="s">
        <v>2036</v>
      </c>
      <c r="N951" t="s">
        <v>394</v>
      </c>
      <c r="O951" t="s">
        <v>394</v>
      </c>
      <c r="Q951" t="s">
        <v>3336</v>
      </c>
      <c r="R951" t="s">
        <v>3308</v>
      </c>
      <c r="V951" s="25">
        <v>3.3000000000000003</v>
      </c>
      <c r="W951" t="str">
        <f t="shared" si="39"/>
        <v>N</v>
      </c>
      <c r="X951" t="str">
        <f t="shared" si="40"/>
        <v>Y</v>
      </c>
      <c r="Z951" t="str">
        <f t="shared" si="36"/>
        <v>Y</v>
      </c>
      <c r="AC951" s="9" t="s">
        <v>3303</v>
      </c>
    </row>
    <row r="952" spans="2:29">
      <c r="B952" t="s">
        <v>393</v>
      </c>
      <c r="C952" t="s">
        <v>3337</v>
      </c>
      <c r="F952" t="s">
        <v>3338</v>
      </c>
      <c r="G952" t="s">
        <v>2035</v>
      </c>
      <c r="H952" s="6">
        <v>64.12</v>
      </c>
      <c r="I952" s="6">
        <v>-20.5</v>
      </c>
      <c r="J952" s="24">
        <v>1988</v>
      </c>
      <c r="K952" s="24">
        <v>2009</v>
      </c>
      <c r="L952" s="6">
        <f t="shared" si="37"/>
        <v>22</v>
      </c>
      <c r="M952" t="s">
        <v>2036</v>
      </c>
      <c r="N952" t="s">
        <v>394</v>
      </c>
      <c r="O952" t="s">
        <v>394</v>
      </c>
      <c r="Q952" t="s">
        <v>3339</v>
      </c>
      <c r="R952" t="s">
        <v>3302</v>
      </c>
      <c r="V952" s="25">
        <v>-0.82000000000000006</v>
      </c>
      <c r="W952" t="str">
        <f t="shared" si="39"/>
        <v>Y</v>
      </c>
      <c r="X952" t="str">
        <f t="shared" si="40"/>
        <v>Y</v>
      </c>
      <c r="Z952" t="str">
        <f t="shared" si="36"/>
        <v>Y</v>
      </c>
      <c r="AC952" s="9" t="s">
        <v>3303</v>
      </c>
    </row>
    <row r="953" spans="2:29">
      <c r="B953" t="s">
        <v>393</v>
      </c>
      <c r="C953" t="s">
        <v>3337</v>
      </c>
      <c r="F953" t="s">
        <v>3338</v>
      </c>
      <c r="G953" t="s">
        <v>2035</v>
      </c>
      <c r="H953" s="6">
        <v>64.12</v>
      </c>
      <c r="I953" s="6">
        <v>-20.5</v>
      </c>
      <c r="J953" s="24">
        <v>1988</v>
      </c>
      <c r="K953" s="24">
        <v>2009</v>
      </c>
      <c r="L953" s="6">
        <f t="shared" si="37"/>
        <v>22</v>
      </c>
      <c r="M953" t="s">
        <v>2036</v>
      </c>
      <c r="N953" t="s">
        <v>394</v>
      </c>
      <c r="O953" t="s">
        <v>394</v>
      </c>
      <c r="Q953" t="s">
        <v>3312</v>
      </c>
      <c r="R953" t="s">
        <v>3302</v>
      </c>
      <c r="V953" s="25">
        <v>-3.99</v>
      </c>
      <c r="W953" t="str">
        <f t="shared" si="39"/>
        <v>Y</v>
      </c>
      <c r="X953" t="str">
        <f t="shared" si="40"/>
        <v>Y</v>
      </c>
      <c r="Z953" t="str">
        <f t="shared" si="36"/>
        <v>Y</v>
      </c>
      <c r="AC953" s="9" t="s">
        <v>3303</v>
      </c>
    </row>
    <row r="954" spans="2:29">
      <c r="B954" t="s">
        <v>393</v>
      </c>
      <c r="C954" t="s">
        <v>3337</v>
      </c>
      <c r="F954" t="s">
        <v>3338</v>
      </c>
      <c r="G954" t="s">
        <v>2035</v>
      </c>
      <c r="H954" s="6">
        <v>64.12</v>
      </c>
      <c r="I954" s="6">
        <v>-20.5</v>
      </c>
      <c r="J954" s="24">
        <v>1988</v>
      </c>
      <c r="K954" s="24">
        <v>2009</v>
      </c>
      <c r="L954" s="6">
        <f t="shared" si="37"/>
        <v>22</v>
      </c>
      <c r="M954" t="s">
        <v>2036</v>
      </c>
      <c r="N954" t="s">
        <v>394</v>
      </c>
      <c r="O954" t="s">
        <v>394</v>
      </c>
      <c r="Q954" t="s">
        <v>3340</v>
      </c>
      <c r="R954" t="s">
        <v>3302</v>
      </c>
      <c r="V954" s="25">
        <v>3.75</v>
      </c>
      <c r="W954" t="str">
        <f t="shared" si="39"/>
        <v>N</v>
      </c>
      <c r="X954" t="str">
        <f t="shared" si="40"/>
        <v>Y</v>
      </c>
      <c r="Z954" t="str">
        <f t="shared" si="36"/>
        <v>Y</v>
      </c>
      <c r="AC954" s="9" t="s">
        <v>3303</v>
      </c>
    </row>
    <row r="955" spans="2:29">
      <c r="B955" t="s">
        <v>393</v>
      </c>
      <c r="C955" t="s">
        <v>3341</v>
      </c>
      <c r="F955" t="s">
        <v>3342</v>
      </c>
      <c r="G955" t="s">
        <v>2035</v>
      </c>
      <c r="H955" s="6">
        <v>50.87</v>
      </c>
      <c r="I955" s="6">
        <v>-129.08000000000001</v>
      </c>
      <c r="J955" s="24">
        <v>1996</v>
      </c>
      <c r="K955" s="24">
        <v>2006</v>
      </c>
      <c r="L955" s="6">
        <f t="shared" si="37"/>
        <v>11</v>
      </c>
      <c r="M955" t="s">
        <v>2036</v>
      </c>
      <c r="N955" t="s">
        <v>394</v>
      </c>
      <c r="O955" t="s">
        <v>394</v>
      </c>
      <c r="Q955" t="s">
        <v>3343</v>
      </c>
      <c r="R955" t="s">
        <v>3308</v>
      </c>
      <c r="V955" s="25">
        <v>14.55</v>
      </c>
      <c r="W955" t="str">
        <f t="shared" si="39"/>
        <v>N</v>
      </c>
      <c r="X955" t="str">
        <f t="shared" si="40"/>
        <v>N</v>
      </c>
      <c r="Z955" t="str">
        <f t="shared" si="36"/>
        <v>N</v>
      </c>
      <c r="AC955" s="9" t="s">
        <v>3303</v>
      </c>
    </row>
    <row r="956" spans="2:29">
      <c r="B956" t="s">
        <v>393</v>
      </c>
      <c r="C956" t="s">
        <v>3344</v>
      </c>
      <c r="F956" t="s">
        <v>3345</v>
      </c>
      <c r="G956" t="s">
        <v>2286</v>
      </c>
      <c r="H956" s="6">
        <v>-54</v>
      </c>
      <c r="I956" s="6">
        <v>38.03</v>
      </c>
      <c r="J956" s="24">
        <v>1980</v>
      </c>
      <c r="K956" s="24">
        <v>2007</v>
      </c>
      <c r="L956" s="6">
        <f t="shared" si="37"/>
        <v>28</v>
      </c>
      <c r="M956" t="s">
        <v>2036</v>
      </c>
      <c r="N956" t="s">
        <v>394</v>
      </c>
      <c r="O956" t="s">
        <v>394</v>
      </c>
      <c r="Q956" t="s">
        <v>3346</v>
      </c>
      <c r="R956" t="s">
        <v>3308</v>
      </c>
      <c r="V956" s="25">
        <v>-0.8</v>
      </c>
      <c r="W956" t="str">
        <f t="shared" si="39"/>
        <v>Y</v>
      </c>
      <c r="X956" t="str">
        <f t="shared" si="40"/>
        <v>Y</v>
      </c>
      <c r="Z956" t="str">
        <f t="shared" si="36"/>
        <v>Y</v>
      </c>
      <c r="AC956" s="9" t="s">
        <v>3303</v>
      </c>
    </row>
    <row r="957" spans="2:29">
      <c r="B957" t="s">
        <v>393</v>
      </c>
      <c r="C957" t="s">
        <v>3347</v>
      </c>
      <c r="F957" t="s">
        <v>3348</v>
      </c>
      <c r="G957" t="s">
        <v>2035</v>
      </c>
      <c r="H957" s="6">
        <v>56.26</v>
      </c>
      <c r="I957" s="6">
        <v>9.5</v>
      </c>
      <c r="J957" s="24">
        <v>1959</v>
      </c>
      <c r="K957" s="24">
        <v>2003</v>
      </c>
      <c r="L957" s="6">
        <f t="shared" si="37"/>
        <v>45</v>
      </c>
      <c r="M957" t="s">
        <v>2036</v>
      </c>
      <c r="N957" t="s">
        <v>394</v>
      </c>
      <c r="O957" t="s">
        <v>394</v>
      </c>
      <c r="Q957" t="s">
        <v>3340</v>
      </c>
      <c r="R957" t="s">
        <v>3302</v>
      </c>
      <c r="V957" s="25">
        <v>-3.5599999999999996</v>
      </c>
      <c r="W957" t="str">
        <f t="shared" si="39"/>
        <v>Y</v>
      </c>
      <c r="X957" t="str">
        <f t="shared" si="40"/>
        <v>Y</v>
      </c>
      <c r="Z957" t="str">
        <f t="shared" si="36"/>
        <v>Y</v>
      </c>
      <c r="AC957" s="9" t="s">
        <v>3303</v>
      </c>
    </row>
    <row r="958" spans="2:29">
      <c r="B958" t="s">
        <v>393</v>
      </c>
      <c r="C958" t="s">
        <v>3347</v>
      </c>
      <c r="F958" t="s">
        <v>3348</v>
      </c>
      <c r="G958" t="s">
        <v>2035</v>
      </c>
      <c r="H958" s="6">
        <v>56.26</v>
      </c>
      <c r="I958" s="6">
        <v>9.5</v>
      </c>
      <c r="J958" s="24">
        <v>1950</v>
      </c>
      <c r="K958" s="24">
        <v>1998</v>
      </c>
      <c r="L958" s="6">
        <f t="shared" si="37"/>
        <v>49</v>
      </c>
      <c r="M958" t="s">
        <v>2036</v>
      </c>
      <c r="N958" t="s">
        <v>394</v>
      </c>
      <c r="O958" t="s">
        <v>394</v>
      </c>
      <c r="Q958" t="s">
        <v>3340</v>
      </c>
      <c r="R958" t="s">
        <v>3308</v>
      </c>
      <c r="V958" s="25">
        <v>-2.4</v>
      </c>
      <c r="W958" t="str">
        <f t="shared" si="39"/>
        <v>Y</v>
      </c>
      <c r="X958" t="str">
        <f t="shared" si="40"/>
        <v>Y</v>
      </c>
      <c r="Z958" t="str">
        <f t="shared" si="36"/>
        <v>Y</v>
      </c>
      <c r="AC958" s="9" t="s">
        <v>3303</v>
      </c>
    </row>
    <row r="959" spans="2:29">
      <c r="B959" t="s">
        <v>393</v>
      </c>
      <c r="C959" t="s">
        <v>3349</v>
      </c>
      <c r="F959" t="s">
        <v>3348</v>
      </c>
      <c r="G959" t="s">
        <v>2035</v>
      </c>
      <c r="H959" s="6">
        <v>56.26</v>
      </c>
      <c r="I959" s="6">
        <v>9.5</v>
      </c>
      <c r="J959" s="24">
        <v>1970</v>
      </c>
      <c r="K959" s="24">
        <v>2006</v>
      </c>
      <c r="L959" s="6">
        <f t="shared" si="37"/>
        <v>37</v>
      </c>
      <c r="M959" t="s">
        <v>2036</v>
      </c>
      <c r="N959" t="s">
        <v>394</v>
      </c>
      <c r="O959" t="s">
        <v>394</v>
      </c>
      <c r="Q959" t="s">
        <v>3304</v>
      </c>
      <c r="R959" t="s">
        <v>3308</v>
      </c>
      <c r="V959" s="25">
        <v>-2.16</v>
      </c>
      <c r="W959" t="str">
        <f t="shared" si="39"/>
        <v>Y</v>
      </c>
      <c r="X959" t="str">
        <f t="shared" si="40"/>
        <v>Y</v>
      </c>
      <c r="Z959" t="str">
        <f t="shared" si="36"/>
        <v>Y</v>
      </c>
      <c r="AC959" s="9" t="s">
        <v>3303</v>
      </c>
    </row>
    <row r="960" spans="2:29">
      <c r="B960" t="s">
        <v>393</v>
      </c>
      <c r="C960" t="s">
        <v>3349</v>
      </c>
      <c r="F960" t="s">
        <v>3348</v>
      </c>
      <c r="G960" t="s">
        <v>2035</v>
      </c>
      <c r="H960" s="6">
        <v>56.26</v>
      </c>
      <c r="I960" s="6">
        <v>9.5</v>
      </c>
      <c r="J960" s="24">
        <v>1970</v>
      </c>
      <c r="K960" s="24">
        <v>2006</v>
      </c>
      <c r="L960" s="6">
        <f t="shared" si="37"/>
        <v>37</v>
      </c>
      <c r="M960" t="s">
        <v>2036</v>
      </c>
      <c r="N960" t="s">
        <v>394</v>
      </c>
      <c r="O960" t="s">
        <v>394</v>
      </c>
      <c r="Q960" t="s">
        <v>3340</v>
      </c>
      <c r="R960" t="s">
        <v>3308</v>
      </c>
      <c r="V960" s="25">
        <v>-3.16</v>
      </c>
      <c r="W960" t="str">
        <f t="shared" si="39"/>
        <v>Y</v>
      </c>
      <c r="X960" t="str">
        <f t="shared" si="40"/>
        <v>Y</v>
      </c>
      <c r="Z960" t="str">
        <f t="shared" si="36"/>
        <v>Y</v>
      </c>
      <c r="AC960" s="9" t="s">
        <v>3303</v>
      </c>
    </row>
    <row r="961" spans="2:29">
      <c r="B961" t="s">
        <v>393</v>
      </c>
      <c r="C961" t="s">
        <v>3349</v>
      </c>
      <c r="F961" t="s">
        <v>3348</v>
      </c>
      <c r="G961" t="s">
        <v>2035</v>
      </c>
      <c r="H961" s="6">
        <v>56.26</v>
      </c>
      <c r="I961" s="6">
        <v>9.5</v>
      </c>
      <c r="J961" s="24">
        <v>1970</v>
      </c>
      <c r="K961" s="24">
        <v>2006</v>
      </c>
      <c r="L961" s="6">
        <f t="shared" si="37"/>
        <v>37</v>
      </c>
      <c r="M961" t="s">
        <v>2036</v>
      </c>
      <c r="N961" t="s">
        <v>394</v>
      </c>
      <c r="O961" t="s">
        <v>394</v>
      </c>
      <c r="Q961" t="s">
        <v>3350</v>
      </c>
      <c r="R961" t="s">
        <v>3308</v>
      </c>
      <c r="V961" s="25">
        <v>-2.59</v>
      </c>
      <c r="W961" t="str">
        <f t="shared" si="39"/>
        <v>Y</v>
      </c>
      <c r="X961" t="str">
        <f t="shared" si="40"/>
        <v>Y</v>
      </c>
      <c r="Z961" t="str">
        <f t="shared" si="36"/>
        <v>Y</v>
      </c>
      <c r="AC961" s="9" t="s">
        <v>3303</v>
      </c>
    </row>
    <row r="962" spans="2:29">
      <c r="B962" t="s">
        <v>393</v>
      </c>
      <c r="C962" t="s">
        <v>3349</v>
      </c>
      <c r="F962" t="s">
        <v>3348</v>
      </c>
      <c r="G962" t="s">
        <v>2035</v>
      </c>
      <c r="H962" s="6">
        <v>56.26</v>
      </c>
      <c r="I962" s="6">
        <v>9.5</v>
      </c>
      <c r="J962" s="24">
        <v>1970</v>
      </c>
      <c r="K962" s="24">
        <v>2006</v>
      </c>
      <c r="L962" s="6">
        <f t="shared" si="37"/>
        <v>37</v>
      </c>
      <c r="M962" t="s">
        <v>2036</v>
      </c>
      <c r="N962" t="s">
        <v>394</v>
      </c>
      <c r="O962" t="s">
        <v>394</v>
      </c>
      <c r="Q962" t="s">
        <v>3320</v>
      </c>
      <c r="R962" t="s">
        <v>3308</v>
      </c>
      <c r="V962" s="25">
        <v>-5.8699999999999992</v>
      </c>
      <c r="W962" t="str">
        <f t="shared" si="39"/>
        <v>Y</v>
      </c>
      <c r="X962" t="str">
        <f t="shared" si="40"/>
        <v>Y</v>
      </c>
      <c r="Z962" t="str">
        <f t="shared" ref="Z962:Z1025" si="41">IF(L962&gt;=19,"Y","N")</f>
        <v>Y</v>
      </c>
      <c r="AC962" s="9" t="s">
        <v>3303</v>
      </c>
    </row>
    <row r="963" spans="2:29">
      <c r="B963" t="s">
        <v>393</v>
      </c>
      <c r="C963" t="s">
        <v>3351</v>
      </c>
      <c r="F963" t="s">
        <v>3352</v>
      </c>
      <c r="G963" t="s">
        <v>2035</v>
      </c>
      <c r="H963" s="6">
        <v>50.18</v>
      </c>
      <c r="I963" s="6">
        <v>-94.4</v>
      </c>
      <c r="J963" s="24">
        <v>1939</v>
      </c>
      <c r="K963" s="24">
        <v>2001</v>
      </c>
      <c r="L963" s="6">
        <f t="shared" si="37"/>
        <v>63</v>
      </c>
      <c r="M963" t="s">
        <v>2036</v>
      </c>
      <c r="N963" t="s">
        <v>394</v>
      </c>
      <c r="O963" t="s">
        <v>394</v>
      </c>
      <c r="Q963" t="s">
        <v>3328</v>
      </c>
      <c r="R963" t="s">
        <v>3302</v>
      </c>
      <c r="V963" s="25">
        <v>0.6</v>
      </c>
      <c r="W963" t="str">
        <f t="shared" si="39"/>
        <v>N</v>
      </c>
      <c r="X963" t="str">
        <f t="shared" si="40"/>
        <v>Y</v>
      </c>
      <c r="Z963" t="str">
        <f t="shared" si="41"/>
        <v>Y</v>
      </c>
      <c r="AC963" s="9" t="s">
        <v>3303</v>
      </c>
    </row>
    <row r="964" spans="2:29">
      <c r="B964" t="s">
        <v>393</v>
      </c>
      <c r="C964" t="s">
        <v>3351</v>
      </c>
      <c r="F964" t="s">
        <v>3352</v>
      </c>
      <c r="G964" t="s">
        <v>2035</v>
      </c>
      <c r="H964" s="6">
        <v>50.18</v>
      </c>
      <c r="I964" s="6">
        <v>-94.4</v>
      </c>
      <c r="J964" s="24">
        <v>1939</v>
      </c>
      <c r="K964" s="24">
        <v>2001</v>
      </c>
      <c r="L964" s="6">
        <f t="shared" ref="L964:L1027" si="42">K964-J964+1</f>
        <v>63</v>
      </c>
      <c r="M964" t="s">
        <v>2036</v>
      </c>
      <c r="N964" t="s">
        <v>394</v>
      </c>
      <c r="O964" t="s">
        <v>394</v>
      </c>
      <c r="Q964" t="s">
        <v>3353</v>
      </c>
      <c r="R964" t="s">
        <v>3302</v>
      </c>
      <c r="V964" s="25">
        <v>0.2</v>
      </c>
      <c r="W964" t="str">
        <f t="shared" si="39"/>
        <v>N</v>
      </c>
      <c r="X964" t="str">
        <f t="shared" si="40"/>
        <v>Y</v>
      </c>
      <c r="Z964" t="str">
        <f t="shared" si="41"/>
        <v>Y</v>
      </c>
      <c r="AC964" s="9" t="s">
        <v>3303</v>
      </c>
    </row>
    <row r="965" spans="2:29">
      <c r="B965" t="s">
        <v>393</v>
      </c>
      <c r="C965" t="s">
        <v>3354</v>
      </c>
      <c r="F965" t="s">
        <v>3355</v>
      </c>
      <c r="G965" t="s">
        <v>2035</v>
      </c>
      <c r="H965" s="6">
        <v>55.88</v>
      </c>
      <c r="I965" s="6">
        <v>8.2200000000000006</v>
      </c>
      <c r="J965" s="24">
        <v>1929</v>
      </c>
      <c r="K965" s="24">
        <v>2008</v>
      </c>
      <c r="L965" s="6">
        <f t="shared" si="42"/>
        <v>80</v>
      </c>
      <c r="M965" t="s">
        <v>2036</v>
      </c>
      <c r="N965" t="s">
        <v>394</v>
      </c>
      <c r="O965" t="s">
        <v>394</v>
      </c>
      <c r="Q965" t="s">
        <v>3340</v>
      </c>
      <c r="R965" t="s">
        <v>3302</v>
      </c>
      <c r="V965" s="25">
        <v>-0.84000000000000008</v>
      </c>
      <c r="W965" t="str">
        <f t="shared" si="39"/>
        <v>Y</v>
      </c>
      <c r="X965" t="str">
        <f t="shared" si="40"/>
        <v>Y</v>
      </c>
      <c r="Z965" t="str">
        <f t="shared" si="41"/>
        <v>Y</v>
      </c>
      <c r="AC965" s="9" t="s">
        <v>3303</v>
      </c>
    </row>
    <row r="966" spans="2:29">
      <c r="B966" t="s">
        <v>393</v>
      </c>
      <c r="C966" t="s">
        <v>3354</v>
      </c>
      <c r="F966" t="s">
        <v>3355</v>
      </c>
      <c r="G966" t="s">
        <v>2035</v>
      </c>
      <c r="H966" s="6">
        <v>55.88</v>
      </c>
      <c r="I966" s="6">
        <v>8.2200000000000006</v>
      </c>
      <c r="J966" s="24">
        <v>1929</v>
      </c>
      <c r="K966" s="24">
        <v>2008</v>
      </c>
      <c r="L966" s="6">
        <f t="shared" si="42"/>
        <v>80</v>
      </c>
      <c r="M966" t="s">
        <v>2036</v>
      </c>
      <c r="N966" t="s">
        <v>394</v>
      </c>
      <c r="O966" t="s">
        <v>394</v>
      </c>
      <c r="Q966" t="s">
        <v>3350</v>
      </c>
      <c r="R966" t="s">
        <v>3302</v>
      </c>
      <c r="V966" s="25">
        <v>-0.41000000000000003</v>
      </c>
      <c r="W966" t="str">
        <f t="shared" si="39"/>
        <v>Y</v>
      </c>
      <c r="X966" t="str">
        <f t="shared" si="40"/>
        <v>Y</v>
      </c>
      <c r="Z966" t="str">
        <f t="shared" si="41"/>
        <v>Y</v>
      </c>
      <c r="AC966" s="9" t="s">
        <v>3303</v>
      </c>
    </row>
    <row r="967" spans="2:29">
      <c r="B967" t="s">
        <v>393</v>
      </c>
      <c r="C967" t="s">
        <v>3354</v>
      </c>
      <c r="F967" t="s">
        <v>3355</v>
      </c>
      <c r="G967" t="s">
        <v>2035</v>
      </c>
      <c r="H967" s="6">
        <v>55.88</v>
      </c>
      <c r="I967" s="6">
        <v>8.2200000000000006</v>
      </c>
      <c r="J967" s="24">
        <v>1929</v>
      </c>
      <c r="K967" s="24">
        <v>2008</v>
      </c>
      <c r="L967" s="6">
        <f t="shared" si="42"/>
        <v>80</v>
      </c>
      <c r="M967" t="s">
        <v>2036</v>
      </c>
      <c r="N967" t="s">
        <v>394</v>
      </c>
      <c r="O967" t="s">
        <v>394</v>
      </c>
      <c r="Q967" t="s">
        <v>3320</v>
      </c>
      <c r="R967" t="s">
        <v>3302</v>
      </c>
      <c r="V967" s="25">
        <v>-1.58</v>
      </c>
      <c r="W967" t="str">
        <f t="shared" si="39"/>
        <v>Y</v>
      </c>
      <c r="X967" t="str">
        <f t="shared" si="40"/>
        <v>Y</v>
      </c>
      <c r="Z967" t="str">
        <f t="shared" si="41"/>
        <v>Y</v>
      </c>
      <c r="AC967" s="9" t="s">
        <v>3303</v>
      </c>
    </row>
    <row r="968" spans="2:29">
      <c r="B968" t="s">
        <v>393</v>
      </c>
      <c r="C968" t="s">
        <v>3356</v>
      </c>
      <c r="F968" t="s">
        <v>3357</v>
      </c>
      <c r="G968" t="s">
        <v>2035</v>
      </c>
      <c r="H968" s="6">
        <v>53.7</v>
      </c>
      <c r="I968" s="6">
        <v>11.83</v>
      </c>
      <c r="J968" s="24">
        <v>1977</v>
      </c>
      <c r="K968" s="24">
        <v>2006</v>
      </c>
      <c r="L968" s="6">
        <f t="shared" si="42"/>
        <v>30</v>
      </c>
      <c r="M968" t="s">
        <v>2036</v>
      </c>
      <c r="N968" t="s">
        <v>394</v>
      </c>
      <c r="O968" t="s">
        <v>394</v>
      </c>
      <c r="Q968" t="s">
        <v>3304</v>
      </c>
      <c r="R968" t="s">
        <v>3302</v>
      </c>
      <c r="V968" s="25">
        <v>-1.8041273172437897</v>
      </c>
      <c r="W968" t="str">
        <f t="shared" si="39"/>
        <v>Y</v>
      </c>
      <c r="X968" t="str">
        <f t="shared" si="40"/>
        <v>Y</v>
      </c>
      <c r="Z968" t="str">
        <f t="shared" si="41"/>
        <v>Y</v>
      </c>
      <c r="AC968" s="9" t="s">
        <v>3303</v>
      </c>
    </row>
    <row r="969" spans="2:29">
      <c r="B969" t="s">
        <v>393</v>
      </c>
      <c r="C969" t="s">
        <v>3358</v>
      </c>
      <c r="F969" t="s">
        <v>3359</v>
      </c>
      <c r="G969" t="s">
        <v>2035</v>
      </c>
      <c r="H969" s="6">
        <v>55.3</v>
      </c>
      <c r="I969" s="6">
        <v>60.3</v>
      </c>
      <c r="J969" s="24">
        <v>1971</v>
      </c>
      <c r="K969" s="24">
        <v>2005</v>
      </c>
      <c r="L969" s="6">
        <f t="shared" si="42"/>
        <v>35</v>
      </c>
      <c r="M969" t="s">
        <v>2036</v>
      </c>
      <c r="N969" t="s">
        <v>394</v>
      </c>
      <c r="O969" t="s">
        <v>394</v>
      </c>
      <c r="Q969" t="s">
        <v>3328</v>
      </c>
      <c r="R969" t="s">
        <v>3302</v>
      </c>
      <c r="V969" s="25">
        <v>-4.0200000000000005</v>
      </c>
      <c r="W969" t="str">
        <f t="shared" si="39"/>
        <v>Y</v>
      </c>
      <c r="X969" t="str">
        <f t="shared" si="40"/>
        <v>Y</v>
      </c>
      <c r="Z969" t="str">
        <f t="shared" si="41"/>
        <v>Y</v>
      </c>
      <c r="AC969" s="9" t="s">
        <v>3303</v>
      </c>
    </row>
    <row r="970" spans="2:29">
      <c r="B970" t="s">
        <v>393</v>
      </c>
      <c r="C970" t="s">
        <v>3360</v>
      </c>
      <c r="F970" t="s">
        <v>3361</v>
      </c>
      <c r="G970" t="s">
        <v>2035</v>
      </c>
      <c r="H970" s="6">
        <v>51.8</v>
      </c>
      <c r="I970" s="6">
        <v>0.6</v>
      </c>
      <c r="J970" s="24">
        <v>1950</v>
      </c>
      <c r="K970" s="24">
        <v>2002</v>
      </c>
      <c r="L970" s="6">
        <f t="shared" si="42"/>
        <v>53</v>
      </c>
      <c r="M970" t="s">
        <v>2036</v>
      </c>
      <c r="N970" t="s">
        <v>394</v>
      </c>
      <c r="O970" t="s">
        <v>394</v>
      </c>
      <c r="Q970" t="s">
        <v>3350</v>
      </c>
      <c r="R970" t="s">
        <v>3302</v>
      </c>
      <c r="V970" s="25">
        <v>1.1000000000000001</v>
      </c>
      <c r="W970" t="str">
        <f t="shared" si="39"/>
        <v>N</v>
      </c>
      <c r="X970" t="str">
        <f t="shared" si="40"/>
        <v>Y</v>
      </c>
      <c r="Z970" t="str">
        <f t="shared" si="41"/>
        <v>Y</v>
      </c>
      <c r="AC970" s="9" t="s">
        <v>3303</v>
      </c>
    </row>
    <row r="971" spans="2:29">
      <c r="B971" t="s">
        <v>393</v>
      </c>
      <c r="C971" t="s">
        <v>3360</v>
      </c>
      <c r="F971" t="s">
        <v>3362</v>
      </c>
      <c r="G971" t="s">
        <v>2035</v>
      </c>
      <c r="H971" s="6">
        <v>51</v>
      </c>
      <c r="I971" s="6">
        <v>0.3</v>
      </c>
      <c r="J971" s="24">
        <v>1960</v>
      </c>
      <c r="K971" s="24">
        <v>2002</v>
      </c>
      <c r="L971" s="6">
        <f t="shared" si="42"/>
        <v>43</v>
      </c>
      <c r="M971" t="s">
        <v>2036</v>
      </c>
      <c r="N971" t="s">
        <v>394</v>
      </c>
      <c r="O971" t="s">
        <v>394</v>
      </c>
      <c r="Q971" t="s">
        <v>3350</v>
      </c>
      <c r="R971" t="s">
        <v>3302</v>
      </c>
      <c r="V971" s="25">
        <v>-1.7000000000000002</v>
      </c>
      <c r="W971" t="str">
        <f t="shared" si="39"/>
        <v>Y</v>
      </c>
      <c r="X971" t="str">
        <f t="shared" si="40"/>
        <v>Y</v>
      </c>
      <c r="Z971" t="str">
        <f t="shared" si="41"/>
        <v>Y</v>
      </c>
      <c r="AC971" s="9" t="s">
        <v>3303</v>
      </c>
    </row>
    <row r="972" spans="2:29">
      <c r="B972" t="s">
        <v>393</v>
      </c>
      <c r="C972" t="s">
        <v>3360</v>
      </c>
      <c r="F972" t="s">
        <v>3361</v>
      </c>
      <c r="G972" t="s">
        <v>2035</v>
      </c>
      <c r="H972" s="6">
        <v>51.8</v>
      </c>
      <c r="I972" s="6">
        <v>0.6</v>
      </c>
      <c r="J972" s="24">
        <v>1950</v>
      </c>
      <c r="K972" s="24">
        <v>2002</v>
      </c>
      <c r="L972" s="6">
        <f t="shared" si="42"/>
        <v>53</v>
      </c>
      <c r="M972" t="s">
        <v>2036</v>
      </c>
      <c r="N972" t="s">
        <v>394</v>
      </c>
      <c r="O972" t="s">
        <v>394</v>
      </c>
      <c r="Q972" t="s">
        <v>3320</v>
      </c>
      <c r="R972" t="s">
        <v>3302</v>
      </c>
      <c r="V972" s="25">
        <v>-0.89999999999999991</v>
      </c>
      <c r="W972" t="str">
        <f t="shared" si="39"/>
        <v>Y</v>
      </c>
      <c r="X972" t="str">
        <f t="shared" si="40"/>
        <v>Y</v>
      </c>
      <c r="Z972" t="str">
        <f t="shared" si="41"/>
        <v>Y</v>
      </c>
      <c r="AC972" s="9" t="s">
        <v>3303</v>
      </c>
    </row>
    <row r="973" spans="2:29">
      <c r="B973" t="s">
        <v>393</v>
      </c>
      <c r="C973" t="s">
        <v>3360</v>
      </c>
      <c r="F973" t="s">
        <v>3362</v>
      </c>
      <c r="G973" t="s">
        <v>2035</v>
      </c>
      <c r="H973" s="6">
        <v>51</v>
      </c>
      <c r="I973" s="6">
        <v>0.3</v>
      </c>
      <c r="J973" s="24">
        <v>1960</v>
      </c>
      <c r="K973" s="24">
        <v>2002</v>
      </c>
      <c r="L973" s="6">
        <f t="shared" si="42"/>
        <v>43</v>
      </c>
      <c r="M973" t="s">
        <v>2036</v>
      </c>
      <c r="N973" t="s">
        <v>394</v>
      </c>
      <c r="O973" t="s">
        <v>394</v>
      </c>
      <c r="Q973" t="s">
        <v>3320</v>
      </c>
      <c r="R973" t="s">
        <v>3302</v>
      </c>
      <c r="V973" s="25">
        <v>-7.3</v>
      </c>
      <c r="W973" t="str">
        <f t="shared" si="39"/>
        <v>Y</v>
      </c>
      <c r="X973" t="str">
        <f t="shared" si="40"/>
        <v>Y</v>
      </c>
      <c r="Z973" t="str">
        <f t="shared" si="41"/>
        <v>Y</v>
      </c>
      <c r="AC973" s="9" t="s">
        <v>3303</v>
      </c>
    </row>
    <row r="974" spans="2:29">
      <c r="B974" t="s">
        <v>393</v>
      </c>
      <c r="C974" t="s">
        <v>3363</v>
      </c>
      <c r="F974" t="s">
        <v>3364</v>
      </c>
      <c r="G974" t="s">
        <v>2286</v>
      </c>
      <c r="H974" s="6">
        <v>-42.43</v>
      </c>
      <c r="I974" s="6">
        <v>173.7</v>
      </c>
      <c r="J974" s="24">
        <v>1975</v>
      </c>
      <c r="K974" s="24">
        <v>2004</v>
      </c>
      <c r="L974" s="6">
        <f t="shared" si="42"/>
        <v>30</v>
      </c>
      <c r="M974" t="s">
        <v>2036</v>
      </c>
      <c r="N974" t="s">
        <v>394</v>
      </c>
      <c r="O974" t="s">
        <v>394</v>
      </c>
      <c r="Q974" t="s">
        <v>3365</v>
      </c>
      <c r="R974" t="s">
        <v>3308</v>
      </c>
      <c r="V974" s="25">
        <v>1.79</v>
      </c>
      <c r="W974" t="str">
        <f t="shared" si="39"/>
        <v>N</v>
      </c>
      <c r="X974" t="str">
        <f t="shared" si="40"/>
        <v>Y</v>
      </c>
      <c r="Z974" t="str">
        <f t="shared" si="41"/>
        <v>Y</v>
      </c>
      <c r="AC974" s="9" t="s">
        <v>3303</v>
      </c>
    </row>
    <row r="975" spans="2:29">
      <c r="B975" t="s">
        <v>393</v>
      </c>
      <c r="C975" t="s">
        <v>3366</v>
      </c>
      <c r="F975" t="s">
        <v>3367</v>
      </c>
      <c r="G975" t="s">
        <v>2035</v>
      </c>
      <c r="H975" s="6">
        <v>69.569999999999993</v>
      </c>
      <c r="I975" s="6">
        <v>-138.9</v>
      </c>
      <c r="J975" s="24">
        <v>1984</v>
      </c>
      <c r="K975" s="24">
        <v>2009</v>
      </c>
      <c r="L975" s="6">
        <f t="shared" si="42"/>
        <v>26</v>
      </c>
      <c r="M975" t="s">
        <v>2036</v>
      </c>
      <c r="N975" t="s">
        <v>394</v>
      </c>
      <c r="O975" t="s">
        <v>394</v>
      </c>
      <c r="Q975" t="s">
        <v>3368</v>
      </c>
      <c r="R975" t="s">
        <v>3308</v>
      </c>
      <c r="V975" s="25">
        <v>-1.34</v>
      </c>
      <c r="W975" t="str">
        <f t="shared" si="39"/>
        <v>Y</v>
      </c>
      <c r="X975" t="str">
        <f t="shared" si="40"/>
        <v>Y</v>
      </c>
      <c r="Z975" t="str">
        <f t="shared" si="41"/>
        <v>Y</v>
      </c>
      <c r="AC975" s="9" t="s">
        <v>3303</v>
      </c>
    </row>
    <row r="976" spans="2:29">
      <c r="B976" t="s">
        <v>393</v>
      </c>
      <c r="C976" t="s">
        <v>3369</v>
      </c>
      <c r="F976" t="s">
        <v>3370</v>
      </c>
      <c r="G976" t="s">
        <v>2035</v>
      </c>
      <c r="H976" s="6">
        <v>54.43</v>
      </c>
      <c r="I976" s="6">
        <v>23.58</v>
      </c>
      <c r="J976" s="24">
        <v>1966</v>
      </c>
      <c r="K976" s="24">
        <v>2000</v>
      </c>
      <c r="L976" s="6">
        <f t="shared" si="42"/>
        <v>35</v>
      </c>
      <c r="M976" t="s">
        <v>2036</v>
      </c>
      <c r="N976" t="s">
        <v>394</v>
      </c>
      <c r="O976" t="s">
        <v>394</v>
      </c>
      <c r="Q976" t="s">
        <v>3304</v>
      </c>
      <c r="R976" t="s">
        <v>3302</v>
      </c>
      <c r="V976" s="25">
        <v>-2.8000000000000003</v>
      </c>
      <c r="W976" t="str">
        <f t="shared" si="39"/>
        <v>Y</v>
      </c>
      <c r="X976" t="str">
        <f t="shared" si="40"/>
        <v>Y</v>
      </c>
      <c r="Z976" t="str">
        <f t="shared" si="41"/>
        <v>Y</v>
      </c>
      <c r="AC976" s="9" t="s">
        <v>3303</v>
      </c>
    </row>
    <row r="977" spans="2:29">
      <c r="B977" t="s">
        <v>393</v>
      </c>
      <c r="C977" t="s">
        <v>3371</v>
      </c>
      <c r="F977" t="s">
        <v>3372</v>
      </c>
      <c r="G977" t="s">
        <v>2035</v>
      </c>
      <c r="H977" s="6">
        <v>50.31</v>
      </c>
      <c r="I977" s="6">
        <v>-2.27</v>
      </c>
      <c r="J977" s="24">
        <v>1959</v>
      </c>
      <c r="K977" s="24">
        <v>2005</v>
      </c>
      <c r="L977" s="6">
        <f t="shared" si="42"/>
        <v>47</v>
      </c>
      <c r="M977" t="s">
        <v>2036</v>
      </c>
      <c r="N977" t="s">
        <v>394</v>
      </c>
      <c r="O977" t="s">
        <v>394</v>
      </c>
      <c r="Q977" t="s">
        <v>3320</v>
      </c>
      <c r="R977" t="s">
        <v>3302</v>
      </c>
      <c r="V977" s="25">
        <v>-1.77</v>
      </c>
      <c r="W977" t="str">
        <f t="shared" si="39"/>
        <v>Y</v>
      </c>
      <c r="X977" t="str">
        <f t="shared" si="40"/>
        <v>Y</v>
      </c>
      <c r="Z977" t="str">
        <f t="shared" si="41"/>
        <v>Y</v>
      </c>
      <c r="AC977" s="9" t="s">
        <v>3303</v>
      </c>
    </row>
    <row r="978" spans="2:29">
      <c r="B978" t="s">
        <v>393</v>
      </c>
      <c r="C978" t="s">
        <v>3373</v>
      </c>
      <c r="F978" t="s">
        <v>3374</v>
      </c>
      <c r="G978" t="s">
        <v>2035</v>
      </c>
      <c r="H978" s="6">
        <v>47.57</v>
      </c>
      <c r="I978" s="6">
        <v>21.05</v>
      </c>
      <c r="J978" s="24">
        <v>1975</v>
      </c>
      <c r="K978" s="24">
        <v>2007</v>
      </c>
      <c r="L978" s="6">
        <f t="shared" si="42"/>
        <v>33</v>
      </c>
      <c r="M978" t="s">
        <v>2036</v>
      </c>
      <c r="N978" t="s">
        <v>394</v>
      </c>
      <c r="O978" t="s">
        <v>394</v>
      </c>
      <c r="Q978" t="s">
        <v>3301</v>
      </c>
      <c r="R978" t="s">
        <v>3302</v>
      </c>
      <c r="V978" s="25">
        <v>-15.669509407420461</v>
      </c>
      <c r="W978" t="str">
        <f t="shared" si="39"/>
        <v>Y</v>
      </c>
      <c r="X978" t="str">
        <f t="shared" si="40"/>
        <v>Y</v>
      </c>
      <c r="Z978" t="str">
        <f t="shared" si="41"/>
        <v>Y</v>
      </c>
      <c r="AC978" s="9" t="s">
        <v>3303</v>
      </c>
    </row>
    <row r="979" spans="2:29">
      <c r="B979" t="s">
        <v>393</v>
      </c>
      <c r="C979" t="s">
        <v>3373</v>
      </c>
      <c r="F979" t="s">
        <v>3374</v>
      </c>
      <c r="G979" t="s">
        <v>2035</v>
      </c>
      <c r="H979" s="6">
        <v>47.57</v>
      </c>
      <c r="I979" s="6">
        <v>21.05</v>
      </c>
      <c r="J979" s="24">
        <v>1986</v>
      </c>
      <c r="K979" s="24">
        <v>2007</v>
      </c>
      <c r="L979" s="6">
        <f t="shared" si="42"/>
        <v>22</v>
      </c>
      <c r="M979" t="s">
        <v>2036</v>
      </c>
      <c r="N979" t="s">
        <v>394</v>
      </c>
      <c r="O979" t="s">
        <v>394</v>
      </c>
      <c r="Q979" t="s">
        <v>3304</v>
      </c>
      <c r="R979" t="s">
        <v>3302</v>
      </c>
      <c r="V979" s="25">
        <v>1.2192201182547249</v>
      </c>
      <c r="W979" t="str">
        <f t="shared" si="39"/>
        <v>N</v>
      </c>
      <c r="X979" t="str">
        <f t="shared" si="40"/>
        <v>Y</v>
      </c>
      <c r="Z979" t="str">
        <f t="shared" si="41"/>
        <v>Y</v>
      </c>
      <c r="AC979" s="9" t="s">
        <v>3303</v>
      </c>
    </row>
    <row r="980" spans="2:29">
      <c r="B980" t="s">
        <v>393</v>
      </c>
      <c r="C980" t="s">
        <v>3375</v>
      </c>
      <c r="F980" t="s">
        <v>3376</v>
      </c>
      <c r="G980" t="s">
        <v>2035</v>
      </c>
      <c r="H980" s="6">
        <v>59.83</v>
      </c>
      <c r="I980" s="6">
        <v>21.62</v>
      </c>
      <c r="J980" s="24">
        <v>1975</v>
      </c>
      <c r="K980" s="24">
        <v>2008</v>
      </c>
      <c r="L980" s="6">
        <f t="shared" si="42"/>
        <v>34</v>
      </c>
      <c r="M980" t="s">
        <v>2036</v>
      </c>
      <c r="N980" t="s">
        <v>394</v>
      </c>
      <c r="O980" t="s">
        <v>394</v>
      </c>
      <c r="Q980" t="s">
        <v>3377</v>
      </c>
      <c r="R980" t="s">
        <v>3302</v>
      </c>
      <c r="V980" s="25">
        <v>-5.2406961935758822</v>
      </c>
      <c r="W980" t="str">
        <f t="shared" si="39"/>
        <v>Y</v>
      </c>
      <c r="X980" t="str">
        <f t="shared" si="40"/>
        <v>Y</v>
      </c>
      <c r="Z980" t="str">
        <f t="shared" si="41"/>
        <v>Y</v>
      </c>
      <c r="AC980" s="9" t="s">
        <v>3303</v>
      </c>
    </row>
    <row r="981" spans="2:29">
      <c r="B981" t="s">
        <v>393</v>
      </c>
      <c r="C981" t="s">
        <v>3375</v>
      </c>
      <c r="F981" t="s">
        <v>3376</v>
      </c>
      <c r="G981" t="s">
        <v>2035</v>
      </c>
      <c r="H981" s="6">
        <v>59.83</v>
      </c>
      <c r="I981" s="6">
        <v>21.62</v>
      </c>
      <c r="J981" s="24">
        <v>1975</v>
      </c>
      <c r="K981" s="24">
        <v>2008</v>
      </c>
      <c r="L981" s="6">
        <f t="shared" si="42"/>
        <v>34</v>
      </c>
      <c r="M981" t="s">
        <v>2036</v>
      </c>
      <c r="N981" t="s">
        <v>394</v>
      </c>
      <c r="O981" t="s">
        <v>394</v>
      </c>
      <c r="Q981" t="s">
        <v>3377</v>
      </c>
      <c r="R981" t="s">
        <v>3302</v>
      </c>
      <c r="V981" s="25">
        <v>-8.0666477996322747</v>
      </c>
      <c r="W981" t="str">
        <f t="shared" si="39"/>
        <v>Y</v>
      </c>
      <c r="X981" t="str">
        <f t="shared" si="40"/>
        <v>Y</v>
      </c>
      <c r="Z981" t="str">
        <f t="shared" si="41"/>
        <v>Y</v>
      </c>
      <c r="AC981" s="9" t="s">
        <v>3303</v>
      </c>
    </row>
    <row r="982" spans="2:29">
      <c r="B982" t="s">
        <v>393</v>
      </c>
      <c r="C982" t="s">
        <v>3375</v>
      </c>
      <c r="F982" t="s">
        <v>3376</v>
      </c>
      <c r="G982" t="s">
        <v>2035</v>
      </c>
      <c r="H982" s="6">
        <v>59.83</v>
      </c>
      <c r="I982" s="6">
        <v>21.62</v>
      </c>
      <c r="J982" s="24">
        <v>1970</v>
      </c>
      <c r="K982" s="24">
        <v>2008</v>
      </c>
      <c r="L982" s="6">
        <f t="shared" si="42"/>
        <v>39</v>
      </c>
      <c r="M982" t="s">
        <v>2036</v>
      </c>
      <c r="N982" t="s">
        <v>394</v>
      </c>
      <c r="O982" t="s">
        <v>394</v>
      </c>
      <c r="Q982" t="s">
        <v>3339</v>
      </c>
      <c r="R982" t="s">
        <v>3302</v>
      </c>
      <c r="V982" s="25">
        <v>-2.2307692307692282</v>
      </c>
      <c r="W982" t="str">
        <f t="shared" si="39"/>
        <v>Y</v>
      </c>
      <c r="X982" t="str">
        <f t="shared" si="40"/>
        <v>Y</v>
      </c>
      <c r="Z982" t="str">
        <f t="shared" si="41"/>
        <v>Y</v>
      </c>
      <c r="AC982" s="9" t="s">
        <v>3303</v>
      </c>
    </row>
    <row r="983" spans="2:29">
      <c r="B983" t="s">
        <v>393</v>
      </c>
      <c r="C983" t="s">
        <v>3375</v>
      </c>
      <c r="F983" t="s">
        <v>3376</v>
      </c>
      <c r="G983" t="s">
        <v>2035</v>
      </c>
      <c r="H983" s="6">
        <v>59.83</v>
      </c>
      <c r="I983" s="6">
        <v>21.62</v>
      </c>
      <c r="J983" s="24">
        <v>1970</v>
      </c>
      <c r="K983" s="24">
        <v>2008</v>
      </c>
      <c r="L983" s="6">
        <f t="shared" si="42"/>
        <v>39</v>
      </c>
      <c r="M983" t="s">
        <v>2036</v>
      </c>
      <c r="N983" t="s">
        <v>394</v>
      </c>
      <c r="O983" t="s">
        <v>394</v>
      </c>
      <c r="Q983" t="s">
        <v>3339</v>
      </c>
      <c r="R983" t="s">
        <v>3302</v>
      </c>
      <c r="V983" s="25">
        <v>-3.0445344129554623</v>
      </c>
      <c r="W983" t="str">
        <f t="shared" si="39"/>
        <v>Y</v>
      </c>
      <c r="X983" t="str">
        <f t="shared" si="40"/>
        <v>Y</v>
      </c>
      <c r="Z983" t="str">
        <f t="shared" si="41"/>
        <v>Y</v>
      </c>
      <c r="AC983" s="9" t="s">
        <v>3303</v>
      </c>
    </row>
    <row r="984" spans="2:29">
      <c r="B984" t="s">
        <v>393</v>
      </c>
      <c r="C984" t="s">
        <v>3375</v>
      </c>
      <c r="F984" t="s">
        <v>3376</v>
      </c>
      <c r="G984" t="s">
        <v>2035</v>
      </c>
      <c r="H984" s="6">
        <v>59.83</v>
      </c>
      <c r="I984" s="6">
        <v>21.62</v>
      </c>
      <c r="J984" s="24">
        <v>1970</v>
      </c>
      <c r="K984" s="24">
        <v>2008</v>
      </c>
      <c r="L984" s="6">
        <f t="shared" si="42"/>
        <v>39</v>
      </c>
      <c r="M984" t="s">
        <v>2036</v>
      </c>
      <c r="N984" t="s">
        <v>394</v>
      </c>
      <c r="O984" t="s">
        <v>394</v>
      </c>
      <c r="Q984" t="s">
        <v>3312</v>
      </c>
      <c r="R984" t="s">
        <v>3302</v>
      </c>
      <c r="V984" s="25">
        <v>-4.9618444552686674</v>
      </c>
      <c r="W984" t="str">
        <f t="shared" si="39"/>
        <v>Y</v>
      </c>
      <c r="X984" t="str">
        <f t="shared" si="40"/>
        <v>Y</v>
      </c>
      <c r="Z984" t="str">
        <f t="shared" si="41"/>
        <v>Y</v>
      </c>
      <c r="AC984" s="9" t="s">
        <v>3303</v>
      </c>
    </row>
    <row r="985" spans="2:29">
      <c r="B985" t="s">
        <v>393</v>
      </c>
      <c r="C985" t="s">
        <v>3375</v>
      </c>
      <c r="F985" t="s">
        <v>3376</v>
      </c>
      <c r="G985" t="s">
        <v>2035</v>
      </c>
      <c r="H985" s="6">
        <v>59.83</v>
      </c>
      <c r="I985" s="6">
        <v>21.62</v>
      </c>
      <c r="J985" s="24">
        <v>1970</v>
      </c>
      <c r="K985" s="24">
        <v>2008</v>
      </c>
      <c r="L985" s="6">
        <f t="shared" si="42"/>
        <v>39</v>
      </c>
      <c r="M985" t="s">
        <v>2036</v>
      </c>
      <c r="N985" t="s">
        <v>394</v>
      </c>
      <c r="O985" t="s">
        <v>394</v>
      </c>
      <c r="Q985" t="s">
        <v>3312</v>
      </c>
      <c r="R985" t="s">
        <v>3302</v>
      </c>
      <c r="V985" s="25">
        <v>-0.37911998701089433</v>
      </c>
      <c r="W985" t="str">
        <f t="shared" si="39"/>
        <v>Y</v>
      </c>
      <c r="X985" t="str">
        <f t="shared" si="40"/>
        <v>Y</v>
      </c>
      <c r="Z985" t="str">
        <f t="shared" si="41"/>
        <v>Y</v>
      </c>
      <c r="AC985" s="9" t="s">
        <v>3303</v>
      </c>
    </row>
    <row r="986" spans="2:29">
      <c r="B986" t="s">
        <v>393</v>
      </c>
      <c r="C986" t="s">
        <v>3375</v>
      </c>
      <c r="F986" t="s">
        <v>3376</v>
      </c>
      <c r="G986" t="s">
        <v>2035</v>
      </c>
      <c r="H986" s="6">
        <v>59.83</v>
      </c>
      <c r="I986" s="6">
        <v>21.62</v>
      </c>
      <c r="J986" s="24">
        <v>1975</v>
      </c>
      <c r="K986" s="24">
        <v>2008</v>
      </c>
      <c r="L986" s="6">
        <f t="shared" si="42"/>
        <v>34</v>
      </c>
      <c r="M986" t="s">
        <v>2036</v>
      </c>
      <c r="N986" t="s">
        <v>394</v>
      </c>
      <c r="O986" t="s">
        <v>394</v>
      </c>
      <c r="Q986" t="s">
        <v>3304</v>
      </c>
      <c r="R986" t="s">
        <v>3302</v>
      </c>
      <c r="V986" s="25">
        <v>-2.1744216963573511</v>
      </c>
      <c r="W986" t="str">
        <f t="shared" si="39"/>
        <v>Y</v>
      </c>
      <c r="X986" t="str">
        <f t="shared" si="40"/>
        <v>Y</v>
      </c>
      <c r="Z986" t="str">
        <f t="shared" si="41"/>
        <v>Y</v>
      </c>
      <c r="AC986" s="9" t="s">
        <v>3303</v>
      </c>
    </row>
    <row r="987" spans="2:29">
      <c r="B987" t="s">
        <v>393</v>
      </c>
      <c r="C987" t="s">
        <v>3375</v>
      </c>
      <c r="F987" t="s">
        <v>3376</v>
      </c>
      <c r="G987" t="s">
        <v>2035</v>
      </c>
      <c r="H987" s="6">
        <v>59.83</v>
      </c>
      <c r="I987" s="6">
        <v>21.62</v>
      </c>
      <c r="J987" s="24">
        <v>1975</v>
      </c>
      <c r="K987" s="24">
        <v>2008</v>
      </c>
      <c r="L987" s="6">
        <f t="shared" si="42"/>
        <v>34</v>
      </c>
      <c r="M987" t="s">
        <v>2036</v>
      </c>
      <c r="N987" t="s">
        <v>394</v>
      </c>
      <c r="O987" t="s">
        <v>394</v>
      </c>
      <c r="Q987" t="s">
        <v>3304</v>
      </c>
      <c r="R987" t="s">
        <v>3302</v>
      </c>
      <c r="V987" s="25">
        <v>1.8883275724541249</v>
      </c>
      <c r="W987" t="str">
        <f t="shared" si="39"/>
        <v>N</v>
      </c>
      <c r="X987" t="str">
        <f t="shared" si="40"/>
        <v>Y</v>
      </c>
      <c r="Z987" t="str">
        <f t="shared" si="41"/>
        <v>Y</v>
      </c>
      <c r="AC987" s="9" t="s">
        <v>3303</v>
      </c>
    </row>
    <row r="988" spans="2:29">
      <c r="B988" t="s">
        <v>393</v>
      </c>
      <c r="C988" t="s">
        <v>3375</v>
      </c>
      <c r="F988" t="s">
        <v>3376</v>
      </c>
      <c r="G988" t="s">
        <v>2035</v>
      </c>
      <c r="H988" s="6">
        <v>59.83</v>
      </c>
      <c r="I988" s="6">
        <v>21.62</v>
      </c>
      <c r="J988" s="24">
        <v>1970</v>
      </c>
      <c r="K988" s="24">
        <v>2008</v>
      </c>
      <c r="L988" s="6">
        <f t="shared" si="42"/>
        <v>39</v>
      </c>
      <c r="M988" t="s">
        <v>2036</v>
      </c>
      <c r="N988" t="s">
        <v>394</v>
      </c>
      <c r="O988" t="s">
        <v>394</v>
      </c>
      <c r="Q988" t="s">
        <v>3340</v>
      </c>
      <c r="R988" t="s">
        <v>3302</v>
      </c>
      <c r="V988" s="25">
        <v>-3.8967611336032357</v>
      </c>
      <c r="W988" t="str">
        <f t="shared" si="39"/>
        <v>Y</v>
      </c>
      <c r="X988" t="str">
        <f t="shared" si="40"/>
        <v>Y</v>
      </c>
      <c r="Z988" t="str">
        <f t="shared" si="41"/>
        <v>Y</v>
      </c>
      <c r="AC988" s="9" t="s">
        <v>3303</v>
      </c>
    </row>
    <row r="989" spans="2:29">
      <c r="B989" t="s">
        <v>393</v>
      </c>
      <c r="C989" t="s">
        <v>3375</v>
      </c>
      <c r="F989" t="s">
        <v>3376</v>
      </c>
      <c r="G989" t="s">
        <v>2035</v>
      </c>
      <c r="H989" s="6">
        <v>59.83</v>
      </c>
      <c r="I989" s="6">
        <v>21.62</v>
      </c>
      <c r="J989" s="24">
        <v>1970</v>
      </c>
      <c r="K989" s="24">
        <v>2008</v>
      </c>
      <c r="L989" s="6">
        <f t="shared" si="42"/>
        <v>39</v>
      </c>
      <c r="M989" t="s">
        <v>2036</v>
      </c>
      <c r="N989" t="s">
        <v>394</v>
      </c>
      <c r="O989" t="s">
        <v>394</v>
      </c>
      <c r="Q989" t="s">
        <v>3340</v>
      </c>
      <c r="R989" t="s">
        <v>3302</v>
      </c>
      <c r="V989" s="25">
        <v>9.3117408906884053E-2</v>
      </c>
      <c r="W989" t="str">
        <f t="shared" si="39"/>
        <v>N</v>
      </c>
      <c r="X989" t="str">
        <f t="shared" si="40"/>
        <v>Y</v>
      </c>
      <c r="Z989" t="str">
        <f t="shared" si="41"/>
        <v>Y</v>
      </c>
      <c r="AC989" s="9" t="s">
        <v>3303</v>
      </c>
    </row>
    <row r="990" spans="2:29">
      <c r="B990" t="s">
        <v>393</v>
      </c>
      <c r="C990" t="s">
        <v>3375</v>
      </c>
      <c r="F990" t="s">
        <v>3378</v>
      </c>
      <c r="G990" t="s">
        <v>2035</v>
      </c>
      <c r="H990" s="6">
        <v>59.82</v>
      </c>
      <c r="I990" s="6">
        <v>22.9</v>
      </c>
      <c r="J990" s="24">
        <v>1979</v>
      </c>
      <c r="K990" s="24">
        <v>2008</v>
      </c>
      <c r="L990" s="6">
        <f t="shared" si="42"/>
        <v>30</v>
      </c>
      <c r="M990" t="s">
        <v>2036</v>
      </c>
      <c r="N990" t="s">
        <v>394</v>
      </c>
      <c r="O990" t="s">
        <v>394</v>
      </c>
      <c r="Q990" t="s">
        <v>3377</v>
      </c>
      <c r="R990" t="s">
        <v>3302</v>
      </c>
      <c r="V990" s="25">
        <v>-1.1543644258122776</v>
      </c>
      <c r="W990" t="str">
        <f t="shared" si="39"/>
        <v>Y</v>
      </c>
      <c r="X990" t="str">
        <f t="shared" si="40"/>
        <v>Y</v>
      </c>
      <c r="Z990" t="str">
        <f t="shared" si="41"/>
        <v>Y</v>
      </c>
      <c r="AC990" s="9" t="s">
        <v>3303</v>
      </c>
    </row>
    <row r="991" spans="2:29">
      <c r="B991" t="s">
        <v>393</v>
      </c>
      <c r="C991" t="s">
        <v>3375</v>
      </c>
      <c r="F991" t="s">
        <v>3378</v>
      </c>
      <c r="G991" t="s">
        <v>2035</v>
      </c>
      <c r="H991" s="6">
        <v>59.82</v>
      </c>
      <c r="I991" s="6">
        <v>22.9</v>
      </c>
      <c r="J991" s="24">
        <v>1979</v>
      </c>
      <c r="K991" s="24">
        <v>2008</v>
      </c>
      <c r="L991" s="6">
        <f t="shared" si="42"/>
        <v>30</v>
      </c>
      <c r="M991" t="s">
        <v>2036</v>
      </c>
      <c r="N991" t="s">
        <v>394</v>
      </c>
      <c r="O991" t="s">
        <v>394</v>
      </c>
      <c r="Q991" t="s">
        <v>3377</v>
      </c>
      <c r="R991" t="s">
        <v>3302</v>
      </c>
      <c r="V991" s="25">
        <v>-7.4389878724362992</v>
      </c>
      <c r="W991" t="str">
        <f t="shared" si="39"/>
        <v>Y</v>
      </c>
      <c r="X991" t="str">
        <f t="shared" si="40"/>
        <v>Y</v>
      </c>
      <c r="Z991" t="str">
        <f t="shared" si="41"/>
        <v>Y</v>
      </c>
      <c r="AC991" s="9" t="s">
        <v>3303</v>
      </c>
    </row>
    <row r="992" spans="2:29">
      <c r="B992" t="s">
        <v>393</v>
      </c>
      <c r="C992" t="s">
        <v>3375</v>
      </c>
      <c r="F992" t="s">
        <v>3378</v>
      </c>
      <c r="G992" t="s">
        <v>2035</v>
      </c>
      <c r="H992" s="6">
        <v>59.82</v>
      </c>
      <c r="I992" s="6">
        <v>22.9</v>
      </c>
      <c r="J992" s="24">
        <v>1979</v>
      </c>
      <c r="K992" s="24">
        <v>2008</v>
      </c>
      <c r="L992" s="6">
        <f t="shared" si="42"/>
        <v>30</v>
      </c>
      <c r="M992" t="s">
        <v>2036</v>
      </c>
      <c r="N992" t="s">
        <v>394</v>
      </c>
      <c r="O992" t="s">
        <v>394</v>
      </c>
      <c r="Q992" t="s">
        <v>3339</v>
      </c>
      <c r="R992" t="s">
        <v>3302</v>
      </c>
      <c r="V992" s="25">
        <v>-1.0147601476014803</v>
      </c>
      <c r="W992" t="str">
        <f t="shared" si="39"/>
        <v>Y</v>
      </c>
      <c r="X992" t="str">
        <f t="shared" si="40"/>
        <v>Y</v>
      </c>
      <c r="Z992" t="str">
        <f t="shared" si="41"/>
        <v>Y</v>
      </c>
      <c r="AC992" s="9" t="s">
        <v>3303</v>
      </c>
    </row>
    <row r="993" spans="2:29">
      <c r="B993" t="s">
        <v>393</v>
      </c>
      <c r="C993" t="s">
        <v>3375</v>
      </c>
      <c r="F993" t="s">
        <v>3378</v>
      </c>
      <c r="G993" t="s">
        <v>2035</v>
      </c>
      <c r="H993" s="6">
        <v>59.82</v>
      </c>
      <c r="I993" s="6">
        <v>22.9</v>
      </c>
      <c r="J993" s="24">
        <v>1979</v>
      </c>
      <c r="K993" s="24">
        <v>2008</v>
      </c>
      <c r="L993" s="6">
        <f t="shared" si="42"/>
        <v>30</v>
      </c>
      <c r="M993" t="s">
        <v>2036</v>
      </c>
      <c r="N993" t="s">
        <v>394</v>
      </c>
      <c r="O993" t="s">
        <v>394</v>
      </c>
      <c r="Q993" t="s">
        <v>3339</v>
      </c>
      <c r="R993" t="s">
        <v>3302</v>
      </c>
      <c r="V993" s="25">
        <v>-0.23523985239853057</v>
      </c>
      <c r="W993" t="str">
        <f t="shared" si="39"/>
        <v>Y</v>
      </c>
      <c r="X993" t="str">
        <f t="shared" si="40"/>
        <v>Y</v>
      </c>
      <c r="Z993" t="str">
        <f t="shared" si="41"/>
        <v>Y</v>
      </c>
      <c r="AC993" s="9" t="s">
        <v>3303</v>
      </c>
    </row>
    <row r="994" spans="2:29">
      <c r="B994" t="s">
        <v>393</v>
      </c>
      <c r="C994" t="s">
        <v>3375</v>
      </c>
      <c r="F994" t="s">
        <v>3378</v>
      </c>
      <c r="G994" t="s">
        <v>2035</v>
      </c>
      <c r="H994" s="6">
        <v>59.82</v>
      </c>
      <c r="I994" s="6">
        <v>22.9</v>
      </c>
      <c r="J994" s="24">
        <v>1979</v>
      </c>
      <c r="K994" s="24">
        <v>2008</v>
      </c>
      <c r="L994" s="6">
        <f t="shared" si="42"/>
        <v>30</v>
      </c>
      <c r="M994" t="s">
        <v>2036</v>
      </c>
      <c r="N994" t="s">
        <v>394</v>
      </c>
      <c r="O994" t="s">
        <v>394</v>
      </c>
      <c r="Q994" t="s">
        <v>3312</v>
      </c>
      <c r="R994" t="s">
        <v>3302</v>
      </c>
      <c r="V994" s="25">
        <v>4.0293621906833534</v>
      </c>
      <c r="W994" t="str">
        <f t="shared" si="39"/>
        <v>N</v>
      </c>
      <c r="X994" t="str">
        <f t="shared" si="40"/>
        <v>Y</v>
      </c>
      <c r="Z994" t="str">
        <f t="shared" si="41"/>
        <v>Y</v>
      </c>
      <c r="AC994" s="9" t="s">
        <v>3303</v>
      </c>
    </row>
    <row r="995" spans="2:29">
      <c r="B995" t="s">
        <v>393</v>
      </c>
      <c r="C995" t="s">
        <v>3375</v>
      </c>
      <c r="F995" t="s">
        <v>3378</v>
      </c>
      <c r="G995" t="s">
        <v>2035</v>
      </c>
      <c r="H995" s="6">
        <v>59.82</v>
      </c>
      <c r="I995" s="6">
        <v>22.9</v>
      </c>
      <c r="J995" s="24">
        <v>1979</v>
      </c>
      <c r="K995" s="24">
        <v>2008</v>
      </c>
      <c r="L995" s="6">
        <f t="shared" si="42"/>
        <v>30</v>
      </c>
      <c r="M995" t="s">
        <v>2036</v>
      </c>
      <c r="N995" t="s">
        <v>394</v>
      </c>
      <c r="O995" t="s">
        <v>394</v>
      </c>
      <c r="Q995" t="s">
        <v>3312</v>
      </c>
      <c r="R995" t="s">
        <v>3302</v>
      </c>
      <c r="V995" s="25">
        <v>1.823778000341999</v>
      </c>
      <c r="W995" t="str">
        <f t="shared" si="39"/>
        <v>N</v>
      </c>
      <c r="X995" t="str">
        <f t="shared" si="40"/>
        <v>Y</v>
      </c>
      <c r="Z995" t="str">
        <f t="shared" si="41"/>
        <v>Y</v>
      </c>
      <c r="AC995" s="9" t="s">
        <v>3303</v>
      </c>
    </row>
    <row r="996" spans="2:29">
      <c r="B996" t="s">
        <v>393</v>
      </c>
      <c r="C996" t="s">
        <v>3375</v>
      </c>
      <c r="F996" t="s">
        <v>3378</v>
      </c>
      <c r="G996" t="s">
        <v>2035</v>
      </c>
      <c r="H996" s="6">
        <v>59.82</v>
      </c>
      <c r="I996" s="6">
        <v>22.9</v>
      </c>
      <c r="J996" s="24">
        <v>1979</v>
      </c>
      <c r="K996" s="24">
        <v>2008</v>
      </c>
      <c r="L996" s="6">
        <f t="shared" si="42"/>
        <v>30</v>
      </c>
      <c r="M996" t="s">
        <v>2036</v>
      </c>
      <c r="N996" t="s">
        <v>394</v>
      </c>
      <c r="O996" t="s">
        <v>394</v>
      </c>
      <c r="Q996" t="s">
        <v>3304</v>
      </c>
      <c r="R996" t="s">
        <v>3302</v>
      </c>
      <c r="V996" s="25">
        <v>-4.8703712762315226</v>
      </c>
      <c r="W996" t="str">
        <f t="shared" si="39"/>
        <v>Y</v>
      </c>
      <c r="X996" t="str">
        <f t="shared" si="40"/>
        <v>Y</v>
      </c>
      <c r="Z996" t="str">
        <f t="shared" si="41"/>
        <v>Y</v>
      </c>
      <c r="AC996" s="9" t="s">
        <v>3303</v>
      </c>
    </row>
    <row r="997" spans="2:29">
      <c r="B997" t="s">
        <v>393</v>
      </c>
      <c r="C997" t="s">
        <v>3375</v>
      </c>
      <c r="F997" t="s">
        <v>3378</v>
      </c>
      <c r="G997" t="s">
        <v>2035</v>
      </c>
      <c r="H997" s="6">
        <v>59.82</v>
      </c>
      <c r="I997" s="6">
        <v>22.9</v>
      </c>
      <c r="J997" s="24">
        <v>1979</v>
      </c>
      <c r="K997" s="24">
        <v>2008</v>
      </c>
      <c r="L997" s="6">
        <f t="shared" si="42"/>
        <v>30</v>
      </c>
      <c r="M997" t="s">
        <v>2036</v>
      </c>
      <c r="N997" t="s">
        <v>394</v>
      </c>
      <c r="O997" t="s">
        <v>394</v>
      </c>
      <c r="Q997" t="s">
        <v>3304</v>
      </c>
      <c r="R997" t="s">
        <v>3302</v>
      </c>
      <c r="V997" s="25">
        <v>-3.062906618402442</v>
      </c>
      <c r="W997" t="str">
        <f t="shared" ref="W997:W1058" si="43">IF(V997&lt;0,"Y","N")</f>
        <v>Y</v>
      </c>
      <c r="X997" t="str">
        <f t="shared" ref="X997:X1058" si="44">IF(L997&gt;=19,"Y","N")</f>
        <v>Y</v>
      </c>
      <c r="Z997" t="str">
        <f t="shared" si="41"/>
        <v>Y</v>
      </c>
      <c r="AC997" s="9" t="s">
        <v>3303</v>
      </c>
    </row>
    <row r="998" spans="2:29">
      <c r="B998" t="s">
        <v>393</v>
      </c>
      <c r="C998" t="s">
        <v>3375</v>
      </c>
      <c r="F998" t="s">
        <v>3378</v>
      </c>
      <c r="G998" t="s">
        <v>2035</v>
      </c>
      <c r="H998" s="6">
        <v>59.82</v>
      </c>
      <c r="I998" s="6">
        <v>22.9</v>
      </c>
      <c r="J998" s="24">
        <v>1979</v>
      </c>
      <c r="K998" s="24">
        <v>2008</v>
      </c>
      <c r="L998" s="6">
        <f t="shared" si="42"/>
        <v>30</v>
      </c>
      <c r="M998" t="s">
        <v>2036</v>
      </c>
      <c r="N998" t="s">
        <v>394</v>
      </c>
      <c r="O998" t="s">
        <v>394</v>
      </c>
      <c r="Q998" t="s">
        <v>3340</v>
      </c>
      <c r="R998" t="s">
        <v>3302</v>
      </c>
      <c r="V998" s="25">
        <v>-4.037034803064131</v>
      </c>
      <c r="W998" t="str">
        <f t="shared" si="43"/>
        <v>Y</v>
      </c>
      <c r="X998" t="str">
        <f t="shared" si="44"/>
        <v>Y</v>
      </c>
      <c r="Z998" t="str">
        <f t="shared" si="41"/>
        <v>Y</v>
      </c>
      <c r="AC998" s="9" t="s">
        <v>3303</v>
      </c>
    </row>
    <row r="999" spans="2:29">
      <c r="B999" t="s">
        <v>393</v>
      </c>
      <c r="C999" t="s">
        <v>3375</v>
      </c>
      <c r="F999" t="s">
        <v>3378</v>
      </c>
      <c r="G999" t="s">
        <v>2035</v>
      </c>
      <c r="H999" s="6">
        <v>59.82</v>
      </c>
      <c r="I999" s="6">
        <v>22.9</v>
      </c>
      <c r="J999" s="24">
        <v>1979</v>
      </c>
      <c r="K999" s="24">
        <v>2008</v>
      </c>
      <c r="L999" s="6">
        <f t="shared" si="42"/>
        <v>30</v>
      </c>
      <c r="M999" t="s">
        <v>2036</v>
      </c>
      <c r="N999" t="s">
        <v>394</v>
      </c>
      <c r="O999" t="s">
        <v>394</v>
      </c>
      <c r="Q999" t="s">
        <v>3340</v>
      </c>
      <c r="R999" t="s">
        <v>3302</v>
      </c>
      <c r="V999" s="25">
        <v>-2.6388805114904565</v>
      </c>
      <c r="W999" t="str">
        <f t="shared" si="43"/>
        <v>Y</v>
      </c>
      <c r="X999" t="str">
        <f t="shared" si="44"/>
        <v>Y</v>
      </c>
      <c r="Z999" t="str">
        <f t="shared" si="41"/>
        <v>Y</v>
      </c>
      <c r="AC999" s="9" t="s">
        <v>3303</v>
      </c>
    </row>
    <row r="1000" spans="2:29">
      <c r="B1000" t="s">
        <v>393</v>
      </c>
      <c r="C1000" t="s">
        <v>3379</v>
      </c>
      <c r="F1000" t="s">
        <v>3380</v>
      </c>
      <c r="G1000" t="s">
        <v>2035</v>
      </c>
      <c r="H1000" s="6">
        <v>65.22</v>
      </c>
      <c r="I1000" s="6">
        <v>10.97</v>
      </c>
      <c r="J1000" s="24">
        <v>1989</v>
      </c>
      <c r="K1000" s="24">
        <v>2009</v>
      </c>
      <c r="L1000" s="6">
        <f t="shared" si="42"/>
        <v>21</v>
      </c>
      <c r="M1000" t="s">
        <v>2036</v>
      </c>
      <c r="N1000" t="s">
        <v>394</v>
      </c>
      <c r="O1000" t="s">
        <v>394</v>
      </c>
      <c r="Q1000" t="s">
        <v>3381</v>
      </c>
      <c r="R1000" t="s">
        <v>3308</v>
      </c>
      <c r="V1000" s="25">
        <v>6.73</v>
      </c>
      <c r="W1000" t="str">
        <f t="shared" si="43"/>
        <v>N</v>
      </c>
      <c r="X1000" t="str">
        <f t="shared" si="44"/>
        <v>Y</v>
      </c>
      <c r="Z1000" t="str">
        <f t="shared" si="41"/>
        <v>Y</v>
      </c>
      <c r="AC1000" s="9" t="s">
        <v>3303</v>
      </c>
    </row>
    <row r="1001" spans="2:29">
      <c r="B1001" t="s">
        <v>393</v>
      </c>
      <c r="C1001" t="s">
        <v>3379</v>
      </c>
      <c r="F1001" t="s">
        <v>3382</v>
      </c>
      <c r="G1001" t="s">
        <v>2035</v>
      </c>
      <c r="H1001" s="6">
        <v>67.45</v>
      </c>
      <c r="I1001" s="6">
        <v>11.92</v>
      </c>
      <c r="J1001" s="24">
        <v>1989</v>
      </c>
      <c r="K1001" s="24">
        <v>2009</v>
      </c>
      <c r="L1001" s="6">
        <f t="shared" si="42"/>
        <v>21</v>
      </c>
      <c r="M1001" t="s">
        <v>2036</v>
      </c>
      <c r="N1001" t="s">
        <v>394</v>
      </c>
      <c r="O1001" t="s">
        <v>394</v>
      </c>
      <c r="Q1001" t="s">
        <v>3381</v>
      </c>
      <c r="R1001" t="s">
        <v>3308</v>
      </c>
      <c r="V1001" s="25">
        <v>17.11</v>
      </c>
      <c r="W1001" t="str">
        <f t="shared" si="43"/>
        <v>N</v>
      </c>
      <c r="X1001" t="str">
        <f t="shared" si="44"/>
        <v>Y</v>
      </c>
      <c r="Z1001" t="str">
        <f t="shared" si="41"/>
        <v>Y</v>
      </c>
      <c r="AC1001" s="9" t="s">
        <v>3303</v>
      </c>
    </row>
    <row r="1002" spans="2:29">
      <c r="B1002" t="s">
        <v>393</v>
      </c>
      <c r="C1002" t="s">
        <v>3383</v>
      </c>
      <c r="F1002" t="s">
        <v>3384</v>
      </c>
      <c r="G1002" t="s">
        <v>2286</v>
      </c>
      <c r="H1002" s="6">
        <v>-46.5</v>
      </c>
      <c r="I1002" s="6">
        <v>168.33</v>
      </c>
      <c r="J1002" s="24">
        <v>1964</v>
      </c>
      <c r="K1002" s="24">
        <v>1993</v>
      </c>
      <c r="L1002" s="6">
        <f t="shared" si="42"/>
        <v>30</v>
      </c>
      <c r="M1002" t="s">
        <v>2036</v>
      </c>
      <c r="N1002" t="s">
        <v>394</v>
      </c>
      <c r="O1002" t="s">
        <v>394</v>
      </c>
      <c r="Q1002" t="s">
        <v>3317</v>
      </c>
      <c r="R1002" t="s">
        <v>3308</v>
      </c>
      <c r="V1002" s="25">
        <v>-0.01</v>
      </c>
      <c r="W1002" t="str">
        <f t="shared" si="43"/>
        <v>Y</v>
      </c>
      <c r="X1002" t="str">
        <f t="shared" si="44"/>
        <v>Y</v>
      </c>
      <c r="Z1002" t="str">
        <f t="shared" si="41"/>
        <v>Y</v>
      </c>
      <c r="AC1002" s="9" t="s">
        <v>3303</v>
      </c>
    </row>
    <row r="1003" spans="2:29">
      <c r="B1003" t="s">
        <v>393</v>
      </c>
      <c r="C1003" t="s">
        <v>3385</v>
      </c>
      <c r="F1003" t="s">
        <v>3386</v>
      </c>
      <c r="G1003" t="s">
        <v>2035</v>
      </c>
      <c r="H1003" s="6">
        <v>52.35</v>
      </c>
      <c r="I1003" s="6">
        <v>175.92</v>
      </c>
      <c r="J1003" s="24">
        <v>1990</v>
      </c>
      <c r="K1003" s="24">
        <v>2008</v>
      </c>
      <c r="L1003" s="6">
        <f t="shared" si="42"/>
        <v>19</v>
      </c>
      <c r="M1003" t="s">
        <v>2036</v>
      </c>
      <c r="N1003" t="s">
        <v>394</v>
      </c>
      <c r="O1003" t="s">
        <v>394</v>
      </c>
      <c r="Q1003" t="s">
        <v>3387</v>
      </c>
      <c r="R1003" t="s">
        <v>3308</v>
      </c>
      <c r="V1003" s="25">
        <v>1.6700000000000002</v>
      </c>
      <c r="W1003" t="str">
        <f t="shared" si="43"/>
        <v>N</v>
      </c>
      <c r="X1003" t="str">
        <f t="shared" si="44"/>
        <v>Y</v>
      </c>
      <c r="Z1003" t="str">
        <f t="shared" si="41"/>
        <v>Y</v>
      </c>
      <c r="AC1003" s="9" t="s">
        <v>3303</v>
      </c>
    </row>
    <row r="1004" spans="2:29">
      <c r="B1004" t="s">
        <v>393</v>
      </c>
      <c r="C1004" t="s">
        <v>3385</v>
      </c>
      <c r="F1004" t="s">
        <v>3388</v>
      </c>
      <c r="G1004" t="s">
        <v>2035</v>
      </c>
      <c r="H1004" s="6">
        <v>52.18</v>
      </c>
      <c r="I1004" s="6">
        <v>175.5</v>
      </c>
      <c r="J1004" s="24">
        <v>1996</v>
      </c>
      <c r="K1004" s="24">
        <v>2008</v>
      </c>
      <c r="L1004" s="6">
        <f t="shared" si="42"/>
        <v>13</v>
      </c>
      <c r="M1004" t="s">
        <v>2036</v>
      </c>
      <c r="N1004" t="s">
        <v>394</v>
      </c>
      <c r="O1004" t="s">
        <v>394</v>
      </c>
      <c r="Q1004" t="s">
        <v>3387</v>
      </c>
      <c r="R1004" t="s">
        <v>3308</v>
      </c>
      <c r="V1004" s="25">
        <v>0.49</v>
      </c>
      <c r="W1004" t="str">
        <f t="shared" si="43"/>
        <v>N</v>
      </c>
      <c r="X1004" t="str">
        <f t="shared" si="44"/>
        <v>N</v>
      </c>
      <c r="Z1004" t="str">
        <f t="shared" si="41"/>
        <v>N</v>
      </c>
      <c r="AC1004" s="9" t="s">
        <v>3303</v>
      </c>
    </row>
    <row r="1005" spans="2:29">
      <c r="B1005" t="s">
        <v>393</v>
      </c>
      <c r="C1005" t="s">
        <v>3385</v>
      </c>
      <c r="F1005" t="s">
        <v>3386</v>
      </c>
      <c r="G1005" t="s">
        <v>2035</v>
      </c>
      <c r="H1005" s="6">
        <v>52.35</v>
      </c>
      <c r="I1005" s="6">
        <v>175.92</v>
      </c>
      <c r="J1005" s="24">
        <v>1990</v>
      </c>
      <c r="K1005" s="24">
        <v>2008</v>
      </c>
      <c r="L1005" s="6">
        <f t="shared" si="42"/>
        <v>19</v>
      </c>
      <c r="M1005" t="s">
        <v>2036</v>
      </c>
      <c r="N1005" t="s">
        <v>394</v>
      </c>
      <c r="O1005" t="s">
        <v>394</v>
      </c>
      <c r="Q1005" t="s">
        <v>3389</v>
      </c>
      <c r="R1005" t="s">
        <v>3308</v>
      </c>
      <c r="V1005" s="25">
        <v>-0.79</v>
      </c>
      <c r="W1005" t="str">
        <f t="shared" si="43"/>
        <v>Y</v>
      </c>
      <c r="X1005" t="str">
        <f t="shared" si="44"/>
        <v>Y</v>
      </c>
      <c r="Z1005" t="str">
        <f t="shared" si="41"/>
        <v>Y</v>
      </c>
      <c r="AC1005" s="9" t="s">
        <v>3303</v>
      </c>
    </row>
    <row r="1006" spans="2:29">
      <c r="B1006" t="s">
        <v>393</v>
      </c>
      <c r="C1006" t="s">
        <v>3385</v>
      </c>
      <c r="F1006" t="s">
        <v>3388</v>
      </c>
      <c r="G1006" t="s">
        <v>2035</v>
      </c>
      <c r="H1006" s="6">
        <v>52.18</v>
      </c>
      <c r="I1006" s="6">
        <v>175.5</v>
      </c>
      <c r="J1006" s="24">
        <v>1996</v>
      </c>
      <c r="K1006" s="24">
        <v>2008</v>
      </c>
      <c r="L1006" s="6">
        <f t="shared" si="42"/>
        <v>13</v>
      </c>
      <c r="M1006" t="s">
        <v>2036</v>
      </c>
      <c r="N1006" t="s">
        <v>394</v>
      </c>
      <c r="O1006" t="s">
        <v>394</v>
      </c>
      <c r="Q1006" t="s">
        <v>3389</v>
      </c>
      <c r="R1006" t="s">
        <v>3308</v>
      </c>
      <c r="V1006" s="25">
        <v>2.09</v>
      </c>
      <c r="W1006" t="str">
        <f t="shared" si="43"/>
        <v>N</v>
      </c>
      <c r="X1006" t="str">
        <f t="shared" si="44"/>
        <v>N</v>
      </c>
      <c r="Z1006" t="str">
        <f t="shared" si="41"/>
        <v>N</v>
      </c>
      <c r="AC1006" s="9" t="s">
        <v>3303</v>
      </c>
    </row>
    <row r="1007" spans="2:29">
      <c r="B1007" t="s">
        <v>393</v>
      </c>
      <c r="C1007" t="s">
        <v>3385</v>
      </c>
      <c r="F1007" t="s">
        <v>3386</v>
      </c>
      <c r="G1007" t="s">
        <v>2035</v>
      </c>
      <c r="H1007" s="6">
        <v>52.35</v>
      </c>
      <c r="I1007" s="6">
        <v>175.92</v>
      </c>
      <c r="J1007" s="24">
        <v>1990</v>
      </c>
      <c r="K1007" s="24">
        <v>2008</v>
      </c>
      <c r="L1007" s="6">
        <f t="shared" si="42"/>
        <v>19</v>
      </c>
      <c r="M1007" t="s">
        <v>2036</v>
      </c>
      <c r="N1007" t="s">
        <v>394</v>
      </c>
      <c r="O1007" t="s">
        <v>394</v>
      </c>
      <c r="Q1007" t="s">
        <v>3390</v>
      </c>
      <c r="R1007" t="s">
        <v>3308</v>
      </c>
      <c r="V1007" s="25">
        <v>-1.0900000000000001</v>
      </c>
      <c r="W1007" t="str">
        <f t="shared" si="43"/>
        <v>Y</v>
      </c>
      <c r="X1007" t="str">
        <f t="shared" si="44"/>
        <v>Y</v>
      </c>
      <c r="Z1007" t="str">
        <f t="shared" si="41"/>
        <v>Y</v>
      </c>
      <c r="AC1007" s="9" t="s">
        <v>3303</v>
      </c>
    </row>
    <row r="1008" spans="2:29">
      <c r="B1008" t="s">
        <v>393</v>
      </c>
      <c r="C1008" t="s">
        <v>3391</v>
      </c>
      <c r="F1008" t="s">
        <v>3392</v>
      </c>
      <c r="G1008" t="s">
        <v>2286</v>
      </c>
      <c r="H1008" s="6">
        <v>-64.75</v>
      </c>
      <c r="I1008" s="6">
        <v>-64.099999999999994</v>
      </c>
      <c r="J1008" s="24">
        <v>1991</v>
      </c>
      <c r="K1008" s="24">
        <v>2000</v>
      </c>
      <c r="L1008" s="6">
        <f t="shared" si="42"/>
        <v>10</v>
      </c>
      <c r="M1008" t="s">
        <v>2036</v>
      </c>
      <c r="N1008" t="s">
        <v>394</v>
      </c>
      <c r="O1008" t="s">
        <v>394</v>
      </c>
      <c r="Q1008" t="s">
        <v>3393</v>
      </c>
      <c r="R1008" t="s">
        <v>3308</v>
      </c>
      <c r="V1008" s="25">
        <v>-6.25</v>
      </c>
      <c r="W1008" t="str">
        <f t="shared" si="43"/>
        <v>Y</v>
      </c>
      <c r="X1008" t="str">
        <f t="shared" si="44"/>
        <v>N</v>
      </c>
      <c r="Z1008" t="str">
        <f t="shared" si="41"/>
        <v>N</v>
      </c>
      <c r="AC1008" s="9" t="s">
        <v>3303</v>
      </c>
    </row>
    <row r="1009" spans="2:29">
      <c r="B1009" t="s">
        <v>393</v>
      </c>
      <c r="C1009" t="s">
        <v>3391</v>
      </c>
      <c r="F1009" t="s">
        <v>3394</v>
      </c>
      <c r="G1009" t="s">
        <v>2286</v>
      </c>
      <c r="H1009" s="6">
        <v>-62.58</v>
      </c>
      <c r="I1009" s="6">
        <v>-60.46</v>
      </c>
      <c r="J1009" s="24">
        <v>1997</v>
      </c>
      <c r="K1009" s="24">
        <v>2006</v>
      </c>
      <c r="L1009" s="6">
        <f t="shared" si="42"/>
        <v>10</v>
      </c>
      <c r="M1009" t="s">
        <v>2036</v>
      </c>
      <c r="N1009" t="s">
        <v>394</v>
      </c>
      <c r="O1009" t="s">
        <v>394</v>
      </c>
      <c r="Q1009" t="s">
        <v>3395</v>
      </c>
      <c r="R1009" t="s">
        <v>3308</v>
      </c>
      <c r="V1009" s="25">
        <v>-3.33</v>
      </c>
      <c r="W1009" t="str">
        <f t="shared" si="43"/>
        <v>Y</v>
      </c>
      <c r="X1009" t="str">
        <f t="shared" si="44"/>
        <v>N</v>
      </c>
      <c r="Z1009" t="str">
        <f t="shared" si="41"/>
        <v>N</v>
      </c>
      <c r="AC1009" s="9" t="s">
        <v>3303</v>
      </c>
    </row>
    <row r="1010" spans="2:29">
      <c r="B1010" t="s">
        <v>393</v>
      </c>
      <c r="C1010" t="s">
        <v>3396</v>
      </c>
      <c r="F1010" t="s">
        <v>3397</v>
      </c>
      <c r="G1010" t="s">
        <v>2286</v>
      </c>
      <c r="H1010" s="6">
        <v>-4.21</v>
      </c>
      <c r="I1010" s="6">
        <v>55.66</v>
      </c>
      <c r="J1010" s="24">
        <v>2001</v>
      </c>
      <c r="K1010" s="24">
        <v>2011</v>
      </c>
      <c r="L1010" s="6">
        <f t="shared" si="42"/>
        <v>11</v>
      </c>
      <c r="M1010" t="s">
        <v>2036</v>
      </c>
      <c r="N1010" t="s">
        <v>394</v>
      </c>
      <c r="O1010" t="s">
        <v>394</v>
      </c>
      <c r="Q1010" t="s">
        <v>3398</v>
      </c>
      <c r="R1010" t="s">
        <v>3308</v>
      </c>
      <c r="V1010" s="25">
        <v>20.67</v>
      </c>
      <c r="W1010" t="str">
        <f t="shared" si="43"/>
        <v>N</v>
      </c>
      <c r="X1010" t="str">
        <f t="shared" si="44"/>
        <v>N</v>
      </c>
      <c r="Z1010" t="str">
        <f t="shared" si="41"/>
        <v>N</v>
      </c>
      <c r="AC1010" s="9" t="s">
        <v>3303</v>
      </c>
    </row>
    <row r="1011" spans="2:29">
      <c r="B1011" t="s">
        <v>393</v>
      </c>
      <c r="C1011" t="s">
        <v>3399</v>
      </c>
      <c r="F1011" t="s">
        <v>3400</v>
      </c>
      <c r="G1011" t="s">
        <v>2035</v>
      </c>
      <c r="H1011" s="6">
        <v>64.650000000000006</v>
      </c>
      <c r="I1011" s="6">
        <v>-163.75</v>
      </c>
      <c r="J1011" s="24">
        <v>1975</v>
      </c>
      <c r="K1011" s="24">
        <v>2008</v>
      </c>
      <c r="L1011" s="6">
        <f t="shared" si="42"/>
        <v>34</v>
      </c>
      <c r="M1011" t="s">
        <v>2036</v>
      </c>
      <c r="N1011" t="s">
        <v>394</v>
      </c>
      <c r="O1011" t="s">
        <v>394</v>
      </c>
      <c r="Q1011" t="s">
        <v>3401</v>
      </c>
      <c r="R1011" t="s">
        <v>3308</v>
      </c>
      <c r="V1011" s="25">
        <v>-2.0699999999999998</v>
      </c>
      <c r="W1011" t="str">
        <f t="shared" si="43"/>
        <v>Y</v>
      </c>
      <c r="X1011" t="str">
        <f t="shared" si="44"/>
        <v>Y</v>
      </c>
      <c r="Z1011" t="str">
        <f t="shared" si="41"/>
        <v>Y</v>
      </c>
      <c r="AC1011" s="9" t="s">
        <v>3303</v>
      </c>
    </row>
    <row r="1012" spans="2:29">
      <c r="B1012" t="s">
        <v>393</v>
      </c>
      <c r="C1012" t="s">
        <v>3399</v>
      </c>
      <c r="F1012" t="s">
        <v>3402</v>
      </c>
      <c r="G1012" t="s">
        <v>2035</v>
      </c>
      <c r="H1012" s="6">
        <v>68.14</v>
      </c>
      <c r="I1012" s="6">
        <v>-165.95</v>
      </c>
      <c r="J1012" s="24">
        <v>1976</v>
      </c>
      <c r="K1012" s="24">
        <v>1995</v>
      </c>
      <c r="L1012" s="6">
        <f t="shared" si="42"/>
        <v>20</v>
      </c>
      <c r="M1012" t="s">
        <v>2036</v>
      </c>
      <c r="N1012" t="s">
        <v>394</v>
      </c>
      <c r="O1012" t="s">
        <v>394</v>
      </c>
      <c r="Q1012" t="s">
        <v>3401</v>
      </c>
      <c r="R1012" t="s">
        <v>3308</v>
      </c>
      <c r="V1012" s="25">
        <v>-6.2</v>
      </c>
      <c r="W1012" t="str">
        <f t="shared" si="43"/>
        <v>Y</v>
      </c>
      <c r="X1012" t="str">
        <f t="shared" si="44"/>
        <v>Y</v>
      </c>
      <c r="Z1012" t="str">
        <f t="shared" si="41"/>
        <v>Y</v>
      </c>
      <c r="AC1012" s="9" t="s">
        <v>3303</v>
      </c>
    </row>
    <row r="1013" spans="2:29">
      <c r="B1013" t="s">
        <v>393</v>
      </c>
      <c r="C1013" t="s">
        <v>3399</v>
      </c>
      <c r="F1013" t="s">
        <v>3403</v>
      </c>
      <c r="G1013" t="s">
        <v>2035</v>
      </c>
      <c r="H1013" s="6">
        <v>68.69</v>
      </c>
      <c r="I1013" s="6">
        <v>-166.21</v>
      </c>
      <c r="J1013" s="24">
        <v>1977</v>
      </c>
      <c r="K1013" s="24">
        <v>2008</v>
      </c>
      <c r="L1013" s="6">
        <f t="shared" si="42"/>
        <v>32</v>
      </c>
      <c r="M1013" t="s">
        <v>2036</v>
      </c>
      <c r="N1013" t="s">
        <v>394</v>
      </c>
      <c r="O1013" t="s">
        <v>394</v>
      </c>
      <c r="Q1013" t="s">
        <v>3401</v>
      </c>
      <c r="R1013" t="s">
        <v>3308</v>
      </c>
      <c r="V1013" s="25">
        <v>-0.29000000000000004</v>
      </c>
      <c r="W1013" t="str">
        <f t="shared" si="43"/>
        <v>Y</v>
      </c>
      <c r="X1013" t="str">
        <f t="shared" si="44"/>
        <v>Y</v>
      </c>
      <c r="Z1013" t="str">
        <f t="shared" si="41"/>
        <v>Y</v>
      </c>
      <c r="AC1013" s="9" t="s">
        <v>3303</v>
      </c>
    </row>
    <row r="1014" spans="2:29">
      <c r="B1014" t="s">
        <v>393</v>
      </c>
      <c r="C1014" t="s">
        <v>3404</v>
      </c>
      <c r="F1014" t="s">
        <v>3405</v>
      </c>
      <c r="G1014" t="s">
        <v>2286</v>
      </c>
      <c r="H1014" s="6">
        <v>-74.209999999999994</v>
      </c>
      <c r="I1014" s="6">
        <v>165.1</v>
      </c>
      <c r="J1014" s="24">
        <v>1995</v>
      </c>
      <c r="K1014" s="24">
        <v>2005</v>
      </c>
      <c r="L1014" s="6">
        <f t="shared" si="42"/>
        <v>11</v>
      </c>
      <c r="M1014" t="s">
        <v>2036</v>
      </c>
      <c r="N1014" t="s">
        <v>394</v>
      </c>
      <c r="O1014" t="s">
        <v>394</v>
      </c>
      <c r="Q1014" t="s">
        <v>3393</v>
      </c>
      <c r="R1014" t="s">
        <v>3308</v>
      </c>
      <c r="V1014" s="25">
        <v>2.59</v>
      </c>
      <c r="W1014" t="str">
        <f t="shared" si="43"/>
        <v>N</v>
      </c>
      <c r="X1014" t="str">
        <f t="shared" si="44"/>
        <v>N</v>
      </c>
      <c r="Z1014" t="str">
        <f t="shared" si="41"/>
        <v>N</v>
      </c>
      <c r="AC1014" s="9" t="s">
        <v>3303</v>
      </c>
    </row>
    <row r="1015" spans="2:29">
      <c r="B1015" t="s">
        <v>393</v>
      </c>
      <c r="C1015" t="s">
        <v>3406</v>
      </c>
      <c r="F1015" t="s">
        <v>3397</v>
      </c>
      <c r="G1015" t="s">
        <v>2286</v>
      </c>
      <c r="H1015" s="6">
        <v>-4.21</v>
      </c>
      <c r="I1015" s="6">
        <v>55.66</v>
      </c>
      <c r="J1015" s="24">
        <v>1985</v>
      </c>
      <c r="K1015" s="24">
        <v>2001</v>
      </c>
      <c r="L1015" s="6">
        <f t="shared" si="42"/>
        <v>17</v>
      </c>
      <c r="M1015" t="s">
        <v>2036</v>
      </c>
      <c r="N1015" t="s">
        <v>394</v>
      </c>
      <c r="O1015" t="s">
        <v>394</v>
      </c>
      <c r="Q1015" t="s">
        <v>3407</v>
      </c>
      <c r="R1015" t="s">
        <v>3308</v>
      </c>
      <c r="V1015" s="25">
        <v>-1.22</v>
      </c>
      <c r="W1015" t="str">
        <f t="shared" si="43"/>
        <v>Y</v>
      </c>
      <c r="X1015" t="str">
        <f t="shared" si="44"/>
        <v>N</v>
      </c>
      <c r="Z1015" t="str">
        <f t="shared" si="41"/>
        <v>N</v>
      </c>
      <c r="AC1015" s="9" t="s">
        <v>3303</v>
      </c>
    </row>
    <row r="1016" spans="2:29">
      <c r="B1016" t="s">
        <v>393</v>
      </c>
      <c r="C1016" t="s">
        <v>3408</v>
      </c>
      <c r="F1016" t="s">
        <v>3409</v>
      </c>
      <c r="G1016" t="s">
        <v>2035</v>
      </c>
      <c r="H1016" s="6">
        <v>56.98</v>
      </c>
      <c r="I1016" s="6">
        <v>-135.71</v>
      </c>
      <c r="J1016" s="24">
        <v>1994</v>
      </c>
      <c r="K1016" s="24">
        <v>2006</v>
      </c>
      <c r="L1016" s="6">
        <f t="shared" si="42"/>
        <v>13</v>
      </c>
      <c r="M1016" t="s">
        <v>2036</v>
      </c>
      <c r="N1016" t="s">
        <v>394</v>
      </c>
      <c r="O1016" t="s">
        <v>394</v>
      </c>
      <c r="Q1016" t="s">
        <v>3410</v>
      </c>
      <c r="R1016" t="s">
        <v>3308</v>
      </c>
      <c r="V1016" s="25">
        <v>1.8199999999999998</v>
      </c>
      <c r="W1016" t="str">
        <f t="shared" si="43"/>
        <v>N</v>
      </c>
      <c r="X1016" t="str">
        <f t="shared" si="44"/>
        <v>N</v>
      </c>
      <c r="Z1016" t="str">
        <f t="shared" si="41"/>
        <v>N</v>
      </c>
      <c r="AC1016" s="9" t="s">
        <v>3303</v>
      </c>
    </row>
    <row r="1017" spans="2:29">
      <c r="B1017" t="s">
        <v>393</v>
      </c>
      <c r="C1017" t="s">
        <v>3408</v>
      </c>
      <c r="F1017" t="s">
        <v>3409</v>
      </c>
      <c r="G1017" t="s">
        <v>2035</v>
      </c>
      <c r="H1017" s="6">
        <v>56.98</v>
      </c>
      <c r="I1017" s="6">
        <v>-135.71</v>
      </c>
      <c r="J1017" s="24">
        <v>1995</v>
      </c>
      <c r="K1017" s="24">
        <v>2006</v>
      </c>
      <c r="L1017" s="6">
        <f t="shared" si="42"/>
        <v>12</v>
      </c>
      <c r="M1017" t="s">
        <v>2036</v>
      </c>
      <c r="N1017" t="s">
        <v>394</v>
      </c>
      <c r="O1017" t="s">
        <v>394</v>
      </c>
      <c r="Q1017" t="s">
        <v>3411</v>
      </c>
      <c r="R1017" t="s">
        <v>3308</v>
      </c>
      <c r="V1017" s="25">
        <v>-15.91</v>
      </c>
      <c r="W1017" t="str">
        <f t="shared" si="43"/>
        <v>Y</v>
      </c>
      <c r="X1017" t="str">
        <f t="shared" si="44"/>
        <v>N</v>
      </c>
      <c r="Z1017" t="str">
        <f t="shared" si="41"/>
        <v>N</v>
      </c>
      <c r="AC1017" s="9" t="s">
        <v>3303</v>
      </c>
    </row>
    <row r="1018" spans="2:29">
      <c r="B1018" t="s">
        <v>393</v>
      </c>
      <c r="C1018" t="s">
        <v>3408</v>
      </c>
      <c r="F1018" t="s">
        <v>3409</v>
      </c>
      <c r="G1018" t="s">
        <v>2035</v>
      </c>
      <c r="H1018" s="6">
        <v>56.98</v>
      </c>
      <c r="I1018" s="6">
        <v>-135.71</v>
      </c>
      <c r="J1018" s="24">
        <v>1995</v>
      </c>
      <c r="K1018" s="24">
        <v>2006</v>
      </c>
      <c r="L1018" s="6">
        <f t="shared" si="42"/>
        <v>12</v>
      </c>
      <c r="M1018" t="s">
        <v>2036</v>
      </c>
      <c r="N1018" t="s">
        <v>394</v>
      </c>
      <c r="O1018" t="s">
        <v>394</v>
      </c>
      <c r="Q1018" t="s">
        <v>3412</v>
      </c>
      <c r="R1018" t="s">
        <v>3308</v>
      </c>
      <c r="V1018" s="25">
        <v>-5.67</v>
      </c>
      <c r="W1018" t="str">
        <f t="shared" si="43"/>
        <v>Y</v>
      </c>
      <c r="X1018" t="str">
        <f t="shared" si="44"/>
        <v>N</v>
      </c>
      <c r="Z1018" t="str">
        <f t="shared" si="41"/>
        <v>N</v>
      </c>
      <c r="AC1018" s="9" t="s">
        <v>3303</v>
      </c>
    </row>
    <row r="1019" spans="2:29">
      <c r="B1019" t="s">
        <v>393</v>
      </c>
      <c r="C1019" t="s">
        <v>3408</v>
      </c>
      <c r="F1019" t="s">
        <v>3409</v>
      </c>
      <c r="G1019" t="s">
        <v>2035</v>
      </c>
      <c r="H1019" s="6">
        <v>56.98</v>
      </c>
      <c r="I1019" s="6">
        <v>-135.71</v>
      </c>
      <c r="J1019" s="24">
        <v>1994</v>
      </c>
      <c r="K1019" s="24">
        <v>2006</v>
      </c>
      <c r="L1019" s="6">
        <f t="shared" si="42"/>
        <v>13</v>
      </c>
      <c r="M1019" t="s">
        <v>2036</v>
      </c>
      <c r="N1019" t="s">
        <v>394</v>
      </c>
      <c r="O1019" t="s">
        <v>394</v>
      </c>
      <c r="Q1019" t="s">
        <v>3413</v>
      </c>
      <c r="R1019" t="s">
        <v>3308</v>
      </c>
      <c r="V1019" s="25">
        <v>-4.01</v>
      </c>
      <c r="W1019" t="str">
        <f t="shared" si="43"/>
        <v>Y</v>
      </c>
      <c r="X1019" t="str">
        <f t="shared" si="44"/>
        <v>N</v>
      </c>
      <c r="Z1019" t="str">
        <f t="shared" si="41"/>
        <v>N</v>
      </c>
      <c r="AC1019" s="9" t="s">
        <v>3303</v>
      </c>
    </row>
    <row r="1020" spans="2:29">
      <c r="B1020" t="s">
        <v>393</v>
      </c>
      <c r="C1020" t="s">
        <v>3408</v>
      </c>
      <c r="F1020" t="s">
        <v>3409</v>
      </c>
      <c r="G1020" t="s">
        <v>2035</v>
      </c>
      <c r="H1020" s="6">
        <v>56.98</v>
      </c>
      <c r="I1020" s="6">
        <v>-135.71</v>
      </c>
      <c r="J1020" s="24">
        <v>1994</v>
      </c>
      <c r="K1020" s="24">
        <v>2006</v>
      </c>
      <c r="L1020" s="6">
        <f t="shared" si="42"/>
        <v>13</v>
      </c>
      <c r="M1020" t="s">
        <v>2036</v>
      </c>
      <c r="N1020" t="s">
        <v>394</v>
      </c>
      <c r="O1020" t="s">
        <v>394</v>
      </c>
      <c r="Q1020" t="s">
        <v>3333</v>
      </c>
      <c r="R1020" t="s">
        <v>3308</v>
      </c>
      <c r="V1020" s="25">
        <v>-4.7799999999999994</v>
      </c>
      <c r="W1020" t="str">
        <f t="shared" si="43"/>
        <v>Y</v>
      </c>
      <c r="X1020" t="str">
        <f t="shared" si="44"/>
        <v>N</v>
      </c>
      <c r="Z1020" t="str">
        <f t="shared" si="41"/>
        <v>N</v>
      </c>
      <c r="AC1020" s="9" t="s">
        <v>3303</v>
      </c>
    </row>
    <row r="1021" spans="2:29">
      <c r="B1021" t="s">
        <v>393</v>
      </c>
      <c r="C1021" t="s">
        <v>3414</v>
      </c>
      <c r="F1021" t="s">
        <v>3415</v>
      </c>
      <c r="G1021" t="s">
        <v>2035</v>
      </c>
      <c r="H1021" s="6">
        <v>43.55</v>
      </c>
      <c r="I1021" s="6">
        <v>-7</v>
      </c>
      <c r="J1021" s="24">
        <v>1998</v>
      </c>
      <c r="K1021" s="24">
        <v>2008</v>
      </c>
      <c r="L1021" s="6">
        <f t="shared" si="42"/>
        <v>11</v>
      </c>
      <c r="M1021" t="s">
        <v>2036</v>
      </c>
      <c r="N1021" t="s">
        <v>394</v>
      </c>
      <c r="O1021" t="s">
        <v>394</v>
      </c>
      <c r="Q1021" t="s">
        <v>3381</v>
      </c>
      <c r="R1021" t="s">
        <v>3308</v>
      </c>
      <c r="V1021" s="25">
        <v>-43.5</v>
      </c>
      <c r="W1021" t="str">
        <f t="shared" si="43"/>
        <v>Y</v>
      </c>
      <c r="X1021" t="str">
        <f t="shared" si="44"/>
        <v>N</v>
      </c>
      <c r="Z1021" t="str">
        <f t="shared" si="41"/>
        <v>N</v>
      </c>
      <c r="AC1021" s="9" t="s">
        <v>3303</v>
      </c>
    </row>
    <row r="1022" spans="2:29">
      <c r="B1022" t="s">
        <v>393</v>
      </c>
      <c r="C1022" t="s">
        <v>3416</v>
      </c>
      <c r="F1022" t="s">
        <v>3417</v>
      </c>
      <c r="G1022" t="s">
        <v>2035</v>
      </c>
      <c r="H1022" s="6">
        <v>49</v>
      </c>
      <c r="I1022" s="6">
        <v>-123.6</v>
      </c>
      <c r="J1022" s="24">
        <v>1959</v>
      </c>
      <c r="K1022" s="24">
        <v>2009</v>
      </c>
      <c r="L1022" s="6">
        <f t="shared" si="42"/>
        <v>51</v>
      </c>
      <c r="M1022" t="s">
        <v>2036</v>
      </c>
      <c r="N1022" t="s">
        <v>394</v>
      </c>
      <c r="O1022" t="s">
        <v>394</v>
      </c>
      <c r="Q1022" t="s">
        <v>3418</v>
      </c>
      <c r="R1022" t="s">
        <v>3308</v>
      </c>
      <c r="V1022" s="25">
        <v>1.53</v>
      </c>
      <c r="W1022" t="str">
        <f t="shared" si="43"/>
        <v>N</v>
      </c>
      <c r="X1022" t="str">
        <f t="shared" si="44"/>
        <v>Y</v>
      </c>
      <c r="Z1022" t="str">
        <f t="shared" si="41"/>
        <v>Y</v>
      </c>
      <c r="AC1022" s="9" t="s">
        <v>3303</v>
      </c>
    </row>
    <row r="1023" spans="2:29">
      <c r="B1023" t="s">
        <v>393</v>
      </c>
      <c r="C1023" t="s">
        <v>3419</v>
      </c>
      <c r="F1023" t="s">
        <v>3420</v>
      </c>
      <c r="G1023" t="s">
        <v>2286</v>
      </c>
      <c r="H1023" s="6">
        <v>-33.42</v>
      </c>
      <c r="I1023" s="6">
        <v>18.09</v>
      </c>
      <c r="J1023" s="24">
        <v>1995</v>
      </c>
      <c r="K1023" s="24">
        <v>2008</v>
      </c>
      <c r="L1023" s="6">
        <f t="shared" si="42"/>
        <v>14</v>
      </c>
      <c r="M1023" t="s">
        <v>2036</v>
      </c>
      <c r="N1023" t="s">
        <v>394</v>
      </c>
      <c r="O1023" t="s">
        <v>394</v>
      </c>
      <c r="Q1023" t="s">
        <v>3421</v>
      </c>
      <c r="R1023" t="s">
        <v>3308</v>
      </c>
      <c r="V1023" s="25">
        <v>-32.07</v>
      </c>
      <c r="W1023" t="str">
        <f t="shared" si="43"/>
        <v>Y</v>
      </c>
      <c r="X1023" t="str">
        <f t="shared" si="44"/>
        <v>N</v>
      </c>
      <c r="Z1023" t="str">
        <f t="shared" si="41"/>
        <v>N</v>
      </c>
      <c r="AC1023" s="9" t="s">
        <v>3303</v>
      </c>
    </row>
    <row r="1024" spans="2:29">
      <c r="B1024" t="s">
        <v>393</v>
      </c>
      <c r="C1024" t="s">
        <v>3422</v>
      </c>
      <c r="F1024" t="s">
        <v>3423</v>
      </c>
      <c r="G1024" t="s">
        <v>2286</v>
      </c>
      <c r="H1024" s="6">
        <v>-67.599999999999994</v>
      </c>
      <c r="I1024" s="6">
        <v>-62.98</v>
      </c>
      <c r="J1024" s="24">
        <v>1993</v>
      </c>
      <c r="K1024" s="24">
        <v>2003</v>
      </c>
      <c r="L1024" s="6">
        <f t="shared" si="42"/>
        <v>11</v>
      </c>
      <c r="M1024" t="s">
        <v>2036</v>
      </c>
      <c r="N1024" t="s">
        <v>394</v>
      </c>
      <c r="O1024" t="s">
        <v>394</v>
      </c>
      <c r="Q1024" t="s">
        <v>3393</v>
      </c>
      <c r="R1024" t="s">
        <v>3302</v>
      </c>
      <c r="V1024" s="25">
        <v>-4.76</v>
      </c>
      <c r="W1024" t="str">
        <f t="shared" si="43"/>
        <v>Y</v>
      </c>
      <c r="X1024" t="str">
        <f t="shared" si="44"/>
        <v>N</v>
      </c>
      <c r="Z1024" t="str">
        <f t="shared" si="41"/>
        <v>N</v>
      </c>
      <c r="AC1024" s="9" t="s">
        <v>3303</v>
      </c>
    </row>
    <row r="1025" spans="2:29">
      <c r="B1025" t="s">
        <v>393</v>
      </c>
      <c r="C1025" t="s">
        <v>3422</v>
      </c>
      <c r="F1025" t="s">
        <v>3423</v>
      </c>
      <c r="G1025" t="s">
        <v>2286</v>
      </c>
      <c r="H1025" s="6">
        <v>-67.599999999999994</v>
      </c>
      <c r="I1025" s="6">
        <v>-62.98</v>
      </c>
      <c r="J1025" s="24">
        <v>1990</v>
      </c>
      <c r="K1025" s="24">
        <v>2003</v>
      </c>
      <c r="L1025" s="6">
        <f t="shared" si="42"/>
        <v>14</v>
      </c>
      <c r="M1025" t="s">
        <v>2036</v>
      </c>
      <c r="N1025" t="s">
        <v>394</v>
      </c>
      <c r="O1025" t="s">
        <v>394</v>
      </c>
      <c r="Q1025" t="s">
        <v>3393</v>
      </c>
      <c r="R1025" t="s">
        <v>3308</v>
      </c>
      <c r="V1025" s="25">
        <v>-1.54</v>
      </c>
      <c r="W1025" t="str">
        <f t="shared" si="43"/>
        <v>Y</v>
      </c>
      <c r="X1025" t="str">
        <f t="shared" si="44"/>
        <v>N</v>
      </c>
      <c r="Z1025" t="str">
        <f t="shared" si="41"/>
        <v>N</v>
      </c>
      <c r="AC1025" s="9" t="s">
        <v>3303</v>
      </c>
    </row>
    <row r="1026" spans="2:29">
      <c r="B1026" t="s">
        <v>393</v>
      </c>
      <c r="C1026" t="s">
        <v>3422</v>
      </c>
      <c r="F1026" t="s">
        <v>3423</v>
      </c>
      <c r="G1026" t="s">
        <v>2286</v>
      </c>
      <c r="H1026" s="6">
        <v>-67.599999999999994</v>
      </c>
      <c r="I1026" s="6">
        <v>-62.98</v>
      </c>
      <c r="J1026" s="24">
        <v>1993</v>
      </c>
      <c r="K1026" s="24">
        <v>2003</v>
      </c>
      <c r="L1026" s="6">
        <f t="shared" si="42"/>
        <v>11</v>
      </c>
      <c r="M1026" t="s">
        <v>2036</v>
      </c>
      <c r="N1026" t="s">
        <v>394</v>
      </c>
      <c r="O1026" t="s">
        <v>394</v>
      </c>
      <c r="Q1026" t="s">
        <v>3393</v>
      </c>
      <c r="R1026" t="s">
        <v>3302</v>
      </c>
      <c r="V1026" s="25">
        <v>-0.21000000000000002</v>
      </c>
      <c r="W1026" t="str">
        <f t="shared" si="43"/>
        <v>Y</v>
      </c>
      <c r="X1026" t="str">
        <f t="shared" si="44"/>
        <v>N</v>
      </c>
      <c r="Z1026" t="str">
        <f t="shared" ref="Z1026:Z1089" si="45">IF(L1026&gt;=19,"Y","N")</f>
        <v>N</v>
      </c>
      <c r="AC1026" s="9" t="s">
        <v>3303</v>
      </c>
    </row>
    <row r="1027" spans="2:29">
      <c r="B1027" t="s">
        <v>393</v>
      </c>
      <c r="C1027" t="s">
        <v>3422</v>
      </c>
      <c r="F1027" t="s">
        <v>3423</v>
      </c>
      <c r="G1027" t="s">
        <v>2286</v>
      </c>
      <c r="H1027" s="6">
        <v>-67.599999999999994</v>
      </c>
      <c r="I1027" s="6">
        <v>-62.98</v>
      </c>
      <c r="J1027" s="24">
        <v>1990</v>
      </c>
      <c r="K1027" s="24">
        <v>2003</v>
      </c>
      <c r="L1027" s="6">
        <f t="shared" si="42"/>
        <v>14</v>
      </c>
      <c r="M1027" t="s">
        <v>2036</v>
      </c>
      <c r="N1027" t="s">
        <v>394</v>
      </c>
      <c r="O1027" t="s">
        <v>394</v>
      </c>
      <c r="Q1027" t="s">
        <v>3393</v>
      </c>
      <c r="R1027" t="s">
        <v>3308</v>
      </c>
      <c r="V1027" s="25">
        <v>-1.75</v>
      </c>
      <c r="W1027" t="str">
        <f t="shared" si="43"/>
        <v>Y</v>
      </c>
      <c r="X1027" t="str">
        <f t="shared" si="44"/>
        <v>N</v>
      </c>
      <c r="Z1027" t="str">
        <f t="shared" si="45"/>
        <v>N</v>
      </c>
      <c r="AC1027" s="9" t="s">
        <v>3303</v>
      </c>
    </row>
    <row r="1028" spans="2:29">
      <c r="B1028" t="s">
        <v>393</v>
      </c>
      <c r="C1028" t="s">
        <v>3424</v>
      </c>
      <c r="F1028" t="s">
        <v>3425</v>
      </c>
      <c r="G1028" t="s">
        <v>2035</v>
      </c>
      <c r="H1028" s="6">
        <v>53.3</v>
      </c>
      <c r="I1028" s="6">
        <v>8.06</v>
      </c>
      <c r="J1028" s="24">
        <v>1994</v>
      </c>
      <c r="K1028" s="24">
        <v>2012</v>
      </c>
      <c r="L1028" s="6">
        <f t="shared" ref="L1028:L1090" si="46">K1028-J1028+1</f>
        <v>19</v>
      </c>
      <c r="M1028" t="s">
        <v>2036</v>
      </c>
      <c r="N1028" t="s">
        <v>394</v>
      </c>
      <c r="O1028" t="s">
        <v>394</v>
      </c>
      <c r="Q1028" t="s">
        <v>3304</v>
      </c>
      <c r="R1028" t="s">
        <v>3302</v>
      </c>
      <c r="V1028" s="25">
        <v>0.95</v>
      </c>
      <c r="W1028" t="str">
        <f t="shared" si="43"/>
        <v>N</v>
      </c>
      <c r="X1028" t="str">
        <f t="shared" si="44"/>
        <v>Y</v>
      </c>
      <c r="Z1028" t="str">
        <f t="shared" si="45"/>
        <v>Y</v>
      </c>
      <c r="AC1028" s="9" t="s">
        <v>3303</v>
      </c>
    </row>
    <row r="1029" spans="2:29">
      <c r="B1029" t="s">
        <v>393</v>
      </c>
      <c r="C1029" t="s">
        <v>3426</v>
      </c>
      <c r="F1029" t="s">
        <v>3427</v>
      </c>
      <c r="G1029" t="s">
        <v>2035</v>
      </c>
      <c r="H1029" s="6">
        <v>37.700000000000003</v>
      </c>
      <c r="I1029" s="6">
        <v>123.01</v>
      </c>
      <c r="J1029" s="24">
        <v>1993</v>
      </c>
      <c r="K1029" s="24">
        <v>2003</v>
      </c>
      <c r="L1029" s="6">
        <f t="shared" si="46"/>
        <v>11</v>
      </c>
      <c r="M1029" t="s">
        <v>2036</v>
      </c>
      <c r="N1029" t="s">
        <v>394</v>
      </c>
      <c r="O1029" t="s">
        <v>394</v>
      </c>
      <c r="Q1029" t="s">
        <v>3410</v>
      </c>
      <c r="R1029" t="s">
        <v>3308</v>
      </c>
      <c r="V1029" s="25">
        <v>-4.88</v>
      </c>
      <c r="W1029" t="str">
        <f t="shared" si="43"/>
        <v>Y</v>
      </c>
      <c r="X1029" t="str">
        <f t="shared" si="44"/>
        <v>N</v>
      </c>
      <c r="Z1029" t="str">
        <f t="shared" si="45"/>
        <v>N</v>
      </c>
      <c r="AC1029" s="9" t="s">
        <v>3303</v>
      </c>
    </row>
    <row r="1030" spans="2:29">
      <c r="B1030" t="s">
        <v>393</v>
      </c>
      <c r="C1030" t="s">
        <v>3426</v>
      </c>
      <c r="F1030" t="s">
        <v>3428</v>
      </c>
      <c r="G1030" t="s">
        <v>2035</v>
      </c>
      <c r="H1030" s="6">
        <v>37.11</v>
      </c>
      <c r="I1030" s="6">
        <v>-122.33</v>
      </c>
      <c r="J1030" s="24">
        <v>1993</v>
      </c>
      <c r="K1030" s="24">
        <v>2003</v>
      </c>
      <c r="L1030" s="6">
        <f t="shared" si="46"/>
        <v>11</v>
      </c>
      <c r="M1030" t="s">
        <v>2036</v>
      </c>
      <c r="N1030" t="s">
        <v>394</v>
      </c>
      <c r="O1030" t="s">
        <v>394</v>
      </c>
      <c r="Q1030" t="s">
        <v>3410</v>
      </c>
      <c r="R1030" t="s">
        <v>3308</v>
      </c>
      <c r="V1030" s="25">
        <v>-8.7100000000000009</v>
      </c>
      <c r="W1030" t="str">
        <f t="shared" si="43"/>
        <v>Y</v>
      </c>
      <c r="X1030" t="str">
        <f t="shared" si="44"/>
        <v>N</v>
      </c>
      <c r="Z1030" t="str">
        <f t="shared" si="45"/>
        <v>N</v>
      </c>
      <c r="AC1030" s="9" t="s">
        <v>3303</v>
      </c>
    </row>
    <row r="1031" spans="2:29">
      <c r="B1031" t="s">
        <v>393</v>
      </c>
      <c r="C1031" t="s">
        <v>3429</v>
      </c>
      <c r="F1031" t="s">
        <v>3430</v>
      </c>
      <c r="G1031" t="s">
        <v>2035</v>
      </c>
      <c r="H1031" s="6">
        <v>44.42</v>
      </c>
      <c r="I1031" s="6">
        <v>141.52000000000001</v>
      </c>
      <c r="J1031" s="24">
        <v>1984</v>
      </c>
      <c r="K1031" s="24">
        <v>2009</v>
      </c>
      <c r="L1031" s="6">
        <f t="shared" si="46"/>
        <v>26</v>
      </c>
      <c r="M1031" t="s">
        <v>2036</v>
      </c>
      <c r="N1031" t="s">
        <v>394</v>
      </c>
      <c r="O1031" t="s">
        <v>394</v>
      </c>
      <c r="Q1031" t="s">
        <v>3410</v>
      </c>
      <c r="R1031" t="s">
        <v>3308</v>
      </c>
      <c r="V1031" s="25">
        <v>-0.34</v>
      </c>
      <c r="W1031" t="str">
        <f t="shared" si="43"/>
        <v>Y</v>
      </c>
      <c r="X1031" t="str">
        <f t="shared" si="44"/>
        <v>Y</v>
      </c>
      <c r="Z1031" t="str">
        <f t="shared" si="45"/>
        <v>Y</v>
      </c>
      <c r="AC1031" s="9" t="s">
        <v>3303</v>
      </c>
    </row>
    <row r="1032" spans="2:29">
      <c r="B1032" t="s">
        <v>393</v>
      </c>
      <c r="C1032" t="s">
        <v>3429</v>
      </c>
      <c r="F1032" t="s">
        <v>3430</v>
      </c>
      <c r="G1032" t="s">
        <v>2035</v>
      </c>
      <c r="H1032" s="6">
        <v>44.42</v>
      </c>
      <c r="I1032" s="6">
        <v>141.52000000000001</v>
      </c>
      <c r="J1032" s="24">
        <v>1980</v>
      </c>
      <c r="K1032" s="24">
        <v>2007</v>
      </c>
      <c r="L1032" s="6">
        <f t="shared" si="46"/>
        <v>28</v>
      </c>
      <c r="M1032" t="s">
        <v>2036</v>
      </c>
      <c r="N1032" t="s">
        <v>394</v>
      </c>
      <c r="O1032" t="s">
        <v>394</v>
      </c>
      <c r="Q1032" t="s">
        <v>3431</v>
      </c>
      <c r="R1032" t="s">
        <v>3308</v>
      </c>
      <c r="V1032" s="25">
        <v>-1.94</v>
      </c>
      <c r="W1032" t="str">
        <f t="shared" si="43"/>
        <v>Y</v>
      </c>
      <c r="X1032" t="str">
        <f t="shared" si="44"/>
        <v>Y</v>
      </c>
      <c r="Z1032" t="str">
        <f t="shared" si="45"/>
        <v>Y</v>
      </c>
      <c r="AC1032" s="9" t="s">
        <v>3303</v>
      </c>
    </row>
    <row r="1033" spans="2:29">
      <c r="B1033" t="s">
        <v>393</v>
      </c>
      <c r="C1033" t="s">
        <v>3429</v>
      </c>
      <c r="F1033" t="s">
        <v>3430</v>
      </c>
      <c r="G1033" t="s">
        <v>2035</v>
      </c>
      <c r="H1033" s="6">
        <v>44.42</v>
      </c>
      <c r="I1033" s="6">
        <v>141.52000000000001</v>
      </c>
      <c r="J1033" s="24">
        <v>1992</v>
      </c>
      <c r="K1033" s="24">
        <v>2009</v>
      </c>
      <c r="L1033" s="6">
        <f t="shared" si="46"/>
        <v>18</v>
      </c>
      <c r="M1033" t="s">
        <v>2036</v>
      </c>
      <c r="N1033" t="s">
        <v>394</v>
      </c>
      <c r="O1033" t="s">
        <v>394</v>
      </c>
      <c r="Q1033" t="s">
        <v>3432</v>
      </c>
      <c r="R1033" t="s">
        <v>3308</v>
      </c>
      <c r="V1033" s="25">
        <v>5.09</v>
      </c>
      <c r="W1033" t="str">
        <f t="shared" si="43"/>
        <v>N</v>
      </c>
      <c r="X1033" t="str">
        <f t="shared" si="44"/>
        <v>N</v>
      </c>
      <c r="Z1033" t="str">
        <f t="shared" si="45"/>
        <v>N</v>
      </c>
      <c r="AC1033" s="9" t="s">
        <v>3303</v>
      </c>
    </row>
    <row r="1034" spans="2:29">
      <c r="B1034" t="s">
        <v>393</v>
      </c>
      <c r="C1034" t="s">
        <v>3433</v>
      </c>
      <c r="F1034" t="s">
        <v>3309</v>
      </c>
      <c r="G1034" t="s">
        <v>2035</v>
      </c>
      <c r="H1034" s="6">
        <v>70.22</v>
      </c>
      <c r="I1034" s="6">
        <v>31.08</v>
      </c>
      <c r="J1034" s="24">
        <v>1980</v>
      </c>
      <c r="K1034" s="24">
        <v>2000</v>
      </c>
      <c r="L1034" s="6">
        <f t="shared" si="46"/>
        <v>21</v>
      </c>
      <c r="M1034" t="s">
        <v>2036</v>
      </c>
      <c r="N1034" t="s">
        <v>394</v>
      </c>
      <c r="O1034" t="s">
        <v>394</v>
      </c>
      <c r="Q1034" t="s">
        <v>3377</v>
      </c>
      <c r="R1034" t="s">
        <v>3308</v>
      </c>
      <c r="V1034" s="25">
        <v>0.17</v>
      </c>
      <c r="W1034" t="str">
        <f t="shared" si="43"/>
        <v>N</v>
      </c>
      <c r="X1034" t="str">
        <f t="shared" si="44"/>
        <v>Y</v>
      </c>
      <c r="Z1034" t="str">
        <f t="shared" si="45"/>
        <v>Y</v>
      </c>
      <c r="AC1034" s="9" t="s">
        <v>3303</v>
      </c>
    </row>
    <row r="1035" spans="2:29">
      <c r="B1035" t="s">
        <v>393</v>
      </c>
      <c r="C1035" t="s">
        <v>3434</v>
      </c>
      <c r="F1035" t="s">
        <v>3311</v>
      </c>
      <c r="G1035" t="s">
        <v>2035</v>
      </c>
      <c r="H1035" s="6">
        <v>69.7</v>
      </c>
      <c r="I1035" s="6">
        <v>18.899999999999999</v>
      </c>
      <c r="J1035" s="24">
        <v>1980</v>
      </c>
      <c r="K1035" s="24">
        <v>2015</v>
      </c>
      <c r="L1035" s="6">
        <f t="shared" si="46"/>
        <v>36</v>
      </c>
      <c r="M1035" t="s">
        <v>2036</v>
      </c>
      <c r="N1035" t="s">
        <v>394</v>
      </c>
      <c r="O1035" t="s">
        <v>394</v>
      </c>
      <c r="Q1035" t="s">
        <v>3340</v>
      </c>
      <c r="R1035" t="s">
        <v>3302</v>
      </c>
      <c r="V1035" s="25">
        <v>-0.13</v>
      </c>
      <c r="W1035" t="str">
        <f t="shared" si="43"/>
        <v>Y</v>
      </c>
      <c r="X1035" t="str">
        <f t="shared" si="44"/>
        <v>Y</v>
      </c>
      <c r="Z1035" t="str">
        <f t="shared" si="45"/>
        <v>Y</v>
      </c>
      <c r="AC1035" s="9" t="s">
        <v>3303</v>
      </c>
    </row>
    <row r="1036" spans="2:29">
      <c r="B1036" t="s">
        <v>393</v>
      </c>
      <c r="C1036" t="s">
        <v>3434</v>
      </c>
      <c r="F1036" t="s">
        <v>3311</v>
      </c>
      <c r="G1036" t="s">
        <v>2035</v>
      </c>
      <c r="H1036" s="6">
        <v>69.7</v>
      </c>
      <c r="I1036" s="6">
        <v>18.899999999999999</v>
      </c>
      <c r="J1036" s="24">
        <v>1980</v>
      </c>
      <c r="K1036" s="24">
        <v>2015</v>
      </c>
      <c r="L1036" s="6">
        <f t="shared" si="46"/>
        <v>36</v>
      </c>
      <c r="M1036" t="s">
        <v>2036</v>
      </c>
      <c r="N1036" t="s">
        <v>394</v>
      </c>
      <c r="O1036" t="s">
        <v>394</v>
      </c>
      <c r="Q1036" t="s">
        <v>3340</v>
      </c>
      <c r="R1036" t="s">
        <v>3302</v>
      </c>
      <c r="V1036" s="25">
        <v>-0.42000000000000004</v>
      </c>
      <c r="W1036" t="str">
        <f t="shared" si="43"/>
        <v>Y</v>
      </c>
      <c r="X1036" t="str">
        <f t="shared" si="44"/>
        <v>Y</v>
      </c>
      <c r="Z1036" t="str">
        <f t="shared" si="45"/>
        <v>Y</v>
      </c>
      <c r="AC1036" s="9" t="s">
        <v>3303</v>
      </c>
    </row>
    <row r="1037" spans="2:29">
      <c r="B1037" t="s">
        <v>393</v>
      </c>
      <c r="C1037" t="s">
        <v>3435</v>
      </c>
      <c r="F1037" t="s">
        <v>3324</v>
      </c>
      <c r="G1037" t="s">
        <v>2286</v>
      </c>
      <c r="H1037" s="6">
        <v>-32.25</v>
      </c>
      <c r="I1037" s="6">
        <v>115.69</v>
      </c>
      <c r="J1037" s="24">
        <v>1986</v>
      </c>
      <c r="K1037" s="24">
        <v>2011</v>
      </c>
      <c r="L1037" s="6">
        <f t="shared" si="46"/>
        <v>26</v>
      </c>
      <c r="M1037" t="s">
        <v>2036</v>
      </c>
      <c r="N1037" t="s">
        <v>394</v>
      </c>
      <c r="O1037" t="s">
        <v>394</v>
      </c>
      <c r="Q1037" t="s">
        <v>3436</v>
      </c>
      <c r="R1037" t="s">
        <v>3308</v>
      </c>
      <c r="V1037" s="25">
        <v>-13.540000000000001</v>
      </c>
      <c r="W1037" t="str">
        <f t="shared" si="43"/>
        <v>Y</v>
      </c>
      <c r="X1037" t="str">
        <f t="shared" si="44"/>
        <v>Y</v>
      </c>
      <c r="Z1037" t="str">
        <f t="shared" si="45"/>
        <v>Y</v>
      </c>
      <c r="AC1037" s="9" t="s">
        <v>3303</v>
      </c>
    </row>
    <row r="1038" spans="2:29">
      <c r="B1038" t="s">
        <v>393</v>
      </c>
      <c r="C1038" t="s">
        <v>3435</v>
      </c>
      <c r="F1038" t="s">
        <v>3324</v>
      </c>
      <c r="G1038" t="s">
        <v>2286</v>
      </c>
      <c r="H1038" s="6">
        <v>-32.25</v>
      </c>
      <c r="I1038" s="6">
        <v>115.69</v>
      </c>
      <c r="J1038" s="24">
        <v>1986</v>
      </c>
      <c r="K1038" s="24">
        <v>2011</v>
      </c>
      <c r="L1038" s="6">
        <f t="shared" si="46"/>
        <v>26</v>
      </c>
      <c r="M1038" t="s">
        <v>2036</v>
      </c>
      <c r="N1038" t="s">
        <v>394</v>
      </c>
      <c r="O1038" t="s">
        <v>394</v>
      </c>
      <c r="Q1038" t="s">
        <v>3436</v>
      </c>
      <c r="R1038" t="s">
        <v>3308</v>
      </c>
      <c r="V1038" s="25">
        <v>-8.92</v>
      </c>
      <c r="W1038" t="str">
        <f t="shared" si="43"/>
        <v>Y</v>
      </c>
      <c r="X1038" t="str">
        <f t="shared" si="44"/>
        <v>Y</v>
      </c>
      <c r="Z1038" t="str">
        <f t="shared" si="45"/>
        <v>Y</v>
      </c>
      <c r="AC1038" s="9" t="s">
        <v>3303</v>
      </c>
    </row>
    <row r="1039" spans="2:29">
      <c r="B1039" t="s">
        <v>393</v>
      </c>
      <c r="C1039" t="s">
        <v>3437</v>
      </c>
      <c r="F1039" t="s">
        <v>3438</v>
      </c>
      <c r="G1039" t="s">
        <v>2035</v>
      </c>
      <c r="H1039" s="6">
        <v>70.400000000000006</v>
      </c>
      <c r="I1039" s="6">
        <v>-150.5</v>
      </c>
      <c r="J1039" s="24">
        <v>1964</v>
      </c>
      <c r="K1039" s="24">
        <v>2013</v>
      </c>
      <c r="L1039" s="6">
        <f t="shared" si="46"/>
        <v>50</v>
      </c>
      <c r="M1039" t="s">
        <v>2036</v>
      </c>
      <c r="N1039" t="s">
        <v>394</v>
      </c>
      <c r="O1039" t="s">
        <v>394</v>
      </c>
      <c r="Q1039" t="s">
        <v>3439</v>
      </c>
      <c r="R1039" t="s">
        <v>3302</v>
      </c>
      <c r="V1039" s="25">
        <v>-0.94</v>
      </c>
      <c r="W1039" t="str">
        <f t="shared" si="43"/>
        <v>Y</v>
      </c>
      <c r="X1039" t="str">
        <f t="shared" si="44"/>
        <v>Y</v>
      </c>
      <c r="Z1039" t="str">
        <f t="shared" si="45"/>
        <v>Y</v>
      </c>
      <c r="AC1039" s="9" t="s">
        <v>3303</v>
      </c>
    </row>
    <row r="1040" spans="2:29">
      <c r="B1040" t="s">
        <v>393</v>
      </c>
      <c r="C1040" t="s">
        <v>3440</v>
      </c>
      <c r="F1040" t="s">
        <v>3441</v>
      </c>
      <c r="G1040" t="s">
        <v>2035</v>
      </c>
      <c r="H1040" s="6">
        <v>38.5</v>
      </c>
      <c r="I1040" s="6">
        <v>-0.11</v>
      </c>
      <c r="J1040" s="24">
        <v>1993</v>
      </c>
      <c r="K1040" s="24">
        <v>2014</v>
      </c>
      <c r="L1040" s="6">
        <f t="shared" si="46"/>
        <v>22</v>
      </c>
      <c r="M1040" t="s">
        <v>2036</v>
      </c>
      <c r="N1040" t="s">
        <v>394</v>
      </c>
      <c r="O1040" t="s">
        <v>394</v>
      </c>
      <c r="Q1040" t="s">
        <v>3442</v>
      </c>
      <c r="R1040" t="s">
        <v>3308</v>
      </c>
      <c r="V1040" s="25">
        <v>2.5300000000000002</v>
      </c>
      <c r="W1040" t="str">
        <f t="shared" si="43"/>
        <v>N</v>
      </c>
      <c r="X1040" t="str">
        <f t="shared" si="44"/>
        <v>Y</v>
      </c>
      <c r="Z1040" t="str">
        <f t="shared" si="45"/>
        <v>Y</v>
      </c>
      <c r="AC1040" s="9" t="s">
        <v>3303</v>
      </c>
    </row>
    <row r="1041" spans="2:29">
      <c r="B1041" t="s">
        <v>393</v>
      </c>
      <c r="C1041" t="s">
        <v>3443</v>
      </c>
      <c r="F1041" t="s">
        <v>3444</v>
      </c>
      <c r="G1041" t="s">
        <v>2035</v>
      </c>
      <c r="H1041" s="6">
        <v>51.73</v>
      </c>
      <c r="I1041" s="6">
        <v>-5.28</v>
      </c>
      <c r="J1041" s="24">
        <v>1965</v>
      </c>
      <c r="K1041" s="24">
        <v>2007</v>
      </c>
      <c r="L1041" s="6">
        <f t="shared" si="46"/>
        <v>43</v>
      </c>
      <c r="M1041" t="s">
        <v>2036</v>
      </c>
      <c r="N1041" t="s">
        <v>394</v>
      </c>
      <c r="O1041" t="s">
        <v>394</v>
      </c>
      <c r="Q1041" t="s">
        <v>3445</v>
      </c>
      <c r="R1041" t="s">
        <v>3308</v>
      </c>
      <c r="V1041" s="25">
        <v>0.21999999999999997</v>
      </c>
      <c r="W1041" t="str">
        <f t="shared" si="43"/>
        <v>N</v>
      </c>
      <c r="X1041" t="str">
        <f t="shared" si="44"/>
        <v>Y</v>
      </c>
      <c r="Z1041" t="str">
        <f t="shared" si="45"/>
        <v>Y</v>
      </c>
      <c r="AC1041" s="9" t="s">
        <v>3303</v>
      </c>
    </row>
    <row r="1042" spans="2:29">
      <c r="B1042" t="s">
        <v>393</v>
      </c>
      <c r="C1042" t="s">
        <v>3446</v>
      </c>
      <c r="F1042" t="s">
        <v>3447</v>
      </c>
      <c r="G1042" t="s">
        <v>2035</v>
      </c>
      <c r="H1042" s="6">
        <v>74.5</v>
      </c>
      <c r="I1042" s="6">
        <v>-20.5</v>
      </c>
      <c r="J1042" s="24">
        <v>1997</v>
      </c>
      <c r="K1042" s="24">
        <v>2009</v>
      </c>
      <c r="L1042" s="6">
        <f t="shared" si="46"/>
        <v>13</v>
      </c>
      <c r="M1042" t="s">
        <v>2036</v>
      </c>
      <c r="N1042" t="s">
        <v>394</v>
      </c>
      <c r="O1042" t="s">
        <v>394</v>
      </c>
      <c r="Q1042" t="s">
        <v>3368</v>
      </c>
      <c r="R1042" t="s">
        <v>3308</v>
      </c>
      <c r="V1042" s="25">
        <v>2.96</v>
      </c>
      <c r="W1042" t="str">
        <f t="shared" si="43"/>
        <v>N</v>
      </c>
      <c r="X1042" t="str">
        <f t="shared" si="44"/>
        <v>N</v>
      </c>
      <c r="Z1042" t="str">
        <f t="shared" si="45"/>
        <v>N</v>
      </c>
      <c r="AC1042" s="9" t="s">
        <v>3303</v>
      </c>
    </row>
    <row r="1043" spans="2:29">
      <c r="B1043" t="s">
        <v>393</v>
      </c>
      <c r="C1043" t="s">
        <v>3448</v>
      </c>
      <c r="F1043" t="s">
        <v>3449</v>
      </c>
      <c r="G1043" t="s">
        <v>2035</v>
      </c>
      <c r="H1043" s="6">
        <v>59.8</v>
      </c>
      <c r="I1043" s="6">
        <v>21.6</v>
      </c>
      <c r="J1043" s="24">
        <v>1961</v>
      </c>
      <c r="K1043" s="24">
        <v>2011</v>
      </c>
      <c r="L1043" s="6">
        <f t="shared" si="46"/>
        <v>51</v>
      </c>
      <c r="M1043" t="s">
        <v>2036</v>
      </c>
      <c r="N1043" t="s">
        <v>394</v>
      </c>
      <c r="O1043" t="s">
        <v>394</v>
      </c>
      <c r="Q1043" s="26" t="s">
        <v>3304</v>
      </c>
      <c r="R1043" t="s">
        <v>3308</v>
      </c>
      <c r="V1043" s="25">
        <v>-0.79</v>
      </c>
      <c r="W1043" t="str">
        <f t="shared" si="43"/>
        <v>Y</v>
      </c>
      <c r="X1043" t="str">
        <f t="shared" si="44"/>
        <v>Y</v>
      </c>
      <c r="Z1043" t="str">
        <f t="shared" si="45"/>
        <v>Y</v>
      </c>
      <c r="AC1043" s="9" t="s">
        <v>3303</v>
      </c>
    </row>
    <row r="1044" spans="2:29">
      <c r="B1044" t="s">
        <v>393</v>
      </c>
      <c r="C1044" t="s">
        <v>3450</v>
      </c>
      <c r="F1044" t="s">
        <v>3451</v>
      </c>
      <c r="G1044" t="s">
        <v>2286</v>
      </c>
      <c r="H1044" s="6">
        <v>-62.1</v>
      </c>
      <c r="I1044" s="6">
        <v>-58.24</v>
      </c>
      <c r="J1044" s="24">
        <v>1991</v>
      </c>
      <c r="K1044" s="24">
        <v>2009</v>
      </c>
      <c r="L1044" s="6">
        <f t="shared" si="46"/>
        <v>19</v>
      </c>
      <c r="M1044" t="s">
        <v>2036</v>
      </c>
      <c r="N1044" t="s">
        <v>394</v>
      </c>
      <c r="O1044" t="s">
        <v>394</v>
      </c>
      <c r="Q1044" t="s">
        <v>3393</v>
      </c>
      <c r="R1044" t="s">
        <v>3308</v>
      </c>
      <c r="V1044" s="25">
        <v>-1.55</v>
      </c>
      <c r="W1044" t="str">
        <f t="shared" si="43"/>
        <v>Y</v>
      </c>
      <c r="X1044" t="str">
        <f t="shared" si="44"/>
        <v>Y</v>
      </c>
      <c r="Z1044" t="str">
        <f t="shared" si="45"/>
        <v>Y</v>
      </c>
      <c r="AC1044" s="9" t="s">
        <v>3303</v>
      </c>
    </row>
    <row r="1045" spans="2:29">
      <c r="B1045" t="s">
        <v>393</v>
      </c>
      <c r="C1045" t="s">
        <v>3450</v>
      </c>
      <c r="F1045" t="s">
        <v>3451</v>
      </c>
      <c r="G1045" t="s">
        <v>2286</v>
      </c>
      <c r="H1045" s="6">
        <v>-62.1</v>
      </c>
      <c r="I1045" s="6">
        <v>-58.24</v>
      </c>
      <c r="J1045" s="24">
        <v>1991</v>
      </c>
      <c r="K1045" s="24">
        <v>2009</v>
      </c>
      <c r="L1045" s="6">
        <f t="shared" si="46"/>
        <v>19</v>
      </c>
      <c r="M1045" t="s">
        <v>2036</v>
      </c>
      <c r="N1045" t="s">
        <v>394</v>
      </c>
      <c r="O1045" t="s">
        <v>394</v>
      </c>
      <c r="Q1045" t="s">
        <v>3452</v>
      </c>
      <c r="R1045" t="s">
        <v>3308</v>
      </c>
      <c r="V1045" s="25">
        <v>-2.52</v>
      </c>
      <c r="W1045" t="str">
        <f t="shared" si="43"/>
        <v>Y</v>
      </c>
      <c r="X1045" t="str">
        <f t="shared" si="44"/>
        <v>Y</v>
      </c>
      <c r="Z1045" t="str">
        <f t="shared" si="45"/>
        <v>Y</v>
      </c>
      <c r="AC1045" s="9" t="s">
        <v>3303</v>
      </c>
    </row>
    <row r="1046" spans="2:29">
      <c r="B1046" t="s">
        <v>393</v>
      </c>
      <c r="C1046" t="s">
        <v>3453</v>
      </c>
      <c r="F1046" t="s">
        <v>3342</v>
      </c>
      <c r="G1046" t="s">
        <v>2035</v>
      </c>
      <c r="H1046" s="6">
        <v>50.87</v>
      </c>
      <c r="I1046" s="6">
        <v>-129.08000000000001</v>
      </c>
      <c r="J1046" s="24">
        <v>1980</v>
      </c>
      <c r="K1046" s="24">
        <v>2007</v>
      </c>
      <c r="L1046" s="6">
        <f t="shared" si="46"/>
        <v>28</v>
      </c>
      <c r="M1046" t="s">
        <v>2036</v>
      </c>
      <c r="N1046" t="s">
        <v>394</v>
      </c>
      <c r="O1046" t="s">
        <v>394</v>
      </c>
      <c r="Q1046" t="s">
        <v>3413</v>
      </c>
      <c r="R1046" t="s">
        <v>3308</v>
      </c>
      <c r="V1046" s="25">
        <v>-21.19</v>
      </c>
      <c r="W1046" t="str">
        <f t="shared" si="43"/>
        <v>Y</v>
      </c>
      <c r="X1046" t="str">
        <f t="shared" si="44"/>
        <v>Y</v>
      </c>
      <c r="Z1046" t="str">
        <f t="shared" si="45"/>
        <v>Y</v>
      </c>
      <c r="AC1046" s="9" t="s">
        <v>3303</v>
      </c>
    </row>
    <row r="1047" spans="2:29">
      <c r="B1047" t="s">
        <v>393</v>
      </c>
      <c r="C1047" t="s">
        <v>3454</v>
      </c>
      <c r="F1047" t="s">
        <v>3455</v>
      </c>
      <c r="G1047" t="s">
        <v>2286</v>
      </c>
      <c r="H1047" s="6">
        <v>-38.270000000000003</v>
      </c>
      <c r="I1047" s="6">
        <v>144.69999999999999</v>
      </c>
      <c r="J1047" s="24">
        <v>1988</v>
      </c>
      <c r="K1047" s="24">
        <v>2006</v>
      </c>
      <c r="L1047" s="6">
        <f t="shared" si="46"/>
        <v>19</v>
      </c>
      <c r="M1047" t="s">
        <v>2036</v>
      </c>
      <c r="N1047" t="s">
        <v>394</v>
      </c>
      <c r="O1047" t="s">
        <v>394</v>
      </c>
      <c r="Q1047" t="s">
        <v>3456</v>
      </c>
      <c r="R1047" t="s">
        <v>3308</v>
      </c>
      <c r="V1047" s="25">
        <v>-9.91</v>
      </c>
      <c r="W1047" t="str">
        <f t="shared" si="43"/>
        <v>Y</v>
      </c>
      <c r="X1047" t="str">
        <f t="shared" si="44"/>
        <v>Y</v>
      </c>
      <c r="Z1047" t="str">
        <f t="shared" si="45"/>
        <v>Y</v>
      </c>
      <c r="AC1047" s="9" t="s">
        <v>3303</v>
      </c>
    </row>
    <row r="1048" spans="2:29">
      <c r="B1048" t="s">
        <v>393</v>
      </c>
      <c r="C1048" t="s">
        <v>3457</v>
      </c>
      <c r="F1048" t="s">
        <v>3458</v>
      </c>
      <c r="G1048" t="s">
        <v>2286</v>
      </c>
      <c r="H1048" s="6">
        <v>-28.98</v>
      </c>
      <c r="I1048" s="6">
        <v>113.96</v>
      </c>
      <c r="J1048" s="24">
        <v>1993</v>
      </c>
      <c r="K1048" s="24">
        <v>2009</v>
      </c>
      <c r="L1048" s="6">
        <f t="shared" si="46"/>
        <v>17</v>
      </c>
      <c r="M1048" t="s">
        <v>2036</v>
      </c>
      <c r="N1048" t="s">
        <v>394</v>
      </c>
      <c r="O1048" t="s">
        <v>394</v>
      </c>
      <c r="Q1048" t="s">
        <v>3323</v>
      </c>
      <c r="R1048" t="s">
        <v>3308</v>
      </c>
      <c r="V1048" s="25">
        <v>36.880000000000003</v>
      </c>
      <c r="W1048" t="str">
        <f t="shared" si="43"/>
        <v>N</v>
      </c>
      <c r="X1048" t="str">
        <f t="shared" si="44"/>
        <v>N</v>
      </c>
      <c r="Z1048" t="str">
        <f t="shared" si="45"/>
        <v>N</v>
      </c>
      <c r="AC1048" s="9" t="s">
        <v>3303</v>
      </c>
    </row>
    <row r="1049" spans="2:29">
      <c r="B1049" t="s">
        <v>393</v>
      </c>
      <c r="C1049" t="s">
        <v>3457</v>
      </c>
      <c r="F1049" t="s">
        <v>3458</v>
      </c>
      <c r="G1049" t="s">
        <v>2286</v>
      </c>
      <c r="H1049" s="6">
        <v>-28.98</v>
      </c>
      <c r="I1049" s="6">
        <v>113.96</v>
      </c>
      <c r="J1049" s="24">
        <v>1993</v>
      </c>
      <c r="K1049" s="24">
        <v>2008</v>
      </c>
      <c r="L1049" s="6">
        <f t="shared" si="46"/>
        <v>16</v>
      </c>
      <c r="M1049" t="s">
        <v>2036</v>
      </c>
      <c r="N1049" t="s">
        <v>394</v>
      </c>
      <c r="O1049" t="s">
        <v>394</v>
      </c>
      <c r="Q1049" t="s">
        <v>3323</v>
      </c>
      <c r="R1049" t="s">
        <v>3308</v>
      </c>
      <c r="V1049" s="25">
        <v>25.5</v>
      </c>
      <c r="W1049" t="str">
        <f t="shared" si="43"/>
        <v>N</v>
      </c>
      <c r="X1049" t="str">
        <f t="shared" si="44"/>
        <v>N</v>
      </c>
      <c r="Z1049" t="str">
        <f t="shared" si="45"/>
        <v>N</v>
      </c>
      <c r="AC1049" s="9" t="s">
        <v>3303</v>
      </c>
    </row>
    <row r="1050" spans="2:29">
      <c r="B1050" t="s">
        <v>393</v>
      </c>
      <c r="C1050" t="s">
        <v>3457</v>
      </c>
      <c r="F1050" t="s">
        <v>3458</v>
      </c>
      <c r="G1050" t="s">
        <v>2286</v>
      </c>
      <c r="H1050" s="6">
        <v>-28.98</v>
      </c>
      <c r="I1050" s="6">
        <v>113.96</v>
      </c>
      <c r="J1050" s="24">
        <v>1991</v>
      </c>
      <c r="K1050" s="24">
        <v>2010</v>
      </c>
      <c r="L1050" s="6">
        <f t="shared" si="46"/>
        <v>20</v>
      </c>
      <c r="M1050" t="s">
        <v>2036</v>
      </c>
      <c r="N1050" t="s">
        <v>394</v>
      </c>
      <c r="O1050" t="s">
        <v>394</v>
      </c>
      <c r="Q1050" t="s">
        <v>3398</v>
      </c>
      <c r="R1050" t="s">
        <v>3308</v>
      </c>
      <c r="V1050" s="25">
        <v>24.77</v>
      </c>
      <c r="W1050" t="str">
        <f t="shared" si="43"/>
        <v>N</v>
      </c>
      <c r="X1050" t="str">
        <f t="shared" si="44"/>
        <v>Y</v>
      </c>
      <c r="Z1050" t="str">
        <f t="shared" si="45"/>
        <v>Y</v>
      </c>
      <c r="AC1050" s="9" t="s">
        <v>3303</v>
      </c>
    </row>
    <row r="1051" spans="2:29">
      <c r="B1051" t="s">
        <v>393</v>
      </c>
      <c r="C1051" t="s">
        <v>3457</v>
      </c>
      <c r="F1051" t="s">
        <v>3458</v>
      </c>
      <c r="G1051" t="s">
        <v>2286</v>
      </c>
      <c r="H1051" s="6">
        <v>-28.98</v>
      </c>
      <c r="I1051" s="6">
        <v>113.96</v>
      </c>
      <c r="J1051" s="24">
        <v>1991</v>
      </c>
      <c r="K1051" s="24">
        <v>2010</v>
      </c>
      <c r="L1051" s="6">
        <f t="shared" si="46"/>
        <v>20</v>
      </c>
      <c r="M1051" t="s">
        <v>2036</v>
      </c>
      <c r="N1051" t="s">
        <v>394</v>
      </c>
      <c r="O1051" t="s">
        <v>394</v>
      </c>
      <c r="Q1051" t="s">
        <v>3398</v>
      </c>
      <c r="R1051" t="s">
        <v>3308</v>
      </c>
      <c r="V1051" s="25">
        <v>29.689999999999998</v>
      </c>
      <c r="W1051" t="str">
        <f t="shared" si="43"/>
        <v>N</v>
      </c>
      <c r="X1051" t="str">
        <f t="shared" si="44"/>
        <v>Y</v>
      </c>
      <c r="Z1051" t="str">
        <f t="shared" si="45"/>
        <v>Y</v>
      </c>
      <c r="AC1051" s="9" t="s">
        <v>3303</v>
      </c>
    </row>
    <row r="1052" spans="2:29">
      <c r="B1052" t="s">
        <v>393</v>
      </c>
      <c r="C1052" t="s">
        <v>3457</v>
      </c>
      <c r="F1052" t="s">
        <v>3458</v>
      </c>
      <c r="G1052" t="s">
        <v>2286</v>
      </c>
      <c r="H1052" s="6">
        <v>-28.98</v>
      </c>
      <c r="I1052" s="6">
        <v>113.96</v>
      </c>
      <c r="J1052" s="24">
        <v>1993</v>
      </c>
      <c r="K1052" s="24">
        <v>2007</v>
      </c>
      <c r="L1052" s="6">
        <f t="shared" si="46"/>
        <v>15</v>
      </c>
      <c r="M1052" t="s">
        <v>2036</v>
      </c>
      <c r="N1052" t="s">
        <v>394</v>
      </c>
      <c r="O1052" t="s">
        <v>394</v>
      </c>
      <c r="Q1052" t="s">
        <v>3459</v>
      </c>
      <c r="R1052" t="s">
        <v>3308</v>
      </c>
      <c r="V1052" s="25">
        <v>36.25</v>
      </c>
      <c r="W1052" t="str">
        <f t="shared" si="43"/>
        <v>N</v>
      </c>
      <c r="X1052" t="str">
        <f t="shared" si="44"/>
        <v>N</v>
      </c>
      <c r="Z1052" t="str">
        <f t="shared" si="45"/>
        <v>N</v>
      </c>
      <c r="AC1052" s="9" t="s">
        <v>3303</v>
      </c>
    </row>
    <row r="1053" spans="2:29">
      <c r="B1053" t="s">
        <v>393</v>
      </c>
      <c r="C1053" t="s">
        <v>3460</v>
      </c>
      <c r="F1053" t="s">
        <v>3425</v>
      </c>
      <c r="G1053" t="s">
        <v>2035</v>
      </c>
      <c r="H1053" s="6">
        <v>53.5</v>
      </c>
      <c r="I1053" s="6">
        <v>8.1</v>
      </c>
      <c r="J1053" s="24">
        <v>1996</v>
      </c>
      <c r="K1053" s="24">
        <v>2010</v>
      </c>
      <c r="L1053" s="6">
        <f t="shared" si="46"/>
        <v>15</v>
      </c>
      <c r="M1053" t="s">
        <v>2036</v>
      </c>
      <c r="N1053" t="s">
        <v>394</v>
      </c>
      <c r="O1053" t="s">
        <v>394</v>
      </c>
      <c r="Q1053" t="s">
        <v>3304</v>
      </c>
      <c r="R1053" t="s">
        <v>3308</v>
      </c>
      <c r="V1053" s="25">
        <v>3.5</v>
      </c>
      <c r="W1053" t="str">
        <f t="shared" si="43"/>
        <v>N</v>
      </c>
      <c r="X1053" t="str">
        <f t="shared" si="44"/>
        <v>N</v>
      </c>
      <c r="Z1053" t="str">
        <f t="shared" si="45"/>
        <v>N</v>
      </c>
      <c r="AC1053" s="9" t="s">
        <v>3303</v>
      </c>
    </row>
    <row r="1054" spans="2:29">
      <c r="B1054" t="s">
        <v>393</v>
      </c>
      <c r="C1054" t="s">
        <v>3461</v>
      </c>
      <c r="F1054" t="s">
        <v>3361</v>
      </c>
      <c r="G1054" t="s">
        <v>2035</v>
      </c>
      <c r="H1054" s="6">
        <v>51.8</v>
      </c>
      <c r="I1054" s="6">
        <v>0.6</v>
      </c>
      <c r="J1054" s="24">
        <v>1979</v>
      </c>
      <c r="K1054" s="24">
        <v>1998</v>
      </c>
      <c r="L1054" s="6">
        <f t="shared" si="46"/>
        <v>20</v>
      </c>
      <c r="M1054" t="s">
        <v>2036</v>
      </c>
      <c r="N1054" t="s">
        <v>394</v>
      </c>
      <c r="O1054" t="s">
        <v>394</v>
      </c>
      <c r="Q1054" t="s">
        <v>3340</v>
      </c>
      <c r="R1054" t="s">
        <v>3302</v>
      </c>
      <c r="V1054" s="27">
        <v>-6.1099999999999994</v>
      </c>
      <c r="W1054" t="str">
        <f t="shared" si="43"/>
        <v>Y</v>
      </c>
      <c r="X1054" t="str">
        <f t="shared" si="44"/>
        <v>Y</v>
      </c>
      <c r="Z1054" t="str">
        <f t="shared" si="45"/>
        <v>Y</v>
      </c>
      <c r="AC1054" s="9" t="s">
        <v>3303</v>
      </c>
    </row>
    <row r="1055" spans="2:29">
      <c r="B1055" t="s">
        <v>393</v>
      </c>
      <c r="C1055" t="s">
        <v>3462</v>
      </c>
      <c r="F1055" t="s">
        <v>3463</v>
      </c>
      <c r="G1055" t="s">
        <v>2035</v>
      </c>
      <c r="H1055" s="6">
        <v>60.08</v>
      </c>
      <c r="I1055" s="6">
        <v>-2.0499999999999998</v>
      </c>
      <c r="J1055" s="24">
        <v>1976</v>
      </c>
      <c r="K1055" s="24">
        <v>1994</v>
      </c>
      <c r="L1055" s="6">
        <f t="shared" si="46"/>
        <v>19</v>
      </c>
      <c r="M1055" t="s">
        <v>2036</v>
      </c>
      <c r="N1055" t="s">
        <v>394</v>
      </c>
      <c r="O1055" t="s">
        <v>394</v>
      </c>
      <c r="Q1055" t="s">
        <v>3312</v>
      </c>
      <c r="R1055" t="s">
        <v>3308</v>
      </c>
      <c r="V1055" s="25">
        <v>-1.3800000000000001</v>
      </c>
      <c r="W1055" t="str">
        <f t="shared" si="43"/>
        <v>Y</v>
      </c>
      <c r="X1055" t="str">
        <f t="shared" si="44"/>
        <v>Y</v>
      </c>
      <c r="Z1055" t="str">
        <f t="shared" si="45"/>
        <v>Y</v>
      </c>
      <c r="AC1055" s="9" t="s">
        <v>3303</v>
      </c>
    </row>
    <row r="1056" spans="2:29">
      <c r="B1056" t="s">
        <v>393</v>
      </c>
      <c r="C1056" t="s">
        <v>3464</v>
      </c>
      <c r="F1056" t="s">
        <v>3465</v>
      </c>
      <c r="G1056" t="s">
        <v>2035</v>
      </c>
      <c r="H1056" s="6">
        <v>57.7</v>
      </c>
      <c r="I1056" s="6">
        <v>-2.2999999999999998</v>
      </c>
      <c r="J1056" s="24">
        <v>1990</v>
      </c>
      <c r="K1056" s="24">
        <v>2016</v>
      </c>
      <c r="L1056" s="6">
        <f t="shared" si="46"/>
        <v>27</v>
      </c>
      <c r="M1056" t="s">
        <v>2036</v>
      </c>
      <c r="N1056" t="s">
        <v>394</v>
      </c>
      <c r="O1056" t="s">
        <v>394</v>
      </c>
      <c r="Q1056" t="s">
        <v>3466</v>
      </c>
      <c r="R1056" t="s">
        <v>3308</v>
      </c>
      <c r="V1056" s="25">
        <v>-4.6999999999999993</v>
      </c>
      <c r="W1056" t="str">
        <f t="shared" si="43"/>
        <v>Y</v>
      </c>
      <c r="X1056" t="str">
        <f t="shared" si="44"/>
        <v>Y</v>
      </c>
      <c r="Z1056" t="str">
        <f t="shared" si="45"/>
        <v>Y</v>
      </c>
      <c r="AC1056" s="9" t="s">
        <v>3303</v>
      </c>
    </row>
    <row r="1057" spans="1:33">
      <c r="B1057" t="s">
        <v>393</v>
      </c>
      <c r="C1057" t="s">
        <v>3464</v>
      </c>
      <c r="F1057" t="s">
        <v>3467</v>
      </c>
      <c r="G1057" t="s">
        <v>2035</v>
      </c>
      <c r="H1057" s="6">
        <v>56.08</v>
      </c>
      <c r="I1057" s="6">
        <v>-2.63</v>
      </c>
      <c r="J1057" s="24">
        <v>1984</v>
      </c>
      <c r="K1057" s="24">
        <v>2007</v>
      </c>
      <c r="L1057" s="6">
        <f t="shared" si="46"/>
        <v>24</v>
      </c>
      <c r="M1057" t="s">
        <v>2036</v>
      </c>
      <c r="N1057" t="s">
        <v>394</v>
      </c>
      <c r="O1057" t="s">
        <v>394</v>
      </c>
      <c r="Q1057" t="s">
        <v>3466</v>
      </c>
      <c r="R1057" t="s">
        <v>3308</v>
      </c>
      <c r="V1057" s="25">
        <v>1.56</v>
      </c>
      <c r="W1057" t="str">
        <f t="shared" si="43"/>
        <v>N</v>
      </c>
      <c r="X1057" t="str">
        <f t="shared" si="44"/>
        <v>Y</v>
      </c>
      <c r="Z1057" t="str">
        <f t="shared" si="45"/>
        <v>Y</v>
      </c>
      <c r="AC1057" s="9" t="s">
        <v>3303</v>
      </c>
    </row>
    <row r="1058" spans="1:33">
      <c r="B1058" t="s">
        <v>393</v>
      </c>
      <c r="C1058" t="s">
        <v>3464</v>
      </c>
      <c r="F1058" t="s">
        <v>3468</v>
      </c>
      <c r="G1058" t="s">
        <v>2035</v>
      </c>
      <c r="H1058" s="6">
        <v>48.9</v>
      </c>
      <c r="I1058" s="6">
        <v>-3.43</v>
      </c>
      <c r="J1058" s="24">
        <v>1990</v>
      </c>
      <c r="K1058" s="24">
        <v>2016</v>
      </c>
      <c r="L1058" s="6">
        <f t="shared" si="46"/>
        <v>27</v>
      </c>
      <c r="M1058" t="s">
        <v>2036</v>
      </c>
      <c r="N1058" t="s">
        <v>394</v>
      </c>
      <c r="O1058" t="s">
        <v>394</v>
      </c>
      <c r="Q1058" t="s">
        <v>3466</v>
      </c>
      <c r="R1058" t="s">
        <v>3308</v>
      </c>
      <c r="V1058" s="25">
        <v>7.41</v>
      </c>
      <c r="W1058" t="str">
        <f t="shared" si="43"/>
        <v>N</v>
      </c>
      <c r="X1058" t="str">
        <f t="shared" si="44"/>
        <v>Y</v>
      </c>
      <c r="Z1058" t="str">
        <f t="shared" si="45"/>
        <v>Y</v>
      </c>
      <c r="AC1058" s="9" t="s">
        <v>3303</v>
      </c>
    </row>
    <row r="1059" spans="1:33">
      <c r="A1059">
        <v>13</v>
      </c>
      <c r="B1059" t="s">
        <v>19</v>
      </c>
      <c r="C1059" t="s">
        <v>3469</v>
      </c>
      <c r="E1059">
        <v>2018</v>
      </c>
      <c r="F1059" t="s">
        <v>3470</v>
      </c>
      <c r="G1059" t="s">
        <v>2035</v>
      </c>
      <c r="H1059" s="6">
        <v>67.5</v>
      </c>
      <c r="I1059" s="6">
        <v>-60</v>
      </c>
      <c r="J1059" s="6">
        <v>1991</v>
      </c>
      <c r="K1059" s="6">
        <v>2015</v>
      </c>
      <c r="L1059" s="6">
        <f t="shared" si="46"/>
        <v>25</v>
      </c>
      <c r="M1059" t="s">
        <v>2148</v>
      </c>
      <c r="N1059" t="s">
        <v>368</v>
      </c>
      <c r="O1059" t="s">
        <v>3471</v>
      </c>
      <c r="P1059" t="s">
        <v>3471</v>
      </c>
      <c r="Q1059" t="s">
        <v>369</v>
      </c>
      <c r="R1059" t="s">
        <v>3472</v>
      </c>
      <c r="S1059" t="s">
        <v>2016</v>
      </c>
      <c r="T1059" t="s">
        <v>163</v>
      </c>
      <c r="U1059" t="s">
        <v>2113</v>
      </c>
      <c r="V1059">
        <f>-(194.1-167.1)/(L1059/10)</f>
        <v>-10.8</v>
      </c>
      <c r="W1059" t="s">
        <v>2041</v>
      </c>
      <c r="X1059" t="s">
        <v>2041</v>
      </c>
      <c r="Y1059" t="s">
        <v>19</v>
      </c>
      <c r="Z1059" t="str">
        <f t="shared" si="45"/>
        <v>Y</v>
      </c>
      <c r="AA1059" t="s">
        <v>3283</v>
      </c>
      <c r="AB1059" t="s">
        <v>3473</v>
      </c>
      <c r="AC1059" t="s">
        <v>3474</v>
      </c>
      <c r="AD1059" s="9" t="s">
        <v>593</v>
      </c>
      <c r="AE1059" s="9" t="s">
        <v>2811</v>
      </c>
      <c r="AF1059" s="9" t="s">
        <v>2041</v>
      </c>
      <c r="AG1059" t="s">
        <v>595</v>
      </c>
    </row>
    <row r="1060" spans="1:33" ht="15.5">
      <c r="A1060">
        <v>14</v>
      </c>
      <c r="B1060" t="s">
        <v>19</v>
      </c>
      <c r="C1060" t="s">
        <v>3475</v>
      </c>
      <c r="E1060">
        <v>2017</v>
      </c>
      <c r="F1060" t="s">
        <v>464</v>
      </c>
      <c r="G1060" t="s">
        <v>2035</v>
      </c>
      <c r="H1060" s="7">
        <v>69.471299999999999</v>
      </c>
      <c r="I1060" s="6">
        <v>-171.69030000000001</v>
      </c>
      <c r="J1060" s="6">
        <v>1993</v>
      </c>
      <c r="K1060" s="6">
        <v>2012</v>
      </c>
      <c r="L1060" s="6">
        <f t="shared" si="46"/>
        <v>20</v>
      </c>
      <c r="M1060" t="s">
        <v>2148</v>
      </c>
      <c r="N1060" t="s">
        <v>368</v>
      </c>
      <c r="O1060" t="s">
        <v>3476</v>
      </c>
      <c r="P1060" t="s">
        <v>3477</v>
      </c>
      <c r="Q1060" t="s">
        <v>1037</v>
      </c>
      <c r="R1060" t="s">
        <v>2862</v>
      </c>
      <c r="S1060" s="8" t="s">
        <v>2039</v>
      </c>
      <c r="T1060">
        <f>(279.5+295.5+316)/3</f>
        <v>297</v>
      </c>
      <c r="U1060" t="s">
        <v>2040</v>
      </c>
      <c r="V1060">
        <f>((33+21+14)/3)/(L1060/10)</f>
        <v>11.333333333333334</v>
      </c>
      <c r="W1060" t="s">
        <v>2041</v>
      </c>
      <c r="X1060" t="s">
        <v>2041</v>
      </c>
      <c r="Y1060" t="s">
        <v>19</v>
      </c>
      <c r="Z1060" t="str">
        <f t="shared" si="45"/>
        <v>Y</v>
      </c>
      <c r="AA1060" t="s">
        <v>3283</v>
      </c>
      <c r="AB1060" t="s">
        <v>3478</v>
      </c>
      <c r="AC1060" t="s">
        <v>3479</v>
      </c>
      <c r="AD1060" s="9" t="s">
        <v>595</v>
      </c>
      <c r="AE1060" s="9" t="s">
        <v>2045</v>
      </c>
      <c r="AF1060" s="9" t="s">
        <v>2041</v>
      </c>
      <c r="AG1060" t="s">
        <v>595</v>
      </c>
    </row>
    <row r="1061" spans="1:33" ht="15.5">
      <c r="A1061">
        <v>15</v>
      </c>
      <c r="B1061" t="s">
        <v>19</v>
      </c>
      <c r="C1061" t="s">
        <v>3475</v>
      </c>
      <c r="E1061">
        <v>2017</v>
      </c>
      <c r="F1061" t="s">
        <v>1033</v>
      </c>
      <c r="G1061" t="s">
        <v>2035</v>
      </c>
      <c r="H1061" s="7">
        <v>72.843100000000007</v>
      </c>
      <c r="I1061" s="6">
        <v>-145.5685</v>
      </c>
      <c r="J1061" s="6">
        <v>1993</v>
      </c>
      <c r="K1061" s="6">
        <v>2012</v>
      </c>
      <c r="L1061" s="6">
        <f t="shared" si="46"/>
        <v>20</v>
      </c>
      <c r="M1061" t="s">
        <v>2148</v>
      </c>
      <c r="N1061" t="s">
        <v>368</v>
      </c>
      <c r="O1061" t="s">
        <v>3476</v>
      </c>
      <c r="P1061" t="s">
        <v>3477</v>
      </c>
      <c r="Q1061" t="s">
        <v>1037</v>
      </c>
      <c r="R1061" t="s">
        <v>2862</v>
      </c>
      <c r="S1061" s="8" t="s">
        <v>2039</v>
      </c>
      <c r="T1061">
        <f>(252+260+290)/3</f>
        <v>267.33333333333331</v>
      </c>
      <c r="U1061" t="s">
        <v>2040</v>
      </c>
      <c r="V1061">
        <f>(-6-8+2)/3/(L1061/10)</f>
        <v>-2</v>
      </c>
      <c r="W1061" t="s">
        <v>2080</v>
      </c>
      <c r="X1061" t="s">
        <v>2041</v>
      </c>
      <c r="Y1061" t="s">
        <v>19</v>
      </c>
      <c r="Z1061" t="str">
        <f t="shared" si="45"/>
        <v>Y</v>
      </c>
      <c r="AA1061" t="s">
        <v>3283</v>
      </c>
      <c r="AB1061" t="s">
        <v>3480</v>
      </c>
      <c r="AC1061" t="s">
        <v>3481</v>
      </c>
      <c r="AD1061" s="9" t="s">
        <v>595</v>
      </c>
      <c r="AE1061" s="9" t="s">
        <v>2045</v>
      </c>
      <c r="AF1061" s="9" t="s">
        <v>2041</v>
      </c>
      <c r="AG1061" t="s">
        <v>595</v>
      </c>
    </row>
    <row r="1062" spans="1:33" ht="15.5">
      <c r="A1062">
        <v>17</v>
      </c>
      <c r="B1062" t="s">
        <v>19</v>
      </c>
      <c r="C1062" t="s">
        <v>3482</v>
      </c>
      <c r="E1062">
        <v>2015</v>
      </c>
      <c r="F1062" t="s">
        <v>3483</v>
      </c>
      <c r="G1062" t="s">
        <v>2035</v>
      </c>
      <c r="H1062" s="7">
        <v>49.9</v>
      </c>
      <c r="I1062" s="6">
        <v>-64.5</v>
      </c>
      <c r="J1062" s="6">
        <v>1984</v>
      </c>
      <c r="K1062" s="6">
        <v>2010</v>
      </c>
      <c r="L1062" s="6">
        <f t="shared" si="46"/>
        <v>27</v>
      </c>
      <c r="N1062" t="s">
        <v>368</v>
      </c>
      <c r="O1062" t="s">
        <v>3476</v>
      </c>
      <c r="P1062" t="s">
        <v>3484</v>
      </c>
      <c r="Q1062" t="s">
        <v>1027</v>
      </c>
      <c r="R1062" s="8" t="s">
        <v>2480</v>
      </c>
      <c r="S1062" s="8" t="s">
        <v>2039</v>
      </c>
      <c r="T1062">
        <v>229</v>
      </c>
      <c r="U1062" s="13" t="s">
        <v>2101</v>
      </c>
      <c r="V1062">
        <f>-28/(L1062/10)</f>
        <v>-10.37037037037037</v>
      </c>
      <c r="W1062" t="s">
        <v>2041</v>
      </c>
      <c r="X1062" t="s">
        <v>2041</v>
      </c>
      <c r="Y1062" t="s">
        <v>19</v>
      </c>
      <c r="Z1062" t="str">
        <f t="shared" si="45"/>
        <v>Y</v>
      </c>
      <c r="AA1062" t="s">
        <v>2502</v>
      </c>
      <c r="AB1062" s="20" t="s">
        <v>3485</v>
      </c>
      <c r="AC1062" t="s">
        <v>3486</v>
      </c>
      <c r="AD1062" t="s">
        <v>2041</v>
      </c>
      <c r="AE1062" s="9" t="s">
        <v>2045</v>
      </c>
      <c r="AF1062" s="9" t="s">
        <v>2041</v>
      </c>
      <c r="AG1062" t="s">
        <v>595</v>
      </c>
    </row>
    <row r="1063" spans="1:33" ht="15.5">
      <c r="A1063">
        <v>18</v>
      </c>
      <c r="B1063" t="s">
        <v>19</v>
      </c>
      <c r="C1063" t="s">
        <v>3482</v>
      </c>
      <c r="E1063">
        <v>2015</v>
      </c>
      <c r="F1063" t="s">
        <v>3483</v>
      </c>
      <c r="G1063" t="s">
        <v>2035</v>
      </c>
      <c r="H1063" s="7">
        <v>49.9</v>
      </c>
      <c r="I1063" s="6">
        <v>-64.5</v>
      </c>
      <c r="J1063" s="6">
        <v>1987</v>
      </c>
      <c r="K1063" s="6">
        <v>2010</v>
      </c>
      <c r="L1063" s="6">
        <f t="shared" si="46"/>
        <v>24</v>
      </c>
      <c r="N1063" t="s">
        <v>368</v>
      </c>
      <c r="O1063" t="s">
        <v>3476</v>
      </c>
      <c r="P1063" t="s">
        <v>3487</v>
      </c>
      <c r="Q1063" t="s">
        <v>1028</v>
      </c>
      <c r="R1063" s="8" t="s">
        <v>2480</v>
      </c>
      <c r="S1063" s="8" t="s">
        <v>2039</v>
      </c>
      <c r="T1063">
        <v>245</v>
      </c>
      <c r="U1063" s="13" t="s">
        <v>2040</v>
      </c>
      <c r="V1063">
        <f>-(245-217)/(L1063/10)</f>
        <v>-11.666666666666668</v>
      </c>
      <c r="W1063" t="s">
        <v>2041</v>
      </c>
      <c r="X1063" t="s">
        <v>2041</v>
      </c>
      <c r="Y1063" t="s">
        <v>19</v>
      </c>
      <c r="Z1063" t="str">
        <f t="shared" si="45"/>
        <v>Y</v>
      </c>
      <c r="AA1063" t="s">
        <v>2502</v>
      </c>
      <c r="AB1063" s="20" t="s">
        <v>3485</v>
      </c>
      <c r="AC1063" t="s">
        <v>3486</v>
      </c>
      <c r="AD1063" t="s">
        <v>2041</v>
      </c>
      <c r="AE1063" s="9" t="s">
        <v>2045</v>
      </c>
      <c r="AF1063" s="9" t="s">
        <v>2041</v>
      </c>
      <c r="AG1063" t="s">
        <v>595</v>
      </c>
    </row>
    <row r="1064" spans="1:33" ht="15.5">
      <c r="A1064">
        <v>48</v>
      </c>
      <c r="B1064" t="s">
        <v>19</v>
      </c>
      <c r="C1064" t="s">
        <v>3488</v>
      </c>
      <c r="E1064">
        <v>2016</v>
      </c>
      <c r="F1064" t="s">
        <v>1030</v>
      </c>
      <c r="G1064" t="s">
        <v>2035</v>
      </c>
      <c r="H1064" s="7">
        <v>70.495800000000003</v>
      </c>
      <c r="I1064" s="6">
        <v>-147.965</v>
      </c>
      <c r="J1064" s="6">
        <v>1986</v>
      </c>
      <c r="K1064" s="6">
        <v>2014</v>
      </c>
      <c r="L1064" s="6">
        <f t="shared" si="46"/>
        <v>29</v>
      </c>
      <c r="M1064" t="s">
        <v>2148</v>
      </c>
      <c r="N1064" t="s">
        <v>368</v>
      </c>
      <c r="O1064" t="s">
        <v>3471</v>
      </c>
      <c r="P1064" t="s">
        <v>3471</v>
      </c>
      <c r="Q1064" t="s">
        <v>369</v>
      </c>
      <c r="R1064" t="s">
        <v>2480</v>
      </c>
      <c r="S1064" s="8" t="s">
        <v>2039</v>
      </c>
      <c r="T1064">
        <v>256</v>
      </c>
      <c r="U1064" s="13" t="s">
        <v>2040</v>
      </c>
      <c r="V1064">
        <f>-(256-241)/(L1064/10)</f>
        <v>-5.1724137931034484</v>
      </c>
      <c r="W1064" t="s">
        <v>2041</v>
      </c>
      <c r="X1064" t="s">
        <v>2041</v>
      </c>
      <c r="Y1064" t="s">
        <v>19</v>
      </c>
      <c r="Z1064" t="str">
        <f t="shared" si="45"/>
        <v>Y</v>
      </c>
      <c r="AA1064" t="s">
        <v>3283</v>
      </c>
      <c r="AB1064" t="s">
        <v>3489</v>
      </c>
      <c r="AC1064" t="s">
        <v>3490</v>
      </c>
      <c r="AD1064" t="s">
        <v>595</v>
      </c>
      <c r="AE1064" s="9" t="s">
        <v>2045</v>
      </c>
      <c r="AF1064" s="9" t="s">
        <v>2041</v>
      </c>
      <c r="AG1064" t="s">
        <v>595</v>
      </c>
    </row>
    <row r="1065" spans="1:33">
      <c r="A1065">
        <v>149</v>
      </c>
      <c r="B1065" t="s">
        <v>19</v>
      </c>
      <c r="C1065" t="s">
        <v>3491</v>
      </c>
      <c r="E1065">
        <v>2013</v>
      </c>
      <c r="F1065" t="s">
        <v>468</v>
      </c>
      <c r="G1065" t="s">
        <v>2035</v>
      </c>
      <c r="H1065" s="6">
        <v>59.7121</v>
      </c>
      <c r="I1065" s="6">
        <v>-85.253900000000002</v>
      </c>
      <c r="J1065" s="6">
        <v>1991</v>
      </c>
      <c r="K1065" s="6">
        <v>2009</v>
      </c>
      <c r="L1065" s="6">
        <f t="shared" si="46"/>
        <v>19</v>
      </c>
      <c r="N1065" t="s">
        <v>368</v>
      </c>
      <c r="O1065" t="s">
        <v>368</v>
      </c>
      <c r="P1065" t="s">
        <v>3471</v>
      </c>
      <c r="Q1065" t="s">
        <v>369</v>
      </c>
      <c r="R1065" t="s">
        <v>2065</v>
      </c>
      <c r="V1065" t="s">
        <v>163</v>
      </c>
      <c r="W1065" t="s">
        <v>2041</v>
      </c>
      <c r="X1065" s="11" t="s">
        <v>2058</v>
      </c>
      <c r="Y1065" t="s">
        <v>19</v>
      </c>
      <c r="Z1065" t="str">
        <f t="shared" si="45"/>
        <v>Y</v>
      </c>
      <c r="AC1065" t="s">
        <v>3492</v>
      </c>
      <c r="AD1065" s="11"/>
      <c r="AE1065" s="11"/>
      <c r="AF1065" s="11"/>
    </row>
    <row r="1066" spans="1:33" ht="15.5">
      <c r="B1066" t="s">
        <v>19</v>
      </c>
      <c r="C1066" t="s">
        <v>3488</v>
      </c>
      <c r="E1066">
        <v>2016</v>
      </c>
      <c r="F1066" t="s">
        <v>1030</v>
      </c>
      <c r="G1066" t="s">
        <v>2035</v>
      </c>
      <c r="H1066" s="7">
        <v>70.495800000000003</v>
      </c>
      <c r="I1066" s="6">
        <v>-147.965</v>
      </c>
      <c r="J1066" s="6">
        <v>1986</v>
      </c>
      <c r="K1066" s="6">
        <v>2014</v>
      </c>
      <c r="L1066" s="6">
        <f t="shared" si="46"/>
        <v>29</v>
      </c>
      <c r="M1066" t="s">
        <v>2148</v>
      </c>
      <c r="N1066" t="s">
        <v>368</v>
      </c>
      <c r="O1066" t="s">
        <v>3471</v>
      </c>
      <c r="P1066" t="s">
        <v>3471</v>
      </c>
      <c r="Q1066" t="s">
        <v>369</v>
      </c>
      <c r="R1066" t="s">
        <v>3493</v>
      </c>
      <c r="S1066" s="8" t="s">
        <v>2408</v>
      </c>
      <c r="T1066">
        <v>275</v>
      </c>
      <c r="U1066" s="13" t="s">
        <v>2040</v>
      </c>
      <c r="V1066">
        <f>-(275-294)/(L1066/10)</f>
        <v>6.5517241379310347</v>
      </c>
      <c r="W1066" t="s">
        <v>2041</v>
      </c>
      <c r="X1066" t="s">
        <v>2041</v>
      </c>
      <c r="Y1066" t="s">
        <v>19</v>
      </c>
      <c r="Z1066" t="str">
        <f t="shared" si="45"/>
        <v>Y</v>
      </c>
      <c r="AA1066" t="s">
        <v>3283</v>
      </c>
      <c r="AB1066" t="s">
        <v>3489</v>
      </c>
      <c r="AC1066" t="s">
        <v>3494</v>
      </c>
      <c r="AD1066" t="s">
        <v>595</v>
      </c>
      <c r="AE1066" s="9" t="s">
        <v>2045</v>
      </c>
      <c r="AF1066" s="9" t="s">
        <v>2041</v>
      </c>
      <c r="AG1066" t="s">
        <v>595</v>
      </c>
    </row>
    <row r="1067" spans="1:33" ht="15.5">
      <c r="B1067" t="s">
        <v>19</v>
      </c>
      <c r="C1067" t="s">
        <v>3488</v>
      </c>
      <c r="E1067">
        <v>2016</v>
      </c>
      <c r="F1067" t="s">
        <v>1030</v>
      </c>
      <c r="G1067" t="s">
        <v>2035</v>
      </c>
      <c r="H1067" s="7">
        <v>70.495800000000003</v>
      </c>
      <c r="I1067" s="6">
        <v>-147.965</v>
      </c>
      <c r="J1067" s="6">
        <v>1986</v>
      </c>
      <c r="K1067" s="6">
        <v>2014</v>
      </c>
      <c r="L1067" s="6">
        <f t="shared" si="46"/>
        <v>29</v>
      </c>
      <c r="M1067" t="s">
        <v>2148</v>
      </c>
      <c r="N1067" t="s">
        <v>368</v>
      </c>
      <c r="O1067" t="s">
        <v>3471</v>
      </c>
      <c r="P1067" t="s">
        <v>3471</v>
      </c>
      <c r="Q1067" t="s">
        <v>369</v>
      </c>
      <c r="R1067" t="s">
        <v>3493</v>
      </c>
      <c r="S1067" s="8" t="s">
        <v>2016</v>
      </c>
      <c r="T1067">
        <v>256</v>
      </c>
      <c r="U1067" s="13" t="s">
        <v>2040</v>
      </c>
      <c r="V1067">
        <f>53/(L1067/10)</f>
        <v>18.27586206896552</v>
      </c>
      <c r="W1067" t="s">
        <v>2041</v>
      </c>
      <c r="X1067" t="s">
        <v>2041</v>
      </c>
      <c r="Y1067" t="s">
        <v>19</v>
      </c>
      <c r="Z1067" t="str">
        <f t="shared" si="45"/>
        <v>Y</v>
      </c>
      <c r="AA1067" t="s">
        <v>3283</v>
      </c>
      <c r="AB1067" t="s">
        <v>3489</v>
      </c>
      <c r="AC1067" t="s">
        <v>3495</v>
      </c>
      <c r="AD1067" t="s">
        <v>595</v>
      </c>
      <c r="AE1067" s="9" t="s">
        <v>2045</v>
      </c>
      <c r="AF1067" s="9" t="s">
        <v>2041</v>
      </c>
      <c r="AG1067" t="s">
        <v>595</v>
      </c>
    </row>
    <row r="1068" spans="1:33">
      <c r="B1068" t="s">
        <v>19</v>
      </c>
      <c r="C1068" t="s">
        <v>3469</v>
      </c>
      <c r="E1068">
        <v>2018</v>
      </c>
      <c r="F1068" t="s">
        <v>3496</v>
      </c>
      <c r="G1068" t="s">
        <v>2035</v>
      </c>
      <c r="H1068" s="6">
        <v>78</v>
      </c>
      <c r="I1068" s="6">
        <v>-77</v>
      </c>
      <c r="J1068" s="6">
        <v>1991</v>
      </c>
      <c r="K1068" s="6">
        <v>2015</v>
      </c>
      <c r="L1068" s="6">
        <f t="shared" si="46"/>
        <v>25</v>
      </c>
      <c r="M1068" t="s">
        <v>2148</v>
      </c>
      <c r="N1068" t="s">
        <v>368</v>
      </c>
      <c r="O1068" t="s">
        <v>3471</v>
      </c>
      <c r="P1068" t="s">
        <v>3471</v>
      </c>
      <c r="Q1068" t="s">
        <v>369</v>
      </c>
      <c r="R1068" t="s">
        <v>2480</v>
      </c>
      <c r="S1068" t="s">
        <v>2039</v>
      </c>
      <c r="T1068">
        <v>261</v>
      </c>
      <c r="U1068" t="s">
        <v>2040</v>
      </c>
      <c r="V1068">
        <f>(235-261)/2.5</f>
        <v>-10.4</v>
      </c>
      <c r="W1068" t="s">
        <v>2041</v>
      </c>
      <c r="X1068" t="s">
        <v>2041</v>
      </c>
      <c r="Y1068" t="s">
        <v>19</v>
      </c>
      <c r="Z1068" t="str">
        <f t="shared" si="45"/>
        <v>Y</v>
      </c>
      <c r="AA1068" t="s">
        <v>3283</v>
      </c>
      <c r="AB1068" t="s">
        <v>3497</v>
      </c>
      <c r="AC1068" t="s">
        <v>3498</v>
      </c>
      <c r="AD1068" s="9" t="s">
        <v>593</v>
      </c>
      <c r="AE1068" s="9" t="s">
        <v>2811</v>
      </c>
      <c r="AF1068" s="9" t="s">
        <v>2041</v>
      </c>
      <c r="AG1068" t="s">
        <v>595</v>
      </c>
    </row>
    <row r="1069" spans="1:33">
      <c r="B1069" t="s">
        <v>19</v>
      </c>
      <c r="C1069" t="s">
        <v>3469</v>
      </c>
      <c r="E1069">
        <v>2018</v>
      </c>
      <c r="F1069" t="s">
        <v>3499</v>
      </c>
      <c r="G1069" t="s">
        <v>2035</v>
      </c>
      <c r="H1069" s="6">
        <v>70</v>
      </c>
      <c r="I1069" s="6">
        <v>-70</v>
      </c>
      <c r="J1069" s="6">
        <v>1991</v>
      </c>
      <c r="K1069" s="6">
        <v>2015</v>
      </c>
      <c r="L1069" s="6">
        <f t="shared" si="46"/>
        <v>25</v>
      </c>
      <c r="M1069" t="s">
        <v>2148</v>
      </c>
      <c r="N1069" t="s">
        <v>368</v>
      </c>
      <c r="O1069" t="s">
        <v>3471</v>
      </c>
      <c r="P1069" t="s">
        <v>3471</v>
      </c>
      <c r="Q1069" t="s">
        <v>369</v>
      </c>
      <c r="R1069" t="s">
        <v>2480</v>
      </c>
      <c r="S1069" t="s">
        <v>2039</v>
      </c>
      <c r="T1069">
        <v>237</v>
      </c>
      <c r="U1069" t="s">
        <v>2101</v>
      </c>
      <c r="V1069">
        <f>(219-237)/2.5</f>
        <v>-7.2</v>
      </c>
      <c r="W1069" t="s">
        <v>2041</v>
      </c>
      <c r="X1069" t="s">
        <v>2041</v>
      </c>
      <c r="Y1069" t="s">
        <v>19</v>
      </c>
      <c r="Z1069" t="str">
        <f t="shared" si="45"/>
        <v>Y</v>
      </c>
      <c r="AA1069" t="s">
        <v>3283</v>
      </c>
      <c r="AB1069" t="s">
        <v>3497</v>
      </c>
      <c r="AC1069" t="s">
        <v>3500</v>
      </c>
      <c r="AD1069" s="9" t="s">
        <v>593</v>
      </c>
      <c r="AE1069" s="9" t="s">
        <v>2811</v>
      </c>
      <c r="AF1069" s="9" t="s">
        <v>2058</v>
      </c>
      <c r="AG1069" t="s">
        <v>595</v>
      </c>
    </row>
    <row r="1070" spans="1:33" ht="15.5">
      <c r="B1070" t="s">
        <v>19</v>
      </c>
      <c r="C1070" t="s">
        <v>3501</v>
      </c>
      <c r="E1070">
        <v>2021</v>
      </c>
      <c r="F1070" s="14" t="s">
        <v>3502</v>
      </c>
      <c r="G1070" t="s">
        <v>2286</v>
      </c>
      <c r="H1070" s="6">
        <v>-54.9</v>
      </c>
      <c r="I1070" s="6">
        <v>37.75</v>
      </c>
      <c r="J1070" s="6">
        <v>1983</v>
      </c>
      <c r="K1070" s="6">
        <v>2016</v>
      </c>
      <c r="L1070" s="6">
        <f t="shared" si="46"/>
        <v>34</v>
      </c>
      <c r="M1070" t="s">
        <v>2036</v>
      </c>
      <c r="N1070" t="s">
        <v>368</v>
      </c>
      <c r="O1070" t="s">
        <v>3503</v>
      </c>
      <c r="P1070" s="21" t="s">
        <v>3504</v>
      </c>
      <c r="Q1070" t="s">
        <v>3505</v>
      </c>
      <c r="R1070" t="s">
        <v>2480</v>
      </c>
      <c r="S1070" t="s">
        <v>2039</v>
      </c>
      <c r="T1070" t="s">
        <v>163</v>
      </c>
      <c r="U1070" t="s">
        <v>2101</v>
      </c>
      <c r="V1070">
        <v>0</v>
      </c>
      <c r="W1070" t="s">
        <v>3506</v>
      </c>
      <c r="X1070" t="s">
        <v>2041</v>
      </c>
      <c r="Y1070" t="s">
        <v>19</v>
      </c>
      <c r="Z1070" t="str">
        <f t="shared" si="45"/>
        <v>Y</v>
      </c>
      <c r="AA1070" t="s">
        <v>3507</v>
      </c>
      <c r="AB1070" t="s">
        <v>3508</v>
      </c>
      <c r="AC1070" t="s">
        <v>3509</v>
      </c>
      <c r="AD1070" t="s">
        <v>595</v>
      </c>
      <c r="AE1070" t="s">
        <v>3510</v>
      </c>
      <c r="AF1070" t="s">
        <v>2041</v>
      </c>
      <c r="AG1070" t="s">
        <v>595</v>
      </c>
    </row>
    <row r="1071" spans="1:33">
      <c r="B1071" t="s">
        <v>3277</v>
      </c>
      <c r="C1071" t="s">
        <v>3511</v>
      </c>
      <c r="D1071" t="s">
        <v>3512</v>
      </c>
      <c r="E1071">
        <v>2009</v>
      </c>
      <c r="F1071" t="s">
        <v>3513</v>
      </c>
      <c r="G1071" t="s">
        <v>2286</v>
      </c>
      <c r="H1071" s="6">
        <v>-60.719833000000001</v>
      </c>
      <c r="I1071" s="6">
        <v>-45.592103999999999</v>
      </c>
      <c r="J1071" s="6">
        <v>1977</v>
      </c>
      <c r="K1071" s="6">
        <v>2008</v>
      </c>
      <c r="L1071" s="6">
        <f t="shared" si="46"/>
        <v>32</v>
      </c>
      <c r="M1071" t="s">
        <v>2036</v>
      </c>
      <c r="N1071" t="s">
        <v>368</v>
      </c>
      <c r="O1071" t="s">
        <v>3503</v>
      </c>
      <c r="P1071" t="s">
        <v>3514</v>
      </c>
      <c r="Q1071" t="s">
        <v>3515</v>
      </c>
      <c r="R1071" t="s">
        <v>3516</v>
      </c>
      <c r="V1071">
        <v>3.25</v>
      </c>
      <c r="W1071" t="s">
        <v>2041</v>
      </c>
      <c r="X1071" t="s">
        <v>2041</v>
      </c>
      <c r="Z1071" t="str">
        <f t="shared" si="45"/>
        <v>Y</v>
      </c>
      <c r="AA1071" t="s">
        <v>3283</v>
      </c>
      <c r="AB1071" t="s">
        <v>3517</v>
      </c>
      <c r="AC1071" t="s">
        <v>3518</v>
      </c>
    </row>
    <row r="1072" spans="1:33">
      <c r="B1072" t="s">
        <v>3277</v>
      </c>
      <c r="C1072" t="s">
        <v>3511</v>
      </c>
      <c r="D1072" t="s">
        <v>3512</v>
      </c>
      <c r="E1072">
        <v>2009</v>
      </c>
      <c r="F1072" t="s">
        <v>3513</v>
      </c>
      <c r="G1072" t="s">
        <v>2286</v>
      </c>
      <c r="H1072" s="6">
        <v>-60.719833000000001</v>
      </c>
      <c r="I1072" s="6">
        <v>-45.592103999999999</v>
      </c>
      <c r="J1072" s="6">
        <v>1996</v>
      </c>
      <c r="K1072" s="6">
        <v>2005</v>
      </c>
      <c r="L1072" s="6">
        <f t="shared" si="46"/>
        <v>10</v>
      </c>
      <c r="M1072" t="s">
        <v>2036</v>
      </c>
      <c r="N1072" t="s">
        <v>368</v>
      </c>
      <c r="O1072" t="s">
        <v>3503</v>
      </c>
      <c r="P1072" t="s">
        <v>3514</v>
      </c>
      <c r="Q1072" t="s">
        <v>3515</v>
      </c>
      <c r="R1072" t="s">
        <v>3519</v>
      </c>
      <c r="S1072">
        <v>3.25</v>
      </c>
      <c r="T1072" t="s">
        <v>2041</v>
      </c>
      <c r="U1072" t="s">
        <v>2041</v>
      </c>
      <c r="V1072">
        <v>-47.56</v>
      </c>
      <c r="W1072" t="s">
        <v>2041</v>
      </c>
      <c r="X1072" t="s">
        <v>2058</v>
      </c>
      <c r="Z1072" t="str">
        <f t="shared" si="45"/>
        <v>N</v>
      </c>
      <c r="AA1072" t="s">
        <v>3283</v>
      </c>
      <c r="AB1072" t="s">
        <v>3517</v>
      </c>
      <c r="AC1072" t="s">
        <v>3520</v>
      </c>
    </row>
    <row r="1073" spans="2:33">
      <c r="B1073" t="s">
        <v>3277</v>
      </c>
      <c r="C1073" t="s">
        <v>3511</v>
      </c>
      <c r="D1073" s="2" t="s">
        <v>3521</v>
      </c>
      <c r="E1073">
        <v>2009</v>
      </c>
      <c r="F1073" t="s">
        <v>3522</v>
      </c>
      <c r="G1073" t="s">
        <v>2286</v>
      </c>
      <c r="H1073" s="6" t="s">
        <v>3523</v>
      </c>
      <c r="I1073" s="6">
        <v>-44.716999999999999</v>
      </c>
      <c r="J1073" s="6">
        <v>1996</v>
      </c>
      <c r="K1073" s="6">
        <v>2005</v>
      </c>
      <c r="L1073" s="6">
        <f t="shared" si="46"/>
        <v>10</v>
      </c>
      <c r="M1073" t="s">
        <v>2036</v>
      </c>
      <c r="N1073" t="s">
        <v>368</v>
      </c>
      <c r="O1073" t="s">
        <v>3503</v>
      </c>
      <c r="P1073" t="s">
        <v>3514</v>
      </c>
      <c r="Q1073" t="s">
        <v>3515</v>
      </c>
      <c r="R1073" t="s">
        <v>3519</v>
      </c>
      <c r="S1073">
        <v>3.25</v>
      </c>
      <c r="T1073" t="s">
        <v>2041</v>
      </c>
      <c r="U1073" t="s">
        <v>2041</v>
      </c>
      <c r="V1073">
        <v>-14.44</v>
      </c>
      <c r="W1073" t="s">
        <v>2041</v>
      </c>
      <c r="X1073" t="s">
        <v>2058</v>
      </c>
      <c r="Z1073" t="str">
        <f t="shared" si="45"/>
        <v>N</v>
      </c>
      <c r="AA1073" t="s">
        <v>3283</v>
      </c>
      <c r="AB1073" t="s">
        <v>3517</v>
      </c>
      <c r="AC1073" t="s">
        <v>3520</v>
      </c>
    </row>
    <row r="1074" spans="2:33">
      <c r="B1074" t="s">
        <v>3277</v>
      </c>
      <c r="C1074" t="s">
        <v>3524</v>
      </c>
      <c r="D1074" t="s">
        <v>3525</v>
      </c>
      <c r="E1074">
        <v>2013</v>
      </c>
      <c r="F1074" t="s">
        <v>468</v>
      </c>
      <c r="G1074" t="s">
        <v>2035</v>
      </c>
      <c r="H1074" s="6">
        <v>59.344155999999998</v>
      </c>
      <c r="I1074" s="6">
        <v>-89.158034999999998</v>
      </c>
      <c r="J1074" s="6">
        <v>1991</v>
      </c>
      <c r="K1074" s="6">
        <v>2009</v>
      </c>
      <c r="L1074" s="6">
        <f t="shared" si="46"/>
        <v>19</v>
      </c>
      <c r="M1074" t="s">
        <v>2148</v>
      </c>
      <c r="N1074" t="s">
        <v>368</v>
      </c>
      <c r="O1074" t="s">
        <v>3471</v>
      </c>
      <c r="P1074" t="s">
        <v>3471</v>
      </c>
      <c r="Q1074" t="s">
        <v>369</v>
      </c>
      <c r="R1074" t="s">
        <v>3526</v>
      </c>
      <c r="V1074">
        <v>-5.42</v>
      </c>
      <c r="W1074" t="s">
        <v>2041</v>
      </c>
      <c r="X1074" t="s">
        <v>2041</v>
      </c>
      <c r="Z1074" t="str">
        <f t="shared" si="45"/>
        <v>Y</v>
      </c>
      <c r="AA1074" t="s">
        <v>3283</v>
      </c>
      <c r="AB1074" t="s">
        <v>3527</v>
      </c>
      <c r="AC1074" t="s">
        <v>3528</v>
      </c>
    </row>
    <row r="1075" spans="2:33">
      <c r="B1075" t="s">
        <v>3277</v>
      </c>
      <c r="C1075" t="s">
        <v>3524</v>
      </c>
      <c r="D1075" s="2" t="s">
        <v>3525</v>
      </c>
      <c r="E1075">
        <v>2013</v>
      </c>
      <c r="F1075" t="s">
        <v>468</v>
      </c>
      <c r="G1075" t="s">
        <v>2035</v>
      </c>
      <c r="H1075" s="6">
        <v>59.344155999999998</v>
      </c>
      <c r="I1075" s="6">
        <v>-89.158034999999998</v>
      </c>
      <c r="J1075" s="6">
        <v>1991</v>
      </c>
      <c r="K1075" s="6">
        <v>2009</v>
      </c>
      <c r="L1075" s="6">
        <f t="shared" si="46"/>
        <v>19</v>
      </c>
      <c r="M1075" t="s">
        <v>2148</v>
      </c>
      <c r="N1075" t="s">
        <v>368</v>
      </c>
      <c r="O1075" t="s">
        <v>3471</v>
      </c>
      <c r="P1075" t="s">
        <v>3471</v>
      </c>
      <c r="Q1075" t="s">
        <v>369</v>
      </c>
      <c r="R1075" t="s">
        <v>3529</v>
      </c>
      <c r="V1075">
        <v>6.5</v>
      </c>
      <c r="W1075" t="s">
        <v>2041</v>
      </c>
      <c r="X1075" t="s">
        <v>2041</v>
      </c>
      <c r="Z1075" t="str">
        <f t="shared" si="45"/>
        <v>Y</v>
      </c>
      <c r="AA1075" t="s">
        <v>3283</v>
      </c>
      <c r="AB1075" t="s">
        <v>3530</v>
      </c>
      <c r="AC1075" t="s">
        <v>3528</v>
      </c>
    </row>
    <row r="1076" spans="2:33">
      <c r="B1076" t="s">
        <v>3277</v>
      </c>
      <c r="C1076" t="s">
        <v>3531</v>
      </c>
      <c r="D1076" t="s">
        <v>3532</v>
      </c>
      <c r="E1076">
        <v>2005</v>
      </c>
      <c r="F1076" t="s">
        <v>1161</v>
      </c>
      <c r="G1076" t="s">
        <v>2035</v>
      </c>
      <c r="H1076" s="6">
        <v>-54.008476000000002</v>
      </c>
      <c r="I1076" s="6">
        <v>-38.036161999999997</v>
      </c>
      <c r="J1076" s="6">
        <v>1985</v>
      </c>
      <c r="K1076" s="6">
        <v>2004</v>
      </c>
      <c r="L1076" s="6">
        <f t="shared" si="46"/>
        <v>20</v>
      </c>
      <c r="M1076" t="s">
        <v>2036</v>
      </c>
      <c r="N1076" t="s">
        <v>368</v>
      </c>
      <c r="O1076" t="s">
        <v>3503</v>
      </c>
      <c r="P1076" t="s">
        <v>3533</v>
      </c>
      <c r="Q1076" t="s">
        <v>3515</v>
      </c>
      <c r="R1076" t="s">
        <v>3534</v>
      </c>
      <c r="V1076" t="s">
        <v>163</v>
      </c>
      <c r="W1076" t="s">
        <v>2041</v>
      </c>
      <c r="X1076" t="s">
        <v>2041</v>
      </c>
      <c r="Z1076" t="str">
        <f t="shared" si="45"/>
        <v>Y</v>
      </c>
      <c r="AA1076" t="s">
        <v>2054</v>
      </c>
      <c r="AB1076" t="s">
        <v>3535</v>
      </c>
      <c r="AC1076" t="s">
        <v>3536</v>
      </c>
    </row>
    <row r="1077" spans="2:33">
      <c r="B1077" t="s">
        <v>3277</v>
      </c>
      <c r="C1077" t="s">
        <v>3537</v>
      </c>
      <c r="D1077" s="2" t="s">
        <v>3538</v>
      </c>
      <c r="E1077">
        <v>2015</v>
      </c>
      <c r="F1077" t="s">
        <v>1045</v>
      </c>
      <c r="G1077" t="s">
        <v>2035</v>
      </c>
      <c r="H1077" s="6">
        <v>73.100555999999997</v>
      </c>
      <c r="I1077" s="6">
        <v>-20.03886</v>
      </c>
      <c r="J1077" s="6">
        <v>1993</v>
      </c>
      <c r="K1077" s="6">
        <v>2008</v>
      </c>
      <c r="L1077" s="6">
        <f t="shared" si="46"/>
        <v>16</v>
      </c>
      <c r="M1077" t="s">
        <v>3539</v>
      </c>
      <c r="N1077" t="s">
        <v>368</v>
      </c>
      <c r="O1077" t="s">
        <v>368</v>
      </c>
      <c r="P1077" t="s">
        <v>3471</v>
      </c>
      <c r="Q1077" t="s">
        <v>369</v>
      </c>
      <c r="R1077" t="s">
        <v>3540</v>
      </c>
      <c r="V1077">
        <v>-15.19</v>
      </c>
      <c r="W1077" t="s">
        <v>2041</v>
      </c>
      <c r="X1077" t="s">
        <v>2058</v>
      </c>
      <c r="Z1077" t="str">
        <f t="shared" si="45"/>
        <v>N</v>
      </c>
      <c r="AA1077" t="s">
        <v>3283</v>
      </c>
      <c r="AB1077" t="s">
        <v>3527</v>
      </c>
      <c r="AC1077" t="s">
        <v>3541</v>
      </c>
      <c r="AD1077" t="s">
        <v>3542</v>
      </c>
      <c r="AE1077" t="s">
        <v>3543</v>
      </c>
      <c r="AF1077" t="s">
        <v>3544</v>
      </c>
      <c r="AG1077" t="s">
        <v>3545</v>
      </c>
    </row>
    <row r="1078" spans="2:33">
      <c r="B1078" t="s">
        <v>3277</v>
      </c>
      <c r="C1078" t="s">
        <v>3537</v>
      </c>
      <c r="D1078" t="s">
        <v>3538</v>
      </c>
      <c r="E1078">
        <v>2015</v>
      </c>
      <c r="F1078" t="s">
        <v>1045</v>
      </c>
      <c r="G1078" t="s">
        <v>2035</v>
      </c>
      <c r="H1078" s="6">
        <v>73.100555999999997</v>
      </c>
      <c r="I1078" s="6">
        <v>-20.03886</v>
      </c>
      <c r="J1078" s="6">
        <v>1993</v>
      </c>
      <c r="K1078" s="6">
        <v>2008</v>
      </c>
      <c r="L1078" s="6">
        <f t="shared" si="46"/>
        <v>16</v>
      </c>
      <c r="M1078" t="s">
        <v>3539</v>
      </c>
      <c r="N1078" t="s">
        <v>368</v>
      </c>
      <c r="O1078" t="s">
        <v>368</v>
      </c>
      <c r="P1078" t="s">
        <v>3471</v>
      </c>
      <c r="Q1078" t="s">
        <v>369</v>
      </c>
      <c r="R1078" t="s">
        <v>3546</v>
      </c>
      <c r="V1078">
        <v>-3.8</v>
      </c>
      <c r="W1078" t="s">
        <v>2058</v>
      </c>
      <c r="X1078" t="s">
        <v>2058</v>
      </c>
      <c r="Z1078" t="str">
        <f t="shared" si="45"/>
        <v>N</v>
      </c>
      <c r="AA1078" t="s">
        <v>3283</v>
      </c>
      <c r="AB1078" t="s">
        <v>3547</v>
      </c>
      <c r="AC1078" t="s">
        <v>3541</v>
      </c>
    </row>
    <row r="1079" spans="2:33">
      <c r="B1079" t="s">
        <v>3277</v>
      </c>
      <c r="C1079" t="s">
        <v>3548</v>
      </c>
      <c r="D1079" t="s">
        <v>3549</v>
      </c>
      <c r="E1079">
        <v>2016</v>
      </c>
      <c r="F1079" t="s">
        <v>3550</v>
      </c>
      <c r="G1079" t="s">
        <v>2035</v>
      </c>
      <c r="H1079" s="6">
        <v>71.5</v>
      </c>
      <c r="I1079" s="6">
        <v>-163</v>
      </c>
      <c r="J1079" s="6">
        <v>1988</v>
      </c>
      <c r="K1079" s="6">
        <v>2007</v>
      </c>
      <c r="L1079" s="6">
        <f t="shared" si="46"/>
        <v>20</v>
      </c>
      <c r="M1079" t="s">
        <v>2036</v>
      </c>
      <c r="N1079" t="s">
        <v>368</v>
      </c>
      <c r="O1079" t="s">
        <v>3476</v>
      </c>
      <c r="P1079" t="s">
        <v>3477</v>
      </c>
      <c r="Q1079" t="s">
        <v>1037</v>
      </c>
      <c r="R1079" t="s">
        <v>3551</v>
      </c>
      <c r="V1079">
        <v>-1.169</v>
      </c>
      <c r="W1079" t="s">
        <v>2041</v>
      </c>
      <c r="X1079" t="s">
        <v>2041</v>
      </c>
      <c r="Y1079" t="s">
        <v>2041</v>
      </c>
      <c r="Z1079" t="str">
        <f t="shared" si="45"/>
        <v>Y</v>
      </c>
      <c r="AA1079" t="s">
        <v>3283</v>
      </c>
      <c r="AB1079" t="s">
        <v>3552</v>
      </c>
      <c r="AC1079" t="s">
        <v>3553</v>
      </c>
    </row>
    <row r="1080" spans="2:33">
      <c r="B1080" t="s">
        <v>3277</v>
      </c>
      <c r="C1080" t="s">
        <v>3554</v>
      </c>
      <c r="D1080" t="s">
        <v>3555</v>
      </c>
      <c r="E1080">
        <v>2018</v>
      </c>
      <c r="F1080" t="s">
        <v>1030</v>
      </c>
      <c r="G1080" t="s">
        <v>2035</v>
      </c>
      <c r="H1080" s="6">
        <v>73.732995000000003</v>
      </c>
      <c r="I1080" s="6">
        <v>-151.192668</v>
      </c>
      <c r="J1080" s="6">
        <v>1985</v>
      </c>
      <c r="K1080" s="6">
        <v>2013</v>
      </c>
      <c r="L1080" s="6">
        <f t="shared" si="46"/>
        <v>29</v>
      </c>
      <c r="M1080" t="s">
        <v>2036</v>
      </c>
      <c r="N1080" t="s">
        <v>368</v>
      </c>
      <c r="O1080" t="s">
        <v>3471</v>
      </c>
      <c r="P1080" t="s">
        <v>3471</v>
      </c>
      <c r="Q1080" t="s">
        <v>369</v>
      </c>
      <c r="R1080" t="s">
        <v>3556</v>
      </c>
      <c r="V1080" t="s">
        <v>163</v>
      </c>
      <c r="W1080" t="s">
        <v>2058</v>
      </c>
      <c r="X1080" t="s">
        <v>2041</v>
      </c>
      <c r="Z1080" t="str">
        <f t="shared" si="45"/>
        <v>Y</v>
      </c>
      <c r="AA1080" t="s">
        <v>3283</v>
      </c>
      <c r="AB1080" t="s">
        <v>3527</v>
      </c>
      <c r="AC1080" t="s">
        <v>3557</v>
      </c>
    </row>
    <row r="1081" spans="2:33">
      <c r="B1081" t="s">
        <v>3277</v>
      </c>
      <c r="C1081" t="s">
        <v>3554</v>
      </c>
      <c r="D1081" t="s">
        <v>3555</v>
      </c>
      <c r="E1081">
        <v>2018</v>
      </c>
      <c r="F1081" t="s">
        <v>1030</v>
      </c>
      <c r="G1081" t="s">
        <v>2035</v>
      </c>
      <c r="H1081" s="6">
        <v>73.732995000000003</v>
      </c>
      <c r="I1081" s="6">
        <v>-151.192668</v>
      </c>
      <c r="J1081" s="6">
        <v>1985</v>
      </c>
      <c r="K1081" s="6">
        <v>2013</v>
      </c>
      <c r="L1081" s="6">
        <f t="shared" si="46"/>
        <v>29</v>
      </c>
      <c r="M1081" t="s">
        <v>2036</v>
      </c>
      <c r="N1081" t="s">
        <v>368</v>
      </c>
      <c r="O1081" t="s">
        <v>3471</v>
      </c>
      <c r="P1081" t="s">
        <v>3471</v>
      </c>
      <c r="Q1081" t="s">
        <v>369</v>
      </c>
      <c r="R1081" t="s">
        <v>3558</v>
      </c>
      <c r="V1081" t="s">
        <v>163</v>
      </c>
      <c r="W1081" t="s">
        <v>2058</v>
      </c>
      <c r="X1081" t="s">
        <v>2041</v>
      </c>
      <c r="Z1081" t="str">
        <f t="shared" si="45"/>
        <v>Y</v>
      </c>
      <c r="AA1081" t="s">
        <v>3283</v>
      </c>
      <c r="AB1081" t="s">
        <v>3547</v>
      </c>
      <c r="AC1081" t="s">
        <v>3557</v>
      </c>
    </row>
    <row r="1082" spans="2:33">
      <c r="B1082" t="s">
        <v>3277</v>
      </c>
      <c r="C1082" t="s">
        <v>3559</v>
      </c>
      <c r="D1082" t="s">
        <v>3560</v>
      </c>
      <c r="E1082">
        <v>2020</v>
      </c>
      <c r="F1082" t="s">
        <v>3561</v>
      </c>
      <c r="G1082" t="s">
        <v>2035</v>
      </c>
      <c r="H1082">
        <v>72</v>
      </c>
      <c r="I1082">
        <v>-67</v>
      </c>
      <c r="J1082" s="6">
        <v>1991</v>
      </c>
      <c r="K1082" s="6">
        <v>2015</v>
      </c>
      <c r="L1082" s="6">
        <f t="shared" si="46"/>
        <v>25</v>
      </c>
      <c r="M1082" t="s">
        <v>2148</v>
      </c>
      <c r="N1082" t="s">
        <v>368</v>
      </c>
      <c r="O1082" t="s">
        <v>3471</v>
      </c>
      <c r="P1082" t="s">
        <v>3471</v>
      </c>
      <c r="Q1082" t="s">
        <v>369</v>
      </c>
      <c r="R1082" t="s">
        <v>3540</v>
      </c>
      <c r="V1082">
        <v>-11.7</v>
      </c>
      <c r="W1082" t="s">
        <v>2041</v>
      </c>
      <c r="X1082" t="s">
        <v>2041</v>
      </c>
      <c r="Z1082" t="str">
        <f t="shared" si="45"/>
        <v>Y</v>
      </c>
      <c r="AA1082" t="s">
        <v>3283</v>
      </c>
      <c r="AB1082" t="s">
        <v>3562</v>
      </c>
      <c r="AC1082" t="s">
        <v>3563</v>
      </c>
    </row>
    <row r="1083" spans="2:33">
      <c r="B1083" t="s">
        <v>3277</v>
      </c>
      <c r="C1083" t="s">
        <v>3564</v>
      </c>
      <c r="D1083" t="s">
        <v>3560</v>
      </c>
      <c r="E1083">
        <v>2020</v>
      </c>
      <c r="F1083" t="s">
        <v>3561</v>
      </c>
      <c r="G1083" t="s">
        <v>2035</v>
      </c>
      <c r="H1083">
        <v>72</v>
      </c>
      <c r="I1083">
        <v>-67</v>
      </c>
      <c r="J1083" s="6">
        <v>1991</v>
      </c>
      <c r="K1083" s="6">
        <v>2015</v>
      </c>
      <c r="L1083" s="6">
        <f t="shared" si="46"/>
        <v>25</v>
      </c>
      <c r="M1083" t="s">
        <v>2148</v>
      </c>
      <c r="N1083" t="s">
        <v>368</v>
      </c>
      <c r="O1083" t="s">
        <v>3471</v>
      </c>
      <c r="P1083" t="s">
        <v>3471</v>
      </c>
      <c r="Q1083" t="s">
        <v>369</v>
      </c>
      <c r="R1083" t="s">
        <v>3546</v>
      </c>
      <c r="V1083">
        <v>4.7</v>
      </c>
      <c r="W1083" t="s">
        <v>2041</v>
      </c>
      <c r="X1083" t="s">
        <v>2041</v>
      </c>
      <c r="Z1083" t="str">
        <f t="shared" si="45"/>
        <v>Y</v>
      </c>
      <c r="AA1083" t="s">
        <v>3283</v>
      </c>
      <c r="AB1083" t="s">
        <v>3565</v>
      </c>
      <c r="AC1083" t="s">
        <v>3563</v>
      </c>
    </row>
    <row r="1084" spans="2:33">
      <c r="B1084" t="s">
        <v>3277</v>
      </c>
      <c r="C1084" t="s">
        <v>3566</v>
      </c>
      <c r="D1084" s="2" t="s">
        <v>3567</v>
      </c>
      <c r="E1084">
        <v>2022</v>
      </c>
      <c r="F1084" t="s">
        <v>3568</v>
      </c>
      <c r="G1084" t="s">
        <v>2035</v>
      </c>
      <c r="H1084" s="6">
        <v>72.349999999999994</v>
      </c>
      <c r="I1084">
        <v>-81.082999999999998</v>
      </c>
      <c r="J1084" s="6">
        <v>1998</v>
      </c>
      <c r="K1084" s="6">
        <v>2017</v>
      </c>
      <c r="L1084" s="6">
        <f t="shared" si="46"/>
        <v>20</v>
      </c>
      <c r="M1084" t="s">
        <v>3569</v>
      </c>
      <c r="N1084" t="s">
        <v>368</v>
      </c>
      <c r="O1084" t="s">
        <v>3476</v>
      </c>
      <c r="P1084" t="s">
        <v>3570</v>
      </c>
      <c r="Q1084" t="s">
        <v>3571</v>
      </c>
      <c r="R1084" t="s">
        <v>3572</v>
      </c>
      <c r="V1084">
        <v>8.3800000000000008</v>
      </c>
      <c r="W1084" t="s">
        <v>2041</v>
      </c>
      <c r="X1084" t="s">
        <v>2041</v>
      </c>
      <c r="Z1084" t="str">
        <f t="shared" si="45"/>
        <v>Y</v>
      </c>
      <c r="AA1084" t="s">
        <v>3283</v>
      </c>
      <c r="AB1084" t="s">
        <v>3573</v>
      </c>
      <c r="AC1084" t="s">
        <v>3574</v>
      </c>
    </row>
    <row r="1085" spans="2:33">
      <c r="B1085" t="s">
        <v>3277</v>
      </c>
      <c r="C1085" t="s">
        <v>3566</v>
      </c>
      <c r="D1085" t="s">
        <v>3575</v>
      </c>
      <c r="E1085">
        <v>2022</v>
      </c>
      <c r="F1085" t="s">
        <v>3568</v>
      </c>
      <c r="G1085" t="s">
        <v>2035</v>
      </c>
      <c r="H1085" s="6">
        <v>72.349999999999994</v>
      </c>
      <c r="I1085">
        <v>-81.082999999999998</v>
      </c>
      <c r="J1085" s="6">
        <v>1998</v>
      </c>
      <c r="K1085" s="6">
        <v>2017</v>
      </c>
      <c r="L1085" s="6">
        <f t="shared" si="46"/>
        <v>20</v>
      </c>
      <c r="M1085" t="s">
        <v>3569</v>
      </c>
      <c r="N1085" t="s">
        <v>368</v>
      </c>
      <c r="O1085" t="s">
        <v>3476</v>
      </c>
      <c r="P1085" t="s">
        <v>3570</v>
      </c>
      <c r="Q1085" t="s">
        <v>3571</v>
      </c>
      <c r="R1085" t="s">
        <v>3576</v>
      </c>
      <c r="V1085">
        <v>3.76</v>
      </c>
      <c r="W1085" t="s">
        <v>2041</v>
      </c>
      <c r="X1085" t="s">
        <v>2041</v>
      </c>
      <c r="Z1085" t="str">
        <f t="shared" si="45"/>
        <v>Y</v>
      </c>
      <c r="AA1085" t="s">
        <v>3283</v>
      </c>
      <c r="AB1085" t="s">
        <v>3547</v>
      </c>
      <c r="AC1085" t="s">
        <v>3577</v>
      </c>
      <c r="AD1085" t="s">
        <v>3577</v>
      </c>
      <c r="AE1085" t="s">
        <v>3577</v>
      </c>
      <c r="AF1085" t="s">
        <v>3577</v>
      </c>
      <c r="AG1085" t="s">
        <v>3577</v>
      </c>
    </row>
    <row r="1086" spans="2:33">
      <c r="B1086" t="s">
        <v>3277</v>
      </c>
      <c r="C1086" t="s">
        <v>3578</v>
      </c>
      <c r="D1086" t="s">
        <v>3579</v>
      </c>
      <c r="E1086">
        <v>2022</v>
      </c>
      <c r="F1086" t="s">
        <v>3568</v>
      </c>
      <c r="G1086" t="s">
        <v>2035</v>
      </c>
      <c r="H1086" s="6">
        <v>72.349999999999994</v>
      </c>
      <c r="I1086">
        <v>-81.082999999999998</v>
      </c>
      <c r="J1086" s="6">
        <v>1998</v>
      </c>
      <c r="K1086" s="6">
        <v>2017</v>
      </c>
      <c r="L1086" s="6">
        <f t="shared" si="46"/>
        <v>20</v>
      </c>
      <c r="M1086" t="s">
        <v>3569</v>
      </c>
      <c r="N1086" t="s">
        <v>368</v>
      </c>
      <c r="O1086" t="s">
        <v>3476</v>
      </c>
      <c r="P1086" t="s">
        <v>3570</v>
      </c>
      <c r="Q1086" t="s">
        <v>3571</v>
      </c>
      <c r="R1086" t="s">
        <v>3580</v>
      </c>
      <c r="V1086">
        <v>2.34</v>
      </c>
      <c r="W1086" t="s">
        <v>2041</v>
      </c>
      <c r="X1086" t="s">
        <v>2041</v>
      </c>
      <c r="Z1086" t="str">
        <f t="shared" si="45"/>
        <v>Y</v>
      </c>
      <c r="AA1086" t="s">
        <v>3283</v>
      </c>
      <c r="AB1086" t="s">
        <v>3547</v>
      </c>
      <c r="AC1086" t="s">
        <v>3577</v>
      </c>
    </row>
    <row r="1087" spans="2:33" ht="15.5">
      <c r="B1087" t="s">
        <v>393</v>
      </c>
      <c r="C1087" t="s">
        <v>3581</v>
      </c>
      <c r="D1087" s="2" t="s">
        <v>3582</v>
      </c>
      <c r="E1087">
        <v>2022</v>
      </c>
      <c r="F1087" t="s">
        <v>3583</v>
      </c>
      <c r="G1087" t="s">
        <v>2035</v>
      </c>
      <c r="H1087" s="6">
        <v>41.7</v>
      </c>
      <c r="I1087">
        <v>-70.3</v>
      </c>
      <c r="J1087" s="6">
        <v>1998</v>
      </c>
      <c r="K1087" s="6">
        <v>2018</v>
      </c>
      <c r="L1087" s="6">
        <f t="shared" si="46"/>
        <v>21</v>
      </c>
      <c r="M1087" t="s">
        <v>2036</v>
      </c>
      <c r="N1087" t="s">
        <v>368</v>
      </c>
      <c r="O1087" t="s">
        <v>3476</v>
      </c>
      <c r="P1087" t="s">
        <v>3584</v>
      </c>
      <c r="Q1087" s="28" t="s">
        <v>3585</v>
      </c>
      <c r="R1087" t="s">
        <v>3586</v>
      </c>
      <c r="V1087">
        <v>9.125</v>
      </c>
      <c r="W1087" t="s">
        <v>2058</v>
      </c>
      <c r="X1087" t="s">
        <v>2041</v>
      </c>
      <c r="Z1087" t="str">
        <f t="shared" si="45"/>
        <v>Y</v>
      </c>
      <c r="AA1087" t="s">
        <v>2054</v>
      </c>
      <c r="AB1087" t="s">
        <v>3587</v>
      </c>
      <c r="AC1087" t="s">
        <v>1048</v>
      </c>
    </row>
    <row r="1088" spans="2:33">
      <c r="B1088" t="s">
        <v>393</v>
      </c>
      <c r="C1088" t="s">
        <v>3581</v>
      </c>
      <c r="D1088" s="2" t="s">
        <v>3582</v>
      </c>
      <c r="E1088">
        <v>2022</v>
      </c>
      <c r="F1088" t="s">
        <v>3583</v>
      </c>
      <c r="G1088" t="s">
        <v>2035</v>
      </c>
      <c r="H1088" s="6">
        <v>41.7</v>
      </c>
      <c r="I1088">
        <v>-70.3</v>
      </c>
      <c r="J1088" s="6">
        <v>1998</v>
      </c>
      <c r="K1088" s="6">
        <v>2018</v>
      </c>
      <c r="L1088" s="6">
        <f t="shared" si="46"/>
        <v>21</v>
      </c>
      <c r="M1088" t="s">
        <v>2036</v>
      </c>
      <c r="N1088" t="s">
        <v>368</v>
      </c>
      <c r="O1088" t="s">
        <v>3476</v>
      </c>
      <c r="P1088" t="s">
        <v>3484</v>
      </c>
      <c r="Q1088" t="s">
        <v>1027</v>
      </c>
      <c r="R1088" t="s">
        <v>3586</v>
      </c>
      <c r="V1088">
        <v>9.75</v>
      </c>
      <c r="W1088" t="s">
        <v>2058</v>
      </c>
      <c r="X1088" t="s">
        <v>2041</v>
      </c>
      <c r="Z1088" t="str">
        <f t="shared" si="45"/>
        <v>Y</v>
      </c>
      <c r="AA1088" t="s">
        <v>2054</v>
      </c>
      <c r="AB1088" t="s">
        <v>3587</v>
      </c>
      <c r="AC1088" t="s">
        <v>1048</v>
      </c>
    </row>
    <row r="1089" spans="2:29">
      <c r="B1089" t="s">
        <v>393</v>
      </c>
      <c r="C1089" t="s">
        <v>3581</v>
      </c>
      <c r="D1089" s="2" t="s">
        <v>3582</v>
      </c>
      <c r="E1089">
        <v>2022</v>
      </c>
      <c r="F1089" t="s">
        <v>3583</v>
      </c>
      <c r="G1089" t="s">
        <v>2035</v>
      </c>
      <c r="H1089" s="6">
        <v>41.7</v>
      </c>
      <c r="I1089">
        <v>-70.3</v>
      </c>
      <c r="J1089" s="6">
        <v>1998</v>
      </c>
      <c r="K1089" s="6">
        <v>2018</v>
      </c>
      <c r="L1089" s="6">
        <f t="shared" si="46"/>
        <v>21</v>
      </c>
      <c r="M1089" t="s">
        <v>2036</v>
      </c>
      <c r="N1089" t="s">
        <v>368</v>
      </c>
      <c r="O1089" t="s">
        <v>3476</v>
      </c>
      <c r="P1089" t="s">
        <v>3487</v>
      </c>
      <c r="Q1089" t="s">
        <v>1028</v>
      </c>
      <c r="R1089" t="s">
        <v>3586</v>
      </c>
      <c r="V1089">
        <v>-3.09</v>
      </c>
      <c r="W1089" t="s">
        <v>2041</v>
      </c>
      <c r="X1089" t="s">
        <v>2041</v>
      </c>
      <c r="Z1089" t="str">
        <f t="shared" si="45"/>
        <v>Y</v>
      </c>
      <c r="AA1089" t="s">
        <v>2054</v>
      </c>
      <c r="AB1089" t="s">
        <v>3587</v>
      </c>
      <c r="AC1089" t="s">
        <v>1048</v>
      </c>
    </row>
    <row r="1090" spans="2:29">
      <c r="B1090" t="s">
        <v>3277</v>
      </c>
      <c r="C1090" t="s">
        <v>3588</v>
      </c>
      <c r="D1090" s="2" t="s">
        <v>3589</v>
      </c>
      <c r="E1090">
        <v>2010</v>
      </c>
      <c r="F1090" t="s">
        <v>3590</v>
      </c>
      <c r="G1090" t="s">
        <v>2035</v>
      </c>
      <c r="H1090" s="6">
        <v>54</v>
      </c>
      <c r="I1090" s="6">
        <v>7</v>
      </c>
      <c r="J1090" s="6">
        <v>1975</v>
      </c>
      <c r="K1090" s="6">
        <v>2010</v>
      </c>
      <c r="L1090" s="6">
        <f t="shared" si="46"/>
        <v>36</v>
      </c>
      <c r="M1090" t="s">
        <v>2036</v>
      </c>
      <c r="N1090" t="s">
        <v>368</v>
      </c>
      <c r="O1090" t="s">
        <v>3503</v>
      </c>
      <c r="P1090" t="s">
        <v>3591</v>
      </c>
      <c r="Q1090" t="s">
        <v>3592</v>
      </c>
      <c r="R1090" t="s">
        <v>3593</v>
      </c>
      <c r="V1090">
        <v>-7.1</v>
      </c>
      <c r="W1090" t="s">
        <v>163</v>
      </c>
      <c r="X1090" t="s">
        <v>2058</v>
      </c>
      <c r="Z1090" t="str">
        <f>IF(L1090&gt;=19,"Y","N")</f>
        <v>Y</v>
      </c>
      <c r="AA1090" t="s">
        <v>163</v>
      </c>
      <c r="AB1090" t="s">
        <v>3594</v>
      </c>
      <c r="AC1090" t="s">
        <v>3595</v>
      </c>
    </row>
    <row r="1091" spans="2:29">
      <c r="B1091" t="s">
        <v>3277</v>
      </c>
      <c r="C1091" t="s">
        <v>3596</v>
      </c>
      <c r="D1091" t="s">
        <v>3597</v>
      </c>
      <c r="E1091">
        <v>2021</v>
      </c>
      <c r="Z1091" t="str">
        <f t="shared" ref="Z1091:Z1154" si="47">IF(L1091&gt;=19,"Y","N")</f>
        <v>N</v>
      </c>
    </row>
    <row r="1092" spans="2:29">
      <c r="B1092" t="s">
        <v>393</v>
      </c>
      <c r="C1092" t="s">
        <v>3598</v>
      </c>
      <c r="D1092" s="2" t="s">
        <v>3599</v>
      </c>
      <c r="E1092">
        <v>2025</v>
      </c>
      <c r="F1092" t="s">
        <v>3600</v>
      </c>
      <c r="G1092" t="s">
        <v>2035</v>
      </c>
      <c r="H1092" s="6">
        <v>36.44</v>
      </c>
      <c r="I1092" s="6">
        <v>-121.92</v>
      </c>
      <c r="J1092" s="6">
        <v>1967</v>
      </c>
      <c r="K1092" s="6">
        <v>2024</v>
      </c>
      <c r="L1092" s="6">
        <f t="shared" ref="L1092:L1155" si="48">K1092-J1092+1</f>
        <v>58</v>
      </c>
      <c r="M1092" t="s">
        <v>2036</v>
      </c>
      <c r="N1092" t="s">
        <v>368</v>
      </c>
      <c r="O1092" t="s">
        <v>368</v>
      </c>
      <c r="P1092" t="s">
        <v>3601</v>
      </c>
      <c r="Q1092" t="s">
        <v>1162</v>
      </c>
      <c r="R1092" t="s">
        <v>3602</v>
      </c>
      <c r="V1092">
        <v>2.7</v>
      </c>
      <c r="W1092" t="s">
        <v>163</v>
      </c>
      <c r="X1092" t="s">
        <v>2058</v>
      </c>
      <c r="Z1092" t="str">
        <f t="shared" si="47"/>
        <v>Y</v>
      </c>
      <c r="AA1092" t="s">
        <v>163</v>
      </c>
      <c r="AB1092" t="s">
        <v>3594</v>
      </c>
      <c r="AC1092" t="s">
        <v>3603</v>
      </c>
    </row>
    <row r="1093" spans="2:29">
      <c r="B1093" t="s">
        <v>393</v>
      </c>
      <c r="C1093" t="s">
        <v>3604</v>
      </c>
      <c r="D1093" t="s">
        <v>3605</v>
      </c>
      <c r="E1093">
        <v>2021</v>
      </c>
      <c r="F1093" t="s">
        <v>3606</v>
      </c>
      <c r="G1093" t="s">
        <v>3607</v>
      </c>
      <c r="H1093" s="6">
        <v>-46.9</v>
      </c>
      <c r="I1093">
        <v>37.75</v>
      </c>
      <c r="J1093" s="6">
        <v>1986</v>
      </c>
      <c r="K1093" s="6">
        <v>2018</v>
      </c>
      <c r="L1093" s="6">
        <f t="shared" si="48"/>
        <v>33</v>
      </c>
      <c r="M1093" t="s">
        <v>2036</v>
      </c>
      <c r="N1093" t="s">
        <v>368</v>
      </c>
      <c r="O1093" t="s">
        <v>3503</v>
      </c>
      <c r="P1093" t="s">
        <v>3608</v>
      </c>
      <c r="Q1093" t="s">
        <v>3505</v>
      </c>
      <c r="R1093" t="s">
        <v>3609</v>
      </c>
      <c r="V1093">
        <v>0.71730000000000005</v>
      </c>
      <c r="W1093" t="s">
        <v>2041</v>
      </c>
      <c r="X1093" t="s">
        <v>2041</v>
      </c>
      <c r="Z1093" t="str">
        <f t="shared" si="47"/>
        <v>Y</v>
      </c>
      <c r="AA1093" t="s">
        <v>3610</v>
      </c>
      <c r="AB1093" t="s">
        <v>3611</v>
      </c>
      <c r="AC1093" t="s">
        <v>3612</v>
      </c>
    </row>
    <row r="1094" spans="2:29">
      <c r="B1094" t="s">
        <v>393</v>
      </c>
      <c r="C1094" t="s">
        <v>3613</v>
      </c>
      <c r="D1094" t="s">
        <v>3597</v>
      </c>
      <c r="E1094">
        <v>2021</v>
      </c>
      <c r="F1094" t="s">
        <v>3614</v>
      </c>
      <c r="G1094" t="s">
        <v>2035</v>
      </c>
      <c r="H1094" s="6">
        <v>51.731999999999999</v>
      </c>
      <c r="I1094" s="6">
        <v>-5.2759999999999998</v>
      </c>
      <c r="J1094" s="6">
        <v>1992</v>
      </c>
      <c r="K1094" s="6">
        <v>2018</v>
      </c>
      <c r="L1094" s="6">
        <f t="shared" si="48"/>
        <v>27</v>
      </c>
      <c r="M1094" t="s">
        <v>2036</v>
      </c>
      <c r="N1094" t="s">
        <v>368</v>
      </c>
      <c r="O1094" t="s">
        <v>3503</v>
      </c>
      <c r="P1094" t="s">
        <v>3615</v>
      </c>
      <c r="Q1094" t="s">
        <v>3616</v>
      </c>
      <c r="R1094" t="s">
        <v>3617</v>
      </c>
      <c r="V1094">
        <v>-1.52</v>
      </c>
      <c r="W1094" t="s">
        <v>2041</v>
      </c>
      <c r="X1094" t="s">
        <v>2041</v>
      </c>
      <c r="Z1094" t="str">
        <f t="shared" si="47"/>
        <v>Y</v>
      </c>
      <c r="AA1094" t="s">
        <v>2054</v>
      </c>
      <c r="AB1094" t="s">
        <v>3618</v>
      </c>
      <c r="AC1094" t="s">
        <v>3619</v>
      </c>
    </row>
    <row r="1095" spans="2:29">
      <c r="B1095" t="s">
        <v>393</v>
      </c>
      <c r="C1095" t="s">
        <v>3620</v>
      </c>
      <c r="D1095" s="2" t="s">
        <v>3621</v>
      </c>
      <c r="E1095">
        <v>2021</v>
      </c>
      <c r="F1095" t="s">
        <v>3622</v>
      </c>
      <c r="G1095" t="s">
        <v>2035</v>
      </c>
      <c r="H1095" s="6">
        <v>37.700000000000003</v>
      </c>
      <c r="I1095">
        <v>-123.0167</v>
      </c>
      <c r="J1095" s="6">
        <v>1993</v>
      </c>
      <c r="K1095" s="6">
        <v>2017</v>
      </c>
      <c r="L1095" s="6">
        <f t="shared" si="48"/>
        <v>25</v>
      </c>
      <c r="M1095" t="s">
        <v>2036</v>
      </c>
      <c r="N1095" t="s">
        <v>368</v>
      </c>
      <c r="O1095" t="s">
        <v>3476</v>
      </c>
      <c r="P1095" t="s">
        <v>3487</v>
      </c>
      <c r="Q1095" t="s">
        <v>3623</v>
      </c>
      <c r="R1095" t="s">
        <v>3624</v>
      </c>
      <c r="V1095">
        <v>-58.048900000000003</v>
      </c>
      <c r="W1095" t="s">
        <v>2041</v>
      </c>
      <c r="X1095" t="s">
        <v>2041</v>
      </c>
      <c r="Z1095" t="str">
        <f t="shared" si="47"/>
        <v>Y</v>
      </c>
      <c r="AA1095" t="s">
        <v>2054</v>
      </c>
      <c r="AB1095" t="s">
        <v>3527</v>
      </c>
      <c r="AC1095" t="s">
        <v>3625</v>
      </c>
    </row>
    <row r="1096" spans="2:29">
      <c r="B1096" t="s">
        <v>393</v>
      </c>
      <c r="C1096" t="s">
        <v>3620</v>
      </c>
      <c r="D1096" s="2" t="s">
        <v>3621</v>
      </c>
      <c r="E1096">
        <v>2021</v>
      </c>
      <c r="F1096" t="s">
        <v>3622</v>
      </c>
      <c r="G1096" t="s">
        <v>2035</v>
      </c>
      <c r="H1096" s="6">
        <v>37.700000000000003</v>
      </c>
      <c r="I1096">
        <v>-123.0167</v>
      </c>
      <c r="J1096" s="6">
        <v>1993</v>
      </c>
      <c r="K1096" s="6">
        <v>2017</v>
      </c>
      <c r="L1096" s="6">
        <f t="shared" si="48"/>
        <v>25</v>
      </c>
      <c r="M1096" t="s">
        <v>2036</v>
      </c>
      <c r="N1096" t="s">
        <v>368</v>
      </c>
      <c r="O1096" t="s">
        <v>3476</v>
      </c>
      <c r="P1096" t="s">
        <v>3487</v>
      </c>
      <c r="Q1096" t="s">
        <v>3623</v>
      </c>
      <c r="R1096" t="s">
        <v>3626</v>
      </c>
      <c r="V1096">
        <v>1.1347</v>
      </c>
      <c r="W1096" t="s">
        <v>2041</v>
      </c>
      <c r="X1096" t="s">
        <v>2041</v>
      </c>
      <c r="Z1096" t="str">
        <f t="shared" si="47"/>
        <v>Y</v>
      </c>
      <c r="AA1096" t="s">
        <v>2054</v>
      </c>
      <c r="AB1096" t="s">
        <v>3627</v>
      </c>
      <c r="AC1096" t="s">
        <v>3625</v>
      </c>
    </row>
    <row r="1097" spans="2:29">
      <c r="B1097" t="s">
        <v>393</v>
      </c>
      <c r="C1097" t="s">
        <v>3620</v>
      </c>
      <c r="D1097" s="2" t="s">
        <v>3621</v>
      </c>
      <c r="E1097">
        <v>2021</v>
      </c>
      <c r="F1097" t="s">
        <v>3622</v>
      </c>
      <c r="G1097" t="s">
        <v>2035</v>
      </c>
      <c r="H1097" s="6">
        <v>37.700000000000003</v>
      </c>
      <c r="I1097">
        <v>-123.0167</v>
      </c>
      <c r="J1097" s="6">
        <v>1993</v>
      </c>
      <c r="K1097" s="6">
        <v>2017</v>
      </c>
      <c r="L1097" s="6">
        <f t="shared" si="48"/>
        <v>25</v>
      </c>
      <c r="M1097" t="s">
        <v>2036</v>
      </c>
      <c r="N1097" t="s">
        <v>368</v>
      </c>
      <c r="O1097" t="s">
        <v>3476</v>
      </c>
      <c r="P1097" t="s">
        <v>3628</v>
      </c>
      <c r="Q1097" t="s">
        <v>3629</v>
      </c>
      <c r="R1097" t="s">
        <v>3624</v>
      </c>
      <c r="V1097">
        <v>-51.833799999999997</v>
      </c>
      <c r="W1097" t="s">
        <v>2058</v>
      </c>
      <c r="X1097" t="s">
        <v>2041</v>
      </c>
      <c r="Z1097" t="str">
        <f t="shared" si="47"/>
        <v>Y</v>
      </c>
      <c r="AA1097" t="s">
        <v>2054</v>
      </c>
      <c r="AB1097" t="s">
        <v>3630</v>
      </c>
      <c r="AC1097" t="s">
        <v>3625</v>
      </c>
    </row>
    <row r="1098" spans="2:29">
      <c r="B1098" t="s">
        <v>393</v>
      </c>
      <c r="C1098" t="s">
        <v>3620</v>
      </c>
      <c r="D1098" s="2" t="s">
        <v>3621</v>
      </c>
      <c r="E1098">
        <v>2021</v>
      </c>
      <c r="F1098" t="s">
        <v>3622</v>
      </c>
      <c r="G1098" t="s">
        <v>2035</v>
      </c>
      <c r="H1098" s="6">
        <v>37.700000000000003</v>
      </c>
      <c r="I1098">
        <v>-123.0167</v>
      </c>
      <c r="J1098" s="6">
        <v>1993</v>
      </c>
      <c r="K1098" s="6">
        <v>2017</v>
      </c>
      <c r="L1098" s="6">
        <f t="shared" si="48"/>
        <v>25</v>
      </c>
      <c r="M1098" t="s">
        <v>2036</v>
      </c>
      <c r="N1098" t="s">
        <v>368</v>
      </c>
      <c r="O1098" t="s">
        <v>3476</v>
      </c>
      <c r="P1098" t="s">
        <v>3628</v>
      </c>
      <c r="Q1098" t="s">
        <v>3629</v>
      </c>
      <c r="R1098" t="s">
        <v>3626</v>
      </c>
      <c r="V1098">
        <v>-16.839400000000001</v>
      </c>
      <c r="W1098" t="s">
        <v>2058</v>
      </c>
      <c r="X1098" t="s">
        <v>2041</v>
      </c>
      <c r="Z1098" t="str">
        <f t="shared" si="47"/>
        <v>Y</v>
      </c>
      <c r="AA1098" t="s">
        <v>2054</v>
      </c>
      <c r="AB1098" t="s">
        <v>3627</v>
      </c>
      <c r="AC1098" t="s">
        <v>3625</v>
      </c>
    </row>
    <row r="1099" spans="2:29">
      <c r="B1099" t="s">
        <v>393</v>
      </c>
      <c r="C1099" t="s">
        <v>3620</v>
      </c>
      <c r="D1099" s="2" t="s">
        <v>3621</v>
      </c>
      <c r="E1099">
        <v>2021</v>
      </c>
      <c r="F1099" t="s">
        <v>3622</v>
      </c>
      <c r="G1099" t="s">
        <v>2035</v>
      </c>
      <c r="H1099" s="6">
        <v>37.700000000000003</v>
      </c>
      <c r="I1099">
        <v>-123.0167</v>
      </c>
      <c r="J1099" s="6">
        <v>1993</v>
      </c>
      <c r="K1099" s="6">
        <v>2017</v>
      </c>
      <c r="L1099" s="6">
        <f t="shared" si="48"/>
        <v>25</v>
      </c>
      <c r="M1099" t="s">
        <v>2036</v>
      </c>
      <c r="N1099" t="s">
        <v>368</v>
      </c>
      <c r="O1099" t="s">
        <v>3476</v>
      </c>
      <c r="P1099" t="s">
        <v>3631</v>
      </c>
      <c r="Q1099" t="s">
        <v>1162</v>
      </c>
      <c r="R1099" t="s">
        <v>3624</v>
      </c>
      <c r="V1099">
        <v>3.5152929999999998</v>
      </c>
      <c r="W1099" t="s">
        <v>2058</v>
      </c>
      <c r="X1099" t="s">
        <v>2041</v>
      </c>
      <c r="Z1099" t="str">
        <f t="shared" si="47"/>
        <v>Y</v>
      </c>
      <c r="AA1099" t="s">
        <v>2054</v>
      </c>
      <c r="AB1099" t="s">
        <v>3527</v>
      </c>
      <c r="AC1099" t="s">
        <v>3625</v>
      </c>
    </row>
    <row r="1100" spans="2:29">
      <c r="B1100" t="s">
        <v>393</v>
      </c>
      <c r="C1100" t="s">
        <v>3620</v>
      </c>
      <c r="D1100" s="2" t="s">
        <v>3621</v>
      </c>
      <c r="E1100">
        <v>2021</v>
      </c>
      <c r="F1100" t="s">
        <v>3622</v>
      </c>
      <c r="G1100" t="s">
        <v>2035</v>
      </c>
      <c r="H1100" s="6">
        <v>37.700000000000003</v>
      </c>
      <c r="I1100">
        <v>-123.0167</v>
      </c>
      <c r="J1100" s="6">
        <v>1993</v>
      </c>
      <c r="K1100" s="6">
        <v>2017</v>
      </c>
      <c r="L1100" s="6">
        <f t="shared" si="48"/>
        <v>25</v>
      </c>
      <c r="M1100" t="s">
        <v>2036</v>
      </c>
      <c r="N1100" t="s">
        <v>368</v>
      </c>
      <c r="O1100" t="s">
        <v>3476</v>
      </c>
      <c r="P1100" t="s">
        <v>3631</v>
      </c>
      <c r="Q1100" t="s">
        <v>1162</v>
      </c>
      <c r="R1100" t="s">
        <v>3626</v>
      </c>
      <c r="V1100">
        <v>2.5476999999999999</v>
      </c>
      <c r="W1100" t="s">
        <v>2058</v>
      </c>
      <c r="X1100" t="s">
        <v>2041</v>
      </c>
      <c r="Z1100" t="str">
        <f t="shared" si="47"/>
        <v>Y</v>
      </c>
      <c r="AA1100" t="s">
        <v>2054</v>
      </c>
      <c r="AB1100" t="s">
        <v>3632</v>
      </c>
      <c r="AC1100" t="s">
        <v>3625</v>
      </c>
    </row>
    <row r="1101" spans="2:29">
      <c r="B1101" t="s">
        <v>393</v>
      </c>
      <c r="C1101" t="s">
        <v>3620</v>
      </c>
      <c r="D1101" s="2" t="s">
        <v>3621</v>
      </c>
      <c r="E1101">
        <v>2021</v>
      </c>
      <c r="F1101" t="s">
        <v>3622</v>
      </c>
      <c r="G1101" t="s">
        <v>2035</v>
      </c>
      <c r="H1101" s="6">
        <v>37.700000000000003</v>
      </c>
      <c r="I1101">
        <v>-123.0167</v>
      </c>
      <c r="J1101" s="6">
        <v>1993</v>
      </c>
      <c r="K1101" s="6">
        <v>2017</v>
      </c>
      <c r="L1101" s="6">
        <f t="shared" si="48"/>
        <v>25</v>
      </c>
      <c r="M1101" t="s">
        <v>2036</v>
      </c>
      <c r="N1101" t="s">
        <v>368</v>
      </c>
      <c r="O1101" t="s">
        <v>3476</v>
      </c>
      <c r="P1101" t="s">
        <v>3633</v>
      </c>
      <c r="Q1101" t="s">
        <v>1162</v>
      </c>
      <c r="R1101" t="s">
        <v>3624</v>
      </c>
      <c r="V1101">
        <v>-2.1943999999999999</v>
      </c>
      <c r="W1101" t="s">
        <v>2041</v>
      </c>
      <c r="X1101" t="s">
        <v>2041</v>
      </c>
      <c r="Z1101" t="str">
        <f t="shared" si="47"/>
        <v>Y</v>
      </c>
      <c r="AA1101" t="s">
        <v>2054</v>
      </c>
      <c r="AB1101" t="s">
        <v>3527</v>
      </c>
      <c r="AC1101" t="s">
        <v>3625</v>
      </c>
    </row>
    <row r="1102" spans="2:29">
      <c r="B1102" t="s">
        <v>393</v>
      </c>
      <c r="C1102" t="s">
        <v>3620</v>
      </c>
      <c r="D1102" s="2" t="s">
        <v>3621</v>
      </c>
      <c r="E1102">
        <v>2021</v>
      </c>
      <c r="F1102" t="s">
        <v>3622</v>
      </c>
      <c r="G1102" t="s">
        <v>2035</v>
      </c>
      <c r="H1102" s="6">
        <v>37.700000000000003</v>
      </c>
      <c r="I1102">
        <v>-123.0167</v>
      </c>
      <c r="J1102" s="6">
        <v>1993</v>
      </c>
      <c r="K1102" s="6">
        <v>2017</v>
      </c>
      <c r="L1102" s="6">
        <f t="shared" si="48"/>
        <v>25</v>
      </c>
      <c r="M1102" t="s">
        <v>2036</v>
      </c>
      <c r="N1102" t="s">
        <v>368</v>
      </c>
      <c r="O1102" t="s">
        <v>3476</v>
      </c>
      <c r="P1102" t="s">
        <v>3633</v>
      </c>
      <c r="Q1102" t="s">
        <v>1162</v>
      </c>
      <c r="R1102" t="s">
        <v>3626</v>
      </c>
      <c r="V1102">
        <v>-2.0375999999999999</v>
      </c>
      <c r="W1102" t="s">
        <v>2041</v>
      </c>
      <c r="X1102" t="s">
        <v>2041</v>
      </c>
      <c r="Z1102" t="str">
        <f t="shared" si="47"/>
        <v>Y</v>
      </c>
      <c r="AA1102" t="s">
        <v>2054</v>
      </c>
      <c r="AB1102" t="s">
        <v>3632</v>
      </c>
      <c r="AC1102" t="s">
        <v>3625</v>
      </c>
    </row>
    <row r="1103" spans="2:29">
      <c r="B1103" t="s">
        <v>393</v>
      </c>
      <c r="C1103" t="s">
        <v>3634</v>
      </c>
      <c r="D1103" s="2" t="s">
        <v>3635</v>
      </c>
      <c r="E1103">
        <v>2011</v>
      </c>
      <c r="F1103" t="s">
        <v>3636</v>
      </c>
      <c r="G1103" t="s">
        <v>2035</v>
      </c>
      <c r="H1103" s="6">
        <v>59.807907</v>
      </c>
      <c r="I1103" s="6">
        <v>-149.689752</v>
      </c>
      <c r="J1103" s="6">
        <v>1979</v>
      </c>
      <c r="K1103" s="6">
        <v>2009</v>
      </c>
      <c r="L1103" s="6">
        <f t="shared" si="48"/>
        <v>31</v>
      </c>
      <c r="M1103" t="s">
        <v>2148</v>
      </c>
      <c r="N1103" t="s">
        <v>368</v>
      </c>
      <c r="O1103" t="s">
        <v>3503</v>
      </c>
      <c r="P1103" t="s">
        <v>3637</v>
      </c>
      <c r="Q1103" t="s">
        <v>3638</v>
      </c>
      <c r="R1103" t="s">
        <v>3639</v>
      </c>
      <c r="V1103">
        <v>-2.375</v>
      </c>
      <c r="W1103" t="s">
        <v>2041</v>
      </c>
      <c r="X1103" t="s">
        <v>2041</v>
      </c>
      <c r="Z1103" t="str">
        <f t="shared" si="47"/>
        <v>Y</v>
      </c>
      <c r="AA1103" t="s">
        <v>3283</v>
      </c>
      <c r="AB1103" t="s">
        <v>3618</v>
      </c>
      <c r="AC1103" t="s">
        <v>3528</v>
      </c>
    </row>
    <row r="1104" spans="2:29">
      <c r="B1104" t="s">
        <v>393</v>
      </c>
      <c r="C1104" t="s">
        <v>3640</v>
      </c>
      <c r="D1104" s="2" t="s">
        <v>3641</v>
      </c>
      <c r="E1104">
        <v>2001</v>
      </c>
      <c r="F1104" t="s">
        <v>3642</v>
      </c>
      <c r="G1104" t="s">
        <v>2035</v>
      </c>
      <c r="H1104" s="6">
        <v>56.5</v>
      </c>
      <c r="I1104" s="6">
        <v>-154.66999999999999</v>
      </c>
      <c r="J1104" s="6">
        <v>1964</v>
      </c>
      <c r="K1104" s="6">
        <v>1998</v>
      </c>
      <c r="L1104" s="6">
        <f t="shared" si="48"/>
        <v>35</v>
      </c>
      <c r="M1104" t="s">
        <v>3569</v>
      </c>
      <c r="N1104" t="s">
        <v>368</v>
      </c>
      <c r="O1104" t="s">
        <v>3503</v>
      </c>
      <c r="P1104" t="s">
        <v>3637</v>
      </c>
      <c r="Q1104" t="s">
        <v>3638</v>
      </c>
      <c r="R1104" t="s">
        <v>3639</v>
      </c>
      <c r="V1104">
        <v>-2.8</v>
      </c>
      <c r="W1104" t="s">
        <v>2041</v>
      </c>
      <c r="X1104" t="s">
        <v>2041</v>
      </c>
      <c r="Z1104" t="str">
        <f t="shared" si="47"/>
        <v>Y</v>
      </c>
      <c r="AA1104" t="s">
        <v>3283</v>
      </c>
      <c r="AB1104" t="s">
        <v>3618</v>
      </c>
      <c r="AC1104" t="s">
        <v>493</v>
      </c>
    </row>
    <row r="1105" spans="2:29">
      <c r="B1105" t="s">
        <v>393</v>
      </c>
      <c r="C1105" t="s">
        <v>3643</v>
      </c>
      <c r="D1105" s="2" t="s">
        <v>3644</v>
      </c>
      <c r="E1105">
        <v>2025</v>
      </c>
      <c r="F1105" t="s">
        <v>3645</v>
      </c>
      <c r="G1105" t="s">
        <v>3607</v>
      </c>
      <c r="H1105" s="6">
        <v>-26.481999999999999</v>
      </c>
      <c r="I1105" s="6">
        <v>153.096</v>
      </c>
      <c r="J1105" s="6">
        <v>2003</v>
      </c>
      <c r="K1105" s="6">
        <v>2024</v>
      </c>
      <c r="L1105" s="6">
        <f t="shared" si="48"/>
        <v>22</v>
      </c>
      <c r="M1105" t="s">
        <v>3646</v>
      </c>
      <c r="N1105" t="s">
        <v>368</v>
      </c>
      <c r="O1105" t="s">
        <v>3476</v>
      </c>
      <c r="P1105" t="s">
        <v>3647</v>
      </c>
      <c r="Q1105" t="s">
        <v>3623</v>
      </c>
      <c r="R1105" t="s">
        <v>3648</v>
      </c>
      <c r="V1105">
        <v>-9.7392000000000003</v>
      </c>
      <c r="W1105" t="s">
        <v>2041</v>
      </c>
      <c r="X1105" t="s">
        <v>2041</v>
      </c>
      <c r="Z1105" t="str">
        <f t="shared" si="47"/>
        <v>Y</v>
      </c>
      <c r="AA1105" t="s">
        <v>3283</v>
      </c>
      <c r="AB1105" t="s">
        <v>3649</v>
      </c>
      <c r="AC1105" t="s">
        <v>1682</v>
      </c>
    </row>
    <row r="1106" spans="2:29">
      <c r="B1106" t="s">
        <v>393</v>
      </c>
      <c r="C1106" t="s">
        <v>3650</v>
      </c>
      <c r="D1106" s="2" t="s">
        <v>3651</v>
      </c>
      <c r="E1106">
        <v>2025</v>
      </c>
      <c r="F1106" t="s">
        <v>3652</v>
      </c>
      <c r="G1106" t="s">
        <v>2035</v>
      </c>
      <c r="H1106" s="6">
        <v>35.549999999999997</v>
      </c>
      <c r="I1106" s="6">
        <v>33.78</v>
      </c>
      <c r="J1106" s="6">
        <v>1992</v>
      </c>
      <c r="K1106" s="6">
        <v>2022</v>
      </c>
      <c r="L1106" s="6">
        <f t="shared" si="48"/>
        <v>31</v>
      </c>
      <c r="M1106" t="s">
        <v>2036</v>
      </c>
      <c r="N1106" t="s">
        <v>2429</v>
      </c>
      <c r="O1106" t="s">
        <v>2533</v>
      </c>
      <c r="P1106" t="s">
        <v>3653</v>
      </c>
      <c r="Q1106" t="s">
        <v>3654</v>
      </c>
      <c r="R1106" t="s">
        <v>3655</v>
      </c>
      <c r="V1106">
        <v>5.0500000000000003E-2</v>
      </c>
      <c r="W1106" t="s">
        <v>2058</v>
      </c>
      <c r="X1106" t="s">
        <v>2058</v>
      </c>
      <c r="Z1106" t="str">
        <f t="shared" si="47"/>
        <v>Y</v>
      </c>
      <c r="AA1106" t="s">
        <v>2054</v>
      </c>
      <c r="AB1106" t="s">
        <v>3656</v>
      </c>
      <c r="AC1106" t="s">
        <v>3528</v>
      </c>
    </row>
    <row r="1107" spans="2:29">
      <c r="B1107" t="s">
        <v>393</v>
      </c>
      <c r="C1107" t="s">
        <v>3650</v>
      </c>
      <c r="D1107" s="2" t="s">
        <v>3651</v>
      </c>
      <c r="E1107">
        <v>2025</v>
      </c>
      <c r="F1107" t="s">
        <v>3652</v>
      </c>
      <c r="G1107" t="s">
        <v>2035</v>
      </c>
      <c r="H1107" s="6">
        <v>35.549999999999997</v>
      </c>
      <c r="I1107" s="6">
        <v>33.78</v>
      </c>
      <c r="J1107" s="6">
        <v>1992</v>
      </c>
      <c r="K1107" s="6">
        <v>2022</v>
      </c>
      <c r="L1107" s="6">
        <f t="shared" si="48"/>
        <v>31</v>
      </c>
      <c r="M1107" t="s">
        <v>2036</v>
      </c>
      <c r="N1107" t="s">
        <v>2429</v>
      </c>
      <c r="O1107" t="s">
        <v>2533</v>
      </c>
      <c r="P1107" t="s">
        <v>3653</v>
      </c>
      <c r="Q1107" t="s">
        <v>3654</v>
      </c>
      <c r="R1107" t="s">
        <v>3657</v>
      </c>
      <c r="V1107">
        <v>-4.3513999999999999</v>
      </c>
      <c r="W1107" t="s">
        <v>2041</v>
      </c>
      <c r="X1107" t="s">
        <v>2041</v>
      </c>
      <c r="Z1107" t="str">
        <f t="shared" si="47"/>
        <v>Y</v>
      </c>
      <c r="AA1107" t="s">
        <v>2054</v>
      </c>
      <c r="AB1107" t="s">
        <v>3656</v>
      </c>
      <c r="AC1107" t="s">
        <v>3528</v>
      </c>
    </row>
    <row r="1108" spans="2:29">
      <c r="B1108" t="s">
        <v>393</v>
      </c>
      <c r="C1108" t="s">
        <v>3650</v>
      </c>
      <c r="D1108" s="2" t="s">
        <v>3651</v>
      </c>
      <c r="E1108">
        <v>2025</v>
      </c>
      <c r="F1108" t="s">
        <v>3652</v>
      </c>
      <c r="G1108" t="s">
        <v>2035</v>
      </c>
      <c r="H1108" s="6">
        <v>35.549999999999997</v>
      </c>
      <c r="I1108" s="6">
        <v>33.78</v>
      </c>
      <c r="J1108" s="6">
        <v>1992</v>
      </c>
      <c r="K1108" s="6">
        <v>2022</v>
      </c>
      <c r="L1108" s="6">
        <f t="shared" si="48"/>
        <v>31</v>
      </c>
      <c r="M1108" t="s">
        <v>2036</v>
      </c>
      <c r="N1108" t="s">
        <v>2429</v>
      </c>
      <c r="O1108" t="s">
        <v>2533</v>
      </c>
      <c r="P1108" t="s">
        <v>3653</v>
      </c>
      <c r="Q1108" t="s">
        <v>3654</v>
      </c>
      <c r="R1108" t="s">
        <v>3658</v>
      </c>
      <c r="V1108">
        <v>-9.3863000000000003</v>
      </c>
      <c r="W1108" t="s">
        <v>2041</v>
      </c>
      <c r="X1108" t="s">
        <v>2041</v>
      </c>
      <c r="Z1108" t="str">
        <f t="shared" si="47"/>
        <v>Y</v>
      </c>
      <c r="AA1108" t="s">
        <v>2054</v>
      </c>
      <c r="AB1108" t="s">
        <v>3656</v>
      </c>
      <c r="AC1108" t="s">
        <v>3528</v>
      </c>
    </row>
    <row r="1109" spans="2:29">
      <c r="B1109" t="s">
        <v>393</v>
      </c>
      <c r="C1109" t="s">
        <v>3659</v>
      </c>
      <c r="D1109" s="2" t="s">
        <v>3660</v>
      </c>
      <c r="E1109">
        <v>2025</v>
      </c>
      <c r="F1109" t="s">
        <v>3661</v>
      </c>
      <c r="G1109" t="s">
        <v>2035</v>
      </c>
      <c r="H1109" s="6">
        <v>35.5</v>
      </c>
      <c r="I1109" s="6">
        <v>33.799999999999997</v>
      </c>
      <c r="J1109" s="6">
        <v>1993</v>
      </c>
      <c r="K1109" s="6">
        <v>2021</v>
      </c>
      <c r="L1109" s="6">
        <f t="shared" si="48"/>
        <v>29</v>
      </c>
      <c r="M1109" t="s">
        <v>2036</v>
      </c>
      <c r="N1109" t="s">
        <v>2429</v>
      </c>
      <c r="O1109" t="s">
        <v>2533</v>
      </c>
      <c r="P1109" t="s">
        <v>2919</v>
      </c>
      <c r="Q1109" t="s">
        <v>2914</v>
      </c>
      <c r="R1109" t="s">
        <v>3662</v>
      </c>
      <c r="V1109">
        <v>-2.2999999999999998</v>
      </c>
      <c r="W1109" t="s">
        <v>2041</v>
      </c>
      <c r="X1109" t="s">
        <v>2041</v>
      </c>
      <c r="Z1109" t="str">
        <f t="shared" si="47"/>
        <v>Y</v>
      </c>
      <c r="AA1109" t="s">
        <v>2054</v>
      </c>
      <c r="AB1109" t="s">
        <v>3656</v>
      </c>
      <c r="AC1109" t="s">
        <v>3663</v>
      </c>
    </row>
    <row r="1110" spans="2:29">
      <c r="B1110" t="s">
        <v>393</v>
      </c>
      <c r="C1110" t="s">
        <v>3659</v>
      </c>
      <c r="D1110" s="2" t="s">
        <v>3660</v>
      </c>
      <c r="E1110">
        <v>2025</v>
      </c>
      <c r="F1110" t="s">
        <v>3661</v>
      </c>
      <c r="G1110" t="s">
        <v>2035</v>
      </c>
      <c r="H1110" s="6">
        <v>35.5</v>
      </c>
      <c r="I1110" s="6">
        <v>33.799999999999997</v>
      </c>
      <c r="J1110" s="6">
        <v>1993</v>
      </c>
      <c r="K1110" s="6">
        <v>2021</v>
      </c>
      <c r="L1110" s="6">
        <f t="shared" si="48"/>
        <v>29</v>
      </c>
      <c r="M1110" t="s">
        <v>2036</v>
      </c>
      <c r="N1110" t="s">
        <v>2429</v>
      </c>
      <c r="O1110" t="s">
        <v>2533</v>
      </c>
      <c r="P1110" t="s">
        <v>2919</v>
      </c>
      <c r="Q1110" t="s">
        <v>2914</v>
      </c>
      <c r="R1110" t="s">
        <v>3664</v>
      </c>
      <c r="V1110">
        <v>-7.8</v>
      </c>
      <c r="W1110" t="s">
        <v>2041</v>
      </c>
      <c r="X1110" t="s">
        <v>2041</v>
      </c>
      <c r="Z1110" t="str">
        <f t="shared" si="47"/>
        <v>Y</v>
      </c>
      <c r="AA1110" t="s">
        <v>2054</v>
      </c>
      <c r="AB1110" t="s">
        <v>3656</v>
      </c>
      <c r="AC1110" t="s">
        <v>3663</v>
      </c>
    </row>
    <row r="1111" spans="2:29">
      <c r="B1111" t="s">
        <v>393</v>
      </c>
      <c r="C1111" t="s">
        <v>3665</v>
      </c>
      <c r="D1111" s="2" t="s">
        <v>3666</v>
      </c>
      <c r="E1111">
        <v>2025</v>
      </c>
      <c r="F1111" t="s">
        <v>3667</v>
      </c>
      <c r="G1111" t="s">
        <v>2035</v>
      </c>
      <c r="H1111" s="6">
        <v>27.7</v>
      </c>
      <c r="I1111" s="6">
        <v>-81.5</v>
      </c>
      <c r="J1111" s="6">
        <v>2001</v>
      </c>
      <c r="K1111" s="6">
        <v>2022</v>
      </c>
      <c r="L1111" s="6">
        <f t="shared" si="48"/>
        <v>22</v>
      </c>
      <c r="M1111" t="s">
        <v>2036</v>
      </c>
      <c r="N1111" t="s">
        <v>2429</v>
      </c>
      <c r="O1111" t="s">
        <v>2533</v>
      </c>
      <c r="P1111" t="s">
        <v>2919</v>
      </c>
      <c r="Q1111" t="s">
        <v>2914</v>
      </c>
      <c r="R1111" t="s">
        <v>3668</v>
      </c>
      <c r="V1111">
        <v>-1.63</v>
      </c>
      <c r="W1111" t="s">
        <v>2041</v>
      </c>
      <c r="X1111" t="s">
        <v>2041</v>
      </c>
      <c r="Z1111" t="str">
        <f t="shared" si="47"/>
        <v>Y</v>
      </c>
      <c r="AA1111" t="s">
        <v>3289</v>
      </c>
      <c r="AB1111" t="s">
        <v>3669</v>
      </c>
      <c r="AC1111" t="s">
        <v>3528</v>
      </c>
    </row>
    <row r="1112" spans="2:29">
      <c r="B1112" t="s">
        <v>393</v>
      </c>
      <c r="C1112" t="s">
        <v>3665</v>
      </c>
      <c r="D1112" s="2" t="s">
        <v>3666</v>
      </c>
      <c r="E1112">
        <v>2025</v>
      </c>
      <c r="F1112" t="s">
        <v>3670</v>
      </c>
      <c r="G1112" t="s">
        <v>2035</v>
      </c>
      <c r="H1112" s="6">
        <v>27.7</v>
      </c>
      <c r="I1112" s="6">
        <v>-81.5</v>
      </c>
      <c r="J1112" s="6">
        <v>2001</v>
      </c>
      <c r="K1112" s="6">
        <v>2022</v>
      </c>
      <c r="L1112" s="6">
        <f t="shared" si="48"/>
        <v>22</v>
      </c>
      <c r="M1112" t="s">
        <v>2036</v>
      </c>
      <c r="N1112" t="s">
        <v>2429</v>
      </c>
      <c r="O1112" t="s">
        <v>2533</v>
      </c>
      <c r="P1112" t="s">
        <v>2919</v>
      </c>
      <c r="Q1112" t="s">
        <v>2914</v>
      </c>
      <c r="R1112" t="s">
        <v>3668</v>
      </c>
      <c r="V1112">
        <v>0.32</v>
      </c>
      <c r="W1112" t="s">
        <v>2058</v>
      </c>
      <c r="X1112" t="s">
        <v>2041</v>
      </c>
      <c r="Z1112" t="str">
        <f t="shared" si="47"/>
        <v>Y</v>
      </c>
      <c r="AA1112" t="s">
        <v>3289</v>
      </c>
      <c r="AB1112" t="s">
        <v>3669</v>
      </c>
      <c r="AC1112" t="s">
        <v>3528</v>
      </c>
    </row>
    <row r="1113" spans="2:29">
      <c r="B1113" t="s">
        <v>393</v>
      </c>
      <c r="C1113" t="s">
        <v>3665</v>
      </c>
      <c r="D1113" s="2" t="s">
        <v>3666</v>
      </c>
      <c r="E1113">
        <v>2025</v>
      </c>
      <c r="F1113" t="s">
        <v>3671</v>
      </c>
      <c r="G1113" t="s">
        <v>2035</v>
      </c>
      <c r="H1113" s="6">
        <v>27.7</v>
      </c>
      <c r="I1113" s="6">
        <v>-81.5</v>
      </c>
      <c r="J1113" s="6">
        <v>2001</v>
      </c>
      <c r="K1113" s="6">
        <v>2022</v>
      </c>
      <c r="L1113" s="6">
        <f t="shared" si="48"/>
        <v>22</v>
      </c>
      <c r="M1113" t="s">
        <v>2036</v>
      </c>
      <c r="N1113" t="s">
        <v>2429</v>
      </c>
      <c r="O1113" t="s">
        <v>2533</v>
      </c>
      <c r="P1113" t="s">
        <v>2919</v>
      </c>
      <c r="Q1113" t="s">
        <v>2914</v>
      </c>
      <c r="R1113" t="s">
        <v>3668</v>
      </c>
      <c r="V1113">
        <v>-0.13</v>
      </c>
      <c r="W1113" t="s">
        <v>2041</v>
      </c>
      <c r="X1113" t="s">
        <v>2041</v>
      </c>
      <c r="Z1113" t="str">
        <f t="shared" si="47"/>
        <v>Y</v>
      </c>
      <c r="AA1113" t="s">
        <v>3289</v>
      </c>
      <c r="AB1113" t="s">
        <v>3669</v>
      </c>
      <c r="AC1113" t="s">
        <v>3528</v>
      </c>
    </row>
    <row r="1114" spans="2:29">
      <c r="B1114" t="s">
        <v>393</v>
      </c>
      <c r="C1114" t="s">
        <v>3665</v>
      </c>
      <c r="D1114" s="2" t="s">
        <v>3666</v>
      </c>
      <c r="E1114">
        <v>2025</v>
      </c>
      <c r="F1114" t="s">
        <v>3672</v>
      </c>
      <c r="G1114" t="s">
        <v>2035</v>
      </c>
      <c r="H1114" s="6">
        <v>27.7</v>
      </c>
      <c r="I1114" s="6">
        <v>-81.5</v>
      </c>
      <c r="J1114" s="6">
        <v>2001</v>
      </c>
      <c r="K1114" s="6">
        <v>2022</v>
      </c>
      <c r="L1114" s="6">
        <f t="shared" si="48"/>
        <v>22</v>
      </c>
      <c r="M1114" t="s">
        <v>2036</v>
      </c>
      <c r="N1114" t="s">
        <v>2429</v>
      </c>
      <c r="O1114" t="s">
        <v>2533</v>
      </c>
      <c r="P1114" t="s">
        <v>2919</v>
      </c>
      <c r="Q1114" t="s">
        <v>2914</v>
      </c>
      <c r="R1114" t="s">
        <v>3668</v>
      </c>
      <c r="V1114">
        <v>-1.36</v>
      </c>
      <c r="W1114" t="s">
        <v>2041</v>
      </c>
      <c r="X1114" t="s">
        <v>2041</v>
      </c>
      <c r="Z1114" t="str">
        <f t="shared" si="47"/>
        <v>Y</v>
      </c>
      <c r="AA1114" t="s">
        <v>3289</v>
      </c>
      <c r="AB1114" t="s">
        <v>3669</v>
      </c>
      <c r="AC1114" t="s">
        <v>3528</v>
      </c>
    </row>
    <row r="1115" spans="2:29">
      <c r="B1115" t="s">
        <v>393</v>
      </c>
      <c r="C1115" t="s">
        <v>3665</v>
      </c>
      <c r="D1115" s="2" t="s">
        <v>3666</v>
      </c>
      <c r="E1115">
        <v>2025</v>
      </c>
      <c r="F1115" t="s">
        <v>3673</v>
      </c>
      <c r="G1115" t="s">
        <v>2035</v>
      </c>
      <c r="H1115" s="6">
        <v>27.7</v>
      </c>
      <c r="I1115" s="6">
        <v>-81.5</v>
      </c>
      <c r="J1115" s="6">
        <v>2001</v>
      </c>
      <c r="K1115" s="6">
        <v>2022</v>
      </c>
      <c r="L1115" s="6">
        <f t="shared" si="48"/>
        <v>22</v>
      </c>
      <c r="M1115" t="s">
        <v>2036</v>
      </c>
      <c r="N1115" t="s">
        <v>2429</v>
      </c>
      <c r="O1115" t="s">
        <v>2533</v>
      </c>
      <c r="P1115" t="s">
        <v>2919</v>
      </c>
      <c r="Q1115" t="s">
        <v>2914</v>
      </c>
      <c r="R1115" t="s">
        <v>3668</v>
      </c>
      <c r="V1115">
        <v>-0.99</v>
      </c>
      <c r="W1115" t="s">
        <v>2041</v>
      </c>
      <c r="X1115" t="s">
        <v>2041</v>
      </c>
      <c r="Z1115" t="str">
        <f t="shared" si="47"/>
        <v>Y</v>
      </c>
      <c r="AA1115" t="s">
        <v>3289</v>
      </c>
      <c r="AB1115" t="s">
        <v>3669</v>
      </c>
      <c r="AC1115" t="s">
        <v>3528</v>
      </c>
    </row>
    <row r="1116" spans="2:29">
      <c r="B1116" t="s">
        <v>393</v>
      </c>
      <c r="C1116" t="s">
        <v>3665</v>
      </c>
      <c r="D1116" s="2" t="s">
        <v>3666</v>
      </c>
      <c r="E1116">
        <v>2025</v>
      </c>
      <c r="F1116" t="s">
        <v>3674</v>
      </c>
      <c r="G1116" t="s">
        <v>2035</v>
      </c>
      <c r="H1116" s="6">
        <v>27.7</v>
      </c>
      <c r="I1116" s="6">
        <v>-81.5</v>
      </c>
      <c r="J1116" s="6">
        <v>2001</v>
      </c>
      <c r="K1116" s="6">
        <v>2022</v>
      </c>
      <c r="L1116" s="6">
        <f t="shared" si="48"/>
        <v>22</v>
      </c>
      <c r="M1116" t="s">
        <v>2036</v>
      </c>
      <c r="N1116" t="s">
        <v>2429</v>
      </c>
      <c r="O1116" t="s">
        <v>2533</v>
      </c>
      <c r="P1116" t="s">
        <v>2919</v>
      </c>
      <c r="Q1116" t="s">
        <v>2914</v>
      </c>
      <c r="R1116" t="s">
        <v>3668</v>
      </c>
      <c r="V1116">
        <v>-0.81</v>
      </c>
      <c r="W1116" t="s">
        <v>2041</v>
      </c>
      <c r="X1116" t="s">
        <v>2041</v>
      </c>
      <c r="Z1116" t="str">
        <f t="shared" si="47"/>
        <v>Y</v>
      </c>
      <c r="AA1116" t="s">
        <v>3289</v>
      </c>
      <c r="AB1116" t="s">
        <v>3669</v>
      </c>
      <c r="AC1116" t="s">
        <v>3528</v>
      </c>
    </row>
    <row r="1117" spans="2:29">
      <c r="B1117" t="s">
        <v>393</v>
      </c>
      <c r="C1117" t="s">
        <v>3665</v>
      </c>
      <c r="D1117" s="2" t="s">
        <v>3666</v>
      </c>
      <c r="E1117">
        <v>2025</v>
      </c>
      <c r="F1117" t="s">
        <v>3672</v>
      </c>
      <c r="G1117" t="s">
        <v>2035</v>
      </c>
      <c r="H1117" s="6">
        <v>27.7</v>
      </c>
      <c r="I1117" s="6">
        <v>-81.5</v>
      </c>
      <c r="J1117" s="6">
        <v>2001</v>
      </c>
      <c r="K1117" s="6">
        <v>2022</v>
      </c>
      <c r="L1117" s="6">
        <f t="shared" si="48"/>
        <v>22</v>
      </c>
      <c r="M1117" t="s">
        <v>2036</v>
      </c>
      <c r="N1117" t="s">
        <v>2429</v>
      </c>
      <c r="O1117" t="s">
        <v>2533</v>
      </c>
      <c r="P1117" t="s">
        <v>3653</v>
      </c>
      <c r="Q1117" t="s">
        <v>3654</v>
      </c>
      <c r="R1117" t="s">
        <v>3668</v>
      </c>
      <c r="V1117">
        <v>-2.86</v>
      </c>
      <c r="W1117" t="s">
        <v>2041</v>
      </c>
      <c r="X1117" t="s">
        <v>2041</v>
      </c>
      <c r="Z1117" t="str">
        <f t="shared" si="47"/>
        <v>Y</v>
      </c>
      <c r="AA1117" t="s">
        <v>3289</v>
      </c>
      <c r="AB1117" t="s">
        <v>3669</v>
      </c>
      <c r="AC1117" t="s">
        <v>1682</v>
      </c>
    </row>
    <row r="1118" spans="2:29">
      <c r="B1118" t="s">
        <v>393</v>
      </c>
      <c r="C1118" t="s">
        <v>3665</v>
      </c>
      <c r="D1118" s="2" t="s">
        <v>3666</v>
      </c>
      <c r="E1118">
        <v>2025</v>
      </c>
      <c r="F1118" t="s">
        <v>3674</v>
      </c>
      <c r="G1118" t="s">
        <v>2035</v>
      </c>
      <c r="H1118" s="6">
        <v>27.7</v>
      </c>
      <c r="I1118" s="6">
        <v>-81.5</v>
      </c>
      <c r="J1118" s="6">
        <v>2001</v>
      </c>
      <c r="K1118" s="6">
        <v>2022</v>
      </c>
      <c r="L1118" s="6">
        <f t="shared" si="48"/>
        <v>22</v>
      </c>
      <c r="M1118" t="s">
        <v>2036</v>
      </c>
      <c r="N1118" t="s">
        <v>2429</v>
      </c>
      <c r="O1118" t="s">
        <v>2533</v>
      </c>
      <c r="P1118" t="s">
        <v>3653</v>
      </c>
      <c r="Q1118" t="s">
        <v>3654</v>
      </c>
      <c r="R1118" t="s">
        <v>3668</v>
      </c>
      <c r="V1118">
        <v>-1.42</v>
      </c>
      <c r="W1118" t="s">
        <v>2041</v>
      </c>
      <c r="X1118" t="s">
        <v>2041</v>
      </c>
      <c r="Z1118" t="str">
        <f t="shared" si="47"/>
        <v>Y</v>
      </c>
      <c r="AA1118" t="s">
        <v>3289</v>
      </c>
      <c r="AB1118" t="s">
        <v>3669</v>
      </c>
      <c r="AC1118" t="s">
        <v>1682</v>
      </c>
    </row>
    <row r="1119" spans="2:29">
      <c r="B1119" t="s">
        <v>393</v>
      </c>
      <c r="C1119" t="s">
        <v>3665</v>
      </c>
      <c r="D1119" s="2" t="s">
        <v>3666</v>
      </c>
      <c r="E1119">
        <v>2025</v>
      </c>
      <c r="F1119" t="s">
        <v>3675</v>
      </c>
      <c r="G1119" t="s">
        <v>2035</v>
      </c>
      <c r="H1119" s="6">
        <v>27.7</v>
      </c>
      <c r="I1119" s="6">
        <v>-81.5</v>
      </c>
      <c r="J1119" s="6">
        <v>2001</v>
      </c>
      <c r="K1119" s="6">
        <v>2022</v>
      </c>
      <c r="L1119" s="6">
        <f t="shared" si="48"/>
        <v>22</v>
      </c>
      <c r="M1119" t="s">
        <v>2036</v>
      </c>
      <c r="N1119" t="s">
        <v>2429</v>
      </c>
      <c r="O1119" t="s">
        <v>2533</v>
      </c>
      <c r="P1119" t="s">
        <v>3676</v>
      </c>
      <c r="Q1119" t="s">
        <v>3677</v>
      </c>
      <c r="R1119" t="s">
        <v>3668</v>
      </c>
      <c r="V1119">
        <v>0.38</v>
      </c>
      <c r="W1119" t="s">
        <v>2041</v>
      </c>
      <c r="X1119" t="s">
        <v>2041</v>
      </c>
      <c r="Z1119" t="str">
        <f t="shared" si="47"/>
        <v>Y</v>
      </c>
      <c r="AA1119" t="s">
        <v>3289</v>
      </c>
      <c r="AB1119" t="s">
        <v>3669</v>
      </c>
      <c r="AC1119" t="s">
        <v>1048</v>
      </c>
    </row>
    <row r="1120" spans="2:29">
      <c r="B1120" t="s">
        <v>393</v>
      </c>
      <c r="C1120" t="s">
        <v>3678</v>
      </c>
      <c r="D1120" s="2" t="s">
        <v>3679</v>
      </c>
      <c r="E1120">
        <v>2016</v>
      </c>
      <c r="F1120" t="s">
        <v>3680</v>
      </c>
      <c r="G1120" t="s">
        <v>2035</v>
      </c>
      <c r="H1120" s="6">
        <v>37.799999999999997</v>
      </c>
      <c r="I1120" s="6">
        <v>20.8</v>
      </c>
      <c r="J1120" s="6">
        <v>1984</v>
      </c>
      <c r="K1120" s="6">
        <v>2009</v>
      </c>
      <c r="L1120" s="6">
        <f t="shared" si="48"/>
        <v>26</v>
      </c>
      <c r="M1120" t="s">
        <v>2036</v>
      </c>
      <c r="N1120" t="s">
        <v>2429</v>
      </c>
      <c r="O1120" t="s">
        <v>2533</v>
      </c>
      <c r="P1120" t="s">
        <v>2919</v>
      </c>
      <c r="Q1120" t="s">
        <v>2914</v>
      </c>
      <c r="R1120" t="s">
        <v>3681</v>
      </c>
      <c r="V1120">
        <v>-4.9000000000000004</v>
      </c>
      <c r="W1120" t="s">
        <v>2041</v>
      </c>
      <c r="X1120" t="s">
        <v>2041</v>
      </c>
      <c r="Z1120" t="str">
        <f t="shared" si="47"/>
        <v>Y</v>
      </c>
      <c r="AA1120" t="s">
        <v>3289</v>
      </c>
      <c r="AB1120" t="s">
        <v>3682</v>
      </c>
      <c r="AC1120" t="s">
        <v>3683</v>
      </c>
    </row>
    <row r="1121" spans="2:33">
      <c r="B1121" t="s">
        <v>393</v>
      </c>
      <c r="C1121" t="s">
        <v>3684</v>
      </c>
      <c r="D1121" s="2" t="s">
        <v>3685</v>
      </c>
      <c r="E1121">
        <v>2014</v>
      </c>
      <c r="F1121" t="s">
        <v>3686</v>
      </c>
      <c r="G1121" t="s">
        <v>2035</v>
      </c>
      <c r="H1121" s="6">
        <v>10.32</v>
      </c>
      <c r="I1121" s="6">
        <v>-85.84</v>
      </c>
      <c r="J1121" s="6">
        <v>1993</v>
      </c>
      <c r="K1121" s="6">
        <v>2012</v>
      </c>
      <c r="L1121" s="6">
        <f t="shared" si="48"/>
        <v>20</v>
      </c>
      <c r="M1121" t="s">
        <v>2036</v>
      </c>
      <c r="N1121" t="s">
        <v>2429</v>
      </c>
      <c r="O1121" t="s">
        <v>2533</v>
      </c>
      <c r="P1121" t="s">
        <v>3676</v>
      </c>
      <c r="Q1121" t="s">
        <v>3677</v>
      </c>
      <c r="R1121" t="s">
        <v>3687</v>
      </c>
      <c r="V1121">
        <v>3.1</v>
      </c>
      <c r="W1121" t="s">
        <v>2058</v>
      </c>
      <c r="X1121" t="s">
        <v>2041</v>
      </c>
      <c r="Z1121" t="str">
        <f t="shared" si="47"/>
        <v>Y</v>
      </c>
      <c r="AA1121" t="s">
        <v>3289</v>
      </c>
      <c r="AB1121" t="s">
        <v>3688</v>
      </c>
      <c r="AC1121" t="s">
        <v>3291</v>
      </c>
    </row>
    <row r="1122" spans="2:33">
      <c r="B1122" t="s">
        <v>393</v>
      </c>
      <c r="C1122" t="s">
        <v>3684</v>
      </c>
      <c r="D1122" s="2" t="s">
        <v>3685</v>
      </c>
      <c r="E1122">
        <v>2014</v>
      </c>
      <c r="F1122" t="s">
        <v>3689</v>
      </c>
      <c r="G1122" t="s">
        <v>2035</v>
      </c>
      <c r="H1122" s="6">
        <v>17.68</v>
      </c>
      <c r="I1122" s="6">
        <v>-64.900000000000006</v>
      </c>
      <c r="J1122" s="6">
        <v>1982</v>
      </c>
      <c r="K1122" s="6">
        <v>2010</v>
      </c>
      <c r="L1122" s="6">
        <f t="shared" si="48"/>
        <v>29</v>
      </c>
      <c r="M1122" t="s">
        <v>2036</v>
      </c>
      <c r="N1122" t="s">
        <v>2429</v>
      </c>
      <c r="O1122" t="s">
        <v>2533</v>
      </c>
      <c r="P1122" t="s">
        <v>3676</v>
      </c>
      <c r="Q1122" t="s">
        <v>3677</v>
      </c>
      <c r="R1122" t="s">
        <v>3687</v>
      </c>
      <c r="V1122">
        <v>-1.7</v>
      </c>
      <c r="W1122" t="s">
        <v>2041</v>
      </c>
      <c r="X1122" t="s">
        <v>2041</v>
      </c>
      <c r="Z1122" t="str">
        <f t="shared" si="47"/>
        <v>Y</v>
      </c>
      <c r="AA1122" t="s">
        <v>3289</v>
      </c>
      <c r="AB1122" t="s">
        <v>3688</v>
      </c>
      <c r="AC1122" t="s">
        <v>3291</v>
      </c>
    </row>
    <row r="1123" spans="2:33">
      <c r="B1123" t="s">
        <v>393</v>
      </c>
      <c r="C1123" t="s">
        <v>3643</v>
      </c>
      <c r="D1123" s="2" t="s">
        <v>3644</v>
      </c>
      <c r="E1123">
        <v>2025</v>
      </c>
      <c r="F1123" t="s">
        <v>3645</v>
      </c>
      <c r="G1123" t="s">
        <v>3607</v>
      </c>
      <c r="H1123" s="6">
        <v>-26.481999999999999</v>
      </c>
      <c r="I1123" s="6">
        <v>153.096</v>
      </c>
      <c r="J1123" s="6">
        <v>2003</v>
      </c>
      <c r="K1123" s="6">
        <v>2024</v>
      </c>
      <c r="L1123" s="6">
        <f t="shared" si="48"/>
        <v>22</v>
      </c>
      <c r="M1123" t="s">
        <v>3646</v>
      </c>
      <c r="N1123" t="s">
        <v>368</v>
      </c>
      <c r="O1123" t="s">
        <v>3476</v>
      </c>
      <c r="P1123" t="s">
        <v>3647</v>
      </c>
      <c r="Q1123" t="s">
        <v>3623</v>
      </c>
      <c r="R1123" t="s">
        <v>3690</v>
      </c>
      <c r="V1123">
        <v>-11.161</v>
      </c>
      <c r="W1123" t="s">
        <v>2041</v>
      </c>
      <c r="X1123" t="s">
        <v>2041</v>
      </c>
      <c r="Z1123" t="str">
        <f t="shared" si="47"/>
        <v>Y</v>
      </c>
      <c r="AA1123" t="s">
        <v>3283</v>
      </c>
      <c r="AB1123" t="s">
        <v>3649</v>
      </c>
      <c r="AC1123" t="s">
        <v>1682</v>
      </c>
    </row>
    <row r="1124" spans="2:33">
      <c r="B1124" t="s">
        <v>393</v>
      </c>
      <c r="C1124" t="s">
        <v>3643</v>
      </c>
      <c r="D1124" s="2" t="s">
        <v>3644</v>
      </c>
      <c r="E1124">
        <v>2025</v>
      </c>
      <c r="F1124" t="s">
        <v>3645</v>
      </c>
      <c r="G1124" t="s">
        <v>3607</v>
      </c>
      <c r="H1124" s="6">
        <v>-26.481999999999999</v>
      </c>
      <c r="I1124" s="6">
        <v>153.096</v>
      </c>
      <c r="J1124" s="6">
        <v>2003</v>
      </c>
      <c r="K1124" s="6">
        <v>2024</v>
      </c>
      <c r="L1124" s="6">
        <f t="shared" si="48"/>
        <v>22</v>
      </c>
      <c r="M1124" t="s">
        <v>3646</v>
      </c>
      <c r="N1124" t="s">
        <v>368</v>
      </c>
      <c r="O1124" t="s">
        <v>3476</v>
      </c>
      <c r="P1124" t="s">
        <v>3647</v>
      </c>
      <c r="Q1124" t="s">
        <v>3623</v>
      </c>
      <c r="R1124" t="s">
        <v>3691</v>
      </c>
      <c r="V1124">
        <v>-9.2127999999999997</v>
      </c>
      <c r="W1124" t="s">
        <v>2041</v>
      </c>
      <c r="X1124" t="s">
        <v>2041</v>
      </c>
      <c r="Z1124" t="str">
        <f t="shared" si="47"/>
        <v>Y</v>
      </c>
      <c r="AA1124" t="s">
        <v>3283</v>
      </c>
      <c r="AB1124" t="s">
        <v>3649</v>
      </c>
      <c r="AC1124" t="s">
        <v>1682</v>
      </c>
    </row>
    <row r="1125" spans="2:33">
      <c r="B1125" t="s">
        <v>393</v>
      </c>
      <c r="C1125" t="s">
        <v>3643</v>
      </c>
      <c r="D1125" s="2" t="s">
        <v>3644</v>
      </c>
      <c r="E1125">
        <v>2025</v>
      </c>
      <c r="F1125" t="s">
        <v>3645</v>
      </c>
      <c r="G1125" t="s">
        <v>3607</v>
      </c>
      <c r="H1125" s="6">
        <v>-26.481999999999999</v>
      </c>
      <c r="I1125" s="6">
        <v>153.096</v>
      </c>
      <c r="J1125" s="6">
        <v>2003</v>
      </c>
      <c r="K1125" s="6">
        <v>2024</v>
      </c>
      <c r="L1125" s="6">
        <f t="shared" si="48"/>
        <v>22</v>
      </c>
      <c r="M1125" t="s">
        <v>3646</v>
      </c>
      <c r="N1125" t="s">
        <v>368</v>
      </c>
      <c r="O1125" t="s">
        <v>3476</v>
      </c>
      <c r="P1125" t="s">
        <v>3647</v>
      </c>
      <c r="Q1125" t="s">
        <v>3623</v>
      </c>
      <c r="R1125" t="s">
        <v>3692</v>
      </c>
      <c r="V1125">
        <v>-7.61</v>
      </c>
      <c r="W1125" t="s">
        <v>2041</v>
      </c>
      <c r="X1125" t="s">
        <v>2041</v>
      </c>
      <c r="Z1125" t="str">
        <f t="shared" si="47"/>
        <v>Y</v>
      </c>
      <c r="AA1125" t="s">
        <v>3283</v>
      </c>
      <c r="AB1125" t="s">
        <v>3649</v>
      </c>
      <c r="AC1125" t="s">
        <v>1682</v>
      </c>
    </row>
    <row r="1126" spans="2:33" ht="15.5">
      <c r="B1126" t="s">
        <v>393</v>
      </c>
      <c r="C1126" t="s">
        <v>3693</v>
      </c>
      <c r="D1126" s="2" t="s">
        <v>3694</v>
      </c>
      <c r="E1126">
        <v>2018</v>
      </c>
      <c r="F1126" t="s">
        <v>2877</v>
      </c>
      <c r="G1126" t="s">
        <v>2035</v>
      </c>
      <c r="H1126" s="6">
        <v>43.5</v>
      </c>
      <c r="I1126" s="6">
        <v>-68.5</v>
      </c>
      <c r="J1126" s="6">
        <v>1998</v>
      </c>
      <c r="K1126" s="6">
        <v>2016</v>
      </c>
      <c r="L1126" s="6">
        <f t="shared" si="48"/>
        <v>19</v>
      </c>
      <c r="M1126" t="s">
        <v>2036</v>
      </c>
      <c r="N1126" t="s">
        <v>368</v>
      </c>
      <c r="O1126" t="s">
        <v>3476</v>
      </c>
      <c r="P1126" t="s">
        <v>3695</v>
      </c>
      <c r="Q1126" s="28" t="s">
        <v>3585</v>
      </c>
      <c r="R1126" t="s">
        <v>3586</v>
      </c>
      <c r="V1126">
        <v>11.31</v>
      </c>
      <c r="W1126" t="s">
        <v>2058</v>
      </c>
      <c r="X1126" t="s">
        <v>2041</v>
      </c>
      <c r="Z1126" t="str">
        <f t="shared" si="47"/>
        <v>Y</v>
      </c>
      <c r="AA1126" t="s">
        <v>3283</v>
      </c>
      <c r="AB1126" t="s">
        <v>3649</v>
      </c>
      <c r="AC1126" t="s">
        <v>3696</v>
      </c>
      <c r="AD1126" t="s">
        <v>3697</v>
      </c>
      <c r="AE1126" t="s">
        <v>3698</v>
      </c>
      <c r="AF1126" t="s">
        <v>3699</v>
      </c>
      <c r="AG1126" t="s">
        <v>3700</v>
      </c>
    </row>
    <row r="1127" spans="2:33">
      <c r="B1127" t="s">
        <v>393</v>
      </c>
      <c r="C1127" t="s">
        <v>3693</v>
      </c>
      <c r="D1127" s="2" t="s">
        <v>3694</v>
      </c>
      <c r="E1127">
        <v>2018</v>
      </c>
      <c r="F1127" t="s">
        <v>2877</v>
      </c>
      <c r="G1127" t="s">
        <v>2035</v>
      </c>
      <c r="H1127" s="6">
        <v>43.5</v>
      </c>
      <c r="I1127" s="6">
        <v>-68.5</v>
      </c>
      <c r="J1127" s="6">
        <v>1998</v>
      </c>
      <c r="K1127" s="6">
        <v>2016</v>
      </c>
      <c r="L1127" s="6">
        <f t="shared" si="48"/>
        <v>19</v>
      </c>
      <c r="M1127" t="s">
        <v>2036</v>
      </c>
      <c r="N1127" t="s">
        <v>368</v>
      </c>
      <c r="O1127" t="s">
        <v>3476</v>
      </c>
      <c r="P1127" t="s">
        <v>3701</v>
      </c>
      <c r="Q1127" t="s">
        <v>1027</v>
      </c>
      <c r="R1127" t="s">
        <v>3586</v>
      </c>
      <c r="V1127">
        <v>-9.9600000000000009</v>
      </c>
      <c r="W1127" t="s">
        <v>2041</v>
      </c>
      <c r="X1127" t="s">
        <v>2041</v>
      </c>
      <c r="Z1127" t="str">
        <f t="shared" si="47"/>
        <v>Y</v>
      </c>
      <c r="AA1127" t="s">
        <v>3283</v>
      </c>
      <c r="AB1127" t="s">
        <v>3649</v>
      </c>
      <c r="AC1127" t="s">
        <v>3696</v>
      </c>
    </row>
    <row r="1128" spans="2:33">
      <c r="B1128" t="s">
        <v>393</v>
      </c>
      <c r="C1128" t="s">
        <v>3702</v>
      </c>
      <c r="D1128" s="2" t="s">
        <v>3703</v>
      </c>
      <c r="E1128">
        <v>2025</v>
      </c>
      <c r="F1128" t="s">
        <v>3704</v>
      </c>
      <c r="G1128" t="s">
        <v>2035</v>
      </c>
      <c r="H1128" s="6">
        <v>22</v>
      </c>
      <c r="I1128" s="6">
        <v>121.83</v>
      </c>
      <c r="J1128" s="6">
        <v>1997</v>
      </c>
      <c r="K1128" s="6">
        <v>2023</v>
      </c>
      <c r="L1128" s="6">
        <f t="shared" si="48"/>
        <v>27</v>
      </c>
      <c r="M1128" t="s">
        <v>2036</v>
      </c>
      <c r="N1128" t="s">
        <v>2429</v>
      </c>
      <c r="O1128" t="s">
        <v>2533</v>
      </c>
      <c r="P1128" t="s">
        <v>3653</v>
      </c>
      <c r="Q1128" t="s">
        <v>3654</v>
      </c>
      <c r="R1128" t="s">
        <v>3705</v>
      </c>
      <c r="V1128">
        <v>0.37</v>
      </c>
      <c r="W1128" t="s">
        <v>2041</v>
      </c>
      <c r="X1128" t="s">
        <v>2041</v>
      </c>
      <c r="Z1128" t="str">
        <f t="shared" si="47"/>
        <v>Y</v>
      </c>
      <c r="AA1128" t="s">
        <v>3289</v>
      </c>
      <c r="AB1128" t="s">
        <v>3706</v>
      </c>
      <c r="AC1128" t="s">
        <v>3663</v>
      </c>
    </row>
    <row r="1129" spans="2:33">
      <c r="B1129" t="s">
        <v>393</v>
      </c>
      <c r="C1129" t="s">
        <v>3707</v>
      </c>
      <c r="D1129" s="2" t="s">
        <v>3708</v>
      </c>
      <c r="E1129">
        <v>2025</v>
      </c>
      <c r="F1129" t="s">
        <v>3709</v>
      </c>
      <c r="G1129" t="s">
        <v>3607</v>
      </c>
      <c r="H1129" s="6">
        <v>-19.04</v>
      </c>
      <c r="I1129" s="6">
        <v>-40</v>
      </c>
      <c r="J1129" s="6">
        <v>1988</v>
      </c>
      <c r="K1129" s="6">
        <v>2021</v>
      </c>
      <c r="L1129" s="6">
        <f t="shared" si="48"/>
        <v>34</v>
      </c>
      <c r="M1129" t="s">
        <v>2036</v>
      </c>
      <c r="N1129" t="s">
        <v>2429</v>
      </c>
      <c r="O1129" t="s">
        <v>2533</v>
      </c>
      <c r="P1129" t="s">
        <v>3676</v>
      </c>
      <c r="Q1129" t="s">
        <v>3677</v>
      </c>
      <c r="R1129" t="s">
        <v>3710</v>
      </c>
      <c r="V1129">
        <v>-2.1</v>
      </c>
      <c r="W1129" t="s">
        <v>2041</v>
      </c>
      <c r="X1129" t="s">
        <v>2041</v>
      </c>
      <c r="Z1129" t="str">
        <f t="shared" si="47"/>
        <v>Y</v>
      </c>
      <c r="AA1129" t="s">
        <v>3711</v>
      </c>
      <c r="AB1129" t="s">
        <v>3712</v>
      </c>
      <c r="AC1129" t="s">
        <v>3713</v>
      </c>
    </row>
    <row r="1130" spans="2:33">
      <c r="B1130" t="s">
        <v>393</v>
      </c>
      <c r="C1130" t="s">
        <v>3714</v>
      </c>
      <c r="D1130" s="2" t="s">
        <v>3715</v>
      </c>
      <c r="E1130">
        <v>2010</v>
      </c>
      <c r="F1130" t="s">
        <v>3716</v>
      </c>
      <c r="G1130" t="s">
        <v>2035</v>
      </c>
      <c r="H1130" s="6">
        <v>27.86</v>
      </c>
      <c r="I1130" s="6">
        <v>-80.45</v>
      </c>
      <c r="J1130" s="6">
        <v>1989</v>
      </c>
      <c r="K1130" s="6">
        <v>2008</v>
      </c>
      <c r="L1130" s="6">
        <f t="shared" si="48"/>
        <v>20</v>
      </c>
      <c r="M1130" t="s">
        <v>2036</v>
      </c>
      <c r="N1130" t="s">
        <v>2429</v>
      </c>
      <c r="O1130" t="s">
        <v>2533</v>
      </c>
      <c r="P1130" t="s">
        <v>2919</v>
      </c>
      <c r="Q1130" t="s">
        <v>2914</v>
      </c>
      <c r="R1130" t="s">
        <v>3717</v>
      </c>
      <c r="V1130">
        <v>0.72</v>
      </c>
      <c r="W1130" t="s">
        <v>2058</v>
      </c>
      <c r="X1130" t="s">
        <v>2041</v>
      </c>
      <c r="Z1130" t="str">
        <f t="shared" si="47"/>
        <v>Y</v>
      </c>
      <c r="AA1130" t="s">
        <v>3711</v>
      </c>
      <c r="AB1130" t="s">
        <v>3718</v>
      </c>
      <c r="AC1130" t="s">
        <v>3719</v>
      </c>
    </row>
    <row r="1131" spans="2:33" ht="15.5">
      <c r="B1131" t="s">
        <v>393</v>
      </c>
      <c r="C1131" t="s">
        <v>3714</v>
      </c>
      <c r="D1131" s="2" t="s">
        <v>3715</v>
      </c>
      <c r="E1131">
        <v>2010</v>
      </c>
      <c r="F1131" t="s">
        <v>3716</v>
      </c>
      <c r="G1131" t="s">
        <v>2035</v>
      </c>
      <c r="H1131" s="6">
        <v>27.86</v>
      </c>
      <c r="I1131" s="6">
        <v>-80.45</v>
      </c>
      <c r="J1131" s="6">
        <v>1989</v>
      </c>
      <c r="K1131" s="6">
        <v>2008</v>
      </c>
      <c r="L1131" s="6">
        <f t="shared" si="48"/>
        <v>20</v>
      </c>
      <c r="M1131" t="s">
        <v>2036</v>
      </c>
      <c r="N1131" t="s">
        <v>2429</v>
      </c>
      <c r="O1131" t="s">
        <v>2533</v>
      </c>
      <c r="P1131" t="s">
        <v>3653</v>
      </c>
      <c r="Q1131" s="29" t="s">
        <v>3654</v>
      </c>
      <c r="R1131" t="s">
        <v>3717</v>
      </c>
      <c r="V1131">
        <v>0.73</v>
      </c>
      <c r="W1131" t="s">
        <v>2058</v>
      </c>
      <c r="X1131" t="s">
        <v>2041</v>
      </c>
      <c r="Z1131" t="str">
        <f t="shared" si="47"/>
        <v>Y</v>
      </c>
      <c r="AA1131" t="s">
        <v>3711</v>
      </c>
      <c r="AB1131" t="s">
        <v>3718</v>
      </c>
      <c r="AC1131" t="s">
        <v>3719</v>
      </c>
    </row>
    <row r="1132" spans="2:33">
      <c r="B1132" t="s">
        <v>393</v>
      </c>
      <c r="C1132" t="s">
        <v>3720</v>
      </c>
      <c r="D1132" s="2" t="s">
        <v>3721</v>
      </c>
      <c r="E1132">
        <v>2013</v>
      </c>
      <c r="F1132" t="s">
        <v>3675</v>
      </c>
      <c r="G1132" t="s">
        <v>2035</v>
      </c>
      <c r="H1132" s="6">
        <v>26.8</v>
      </c>
      <c r="I1132" s="6">
        <v>-80</v>
      </c>
      <c r="J1132" s="6">
        <v>1980</v>
      </c>
      <c r="K1132" s="6">
        <v>2009</v>
      </c>
      <c r="L1132" s="6">
        <f t="shared" si="48"/>
        <v>30</v>
      </c>
      <c r="M1132" t="s">
        <v>2036</v>
      </c>
      <c r="N1132" t="s">
        <v>2429</v>
      </c>
      <c r="O1132" t="s">
        <v>2533</v>
      </c>
      <c r="P1132" t="s">
        <v>2919</v>
      </c>
      <c r="Q1132" t="s">
        <v>2914</v>
      </c>
      <c r="R1132" t="s">
        <v>3722</v>
      </c>
      <c r="V1132" t="s">
        <v>163</v>
      </c>
      <c r="W1132" t="s">
        <v>2041</v>
      </c>
      <c r="X1132" t="s">
        <v>2041</v>
      </c>
      <c r="Z1132" t="str">
        <f t="shared" si="47"/>
        <v>Y</v>
      </c>
      <c r="AA1132" t="s">
        <v>3711</v>
      </c>
      <c r="AB1132" t="s">
        <v>3723</v>
      </c>
      <c r="AC1132" t="s">
        <v>3724</v>
      </c>
    </row>
    <row r="1133" spans="2:33">
      <c r="B1133" t="s">
        <v>393</v>
      </c>
      <c r="C1133" t="s">
        <v>3720</v>
      </c>
      <c r="D1133" s="2" t="s">
        <v>3721</v>
      </c>
      <c r="E1133">
        <v>2013</v>
      </c>
      <c r="F1133" t="s">
        <v>1704</v>
      </c>
      <c r="G1133" t="s">
        <v>2035</v>
      </c>
      <c r="H1133" s="6">
        <v>36</v>
      </c>
      <c r="I1133" s="6">
        <v>27</v>
      </c>
      <c r="J1133" s="6">
        <v>1980</v>
      </c>
      <c r="K1133" s="6">
        <v>2009</v>
      </c>
      <c r="L1133" s="6">
        <f t="shared" si="48"/>
        <v>30</v>
      </c>
      <c r="M1133" t="s">
        <v>2036</v>
      </c>
      <c r="N1133" t="s">
        <v>2429</v>
      </c>
      <c r="O1133" t="s">
        <v>2533</v>
      </c>
      <c r="P1133" t="s">
        <v>2919</v>
      </c>
      <c r="Q1133" t="s">
        <v>2914</v>
      </c>
      <c r="R1133" t="s">
        <v>3722</v>
      </c>
      <c r="V1133" t="s">
        <v>163</v>
      </c>
      <c r="W1133" t="s">
        <v>2041</v>
      </c>
      <c r="X1133" t="s">
        <v>2041</v>
      </c>
      <c r="Z1133" t="str">
        <f t="shared" si="47"/>
        <v>Y</v>
      </c>
      <c r="AA1133" t="s">
        <v>3711</v>
      </c>
      <c r="AB1133" t="s">
        <v>3723</v>
      </c>
      <c r="AC1133" t="s">
        <v>3724</v>
      </c>
    </row>
    <row r="1134" spans="2:33">
      <c r="B1134" t="s">
        <v>393</v>
      </c>
      <c r="C1134" t="s">
        <v>3725</v>
      </c>
      <c r="D1134" s="2" t="s">
        <v>3726</v>
      </c>
      <c r="E1134">
        <v>2009</v>
      </c>
      <c r="F1134" t="s">
        <v>1704</v>
      </c>
      <c r="G1134" t="s">
        <v>2035</v>
      </c>
      <c r="H1134" s="6">
        <v>37.78</v>
      </c>
      <c r="I1134" s="6">
        <v>20.81</v>
      </c>
      <c r="J1134" s="6">
        <v>1980</v>
      </c>
      <c r="K1134" s="6">
        <v>2007</v>
      </c>
      <c r="L1134" s="6">
        <f t="shared" si="48"/>
        <v>28</v>
      </c>
      <c r="M1134" t="s">
        <v>2036</v>
      </c>
      <c r="N1134" t="s">
        <v>2429</v>
      </c>
      <c r="O1134" t="s">
        <v>2533</v>
      </c>
      <c r="P1134" t="s">
        <v>2919</v>
      </c>
      <c r="Q1134" t="s">
        <v>2914</v>
      </c>
      <c r="R1134" t="s">
        <v>3727</v>
      </c>
      <c r="V1134">
        <v>-4.2</v>
      </c>
      <c r="W1134" t="s">
        <v>2041</v>
      </c>
      <c r="X1134" t="s">
        <v>2041</v>
      </c>
      <c r="Z1134" t="str">
        <f t="shared" si="47"/>
        <v>Y</v>
      </c>
      <c r="AA1134" t="s">
        <v>3289</v>
      </c>
      <c r="AB1134" t="s">
        <v>3728</v>
      </c>
      <c r="AC1134" t="s">
        <v>3729</v>
      </c>
    </row>
    <row r="1135" spans="2:33">
      <c r="B1135" t="s">
        <v>393</v>
      </c>
      <c r="C1135" t="s">
        <v>3730</v>
      </c>
      <c r="D1135" s="2" t="s">
        <v>3731</v>
      </c>
      <c r="E1135">
        <v>2014</v>
      </c>
      <c r="F1135" t="s">
        <v>3686</v>
      </c>
      <c r="G1135" t="s">
        <v>2035</v>
      </c>
      <c r="H1135" s="6">
        <v>10.33</v>
      </c>
      <c r="I1135" s="6">
        <v>-85.85</v>
      </c>
      <c r="J1135" s="6">
        <v>1993</v>
      </c>
      <c r="K1135" s="6">
        <v>2012</v>
      </c>
      <c r="L1135" s="6">
        <f t="shared" si="48"/>
        <v>20</v>
      </c>
      <c r="M1135" t="s">
        <v>2036</v>
      </c>
      <c r="N1135" t="s">
        <v>2429</v>
      </c>
      <c r="O1135" t="s">
        <v>2533</v>
      </c>
      <c r="P1135" t="s">
        <v>3676</v>
      </c>
      <c r="Q1135" t="s">
        <v>3677</v>
      </c>
      <c r="R1135" t="s">
        <v>3732</v>
      </c>
      <c r="V1135" t="s">
        <v>163</v>
      </c>
      <c r="W1135" t="s">
        <v>2058</v>
      </c>
      <c r="X1135" t="s">
        <v>2041</v>
      </c>
      <c r="Z1135" t="str">
        <f t="shared" si="47"/>
        <v>Y</v>
      </c>
      <c r="AA1135" t="s">
        <v>3289</v>
      </c>
      <c r="AB1135" t="s">
        <v>3733</v>
      </c>
      <c r="AC1135" t="s">
        <v>3734</v>
      </c>
    </row>
    <row r="1136" spans="2:33">
      <c r="B1136" t="s">
        <v>393</v>
      </c>
      <c r="C1136" t="s">
        <v>3730</v>
      </c>
      <c r="D1136" s="2" t="s">
        <v>3731</v>
      </c>
      <c r="E1136">
        <v>2014</v>
      </c>
      <c r="F1136" t="s">
        <v>3735</v>
      </c>
      <c r="G1136" t="s">
        <v>2035</v>
      </c>
      <c r="H1136" s="6">
        <v>10.45</v>
      </c>
      <c r="I1136" s="6">
        <v>-83.43</v>
      </c>
      <c r="J1136" s="6">
        <v>2002</v>
      </c>
      <c r="K1136" s="6">
        <v>2010</v>
      </c>
      <c r="L1136" s="6">
        <f t="shared" si="48"/>
        <v>9</v>
      </c>
      <c r="M1136" t="s">
        <v>2036</v>
      </c>
      <c r="N1136" t="s">
        <v>2429</v>
      </c>
      <c r="O1136" t="s">
        <v>2533</v>
      </c>
      <c r="P1136" t="s">
        <v>3676</v>
      </c>
      <c r="Q1136" t="s">
        <v>3677</v>
      </c>
      <c r="R1136" t="s">
        <v>3732</v>
      </c>
      <c r="V1136" t="s">
        <v>163</v>
      </c>
      <c r="W1136" t="s">
        <v>2041</v>
      </c>
      <c r="X1136" t="s">
        <v>2058</v>
      </c>
      <c r="Z1136" t="str">
        <f t="shared" si="47"/>
        <v>N</v>
      </c>
      <c r="AA1136" t="s">
        <v>3711</v>
      </c>
      <c r="AB1136" t="s">
        <v>3733</v>
      </c>
      <c r="AC1136" t="s">
        <v>3734</v>
      </c>
    </row>
    <row r="1137" spans="2:29">
      <c r="B1137" t="s">
        <v>393</v>
      </c>
      <c r="C1137" t="s">
        <v>3730</v>
      </c>
      <c r="D1137" s="2" t="s">
        <v>3731</v>
      </c>
      <c r="E1137">
        <v>2014</v>
      </c>
      <c r="F1137" t="s">
        <v>3689</v>
      </c>
      <c r="G1137" t="s">
        <v>2035</v>
      </c>
      <c r="H1137" s="6">
        <v>17.670000000000002</v>
      </c>
      <c r="I1137" s="6">
        <v>-64.87</v>
      </c>
      <c r="J1137" s="6">
        <v>1983</v>
      </c>
      <c r="K1137" s="6">
        <v>2010</v>
      </c>
      <c r="L1137" s="6">
        <f t="shared" si="48"/>
        <v>28</v>
      </c>
      <c r="M1137" t="s">
        <v>2036</v>
      </c>
      <c r="N1137" t="s">
        <v>2429</v>
      </c>
      <c r="O1137" t="s">
        <v>2533</v>
      </c>
      <c r="P1137" t="s">
        <v>3676</v>
      </c>
      <c r="Q1137" t="s">
        <v>3677</v>
      </c>
      <c r="R1137" t="s">
        <v>3732</v>
      </c>
      <c r="V1137" t="s">
        <v>163</v>
      </c>
      <c r="W1137" t="s">
        <v>2058</v>
      </c>
      <c r="X1137" t="s">
        <v>2041</v>
      </c>
      <c r="Z1137" t="str">
        <f t="shared" si="47"/>
        <v>Y</v>
      </c>
      <c r="AA1137" t="s">
        <v>3289</v>
      </c>
      <c r="AB1137" t="s">
        <v>3733</v>
      </c>
      <c r="AC1137" t="s">
        <v>3734</v>
      </c>
    </row>
    <row r="1138" spans="2:29" ht="15.5">
      <c r="B1138" t="s">
        <v>393</v>
      </c>
      <c r="C1138" t="s">
        <v>3736</v>
      </c>
      <c r="D1138" s="2" t="s">
        <v>3737</v>
      </c>
      <c r="E1138" s="30">
        <v>2012</v>
      </c>
      <c r="F1138" t="s">
        <v>3738</v>
      </c>
      <c r="G1138" t="s">
        <v>3607</v>
      </c>
      <c r="H1138" s="6">
        <v>-15</v>
      </c>
      <c r="I1138" s="6">
        <v>47</v>
      </c>
      <c r="J1138" s="6">
        <v>1981</v>
      </c>
      <c r="K1138" s="6">
        <v>2010</v>
      </c>
      <c r="L1138" s="6">
        <f t="shared" si="48"/>
        <v>30</v>
      </c>
      <c r="M1138" t="s">
        <v>2036</v>
      </c>
      <c r="N1138" t="s">
        <v>2429</v>
      </c>
      <c r="O1138" t="s">
        <v>2533</v>
      </c>
      <c r="P1138" t="s">
        <v>3653</v>
      </c>
      <c r="Q1138" t="s">
        <v>3654</v>
      </c>
      <c r="R1138" t="s">
        <v>3739</v>
      </c>
      <c r="V1138" t="s">
        <v>163</v>
      </c>
      <c r="W1138" t="s">
        <v>2058</v>
      </c>
      <c r="X1138" t="s">
        <v>2041</v>
      </c>
      <c r="Z1138" t="str">
        <f t="shared" si="47"/>
        <v>Y</v>
      </c>
      <c r="AA1138" t="s">
        <v>3289</v>
      </c>
      <c r="AB1138" t="s">
        <v>3740</v>
      </c>
      <c r="AC1138" t="s">
        <v>3741</v>
      </c>
    </row>
    <row r="1139" spans="2:29" ht="15.5">
      <c r="B1139" t="s">
        <v>393</v>
      </c>
      <c r="D1139" s="2" t="s">
        <v>3742</v>
      </c>
      <c r="E1139">
        <v>2025</v>
      </c>
      <c r="F1139" s="31" t="s">
        <v>3743</v>
      </c>
      <c r="G1139" s="32" t="s">
        <v>2035</v>
      </c>
      <c r="H1139">
        <v>51.5</v>
      </c>
      <c r="I1139" s="6">
        <v>-2.5</v>
      </c>
      <c r="J1139" s="6">
        <v>1999</v>
      </c>
      <c r="K1139" s="6">
        <v>2021</v>
      </c>
      <c r="L1139" s="6">
        <f t="shared" si="48"/>
        <v>23</v>
      </c>
      <c r="M1139" t="s">
        <v>2036</v>
      </c>
      <c r="N1139" t="s">
        <v>161</v>
      </c>
      <c r="O1139" t="s">
        <v>2813</v>
      </c>
      <c r="P1139" t="s">
        <v>3744</v>
      </c>
      <c r="Q1139" t="s">
        <v>224</v>
      </c>
      <c r="R1139" t="s">
        <v>3745</v>
      </c>
      <c r="V1139">
        <v>7.29</v>
      </c>
      <c r="W1139" t="s">
        <v>2058</v>
      </c>
      <c r="X1139" t="s">
        <v>2041</v>
      </c>
      <c r="Z1139" t="str">
        <f t="shared" si="47"/>
        <v>Y</v>
      </c>
      <c r="AA1139" t="s">
        <v>2054</v>
      </c>
      <c r="AB1139" t="s">
        <v>3746</v>
      </c>
      <c r="AC1139" t="s">
        <v>3747</v>
      </c>
    </row>
    <row r="1140" spans="2:29" ht="15.5">
      <c r="B1140" t="s">
        <v>393</v>
      </c>
      <c r="C1140" t="s">
        <v>3748</v>
      </c>
      <c r="D1140" s="2" t="s">
        <v>3749</v>
      </c>
      <c r="E1140">
        <v>2024</v>
      </c>
      <c r="F1140" s="31" t="s">
        <v>1214</v>
      </c>
      <c r="G1140" s="32" t="s">
        <v>2035</v>
      </c>
      <c r="H1140" s="6">
        <v>53</v>
      </c>
      <c r="I1140" s="6">
        <v>4.79</v>
      </c>
      <c r="J1140" s="6">
        <v>1982</v>
      </c>
      <c r="K1140" s="6">
        <v>2021</v>
      </c>
      <c r="L1140" s="6">
        <f t="shared" si="48"/>
        <v>40</v>
      </c>
      <c r="M1140" t="s">
        <v>2036</v>
      </c>
      <c r="N1140" t="s">
        <v>161</v>
      </c>
      <c r="O1140" t="s">
        <v>2813</v>
      </c>
      <c r="P1140" t="s">
        <v>696</v>
      </c>
      <c r="Q1140" t="s">
        <v>224</v>
      </c>
      <c r="R1140" t="s">
        <v>3750</v>
      </c>
      <c r="V1140" t="s">
        <v>163</v>
      </c>
      <c r="W1140" t="s">
        <v>2041</v>
      </c>
      <c r="X1140" t="s">
        <v>2041</v>
      </c>
      <c r="Z1140" t="str">
        <f t="shared" si="47"/>
        <v>Y</v>
      </c>
      <c r="AA1140" t="s">
        <v>2054</v>
      </c>
      <c r="AB1140" t="s">
        <v>3751</v>
      </c>
      <c r="AC1140" t="s">
        <v>3752</v>
      </c>
    </row>
    <row r="1141" spans="2:29" ht="15.5">
      <c r="B1141" t="s">
        <v>393</v>
      </c>
      <c r="C1141" t="s">
        <v>3753</v>
      </c>
      <c r="D1141" s="2" t="s">
        <v>3754</v>
      </c>
      <c r="E1141">
        <v>2024</v>
      </c>
      <c r="F1141" s="31" t="s">
        <v>3755</v>
      </c>
      <c r="G1141" s="32" t="s">
        <v>2035</v>
      </c>
      <c r="H1141" s="6">
        <v>54.4</v>
      </c>
      <c r="I1141" s="6">
        <v>10.199999999999999</v>
      </c>
      <c r="J1141" s="6">
        <v>1971</v>
      </c>
      <c r="K1141" s="6">
        <v>2020</v>
      </c>
      <c r="L1141" s="6">
        <f t="shared" si="48"/>
        <v>50</v>
      </c>
      <c r="M1141" t="s">
        <v>2036</v>
      </c>
      <c r="N1141" t="s">
        <v>161</v>
      </c>
      <c r="O1141" t="s">
        <v>2813</v>
      </c>
      <c r="P1141" t="s">
        <v>696</v>
      </c>
      <c r="Q1141" t="s">
        <v>224</v>
      </c>
      <c r="R1141" t="s">
        <v>3756</v>
      </c>
      <c r="V1141">
        <v>-18.100000000000001</v>
      </c>
      <c r="W1141" t="s">
        <v>2041</v>
      </c>
      <c r="X1141" t="s">
        <v>2041</v>
      </c>
      <c r="Z1141" t="str">
        <f t="shared" si="47"/>
        <v>Y</v>
      </c>
      <c r="AA1141" t="s">
        <v>2054</v>
      </c>
      <c r="AB1141" t="s">
        <v>3757</v>
      </c>
      <c r="AC1141" t="s">
        <v>3758</v>
      </c>
    </row>
    <row r="1142" spans="2:29" ht="15.5">
      <c r="B1142" t="s">
        <v>393</v>
      </c>
      <c r="C1142" t="s">
        <v>3759</v>
      </c>
      <c r="D1142" s="2" t="s">
        <v>3760</v>
      </c>
      <c r="E1142">
        <v>2022</v>
      </c>
      <c r="F1142" s="31" t="s">
        <v>3761</v>
      </c>
      <c r="G1142" s="32" t="s">
        <v>2035</v>
      </c>
      <c r="H1142" s="6">
        <v>42.75</v>
      </c>
      <c r="I1142" s="6">
        <v>-70.930000000000007</v>
      </c>
      <c r="J1142" s="6">
        <v>1997</v>
      </c>
      <c r="K1142" s="6">
        <v>2017</v>
      </c>
      <c r="L1142" s="6">
        <f t="shared" si="48"/>
        <v>21</v>
      </c>
      <c r="M1142" t="s">
        <v>2036</v>
      </c>
      <c r="N1142" t="s">
        <v>161</v>
      </c>
      <c r="O1142" t="s">
        <v>2813</v>
      </c>
      <c r="P1142" t="s">
        <v>2209</v>
      </c>
      <c r="Q1142" t="s">
        <v>219</v>
      </c>
      <c r="R1142" t="s">
        <v>3762</v>
      </c>
      <c r="V1142">
        <v>7.11</v>
      </c>
      <c r="W1142" t="s">
        <v>2058</v>
      </c>
      <c r="X1142" t="s">
        <v>2041</v>
      </c>
      <c r="Z1142" t="str">
        <f t="shared" si="47"/>
        <v>Y</v>
      </c>
      <c r="AA1142" t="s">
        <v>2054</v>
      </c>
      <c r="AB1142" t="s">
        <v>3757</v>
      </c>
      <c r="AC1142" t="s">
        <v>3763</v>
      </c>
    </row>
    <row r="1143" spans="2:29" ht="15.5">
      <c r="B1143" t="s">
        <v>393</v>
      </c>
      <c r="C1143" t="s">
        <v>3759</v>
      </c>
      <c r="D1143" s="2" t="s">
        <v>3760</v>
      </c>
      <c r="E1143">
        <v>2022</v>
      </c>
      <c r="F1143" s="31" t="s">
        <v>3764</v>
      </c>
      <c r="G1143" s="32" t="s">
        <v>2035</v>
      </c>
      <c r="H1143" s="6">
        <v>42.68</v>
      </c>
      <c r="I1143" s="6">
        <v>-70.84</v>
      </c>
      <c r="J1143" s="6">
        <v>1997</v>
      </c>
      <c r="K1143" s="6">
        <v>2017</v>
      </c>
      <c r="L1143" s="6">
        <f t="shared" si="48"/>
        <v>21</v>
      </c>
      <c r="M1143" t="s">
        <v>2036</v>
      </c>
      <c r="N1143" t="s">
        <v>161</v>
      </c>
      <c r="O1143" t="s">
        <v>2813</v>
      </c>
      <c r="P1143" t="s">
        <v>2209</v>
      </c>
      <c r="Q1143" t="s">
        <v>219</v>
      </c>
      <c r="R1143" t="s">
        <v>3762</v>
      </c>
      <c r="V1143">
        <v>-3.05</v>
      </c>
      <c r="W1143" t="s">
        <v>2041</v>
      </c>
      <c r="X1143" t="s">
        <v>2041</v>
      </c>
      <c r="Z1143" t="str">
        <f t="shared" si="47"/>
        <v>Y</v>
      </c>
      <c r="AA1143" t="s">
        <v>2054</v>
      </c>
      <c r="AB1143" t="s">
        <v>3757</v>
      </c>
      <c r="AC1143" t="s">
        <v>3763</v>
      </c>
    </row>
    <row r="1144" spans="2:29" ht="15.5">
      <c r="B1144" t="s">
        <v>393</v>
      </c>
      <c r="C1144" t="s">
        <v>3759</v>
      </c>
      <c r="D1144" s="2" t="s">
        <v>3760</v>
      </c>
      <c r="E1144">
        <v>2022</v>
      </c>
      <c r="F1144" s="31" t="s">
        <v>3765</v>
      </c>
      <c r="G1144" s="32" t="s">
        <v>2035</v>
      </c>
      <c r="H1144" s="6">
        <v>42.61</v>
      </c>
      <c r="I1144" s="6">
        <v>-70.709999999999994</v>
      </c>
      <c r="J1144" s="6">
        <v>2000</v>
      </c>
      <c r="K1144" s="6">
        <v>2017</v>
      </c>
      <c r="L1144" s="6">
        <f t="shared" si="48"/>
        <v>18</v>
      </c>
      <c r="M1144" t="s">
        <v>2036</v>
      </c>
      <c r="N1144" t="s">
        <v>161</v>
      </c>
      <c r="O1144" t="s">
        <v>2813</v>
      </c>
      <c r="P1144" t="s">
        <v>2209</v>
      </c>
      <c r="Q1144" t="s">
        <v>219</v>
      </c>
      <c r="R1144" t="s">
        <v>3762</v>
      </c>
      <c r="V1144">
        <v>-7.3</v>
      </c>
      <c r="W1144" t="s">
        <v>2041</v>
      </c>
      <c r="X1144" t="s">
        <v>2041</v>
      </c>
      <c r="Z1144" t="str">
        <f t="shared" si="47"/>
        <v>N</v>
      </c>
      <c r="AA1144" t="s">
        <v>2054</v>
      </c>
      <c r="AB1144" t="s">
        <v>3757</v>
      </c>
      <c r="AC1144" t="s">
        <v>3763</v>
      </c>
    </row>
    <row r="1145" spans="2:29" ht="15.5">
      <c r="B1145" t="s">
        <v>393</v>
      </c>
      <c r="C1145" t="s">
        <v>3759</v>
      </c>
      <c r="D1145" s="2" t="s">
        <v>3760</v>
      </c>
      <c r="E1145">
        <v>2022</v>
      </c>
      <c r="F1145" s="31" t="s">
        <v>3766</v>
      </c>
      <c r="G1145" s="32" t="s">
        <v>2035</v>
      </c>
      <c r="H1145" s="6">
        <v>41.99</v>
      </c>
      <c r="I1145" s="6">
        <v>-70.73</v>
      </c>
      <c r="J1145" s="6">
        <v>2005</v>
      </c>
      <c r="K1145" s="6">
        <v>2017</v>
      </c>
      <c r="L1145" s="6">
        <f t="shared" si="48"/>
        <v>13</v>
      </c>
      <c r="M1145" t="s">
        <v>2036</v>
      </c>
      <c r="N1145" t="s">
        <v>161</v>
      </c>
      <c r="O1145" t="s">
        <v>2813</v>
      </c>
      <c r="P1145" t="s">
        <v>2209</v>
      </c>
      <c r="Q1145" t="s">
        <v>219</v>
      </c>
      <c r="R1145" t="s">
        <v>3762</v>
      </c>
      <c r="V1145">
        <v>0.11</v>
      </c>
      <c r="W1145" t="s">
        <v>2058</v>
      </c>
      <c r="X1145" t="s">
        <v>2058</v>
      </c>
      <c r="Z1145" t="str">
        <f t="shared" si="47"/>
        <v>N</v>
      </c>
      <c r="AA1145" t="s">
        <v>2054</v>
      </c>
      <c r="AB1145" t="s">
        <v>3757</v>
      </c>
      <c r="AC1145" t="s">
        <v>3763</v>
      </c>
    </row>
    <row r="1146" spans="2:29" ht="15.5">
      <c r="B1146" t="s">
        <v>393</v>
      </c>
      <c r="C1146" t="s">
        <v>3759</v>
      </c>
      <c r="D1146" s="2" t="s">
        <v>3760</v>
      </c>
      <c r="E1146">
        <v>2022</v>
      </c>
      <c r="F1146" s="31" t="s">
        <v>3767</v>
      </c>
      <c r="G1146" s="32" t="s">
        <v>2035</v>
      </c>
      <c r="H1146" s="6">
        <v>41.95</v>
      </c>
      <c r="I1146" s="6">
        <v>-70.67</v>
      </c>
      <c r="J1146" s="6">
        <v>2010</v>
      </c>
      <c r="K1146" s="6">
        <v>2017</v>
      </c>
      <c r="L1146" s="6">
        <f t="shared" si="48"/>
        <v>8</v>
      </c>
      <c r="M1146" t="s">
        <v>2036</v>
      </c>
      <c r="N1146" t="s">
        <v>161</v>
      </c>
      <c r="O1146" t="s">
        <v>2813</v>
      </c>
      <c r="P1146" t="s">
        <v>2209</v>
      </c>
      <c r="Q1146" t="s">
        <v>219</v>
      </c>
      <c r="R1146" t="s">
        <v>3762</v>
      </c>
      <c r="V1146">
        <v>12.99</v>
      </c>
      <c r="W1146" t="s">
        <v>2058</v>
      </c>
      <c r="X1146" t="s">
        <v>2058</v>
      </c>
      <c r="Z1146" t="str">
        <f t="shared" si="47"/>
        <v>N</v>
      </c>
      <c r="AA1146" t="s">
        <v>2054</v>
      </c>
      <c r="AB1146" t="s">
        <v>3757</v>
      </c>
      <c r="AC1146" t="s">
        <v>3763</v>
      </c>
    </row>
    <row r="1147" spans="2:29" ht="15.5">
      <c r="B1147" t="s">
        <v>393</v>
      </c>
      <c r="C1147" t="s">
        <v>3759</v>
      </c>
      <c r="D1147" s="2" t="s">
        <v>3760</v>
      </c>
      <c r="E1147">
        <v>2022</v>
      </c>
      <c r="F1147" s="31" t="s">
        <v>3768</v>
      </c>
      <c r="G1147" s="32" t="s">
        <v>2035</v>
      </c>
      <c r="H1147" s="6">
        <v>41.89</v>
      </c>
      <c r="I1147" s="6">
        <v>-70.900000000000006</v>
      </c>
      <c r="J1147" s="6">
        <v>1988</v>
      </c>
      <c r="K1147" s="6">
        <v>2017</v>
      </c>
      <c r="L1147" s="6">
        <f t="shared" si="48"/>
        <v>30</v>
      </c>
      <c r="M1147" t="s">
        <v>2036</v>
      </c>
      <c r="N1147" t="s">
        <v>161</v>
      </c>
      <c r="O1147" t="s">
        <v>2813</v>
      </c>
      <c r="P1147" t="s">
        <v>2209</v>
      </c>
      <c r="Q1147" t="s">
        <v>219</v>
      </c>
      <c r="R1147" t="s">
        <v>3762</v>
      </c>
      <c r="V1147">
        <v>-1.016</v>
      </c>
      <c r="W1147" t="s">
        <v>2041</v>
      </c>
      <c r="X1147" t="s">
        <v>2041</v>
      </c>
      <c r="Z1147" t="str">
        <f t="shared" si="47"/>
        <v>Y</v>
      </c>
      <c r="AA1147" t="s">
        <v>2054</v>
      </c>
      <c r="AB1147" t="s">
        <v>3757</v>
      </c>
      <c r="AC1147" t="s">
        <v>3763</v>
      </c>
    </row>
    <row r="1148" spans="2:29" ht="15.5">
      <c r="B1148" t="s">
        <v>393</v>
      </c>
      <c r="C1148" t="s">
        <v>3759</v>
      </c>
      <c r="D1148" s="2" t="s">
        <v>3760</v>
      </c>
      <c r="E1148">
        <v>2022</v>
      </c>
      <c r="F1148" s="31" t="s">
        <v>3769</v>
      </c>
      <c r="G1148" s="32" t="s">
        <v>2035</v>
      </c>
      <c r="H1148" s="6">
        <v>41.73</v>
      </c>
      <c r="I1148" s="6">
        <v>-70.91</v>
      </c>
      <c r="J1148" s="6">
        <v>2005</v>
      </c>
      <c r="K1148" s="6">
        <v>2017</v>
      </c>
      <c r="L1148" s="6">
        <f t="shared" si="48"/>
        <v>13</v>
      </c>
      <c r="M1148" t="s">
        <v>2036</v>
      </c>
      <c r="N1148" t="s">
        <v>161</v>
      </c>
      <c r="O1148" t="s">
        <v>2813</v>
      </c>
      <c r="P1148" t="s">
        <v>2209</v>
      </c>
      <c r="Q1148" t="s">
        <v>219</v>
      </c>
      <c r="R1148" t="s">
        <v>3762</v>
      </c>
      <c r="V1148">
        <v>-20.9</v>
      </c>
      <c r="W1148" t="s">
        <v>2058</v>
      </c>
      <c r="X1148" t="s">
        <v>2058</v>
      </c>
      <c r="Z1148" t="str">
        <f t="shared" si="47"/>
        <v>N</v>
      </c>
      <c r="AA1148" t="s">
        <v>2054</v>
      </c>
      <c r="AB1148" t="s">
        <v>3757</v>
      </c>
      <c r="AC1148" t="s">
        <v>3763</v>
      </c>
    </row>
    <row r="1149" spans="2:29" ht="15.5">
      <c r="B1149" t="s">
        <v>393</v>
      </c>
      <c r="C1149" t="s">
        <v>3759</v>
      </c>
      <c r="D1149" s="2" t="s">
        <v>3760</v>
      </c>
      <c r="E1149">
        <v>2022</v>
      </c>
      <c r="F1149" s="31" t="s">
        <v>3770</v>
      </c>
      <c r="G1149" s="32" t="s">
        <v>2035</v>
      </c>
      <c r="H1149" s="6">
        <v>41.76</v>
      </c>
      <c r="I1149" s="6">
        <v>-70.680000000000007</v>
      </c>
      <c r="J1149" s="6">
        <v>2006</v>
      </c>
      <c r="K1149" s="6">
        <v>2017</v>
      </c>
      <c r="L1149" s="6">
        <f t="shared" si="48"/>
        <v>12</v>
      </c>
      <c r="M1149" t="s">
        <v>2036</v>
      </c>
      <c r="N1149" t="s">
        <v>161</v>
      </c>
      <c r="O1149" t="s">
        <v>2813</v>
      </c>
      <c r="P1149" t="s">
        <v>2209</v>
      </c>
      <c r="Q1149" t="s">
        <v>219</v>
      </c>
      <c r="R1149" t="s">
        <v>3762</v>
      </c>
      <c r="V1149">
        <v>-4.63</v>
      </c>
      <c r="W1149" t="s">
        <v>2058</v>
      </c>
      <c r="X1149" t="s">
        <v>2058</v>
      </c>
      <c r="Z1149" t="str">
        <f t="shared" si="47"/>
        <v>N</v>
      </c>
      <c r="AA1149" t="s">
        <v>2054</v>
      </c>
      <c r="AB1149" t="s">
        <v>3757</v>
      </c>
      <c r="AC1149" t="s">
        <v>3763</v>
      </c>
    </row>
    <row r="1150" spans="2:29" ht="15.5">
      <c r="B1150" t="s">
        <v>393</v>
      </c>
      <c r="C1150" t="s">
        <v>3759</v>
      </c>
      <c r="D1150" s="2" t="s">
        <v>3760</v>
      </c>
      <c r="E1150">
        <v>2022</v>
      </c>
      <c r="F1150" s="31" t="s">
        <v>3771</v>
      </c>
      <c r="G1150" s="32" t="s">
        <v>2035</v>
      </c>
      <c r="H1150" s="6">
        <v>41.77</v>
      </c>
      <c r="I1150" s="6">
        <v>-70.56</v>
      </c>
      <c r="J1150" s="6">
        <v>1990</v>
      </c>
      <c r="K1150" s="6">
        <v>2017</v>
      </c>
      <c r="L1150" s="6">
        <f t="shared" si="48"/>
        <v>28</v>
      </c>
      <c r="M1150" t="s">
        <v>2036</v>
      </c>
      <c r="N1150" t="s">
        <v>161</v>
      </c>
      <c r="O1150" t="s">
        <v>2813</v>
      </c>
      <c r="P1150" t="s">
        <v>2209</v>
      </c>
      <c r="Q1150" t="s">
        <v>219</v>
      </c>
      <c r="R1150" t="s">
        <v>3762</v>
      </c>
      <c r="V1150">
        <v>1.92</v>
      </c>
      <c r="W1150" t="s">
        <v>2058</v>
      </c>
      <c r="X1150" t="s">
        <v>2041</v>
      </c>
      <c r="Z1150" t="str">
        <f t="shared" si="47"/>
        <v>Y</v>
      </c>
      <c r="AA1150" t="s">
        <v>2054</v>
      </c>
      <c r="AB1150" t="s">
        <v>3757</v>
      </c>
      <c r="AC1150" t="s">
        <v>3763</v>
      </c>
    </row>
    <row r="1151" spans="2:29" ht="15.5">
      <c r="B1151" t="s">
        <v>393</v>
      </c>
      <c r="C1151" t="s">
        <v>3759</v>
      </c>
      <c r="D1151" s="2" t="s">
        <v>3760</v>
      </c>
      <c r="E1151">
        <v>2022</v>
      </c>
      <c r="F1151" s="31" t="s">
        <v>3772</v>
      </c>
      <c r="G1151" s="32" t="s">
        <v>2035</v>
      </c>
      <c r="H1151" s="6">
        <v>41.74</v>
      </c>
      <c r="I1151" s="6">
        <v>-70.11</v>
      </c>
      <c r="J1151" s="6">
        <v>2007</v>
      </c>
      <c r="K1151" s="6">
        <v>2017</v>
      </c>
      <c r="L1151" s="6">
        <f t="shared" si="48"/>
        <v>11</v>
      </c>
      <c r="M1151" t="s">
        <v>2036</v>
      </c>
      <c r="N1151" t="s">
        <v>161</v>
      </c>
      <c r="O1151" t="s">
        <v>2813</v>
      </c>
      <c r="P1151" t="s">
        <v>2209</v>
      </c>
      <c r="Q1151" t="s">
        <v>219</v>
      </c>
      <c r="R1151" t="s">
        <v>3762</v>
      </c>
      <c r="V1151">
        <v>-8.1999999999999993</v>
      </c>
      <c r="W1151" t="s">
        <v>2041</v>
      </c>
      <c r="X1151" t="s">
        <v>2058</v>
      </c>
      <c r="Z1151" t="str">
        <f t="shared" si="47"/>
        <v>N</v>
      </c>
      <c r="AA1151" t="s">
        <v>2054</v>
      </c>
      <c r="AB1151" t="s">
        <v>3757</v>
      </c>
      <c r="AC1151" t="s">
        <v>3763</v>
      </c>
    </row>
    <row r="1152" spans="2:29" ht="15.5">
      <c r="B1152" t="s">
        <v>393</v>
      </c>
      <c r="C1152" t="s">
        <v>3759</v>
      </c>
      <c r="D1152" s="2" t="s">
        <v>3760</v>
      </c>
      <c r="E1152">
        <v>2022</v>
      </c>
      <c r="F1152" s="31" t="s">
        <v>3773</v>
      </c>
      <c r="G1152" s="32" t="s">
        <v>2035</v>
      </c>
      <c r="H1152" s="6">
        <v>41.71</v>
      </c>
      <c r="I1152" s="6">
        <v>-70.099999999999994</v>
      </c>
      <c r="J1152" s="6">
        <v>2009</v>
      </c>
      <c r="K1152" s="6">
        <v>2017</v>
      </c>
      <c r="L1152" s="6">
        <f t="shared" si="48"/>
        <v>9</v>
      </c>
      <c r="M1152" t="s">
        <v>2036</v>
      </c>
      <c r="N1152" t="s">
        <v>161</v>
      </c>
      <c r="O1152" t="s">
        <v>2813</v>
      </c>
      <c r="P1152" t="s">
        <v>2209</v>
      </c>
      <c r="Q1152" t="s">
        <v>219</v>
      </c>
      <c r="R1152" t="s">
        <v>3762</v>
      </c>
      <c r="V1152">
        <v>2.82</v>
      </c>
      <c r="W1152" t="s">
        <v>2058</v>
      </c>
      <c r="X1152" t="s">
        <v>2058</v>
      </c>
      <c r="Z1152" t="str">
        <f t="shared" si="47"/>
        <v>N</v>
      </c>
      <c r="AA1152" t="s">
        <v>2054</v>
      </c>
      <c r="AB1152" t="s">
        <v>3757</v>
      </c>
      <c r="AC1152" t="s">
        <v>3763</v>
      </c>
    </row>
    <row r="1153" spans="2:29" ht="15.5">
      <c r="B1153" t="s">
        <v>393</v>
      </c>
      <c r="C1153" t="s">
        <v>3759</v>
      </c>
      <c r="D1153" s="2" t="s">
        <v>3760</v>
      </c>
      <c r="E1153">
        <v>2022</v>
      </c>
      <c r="F1153" s="31" t="s">
        <v>3774</v>
      </c>
      <c r="G1153" s="32" t="s">
        <v>2035</v>
      </c>
      <c r="H1153" s="6">
        <v>41.65</v>
      </c>
      <c r="I1153" s="6">
        <v>-70.42</v>
      </c>
      <c r="J1153" s="6">
        <v>2006</v>
      </c>
      <c r="K1153" s="6">
        <v>2017</v>
      </c>
      <c r="L1153" s="6">
        <f t="shared" si="48"/>
        <v>12</v>
      </c>
      <c r="M1153" t="s">
        <v>2036</v>
      </c>
      <c r="N1153" t="s">
        <v>161</v>
      </c>
      <c r="O1153" t="s">
        <v>2813</v>
      </c>
      <c r="P1153" t="s">
        <v>2209</v>
      </c>
      <c r="Q1153" t="s">
        <v>219</v>
      </c>
      <c r="R1153" t="s">
        <v>3762</v>
      </c>
      <c r="V1153">
        <v>0.56000000000000005</v>
      </c>
      <c r="W1153" t="s">
        <v>2058</v>
      </c>
      <c r="X1153" t="s">
        <v>2058</v>
      </c>
      <c r="Z1153" t="str">
        <f t="shared" si="47"/>
        <v>N</v>
      </c>
      <c r="AA1153" t="s">
        <v>2054</v>
      </c>
      <c r="AB1153" t="s">
        <v>3757</v>
      </c>
      <c r="AC1153" t="s">
        <v>3763</v>
      </c>
    </row>
    <row r="1154" spans="2:29" ht="15.5">
      <c r="B1154" t="s">
        <v>393</v>
      </c>
      <c r="C1154" t="s">
        <v>3775</v>
      </c>
      <c r="D1154" s="2" t="s">
        <v>3776</v>
      </c>
      <c r="E1154">
        <v>2025</v>
      </c>
      <c r="F1154" s="31" t="s">
        <v>3777</v>
      </c>
      <c r="G1154" s="32" t="s">
        <v>2035</v>
      </c>
      <c r="H1154" s="6">
        <v>43.38</v>
      </c>
      <c r="I1154" s="6">
        <v>-1.669</v>
      </c>
      <c r="J1154" s="6">
        <v>1984</v>
      </c>
      <c r="K1154" s="6">
        <v>2022</v>
      </c>
      <c r="L1154" s="6">
        <f t="shared" si="48"/>
        <v>39</v>
      </c>
      <c r="M1154" t="s">
        <v>2036</v>
      </c>
      <c r="N1154" t="s">
        <v>161</v>
      </c>
      <c r="O1154" t="s">
        <v>2813</v>
      </c>
      <c r="P1154" t="s">
        <v>3778</v>
      </c>
      <c r="Q1154" t="s">
        <v>3779</v>
      </c>
      <c r="R1154" t="s">
        <v>3780</v>
      </c>
      <c r="S1154" t="s">
        <v>3780</v>
      </c>
      <c r="T1154" t="s">
        <v>3780</v>
      </c>
      <c r="U1154" t="s">
        <v>3780</v>
      </c>
      <c r="V1154">
        <v>-6.7</v>
      </c>
      <c r="W1154" t="s">
        <v>2041</v>
      </c>
      <c r="X1154" t="s">
        <v>2041</v>
      </c>
      <c r="Z1154" t="str">
        <f t="shared" si="47"/>
        <v>Y</v>
      </c>
      <c r="AA1154" t="s">
        <v>2054</v>
      </c>
      <c r="AB1154" t="s">
        <v>3757</v>
      </c>
      <c r="AC1154" t="s">
        <v>3781</v>
      </c>
    </row>
    <row r="1155" spans="2:29" ht="15.5">
      <c r="B1155" t="s">
        <v>393</v>
      </c>
      <c r="C1155" t="s">
        <v>3775</v>
      </c>
      <c r="D1155" s="2" t="s">
        <v>3776</v>
      </c>
      <c r="E1155">
        <v>2025</v>
      </c>
      <c r="F1155" s="31" t="s">
        <v>3782</v>
      </c>
      <c r="G1155" s="32" t="s">
        <v>2035</v>
      </c>
      <c r="H1155" s="6">
        <v>44.99</v>
      </c>
      <c r="I1155" s="6">
        <v>-0.55000000000000004</v>
      </c>
      <c r="J1155" s="6">
        <v>1986</v>
      </c>
      <c r="K1155" s="6">
        <v>2007</v>
      </c>
      <c r="L1155" s="6">
        <f t="shared" si="48"/>
        <v>22</v>
      </c>
      <c r="M1155" t="s">
        <v>2036</v>
      </c>
      <c r="N1155" t="s">
        <v>161</v>
      </c>
      <c r="O1155" t="s">
        <v>2813</v>
      </c>
      <c r="P1155" t="s">
        <v>3778</v>
      </c>
      <c r="Q1155" t="s">
        <v>3779</v>
      </c>
      <c r="R1155" t="s">
        <v>3780</v>
      </c>
      <c r="V1155">
        <v>-4.0999999999999996</v>
      </c>
      <c r="W1155" t="s">
        <v>2041</v>
      </c>
      <c r="X1155" t="s">
        <v>2041</v>
      </c>
      <c r="Z1155" t="str">
        <f t="shared" ref="Z1155:Z1218" si="49">IF(L1155&gt;=19,"Y","N")</f>
        <v>Y</v>
      </c>
      <c r="AA1155" t="s">
        <v>2054</v>
      </c>
      <c r="AB1155" t="s">
        <v>3757</v>
      </c>
      <c r="AC1155" t="s">
        <v>3781</v>
      </c>
    </row>
    <row r="1156" spans="2:29" ht="15.5">
      <c r="B1156" t="s">
        <v>393</v>
      </c>
      <c r="C1156" t="s">
        <v>3775</v>
      </c>
      <c r="D1156" s="2" t="s">
        <v>3776</v>
      </c>
      <c r="E1156">
        <v>2025</v>
      </c>
      <c r="F1156" s="31" t="s">
        <v>3783</v>
      </c>
      <c r="G1156" s="32" t="s">
        <v>2035</v>
      </c>
      <c r="H1156" s="6">
        <v>44.99</v>
      </c>
      <c r="I1156" s="6">
        <v>-0.55000000000000004</v>
      </c>
      <c r="J1156" s="6">
        <v>1986</v>
      </c>
      <c r="K1156" s="6">
        <v>2007</v>
      </c>
      <c r="L1156" s="6">
        <f t="shared" ref="L1156:L1219" si="50">K1156-J1156+1</f>
        <v>22</v>
      </c>
      <c r="M1156" t="s">
        <v>2036</v>
      </c>
      <c r="N1156" t="s">
        <v>161</v>
      </c>
      <c r="O1156" t="s">
        <v>2813</v>
      </c>
      <c r="P1156" t="s">
        <v>3778</v>
      </c>
      <c r="Q1156" t="s">
        <v>3779</v>
      </c>
      <c r="R1156" t="s">
        <v>3780</v>
      </c>
      <c r="V1156">
        <v>-5.5</v>
      </c>
      <c r="W1156" t="s">
        <v>2041</v>
      </c>
      <c r="X1156" t="s">
        <v>2041</v>
      </c>
      <c r="Z1156" t="str">
        <f t="shared" si="49"/>
        <v>Y</v>
      </c>
      <c r="AA1156" t="s">
        <v>2054</v>
      </c>
      <c r="AB1156" t="s">
        <v>3757</v>
      </c>
      <c r="AC1156" t="s">
        <v>3781</v>
      </c>
    </row>
    <row r="1157" spans="2:29" ht="15.5">
      <c r="B1157" t="s">
        <v>393</v>
      </c>
      <c r="C1157" t="s">
        <v>3775</v>
      </c>
      <c r="D1157" s="2" t="s">
        <v>3776</v>
      </c>
      <c r="E1157">
        <v>2025</v>
      </c>
      <c r="F1157" s="31" t="s">
        <v>3784</v>
      </c>
      <c r="G1157" s="32" t="s">
        <v>2035</v>
      </c>
      <c r="H1157" s="6">
        <v>48.29</v>
      </c>
      <c r="I1157" s="6">
        <v>-4.2699999999999996</v>
      </c>
      <c r="J1157" s="6">
        <v>2001</v>
      </c>
      <c r="K1157" s="6">
        <v>2022</v>
      </c>
      <c r="L1157" s="6">
        <f t="shared" si="50"/>
        <v>22</v>
      </c>
      <c r="M1157" t="s">
        <v>2036</v>
      </c>
      <c r="N1157" t="s">
        <v>161</v>
      </c>
      <c r="O1157" t="s">
        <v>2813</v>
      </c>
      <c r="P1157" t="s">
        <v>3778</v>
      </c>
      <c r="Q1157" t="s">
        <v>3779</v>
      </c>
      <c r="R1157" t="s">
        <v>3780</v>
      </c>
      <c r="V1157">
        <v>-6.4</v>
      </c>
      <c r="W1157" t="s">
        <v>2041</v>
      </c>
      <c r="X1157" t="s">
        <v>2041</v>
      </c>
      <c r="Z1157" t="str">
        <f t="shared" si="49"/>
        <v>Y</v>
      </c>
      <c r="AA1157" t="s">
        <v>2054</v>
      </c>
      <c r="AB1157" t="s">
        <v>3757</v>
      </c>
      <c r="AC1157" t="s">
        <v>3781</v>
      </c>
    </row>
    <row r="1158" spans="2:29" ht="15.5">
      <c r="B1158" t="s">
        <v>393</v>
      </c>
      <c r="C1158" t="s">
        <v>3775</v>
      </c>
      <c r="D1158" s="2" t="s">
        <v>3776</v>
      </c>
      <c r="E1158">
        <v>2025</v>
      </c>
      <c r="F1158" s="31" t="s">
        <v>3785</v>
      </c>
      <c r="G1158" s="32" t="s">
        <v>2035</v>
      </c>
      <c r="H1158" s="6">
        <v>49.35</v>
      </c>
      <c r="I1158" s="6">
        <v>-1.1200000000000001</v>
      </c>
      <c r="J1158" s="6">
        <v>2002</v>
      </c>
      <c r="K1158" s="6">
        <v>2021</v>
      </c>
      <c r="L1158" s="6">
        <f t="shared" si="50"/>
        <v>20</v>
      </c>
      <c r="M1158" t="s">
        <v>2036</v>
      </c>
      <c r="N1158" t="s">
        <v>161</v>
      </c>
      <c r="O1158" t="s">
        <v>2813</v>
      </c>
      <c r="P1158" t="s">
        <v>3778</v>
      </c>
      <c r="Q1158" t="s">
        <v>3779</v>
      </c>
      <c r="R1158" t="s">
        <v>3780</v>
      </c>
      <c r="V1158" t="s">
        <v>163</v>
      </c>
      <c r="W1158" t="s">
        <v>2058</v>
      </c>
      <c r="X1158" t="s">
        <v>2041</v>
      </c>
      <c r="Z1158" t="str">
        <f t="shared" si="49"/>
        <v>Y</v>
      </c>
      <c r="AA1158" t="s">
        <v>2054</v>
      </c>
      <c r="AB1158" t="s">
        <v>3757</v>
      </c>
      <c r="AC1158" t="s">
        <v>3781</v>
      </c>
    </row>
    <row r="1159" spans="2:29" ht="15.5">
      <c r="B1159" t="s">
        <v>393</v>
      </c>
      <c r="C1159" t="s">
        <v>3786</v>
      </c>
      <c r="D1159" s="2" t="s">
        <v>3787</v>
      </c>
      <c r="E1159">
        <v>2022</v>
      </c>
      <c r="F1159" s="31" t="s">
        <v>3788</v>
      </c>
      <c r="G1159" s="32" t="s">
        <v>2035</v>
      </c>
      <c r="H1159" s="6">
        <v>53.93</v>
      </c>
      <c r="I1159" s="6">
        <v>-9.58</v>
      </c>
      <c r="J1159" s="6">
        <v>1970</v>
      </c>
      <c r="K1159" s="6">
        <v>2020</v>
      </c>
      <c r="L1159" s="6">
        <f t="shared" si="50"/>
        <v>51</v>
      </c>
      <c r="M1159" t="s">
        <v>2036</v>
      </c>
      <c r="N1159" t="s">
        <v>161</v>
      </c>
      <c r="O1159" t="s">
        <v>2813</v>
      </c>
      <c r="P1159" t="s">
        <v>3789</v>
      </c>
      <c r="Q1159" t="s">
        <v>680</v>
      </c>
      <c r="R1159" t="s">
        <v>3790</v>
      </c>
      <c r="V1159">
        <v>0.68500000000000005</v>
      </c>
      <c r="W1159" t="s">
        <v>2058</v>
      </c>
      <c r="X1159" t="s">
        <v>2041</v>
      </c>
      <c r="Z1159" t="str">
        <f t="shared" si="49"/>
        <v>Y</v>
      </c>
      <c r="AA1159" t="s">
        <v>2054</v>
      </c>
      <c r="AB1159" t="s">
        <v>3791</v>
      </c>
      <c r="AC1159" t="s">
        <v>3792</v>
      </c>
    </row>
    <row r="1160" spans="2:29" ht="15.5">
      <c r="B1160" t="s">
        <v>393</v>
      </c>
      <c r="C1160" t="s">
        <v>3786</v>
      </c>
      <c r="D1160" s="2" t="s">
        <v>3787</v>
      </c>
      <c r="E1160">
        <v>2022</v>
      </c>
      <c r="F1160" s="31" t="s">
        <v>3788</v>
      </c>
      <c r="G1160" s="32" t="s">
        <v>2035</v>
      </c>
      <c r="H1160" s="6">
        <v>53.93</v>
      </c>
      <c r="I1160" s="6">
        <v>-9.58</v>
      </c>
      <c r="J1160" s="6">
        <v>1970</v>
      </c>
      <c r="K1160" s="6">
        <v>2020</v>
      </c>
      <c r="L1160" s="6">
        <f t="shared" si="50"/>
        <v>51</v>
      </c>
      <c r="M1160" t="s">
        <v>2036</v>
      </c>
      <c r="N1160" t="s">
        <v>161</v>
      </c>
      <c r="O1160" t="s">
        <v>2813</v>
      </c>
      <c r="P1160" t="s">
        <v>3793</v>
      </c>
      <c r="Q1160" t="s">
        <v>2100</v>
      </c>
      <c r="R1160" t="s">
        <v>3790</v>
      </c>
      <c r="V1160">
        <v>-0.54</v>
      </c>
      <c r="W1160" t="s">
        <v>2041</v>
      </c>
      <c r="X1160" t="s">
        <v>2041</v>
      </c>
      <c r="Z1160" t="str">
        <f t="shared" si="49"/>
        <v>Y</v>
      </c>
      <c r="AA1160" t="s">
        <v>2054</v>
      </c>
      <c r="AB1160" t="s">
        <v>3791</v>
      </c>
      <c r="AC1160" t="s">
        <v>3792</v>
      </c>
    </row>
    <row r="1161" spans="2:29" ht="15.5">
      <c r="B1161" t="s">
        <v>393</v>
      </c>
      <c r="C1161" t="s">
        <v>3786</v>
      </c>
      <c r="D1161" s="2" t="s">
        <v>3787</v>
      </c>
      <c r="E1161">
        <v>2022</v>
      </c>
      <c r="F1161" s="31" t="s">
        <v>3788</v>
      </c>
      <c r="G1161" s="32" t="s">
        <v>2035</v>
      </c>
      <c r="H1161" s="6">
        <v>53.93</v>
      </c>
      <c r="I1161" s="6">
        <v>-9.58</v>
      </c>
      <c r="J1161" s="6">
        <v>1970</v>
      </c>
      <c r="K1161" s="6">
        <v>2020</v>
      </c>
      <c r="L1161" s="6">
        <f t="shared" si="50"/>
        <v>51</v>
      </c>
      <c r="M1161" t="s">
        <v>2036</v>
      </c>
      <c r="N1161" t="s">
        <v>161</v>
      </c>
      <c r="O1161" t="s">
        <v>2813</v>
      </c>
      <c r="P1161" t="s">
        <v>3794</v>
      </c>
      <c r="Q1161" t="s">
        <v>2100</v>
      </c>
      <c r="R1161" t="s">
        <v>3795</v>
      </c>
      <c r="V1161">
        <v>-7.5449999999999999</v>
      </c>
      <c r="W1161" t="s">
        <v>2041</v>
      </c>
      <c r="X1161" t="s">
        <v>2041</v>
      </c>
      <c r="Z1161" t="str">
        <f t="shared" si="49"/>
        <v>Y</v>
      </c>
      <c r="AA1161" t="s">
        <v>2054</v>
      </c>
      <c r="AB1161" t="s">
        <v>3791</v>
      </c>
      <c r="AC1161" t="s">
        <v>3792</v>
      </c>
    </row>
    <row r="1162" spans="2:29" ht="15.5">
      <c r="B1162" t="s">
        <v>393</v>
      </c>
      <c r="C1162" t="s">
        <v>3786</v>
      </c>
      <c r="D1162" s="2" t="s">
        <v>3787</v>
      </c>
      <c r="E1162">
        <v>2022</v>
      </c>
      <c r="F1162" s="31" t="s">
        <v>3788</v>
      </c>
      <c r="G1162" s="32" t="s">
        <v>2035</v>
      </c>
      <c r="H1162" s="6">
        <v>53.93</v>
      </c>
      <c r="I1162" s="6">
        <v>-9.58</v>
      </c>
      <c r="J1162" s="6">
        <v>1970</v>
      </c>
      <c r="K1162" s="6">
        <v>2020</v>
      </c>
      <c r="L1162" s="6">
        <f t="shared" si="50"/>
        <v>51</v>
      </c>
      <c r="M1162" t="s">
        <v>2036</v>
      </c>
      <c r="N1162" t="s">
        <v>161</v>
      </c>
      <c r="O1162" t="s">
        <v>2813</v>
      </c>
      <c r="P1162" t="s">
        <v>3796</v>
      </c>
      <c r="Q1162" t="s">
        <v>3797</v>
      </c>
      <c r="R1162" t="s">
        <v>3790</v>
      </c>
      <c r="V1162">
        <v>-1.04</v>
      </c>
      <c r="W1162" t="s">
        <v>2041</v>
      </c>
      <c r="X1162" t="s">
        <v>2041</v>
      </c>
      <c r="Z1162" t="str">
        <f t="shared" si="49"/>
        <v>Y</v>
      </c>
      <c r="AA1162" t="s">
        <v>2054</v>
      </c>
      <c r="AB1162" t="s">
        <v>3791</v>
      </c>
      <c r="AC1162" t="s">
        <v>3792</v>
      </c>
    </row>
    <row r="1163" spans="2:29" ht="15.5">
      <c r="B1163" t="s">
        <v>393</v>
      </c>
      <c r="C1163" t="s">
        <v>3786</v>
      </c>
      <c r="D1163" s="2" t="s">
        <v>3787</v>
      </c>
      <c r="E1163">
        <v>2022</v>
      </c>
      <c r="F1163" s="31" t="s">
        <v>3788</v>
      </c>
      <c r="G1163" s="32" t="s">
        <v>2035</v>
      </c>
      <c r="H1163" s="6">
        <v>53.93</v>
      </c>
      <c r="I1163" s="6">
        <v>-9.58</v>
      </c>
      <c r="J1163" s="6">
        <v>1970</v>
      </c>
      <c r="K1163" s="6">
        <v>2020</v>
      </c>
      <c r="L1163" s="6">
        <f t="shared" si="50"/>
        <v>51</v>
      </c>
      <c r="M1163" t="s">
        <v>2036</v>
      </c>
      <c r="N1163" t="s">
        <v>161</v>
      </c>
      <c r="O1163" t="s">
        <v>2813</v>
      </c>
      <c r="P1163" t="s">
        <v>3798</v>
      </c>
      <c r="Q1163" t="s">
        <v>3797</v>
      </c>
      <c r="R1163" t="s">
        <v>3795</v>
      </c>
      <c r="V1163">
        <v>2.4900000000000002</v>
      </c>
      <c r="W1163" t="s">
        <v>2058</v>
      </c>
      <c r="X1163" t="s">
        <v>2041</v>
      </c>
      <c r="Z1163" t="str">
        <f t="shared" si="49"/>
        <v>Y</v>
      </c>
      <c r="AA1163" t="s">
        <v>2054</v>
      </c>
      <c r="AB1163" t="s">
        <v>3791</v>
      </c>
      <c r="AC1163" t="s">
        <v>3792</v>
      </c>
    </row>
    <row r="1164" spans="2:29" ht="15.5">
      <c r="B1164" t="s">
        <v>393</v>
      </c>
      <c r="C1164" t="s">
        <v>3799</v>
      </c>
      <c r="D1164" s="2" t="s">
        <v>3800</v>
      </c>
      <c r="E1164">
        <v>2019</v>
      </c>
      <c r="F1164" s="31" t="s">
        <v>2131</v>
      </c>
      <c r="G1164" s="32" t="s">
        <v>2035</v>
      </c>
      <c r="H1164" s="6">
        <v>45.5</v>
      </c>
      <c r="I1164" s="6">
        <v>-4.4000000000000004</v>
      </c>
      <c r="J1164" s="6">
        <v>1987</v>
      </c>
      <c r="K1164" s="6">
        <v>2015</v>
      </c>
      <c r="L1164" s="6">
        <f t="shared" si="50"/>
        <v>29</v>
      </c>
      <c r="M1164" t="s">
        <v>2036</v>
      </c>
      <c r="N1164" t="s">
        <v>161</v>
      </c>
      <c r="O1164" t="s">
        <v>2813</v>
      </c>
      <c r="P1164" t="s">
        <v>3801</v>
      </c>
      <c r="Q1164" t="s">
        <v>1215</v>
      </c>
      <c r="R1164" t="s">
        <v>3802</v>
      </c>
      <c r="V1164">
        <v>-5.49</v>
      </c>
      <c r="W1164" t="s">
        <v>2041</v>
      </c>
      <c r="X1164" t="s">
        <v>2041</v>
      </c>
      <c r="Z1164" t="str">
        <f t="shared" si="49"/>
        <v>Y</v>
      </c>
      <c r="AA1164" t="s">
        <v>2054</v>
      </c>
      <c r="AB1164" t="s">
        <v>3803</v>
      </c>
      <c r="AC1164" t="s">
        <v>3663</v>
      </c>
    </row>
    <row r="1165" spans="2:29" ht="15.5">
      <c r="B1165" t="s">
        <v>393</v>
      </c>
      <c r="C1165" t="s">
        <v>3804</v>
      </c>
      <c r="D1165" s="2" t="s">
        <v>3805</v>
      </c>
      <c r="E1165">
        <v>2020</v>
      </c>
      <c r="F1165" s="31" t="s">
        <v>3806</v>
      </c>
      <c r="G1165" s="32" t="s">
        <v>2035</v>
      </c>
      <c r="H1165" s="6">
        <v>46</v>
      </c>
      <c r="I1165" s="6">
        <v>2</v>
      </c>
      <c r="J1165" s="6">
        <v>1984</v>
      </c>
      <c r="K1165" s="6">
        <v>2016</v>
      </c>
      <c r="L1165" s="6">
        <f t="shared" si="50"/>
        <v>33</v>
      </c>
      <c r="M1165" t="s">
        <v>2036</v>
      </c>
      <c r="N1165" t="s">
        <v>161</v>
      </c>
      <c r="O1165" t="s">
        <v>2813</v>
      </c>
      <c r="P1165" t="s">
        <v>163</v>
      </c>
      <c r="Q1165" t="s">
        <v>3779</v>
      </c>
      <c r="R1165" t="s">
        <v>3807</v>
      </c>
      <c r="V1165">
        <v>-3.7</v>
      </c>
      <c r="W1165" t="s">
        <v>2041</v>
      </c>
      <c r="X1165" t="s">
        <v>2041</v>
      </c>
      <c r="Z1165" t="str">
        <f t="shared" si="49"/>
        <v>Y</v>
      </c>
      <c r="AA1165" t="s">
        <v>2054</v>
      </c>
      <c r="AB1165" t="s">
        <v>3808</v>
      </c>
      <c r="AC1165" t="s">
        <v>3809</v>
      </c>
    </row>
    <row r="1166" spans="2:29" ht="15.5">
      <c r="B1166" t="s">
        <v>393</v>
      </c>
      <c r="C1166" t="s">
        <v>3804</v>
      </c>
      <c r="D1166" s="2" t="s">
        <v>3805</v>
      </c>
      <c r="E1166">
        <v>2020</v>
      </c>
      <c r="F1166" s="31" t="s">
        <v>3806</v>
      </c>
      <c r="G1166" s="32" t="s">
        <v>2035</v>
      </c>
      <c r="H1166" s="6">
        <v>46</v>
      </c>
      <c r="I1166" s="6">
        <v>2</v>
      </c>
      <c r="J1166" s="6">
        <v>1984</v>
      </c>
      <c r="K1166" s="6">
        <v>2016</v>
      </c>
      <c r="L1166" s="6">
        <f t="shared" si="50"/>
        <v>33</v>
      </c>
      <c r="M1166" t="s">
        <v>2036</v>
      </c>
      <c r="N1166" t="s">
        <v>161</v>
      </c>
      <c r="O1166" t="s">
        <v>2813</v>
      </c>
      <c r="P1166" t="s">
        <v>3810</v>
      </c>
      <c r="Q1166" t="s">
        <v>680</v>
      </c>
      <c r="R1166" t="s">
        <v>3807</v>
      </c>
      <c r="V1166">
        <v>0.08</v>
      </c>
      <c r="W1166" t="s">
        <v>2058</v>
      </c>
      <c r="X1166" t="s">
        <v>2041</v>
      </c>
      <c r="Z1166" t="str">
        <f t="shared" si="49"/>
        <v>Y</v>
      </c>
      <c r="AA1166" t="s">
        <v>2054</v>
      </c>
      <c r="AB1166" t="s">
        <v>3808</v>
      </c>
      <c r="AC1166" t="s">
        <v>3809</v>
      </c>
    </row>
    <row r="1167" spans="2:29" ht="15.5">
      <c r="B1167" t="s">
        <v>393</v>
      </c>
      <c r="C1167" t="s">
        <v>3804</v>
      </c>
      <c r="D1167" s="2" t="s">
        <v>3805</v>
      </c>
      <c r="E1167">
        <v>2020</v>
      </c>
      <c r="F1167" s="31" t="s">
        <v>3806</v>
      </c>
      <c r="G1167" s="32" t="s">
        <v>2035</v>
      </c>
      <c r="H1167" s="6">
        <v>46</v>
      </c>
      <c r="I1167" s="6">
        <v>2</v>
      </c>
      <c r="J1167" s="6">
        <v>1984</v>
      </c>
      <c r="K1167" s="6">
        <v>2016</v>
      </c>
      <c r="L1167" s="6">
        <f t="shared" si="50"/>
        <v>33</v>
      </c>
      <c r="M1167" t="s">
        <v>2036</v>
      </c>
      <c r="N1167" t="s">
        <v>161</v>
      </c>
      <c r="O1167" t="s">
        <v>2813</v>
      </c>
      <c r="P1167" t="s">
        <v>3811</v>
      </c>
      <c r="Q1167" t="s">
        <v>680</v>
      </c>
      <c r="R1167" t="s">
        <v>3807</v>
      </c>
      <c r="V1167">
        <v>-1.9</v>
      </c>
      <c r="W1167" t="s">
        <v>2041</v>
      </c>
      <c r="X1167" t="s">
        <v>2041</v>
      </c>
      <c r="Z1167" t="str">
        <f t="shared" si="49"/>
        <v>Y</v>
      </c>
      <c r="AA1167" t="s">
        <v>2054</v>
      </c>
      <c r="AB1167" t="s">
        <v>3808</v>
      </c>
      <c r="AC1167" t="s">
        <v>3809</v>
      </c>
    </row>
    <row r="1168" spans="2:29" ht="15.5">
      <c r="B1168" t="s">
        <v>393</v>
      </c>
      <c r="C1168" t="s">
        <v>3804</v>
      </c>
      <c r="D1168" s="2" t="s">
        <v>3805</v>
      </c>
      <c r="E1168">
        <v>2020</v>
      </c>
      <c r="F1168" s="31" t="s">
        <v>3806</v>
      </c>
      <c r="G1168" s="32" t="s">
        <v>2035</v>
      </c>
      <c r="H1168" s="6">
        <v>46</v>
      </c>
      <c r="I1168" s="6">
        <v>2</v>
      </c>
      <c r="J1168" s="6">
        <v>1984</v>
      </c>
      <c r="K1168" s="6">
        <v>2016</v>
      </c>
      <c r="L1168" s="6">
        <f t="shared" si="50"/>
        <v>33</v>
      </c>
      <c r="M1168" t="s">
        <v>2036</v>
      </c>
      <c r="N1168" t="s">
        <v>161</v>
      </c>
      <c r="O1168" t="s">
        <v>2813</v>
      </c>
      <c r="P1168" t="s">
        <v>3812</v>
      </c>
      <c r="Q1168" t="s">
        <v>3813</v>
      </c>
      <c r="R1168" t="s">
        <v>3807</v>
      </c>
      <c r="V1168">
        <v>-0.2</v>
      </c>
      <c r="W1168" t="s">
        <v>2041</v>
      </c>
      <c r="X1168" t="s">
        <v>2041</v>
      </c>
      <c r="Z1168" t="str">
        <f t="shared" si="49"/>
        <v>Y</v>
      </c>
      <c r="AA1168" t="s">
        <v>2054</v>
      </c>
      <c r="AB1168" t="s">
        <v>3808</v>
      </c>
      <c r="AC1168" t="s">
        <v>3809</v>
      </c>
    </row>
    <row r="1169" spans="2:29" ht="15.5">
      <c r="B1169" t="s">
        <v>393</v>
      </c>
      <c r="C1169" t="s">
        <v>3804</v>
      </c>
      <c r="D1169" s="2" t="s">
        <v>3805</v>
      </c>
      <c r="E1169">
        <v>2020</v>
      </c>
      <c r="F1169" s="31" t="s">
        <v>3806</v>
      </c>
      <c r="G1169" s="32" t="s">
        <v>2035</v>
      </c>
      <c r="H1169" s="6">
        <v>46</v>
      </c>
      <c r="I1169" s="6">
        <v>2</v>
      </c>
      <c r="J1169" s="6">
        <v>1984</v>
      </c>
      <c r="K1169" s="6">
        <v>2016</v>
      </c>
      <c r="L1169" s="6">
        <f t="shared" si="50"/>
        <v>33</v>
      </c>
      <c r="M1169" t="s">
        <v>2036</v>
      </c>
      <c r="N1169" t="s">
        <v>161</v>
      </c>
      <c r="O1169" t="s">
        <v>2813</v>
      </c>
      <c r="P1169" t="s">
        <v>2309</v>
      </c>
      <c r="Q1169" t="s">
        <v>2100</v>
      </c>
      <c r="R1169" t="s">
        <v>3807</v>
      </c>
      <c r="V1169">
        <v>-2.9</v>
      </c>
      <c r="W1169" t="s">
        <v>2041</v>
      </c>
      <c r="X1169" t="s">
        <v>2041</v>
      </c>
      <c r="Z1169" t="str">
        <f t="shared" si="49"/>
        <v>Y</v>
      </c>
      <c r="AA1169" t="s">
        <v>2054</v>
      </c>
      <c r="AB1169" t="s">
        <v>3808</v>
      </c>
      <c r="AC1169" t="s">
        <v>3809</v>
      </c>
    </row>
    <row r="1170" spans="2:29" ht="15.5">
      <c r="B1170" t="s">
        <v>393</v>
      </c>
      <c r="C1170" t="s">
        <v>3804</v>
      </c>
      <c r="D1170" s="2" t="s">
        <v>3805</v>
      </c>
      <c r="E1170">
        <v>2020</v>
      </c>
      <c r="F1170" s="31" t="s">
        <v>3806</v>
      </c>
      <c r="G1170" s="32" t="s">
        <v>2035</v>
      </c>
      <c r="H1170" s="6">
        <v>46</v>
      </c>
      <c r="I1170" s="6">
        <v>2</v>
      </c>
      <c r="J1170" s="6">
        <v>1984</v>
      </c>
      <c r="K1170" s="6">
        <v>2016</v>
      </c>
      <c r="L1170" s="6">
        <f t="shared" si="50"/>
        <v>33</v>
      </c>
      <c r="M1170" t="s">
        <v>2036</v>
      </c>
      <c r="N1170" t="s">
        <v>161</v>
      </c>
      <c r="O1170" t="s">
        <v>2813</v>
      </c>
      <c r="P1170" t="s">
        <v>3814</v>
      </c>
      <c r="Q1170" t="s">
        <v>3797</v>
      </c>
      <c r="R1170" t="s">
        <v>3807</v>
      </c>
      <c r="V1170">
        <v>-2.6</v>
      </c>
      <c r="W1170" t="s">
        <v>2041</v>
      </c>
      <c r="X1170" t="s">
        <v>2041</v>
      </c>
      <c r="Z1170" t="str">
        <f t="shared" si="49"/>
        <v>Y</v>
      </c>
      <c r="AA1170" t="s">
        <v>2054</v>
      </c>
      <c r="AB1170" t="s">
        <v>3808</v>
      </c>
      <c r="AC1170" t="s">
        <v>3809</v>
      </c>
    </row>
    <row r="1171" spans="2:29" ht="15.5">
      <c r="B1171" t="s">
        <v>393</v>
      </c>
      <c r="C1171" t="s">
        <v>3815</v>
      </c>
      <c r="D1171" s="2" t="s">
        <v>3816</v>
      </c>
      <c r="E1171">
        <v>2008</v>
      </c>
      <c r="F1171" s="31" t="s">
        <v>3817</v>
      </c>
      <c r="G1171" s="32" t="s">
        <v>3818</v>
      </c>
      <c r="H1171" s="6">
        <v>53</v>
      </c>
      <c r="I1171" s="6">
        <v>4.7</v>
      </c>
      <c r="J1171" s="6">
        <v>1970</v>
      </c>
      <c r="K1171" s="6">
        <v>2004</v>
      </c>
      <c r="L1171" s="6">
        <f t="shared" si="50"/>
        <v>35</v>
      </c>
      <c r="M1171" t="s">
        <v>2036</v>
      </c>
      <c r="N1171" t="s">
        <v>161</v>
      </c>
      <c r="O1171" t="s">
        <v>2813</v>
      </c>
      <c r="P1171" t="s">
        <v>3819</v>
      </c>
      <c r="Q1171" t="s">
        <v>165</v>
      </c>
      <c r="R1171" t="s">
        <v>163</v>
      </c>
      <c r="V1171">
        <v>-8</v>
      </c>
      <c r="W1171" t="s">
        <v>2041</v>
      </c>
      <c r="X1171" t="s">
        <v>2041</v>
      </c>
      <c r="Z1171" t="str">
        <f t="shared" si="49"/>
        <v>Y</v>
      </c>
      <c r="AA1171" t="s">
        <v>2054</v>
      </c>
      <c r="AB1171" t="s">
        <v>3819</v>
      </c>
      <c r="AC1171" t="s">
        <v>3820</v>
      </c>
    </row>
    <row r="1172" spans="2:29" ht="15.5">
      <c r="B1172" t="s">
        <v>393</v>
      </c>
      <c r="C1172" t="s">
        <v>3815</v>
      </c>
      <c r="D1172" s="2" t="s">
        <v>3816</v>
      </c>
      <c r="E1172">
        <v>2008</v>
      </c>
      <c r="F1172" s="31" t="s">
        <v>3821</v>
      </c>
      <c r="G1172" s="32" t="s">
        <v>2035</v>
      </c>
      <c r="H1172" s="6">
        <v>53</v>
      </c>
      <c r="I1172" s="6">
        <v>4.7</v>
      </c>
      <c r="J1172" s="6">
        <v>1970</v>
      </c>
      <c r="K1172" s="6">
        <v>2004</v>
      </c>
      <c r="L1172" s="6">
        <f t="shared" si="50"/>
        <v>35</v>
      </c>
      <c r="M1172" t="s">
        <v>2036</v>
      </c>
      <c r="N1172" t="s">
        <v>161</v>
      </c>
      <c r="O1172" t="s">
        <v>2813</v>
      </c>
      <c r="P1172" t="s">
        <v>3819</v>
      </c>
      <c r="Q1172" t="s">
        <v>166</v>
      </c>
      <c r="R1172" t="s">
        <v>163</v>
      </c>
      <c r="V1172">
        <v>-10</v>
      </c>
      <c r="W1172" t="s">
        <v>2041</v>
      </c>
      <c r="X1172" t="s">
        <v>2041</v>
      </c>
      <c r="Z1172" t="str">
        <f t="shared" si="49"/>
        <v>Y</v>
      </c>
      <c r="AA1172" t="s">
        <v>2054</v>
      </c>
      <c r="AB1172" t="s">
        <v>3819</v>
      </c>
      <c r="AC1172" t="s">
        <v>3820</v>
      </c>
    </row>
    <row r="1173" spans="2:29" ht="15.5">
      <c r="B1173" t="s">
        <v>393</v>
      </c>
      <c r="C1173" t="s">
        <v>3822</v>
      </c>
      <c r="D1173" t="s">
        <v>3823</v>
      </c>
      <c r="E1173">
        <v>2025</v>
      </c>
      <c r="F1173" s="31" t="s">
        <v>3824</v>
      </c>
      <c r="G1173" s="32" t="s">
        <v>3818</v>
      </c>
      <c r="H1173" s="6">
        <v>38.04</v>
      </c>
      <c r="I1173" s="6">
        <v>-121.84</v>
      </c>
      <c r="J1173" s="6">
        <v>1972</v>
      </c>
      <c r="K1173" s="6">
        <v>2021</v>
      </c>
      <c r="L1173" s="6">
        <f t="shared" si="50"/>
        <v>50</v>
      </c>
      <c r="M1173" t="s">
        <v>3825</v>
      </c>
      <c r="N1173" t="s">
        <v>161</v>
      </c>
      <c r="O1173" t="s">
        <v>2813</v>
      </c>
      <c r="P1173" t="s">
        <v>3819</v>
      </c>
      <c r="Q1173" t="s">
        <v>3826</v>
      </c>
      <c r="R1173" t="s">
        <v>3827</v>
      </c>
      <c r="V1173">
        <v>-4.2915449778038198E-2</v>
      </c>
      <c r="W1173" t="s">
        <v>2041</v>
      </c>
      <c r="X1173" t="s">
        <v>2041</v>
      </c>
      <c r="Z1173" t="str">
        <f t="shared" si="49"/>
        <v>Y</v>
      </c>
      <c r="AA1173" t="s">
        <v>2054</v>
      </c>
      <c r="AB1173" t="s">
        <v>3828</v>
      </c>
      <c r="AC1173" t="s">
        <v>3829</v>
      </c>
    </row>
    <row r="1174" spans="2:29" ht="15.5">
      <c r="B1174" t="s">
        <v>393</v>
      </c>
      <c r="C1174" t="s">
        <v>3822</v>
      </c>
      <c r="D1174" t="s">
        <v>3823</v>
      </c>
      <c r="E1174">
        <v>2025</v>
      </c>
      <c r="F1174" s="31" t="s">
        <v>3830</v>
      </c>
      <c r="G1174" s="32" t="s">
        <v>3818</v>
      </c>
      <c r="H1174" s="6">
        <v>38.07</v>
      </c>
      <c r="I1174" s="6">
        <v>-122.06</v>
      </c>
      <c r="J1174" s="6">
        <v>1972</v>
      </c>
      <c r="K1174" s="6">
        <v>2021</v>
      </c>
      <c r="L1174" s="6">
        <f t="shared" si="50"/>
        <v>50</v>
      </c>
      <c r="M1174" t="s">
        <v>3825</v>
      </c>
      <c r="N1174" t="s">
        <v>161</v>
      </c>
      <c r="O1174" t="s">
        <v>2813</v>
      </c>
      <c r="P1174" t="s">
        <v>3819</v>
      </c>
      <c r="Q1174" t="s">
        <v>3831</v>
      </c>
      <c r="R1174" t="s">
        <v>3827</v>
      </c>
      <c r="V1174">
        <v>1.5879883420736101</v>
      </c>
      <c r="W1174" t="s">
        <v>2058</v>
      </c>
      <c r="X1174" t="s">
        <v>2041</v>
      </c>
      <c r="Z1174" t="str">
        <f t="shared" si="49"/>
        <v>Y</v>
      </c>
      <c r="AA1174" t="s">
        <v>2054</v>
      </c>
      <c r="AB1174" t="s">
        <v>3828</v>
      </c>
      <c r="AC1174" t="s">
        <v>3829</v>
      </c>
    </row>
    <row r="1175" spans="2:29" ht="15.5">
      <c r="B1175" t="s">
        <v>393</v>
      </c>
      <c r="C1175" t="s">
        <v>3822</v>
      </c>
      <c r="D1175" t="s">
        <v>3823</v>
      </c>
      <c r="E1175">
        <v>2025</v>
      </c>
      <c r="F1175" s="31" t="s">
        <v>3830</v>
      </c>
      <c r="G1175" s="32" t="s">
        <v>3818</v>
      </c>
      <c r="H1175" s="6">
        <v>38.07</v>
      </c>
      <c r="I1175" s="6">
        <v>-122.06</v>
      </c>
      <c r="J1175" s="6">
        <v>1972</v>
      </c>
      <c r="K1175" s="6">
        <v>2021</v>
      </c>
      <c r="L1175" s="6">
        <f t="shared" si="50"/>
        <v>50</v>
      </c>
      <c r="M1175" t="s">
        <v>3825</v>
      </c>
      <c r="N1175" t="s">
        <v>161</v>
      </c>
      <c r="O1175" t="s">
        <v>2813</v>
      </c>
      <c r="P1175" t="s">
        <v>3819</v>
      </c>
      <c r="Q1175" t="s">
        <v>3832</v>
      </c>
      <c r="R1175" t="s">
        <v>3827</v>
      </c>
      <c r="V1175">
        <v>4.6781211599662802</v>
      </c>
      <c r="W1175" t="s">
        <v>2058</v>
      </c>
      <c r="X1175" t="s">
        <v>2041</v>
      </c>
      <c r="Z1175" t="str">
        <f t="shared" si="49"/>
        <v>Y</v>
      </c>
      <c r="AA1175" t="s">
        <v>2054</v>
      </c>
      <c r="AB1175" t="s">
        <v>3828</v>
      </c>
      <c r="AC1175" t="s">
        <v>3829</v>
      </c>
    </row>
    <row r="1176" spans="2:29" ht="15.5">
      <c r="B1176" t="s">
        <v>393</v>
      </c>
      <c r="C1176" t="s">
        <v>3822</v>
      </c>
      <c r="D1176" t="s">
        <v>3823</v>
      </c>
      <c r="E1176">
        <v>2025</v>
      </c>
      <c r="F1176" s="31" t="s">
        <v>3830</v>
      </c>
      <c r="G1176" s="32" t="s">
        <v>3818</v>
      </c>
      <c r="H1176" s="6">
        <v>38.07</v>
      </c>
      <c r="I1176" s="6">
        <v>-122.06</v>
      </c>
      <c r="J1176" s="6">
        <v>1972</v>
      </c>
      <c r="K1176" s="6">
        <v>2021</v>
      </c>
      <c r="L1176" s="6">
        <f t="shared" si="50"/>
        <v>50</v>
      </c>
      <c r="M1176" t="s">
        <v>3825</v>
      </c>
      <c r="N1176" t="s">
        <v>161</v>
      </c>
      <c r="O1176" t="s">
        <v>2813</v>
      </c>
      <c r="P1176" t="s">
        <v>3819</v>
      </c>
      <c r="Q1176" t="s">
        <v>3826</v>
      </c>
      <c r="R1176" t="s">
        <v>3827</v>
      </c>
      <c r="V1176">
        <v>0.72961451302051294</v>
      </c>
      <c r="W1176" t="s">
        <v>2058</v>
      </c>
      <c r="X1176" t="s">
        <v>2041</v>
      </c>
      <c r="Z1176" t="str">
        <f t="shared" si="49"/>
        <v>Y</v>
      </c>
      <c r="AA1176" t="s">
        <v>2054</v>
      </c>
      <c r="AB1176" t="s">
        <v>3828</v>
      </c>
      <c r="AC1176" t="s">
        <v>3829</v>
      </c>
    </row>
    <row r="1177" spans="2:29" ht="15.5">
      <c r="B1177" t="s">
        <v>393</v>
      </c>
      <c r="C1177" t="s">
        <v>3822</v>
      </c>
      <c r="D1177" t="s">
        <v>3823</v>
      </c>
      <c r="E1177">
        <v>2025</v>
      </c>
      <c r="F1177" s="31" t="s">
        <v>3830</v>
      </c>
      <c r="G1177" s="32" t="s">
        <v>3818</v>
      </c>
      <c r="H1177" s="6">
        <v>38.07</v>
      </c>
      <c r="I1177" s="6">
        <v>-122.06</v>
      </c>
      <c r="J1177" s="6">
        <v>1972</v>
      </c>
      <c r="K1177" s="6">
        <v>2021</v>
      </c>
      <c r="L1177" s="6">
        <f t="shared" si="50"/>
        <v>50</v>
      </c>
      <c r="M1177" t="s">
        <v>3825</v>
      </c>
      <c r="N1177" t="s">
        <v>161</v>
      </c>
      <c r="O1177" t="s">
        <v>2813</v>
      </c>
      <c r="P1177" t="s">
        <v>3819</v>
      </c>
      <c r="Q1177" t="s">
        <v>3833</v>
      </c>
      <c r="R1177" t="s">
        <v>3827</v>
      </c>
      <c r="V1177">
        <v>3.2188834894595901</v>
      </c>
      <c r="W1177" t="s">
        <v>2058</v>
      </c>
      <c r="X1177" t="s">
        <v>2041</v>
      </c>
      <c r="Z1177" t="str">
        <f t="shared" si="49"/>
        <v>Y</v>
      </c>
      <c r="AA1177" t="s">
        <v>2054</v>
      </c>
      <c r="AB1177" t="s">
        <v>3828</v>
      </c>
      <c r="AC1177" t="s">
        <v>3829</v>
      </c>
    </row>
    <row r="1178" spans="2:29" ht="15.5">
      <c r="B1178" t="s">
        <v>393</v>
      </c>
      <c r="C1178" t="s">
        <v>3822</v>
      </c>
      <c r="D1178" t="s">
        <v>3823</v>
      </c>
      <c r="E1178">
        <v>2025</v>
      </c>
      <c r="F1178" s="31" t="s">
        <v>3834</v>
      </c>
      <c r="G1178" s="32" t="s">
        <v>3818</v>
      </c>
      <c r="H1178" s="6">
        <v>38.06</v>
      </c>
      <c r="I1178" s="6">
        <v>-122.41</v>
      </c>
      <c r="J1178" s="6">
        <v>1980</v>
      </c>
      <c r="K1178" s="6">
        <v>2020</v>
      </c>
      <c r="L1178" s="6">
        <f t="shared" si="50"/>
        <v>41</v>
      </c>
      <c r="M1178" t="s">
        <v>3825</v>
      </c>
      <c r="N1178" t="s">
        <v>161</v>
      </c>
      <c r="O1178" t="s">
        <v>2813</v>
      </c>
      <c r="P1178" t="s">
        <v>3819</v>
      </c>
      <c r="Q1178" t="s">
        <v>68</v>
      </c>
      <c r="R1178" t="s">
        <v>3827</v>
      </c>
      <c r="V1178">
        <v>1.1587992664306399</v>
      </c>
      <c r="W1178" t="s">
        <v>2058</v>
      </c>
      <c r="X1178" t="s">
        <v>2041</v>
      </c>
      <c r="Z1178" t="str">
        <f t="shared" si="49"/>
        <v>Y</v>
      </c>
      <c r="AA1178" t="s">
        <v>2054</v>
      </c>
      <c r="AB1178" t="s">
        <v>3828</v>
      </c>
      <c r="AC1178" t="s">
        <v>3829</v>
      </c>
    </row>
    <row r="1179" spans="2:29" ht="15.5">
      <c r="B1179" t="s">
        <v>393</v>
      </c>
      <c r="C1179" t="s">
        <v>3822</v>
      </c>
      <c r="D1179" t="s">
        <v>3823</v>
      </c>
      <c r="E1179">
        <v>2025</v>
      </c>
      <c r="F1179" s="31" t="s">
        <v>3834</v>
      </c>
      <c r="G1179" s="32" t="s">
        <v>3818</v>
      </c>
      <c r="H1179" s="6">
        <v>38.06</v>
      </c>
      <c r="I1179" s="6">
        <v>-122.41</v>
      </c>
      <c r="J1179" s="6">
        <v>1980</v>
      </c>
      <c r="K1179" s="6">
        <v>2020</v>
      </c>
      <c r="L1179" s="6">
        <f t="shared" si="50"/>
        <v>41</v>
      </c>
      <c r="M1179" t="s">
        <v>3825</v>
      </c>
      <c r="N1179" t="s">
        <v>161</v>
      </c>
      <c r="O1179" t="s">
        <v>2813</v>
      </c>
      <c r="P1179" t="s">
        <v>3819</v>
      </c>
      <c r="Q1179" t="s">
        <v>3835</v>
      </c>
      <c r="R1179" t="s">
        <v>3827</v>
      </c>
      <c r="V1179">
        <v>1.2446344882195399</v>
      </c>
      <c r="W1179" t="s">
        <v>2058</v>
      </c>
      <c r="X1179" t="s">
        <v>2041</v>
      </c>
      <c r="Z1179" t="str">
        <f t="shared" si="49"/>
        <v>Y</v>
      </c>
      <c r="AA1179" t="s">
        <v>2054</v>
      </c>
      <c r="AB1179" t="s">
        <v>3828</v>
      </c>
      <c r="AC1179" t="s">
        <v>3829</v>
      </c>
    </row>
    <row r="1180" spans="2:29" ht="15.5">
      <c r="B1180" t="s">
        <v>393</v>
      </c>
      <c r="C1180" t="s">
        <v>3822</v>
      </c>
      <c r="D1180" t="s">
        <v>3823</v>
      </c>
      <c r="E1180">
        <v>2025</v>
      </c>
      <c r="F1180" s="31" t="s">
        <v>3834</v>
      </c>
      <c r="G1180" s="32" t="s">
        <v>3818</v>
      </c>
      <c r="H1180" s="6">
        <v>38.06</v>
      </c>
      <c r="I1180" s="6">
        <v>-122.41</v>
      </c>
      <c r="J1180" s="6">
        <v>1980</v>
      </c>
      <c r="K1180" s="6">
        <v>2020</v>
      </c>
      <c r="L1180" s="6">
        <f t="shared" si="50"/>
        <v>41</v>
      </c>
      <c r="M1180" t="s">
        <v>3825</v>
      </c>
      <c r="N1180" t="s">
        <v>161</v>
      </c>
      <c r="O1180" t="s">
        <v>2813</v>
      </c>
      <c r="P1180" t="s">
        <v>3819</v>
      </c>
      <c r="Q1180" t="s">
        <v>3833</v>
      </c>
      <c r="R1180" t="s">
        <v>3827</v>
      </c>
      <c r="V1180">
        <v>2.9613735018600802</v>
      </c>
      <c r="W1180" t="s">
        <v>2058</v>
      </c>
      <c r="X1180" t="s">
        <v>2041</v>
      </c>
      <c r="Z1180" t="str">
        <f t="shared" si="49"/>
        <v>Y</v>
      </c>
      <c r="AA1180" t="s">
        <v>2054</v>
      </c>
      <c r="AB1180" t="s">
        <v>3828</v>
      </c>
      <c r="AC1180" t="s">
        <v>3829</v>
      </c>
    </row>
    <row r="1181" spans="2:29" ht="15.5">
      <c r="B1181" t="s">
        <v>393</v>
      </c>
      <c r="C1181" t="s">
        <v>3822</v>
      </c>
      <c r="D1181" t="s">
        <v>3823</v>
      </c>
      <c r="E1181">
        <v>2025</v>
      </c>
      <c r="F1181" s="31" t="s">
        <v>3834</v>
      </c>
      <c r="G1181" s="32" t="s">
        <v>3818</v>
      </c>
      <c r="H1181" s="6">
        <v>38.06</v>
      </c>
      <c r="I1181" s="6">
        <v>-122.41</v>
      </c>
      <c r="J1181" s="6">
        <v>1980</v>
      </c>
      <c r="K1181" s="6">
        <v>2020</v>
      </c>
      <c r="L1181" s="6">
        <f t="shared" si="50"/>
        <v>41</v>
      </c>
      <c r="M1181" t="s">
        <v>3825</v>
      </c>
      <c r="N1181" t="s">
        <v>161</v>
      </c>
      <c r="O1181" t="s">
        <v>2813</v>
      </c>
      <c r="P1181" t="s">
        <v>3819</v>
      </c>
      <c r="Q1181" t="s">
        <v>3836</v>
      </c>
      <c r="R1181" t="s">
        <v>3827</v>
      </c>
      <c r="V1181">
        <v>-2.1888392168287001</v>
      </c>
      <c r="W1181" t="s">
        <v>2041</v>
      </c>
      <c r="X1181" t="s">
        <v>2041</v>
      </c>
      <c r="Z1181" t="str">
        <f t="shared" si="49"/>
        <v>Y</v>
      </c>
      <c r="AA1181" t="s">
        <v>2054</v>
      </c>
      <c r="AB1181" t="s">
        <v>3828</v>
      </c>
      <c r="AC1181" t="s">
        <v>3829</v>
      </c>
    </row>
    <row r="1182" spans="2:29" ht="15.5">
      <c r="B1182" t="s">
        <v>393</v>
      </c>
      <c r="C1182" t="s">
        <v>3837</v>
      </c>
      <c r="D1182" s="2" t="s">
        <v>3838</v>
      </c>
      <c r="E1182">
        <v>2009</v>
      </c>
      <c r="F1182" s="31" t="s">
        <v>3839</v>
      </c>
      <c r="G1182" s="32" t="s">
        <v>2035</v>
      </c>
      <c r="H1182" s="6">
        <v>41.5</v>
      </c>
      <c r="I1182" s="6">
        <v>-71.5</v>
      </c>
      <c r="J1182" s="6">
        <v>1974</v>
      </c>
      <c r="K1182" s="6">
        <v>2002</v>
      </c>
      <c r="L1182" s="6">
        <f t="shared" si="50"/>
        <v>29</v>
      </c>
      <c r="M1182" t="s">
        <v>2148</v>
      </c>
      <c r="N1182" t="s">
        <v>161</v>
      </c>
      <c r="O1182" t="s">
        <v>2813</v>
      </c>
      <c r="P1182" t="s">
        <v>2209</v>
      </c>
      <c r="Q1182" t="s">
        <v>219</v>
      </c>
      <c r="R1182" t="s">
        <v>3840</v>
      </c>
      <c r="V1182">
        <v>-4</v>
      </c>
      <c r="W1182" t="s">
        <v>2041</v>
      </c>
      <c r="X1182" t="s">
        <v>2041</v>
      </c>
      <c r="Z1182" t="str">
        <f t="shared" si="49"/>
        <v>Y</v>
      </c>
      <c r="AA1182" t="s">
        <v>3841</v>
      </c>
      <c r="AB1182" t="s">
        <v>3842</v>
      </c>
      <c r="AC1182" t="s">
        <v>3843</v>
      </c>
    </row>
    <row r="1183" spans="2:29" ht="15.5">
      <c r="B1183" t="s">
        <v>393</v>
      </c>
      <c r="C1183" t="s">
        <v>3844</v>
      </c>
      <c r="D1183" s="2" t="s">
        <v>3845</v>
      </c>
      <c r="E1183">
        <v>2003</v>
      </c>
      <c r="F1183" s="31" t="s">
        <v>3846</v>
      </c>
      <c r="G1183" s="32" t="s">
        <v>2035</v>
      </c>
      <c r="H1183" s="6">
        <v>45.5</v>
      </c>
      <c r="I1183" s="6">
        <v>-68.8</v>
      </c>
      <c r="J1183" s="6">
        <v>1983</v>
      </c>
      <c r="K1183" s="6">
        <v>2001</v>
      </c>
      <c r="L1183" s="6">
        <f t="shared" si="50"/>
        <v>19</v>
      </c>
      <c r="M1183" t="s">
        <v>2036</v>
      </c>
      <c r="N1183" t="s">
        <v>161</v>
      </c>
      <c r="O1183" t="s">
        <v>2813</v>
      </c>
      <c r="P1183" t="s">
        <v>2099</v>
      </c>
      <c r="Q1183" t="s">
        <v>2100</v>
      </c>
      <c r="R1183" t="s">
        <v>3847</v>
      </c>
      <c r="V1183">
        <v>-13.3</v>
      </c>
      <c r="W1183" t="s">
        <v>2041</v>
      </c>
      <c r="X1183" t="s">
        <v>2041</v>
      </c>
      <c r="Z1183" t="str">
        <f t="shared" si="49"/>
        <v>Y</v>
      </c>
      <c r="AA1183" t="s">
        <v>3841</v>
      </c>
      <c r="AB1183" t="s">
        <v>3848</v>
      </c>
      <c r="AC1183" t="s">
        <v>3849</v>
      </c>
    </row>
    <row r="1184" spans="2:29" ht="15.5">
      <c r="B1184" t="s">
        <v>393</v>
      </c>
      <c r="C1184" t="s">
        <v>3844</v>
      </c>
      <c r="D1184" s="2" t="s">
        <v>3845</v>
      </c>
      <c r="E1184">
        <v>2003</v>
      </c>
      <c r="F1184" s="31" t="s">
        <v>3850</v>
      </c>
      <c r="G1184" s="32" t="s">
        <v>2035</v>
      </c>
      <c r="H1184" s="6">
        <v>43.91</v>
      </c>
      <c r="I1184" s="6">
        <v>-69.989999999999995</v>
      </c>
      <c r="J1184" s="6">
        <v>1983</v>
      </c>
      <c r="K1184" s="6">
        <v>2001</v>
      </c>
      <c r="L1184" s="6">
        <f t="shared" si="50"/>
        <v>19</v>
      </c>
      <c r="M1184" t="s">
        <v>2036</v>
      </c>
      <c r="N1184" t="s">
        <v>161</v>
      </c>
      <c r="O1184" t="s">
        <v>2813</v>
      </c>
      <c r="P1184" t="s">
        <v>2209</v>
      </c>
      <c r="Q1184" t="s">
        <v>219</v>
      </c>
      <c r="R1184" t="s">
        <v>3847</v>
      </c>
      <c r="V1184">
        <v>-8.6999999999999993</v>
      </c>
      <c r="W1184" t="s">
        <v>2041</v>
      </c>
      <c r="X1184" t="s">
        <v>2041</v>
      </c>
      <c r="Z1184" t="str">
        <f t="shared" si="49"/>
        <v>Y</v>
      </c>
      <c r="AA1184" t="s">
        <v>3841</v>
      </c>
      <c r="AB1184" t="s">
        <v>3848</v>
      </c>
      <c r="AC1184" t="s">
        <v>3849</v>
      </c>
    </row>
    <row r="1185" spans="2:29" ht="15.5">
      <c r="B1185" t="s">
        <v>393</v>
      </c>
      <c r="C1185" t="s">
        <v>3851</v>
      </c>
      <c r="D1185" s="2" t="s">
        <v>3852</v>
      </c>
      <c r="E1185">
        <v>2010</v>
      </c>
      <c r="F1185" s="31" t="s">
        <v>3853</v>
      </c>
      <c r="G1185" s="32" t="s">
        <v>2035</v>
      </c>
      <c r="H1185" s="6">
        <v>46.72</v>
      </c>
      <c r="I1185" s="6">
        <v>-95.91</v>
      </c>
      <c r="J1185" s="6">
        <v>1971</v>
      </c>
      <c r="K1185" s="6">
        <v>2006</v>
      </c>
      <c r="L1185" s="6">
        <f t="shared" si="50"/>
        <v>36</v>
      </c>
      <c r="M1185" t="s">
        <v>2036</v>
      </c>
      <c r="N1185" t="s">
        <v>161</v>
      </c>
      <c r="O1185" t="s">
        <v>2813</v>
      </c>
      <c r="P1185" t="s">
        <v>3854</v>
      </c>
      <c r="Q1185" t="s">
        <v>3855</v>
      </c>
      <c r="R1185" t="s">
        <v>3856</v>
      </c>
      <c r="V1185">
        <v>-1.8</v>
      </c>
      <c r="W1185" t="s">
        <v>2041</v>
      </c>
      <c r="X1185" t="s">
        <v>2041</v>
      </c>
      <c r="Z1185" t="str">
        <f t="shared" si="49"/>
        <v>Y</v>
      </c>
      <c r="AA1185" t="s">
        <v>3841</v>
      </c>
      <c r="AB1185" t="s">
        <v>3857</v>
      </c>
      <c r="AC1185" t="s">
        <v>3858</v>
      </c>
    </row>
    <row r="1186" spans="2:29" ht="15.5">
      <c r="B1186" t="s">
        <v>393</v>
      </c>
      <c r="C1186" t="s">
        <v>3851</v>
      </c>
      <c r="D1186" s="2" t="s">
        <v>3852</v>
      </c>
      <c r="E1186">
        <v>2010</v>
      </c>
      <c r="F1186" s="31" t="s">
        <v>3859</v>
      </c>
      <c r="G1186" s="32" t="s">
        <v>2035</v>
      </c>
      <c r="H1186" s="6">
        <v>47.167999999999999</v>
      </c>
      <c r="I1186" s="6">
        <v>-94.12</v>
      </c>
      <c r="J1186" s="6">
        <v>1970</v>
      </c>
      <c r="K1186" s="6">
        <v>2006</v>
      </c>
      <c r="L1186" s="6">
        <f t="shared" si="50"/>
        <v>37</v>
      </c>
      <c r="M1186" t="s">
        <v>2036</v>
      </c>
      <c r="N1186" t="s">
        <v>161</v>
      </c>
      <c r="O1186" t="s">
        <v>2813</v>
      </c>
      <c r="P1186" t="s">
        <v>3854</v>
      </c>
      <c r="Q1186" t="s">
        <v>3855</v>
      </c>
      <c r="R1186" t="s">
        <v>3856</v>
      </c>
      <c r="V1186">
        <v>-0.4</v>
      </c>
      <c r="W1186" t="s">
        <v>2041</v>
      </c>
      <c r="X1186" t="s">
        <v>2041</v>
      </c>
      <c r="Z1186" t="str">
        <f t="shared" si="49"/>
        <v>Y</v>
      </c>
      <c r="AA1186" t="s">
        <v>3841</v>
      </c>
      <c r="AB1186" t="s">
        <v>3857</v>
      </c>
      <c r="AC1186" t="s">
        <v>3858</v>
      </c>
    </row>
    <row r="1187" spans="2:29" ht="15.5">
      <c r="B1187" t="s">
        <v>393</v>
      </c>
      <c r="C1187" t="s">
        <v>3851</v>
      </c>
      <c r="D1187" s="2" t="s">
        <v>3852</v>
      </c>
      <c r="E1187">
        <v>2010</v>
      </c>
      <c r="F1187" s="31" t="s">
        <v>3860</v>
      </c>
      <c r="G1187" s="32" t="s">
        <v>2035</v>
      </c>
      <c r="H1187" s="6">
        <v>45.33</v>
      </c>
      <c r="I1187" s="6">
        <v>-93.74</v>
      </c>
      <c r="J1187" s="6">
        <v>1985</v>
      </c>
      <c r="K1187" s="6">
        <v>1993</v>
      </c>
      <c r="L1187" s="6">
        <f t="shared" si="50"/>
        <v>9</v>
      </c>
      <c r="M1187" t="s">
        <v>2036</v>
      </c>
      <c r="N1187" t="s">
        <v>161</v>
      </c>
      <c r="O1187" t="s">
        <v>2813</v>
      </c>
      <c r="P1187" t="s">
        <v>3854</v>
      </c>
      <c r="Q1187" t="s">
        <v>3855</v>
      </c>
      <c r="R1187" t="s">
        <v>3856</v>
      </c>
      <c r="V1187">
        <v>7.33</v>
      </c>
      <c r="W1187" t="s">
        <v>2058</v>
      </c>
      <c r="X1187" t="s">
        <v>2058</v>
      </c>
      <c r="Z1187" t="str">
        <f t="shared" si="49"/>
        <v>N</v>
      </c>
      <c r="AA1187" t="s">
        <v>3841</v>
      </c>
      <c r="AB1187" t="s">
        <v>3857</v>
      </c>
      <c r="AC1187" t="s">
        <v>3858</v>
      </c>
    </row>
    <row r="1188" spans="2:29" ht="15.5">
      <c r="B1188" t="s">
        <v>393</v>
      </c>
      <c r="C1188" t="s">
        <v>3851</v>
      </c>
      <c r="D1188" s="2" t="s">
        <v>3852</v>
      </c>
      <c r="E1188">
        <v>2010</v>
      </c>
      <c r="F1188" s="31" t="s">
        <v>3861</v>
      </c>
      <c r="G1188" s="32" t="s">
        <v>2035</v>
      </c>
      <c r="H1188" s="6">
        <v>47.5</v>
      </c>
      <c r="I1188" s="6">
        <v>-94.04</v>
      </c>
      <c r="J1188" s="6">
        <v>1942</v>
      </c>
      <c r="K1188" s="6">
        <v>2007</v>
      </c>
      <c r="L1188" s="6">
        <f t="shared" si="50"/>
        <v>66</v>
      </c>
      <c r="M1188" t="s">
        <v>2036</v>
      </c>
      <c r="N1188" t="s">
        <v>161</v>
      </c>
      <c r="O1188" t="s">
        <v>2813</v>
      </c>
      <c r="P1188" t="s">
        <v>3854</v>
      </c>
      <c r="Q1188" t="s">
        <v>3855</v>
      </c>
      <c r="R1188" t="s">
        <v>3856</v>
      </c>
      <c r="V1188">
        <v>-0.76</v>
      </c>
      <c r="W1188" t="s">
        <v>2041</v>
      </c>
      <c r="X1188" t="s">
        <v>2041</v>
      </c>
      <c r="Z1188" t="str">
        <f t="shared" si="49"/>
        <v>Y</v>
      </c>
      <c r="AA1188" t="s">
        <v>3841</v>
      </c>
      <c r="AB1188" t="s">
        <v>3857</v>
      </c>
      <c r="AC1188" t="s">
        <v>3858</v>
      </c>
    </row>
    <row r="1189" spans="2:29" ht="15.5">
      <c r="B1189" t="s">
        <v>393</v>
      </c>
      <c r="C1189" t="s">
        <v>3851</v>
      </c>
      <c r="D1189" s="2" t="s">
        <v>3852</v>
      </c>
      <c r="E1189">
        <v>2010</v>
      </c>
      <c r="F1189" s="31" t="s">
        <v>3862</v>
      </c>
      <c r="G1189" s="32" t="s">
        <v>2035</v>
      </c>
      <c r="H1189" s="6">
        <v>47.5</v>
      </c>
      <c r="I1189" s="6">
        <v>-94.04</v>
      </c>
      <c r="J1189" s="6">
        <v>1970</v>
      </c>
      <c r="K1189" s="6">
        <v>2007</v>
      </c>
      <c r="L1189" s="6">
        <f t="shared" si="50"/>
        <v>38</v>
      </c>
      <c r="M1189" t="s">
        <v>2036</v>
      </c>
      <c r="N1189" t="s">
        <v>161</v>
      </c>
      <c r="O1189" t="s">
        <v>2813</v>
      </c>
      <c r="P1189" t="s">
        <v>3854</v>
      </c>
      <c r="Q1189" t="s">
        <v>3855</v>
      </c>
      <c r="R1189" t="s">
        <v>3856</v>
      </c>
      <c r="V1189">
        <v>-1.32</v>
      </c>
      <c r="W1189" t="s">
        <v>2041</v>
      </c>
      <c r="X1189" t="s">
        <v>2041</v>
      </c>
      <c r="Z1189" t="str">
        <f t="shared" si="49"/>
        <v>Y</v>
      </c>
      <c r="AA1189" t="s">
        <v>3841</v>
      </c>
      <c r="AB1189" t="s">
        <v>3857</v>
      </c>
      <c r="AC1189" t="s">
        <v>3858</v>
      </c>
    </row>
    <row r="1190" spans="2:29" ht="15.5">
      <c r="B1190" t="s">
        <v>393</v>
      </c>
      <c r="C1190" t="s">
        <v>3851</v>
      </c>
      <c r="D1190" s="2" t="s">
        <v>3852</v>
      </c>
      <c r="E1190">
        <v>2010</v>
      </c>
      <c r="F1190" s="31" t="s">
        <v>3863</v>
      </c>
      <c r="G1190" s="32" t="s">
        <v>2035</v>
      </c>
      <c r="H1190" s="6">
        <v>46.43</v>
      </c>
      <c r="I1190" s="6">
        <v>-95.66</v>
      </c>
      <c r="J1190" s="6">
        <v>1966</v>
      </c>
      <c r="K1190" s="6">
        <v>2007</v>
      </c>
      <c r="L1190" s="6">
        <f t="shared" si="50"/>
        <v>42</v>
      </c>
      <c r="M1190" t="s">
        <v>2036</v>
      </c>
      <c r="N1190" t="s">
        <v>161</v>
      </c>
      <c r="O1190" t="s">
        <v>2813</v>
      </c>
      <c r="P1190" t="s">
        <v>3854</v>
      </c>
      <c r="Q1190" t="s">
        <v>3855</v>
      </c>
      <c r="R1190" t="s">
        <v>3856</v>
      </c>
      <c r="V1190">
        <v>-0.98</v>
      </c>
      <c r="W1190" t="s">
        <v>2041</v>
      </c>
      <c r="X1190" t="s">
        <v>2041</v>
      </c>
      <c r="Z1190" t="str">
        <f t="shared" si="49"/>
        <v>Y</v>
      </c>
      <c r="AA1190" t="s">
        <v>3841</v>
      </c>
      <c r="AB1190" t="s">
        <v>3857</v>
      </c>
      <c r="AC1190" t="s">
        <v>3858</v>
      </c>
    </row>
    <row r="1191" spans="2:29" ht="15.5">
      <c r="B1191" t="s">
        <v>393</v>
      </c>
      <c r="C1191" t="s">
        <v>3851</v>
      </c>
      <c r="D1191" s="2" t="s">
        <v>3852</v>
      </c>
      <c r="E1191">
        <v>2010</v>
      </c>
      <c r="F1191" s="31" t="s">
        <v>3864</v>
      </c>
      <c r="G1191" s="32" t="s">
        <v>2035</v>
      </c>
      <c r="H1191" s="6">
        <v>45.33</v>
      </c>
      <c r="I1191" s="6">
        <v>-94.7</v>
      </c>
      <c r="J1191" s="6">
        <v>1996</v>
      </c>
      <c r="K1191" s="6">
        <v>2007</v>
      </c>
      <c r="L1191" s="6">
        <f t="shared" si="50"/>
        <v>12</v>
      </c>
      <c r="M1191" t="s">
        <v>2036</v>
      </c>
      <c r="N1191" t="s">
        <v>161</v>
      </c>
      <c r="O1191" t="s">
        <v>2813</v>
      </c>
      <c r="P1191" t="s">
        <v>3854</v>
      </c>
      <c r="Q1191" t="s">
        <v>3855</v>
      </c>
      <c r="R1191" t="s">
        <v>3856</v>
      </c>
      <c r="V1191">
        <v>-13.3</v>
      </c>
      <c r="W1191" t="s">
        <v>2041</v>
      </c>
      <c r="X1191" t="s">
        <v>2058</v>
      </c>
      <c r="Z1191" t="str">
        <f t="shared" si="49"/>
        <v>N</v>
      </c>
      <c r="AA1191" t="s">
        <v>3841</v>
      </c>
      <c r="AB1191" t="s">
        <v>3857</v>
      </c>
      <c r="AC1191" t="s">
        <v>3858</v>
      </c>
    </row>
    <row r="1192" spans="2:29" ht="15.5">
      <c r="B1192" t="s">
        <v>393</v>
      </c>
      <c r="C1192" t="s">
        <v>3851</v>
      </c>
      <c r="D1192" s="2" t="s">
        <v>3852</v>
      </c>
      <c r="E1192">
        <v>2010</v>
      </c>
      <c r="F1192" s="31" t="s">
        <v>3865</v>
      </c>
      <c r="G1192" s="32" t="s">
        <v>2035</v>
      </c>
      <c r="H1192" s="6">
        <v>46.77</v>
      </c>
      <c r="I1192" s="6">
        <v>-95.89</v>
      </c>
      <c r="J1192" s="6">
        <v>1971</v>
      </c>
      <c r="K1192" s="6">
        <v>2007</v>
      </c>
      <c r="L1192" s="6">
        <f t="shared" si="50"/>
        <v>37</v>
      </c>
      <c r="M1192" t="s">
        <v>2036</v>
      </c>
      <c r="N1192" t="s">
        <v>161</v>
      </c>
      <c r="O1192" t="s">
        <v>2813</v>
      </c>
      <c r="P1192" t="s">
        <v>3854</v>
      </c>
      <c r="Q1192" t="s">
        <v>3855</v>
      </c>
      <c r="R1192" t="s">
        <v>3856</v>
      </c>
      <c r="V1192">
        <v>-0.22</v>
      </c>
      <c r="W1192" t="s">
        <v>2041</v>
      </c>
      <c r="X1192" t="s">
        <v>2041</v>
      </c>
      <c r="Z1192" t="str">
        <f t="shared" si="49"/>
        <v>Y</v>
      </c>
      <c r="AA1192" t="s">
        <v>3841</v>
      </c>
      <c r="AB1192" t="s">
        <v>3857</v>
      </c>
      <c r="AC1192" t="s">
        <v>3858</v>
      </c>
    </row>
    <row r="1193" spans="2:29" ht="15.5">
      <c r="B1193" t="s">
        <v>393</v>
      </c>
      <c r="C1193" t="s">
        <v>3851</v>
      </c>
      <c r="D1193" s="2" t="s">
        <v>3852</v>
      </c>
      <c r="E1193">
        <v>2010</v>
      </c>
      <c r="F1193" s="31" t="s">
        <v>3866</v>
      </c>
      <c r="G1193" s="32" t="s">
        <v>2035</v>
      </c>
      <c r="H1193" s="6">
        <v>46.21</v>
      </c>
      <c r="I1193" s="6">
        <v>-96.18</v>
      </c>
      <c r="J1193" s="6">
        <v>1954</v>
      </c>
      <c r="K1193" s="6">
        <v>2002</v>
      </c>
      <c r="L1193" s="6">
        <f t="shared" si="50"/>
        <v>49</v>
      </c>
      <c r="M1193" t="s">
        <v>2036</v>
      </c>
      <c r="N1193" t="s">
        <v>161</v>
      </c>
      <c r="O1193" t="s">
        <v>2813</v>
      </c>
      <c r="P1193" t="s">
        <v>3854</v>
      </c>
      <c r="Q1193" t="s">
        <v>3855</v>
      </c>
      <c r="R1193" t="s">
        <v>3856</v>
      </c>
      <c r="V1193">
        <v>-2.97</v>
      </c>
      <c r="W1193" t="s">
        <v>2041</v>
      </c>
      <c r="X1193" t="s">
        <v>2041</v>
      </c>
      <c r="Z1193" t="str">
        <f t="shared" si="49"/>
        <v>Y</v>
      </c>
      <c r="AA1193" t="s">
        <v>3841</v>
      </c>
      <c r="AB1193" t="s">
        <v>3857</v>
      </c>
      <c r="AC1193" t="s">
        <v>3858</v>
      </c>
    </row>
    <row r="1194" spans="2:29" ht="15.5">
      <c r="B1194" t="s">
        <v>393</v>
      </c>
      <c r="C1194" t="s">
        <v>3851</v>
      </c>
      <c r="D1194" s="2" t="s">
        <v>3852</v>
      </c>
      <c r="E1194">
        <v>2010</v>
      </c>
      <c r="F1194" s="31" t="s">
        <v>3866</v>
      </c>
      <c r="G1194" s="32" t="s">
        <v>2035</v>
      </c>
      <c r="H1194" s="6">
        <v>46.21</v>
      </c>
      <c r="I1194" s="6">
        <v>-96.18</v>
      </c>
      <c r="J1194" s="6">
        <v>1971</v>
      </c>
      <c r="K1194" s="6">
        <v>2002</v>
      </c>
      <c r="L1194" s="6">
        <f t="shared" si="50"/>
        <v>32</v>
      </c>
      <c r="M1194" t="s">
        <v>2036</v>
      </c>
      <c r="N1194" t="s">
        <v>161</v>
      </c>
      <c r="O1194" t="s">
        <v>2813</v>
      </c>
      <c r="P1194" t="s">
        <v>3854</v>
      </c>
      <c r="Q1194" t="s">
        <v>3855</v>
      </c>
      <c r="R1194" t="s">
        <v>3856</v>
      </c>
      <c r="V1194">
        <v>-2.25</v>
      </c>
      <c r="W1194" t="s">
        <v>2041</v>
      </c>
      <c r="X1194" t="s">
        <v>2058</v>
      </c>
      <c r="Z1194" t="str">
        <f t="shared" si="49"/>
        <v>Y</v>
      </c>
      <c r="AA1194" t="s">
        <v>3841</v>
      </c>
      <c r="AB1194" t="s">
        <v>3857</v>
      </c>
      <c r="AC1194" t="s">
        <v>3858</v>
      </c>
    </row>
    <row r="1195" spans="2:29" ht="15.5">
      <c r="B1195" t="s">
        <v>393</v>
      </c>
      <c r="C1195" t="s">
        <v>3851</v>
      </c>
      <c r="D1195" s="2" t="s">
        <v>3852</v>
      </c>
      <c r="E1195">
        <v>2010</v>
      </c>
      <c r="F1195" s="31" t="s">
        <v>3867</v>
      </c>
      <c r="G1195" s="32" t="s">
        <v>2035</v>
      </c>
      <c r="H1195" s="6">
        <v>47.8</v>
      </c>
      <c r="I1195" s="6">
        <v>-92.37</v>
      </c>
      <c r="J1195" s="6">
        <v>1946</v>
      </c>
      <c r="K1195" s="6">
        <v>2007</v>
      </c>
      <c r="L1195" s="6">
        <f t="shared" si="50"/>
        <v>62</v>
      </c>
      <c r="M1195" t="s">
        <v>2036</v>
      </c>
      <c r="N1195" t="s">
        <v>161</v>
      </c>
      <c r="O1195" t="s">
        <v>2813</v>
      </c>
      <c r="P1195" t="s">
        <v>3854</v>
      </c>
      <c r="Q1195" t="s">
        <v>3855</v>
      </c>
      <c r="R1195" t="s">
        <v>3856</v>
      </c>
      <c r="V1195">
        <v>-0.11</v>
      </c>
      <c r="W1195" t="s">
        <v>2041</v>
      </c>
      <c r="X1195" t="s">
        <v>2041</v>
      </c>
      <c r="Z1195" t="str">
        <f t="shared" si="49"/>
        <v>Y</v>
      </c>
      <c r="AA1195" t="s">
        <v>3841</v>
      </c>
      <c r="AB1195" t="s">
        <v>3857</v>
      </c>
      <c r="AC1195" t="s">
        <v>3858</v>
      </c>
    </row>
    <row r="1196" spans="2:29" ht="15.5">
      <c r="B1196" t="s">
        <v>393</v>
      </c>
      <c r="C1196" t="s">
        <v>3851</v>
      </c>
      <c r="D1196" s="2" t="s">
        <v>3852</v>
      </c>
      <c r="E1196">
        <v>2010</v>
      </c>
      <c r="F1196" s="31" t="s">
        <v>3867</v>
      </c>
      <c r="G1196" s="32" t="s">
        <v>2035</v>
      </c>
      <c r="H1196" s="6">
        <v>47.8</v>
      </c>
      <c r="I1196" s="6">
        <v>-92.37</v>
      </c>
      <c r="J1196" s="6">
        <v>1971</v>
      </c>
      <c r="K1196" s="6">
        <v>2007</v>
      </c>
      <c r="L1196" s="6">
        <f t="shared" si="50"/>
        <v>37</v>
      </c>
      <c r="M1196" t="s">
        <v>2036</v>
      </c>
      <c r="N1196" t="s">
        <v>161</v>
      </c>
      <c r="O1196" t="s">
        <v>2813</v>
      </c>
      <c r="P1196" t="s">
        <v>3854</v>
      </c>
      <c r="Q1196" t="s">
        <v>3855</v>
      </c>
      <c r="R1196" t="s">
        <v>3856</v>
      </c>
      <c r="V1196">
        <v>-1.25</v>
      </c>
      <c r="W1196" t="s">
        <v>2041</v>
      </c>
      <c r="X1196" t="s">
        <v>2041</v>
      </c>
      <c r="Z1196" t="str">
        <f t="shared" si="49"/>
        <v>Y</v>
      </c>
      <c r="AA1196" t="s">
        <v>3841</v>
      </c>
      <c r="AB1196" t="s">
        <v>3857</v>
      </c>
      <c r="AC1196" t="s">
        <v>3858</v>
      </c>
    </row>
    <row r="1197" spans="2:29" ht="15.5">
      <c r="B1197" t="s">
        <v>393</v>
      </c>
      <c r="C1197" t="s">
        <v>3851</v>
      </c>
      <c r="D1197" s="2" t="s">
        <v>3852</v>
      </c>
      <c r="E1197">
        <v>2010</v>
      </c>
      <c r="F1197" s="31" t="s">
        <v>3868</v>
      </c>
      <c r="G1197" s="32" t="s">
        <v>2035</v>
      </c>
      <c r="H1197" s="6">
        <v>46.71</v>
      </c>
      <c r="I1197" s="6">
        <v>-94.4</v>
      </c>
      <c r="J1197" s="6">
        <v>1942</v>
      </c>
      <c r="K1197" s="6">
        <v>2006</v>
      </c>
      <c r="L1197" s="6">
        <f t="shared" si="50"/>
        <v>65</v>
      </c>
      <c r="M1197" t="s">
        <v>2036</v>
      </c>
      <c r="N1197" t="s">
        <v>161</v>
      </c>
      <c r="O1197" t="s">
        <v>2813</v>
      </c>
      <c r="P1197" t="s">
        <v>3854</v>
      </c>
      <c r="Q1197" t="s">
        <v>3855</v>
      </c>
      <c r="R1197" t="s">
        <v>3856</v>
      </c>
      <c r="V1197">
        <v>-0.51</v>
      </c>
      <c r="W1197" t="s">
        <v>2041</v>
      </c>
      <c r="X1197" t="s">
        <v>2041</v>
      </c>
      <c r="Z1197" t="str">
        <f t="shared" si="49"/>
        <v>Y</v>
      </c>
      <c r="AA1197" t="s">
        <v>3841</v>
      </c>
      <c r="AB1197" t="s">
        <v>3857</v>
      </c>
      <c r="AC1197" t="s">
        <v>3858</v>
      </c>
    </row>
    <row r="1198" spans="2:29" ht="15.5">
      <c r="B1198" t="s">
        <v>393</v>
      </c>
      <c r="C1198" t="s">
        <v>3851</v>
      </c>
      <c r="D1198" s="2" t="s">
        <v>3852</v>
      </c>
      <c r="E1198">
        <v>2010</v>
      </c>
      <c r="F1198" s="31" t="s">
        <v>3868</v>
      </c>
      <c r="G1198" s="32" t="s">
        <v>2035</v>
      </c>
      <c r="H1198" s="6">
        <v>46.71</v>
      </c>
      <c r="I1198" s="6">
        <v>-94.4</v>
      </c>
      <c r="J1198" s="6">
        <v>1970</v>
      </c>
      <c r="K1198" s="6">
        <v>2006</v>
      </c>
      <c r="L1198" s="6">
        <f t="shared" si="50"/>
        <v>37</v>
      </c>
      <c r="M1198" t="s">
        <v>2036</v>
      </c>
      <c r="N1198" t="s">
        <v>161</v>
      </c>
      <c r="O1198" t="s">
        <v>2813</v>
      </c>
      <c r="P1198" t="s">
        <v>3854</v>
      </c>
      <c r="Q1198" t="s">
        <v>3855</v>
      </c>
      <c r="R1198" t="s">
        <v>3856</v>
      </c>
      <c r="V1198">
        <v>-2</v>
      </c>
      <c r="W1198" t="s">
        <v>2041</v>
      </c>
      <c r="X1198" t="s">
        <v>2058</v>
      </c>
      <c r="Z1198" t="str">
        <f t="shared" si="49"/>
        <v>Y</v>
      </c>
      <c r="AA1198" t="s">
        <v>3841</v>
      </c>
      <c r="AB1198" t="s">
        <v>3857</v>
      </c>
      <c r="AC1198" t="s">
        <v>3858</v>
      </c>
    </row>
    <row r="1199" spans="2:29" ht="15.5">
      <c r="B1199" t="s">
        <v>393</v>
      </c>
      <c r="C1199" t="s">
        <v>3851</v>
      </c>
      <c r="D1199" s="2" t="s">
        <v>3852</v>
      </c>
      <c r="E1199">
        <v>2010</v>
      </c>
      <c r="F1199" s="31" t="s">
        <v>3869</v>
      </c>
      <c r="G1199" s="32" t="s">
        <v>2035</v>
      </c>
      <c r="H1199" s="6">
        <v>47.39</v>
      </c>
      <c r="I1199" s="6">
        <v>-95.51</v>
      </c>
      <c r="J1199" s="6">
        <v>1987</v>
      </c>
      <c r="K1199" s="6">
        <v>2007</v>
      </c>
      <c r="L1199" s="6">
        <f t="shared" si="50"/>
        <v>21</v>
      </c>
      <c r="M1199" t="s">
        <v>2036</v>
      </c>
      <c r="N1199" t="s">
        <v>161</v>
      </c>
      <c r="O1199" t="s">
        <v>2813</v>
      </c>
      <c r="P1199" t="s">
        <v>3854</v>
      </c>
      <c r="Q1199" t="s">
        <v>3855</v>
      </c>
      <c r="R1199" t="s">
        <v>3856</v>
      </c>
      <c r="V1199">
        <v>1.64</v>
      </c>
      <c r="W1199" t="s">
        <v>2058</v>
      </c>
      <c r="X1199" t="s">
        <v>2041</v>
      </c>
      <c r="Z1199" t="str">
        <f t="shared" si="49"/>
        <v>Y</v>
      </c>
      <c r="AA1199" t="s">
        <v>3841</v>
      </c>
      <c r="AB1199" t="s">
        <v>3857</v>
      </c>
      <c r="AC1199" t="s">
        <v>3858</v>
      </c>
    </row>
    <row r="1200" spans="2:29" ht="15.5">
      <c r="B1200" t="s">
        <v>393</v>
      </c>
      <c r="C1200" t="s">
        <v>3851</v>
      </c>
      <c r="D1200" s="2" t="s">
        <v>3852</v>
      </c>
      <c r="E1200">
        <v>2010</v>
      </c>
      <c r="F1200" s="31" t="s">
        <v>3870</v>
      </c>
      <c r="G1200" s="32" t="s">
        <v>2035</v>
      </c>
      <c r="H1200" s="6">
        <v>46.75</v>
      </c>
      <c r="I1200" s="6">
        <v>-92.1</v>
      </c>
      <c r="J1200" s="6">
        <v>1992</v>
      </c>
      <c r="K1200" s="6">
        <v>2006</v>
      </c>
      <c r="L1200" s="6">
        <f t="shared" si="50"/>
        <v>15</v>
      </c>
      <c r="M1200" t="s">
        <v>2036</v>
      </c>
      <c r="N1200" t="s">
        <v>161</v>
      </c>
      <c r="O1200" t="s">
        <v>2813</v>
      </c>
      <c r="P1200" t="s">
        <v>3854</v>
      </c>
      <c r="Q1200" t="s">
        <v>3855</v>
      </c>
      <c r="R1200" t="s">
        <v>3856</v>
      </c>
      <c r="V1200">
        <v>-2.79</v>
      </c>
      <c r="W1200" t="s">
        <v>2041</v>
      </c>
      <c r="X1200" t="s">
        <v>2041</v>
      </c>
      <c r="Z1200" t="str">
        <f t="shared" si="49"/>
        <v>N</v>
      </c>
      <c r="AA1200" t="s">
        <v>3841</v>
      </c>
      <c r="AB1200" t="s">
        <v>3857</v>
      </c>
      <c r="AC1200" t="s">
        <v>3858</v>
      </c>
    </row>
    <row r="1201" spans="2:29" ht="15.5">
      <c r="B1201" t="s">
        <v>393</v>
      </c>
      <c r="C1201" t="s">
        <v>3871</v>
      </c>
      <c r="D1201" s="2" t="s">
        <v>3872</v>
      </c>
      <c r="E1201">
        <v>2013</v>
      </c>
      <c r="F1201" s="31" t="s">
        <v>2087</v>
      </c>
      <c r="G1201" s="32" t="s">
        <v>2035</v>
      </c>
      <c r="H1201" s="6">
        <v>58.38</v>
      </c>
      <c r="I1201" s="6">
        <v>-134.63999999999999</v>
      </c>
      <c r="J1201" s="6">
        <v>1970</v>
      </c>
      <c r="K1201" s="6">
        <v>2010</v>
      </c>
      <c r="L1201" s="6">
        <f t="shared" si="50"/>
        <v>41</v>
      </c>
      <c r="M1201" t="s">
        <v>2036</v>
      </c>
      <c r="N1201" t="s">
        <v>161</v>
      </c>
      <c r="O1201" t="s">
        <v>2813</v>
      </c>
      <c r="P1201" t="s">
        <v>3873</v>
      </c>
      <c r="Q1201" t="s">
        <v>2089</v>
      </c>
      <c r="R1201" t="s">
        <v>3874</v>
      </c>
      <c r="V1201">
        <v>-3.2933339017740999</v>
      </c>
      <c r="W1201" t="s">
        <v>2041</v>
      </c>
      <c r="X1201" t="s">
        <v>2041</v>
      </c>
      <c r="Z1201" t="str">
        <f t="shared" si="49"/>
        <v>Y</v>
      </c>
      <c r="AA1201" t="s">
        <v>3841</v>
      </c>
      <c r="AB1201" t="s">
        <v>3875</v>
      </c>
      <c r="AC1201" t="s">
        <v>3553</v>
      </c>
    </row>
    <row r="1202" spans="2:29" ht="15.5">
      <c r="B1202" t="s">
        <v>393</v>
      </c>
      <c r="C1202" t="s">
        <v>3871</v>
      </c>
      <c r="D1202" s="2" t="s">
        <v>3872</v>
      </c>
      <c r="E1202">
        <v>2013</v>
      </c>
      <c r="F1202" s="31" t="s">
        <v>2087</v>
      </c>
      <c r="G1202" s="32" t="s">
        <v>2035</v>
      </c>
      <c r="H1202" s="6">
        <v>58.38</v>
      </c>
      <c r="I1202" s="6">
        <v>-134.63999999999999</v>
      </c>
      <c r="J1202" s="6">
        <v>1970</v>
      </c>
      <c r="K1202" s="6">
        <v>2010</v>
      </c>
      <c r="L1202" s="6">
        <f t="shared" si="50"/>
        <v>41</v>
      </c>
      <c r="M1202" t="s">
        <v>2036</v>
      </c>
      <c r="N1202" t="s">
        <v>161</v>
      </c>
      <c r="O1202" t="s">
        <v>2813</v>
      </c>
      <c r="P1202" t="s">
        <v>3876</v>
      </c>
      <c r="Q1202" t="s">
        <v>2089</v>
      </c>
      <c r="R1202" t="s">
        <v>3874</v>
      </c>
      <c r="V1202">
        <v>-2.5599996508788898</v>
      </c>
      <c r="W1202" t="s">
        <v>2041</v>
      </c>
      <c r="X1202" t="s">
        <v>2041</v>
      </c>
      <c r="Z1202" t="str">
        <f t="shared" si="49"/>
        <v>Y</v>
      </c>
      <c r="AA1202" t="s">
        <v>3841</v>
      </c>
      <c r="AB1202" t="s">
        <v>3875</v>
      </c>
      <c r="AC1202" t="s">
        <v>3553</v>
      </c>
    </row>
    <row r="1203" spans="2:29" ht="15.5">
      <c r="B1203" t="s">
        <v>393</v>
      </c>
      <c r="C1203" t="s">
        <v>3871</v>
      </c>
      <c r="D1203" s="2" t="s">
        <v>3872</v>
      </c>
      <c r="E1203">
        <v>2013</v>
      </c>
      <c r="F1203" s="31" t="s">
        <v>2087</v>
      </c>
      <c r="G1203" s="32" t="s">
        <v>2035</v>
      </c>
      <c r="H1203" s="6">
        <v>58.38</v>
      </c>
      <c r="I1203" s="6">
        <v>-134.63999999999999</v>
      </c>
      <c r="J1203" s="6">
        <v>1970</v>
      </c>
      <c r="K1203" s="6">
        <v>2010</v>
      </c>
      <c r="L1203" s="6">
        <f t="shared" si="50"/>
        <v>41</v>
      </c>
      <c r="M1203" t="s">
        <v>2036</v>
      </c>
      <c r="N1203" t="s">
        <v>161</v>
      </c>
      <c r="O1203" t="s">
        <v>2813</v>
      </c>
      <c r="P1203" t="s">
        <v>3877</v>
      </c>
      <c r="Q1203" t="s">
        <v>2868</v>
      </c>
      <c r="R1203" t="s">
        <v>3874</v>
      </c>
      <c r="V1203">
        <v>1.90666650105794</v>
      </c>
      <c r="W1203" t="s">
        <v>2058</v>
      </c>
      <c r="X1203" t="s">
        <v>2041</v>
      </c>
      <c r="Z1203" t="str">
        <f t="shared" si="49"/>
        <v>Y</v>
      </c>
      <c r="AA1203" t="s">
        <v>3841</v>
      </c>
      <c r="AB1203" t="s">
        <v>3875</v>
      </c>
      <c r="AC1203" t="s">
        <v>3553</v>
      </c>
    </row>
    <row r="1204" spans="2:29" ht="15.5">
      <c r="B1204" t="s">
        <v>393</v>
      </c>
      <c r="C1204" t="s">
        <v>3871</v>
      </c>
      <c r="D1204" s="2" t="s">
        <v>3872</v>
      </c>
      <c r="E1204">
        <v>2013</v>
      </c>
      <c r="F1204" s="31" t="s">
        <v>2087</v>
      </c>
      <c r="G1204" s="32" t="s">
        <v>2035</v>
      </c>
      <c r="H1204" s="6">
        <v>58.38</v>
      </c>
      <c r="I1204" s="6">
        <v>-134.63999999999999</v>
      </c>
      <c r="J1204" s="6">
        <v>1970</v>
      </c>
      <c r="K1204" s="6">
        <v>2010</v>
      </c>
      <c r="L1204" s="6">
        <f t="shared" si="50"/>
        <v>41</v>
      </c>
      <c r="M1204" t="s">
        <v>2036</v>
      </c>
      <c r="N1204" t="s">
        <v>161</v>
      </c>
      <c r="O1204" t="s">
        <v>2813</v>
      </c>
      <c r="P1204" t="s">
        <v>3878</v>
      </c>
      <c r="Q1204" t="s">
        <v>2868</v>
      </c>
      <c r="R1204" t="s">
        <v>3874</v>
      </c>
      <c r="V1204">
        <v>-3.0533339554850398</v>
      </c>
      <c r="W1204" t="s">
        <v>2041</v>
      </c>
      <c r="X1204" t="s">
        <v>2041</v>
      </c>
      <c r="Z1204" t="str">
        <f t="shared" si="49"/>
        <v>Y</v>
      </c>
      <c r="AA1204" t="s">
        <v>3841</v>
      </c>
      <c r="AB1204" t="s">
        <v>3875</v>
      </c>
      <c r="AC1204" t="s">
        <v>3553</v>
      </c>
    </row>
    <row r="1205" spans="2:29" ht="15.5">
      <c r="B1205" t="s">
        <v>393</v>
      </c>
      <c r="C1205" t="s">
        <v>3871</v>
      </c>
      <c r="D1205" s="2" t="s">
        <v>3872</v>
      </c>
      <c r="E1205">
        <v>2013</v>
      </c>
      <c r="F1205" s="31" t="s">
        <v>2087</v>
      </c>
      <c r="G1205" s="32" t="s">
        <v>2035</v>
      </c>
      <c r="H1205" s="6">
        <v>58.38</v>
      </c>
      <c r="I1205" s="6">
        <v>-134.63999999999999</v>
      </c>
      <c r="J1205" s="6">
        <v>1970</v>
      </c>
      <c r="K1205" s="6">
        <v>2010</v>
      </c>
      <c r="L1205" s="6">
        <f t="shared" si="50"/>
        <v>41</v>
      </c>
      <c r="M1205" t="s">
        <v>2036</v>
      </c>
      <c r="N1205" t="s">
        <v>161</v>
      </c>
      <c r="O1205" t="s">
        <v>2813</v>
      </c>
      <c r="P1205" t="s">
        <v>3879</v>
      </c>
      <c r="Q1205" t="s">
        <v>2047</v>
      </c>
      <c r="R1205" t="s">
        <v>3874</v>
      </c>
      <c r="V1205">
        <v>-4.1999993957519299</v>
      </c>
      <c r="W1205" t="s">
        <v>2041</v>
      </c>
      <c r="X1205" t="s">
        <v>2041</v>
      </c>
      <c r="Z1205" t="str">
        <f t="shared" si="49"/>
        <v>Y</v>
      </c>
      <c r="AA1205" t="s">
        <v>3841</v>
      </c>
      <c r="AB1205" t="s">
        <v>3875</v>
      </c>
      <c r="AC1205" t="s">
        <v>3553</v>
      </c>
    </row>
    <row r="1206" spans="2:29" ht="15.5">
      <c r="B1206" t="s">
        <v>393</v>
      </c>
      <c r="C1206" t="s">
        <v>3871</v>
      </c>
      <c r="D1206" s="2" t="s">
        <v>3872</v>
      </c>
      <c r="E1206">
        <v>2013</v>
      </c>
      <c r="F1206" s="31" t="s">
        <v>2087</v>
      </c>
      <c r="G1206" s="32" t="s">
        <v>2035</v>
      </c>
      <c r="H1206" s="6">
        <v>58.38</v>
      </c>
      <c r="I1206" s="6">
        <v>-134.63999999999999</v>
      </c>
      <c r="J1206" s="6">
        <v>1970</v>
      </c>
      <c r="K1206" s="6">
        <v>2010</v>
      </c>
      <c r="L1206" s="6">
        <f t="shared" si="50"/>
        <v>41</v>
      </c>
      <c r="M1206" t="s">
        <v>2036</v>
      </c>
      <c r="N1206" t="s">
        <v>161</v>
      </c>
      <c r="O1206" t="s">
        <v>2813</v>
      </c>
      <c r="P1206" t="s">
        <v>3880</v>
      </c>
      <c r="Q1206" t="s">
        <v>2047</v>
      </c>
      <c r="R1206" t="s">
        <v>3874</v>
      </c>
      <c r="V1206">
        <v>-3.1066662325032399</v>
      </c>
      <c r="W1206" t="s">
        <v>2041</v>
      </c>
      <c r="X1206" t="s">
        <v>2041</v>
      </c>
      <c r="Z1206" t="str">
        <f t="shared" si="49"/>
        <v>Y</v>
      </c>
      <c r="AA1206" t="s">
        <v>3841</v>
      </c>
      <c r="AB1206" t="s">
        <v>3875</v>
      </c>
      <c r="AC1206" t="s">
        <v>3553</v>
      </c>
    </row>
    <row r="1207" spans="2:29" ht="15.5">
      <c r="B1207" t="s">
        <v>393</v>
      </c>
      <c r="C1207" t="s">
        <v>3871</v>
      </c>
      <c r="D1207" s="2" t="s">
        <v>3872</v>
      </c>
      <c r="E1207">
        <v>2013</v>
      </c>
      <c r="F1207" s="31" t="s">
        <v>2087</v>
      </c>
      <c r="G1207" s="32" t="s">
        <v>2035</v>
      </c>
      <c r="H1207" s="6">
        <v>58.38</v>
      </c>
      <c r="I1207" s="6">
        <v>-134.63999999999999</v>
      </c>
      <c r="J1207" s="6">
        <v>1970</v>
      </c>
      <c r="K1207" s="6">
        <v>2010</v>
      </c>
      <c r="L1207" s="6">
        <f t="shared" si="50"/>
        <v>41</v>
      </c>
      <c r="M1207" t="s">
        <v>2036</v>
      </c>
      <c r="N1207" t="s">
        <v>161</v>
      </c>
      <c r="O1207" t="s">
        <v>2813</v>
      </c>
      <c r="P1207" t="s">
        <v>3873</v>
      </c>
      <c r="Q1207" t="s">
        <v>2089</v>
      </c>
      <c r="R1207" t="s">
        <v>3881</v>
      </c>
      <c r="V1207">
        <v>-4.9466660445149504</v>
      </c>
      <c r="W1207" t="s">
        <v>2041</v>
      </c>
      <c r="X1207" t="s">
        <v>2041</v>
      </c>
      <c r="Z1207" t="str">
        <f t="shared" si="49"/>
        <v>Y</v>
      </c>
      <c r="AA1207" t="s">
        <v>3841</v>
      </c>
      <c r="AB1207" t="s">
        <v>3875</v>
      </c>
      <c r="AC1207" t="s">
        <v>3553</v>
      </c>
    </row>
    <row r="1208" spans="2:29" ht="15.5">
      <c r="B1208" t="s">
        <v>393</v>
      </c>
      <c r="C1208" t="s">
        <v>3871</v>
      </c>
      <c r="D1208" s="2" t="s">
        <v>3872</v>
      </c>
      <c r="E1208">
        <v>2013</v>
      </c>
      <c r="F1208" s="31" t="s">
        <v>2087</v>
      </c>
      <c r="G1208" s="32" t="s">
        <v>2035</v>
      </c>
      <c r="H1208" s="6">
        <v>58.38</v>
      </c>
      <c r="I1208" s="6">
        <v>-134.63999999999999</v>
      </c>
      <c r="J1208" s="6">
        <v>1970</v>
      </c>
      <c r="K1208" s="6">
        <v>2010</v>
      </c>
      <c r="L1208" s="6">
        <f t="shared" si="50"/>
        <v>41</v>
      </c>
      <c r="M1208" t="s">
        <v>2036</v>
      </c>
      <c r="N1208" t="s">
        <v>161</v>
      </c>
      <c r="O1208" t="s">
        <v>2813</v>
      </c>
      <c r="P1208" t="s">
        <v>3876</v>
      </c>
      <c r="Q1208" t="s">
        <v>2089</v>
      </c>
      <c r="R1208" t="s">
        <v>3881</v>
      </c>
      <c r="V1208">
        <v>-2.7333342508952101</v>
      </c>
      <c r="W1208" t="s">
        <v>2041</v>
      </c>
      <c r="X1208" t="s">
        <v>2041</v>
      </c>
      <c r="Z1208" t="str">
        <f t="shared" si="49"/>
        <v>Y</v>
      </c>
      <c r="AA1208" t="s">
        <v>3841</v>
      </c>
      <c r="AB1208" t="s">
        <v>3875</v>
      </c>
      <c r="AC1208" t="s">
        <v>3553</v>
      </c>
    </row>
    <row r="1209" spans="2:29" ht="15.5">
      <c r="B1209" t="s">
        <v>393</v>
      </c>
      <c r="C1209" t="s">
        <v>3871</v>
      </c>
      <c r="D1209" s="2" t="s">
        <v>3872</v>
      </c>
      <c r="E1209">
        <v>2013</v>
      </c>
      <c r="F1209" s="31" t="s">
        <v>2087</v>
      </c>
      <c r="G1209" s="32" t="s">
        <v>2035</v>
      </c>
      <c r="H1209" s="6">
        <v>58.38</v>
      </c>
      <c r="I1209" s="6">
        <v>-134.63999999999999</v>
      </c>
      <c r="J1209" s="6">
        <v>1970</v>
      </c>
      <c r="K1209" s="6">
        <v>2010</v>
      </c>
      <c r="L1209" s="6">
        <f t="shared" si="50"/>
        <v>41</v>
      </c>
      <c r="M1209" t="s">
        <v>2036</v>
      </c>
      <c r="N1209" t="s">
        <v>161</v>
      </c>
      <c r="O1209" t="s">
        <v>2813</v>
      </c>
      <c r="P1209" t="s">
        <v>3877</v>
      </c>
      <c r="Q1209" t="s">
        <v>2868</v>
      </c>
      <c r="R1209" t="s">
        <v>3881</v>
      </c>
      <c r="V1209">
        <v>1.0533332840983001</v>
      </c>
      <c r="W1209" t="s">
        <v>2058</v>
      </c>
      <c r="X1209" t="s">
        <v>2041</v>
      </c>
      <c r="Z1209" t="str">
        <f t="shared" si="49"/>
        <v>Y</v>
      </c>
      <c r="AA1209" t="s">
        <v>3841</v>
      </c>
      <c r="AB1209" t="s">
        <v>3875</v>
      </c>
      <c r="AC1209" t="s">
        <v>3553</v>
      </c>
    </row>
    <row r="1210" spans="2:29" ht="15.5">
      <c r="B1210" t="s">
        <v>393</v>
      </c>
      <c r="C1210" t="s">
        <v>3871</v>
      </c>
      <c r="D1210" s="2" t="s">
        <v>3872</v>
      </c>
      <c r="E1210">
        <v>2013</v>
      </c>
      <c r="F1210" s="31" t="s">
        <v>2087</v>
      </c>
      <c r="G1210" s="32" t="s">
        <v>2035</v>
      </c>
      <c r="H1210" s="6">
        <v>58.38</v>
      </c>
      <c r="I1210" s="6">
        <v>-134.63999999999999</v>
      </c>
      <c r="J1210" s="6">
        <v>1970</v>
      </c>
      <c r="K1210" s="6">
        <v>2010</v>
      </c>
      <c r="L1210" s="6">
        <f t="shared" si="50"/>
        <v>41</v>
      </c>
      <c r="M1210" t="s">
        <v>2036</v>
      </c>
      <c r="N1210" t="s">
        <v>161</v>
      </c>
      <c r="O1210" t="s">
        <v>2813</v>
      </c>
      <c r="P1210" t="s">
        <v>3878</v>
      </c>
      <c r="Q1210" t="s">
        <v>2868</v>
      </c>
      <c r="R1210" t="s">
        <v>3881</v>
      </c>
      <c r="V1210">
        <v>-1.43999967773436</v>
      </c>
      <c r="W1210" t="s">
        <v>2041</v>
      </c>
      <c r="X1210" t="s">
        <v>2041</v>
      </c>
      <c r="Z1210" t="str">
        <f t="shared" si="49"/>
        <v>Y</v>
      </c>
      <c r="AA1210" t="s">
        <v>3841</v>
      </c>
      <c r="AB1210" t="s">
        <v>3875</v>
      </c>
      <c r="AC1210" t="s">
        <v>3553</v>
      </c>
    </row>
    <row r="1211" spans="2:29" ht="15.5">
      <c r="B1211" t="s">
        <v>393</v>
      </c>
      <c r="C1211" t="s">
        <v>3871</v>
      </c>
      <c r="D1211" s="2" t="s">
        <v>3872</v>
      </c>
      <c r="E1211">
        <v>2013</v>
      </c>
      <c r="F1211" s="31" t="s">
        <v>2087</v>
      </c>
      <c r="G1211" s="32" t="s">
        <v>2035</v>
      </c>
      <c r="H1211" s="6">
        <v>58.38</v>
      </c>
      <c r="I1211" s="6">
        <v>-134.63999999999999</v>
      </c>
      <c r="J1211" s="6">
        <v>1970</v>
      </c>
      <c r="K1211" s="6">
        <v>2010</v>
      </c>
      <c r="L1211" s="6">
        <f t="shared" si="50"/>
        <v>41</v>
      </c>
      <c r="M1211" t="s">
        <v>2036</v>
      </c>
      <c r="N1211" t="s">
        <v>161</v>
      </c>
      <c r="O1211" t="s">
        <v>2813</v>
      </c>
      <c r="P1211" t="s">
        <v>3879</v>
      </c>
      <c r="Q1211" t="s">
        <v>2047</v>
      </c>
      <c r="R1211" t="s">
        <v>3881</v>
      </c>
      <c r="V1211">
        <v>0.70666676961263497</v>
      </c>
      <c r="W1211" t="s">
        <v>2058</v>
      </c>
      <c r="X1211" t="s">
        <v>2041</v>
      </c>
      <c r="Z1211" t="str">
        <f t="shared" si="49"/>
        <v>Y</v>
      </c>
      <c r="AA1211" t="s">
        <v>3841</v>
      </c>
      <c r="AB1211" t="s">
        <v>3875</v>
      </c>
      <c r="AC1211" t="s">
        <v>3553</v>
      </c>
    </row>
    <row r="1212" spans="2:29" ht="15.5">
      <c r="B1212" t="s">
        <v>393</v>
      </c>
      <c r="C1212" t="s">
        <v>3871</v>
      </c>
      <c r="D1212" s="2" t="s">
        <v>3872</v>
      </c>
      <c r="E1212">
        <v>2013</v>
      </c>
      <c r="F1212" s="31" t="s">
        <v>2087</v>
      </c>
      <c r="G1212" s="32" t="s">
        <v>2035</v>
      </c>
      <c r="H1212" s="6">
        <v>58.38</v>
      </c>
      <c r="I1212" s="6">
        <v>-134.63999999999999</v>
      </c>
      <c r="J1212" s="6">
        <v>1970</v>
      </c>
      <c r="K1212" s="6">
        <v>2010</v>
      </c>
      <c r="L1212" s="6">
        <f t="shared" si="50"/>
        <v>41</v>
      </c>
      <c r="M1212" t="s">
        <v>2036</v>
      </c>
      <c r="N1212" t="s">
        <v>161</v>
      </c>
      <c r="O1212" t="s">
        <v>2813</v>
      </c>
      <c r="P1212" t="s">
        <v>3880</v>
      </c>
      <c r="Q1212" t="s">
        <v>2047</v>
      </c>
      <c r="R1212" t="s">
        <v>3881</v>
      </c>
      <c r="V1212">
        <v>-0.95999978515624196</v>
      </c>
      <c r="W1212" t="s">
        <v>2041</v>
      </c>
      <c r="X1212" t="s">
        <v>2041</v>
      </c>
      <c r="Z1212" t="str">
        <f t="shared" si="49"/>
        <v>Y</v>
      </c>
      <c r="AA1212" t="s">
        <v>3841</v>
      </c>
      <c r="AB1212" t="s">
        <v>3875</v>
      </c>
      <c r="AC1212" t="s">
        <v>3553</v>
      </c>
    </row>
    <row r="1213" spans="2:29" ht="15.5">
      <c r="B1213" t="s">
        <v>393</v>
      </c>
      <c r="C1213" t="s">
        <v>3882</v>
      </c>
      <c r="D1213" s="2" t="s">
        <v>3883</v>
      </c>
      <c r="E1213">
        <v>2011</v>
      </c>
      <c r="F1213" s="31" t="s">
        <v>3884</v>
      </c>
      <c r="G1213" s="32" t="s">
        <v>2035</v>
      </c>
      <c r="H1213" s="6">
        <v>43.038192000000002</v>
      </c>
      <c r="I1213" s="6">
        <v>-4.3536419999999998</v>
      </c>
      <c r="J1213" s="6">
        <v>1956</v>
      </c>
      <c r="K1213" s="6">
        <v>2003</v>
      </c>
      <c r="L1213" s="6">
        <f t="shared" si="50"/>
        <v>48</v>
      </c>
      <c r="M1213" t="s">
        <v>2036</v>
      </c>
      <c r="N1213" t="s">
        <v>161</v>
      </c>
      <c r="O1213" t="s">
        <v>2813</v>
      </c>
      <c r="P1213" t="s">
        <v>2309</v>
      </c>
      <c r="Q1213" t="s">
        <v>3885</v>
      </c>
      <c r="R1213" t="s">
        <v>3886</v>
      </c>
      <c r="V1213">
        <v>16.899999999999999</v>
      </c>
      <c r="W1213" t="s">
        <v>2041</v>
      </c>
      <c r="X1213" t="s">
        <v>2041</v>
      </c>
      <c r="Z1213" t="str">
        <f t="shared" si="49"/>
        <v>Y</v>
      </c>
      <c r="AA1213" t="s">
        <v>3841</v>
      </c>
      <c r="AB1213" t="s">
        <v>3887</v>
      </c>
      <c r="AC1213" t="s">
        <v>1682</v>
      </c>
    </row>
    <row r="1214" spans="2:29" ht="15.5">
      <c r="B1214" t="s">
        <v>393</v>
      </c>
      <c r="C1214" t="s">
        <v>3882</v>
      </c>
      <c r="D1214" s="2" t="s">
        <v>3888</v>
      </c>
      <c r="E1214">
        <v>2011</v>
      </c>
      <c r="F1214" s="31" t="s">
        <v>3889</v>
      </c>
      <c r="G1214" s="32" t="s">
        <v>2035</v>
      </c>
      <c r="H1214" s="6">
        <v>43.603673999999998</v>
      </c>
      <c r="I1214" s="6">
        <v>-4.1873519999999997</v>
      </c>
      <c r="J1214" s="6">
        <v>1956</v>
      </c>
      <c r="K1214" s="6">
        <v>2003</v>
      </c>
      <c r="L1214" s="6">
        <f t="shared" si="50"/>
        <v>48</v>
      </c>
      <c r="M1214" t="s">
        <v>2036</v>
      </c>
      <c r="N1214" t="s">
        <v>161</v>
      </c>
      <c r="O1214" t="s">
        <v>2813</v>
      </c>
      <c r="P1214" t="s">
        <v>2309</v>
      </c>
      <c r="Q1214" t="s">
        <v>3885</v>
      </c>
      <c r="R1214" t="s">
        <v>3886</v>
      </c>
      <c r="V1214">
        <v>9.6999999999999993</v>
      </c>
      <c r="W1214" t="s">
        <v>2041</v>
      </c>
      <c r="X1214" t="s">
        <v>2041</v>
      </c>
      <c r="Z1214" t="str">
        <f t="shared" si="49"/>
        <v>Y</v>
      </c>
      <c r="AA1214" t="s">
        <v>3841</v>
      </c>
      <c r="AB1214" t="s">
        <v>3887</v>
      </c>
      <c r="AC1214" t="s">
        <v>1682</v>
      </c>
    </row>
    <row r="1215" spans="2:29" ht="15.5">
      <c r="B1215" t="s">
        <v>393</v>
      </c>
      <c r="C1215" t="s">
        <v>3882</v>
      </c>
      <c r="D1215" s="2" t="s">
        <v>3888</v>
      </c>
      <c r="E1215">
        <v>2011</v>
      </c>
      <c r="F1215" s="31" t="s">
        <v>3890</v>
      </c>
      <c r="G1215" s="32" t="s">
        <v>2035</v>
      </c>
      <c r="H1215" s="6">
        <v>42.974429999999998</v>
      </c>
      <c r="I1215" s="6">
        <v>-4.1551369999999999</v>
      </c>
      <c r="J1215" s="6">
        <v>1956</v>
      </c>
      <c r="K1215" s="6">
        <v>2003</v>
      </c>
      <c r="L1215" s="6">
        <f t="shared" si="50"/>
        <v>48</v>
      </c>
      <c r="M1215" t="s">
        <v>2036</v>
      </c>
      <c r="N1215" t="s">
        <v>161</v>
      </c>
      <c r="O1215" t="s">
        <v>2813</v>
      </c>
      <c r="P1215" t="s">
        <v>2309</v>
      </c>
      <c r="Q1215" t="s">
        <v>3885</v>
      </c>
      <c r="R1215" t="s">
        <v>3886</v>
      </c>
      <c r="V1215">
        <v>3.5</v>
      </c>
      <c r="W1215" t="s">
        <v>2041</v>
      </c>
      <c r="X1215" t="s">
        <v>2041</v>
      </c>
      <c r="Z1215" t="str">
        <f t="shared" si="49"/>
        <v>Y</v>
      </c>
      <c r="AA1215" t="s">
        <v>3841</v>
      </c>
      <c r="AB1215" t="s">
        <v>3887</v>
      </c>
      <c r="AC1215" t="s">
        <v>1682</v>
      </c>
    </row>
    <row r="1216" spans="2:29" ht="15.5">
      <c r="B1216" t="s">
        <v>393</v>
      </c>
      <c r="C1216" t="s">
        <v>3882</v>
      </c>
      <c r="D1216" s="2" t="s">
        <v>3888</v>
      </c>
      <c r="E1216">
        <v>2011</v>
      </c>
      <c r="F1216" s="31" t="s">
        <v>3891</v>
      </c>
      <c r="G1216" s="32" t="s">
        <v>2035</v>
      </c>
      <c r="H1216" s="6">
        <v>43.057045000000002</v>
      </c>
      <c r="I1216" s="6">
        <v>-3.921999</v>
      </c>
      <c r="J1216" s="6">
        <v>1956</v>
      </c>
      <c r="K1216" s="6">
        <v>2003</v>
      </c>
      <c r="L1216" s="6">
        <f t="shared" si="50"/>
        <v>48</v>
      </c>
      <c r="M1216" t="s">
        <v>2036</v>
      </c>
      <c r="N1216" t="s">
        <v>161</v>
      </c>
      <c r="O1216" t="s">
        <v>2813</v>
      </c>
      <c r="P1216" t="s">
        <v>2309</v>
      </c>
      <c r="Q1216" t="s">
        <v>3885</v>
      </c>
      <c r="R1216" t="s">
        <v>3886</v>
      </c>
      <c r="V1216">
        <v>4.3</v>
      </c>
      <c r="W1216" t="s">
        <v>2041</v>
      </c>
      <c r="X1216" t="s">
        <v>2041</v>
      </c>
      <c r="Z1216" t="str">
        <f t="shared" si="49"/>
        <v>Y</v>
      </c>
      <c r="AA1216" t="s">
        <v>3841</v>
      </c>
      <c r="AB1216" t="s">
        <v>3887</v>
      </c>
      <c r="AC1216" t="s">
        <v>1682</v>
      </c>
    </row>
    <row r="1217" spans="2:34" ht="15.5">
      <c r="B1217" t="s">
        <v>393</v>
      </c>
      <c r="C1217" t="s">
        <v>3882</v>
      </c>
      <c r="D1217" s="2" t="s">
        <v>3888</v>
      </c>
      <c r="E1217">
        <v>2011</v>
      </c>
      <c r="F1217" s="31" t="s">
        <v>3892</v>
      </c>
      <c r="G1217" s="32" t="s">
        <v>2035</v>
      </c>
      <c r="H1217">
        <v>42.868803</v>
      </c>
      <c r="I1217">
        <v>-3.78634</v>
      </c>
      <c r="J1217" s="6">
        <v>1956</v>
      </c>
      <c r="K1217" s="6">
        <v>2003</v>
      </c>
      <c r="L1217" s="6">
        <f t="shared" si="50"/>
        <v>48</v>
      </c>
      <c r="M1217" t="s">
        <v>2036</v>
      </c>
      <c r="N1217" t="s">
        <v>161</v>
      </c>
      <c r="O1217" t="s">
        <v>2813</v>
      </c>
      <c r="P1217" t="s">
        <v>2309</v>
      </c>
      <c r="Q1217" t="s">
        <v>3885</v>
      </c>
      <c r="R1217" t="s">
        <v>3886</v>
      </c>
      <c r="V1217">
        <v>5.7</v>
      </c>
      <c r="W1217" t="s">
        <v>2041</v>
      </c>
      <c r="X1217" t="s">
        <v>2041</v>
      </c>
      <c r="Z1217" t="str">
        <f t="shared" si="49"/>
        <v>Y</v>
      </c>
      <c r="AA1217" t="s">
        <v>3841</v>
      </c>
      <c r="AB1217" t="s">
        <v>3887</v>
      </c>
      <c r="AC1217" t="s">
        <v>1682</v>
      </c>
    </row>
    <row r="1218" spans="2:34" ht="15.5">
      <c r="B1218" t="s">
        <v>393</v>
      </c>
      <c r="C1218" t="s">
        <v>3893</v>
      </c>
      <c r="D1218" s="2" t="s">
        <v>3894</v>
      </c>
      <c r="E1218">
        <v>2004</v>
      </c>
      <c r="F1218" t="s">
        <v>3895</v>
      </c>
      <c r="G1218" s="32" t="s">
        <v>2035</v>
      </c>
      <c r="H1218" s="6">
        <v>61</v>
      </c>
      <c r="I1218" s="6">
        <v>16.5</v>
      </c>
      <c r="J1218" s="6">
        <v>1960</v>
      </c>
      <c r="K1218" s="6">
        <v>2002</v>
      </c>
      <c r="L1218" s="6">
        <f t="shared" si="50"/>
        <v>43</v>
      </c>
      <c r="M1218" t="s">
        <v>2036</v>
      </c>
      <c r="N1218" t="s">
        <v>161</v>
      </c>
      <c r="O1218" t="s">
        <v>2813</v>
      </c>
      <c r="P1218" t="s">
        <v>2309</v>
      </c>
      <c r="Q1218" t="s">
        <v>3885</v>
      </c>
      <c r="R1218" t="s">
        <v>3896</v>
      </c>
      <c r="V1218" t="s">
        <v>163</v>
      </c>
      <c r="W1218" t="s">
        <v>2041</v>
      </c>
      <c r="X1218" t="s">
        <v>2041</v>
      </c>
      <c r="Z1218" t="str">
        <f t="shared" si="49"/>
        <v>Y</v>
      </c>
      <c r="AA1218" t="s">
        <v>3897</v>
      </c>
      <c r="AB1218" t="s">
        <v>3898</v>
      </c>
      <c r="AC1218" t="s">
        <v>3528</v>
      </c>
    </row>
    <row r="1219" spans="2:34" ht="15.5">
      <c r="B1219" t="s">
        <v>393</v>
      </c>
      <c r="C1219" t="s">
        <v>3893</v>
      </c>
      <c r="D1219" s="2" t="s">
        <v>3894</v>
      </c>
      <c r="E1219">
        <v>2004</v>
      </c>
      <c r="F1219" t="s">
        <v>3895</v>
      </c>
      <c r="G1219" s="32" t="s">
        <v>2035</v>
      </c>
      <c r="H1219" s="6">
        <v>61</v>
      </c>
      <c r="I1219" s="6">
        <v>16.5</v>
      </c>
      <c r="J1219" s="6">
        <v>1960</v>
      </c>
      <c r="K1219" s="6">
        <v>2002</v>
      </c>
      <c r="L1219" s="6">
        <f t="shared" si="50"/>
        <v>43</v>
      </c>
      <c r="M1219" t="s">
        <v>2036</v>
      </c>
      <c r="N1219" t="s">
        <v>161</v>
      </c>
      <c r="O1219" t="s">
        <v>2813</v>
      </c>
      <c r="P1219" t="s">
        <v>3899</v>
      </c>
      <c r="Q1219" t="s">
        <v>3900</v>
      </c>
      <c r="R1219" t="s">
        <v>3896</v>
      </c>
      <c r="V1219" t="s">
        <v>163</v>
      </c>
      <c r="W1219" t="s">
        <v>2041</v>
      </c>
      <c r="X1219" t="s">
        <v>2041</v>
      </c>
      <c r="Z1219" t="str">
        <f t="shared" ref="Z1219:Z1227" si="51">IF(L1219&gt;=19,"Y","N")</f>
        <v>Y</v>
      </c>
      <c r="AA1219" t="s">
        <v>3897</v>
      </c>
      <c r="AB1219" t="s">
        <v>3901</v>
      </c>
      <c r="AC1219" t="s">
        <v>1682</v>
      </c>
    </row>
    <row r="1220" spans="2:34" ht="15.5">
      <c r="B1220" t="s">
        <v>393</v>
      </c>
      <c r="C1220" t="s">
        <v>3902</v>
      </c>
      <c r="D1220" s="2" t="s">
        <v>3903</v>
      </c>
      <c r="E1220">
        <v>2012</v>
      </c>
      <c r="F1220" t="s">
        <v>2308</v>
      </c>
      <c r="G1220" s="32" t="s">
        <v>2035</v>
      </c>
      <c r="H1220" s="6">
        <v>55</v>
      </c>
      <c r="I1220" s="6">
        <v>20</v>
      </c>
      <c r="J1220" s="6">
        <v>1970</v>
      </c>
      <c r="K1220" s="6">
        <v>2010</v>
      </c>
      <c r="L1220" s="6">
        <f t="shared" ref="L1220:L1227" si="52">K1220-J1220+1</f>
        <v>41</v>
      </c>
      <c r="M1220" t="s">
        <v>2036</v>
      </c>
      <c r="N1220" t="s">
        <v>161</v>
      </c>
      <c r="O1220" t="s">
        <v>2813</v>
      </c>
      <c r="P1220" t="s">
        <v>2309</v>
      </c>
      <c r="Q1220" t="s">
        <v>3885</v>
      </c>
      <c r="R1220" t="s">
        <v>3904</v>
      </c>
      <c r="V1220">
        <v>-3</v>
      </c>
      <c r="W1220" t="s">
        <v>2041</v>
      </c>
      <c r="X1220" t="s">
        <v>2041</v>
      </c>
      <c r="Z1220" t="str">
        <f t="shared" si="51"/>
        <v>Y</v>
      </c>
      <c r="AA1220" t="s">
        <v>3897</v>
      </c>
      <c r="AB1220" t="s">
        <v>3905</v>
      </c>
      <c r="AC1220" t="s">
        <v>3603</v>
      </c>
    </row>
    <row r="1221" spans="2:34" ht="15.5">
      <c r="B1221" t="s">
        <v>393</v>
      </c>
      <c r="C1221" t="s">
        <v>3906</v>
      </c>
      <c r="D1221" s="2" t="s">
        <v>3907</v>
      </c>
      <c r="E1221">
        <v>2012</v>
      </c>
      <c r="F1221" t="s">
        <v>3908</v>
      </c>
      <c r="G1221" s="32" t="s">
        <v>2035</v>
      </c>
      <c r="H1221" s="6">
        <v>64</v>
      </c>
      <c r="I1221" s="6">
        <v>11</v>
      </c>
      <c r="J1221" s="6">
        <v>1991</v>
      </c>
      <c r="K1221" s="6">
        <v>2005</v>
      </c>
      <c r="L1221" s="6">
        <f t="shared" si="52"/>
        <v>15</v>
      </c>
      <c r="M1221" t="s">
        <v>2036</v>
      </c>
      <c r="N1221" t="s">
        <v>161</v>
      </c>
      <c r="O1221" t="s">
        <v>2813</v>
      </c>
      <c r="P1221" t="s">
        <v>2309</v>
      </c>
      <c r="Q1221" t="s">
        <v>3885</v>
      </c>
      <c r="R1221" t="s">
        <v>3909</v>
      </c>
      <c r="V1221" t="s">
        <v>163</v>
      </c>
      <c r="W1221" t="s">
        <v>2041</v>
      </c>
      <c r="X1221" t="s">
        <v>2058</v>
      </c>
      <c r="Z1221" t="str">
        <f t="shared" si="51"/>
        <v>N</v>
      </c>
      <c r="AA1221" t="s">
        <v>3897</v>
      </c>
      <c r="AB1221" t="s">
        <v>3910</v>
      </c>
    </row>
    <row r="1222" spans="2:34" ht="15.5">
      <c r="B1222" t="s">
        <v>393</v>
      </c>
      <c r="C1222" t="s">
        <v>3911</v>
      </c>
      <c r="D1222" s="2" t="s">
        <v>3912</v>
      </c>
      <c r="E1222">
        <v>1996</v>
      </c>
      <c r="F1222" t="s">
        <v>3913</v>
      </c>
      <c r="G1222" s="32" t="s">
        <v>2035</v>
      </c>
      <c r="H1222" s="6">
        <v>45.64</v>
      </c>
      <c r="I1222" s="6">
        <v>-121.94</v>
      </c>
      <c r="J1222" s="6">
        <v>1938</v>
      </c>
      <c r="K1222" s="6">
        <v>1993</v>
      </c>
      <c r="L1222" s="6">
        <f t="shared" si="52"/>
        <v>56</v>
      </c>
      <c r="M1222" t="s">
        <v>2036</v>
      </c>
      <c r="N1222" t="s">
        <v>161</v>
      </c>
      <c r="O1222" t="s">
        <v>2813</v>
      </c>
      <c r="P1222" t="s">
        <v>2210</v>
      </c>
      <c r="Q1222" t="s">
        <v>221</v>
      </c>
      <c r="R1222" t="s">
        <v>3914</v>
      </c>
      <c r="V1222">
        <v>-6.9</v>
      </c>
      <c r="W1222" t="s">
        <v>2041</v>
      </c>
      <c r="X1222" t="s">
        <v>2041</v>
      </c>
      <c r="Z1222" t="str">
        <f t="shared" si="51"/>
        <v>Y</v>
      </c>
      <c r="AA1222" t="s">
        <v>3897</v>
      </c>
      <c r="AB1222" t="s">
        <v>3915</v>
      </c>
      <c r="AC1222" t="s">
        <v>1048</v>
      </c>
    </row>
    <row r="1223" spans="2:34" ht="15.5">
      <c r="B1223" t="s">
        <v>393</v>
      </c>
      <c r="C1223" t="s">
        <v>3911</v>
      </c>
      <c r="D1223" s="2" t="s">
        <v>3912</v>
      </c>
      <c r="E1223">
        <v>1996</v>
      </c>
      <c r="F1223" t="s">
        <v>3913</v>
      </c>
      <c r="G1223" s="32" t="s">
        <v>2035</v>
      </c>
      <c r="H1223" s="6">
        <v>45.64</v>
      </c>
      <c r="I1223" s="6">
        <v>-121.94</v>
      </c>
      <c r="J1223" s="6">
        <v>1938</v>
      </c>
      <c r="K1223" s="6">
        <v>1993</v>
      </c>
      <c r="L1223" s="6">
        <f t="shared" si="52"/>
        <v>56</v>
      </c>
      <c r="M1223" t="s">
        <v>2036</v>
      </c>
      <c r="N1223" t="s">
        <v>161</v>
      </c>
      <c r="O1223" t="s">
        <v>2813</v>
      </c>
      <c r="P1223" t="s">
        <v>2867</v>
      </c>
      <c r="Q1223" t="s">
        <v>2868</v>
      </c>
      <c r="R1223" t="s">
        <v>3914</v>
      </c>
      <c r="V1223">
        <v>-1.3</v>
      </c>
      <c r="W1223" t="s">
        <v>2041</v>
      </c>
      <c r="X1223" t="s">
        <v>2041</v>
      </c>
      <c r="Z1223" t="str">
        <f t="shared" si="51"/>
        <v>Y</v>
      </c>
      <c r="AA1223" t="s">
        <v>3897</v>
      </c>
      <c r="AB1223" t="s">
        <v>3916</v>
      </c>
      <c r="AC1223" t="s">
        <v>3536</v>
      </c>
    </row>
    <row r="1224" spans="2:34" ht="15.5">
      <c r="B1224" t="s">
        <v>393</v>
      </c>
      <c r="C1224" t="s">
        <v>3917</v>
      </c>
      <c r="D1224" s="2" t="s">
        <v>3918</v>
      </c>
      <c r="E1224">
        <v>2005</v>
      </c>
      <c r="F1224" t="s">
        <v>3919</v>
      </c>
      <c r="G1224" s="32" t="s">
        <v>2035</v>
      </c>
      <c r="H1224" s="6">
        <v>58.7</v>
      </c>
      <c r="I1224" s="6">
        <v>27.6</v>
      </c>
      <c r="J1224" s="6">
        <v>1951</v>
      </c>
      <c r="K1224" s="6">
        <v>1990</v>
      </c>
      <c r="L1224" s="6">
        <f t="shared" si="52"/>
        <v>40</v>
      </c>
      <c r="M1224" t="s">
        <v>2036</v>
      </c>
      <c r="N1224" t="s">
        <v>161</v>
      </c>
      <c r="O1224" t="s">
        <v>2813</v>
      </c>
      <c r="P1224" t="s">
        <v>3920</v>
      </c>
      <c r="Q1224" t="s">
        <v>3921</v>
      </c>
      <c r="R1224" t="s">
        <v>3922</v>
      </c>
      <c r="V1224">
        <v>-2.6</v>
      </c>
      <c r="W1224" t="s">
        <v>2041</v>
      </c>
      <c r="X1224" t="s">
        <v>2041</v>
      </c>
      <c r="Z1224" t="str">
        <f t="shared" si="51"/>
        <v>Y</v>
      </c>
      <c r="AA1224" t="s">
        <v>3897</v>
      </c>
      <c r="AB1224" t="s">
        <v>3923</v>
      </c>
      <c r="AC1224" t="s">
        <v>1682</v>
      </c>
    </row>
    <row r="1225" spans="2:34">
      <c r="B1225" t="s">
        <v>3277</v>
      </c>
      <c r="C1225" t="s">
        <v>3924</v>
      </c>
      <c r="D1225" s="2" t="s">
        <v>3925</v>
      </c>
      <c r="E1225">
        <v>2019</v>
      </c>
      <c r="F1225" t="s">
        <v>3926</v>
      </c>
      <c r="G1225" t="s">
        <v>2035</v>
      </c>
      <c r="H1225" s="6">
        <v>42.1</v>
      </c>
      <c r="I1225" s="6">
        <v>-72.75</v>
      </c>
      <c r="J1225" s="6">
        <v>1984</v>
      </c>
      <c r="K1225" s="6">
        <v>2008</v>
      </c>
      <c r="L1225" s="6">
        <f t="shared" si="52"/>
        <v>25</v>
      </c>
      <c r="M1225" t="s">
        <v>2036</v>
      </c>
      <c r="N1225" t="s">
        <v>47</v>
      </c>
      <c r="O1225" t="s">
        <v>2907</v>
      </c>
      <c r="P1225" t="s">
        <v>3927</v>
      </c>
      <c r="Q1225" t="s">
        <v>163</v>
      </c>
      <c r="R1225" t="s">
        <v>3928</v>
      </c>
      <c r="V1225">
        <v>-16.739999999999998</v>
      </c>
      <c r="W1225" t="s">
        <v>2041</v>
      </c>
      <c r="X1225" t="s">
        <v>2041</v>
      </c>
      <c r="Z1225" t="str">
        <f t="shared" si="51"/>
        <v>Y</v>
      </c>
      <c r="AA1225" t="s">
        <v>2054</v>
      </c>
      <c r="AB1225" t="s">
        <v>3929</v>
      </c>
      <c r="AC1225" t="s">
        <v>3930</v>
      </c>
    </row>
    <row r="1226" spans="2:34">
      <c r="B1226" t="s">
        <v>393</v>
      </c>
      <c r="C1226" t="s">
        <v>3931</v>
      </c>
      <c r="D1226" s="2" t="s">
        <v>3932</v>
      </c>
      <c r="E1226">
        <v>2024</v>
      </c>
      <c r="F1226" t="s">
        <v>3933</v>
      </c>
      <c r="G1226" t="s">
        <v>2035</v>
      </c>
      <c r="H1226" s="6">
        <v>38.299999999999997</v>
      </c>
      <c r="I1226" s="6">
        <v>-76.28</v>
      </c>
      <c r="J1226" s="6">
        <v>1985</v>
      </c>
      <c r="K1226" s="6">
        <v>2019</v>
      </c>
      <c r="L1226" s="6">
        <f t="shared" si="52"/>
        <v>35</v>
      </c>
      <c r="M1226" t="s">
        <v>2036</v>
      </c>
      <c r="N1226" t="s">
        <v>47</v>
      </c>
      <c r="O1226" t="s">
        <v>2907</v>
      </c>
      <c r="P1226" t="s">
        <v>3934</v>
      </c>
      <c r="Q1226" t="s">
        <v>1656</v>
      </c>
      <c r="R1226" t="s">
        <v>3935</v>
      </c>
      <c r="V1226">
        <v>-1.69</v>
      </c>
      <c r="W1226" t="s">
        <v>2041</v>
      </c>
      <c r="X1226" t="s">
        <v>2041</v>
      </c>
      <c r="Z1226" t="str">
        <f t="shared" si="51"/>
        <v>Y</v>
      </c>
      <c r="AA1226" t="s">
        <v>2054</v>
      </c>
      <c r="AB1226" t="s">
        <v>3803</v>
      </c>
      <c r="AC1226" t="s">
        <v>1682</v>
      </c>
      <c r="AH1226" t="s">
        <v>3936</v>
      </c>
    </row>
    <row r="1227" spans="2:34" ht="15.5">
      <c r="B1227" t="s">
        <v>393</v>
      </c>
      <c r="C1227" t="s">
        <v>3917</v>
      </c>
      <c r="D1227" s="2" t="s">
        <v>3918</v>
      </c>
      <c r="E1227">
        <v>2005</v>
      </c>
      <c r="F1227" t="s">
        <v>3919</v>
      </c>
      <c r="G1227" s="32" t="s">
        <v>2035</v>
      </c>
      <c r="H1227" s="6">
        <v>58.7</v>
      </c>
      <c r="I1227" s="6">
        <v>27.6</v>
      </c>
      <c r="J1227" s="6">
        <v>1951</v>
      </c>
      <c r="K1227" s="6">
        <v>1990</v>
      </c>
      <c r="L1227" s="6">
        <f t="shared" si="52"/>
        <v>40</v>
      </c>
      <c r="M1227" t="s">
        <v>2036</v>
      </c>
      <c r="N1227" t="s">
        <v>161</v>
      </c>
      <c r="O1227" t="s">
        <v>2813</v>
      </c>
      <c r="P1227" t="s">
        <v>3937</v>
      </c>
      <c r="Q1227" t="s">
        <v>3938</v>
      </c>
      <c r="R1227" t="s">
        <v>3922</v>
      </c>
      <c r="V1227">
        <v>1.3</v>
      </c>
      <c r="W1227" t="s">
        <v>2058</v>
      </c>
      <c r="X1227" t="s">
        <v>2041</v>
      </c>
      <c r="Z1227" t="str">
        <f t="shared" si="51"/>
        <v>Y</v>
      </c>
      <c r="AA1227" t="s">
        <v>3897</v>
      </c>
      <c r="AB1227" t="s">
        <v>3923</v>
      </c>
      <c r="AC1227" t="s">
        <v>1682</v>
      </c>
    </row>
    <row r="1228" spans="2:34">
      <c r="B1228" s="2"/>
      <c r="C1228" t="s">
        <v>3748</v>
      </c>
    </row>
    <row r="1229" spans="2:34">
      <c r="B1229" s="2"/>
    </row>
    <row r="1230" spans="2:34">
      <c r="B1230" s="2"/>
    </row>
    <row r="1231" spans="2:34">
      <c r="B1231" s="2"/>
    </row>
    <row r="1232" spans="2:34">
      <c r="B1232" s="2"/>
    </row>
    <row r="1233" spans="2:3">
      <c r="B1233" s="2"/>
    </row>
    <row r="1234" spans="2:3">
      <c r="B1234" s="2"/>
    </row>
    <row r="1235" spans="2:3">
      <c r="B1235" s="2"/>
      <c r="C1235" t="s">
        <v>3748</v>
      </c>
    </row>
    <row r="1236" spans="2:3">
      <c r="B1236" s="2"/>
    </row>
    <row r="1237" spans="2:3">
      <c r="B1237" s="2"/>
    </row>
    <row r="1238" spans="2:3">
      <c r="B1238" s="2"/>
    </row>
    <row r="1239" spans="2:3">
      <c r="B1239" s="2"/>
    </row>
    <row r="1240" spans="2:3">
      <c r="B1240" s="2"/>
    </row>
    <row r="1241" spans="2:3">
      <c r="B1241" s="2"/>
    </row>
    <row r="1242" spans="2:3">
      <c r="B1242" s="2"/>
    </row>
    <row r="1243" spans="2:3">
      <c r="B1243" s="2"/>
    </row>
    <row r="1244" spans="2:3">
      <c r="B1244" s="2"/>
    </row>
    <row r="1245" spans="2:3">
      <c r="B1245" s="2"/>
    </row>
    <row r="1246" spans="2:3">
      <c r="B1246" s="2"/>
    </row>
    <row r="1247" spans="2:3">
      <c r="B1247" s="2"/>
    </row>
    <row r="1248" spans="2:3">
      <c r="B1248" s="2"/>
    </row>
    <row r="1249" spans="2:14">
      <c r="B1249" s="2"/>
    </row>
    <row r="1250" spans="2:14">
      <c r="B1250" s="2"/>
    </row>
    <row r="1251" spans="2:14">
      <c r="B1251" s="2"/>
    </row>
    <row r="1252" spans="2:14">
      <c r="B1252" s="2"/>
    </row>
    <row r="1253" spans="2:14">
      <c r="B1253" s="2"/>
    </row>
    <row r="1254" spans="2:14">
      <c r="B1254" s="2"/>
    </row>
    <row r="1255" spans="2:14">
      <c r="B1255" s="2"/>
    </row>
    <row r="1256" spans="2:14">
      <c r="B1256" s="2"/>
    </row>
    <row r="1257" spans="2:14">
      <c r="B1257" s="2"/>
    </row>
    <row r="1258" spans="2:14">
      <c r="B1258" s="2"/>
    </row>
    <row r="1259" spans="2:14" ht="15.5">
      <c r="N1259" s="4"/>
    </row>
    <row r="1260" spans="2:14">
      <c r="N1260" s="33"/>
    </row>
    <row r="1261" spans="2:14">
      <c r="N1261" s="34"/>
    </row>
    <row r="1263" spans="2:14" ht="15.5">
      <c r="N1263" s="4"/>
    </row>
    <row r="1264" spans="2:14">
      <c r="N1264" s="33"/>
    </row>
    <row r="1265" spans="14:14">
      <c r="N1265" s="34"/>
    </row>
    <row r="1267" spans="14:14" ht="15.5">
      <c r="N1267" s="4"/>
    </row>
    <row r="1268" spans="14:14">
      <c r="N1268" s="33"/>
    </row>
    <row r="1269" spans="14:14">
      <c r="N1269" s="34"/>
    </row>
  </sheetData>
  <autoFilter ref="B1:AG1269" xr:uid="{05BFEE5F-6DA0-4A8A-A0A4-D646F49706B8}"/>
  <hyperlinks>
    <hyperlink ref="D1073" r:id="rId1" xr:uid="{14ADB9B9-26C1-40FA-896F-38E7D9EECD3E}"/>
    <hyperlink ref="D1075" r:id="rId2" xr:uid="{2E0E772D-66D3-4973-B3EB-5DA5A8763153}"/>
    <hyperlink ref="D1077" r:id="rId3" location="Sec8" xr:uid="{4D43EF1F-6E86-4A94-9E48-F1D2BFA86EBF}"/>
    <hyperlink ref="D1084" r:id="rId4" xr:uid="{12F22503-1226-44ED-89BE-7519D5A83234}"/>
    <hyperlink ref="D1087" r:id="rId5" xr:uid="{7AF46844-1F61-4EEE-8D11-CD5020DBE13D}"/>
    <hyperlink ref="D1088" r:id="rId6" xr:uid="{B0E2F415-F6B1-4FC4-A3B6-22B246006538}"/>
    <hyperlink ref="D1089" r:id="rId7" xr:uid="{5B993A60-5161-4FEC-96F9-38F8B4D91997}"/>
    <hyperlink ref="D1090" r:id="rId8" location="s3 " xr:uid="{33EC76E1-3BF3-475E-9C40-50F91D0735D1}"/>
    <hyperlink ref="D1092" r:id="rId9" xr:uid="{1C8B12E0-3BD5-4082-B09E-F44C400A2D06}"/>
    <hyperlink ref="D1106" r:id="rId10" location="d1e1616 " xr:uid="{F4D8F199-3667-4FC8-95E6-696ED05CDD6B}"/>
    <hyperlink ref="D1109" r:id="rId11" xr:uid="{B46421A2-9999-473A-91BA-A744FA8833E9}"/>
    <hyperlink ref="D1095" r:id="rId12" location="sec022 " xr:uid="{79EC0B67-90F1-403D-856D-3EE27AB605D2}"/>
    <hyperlink ref="D1096" r:id="rId13" location="sec022 " xr:uid="{021D0809-D794-45FC-8892-26F9E49F71DC}"/>
    <hyperlink ref="D1097" r:id="rId14" location="sec022 " xr:uid="{2172584B-A6FA-4DB9-808E-749CE872DF2A}"/>
    <hyperlink ref="D1098" r:id="rId15" location="sec022 " xr:uid="{EBF21F7C-958C-4C65-BB47-B7058816AC03}"/>
    <hyperlink ref="D1099" r:id="rId16" location="sec022 " xr:uid="{9694A459-55E2-4BD1-87F7-FFD5ED777595}"/>
    <hyperlink ref="D1100" r:id="rId17" location="sec022 " xr:uid="{3D590902-6082-4BDE-9F5B-76B06FE69CD9}"/>
    <hyperlink ref="D1101" r:id="rId18" location="sec022 " xr:uid="{D693B736-1200-4A6B-A6B2-786CEE14BB71}"/>
    <hyperlink ref="D1102" r:id="rId19" location="sec022 " xr:uid="{8DB595C9-AFB5-457A-9832-CF08B7040151}"/>
    <hyperlink ref="D1103" r:id="rId20" xr:uid="{4451710B-9F90-475B-BF1A-E6F961AB75CC}"/>
    <hyperlink ref="D1104" r:id="rId21" xr:uid="{00191584-3280-4D03-B20E-2928D736A642}"/>
    <hyperlink ref="D1105" r:id="rId22" location="Sec2 " xr:uid="{15B203E9-5E27-4024-B899-8973AEAC3609}"/>
    <hyperlink ref="D1123" r:id="rId23" location="Sec2 " xr:uid="{32996358-82E6-4BB1-88A2-FC4DD3F17B27}"/>
    <hyperlink ref="D1124" r:id="rId24" location="Sec2 " xr:uid="{22B1262C-929B-4635-A985-B99F099720C6}"/>
    <hyperlink ref="D1125" r:id="rId25" location="Sec2 " xr:uid="{A68E237E-4BEB-4910-B970-A381666EF6E8}"/>
    <hyperlink ref="D1126" r:id="rId26" xr:uid="{C528A163-9572-4613-8ED1-BEF1121D8326}"/>
    <hyperlink ref="D1127" r:id="rId27" xr:uid="{48C14898-8686-46FE-85A7-DBA31F0006FA}"/>
    <hyperlink ref="D1107" r:id="rId28" location="d1e1616 " xr:uid="{AE8E9C1F-11E0-45A7-8CDE-8095F30D053A}"/>
    <hyperlink ref="D1108" r:id="rId29" location="d1e1616 " xr:uid="{19BC7672-990D-4943-9E29-955E4EF11FF2}"/>
    <hyperlink ref="D1110" r:id="rId30" xr:uid="{D37F4119-C28E-4DE6-B8A4-0209FA506D54}"/>
    <hyperlink ref="D1112" r:id="rId31" xr:uid="{7FB3B2E0-4C0E-4AB4-81D2-125D35C30B57}"/>
    <hyperlink ref="D1111" r:id="rId32" xr:uid="{E0FC07F5-8F7C-4306-8723-786822586CE8}"/>
    <hyperlink ref="D1113" r:id="rId33" xr:uid="{23298AF3-80BD-4319-9878-56966B473553}"/>
    <hyperlink ref="D1114" r:id="rId34" xr:uid="{BAD7E0CD-C20D-4DD1-82E9-F18CC8A12F33}"/>
    <hyperlink ref="D1115" r:id="rId35" xr:uid="{CC053E86-E68A-48DE-A551-9ABF42CDB561}"/>
    <hyperlink ref="D1117" r:id="rId36" xr:uid="{3FF77796-B72D-492A-AB5D-88382DB91798}"/>
    <hyperlink ref="D1116" r:id="rId37" xr:uid="{B0696925-AD66-4F6E-BB48-433A808698DA}"/>
    <hyperlink ref="D1118" r:id="rId38" xr:uid="{FBF7C087-3FA5-4E9B-A4FC-B22FFFFBF42C}"/>
    <hyperlink ref="D1119" r:id="rId39" xr:uid="{EABAC751-C28B-4022-B586-F8B49A176E81}"/>
    <hyperlink ref="D1120" r:id="rId40" location="ref-list1 " xr:uid="{9E34ED8A-7CAF-48EA-8C35-CA0163966316}"/>
    <hyperlink ref="D1132" r:id="rId41" xr:uid="{A41F622C-5C48-4A02-B8DE-13984D4907D0}"/>
    <hyperlink ref="D1134" r:id="rId42" location="aep-section-id18 " xr:uid="{45B5608B-C088-434A-918F-12A416B814D0}"/>
    <hyperlink ref="D1133" r:id="rId43" xr:uid="{27C8DAD5-F1CE-4E1B-8986-7EBF007EC521}"/>
    <hyperlink ref="D1135" r:id="rId44" xr:uid="{E0FB5CE9-6C4D-4146-8855-B8A60AF52456}"/>
    <hyperlink ref="D1138" r:id="rId45" location="s3 " xr:uid="{F349404D-2708-4C60-87D0-26D3234A6496}"/>
    <hyperlink ref="D1139" r:id="rId46" xr:uid="{BD633B67-0C9C-4807-BC54-4729BE5D27B7}"/>
    <hyperlink ref="D1226" r:id="rId47" location="h4" xr:uid="{562415CB-C6A7-47FC-B3F7-9C41DED5F340}"/>
    <hyperlink ref="D1140" r:id="rId48" xr:uid="{7D367DA0-F47E-4216-AA0F-848A3B1DB2F2}"/>
    <hyperlink ref="D1141" r:id="rId49" xr:uid="{FFB9E565-ABC0-445B-84BB-709A9B00DC73}"/>
    <hyperlink ref="D1142" r:id="rId50" xr:uid="{45BC8448-BD5B-4B1C-8C94-D6C048A54E26}"/>
    <hyperlink ref="D1143" r:id="rId51" xr:uid="{70F6F29C-A064-4A5A-9271-0FBFA4F71A2F}"/>
    <hyperlink ref="D1144" r:id="rId52" xr:uid="{5AB047A3-A2F0-47B9-B348-DAEA5E59EF11}"/>
    <hyperlink ref="D1145" r:id="rId53" xr:uid="{6B4086AE-6C7B-484B-B767-EE8FD5D60C47}"/>
    <hyperlink ref="D1146" r:id="rId54" xr:uid="{68BDB448-2114-4730-B60E-292008AFF128}"/>
    <hyperlink ref="D1147" r:id="rId55" xr:uid="{14E0D88F-AA2E-401A-8617-3C136DDD8DD4}"/>
    <hyperlink ref="D1148" r:id="rId56" xr:uid="{22437ABE-908F-46ED-99C7-78508B623ECD}"/>
    <hyperlink ref="D1149" r:id="rId57" xr:uid="{52DC07E3-F77F-4582-B741-E39C03C10361}"/>
    <hyperlink ref="D1150" r:id="rId58" xr:uid="{612B8FAE-30B4-4C48-BE42-EDA0D4351C2C}"/>
    <hyperlink ref="D1151" r:id="rId59" xr:uid="{E3F7A1A7-E656-44F2-8B8E-3E1BEF3D3D02}"/>
    <hyperlink ref="D1152" r:id="rId60" xr:uid="{07AE45C2-BDAE-4A4B-8075-9D320F062B34}"/>
    <hyperlink ref="D1153" r:id="rId61" xr:uid="{DA29C81D-CD17-45CA-847D-2EE1694FCBDD}"/>
    <hyperlink ref="D1154" r:id="rId62" xr:uid="{4AA09DE9-297E-4F82-88B4-03644446EECE}"/>
    <hyperlink ref="D1155" r:id="rId63" xr:uid="{DAC13F83-712F-46FD-817F-B5C1AC8B2D51}"/>
    <hyperlink ref="D1156" r:id="rId64" xr:uid="{0E9363CF-0693-4F31-8C12-13C9AFAB7278}"/>
    <hyperlink ref="D1157" r:id="rId65" xr:uid="{19C4F3ED-A734-408C-8CFD-04A8429A11B9}"/>
    <hyperlink ref="D1158" r:id="rId66" xr:uid="{2929F072-368F-48C2-B860-22C36CFC8CDD}"/>
    <hyperlink ref="D1159" r:id="rId67" xr:uid="{EED2CA55-92C9-40BF-BD10-A339166F4CC5}"/>
    <hyperlink ref="D1160" r:id="rId68" xr:uid="{84E3C4A0-09EE-49A3-ABAD-30728D12C938}"/>
    <hyperlink ref="D1161" r:id="rId69" xr:uid="{8CADAD84-F583-46FB-B2A8-D4D19C94D1AE}"/>
    <hyperlink ref="D1162" r:id="rId70" xr:uid="{624C2088-16D4-40A2-8DCE-5C0F7FDB4178}"/>
    <hyperlink ref="D1163" r:id="rId71" xr:uid="{2D7F333A-8C43-4B1D-8D92-6D9710B99127}"/>
    <hyperlink ref="D1164" r:id="rId72" location="s0070 " xr:uid="{E511E12A-243B-47FF-9C74-E6043E0B28B1}"/>
    <hyperlink ref="D1165" r:id="rId73" xr:uid="{C09E5728-A1A6-4629-AF57-292956082A06}"/>
    <hyperlink ref="D1166" r:id="rId74" xr:uid="{16F356B2-4A61-485F-BF04-45BA0D77E487}"/>
    <hyperlink ref="D1167" r:id="rId75" xr:uid="{93DA2328-B7AF-4508-831B-E3D52E09FEFD}"/>
    <hyperlink ref="D1168" r:id="rId76" xr:uid="{B386D54C-7AEE-4D4C-A4D2-1879848EF5D4}"/>
    <hyperlink ref="D1169" r:id="rId77" xr:uid="{FEC525A4-D151-4D73-98A0-16ABE4D93EE1}"/>
    <hyperlink ref="D1170" r:id="rId78" xr:uid="{34A72D03-20A6-4D8B-B433-E91588F10C52}"/>
    <hyperlink ref="D1171" r:id="rId79" xr:uid="{D9BF000D-3961-47DE-8404-0EFBFA1EA2C2}"/>
    <hyperlink ref="D1172" r:id="rId80" xr:uid="{61CABF84-BEE8-4F05-88EA-1EF6A93E9555}"/>
    <hyperlink ref="D1182" r:id="rId81" location="497048268" xr:uid="{198C5663-DDDC-4DDF-BC07-42A05404C7F7}"/>
    <hyperlink ref="D1218" r:id="rId82" xr:uid="{2AA49B83-65A2-423A-9CF2-FC19EB05F3F7}"/>
    <hyperlink ref="D1219" r:id="rId83" xr:uid="{29023187-0B4D-4F43-BCF4-ECE2850CE577}"/>
    <hyperlink ref="D1213" r:id="rId84" xr:uid="{D560FA78-77A1-4C03-B47D-C87CB2176AE8}"/>
    <hyperlink ref="D1220" r:id="rId85" xr:uid="{21880B76-79F4-4B7A-92A3-9AAAA187C50D}"/>
    <hyperlink ref="D1221" r:id="rId86" xr:uid="{8ADA40A9-7527-45E6-9AAE-A9C0878DDD0B}"/>
    <hyperlink ref="D1222" r:id="rId87" xr:uid="{8048E681-7CCE-4B30-A471-EE52BF3AA305}"/>
    <hyperlink ref="D1223" r:id="rId88" xr:uid="{D4F7D9DC-B4BA-49DE-8C4F-CF7401F7999D}"/>
    <hyperlink ref="D1224" r:id="rId89" display="https://www.researchgate.net/profile/Arvo-Jaervet/publication/238092143_Climate_driven_changes_in_the_spawning_of_roach_Rutilus_rutilus_L_and_bream_Abramis_brama_L_in_the_Estonian_part_of_the_Narva_River_basin/links/00b4952812fb479ac3000000/Climate-driven-changes-in-the-spawning-of-roach-Rutilus-rutilus-L-and-bream-Abramis-brama-L-in-the-Estonian-part-of-the-Narva-River-basin.pdf " xr:uid="{AA17512C-9D9A-4B7C-8B5F-5A8392FE3D7D}"/>
    <hyperlink ref="D1227" r:id="rId90" display="https://www.researchgate.net/profile/Arvo-Jaervet/publication/238092143_Climate_driven_changes_in_the_spawning_of_roach_Rutilus_rutilus_L_and_bream_Abramis_brama_L_in_the_Estonian_part_of_the_Narva_River_basin/links/00b4952812fb479ac3000000/Climate-driven-changes-in-the-spawning-of-roach-Rutilus-rutilus-L-and-bream-Abramis-brama-L-in-the-Estonian-part-of-the-Narva-River-basin.pdf " xr:uid="{3269C58B-6FF0-4367-96E2-F21CF183F678}"/>
    <hyperlink ref="D1122" r:id="rId91" xr:uid="{F1D644C6-7B38-4515-939C-D8C4BFAEA66B}"/>
    <hyperlink ref="D1121" r:id="rId92" xr:uid="{91C63EB0-B59E-4661-BF80-1BC961FB230D}"/>
    <hyperlink ref="D1128" r:id="rId93" xr:uid="{F1CBE49F-243B-4816-A642-F2681229189E}"/>
    <hyperlink ref="D1129" r:id="rId94" location="s0050 " xr:uid="{99A0E4ED-0B7E-45E4-8283-865982F1ED2E}"/>
    <hyperlink ref="D1136" r:id="rId95" xr:uid="{DC30A96C-35C3-415C-9A29-E0B416D48ACC}"/>
    <hyperlink ref="D1137" r:id="rId96" xr:uid="{3EA7556C-65D0-42D0-801F-25EA1AAE6521}"/>
    <hyperlink ref="D1130" r:id="rId97" xr:uid="{5D9B3456-2D14-463C-8399-F20BB61F5141}"/>
    <hyperlink ref="D1131" r:id="rId98" xr:uid="{5D981238-3DC2-4866-941E-3A49BA8ABCD1}"/>
    <hyperlink ref="D1225" r:id="rId99" xr:uid="{1F681C6E-826D-48D1-89B7-D58CA7A64BCF}"/>
  </hyperlinks>
  <pageMargins left="0.7" right="0.7" top="0.75" bottom="0.75" header="0.3" footer="0.3"/>
  <legacyDrawing r:id="rId100"/>
</worksheet>
</file>

<file path=docMetadata/LabelInfo.xml><?xml version="1.0" encoding="utf-8"?>
<clbl:labelList xmlns:clbl="http://schemas.microsoft.com/office/2020/mipLabelMetadata">
  <clbl:label id="{82c514c1-a717-4087-be06-d40d2070ad52}" enabled="0" method="" siteId="{82c514c1-a717-4087-be06-d40d2070ad5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Distribution</vt:lpstr>
      <vt:lpstr>Phenology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 Jypson Esturas</dc:creator>
  <cp:lastModifiedBy>Kris Esturas</cp:lastModifiedBy>
  <dcterms:created xsi:type="dcterms:W3CDTF">2015-06-05T18:17:20Z</dcterms:created>
  <dcterms:modified xsi:type="dcterms:W3CDTF">2026-07-05T02:49:57Z</dcterms:modified>
</cp:coreProperties>
</file>
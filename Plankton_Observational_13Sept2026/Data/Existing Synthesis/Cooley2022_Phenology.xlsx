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ktesturas/Documents/02 Research Collaborations/Zooplankton CC/Zooplankton analysis/Plankton_Observational_July2026/Data/Existing Synthesis/"/>
    </mc:Choice>
  </mc:AlternateContent>
  <xr:revisionPtr revIDLastSave="0" documentId="13_ncr:1_{077D696B-B77F-5B4D-BB39-D43217B63F30}" xr6:coauthVersionLast="47" xr6:coauthVersionMax="47" xr10:uidLastSave="{00000000-0000-0000-0000-000000000000}"/>
  <bookViews>
    <workbookView xWindow="0" yWindow="760" windowWidth="25820" windowHeight="15500" xr2:uid="{444C5018-D7BA-1044-890E-CAF0945CE305}"/>
  </bookViews>
  <sheets>
    <sheet name="Phenology_Database_IPCC_Mar2019" sheetId="1" r:id="rId1"/>
    <sheet name="Information" sheetId="2" r:id="rId2"/>
    <sheet name="Reference not used" sheetId="3" r:id="rId3"/>
  </sheets>
  <definedNames>
    <definedName name="_xlnm._FilterDatabase" localSheetId="0" hidden="1">Phenology_Database_IPCC_Mar2019!$A$1:$CN$1257</definedName>
    <definedName name="consistent">#REF!</definedName>
    <definedName name="Group">#REF!</definedName>
    <definedName name="year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135" i="1" l="1"/>
  <c r="Z1135" i="1" s="1"/>
  <c r="L1140" i="1"/>
  <c r="Z1140" i="1" s="1"/>
  <c r="L1141" i="1"/>
  <c r="Z1141" i="1" s="1"/>
  <c r="L1142" i="1"/>
  <c r="L1139" i="1"/>
  <c r="L1138" i="1"/>
  <c r="L1137" i="1"/>
  <c r="L1136" i="1"/>
  <c r="L1134" i="1"/>
  <c r="L1133" i="1"/>
  <c r="L1132" i="1"/>
  <c r="L1125" i="1"/>
  <c r="L1124" i="1"/>
  <c r="Z1124" i="1" s="1"/>
  <c r="L1123" i="1"/>
  <c r="L1257" i="1"/>
  <c r="Z1257" i="1" s="1"/>
  <c r="L1253" i="1"/>
  <c r="L1252" i="1"/>
  <c r="Z1252" i="1" s="1"/>
  <c r="L1251" i="1"/>
  <c r="L1250" i="1"/>
  <c r="L1249" i="1"/>
  <c r="Z1249" i="1" s="1"/>
  <c r="L1248" i="1"/>
  <c r="L1247" i="1"/>
  <c r="L1243" i="1"/>
  <c r="Z1243" i="1" s="1"/>
  <c r="L1244" i="1"/>
  <c r="Z1244" i="1" s="1"/>
  <c r="L1245" i="1"/>
  <c r="Z1245" i="1" s="1"/>
  <c r="L1246" i="1"/>
  <c r="Z1246" i="1" s="1"/>
  <c r="L1241" i="1"/>
  <c r="L1242" i="1"/>
  <c r="Z1242" i="1" s="1"/>
  <c r="L1235" i="1"/>
  <c r="Z1235" i="1" s="1"/>
  <c r="L1236" i="1"/>
  <c r="Z1236" i="1" s="1"/>
  <c r="L1237" i="1"/>
  <c r="Z1237" i="1" s="1"/>
  <c r="L1238" i="1"/>
  <c r="Z1238" i="1" s="1"/>
  <c r="L1239" i="1"/>
  <c r="Z1239" i="1" s="1"/>
  <c r="L1240" i="1"/>
  <c r="Z1240" i="1" s="1"/>
  <c r="L1230" i="1"/>
  <c r="Z1230" i="1" s="1"/>
  <c r="L1231" i="1"/>
  <c r="Z1231" i="1" s="1"/>
  <c r="L1232" i="1"/>
  <c r="Z1232" i="1" s="1"/>
  <c r="L1233" i="1"/>
  <c r="Z1233" i="1" s="1"/>
  <c r="L1234" i="1"/>
  <c r="Z1234" i="1" s="1"/>
  <c r="L1228" i="1"/>
  <c r="Z1228" i="1" s="1"/>
  <c r="L1229" i="1"/>
  <c r="Z1229" i="1" s="1"/>
  <c r="L1215" i="1" l="1"/>
  <c r="Z1215" i="1" s="1"/>
  <c r="L1216" i="1"/>
  <c r="Z1216" i="1" s="1"/>
  <c r="L1217" i="1"/>
  <c r="Z1217" i="1" s="1"/>
  <c r="L1218" i="1"/>
  <c r="Z1218" i="1" s="1"/>
  <c r="L1219" i="1"/>
  <c r="Z1219" i="1" s="1"/>
  <c r="L1220" i="1"/>
  <c r="Z1220" i="1" s="1"/>
  <c r="L1221" i="1"/>
  <c r="Z1221" i="1" s="1"/>
  <c r="L1222" i="1"/>
  <c r="Z1222" i="1" s="1"/>
  <c r="L1223" i="1"/>
  <c r="Z1223" i="1" s="1"/>
  <c r="L1224" i="1"/>
  <c r="Z1224" i="1" s="1"/>
  <c r="L1225" i="1"/>
  <c r="Z1225" i="1" s="1"/>
  <c r="L1227" i="1"/>
  <c r="Z1227" i="1" s="1"/>
  <c r="L1226" i="1"/>
  <c r="Z1226" i="1" s="1"/>
  <c r="L1214" i="1"/>
  <c r="Z1214" i="1" s="1"/>
  <c r="L1213" i="1"/>
  <c r="Z1213" i="1" s="1"/>
  <c r="L1212" i="1"/>
  <c r="Z1212" i="1" s="1"/>
  <c r="L1201" i="1"/>
  <c r="Z1201" i="1" s="1"/>
  <c r="L1200" i="1"/>
  <c r="Z1200" i="1" s="1"/>
  <c r="L1199" i="1"/>
  <c r="Z1199" i="1" s="1"/>
  <c r="L1196" i="1"/>
  <c r="Z1196" i="1" s="1"/>
  <c r="L1197" i="1"/>
  <c r="Z1197" i="1" s="1"/>
  <c r="L1198" i="1"/>
  <c r="Z1198" i="1" s="1"/>
  <c r="L1192" i="1"/>
  <c r="Z1192" i="1" s="1"/>
  <c r="L1193" i="1"/>
  <c r="Z1193" i="1" s="1"/>
  <c r="L1194" i="1"/>
  <c r="Z1194" i="1" s="1"/>
  <c r="L1195" i="1"/>
  <c r="Z1195" i="1" s="1"/>
  <c r="L1190" i="1"/>
  <c r="Z1190" i="1" s="1"/>
  <c r="L1191" i="1"/>
  <c r="Z1191" i="1" s="1"/>
  <c r="L1189" i="1" l="1"/>
  <c r="L1188" i="1"/>
  <c r="Z1188" i="1" s="1"/>
  <c r="L1183" i="1"/>
  <c r="Z1183" i="1" s="1"/>
  <c r="L1184" i="1"/>
  <c r="Z1184" i="1" s="1"/>
  <c r="L1185" i="1"/>
  <c r="Z1185" i="1" s="1"/>
  <c r="L1186" i="1"/>
  <c r="Z1186" i="1" s="1"/>
  <c r="L1187" i="1"/>
  <c r="Z1187" i="1" s="1"/>
  <c r="L1182" i="1"/>
  <c r="L1181" i="1" l="1"/>
  <c r="Z1181" i="1" s="1"/>
  <c r="L1177" i="1"/>
  <c r="Z1177" i="1" s="1"/>
  <c r="L1178" i="1"/>
  <c r="Z1178" i="1" s="1"/>
  <c r="L1179" i="1"/>
  <c r="Z1179" i="1" s="1"/>
  <c r="L1180" i="1"/>
  <c r="Z1180" i="1" s="1"/>
  <c r="L1176" i="1"/>
  <c r="Z1176" i="1" s="1"/>
  <c r="L1115" i="1"/>
  <c r="Z1115" i="1" s="1"/>
  <c r="L1116" i="1"/>
  <c r="Z1116" i="1" s="1"/>
  <c r="L1117" i="1"/>
  <c r="L1118" i="1"/>
  <c r="Z1118" i="1" s="1"/>
  <c r="L1119" i="1"/>
  <c r="Z1119" i="1" s="1"/>
  <c r="L1120" i="1"/>
  <c r="Z1120" i="1" s="1"/>
  <c r="L1121" i="1"/>
  <c r="Z1121" i="1" s="1"/>
  <c r="L1122" i="1"/>
  <c r="Z1122" i="1" s="1"/>
  <c r="L1114" i="1"/>
  <c r="Z1114" i="1" s="1"/>
  <c r="L1113" i="1"/>
  <c r="Z1113" i="1" s="1"/>
  <c r="L1112" i="1"/>
  <c r="Z1112" i="1" s="1"/>
  <c r="Z528" i="1"/>
  <c r="Z648" i="1"/>
  <c r="Z649" i="1"/>
  <c r="Z650" i="1"/>
  <c r="Z651"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26" i="1"/>
  <c r="Z1072" i="1"/>
  <c r="Z1093" i="1"/>
  <c r="Z1094" i="1"/>
  <c r="Z1117" i="1"/>
  <c r="Z1123" i="1"/>
  <c r="Z1125" i="1"/>
  <c r="Z1131" i="1"/>
  <c r="Z1132" i="1"/>
  <c r="Z1133" i="1"/>
  <c r="Z1134" i="1"/>
  <c r="Z1136" i="1"/>
  <c r="Z1137" i="1"/>
  <c r="Z1138" i="1"/>
  <c r="Z1139" i="1"/>
  <c r="Z1142" i="1"/>
  <c r="Z1164" i="1"/>
  <c r="Z1165" i="1"/>
  <c r="Z1166" i="1"/>
  <c r="Z1167" i="1"/>
  <c r="Z1168" i="1"/>
  <c r="Z1169" i="1"/>
  <c r="Z1170" i="1"/>
  <c r="Z1171" i="1"/>
  <c r="Z1172" i="1"/>
  <c r="Z1173" i="1"/>
  <c r="Z1174" i="1"/>
  <c r="Z1175" i="1"/>
  <c r="Z1182" i="1"/>
  <c r="Z1189" i="1"/>
  <c r="Z1247" i="1"/>
  <c r="Z1248" i="1"/>
  <c r="Z1250" i="1"/>
  <c r="Z1251" i="1"/>
  <c r="Z1253" i="1"/>
  <c r="Z1256" i="1"/>
  <c r="Z1301" i="1"/>
  <c r="Z1302" i="1"/>
  <c r="Z1303" i="1"/>
  <c r="Z1304" i="1"/>
  <c r="Z1305" i="1"/>
  <c r="Z1306" i="1"/>
  <c r="L1158" i="1"/>
  <c r="Z1158" i="1" s="1"/>
  <c r="L1159" i="1"/>
  <c r="Z1159" i="1" s="1"/>
  <c r="L1160" i="1"/>
  <c r="Z1160" i="1" s="1"/>
  <c r="L1161" i="1"/>
  <c r="Z1161" i="1" s="1"/>
  <c r="L1162" i="1"/>
  <c r="Z1162" i="1" s="1"/>
  <c r="L1157" i="1"/>
  <c r="Z1157" i="1" s="1"/>
  <c r="L1156" i="1"/>
  <c r="Z1156" i="1" s="1"/>
  <c r="L1155" i="1"/>
  <c r="Z1155" i="1" s="1"/>
  <c r="L1154" i="1"/>
  <c r="Z1154" i="1" s="1"/>
  <c r="L1153" i="1"/>
  <c r="Z1153" i="1" s="1"/>
  <c r="L1152" i="1"/>
  <c r="Z1152" i="1" s="1"/>
  <c r="L1151" i="1"/>
  <c r="Z1151" i="1" s="1"/>
  <c r="L1150" i="1"/>
  <c r="Z1150" i="1" s="1"/>
  <c r="L1149" i="1"/>
  <c r="Z1149" i="1" s="1"/>
  <c r="L1148" i="1"/>
  <c r="Z1148" i="1" s="1"/>
  <c r="L1147" i="1"/>
  <c r="Z1147" i="1" s="1"/>
  <c r="L1146" i="1"/>
  <c r="Z1146" i="1" s="1"/>
  <c r="L1145" i="1"/>
  <c r="Z1145" i="1" s="1"/>
  <c r="L1144" i="1"/>
  <c r="Z1144" i="1" s="1"/>
  <c r="L1143" i="1"/>
  <c r="Z1143" i="1" s="1"/>
  <c r="L1254" i="1"/>
  <c r="Z1254" i="1" s="1"/>
  <c r="L542" i="1"/>
  <c r="Z542" i="1" s="1"/>
  <c r="L1255" i="1"/>
  <c r="Z1255" i="1" s="1"/>
  <c r="L1110" i="1"/>
  <c r="Z1110" i="1" s="1"/>
  <c r="L1111" i="1"/>
  <c r="Z1111" i="1" s="1"/>
  <c r="L1109" i="1"/>
  <c r="Z1109" i="1" s="1"/>
  <c r="L1130" i="1"/>
  <c r="Z1130" i="1" s="1"/>
  <c r="L1129" i="1"/>
  <c r="Z1129" i="1" s="1"/>
  <c r="L1128" i="1"/>
  <c r="Z1128" i="1" s="1"/>
  <c r="L1127" i="1"/>
  <c r="Z1127" i="1" s="1"/>
  <c r="L1126" i="1"/>
  <c r="Z1126" i="1" s="1"/>
  <c r="L1108" i="1"/>
  <c r="Z1108" i="1" s="1"/>
  <c r="L1107" i="1"/>
  <c r="Z1107" i="1" s="1"/>
  <c r="L1106" i="1"/>
  <c r="Z1106" i="1" s="1"/>
  <c r="L1105" i="1"/>
  <c r="Z1105" i="1" s="1"/>
  <c r="L1099" i="1"/>
  <c r="Z1099" i="1" s="1"/>
  <c r="L1100" i="1"/>
  <c r="Z1100" i="1" s="1"/>
  <c r="L1101" i="1"/>
  <c r="Z1101" i="1" s="1"/>
  <c r="L1102" i="1"/>
  <c r="Z1102" i="1" s="1"/>
  <c r="L1103" i="1"/>
  <c r="Z1103" i="1" s="1"/>
  <c r="L1104" i="1"/>
  <c r="Z1104" i="1" s="1"/>
  <c r="L1098" i="1"/>
  <c r="Z1098" i="1" s="1"/>
  <c r="L1097" i="1"/>
  <c r="Z1097" i="1" s="1"/>
  <c r="L1096" i="1"/>
  <c r="Z1096" i="1" s="1"/>
  <c r="L1095" i="1"/>
  <c r="Z1095" i="1" s="1"/>
  <c r="L1092" i="1"/>
  <c r="Z1092" i="1" s="1"/>
  <c r="L1090" i="1"/>
  <c r="Z1090" i="1" s="1"/>
  <c r="L1091" i="1"/>
  <c r="Z1091" i="1" s="1"/>
  <c r="L1089" i="1"/>
  <c r="Z1089" i="1" s="1"/>
  <c r="L1087" i="1"/>
  <c r="Z1087" i="1" s="1"/>
  <c r="L1088" i="1"/>
  <c r="Z1088" i="1" s="1"/>
  <c r="L1086" i="1"/>
  <c r="Z1086" i="1" s="1"/>
  <c r="L1085" i="1"/>
  <c r="Z1085" i="1" s="1"/>
  <c r="L1084" i="1"/>
  <c r="Z1084" i="1" s="1"/>
  <c r="L1083" i="1"/>
  <c r="Z1083" i="1" s="1"/>
  <c r="L1082" i="1"/>
  <c r="Z1082" i="1" s="1"/>
  <c r="L1081" i="1"/>
  <c r="Z1081" i="1" s="1"/>
  <c r="L1080" i="1"/>
  <c r="Z1080" i="1" s="1"/>
  <c r="L1079" i="1"/>
  <c r="Z1079" i="1" s="1"/>
  <c r="L1078" i="1"/>
  <c r="Z1078" i="1" s="1"/>
  <c r="L1077" i="1"/>
  <c r="Z1077" i="1" s="1"/>
  <c r="L1076" i="1"/>
  <c r="Z1076" i="1" s="1"/>
  <c r="L1074" i="1" l="1"/>
  <c r="Z1074" i="1" s="1"/>
  <c r="L1075" i="1"/>
  <c r="Z1075" i="1" s="1"/>
  <c r="L1073" i="1"/>
  <c r="Z1073" i="1" s="1"/>
  <c r="AH1072"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935" i="1"/>
  <c r="W936" i="1"/>
  <c r="W937" i="1"/>
  <c r="W938" i="1"/>
  <c r="W939" i="1"/>
  <c r="W940" i="1"/>
  <c r="W941" i="1"/>
  <c r="W942" i="1"/>
  <c r="W943" i="1"/>
  <c r="W944" i="1"/>
  <c r="W945" i="1"/>
  <c r="W946" i="1"/>
  <c r="W947" i="1"/>
  <c r="W948" i="1"/>
  <c r="W949" i="1"/>
  <c r="W950" i="1"/>
  <c r="W951" i="1"/>
  <c r="W952" i="1"/>
  <c r="W953" i="1"/>
  <c r="W954" i="1"/>
  <c r="W955" i="1"/>
  <c r="W956" i="1"/>
  <c r="W957" i="1"/>
  <c r="W934" i="1"/>
  <c r="L934" i="1"/>
  <c r="Z934" i="1" s="1"/>
  <c r="L935" i="1"/>
  <c r="Z935" i="1" s="1"/>
  <c r="L936" i="1"/>
  <c r="L937" i="1"/>
  <c r="Z937" i="1" s="1"/>
  <c r="L938" i="1"/>
  <c r="L939" i="1"/>
  <c r="L940" i="1"/>
  <c r="L941" i="1"/>
  <c r="L942" i="1"/>
  <c r="L943" i="1"/>
  <c r="L944" i="1"/>
  <c r="Z944" i="1" s="1"/>
  <c r="L945" i="1"/>
  <c r="L946" i="1"/>
  <c r="L947" i="1"/>
  <c r="L948" i="1"/>
  <c r="Z948" i="1" s="1"/>
  <c r="L949" i="1"/>
  <c r="Z949" i="1" s="1"/>
  <c r="L950" i="1"/>
  <c r="L951" i="1"/>
  <c r="Z951" i="1" s="1"/>
  <c r="L952" i="1"/>
  <c r="L953" i="1"/>
  <c r="L954" i="1"/>
  <c r="L955" i="1"/>
  <c r="Z955" i="1" s="1"/>
  <c r="L956" i="1"/>
  <c r="Z956" i="1" s="1"/>
  <c r="L957" i="1"/>
  <c r="L958" i="1"/>
  <c r="L959" i="1"/>
  <c r="Z959" i="1" s="1"/>
  <c r="L960" i="1"/>
  <c r="L961" i="1"/>
  <c r="L962" i="1"/>
  <c r="L963" i="1"/>
  <c r="Z963" i="1" s="1"/>
  <c r="L964" i="1"/>
  <c r="Z964" i="1" s="1"/>
  <c r="L965" i="1"/>
  <c r="L966" i="1"/>
  <c r="L967" i="1"/>
  <c r="L968" i="1"/>
  <c r="L969" i="1"/>
  <c r="Z969" i="1" s="1"/>
  <c r="L970" i="1"/>
  <c r="L971" i="1"/>
  <c r="Z971" i="1" s="1"/>
  <c r="L972" i="1"/>
  <c r="L973" i="1"/>
  <c r="L974" i="1"/>
  <c r="Z974" i="1" s="1"/>
  <c r="L975" i="1"/>
  <c r="Z975" i="1" s="1"/>
  <c r="L976" i="1"/>
  <c r="L977" i="1"/>
  <c r="L978" i="1"/>
  <c r="L979" i="1"/>
  <c r="Z979" i="1" s="1"/>
  <c r="L980" i="1"/>
  <c r="L981" i="1"/>
  <c r="Z981" i="1" s="1"/>
  <c r="L982" i="1"/>
  <c r="L983" i="1"/>
  <c r="L984" i="1"/>
  <c r="Z984" i="1" s="1"/>
  <c r="L985" i="1"/>
  <c r="L986" i="1"/>
  <c r="L987" i="1"/>
  <c r="Z987" i="1" s="1"/>
  <c r="L988" i="1"/>
  <c r="Z988" i="1" s="1"/>
  <c r="L989" i="1"/>
  <c r="Z989" i="1" s="1"/>
  <c r="L990" i="1"/>
  <c r="L991" i="1"/>
  <c r="Z991" i="1" s="1"/>
  <c r="L992" i="1"/>
  <c r="L993" i="1"/>
  <c r="L994" i="1"/>
  <c r="Z994" i="1" s="1"/>
  <c r="L995" i="1"/>
  <c r="Z995" i="1" s="1"/>
  <c r="L996" i="1"/>
  <c r="L997" i="1"/>
  <c r="L998" i="1"/>
  <c r="L999" i="1"/>
  <c r="Z999" i="1" s="1"/>
  <c r="L1000" i="1"/>
  <c r="Z1000" i="1" s="1"/>
  <c r="L1001" i="1"/>
  <c r="L1002" i="1"/>
  <c r="Z1002" i="1" s="1"/>
  <c r="L1003" i="1"/>
  <c r="Z1003" i="1" s="1"/>
  <c r="L1004" i="1"/>
  <c r="Z1004" i="1" s="1"/>
  <c r="L1005" i="1"/>
  <c r="L1006" i="1"/>
  <c r="Z1006" i="1" s="1"/>
  <c r="L1007" i="1"/>
  <c r="L1008" i="1"/>
  <c r="L1009" i="1"/>
  <c r="Z1009" i="1" s="1"/>
  <c r="L1010" i="1"/>
  <c r="L1011" i="1"/>
  <c r="Z1011" i="1" s="1"/>
  <c r="L1012" i="1"/>
  <c r="L1013" i="1"/>
  <c r="L1014" i="1"/>
  <c r="Z1014" i="1" s="1"/>
  <c r="L1015" i="1"/>
  <c r="L1016" i="1"/>
  <c r="L1017" i="1"/>
  <c r="L1018" i="1"/>
  <c r="L1019" i="1"/>
  <c r="L1020" i="1"/>
  <c r="Z1020" i="1" s="1"/>
  <c r="L1021" i="1"/>
  <c r="L1022" i="1"/>
  <c r="L1023" i="1"/>
  <c r="L1024" i="1"/>
  <c r="Z1024" i="1" s="1"/>
  <c r="L1025" i="1"/>
  <c r="L1026" i="1"/>
  <c r="L1027" i="1"/>
  <c r="L1028" i="1"/>
  <c r="Z1028" i="1" s="1"/>
  <c r="L1029" i="1"/>
  <c r="Z1029" i="1" s="1"/>
  <c r="L1030" i="1"/>
  <c r="L1031" i="1"/>
  <c r="Z1031" i="1" s="1"/>
  <c r="L1032" i="1"/>
  <c r="L1033" i="1"/>
  <c r="L1034" i="1"/>
  <c r="L1035" i="1"/>
  <c r="Z1035" i="1" s="1"/>
  <c r="L1036" i="1"/>
  <c r="Z1036" i="1" s="1"/>
  <c r="L1037" i="1"/>
  <c r="L1038" i="1"/>
  <c r="L1039" i="1"/>
  <c r="Z1039" i="1" s="1"/>
  <c r="L1040" i="1"/>
  <c r="Z1040" i="1" s="1"/>
  <c r="L1041" i="1"/>
  <c r="Z1041" i="1" s="1"/>
  <c r="L1042" i="1"/>
  <c r="Z1042" i="1" s="1"/>
  <c r="L1043" i="1"/>
  <c r="Z1043" i="1" s="1"/>
  <c r="L1044" i="1"/>
  <c r="Z1044" i="1" s="1"/>
  <c r="L1045" i="1"/>
  <c r="L1046" i="1"/>
  <c r="Z1046" i="1" s="1"/>
  <c r="L1047" i="1"/>
  <c r="L1048" i="1"/>
  <c r="L1049" i="1"/>
  <c r="Z1049" i="1" s="1"/>
  <c r="L1050" i="1"/>
  <c r="L1051" i="1"/>
  <c r="Z1051" i="1" s="1"/>
  <c r="L1052" i="1"/>
  <c r="L1053" i="1"/>
  <c r="L1054" i="1"/>
  <c r="Z1054" i="1" s="1"/>
  <c r="L1055" i="1"/>
  <c r="L1056" i="1"/>
  <c r="L1057" i="1"/>
  <c r="L1058" i="1"/>
  <c r="L1059" i="1"/>
  <c r="L932" i="1"/>
  <c r="Z932" i="1" s="1"/>
  <c r="L933" i="1"/>
  <c r="Z933" i="1" s="1"/>
  <c r="L931" i="1"/>
  <c r="Z931" i="1" s="1"/>
  <c r="L930" i="1"/>
  <c r="Z930" i="1" s="1"/>
  <c r="L929" i="1"/>
  <c r="Z929" i="1" s="1"/>
  <c r="W928" i="1"/>
  <c r="L928" i="1"/>
  <c r="Z928" i="1" s="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717" i="1"/>
  <c r="W718" i="1"/>
  <c r="W719" i="1"/>
  <c r="W720" i="1"/>
  <c r="W721" i="1"/>
  <c r="W724" i="1"/>
  <c r="W725" i="1"/>
  <c r="W727" i="1"/>
  <c r="W728" i="1"/>
  <c r="W729" i="1"/>
  <c r="W730" i="1"/>
  <c r="W731" i="1"/>
  <c r="W732" i="1"/>
  <c r="W733" i="1"/>
  <c r="W716" i="1"/>
  <c r="L717" i="1"/>
  <c r="Z717" i="1" s="1"/>
  <c r="L718" i="1"/>
  <c r="Z718" i="1" s="1"/>
  <c r="L719" i="1"/>
  <c r="Z719" i="1" s="1"/>
  <c r="L720" i="1"/>
  <c r="Z720" i="1" s="1"/>
  <c r="L721" i="1"/>
  <c r="Z721" i="1" s="1"/>
  <c r="L724" i="1"/>
  <c r="Z724" i="1" s="1"/>
  <c r="L725" i="1"/>
  <c r="Z725" i="1" s="1"/>
  <c r="L727" i="1"/>
  <c r="Z727" i="1" s="1"/>
  <c r="L728" i="1"/>
  <c r="Z728" i="1" s="1"/>
  <c r="L729" i="1"/>
  <c r="Z729" i="1" s="1"/>
  <c r="L730" i="1"/>
  <c r="Z730" i="1" s="1"/>
  <c r="L731" i="1"/>
  <c r="Z731" i="1" s="1"/>
  <c r="L732" i="1"/>
  <c r="Z732" i="1" s="1"/>
  <c r="L733" i="1"/>
  <c r="Z733" i="1" s="1"/>
  <c r="L734" i="1"/>
  <c r="Z734" i="1" s="1"/>
  <c r="L735" i="1"/>
  <c r="Z735" i="1" s="1"/>
  <c r="L736" i="1"/>
  <c r="Z736" i="1" s="1"/>
  <c r="L737" i="1"/>
  <c r="Z737" i="1" s="1"/>
  <c r="L738" i="1"/>
  <c r="Z738" i="1" s="1"/>
  <c r="L739" i="1"/>
  <c r="Z739" i="1" s="1"/>
  <c r="L740" i="1"/>
  <c r="Z740" i="1" s="1"/>
  <c r="L741" i="1"/>
  <c r="Z741" i="1" s="1"/>
  <c r="L742" i="1"/>
  <c r="Z742" i="1" s="1"/>
  <c r="L743" i="1"/>
  <c r="Z743" i="1" s="1"/>
  <c r="L744" i="1"/>
  <c r="Z744" i="1" s="1"/>
  <c r="L745" i="1"/>
  <c r="Z745" i="1" s="1"/>
  <c r="L746" i="1"/>
  <c r="Z746" i="1" s="1"/>
  <c r="L747" i="1"/>
  <c r="Z747" i="1" s="1"/>
  <c r="L748" i="1"/>
  <c r="Z748" i="1" s="1"/>
  <c r="L749" i="1"/>
  <c r="Z749" i="1" s="1"/>
  <c r="L750" i="1"/>
  <c r="Z750" i="1" s="1"/>
  <c r="L751" i="1"/>
  <c r="Z751" i="1" s="1"/>
  <c r="L752" i="1"/>
  <c r="Z752" i="1" s="1"/>
  <c r="L753" i="1"/>
  <c r="Z753" i="1" s="1"/>
  <c r="L754" i="1"/>
  <c r="Z754" i="1" s="1"/>
  <c r="L755" i="1"/>
  <c r="Z755" i="1" s="1"/>
  <c r="L756" i="1"/>
  <c r="Z756" i="1" s="1"/>
  <c r="L757" i="1"/>
  <c r="Z757" i="1" s="1"/>
  <c r="L758" i="1"/>
  <c r="Z758" i="1" s="1"/>
  <c r="L759" i="1"/>
  <c r="Z759" i="1" s="1"/>
  <c r="L760" i="1"/>
  <c r="Z760" i="1" s="1"/>
  <c r="L761" i="1"/>
  <c r="Z761" i="1" s="1"/>
  <c r="L762" i="1"/>
  <c r="Z762" i="1" s="1"/>
  <c r="L763" i="1"/>
  <c r="Z763" i="1" s="1"/>
  <c r="L764" i="1"/>
  <c r="Z764" i="1" s="1"/>
  <c r="L765" i="1"/>
  <c r="Z765" i="1" s="1"/>
  <c r="L766" i="1"/>
  <c r="Z766" i="1" s="1"/>
  <c r="L767" i="1"/>
  <c r="Z767" i="1" s="1"/>
  <c r="L768" i="1"/>
  <c r="Z768" i="1" s="1"/>
  <c r="L769" i="1"/>
  <c r="Z769" i="1" s="1"/>
  <c r="L770" i="1"/>
  <c r="Z770" i="1" s="1"/>
  <c r="L771" i="1"/>
  <c r="Z771" i="1" s="1"/>
  <c r="L772" i="1"/>
  <c r="Z772" i="1" s="1"/>
  <c r="L773" i="1"/>
  <c r="Z773" i="1" s="1"/>
  <c r="L774" i="1"/>
  <c r="Z774" i="1" s="1"/>
  <c r="L775" i="1"/>
  <c r="Z775" i="1" s="1"/>
  <c r="L776" i="1"/>
  <c r="Z776" i="1" s="1"/>
  <c r="L777" i="1"/>
  <c r="Z777" i="1" s="1"/>
  <c r="L778" i="1"/>
  <c r="Z778" i="1" s="1"/>
  <c r="L779" i="1"/>
  <c r="Z779" i="1" s="1"/>
  <c r="L780" i="1"/>
  <c r="Z780" i="1" s="1"/>
  <c r="L781" i="1"/>
  <c r="Z781" i="1" s="1"/>
  <c r="L782" i="1"/>
  <c r="Z782" i="1" s="1"/>
  <c r="L783" i="1"/>
  <c r="Z783" i="1" s="1"/>
  <c r="L784" i="1"/>
  <c r="Z784" i="1" s="1"/>
  <c r="L785" i="1"/>
  <c r="Z785" i="1" s="1"/>
  <c r="L786" i="1"/>
  <c r="Z786" i="1" s="1"/>
  <c r="L787" i="1"/>
  <c r="Z787" i="1" s="1"/>
  <c r="L788" i="1"/>
  <c r="Z788" i="1" s="1"/>
  <c r="L789" i="1"/>
  <c r="Z789" i="1" s="1"/>
  <c r="L790" i="1"/>
  <c r="Z790" i="1" s="1"/>
  <c r="L791" i="1"/>
  <c r="Z791" i="1" s="1"/>
  <c r="L792" i="1"/>
  <c r="Z792" i="1" s="1"/>
  <c r="L793" i="1"/>
  <c r="Z793" i="1" s="1"/>
  <c r="L794" i="1"/>
  <c r="Z794" i="1" s="1"/>
  <c r="L795" i="1"/>
  <c r="Z795" i="1" s="1"/>
  <c r="L796" i="1"/>
  <c r="Z796" i="1" s="1"/>
  <c r="L797" i="1"/>
  <c r="Z797" i="1" s="1"/>
  <c r="L798" i="1"/>
  <c r="Z798" i="1" s="1"/>
  <c r="L799" i="1"/>
  <c r="Z799" i="1" s="1"/>
  <c r="L800" i="1"/>
  <c r="Z800" i="1" s="1"/>
  <c r="L801" i="1"/>
  <c r="Z801" i="1" s="1"/>
  <c r="L802" i="1"/>
  <c r="Z802" i="1" s="1"/>
  <c r="L803" i="1"/>
  <c r="Z803" i="1" s="1"/>
  <c r="L804" i="1"/>
  <c r="Z804" i="1" s="1"/>
  <c r="L805" i="1"/>
  <c r="Z805" i="1" s="1"/>
  <c r="L806" i="1"/>
  <c r="Z806" i="1" s="1"/>
  <c r="L807" i="1"/>
  <c r="Z807" i="1" s="1"/>
  <c r="L808" i="1"/>
  <c r="Z808" i="1" s="1"/>
  <c r="L809" i="1"/>
  <c r="Z809" i="1" s="1"/>
  <c r="L810" i="1"/>
  <c r="Z810" i="1" s="1"/>
  <c r="L811" i="1"/>
  <c r="Z811" i="1" s="1"/>
  <c r="L812" i="1"/>
  <c r="Z812" i="1" s="1"/>
  <c r="L813" i="1"/>
  <c r="Z813" i="1" s="1"/>
  <c r="L814" i="1"/>
  <c r="Z814" i="1" s="1"/>
  <c r="L815" i="1"/>
  <c r="Z815" i="1" s="1"/>
  <c r="L816" i="1"/>
  <c r="Z816" i="1" s="1"/>
  <c r="L817" i="1"/>
  <c r="Z817" i="1" s="1"/>
  <c r="L818" i="1"/>
  <c r="Z818" i="1" s="1"/>
  <c r="L819" i="1"/>
  <c r="Z819" i="1" s="1"/>
  <c r="L820" i="1"/>
  <c r="Z820" i="1" s="1"/>
  <c r="L821" i="1"/>
  <c r="Z821" i="1" s="1"/>
  <c r="L822" i="1"/>
  <c r="Z822" i="1" s="1"/>
  <c r="L823" i="1"/>
  <c r="Z823" i="1" s="1"/>
  <c r="L824" i="1"/>
  <c r="Z824" i="1" s="1"/>
  <c r="L825" i="1"/>
  <c r="Z825" i="1" s="1"/>
  <c r="L826" i="1"/>
  <c r="Z826" i="1" s="1"/>
  <c r="L827" i="1"/>
  <c r="Z827" i="1" s="1"/>
  <c r="L828" i="1"/>
  <c r="Z828" i="1" s="1"/>
  <c r="L829" i="1"/>
  <c r="Z829" i="1" s="1"/>
  <c r="L830" i="1"/>
  <c r="Z830" i="1" s="1"/>
  <c r="L831" i="1"/>
  <c r="Z831" i="1" s="1"/>
  <c r="L832" i="1"/>
  <c r="Z832" i="1" s="1"/>
  <c r="L833" i="1"/>
  <c r="Z833" i="1" s="1"/>
  <c r="L834" i="1"/>
  <c r="Z834" i="1" s="1"/>
  <c r="L835" i="1"/>
  <c r="Z835" i="1" s="1"/>
  <c r="L836" i="1"/>
  <c r="Z836" i="1" s="1"/>
  <c r="L837" i="1"/>
  <c r="Z837" i="1" s="1"/>
  <c r="L838" i="1"/>
  <c r="Z838" i="1" s="1"/>
  <c r="L839" i="1"/>
  <c r="Z839" i="1" s="1"/>
  <c r="L840" i="1"/>
  <c r="Z840" i="1" s="1"/>
  <c r="L841" i="1"/>
  <c r="Z841" i="1" s="1"/>
  <c r="L842" i="1"/>
  <c r="Z842" i="1" s="1"/>
  <c r="L843" i="1"/>
  <c r="Z843" i="1" s="1"/>
  <c r="L844" i="1"/>
  <c r="Z844" i="1" s="1"/>
  <c r="L845" i="1"/>
  <c r="Z845" i="1" s="1"/>
  <c r="L846" i="1"/>
  <c r="Z846" i="1" s="1"/>
  <c r="L847" i="1"/>
  <c r="Z847" i="1" s="1"/>
  <c r="L848" i="1"/>
  <c r="Z848" i="1" s="1"/>
  <c r="L849" i="1"/>
  <c r="Z849" i="1" s="1"/>
  <c r="L850" i="1"/>
  <c r="Z850" i="1" s="1"/>
  <c r="L851" i="1"/>
  <c r="Z851" i="1" s="1"/>
  <c r="L852" i="1"/>
  <c r="Z852" i="1" s="1"/>
  <c r="L853" i="1"/>
  <c r="Z853" i="1" s="1"/>
  <c r="L854" i="1"/>
  <c r="Z854" i="1" s="1"/>
  <c r="L855" i="1"/>
  <c r="Z855" i="1" s="1"/>
  <c r="L856" i="1"/>
  <c r="Z856" i="1" s="1"/>
  <c r="L857" i="1"/>
  <c r="Z857" i="1" s="1"/>
  <c r="L858" i="1"/>
  <c r="Z858" i="1" s="1"/>
  <c r="L859" i="1"/>
  <c r="Z859" i="1" s="1"/>
  <c r="L860" i="1"/>
  <c r="Z860" i="1" s="1"/>
  <c r="L861" i="1"/>
  <c r="Z861" i="1" s="1"/>
  <c r="L862" i="1"/>
  <c r="Z862" i="1" s="1"/>
  <c r="L863" i="1"/>
  <c r="Z863" i="1" s="1"/>
  <c r="L864" i="1"/>
  <c r="Z864" i="1" s="1"/>
  <c r="L865" i="1"/>
  <c r="Z865" i="1" s="1"/>
  <c r="L866" i="1"/>
  <c r="Z866" i="1" s="1"/>
  <c r="L867" i="1"/>
  <c r="Z867" i="1" s="1"/>
  <c r="L868" i="1"/>
  <c r="Z868" i="1" s="1"/>
  <c r="L869" i="1"/>
  <c r="Z869" i="1" s="1"/>
  <c r="L870" i="1"/>
  <c r="Z870" i="1" s="1"/>
  <c r="L871" i="1"/>
  <c r="Z871" i="1" s="1"/>
  <c r="L872" i="1"/>
  <c r="Z872" i="1" s="1"/>
  <c r="L873" i="1"/>
  <c r="Z873" i="1" s="1"/>
  <c r="L874" i="1"/>
  <c r="Z874" i="1" s="1"/>
  <c r="L875" i="1"/>
  <c r="Z875" i="1" s="1"/>
  <c r="L876" i="1"/>
  <c r="Z876" i="1" s="1"/>
  <c r="L877" i="1"/>
  <c r="Z877" i="1" s="1"/>
  <c r="L878" i="1"/>
  <c r="Z878" i="1" s="1"/>
  <c r="L879" i="1"/>
  <c r="Z879" i="1" s="1"/>
  <c r="L880" i="1"/>
  <c r="Z880" i="1" s="1"/>
  <c r="L881" i="1"/>
  <c r="Z881" i="1" s="1"/>
  <c r="L882" i="1"/>
  <c r="Z882" i="1" s="1"/>
  <c r="L883" i="1"/>
  <c r="Z883" i="1" s="1"/>
  <c r="L884" i="1"/>
  <c r="Z884" i="1" s="1"/>
  <c r="L885" i="1"/>
  <c r="Z885" i="1" s="1"/>
  <c r="L886" i="1"/>
  <c r="Z886" i="1" s="1"/>
  <c r="L887" i="1"/>
  <c r="Z887" i="1" s="1"/>
  <c r="L888" i="1"/>
  <c r="Z888" i="1" s="1"/>
  <c r="L889" i="1"/>
  <c r="Z889" i="1" s="1"/>
  <c r="L890" i="1"/>
  <c r="Z890" i="1" s="1"/>
  <c r="L891" i="1"/>
  <c r="Z891" i="1" s="1"/>
  <c r="L892" i="1"/>
  <c r="Z892" i="1" s="1"/>
  <c r="L893" i="1"/>
  <c r="Z893" i="1" s="1"/>
  <c r="L894" i="1"/>
  <c r="Z894" i="1" s="1"/>
  <c r="L895" i="1"/>
  <c r="Z895" i="1" s="1"/>
  <c r="L896" i="1"/>
  <c r="Z896" i="1" s="1"/>
  <c r="L897" i="1"/>
  <c r="Z897" i="1" s="1"/>
  <c r="L898" i="1"/>
  <c r="Z898" i="1" s="1"/>
  <c r="L899" i="1"/>
  <c r="Z899" i="1" s="1"/>
  <c r="L900" i="1"/>
  <c r="Z900" i="1" s="1"/>
  <c r="L901" i="1"/>
  <c r="Z901" i="1" s="1"/>
  <c r="L902" i="1"/>
  <c r="Z902" i="1" s="1"/>
  <c r="L903" i="1"/>
  <c r="Z903" i="1" s="1"/>
  <c r="L904" i="1"/>
  <c r="Z904" i="1" s="1"/>
  <c r="L905" i="1"/>
  <c r="Z905" i="1" s="1"/>
  <c r="L906" i="1"/>
  <c r="Z906" i="1" s="1"/>
  <c r="L907" i="1"/>
  <c r="Z907" i="1" s="1"/>
  <c r="L908" i="1"/>
  <c r="Z908" i="1" s="1"/>
  <c r="L909" i="1"/>
  <c r="Z909" i="1" s="1"/>
  <c r="L910" i="1"/>
  <c r="Z910" i="1" s="1"/>
  <c r="L911" i="1"/>
  <c r="Z911" i="1" s="1"/>
  <c r="L912" i="1"/>
  <c r="Z912" i="1" s="1"/>
  <c r="L913" i="1"/>
  <c r="Z913" i="1" s="1"/>
  <c r="L914" i="1"/>
  <c r="Z914" i="1" s="1"/>
  <c r="L915" i="1"/>
  <c r="Z915" i="1" s="1"/>
  <c r="L916" i="1"/>
  <c r="Z916" i="1" s="1"/>
  <c r="L917" i="1"/>
  <c r="Z917" i="1" s="1"/>
  <c r="L918" i="1"/>
  <c r="Z918" i="1" s="1"/>
  <c r="L919" i="1"/>
  <c r="Z919" i="1" s="1"/>
  <c r="L920" i="1"/>
  <c r="Z920" i="1" s="1"/>
  <c r="L921" i="1"/>
  <c r="Z921" i="1" s="1"/>
  <c r="L922" i="1"/>
  <c r="Z922" i="1" s="1"/>
  <c r="L923" i="1"/>
  <c r="Z923" i="1" s="1"/>
  <c r="L924" i="1"/>
  <c r="Z924" i="1" s="1"/>
  <c r="L925" i="1"/>
  <c r="Z925" i="1" s="1"/>
  <c r="L926" i="1"/>
  <c r="Z926" i="1" s="1"/>
  <c r="L927" i="1"/>
  <c r="Z927" i="1" s="1"/>
  <c r="L716" i="1"/>
  <c r="Z716" i="1" s="1"/>
  <c r="L715" i="1"/>
  <c r="Z715" i="1" s="1"/>
  <c r="L714" i="1"/>
  <c r="Z714" i="1" s="1"/>
  <c r="L713" i="1"/>
  <c r="Z713" i="1" s="1"/>
  <c r="L712" i="1"/>
  <c r="Z712" i="1" s="1"/>
  <c r="L711" i="1"/>
  <c r="Z711" i="1" s="1"/>
  <c r="L710" i="1"/>
  <c r="Z710" i="1" s="1"/>
  <c r="V172" i="1"/>
  <c r="V36" i="1"/>
  <c r="L527" i="1"/>
  <c r="Z527" i="1" s="1"/>
  <c r="V527" i="1"/>
  <c r="V526" i="1"/>
  <c r="L526" i="1"/>
  <c r="Z526" i="1" s="1"/>
  <c r="T525" i="1"/>
  <c r="L525" i="1"/>
  <c r="L1071" i="1"/>
  <c r="Z1071" i="1" s="1"/>
  <c r="L520" i="1"/>
  <c r="L521" i="1"/>
  <c r="L522" i="1"/>
  <c r="L523" i="1"/>
  <c r="L519" i="1"/>
  <c r="L518" i="1"/>
  <c r="L517" i="1"/>
  <c r="L516" i="1"/>
  <c r="L515" i="1"/>
  <c r="L514" i="1"/>
  <c r="L513" i="1"/>
  <c r="L512" i="1"/>
  <c r="L511" i="1"/>
  <c r="L510" i="1"/>
  <c r="L509" i="1"/>
  <c r="L508" i="1"/>
  <c r="L507" i="1"/>
  <c r="L506" i="1"/>
  <c r="Z506" i="1" s="1"/>
  <c r="V506" i="1"/>
  <c r="V505" i="1"/>
  <c r="V504" i="1"/>
  <c r="V503" i="1"/>
  <c r="V502" i="1"/>
  <c r="V501" i="1"/>
  <c r="V500" i="1"/>
  <c r="V499" i="1"/>
  <c r="V498" i="1"/>
  <c r="V497" i="1"/>
  <c r="V496" i="1"/>
  <c r="L505" i="1"/>
  <c r="Z505" i="1" s="1"/>
  <c r="L504" i="1"/>
  <c r="Z504" i="1" s="1"/>
  <c r="L503" i="1"/>
  <c r="Z503" i="1" s="1"/>
  <c r="L502" i="1"/>
  <c r="Z502" i="1" s="1"/>
  <c r="L501" i="1"/>
  <c r="Z501" i="1" s="1"/>
  <c r="L500" i="1"/>
  <c r="Z500" i="1" s="1"/>
  <c r="L499" i="1"/>
  <c r="Z499" i="1" s="1"/>
  <c r="L498" i="1"/>
  <c r="Z498" i="1" s="1"/>
  <c r="L497" i="1"/>
  <c r="Z497" i="1" s="1"/>
  <c r="L496" i="1"/>
  <c r="Z496" i="1" s="1"/>
  <c r="L495" i="1"/>
  <c r="L494" i="1"/>
  <c r="Z494" i="1" s="1"/>
  <c r="L493" i="1"/>
  <c r="Z493" i="1" s="1"/>
  <c r="V492" i="1"/>
  <c r="V491" i="1"/>
  <c r="L492" i="1"/>
  <c r="Z492" i="1" s="1"/>
  <c r="L491" i="1"/>
  <c r="Z491" i="1" s="1"/>
  <c r="L709" i="1"/>
  <c r="Z709" i="1" s="1"/>
  <c r="L130" i="1"/>
  <c r="Z130" i="1" s="1"/>
  <c r="L131" i="1"/>
  <c r="Z131" i="1" s="1"/>
  <c r="L132" i="1"/>
  <c r="Z132" i="1" s="1"/>
  <c r="L133" i="1"/>
  <c r="Z133" i="1" s="1"/>
  <c r="L134" i="1"/>
  <c r="Z134" i="1" s="1"/>
  <c r="L135" i="1"/>
  <c r="Z135" i="1" s="1"/>
  <c r="L138" i="1"/>
  <c r="Z138" i="1" s="1"/>
  <c r="L137" i="1"/>
  <c r="Z137" i="1" s="1"/>
  <c r="L128" i="1"/>
  <c r="Z128" i="1" s="1"/>
  <c r="K18" i="3"/>
  <c r="L1068" i="1"/>
  <c r="Z1068" i="1" s="1"/>
  <c r="L1067" i="1"/>
  <c r="Z1067" i="1" s="1"/>
  <c r="V239" i="1"/>
  <c r="L239" i="1"/>
  <c r="Z239" i="1" s="1"/>
  <c r="V238" i="1"/>
  <c r="V41" i="1"/>
  <c r="L238" i="1"/>
  <c r="Z238" i="1" s="1"/>
  <c r="V4" i="1"/>
  <c r="V6" i="1"/>
  <c r="V5" i="1"/>
  <c r="T1061" i="1"/>
  <c r="T1062" i="1"/>
  <c r="V342" i="1"/>
  <c r="V341" i="1"/>
  <c r="L342" i="1"/>
  <c r="Z342" i="1" s="1"/>
  <c r="V343" i="1"/>
  <c r="L343" i="1"/>
  <c r="Z343" i="1" s="1"/>
  <c r="V21" i="1"/>
  <c r="V20" i="1"/>
  <c r="V19" i="1"/>
  <c r="L488" i="1"/>
  <c r="Z488" i="1" s="1"/>
  <c r="I488" i="1"/>
  <c r="H488" i="1"/>
  <c r="K17" i="3"/>
  <c r="K16" i="3"/>
  <c r="H16" i="3"/>
  <c r="G16" i="3"/>
  <c r="V487" i="1"/>
  <c r="V340" i="1"/>
  <c r="V339" i="1"/>
  <c r="V338" i="1"/>
  <c r="V337" i="1"/>
  <c r="L340" i="1"/>
  <c r="Z340" i="1" s="1"/>
  <c r="L339" i="1"/>
  <c r="Z339" i="1" s="1"/>
  <c r="I340" i="1"/>
  <c r="H340" i="1"/>
  <c r="L338" i="1"/>
  <c r="Z338" i="1" s="1"/>
  <c r="I338" i="1"/>
  <c r="H338" i="1"/>
  <c r="L337" i="1"/>
  <c r="Z337" i="1" s="1"/>
  <c r="I339" i="1"/>
  <c r="H339" i="1"/>
  <c r="I337" i="1"/>
  <c r="H337" i="1"/>
  <c r="L444" i="1"/>
  <c r="Z444" i="1" s="1"/>
  <c r="I444" i="1"/>
  <c r="H444" i="1"/>
  <c r="L443" i="1"/>
  <c r="Z443" i="1" s="1"/>
  <c r="I443" i="1"/>
  <c r="H443" i="1"/>
  <c r="L442" i="1"/>
  <c r="Z442" i="1" s="1"/>
  <c r="I442" i="1"/>
  <c r="H442" i="1"/>
  <c r="L441" i="1"/>
  <c r="Z441" i="1" s="1"/>
  <c r="I441" i="1"/>
  <c r="H441" i="1"/>
  <c r="L440" i="1"/>
  <c r="Z440" i="1" s="1"/>
  <c r="I440" i="1"/>
  <c r="H440" i="1"/>
  <c r="L439" i="1"/>
  <c r="Z439" i="1" s="1"/>
  <c r="I439" i="1"/>
  <c r="H439" i="1"/>
  <c r="L438" i="1"/>
  <c r="Z438" i="1" s="1"/>
  <c r="I438" i="1"/>
  <c r="H438" i="1"/>
  <c r="L437" i="1"/>
  <c r="Z437" i="1" s="1"/>
  <c r="I437" i="1"/>
  <c r="H437" i="1"/>
  <c r="L436" i="1"/>
  <c r="Z436" i="1" s="1"/>
  <c r="I436" i="1"/>
  <c r="H436" i="1"/>
  <c r="L435" i="1"/>
  <c r="Z435" i="1" s="1"/>
  <c r="I435" i="1"/>
  <c r="H435" i="1"/>
  <c r="L434" i="1"/>
  <c r="Z434" i="1" s="1"/>
  <c r="I434" i="1"/>
  <c r="H434" i="1"/>
  <c r="L433" i="1"/>
  <c r="Z433" i="1" s="1"/>
  <c r="I433" i="1"/>
  <c r="H433" i="1"/>
  <c r="L432" i="1"/>
  <c r="Z432" i="1" s="1"/>
  <c r="I432" i="1"/>
  <c r="H432" i="1"/>
  <c r="L431" i="1"/>
  <c r="Z431" i="1" s="1"/>
  <c r="I431" i="1"/>
  <c r="H431" i="1"/>
  <c r="L430" i="1"/>
  <c r="Z430" i="1" s="1"/>
  <c r="I430" i="1"/>
  <c r="H430" i="1"/>
  <c r="L429" i="1"/>
  <c r="Z429" i="1" s="1"/>
  <c r="I429" i="1"/>
  <c r="H429" i="1"/>
  <c r="L428" i="1"/>
  <c r="Z428" i="1" s="1"/>
  <c r="I428" i="1"/>
  <c r="H428" i="1"/>
  <c r="L427" i="1"/>
  <c r="Z427" i="1" s="1"/>
  <c r="I427" i="1"/>
  <c r="H427" i="1"/>
  <c r="L426" i="1"/>
  <c r="Z426" i="1" s="1"/>
  <c r="I426" i="1"/>
  <c r="H426" i="1"/>
  <c r="L425" i="1"/>
  <c r="Z425" i="1" s="1"/>
  <c r="I425" i="1"/>
  <c r="H425" i="1"/>
  <c r="L424" i="1"/>
  <c r="Z424" i="1" s="1"/>
  <c r="I424" i="1"/>
  <c r="H424" i="1"/>
  <c r="L423" i="1"/>
  <c r="Z423" i="1" s="1"/>
  <c r="I423" i="1"/>
  <c r="H423" i="1"/>
  <c r="L422" i="1"/>
  <c r="Z422" i="1" s="1"/>
  <c r="I422" i="1"/>
  <c r="H422" i="1"/>
  <c r="L421" i="1"/>
  <c r="Z421" i="1" s="1"/>
  <c r="I421" i="1"/>
  <c r="H421" i="1"/>
  <c r="L420" i="1"/>
  <c r="Z420" i="1" s="1"/>
  <c r="I420" i="1"/>
  <c r="H420" i="1"/>
  <c r="L419" i="1"/>
  <c r="Z419" i="1" s="1"/>
  <c r="I419" i="1"/>
  <c r="H419" i="1"/>
  <c r="L418" i="1"/>
  <c r="Z418" i="1" s="1"/>
  <c r="I418" i="1"/>
  <c r="H418" i="1"/>
  <c r="AQ432" i="1"/>
  <c r="CN432" i="1"/>
  <c r="CM432" i="1"/>
  <c r="CL432" i="1"/>
  <c r="CK432" i="1"/>
  <c r="CJ432" i="1"/>
  <c r="CI432" i="1"/>
  <c r="CH432" i="1"/>
  <c r="CG432" i="1"/>
  <c r="CF432" i="1"/>
  <c r="CE432" i="1"/>
  <c r="CD432" i="1"/>
  <c r="CC432" i="1"/>
  <c r="CB432" i="1"/>
  <c r="CA432" i="1"/>
  <c r="BZ432" i="1"/>
  <c r="BY432" i="1"/>
  <c r="BX432" i="1"/>
  <c r="BW432" i="1"/>
  <c r="BV432" i="1"/>
  <c r="BU432" i="1"/>
  <c r="BT432" i="1"/>
  <c r="BS432" i="1"/>
  <c r="BR432" i="1"/>
  <c r="BQ432" i="1"/>
  <c r="BP432" i="1"/>
  <c r="BO432" i="1"/>
  <c r="BN432" i="1"/>
  <c r="BM432" i="1"/>
  <c r="BL432" i="1"/>
  <c r="BK432" i="1"/>
  <c r="BJ432" i="1"/>
  <c r="BI432" i="1"/>
  <c r="BH432" i="1"/>
  <c r="BG432" i="1"/>
  <c r="BF432" i="1"/>
  <c r="BE432" i="1"/>
  <c r="BD432" i="1"/>
  <c r="BC432" i="1"/>
  <c r="BB432" i="1"/>
  <c r="BA432" i="1"/>
  <c r="AZ432" i="1"/>
  <c r="AY432" i="1"/>
  <c r="AX432" i="1"/>
  <c r="AW432" i="1"/>
  <c r="AV432" i="1"/>
  <c r="AU432" i="1"/>
  <c r="AT432" i="1"/>
  <c r="AS432" i="1"/>
  <c r="AR432" i="1"/>
  <c r="AP432" i="1"/>
  <c r="AO432" i="1"/>
  <c r="AN432" i="1"/>
  <c r="AM432" i="1"/>
  <c r="L489" i="1"/>
  <c r="Z489" i="1" s="1"/>
  <c r="I489" i="1"/>
  <c r="H489" i="1"/>
  <c r="L487" i="1"/>
  <c r="Z487" i="1" s="1"/>
  <c r="I487" i="1"/>
  <c r="H487" i="1"/>
  <c r="K15" i="3"/>
  <c r="K14" i="3"/>
  <c r="X957" i="1" l="1"/>
  <c r="Z957" i="1"/>
  <c r="V523" i="1"/>
  <c r="Z523" i="1"/>
  <c r="X1023" i="1"/>
  <c r="Z1023" i="1"/>
  <c r="X983" i="1"/>
  <c r="Z983" i="1"/>
  <c r="X943" i="1"/>
  <c r="Z943" i="1"/>
  <c r="V522" i="1"/>
  <c r="Z522" i="1"/>
  <c r="X1022" i="1"/>
  <c r="Z1022" i="1"/>
  <c r="X982" i="1"/>
  <c r="Z982" i="1"/>
  <c r="X962" i="1"/>
  <c r="Z962" i="1"/>
  <c r="X942" i="1"/>
  <c r="Z942" i="1"/>
  <c r="V521" i="1"/>
  <c r="Z521" i="1"/>
  <c r="X1021" i="1"/>
  <c r="Z1021" i="1"/>
  <c r="X1001" i="1"/>
  <c r="Z1001" i="1"/>
  <c r="X961" i="1"/>
  <c r="Z961" i="1"/>
  <c r="X941" i="1"/>
  <c r="Z941" i="1"/>
  <c r="V520" i="1"/>
  <c r="Z520" i="1"/>
  <c r="X980" i="1"/>
  <c r="Z980" i="1"/>
  <c r="X960" i="1"/>
  <c r="Z960" i="1"/>
  <c r="X940" i="1"/>
  <c r="Z940" i="1"/>
  <c r="X978" i="1"/>
  <c r="Z978" i="1"/>
  <c r="X1017" i="1"/>
  <c r="Z1017" i="1"/>
  <c r="V495" i="1"/>
  <c r="Z495" i="1"/>
  <c r="X1059" i="1"/>
  <c r="Z1059" i="1"/>
  <c r="X1019" i="1"/>
  <c r="Z1019" i="1"/>
  <c r="X939" i="1"/>
  <c r="Z939" i="1"/>
  <c r="X938" i="1"/>
  <c r="Z938" i="1"/>
  <c r="V507" i="1"/>
  <c r="Z507" i="1"/>
  <c r="X1053" i="1"/>
  <c r="Z1053" i="1"/>
  <c r="X1033" i="1"/>
  <c r="Z1033" i="1"/>
  <c r="X1013" i="1"/>
  <c r="Z1013" i="1"/>
  <c r="X993" i="1"/>
  <c r="Z993" i="1"/>
  <c r="X973" i="1"/>
  <c r="Z973" i="1"/>
  <c r="X953" i="1"/>
  <c r="Z953" i="1"/>
  <c r="V511" i="1"/>
  <c r="Z511" i="1"/>
  <c r="X1052" i="1"/>
  <c r="Z1052" i="1"/>
  <c r="X1032" i="1"/>
  <c r="Z1032" i="1"/>
  <c r="X1012" i="1"/>
  <c r="Z1012" i="1"/>
  <c r="X992" i="1"/>
  <c r="Z992" i="1"/>
  <c r="X972" i="1"/>
  <c r="Z972" i="1"/>
  <c r="X952" i="1"/>
  <c r="Z952" i="1"/>
  <c r="V512" i="1"/>
  <c r="Z512" i="1"/>
  <c r="V513" i="1"/>
  <c r="Z513" i="1"/>
  <c r="X1050" i="1"/>
  <c r="Z1050" i="1"/>
  <c r="X1030" i="1"/>
  <c r="Z1030" i="1"/>
  <c r="X1010" i="1"/>
  <c r="Z1010" i="1"/>
  <c r="X990" i="1"/>
  <c r="Z990" i="1"/>
  <c r="X970" i="1"/>
  <c r="Z970" i="1"/>
  <c r="X950" i="1"/>
  <c r="Z950" i="1"/>
  <c r="V514" i="1"/>
  <c r="Z514" i="1"/>
  <c r="V525" i="1"/>
  <c r="Z525" i="1"/>
  <c r="X1058" i="1"/>
  <c r="Z1058" i="1"/>
  <c r="X1038" i="1"/>
  <c r="Z1038" i="1"/>
  <c r="X1018" i="1"/>
  <c r="Z1018" i="1"/>
  <c r="X998" i="1"/>
  <c r="Z998" i="1"/>
  <c r="X1057" i="1"/>
  <c r="Z1057" i="1"/>
  <c r="X997" i="1"/>
  <c r="Z997" i="1"/>
  <c r="X977" i="1"/>
  <c r="Z977" i="1"/>
  <c r="X1056" i="1"/>
  <c r="Z1056" i="1"/>
  <c r="X976" i="1"/>
  <c r="Z976" i="1"/>
  <c r="X936" i="1"/>
  <c r="Z936" i="1"/>
  <c r="X1055" i="1"/>
  <c r="Z1055" i="1"/>
  <c r="V509" i="1"/>
  <c r="Z509" i="1"/>
  <c r="X954" i="1"/>
  <c r="Z954" i="1"/>
  <c r="V515" i="1"/>
  <c r="Z515" i="1"/>
  <c r="X1008" i="1"/>
  <c r="Z1008" i="1"/>
  <c r="X968" i="1"/>
  <c r="Z968" i="1"/>
  <c r="X967" i="1"/>
  <c r="Z967" i="1"/>
  <c r="X958" i="1"/>
  <c r="Z958" i="1"/>
  <c r="X1026" i="1"/>
  <c r="Z1026" i="1"/>
  <c r="X986" i="1"/>
  <c r="Z986" i="1"/>
  <c r="X966" i="1"/>
  <c r="Z966" i="1"/>
  <c r="X946" i="1"/>
  <c r="Z946" i="1"/>
  <c r="X1037" i="1"/>
  <c r="Z1037" i="1"/>
  <c r="X1016" i="1"/>
  <c r="Z1016" i="1"/>
  <c r="V508" i="1"/>
  <c r="Z508" i="1"/>
  <c r="X1015" i="1"/>
  <c r="Z1015" i="1"/>
  <c r="X1048" i="1"/>
  <c r="Z1048" i="1"/>
  <c r="V517" i="1"/>
  <c r="Z517" i="1"/>
  <c r="V518" i="1"/>
  <c r="Z518" i="1"/>
  <c r="X996" i="1"/>
  <c r="Z996" i="1"/>
  <c r="X1034" i="1"/>
  <c r="Z1034" i="1"/>
  <c r="V510" i="1"/>
  <c r="Z510" i="1"/>
  <c r="V516" i="1"/>
  <c r="Z516" i="1"/>
  <c r="X1047" i="1"/>
  <c r="Z1047" i="1"/>
  <c r="X1027" i="1"/>
  <c r="Z1027" i="1"/>
  <c r="X1007" i="1"/>
  <c r="Z1007" i="1"/>
  <c r="X947" i="1"/>
  <c r="Z947" i="1"/>
  <c r="X1045" i="1"/>
  <c r="Z1045" i="1"/>
  <c r="X1025" i="1"/>
  <c r="Z1025" i="1"/>
  <c r="X1005" i="1"/>
  <c r="Z1005" i="1"/>
  <c r="X985" i="1"/>
  <c r="Z985" i="1"/>
  <c r="X965" i="1"/>
  <c r="Z965" i="1"/>
  <c r="X945" i="1"/>
  <c r="Z945" i="1"/>
  <c r="V519" i="1"/>
  <c r="Z519" i="1"/>
  <c r="V1067" i="1"/>
  <c r="V1068" i="1"/>
  <c r="X1044" i="1"/>
  <c r="X984" i="1"/>
  <c r="X979" i="1"/>
  <c r="X1046" i="1"/>
  <c r="X1043" i="1"/>
  <c r="X1042" i="1"/>
  <c r="X1041" i="1"/>
  <c r="X1028" i="1"/>
  <c r="X981" i="1"/>
  <c r="X971" i="1"/>
  <c r="X969" i="1"/>
  <c r="X1006" i="1"/>
  <c r="X1004" i="1"/>
  <c r="X1003" i="1"/>
  <c r="X1002" i="1"/>
  <c r="X1031" i="1"/>
  <c r="X1029" i="1"/>
  <c r="X1024" i="1"/>
  <c r="X963" i="1"/>
  <c r="X964" i="1"/>
  <c r="X1009" i="1"/>
  <c r="X987" i="1"/>
  <c r="X1040" i="1"/>
  <c r="X1000" i="1"/>
  <c r="X999" i="1"/>
  <c r="X959" i="1"/>
  <c r="X951" i="1"/>
  <c r="X1039" i="1"/>
  <c r="X991" i="1"/>
  <c r="X989" i="1"/>
  <c r="X948" i="1"/>
  <c r="X1051" i="1"/>
  <c r="X1020" i="1"/>
  <c r="X944" i="1"/>
  <c r="X988" i="1"/>
  <c r="X949" i="1"/>
  <c r="X1049" i="1"/>
  <c r="X1011" i="1"/>
  <c r="X937" i="1"/>
  <c r="X934" i="1"/>
  <c r="X935" i="1"/>
  <c r="X956" i="1"/>
  <c r="X1035" i="1"/>
  <c r="X1054" i="1"/>
  <c r="X1014" i="1"/>
  <c r="X994" i="1"/>
  <c r="X974" i="1"/>
  <c r="X975" i="1"/>
  <c r="X955" i="1"/>
  <c r="X995" i="1"/>
  <c r="X1036" i="1"/>
  <c r="L336" i="1"/>
  <c r="Z336" i="1" s="1"/>
  <c r="K13" i="3"/>
  <c r="L167" i="1"/>
  <c r="Z167" i="1" s="1"/>
  <c r="L242" i="1"/>
  <c r="Z242" i="1" s="1"/>
  <c r="L621" i="1"/>
  <c r="Z621" i="1" s="1"/>
  <c r="L620" i="1"/>
  <c r="Z620" i="1" s="1"/>
  <c r="L619" i="1"/>
  <c r="Z619" i="1" s="1"/>
  <c r="L618" i="1"/>
  <c r="Z618" i="1" s="1"/>
  <c r="L248" i="1"/>
  <c r="Z248" i="1" s="1"/>
  <c r="L171" i="1"/>
  <c r="Z171" i="1" s="1"/>
  <c r="L170" i="1"/>
  <c r="Z170" i="1" s="1"/>
  <c r="L169" i="1"/>
  <c r="Z169" i="1" s="1"/>
  <c r="L168" i="1"/>
  <c r="Z168" i="1" s="1"/>
  <c r="L622" i="1"/>
  <c r="Z622" i="1" s="1"/>
  <c r="L341" i="1"/>
  <c r="Z341" i="1" s="1"/>
  <c r="L254" i="1"/>
  <c r="Z254" i="1" s="1"/>
  <c r="L255" i="1"/>
  <c r="Z255" i="1" s="1"/>
  <c r="V1070" i="1"/>
  <c r="V1069" i="1"/>
  <c r="L1069" i="1"/>
  <c r="Z1069" i="1" s="1"/>
  <c r="L1070" i="1"/>
  <c r="Z1070" i="1" s="1"/>
  <c r="L345" i="1" l="1"/>
  <c r="Z345" i="1" s="1"/>
  <c r="L344" i="1"/>
  <c r="Z344" i="1" s="1"/>
  <c r="L333" i="1"/>
  <c r="Z333" i="1" s="1"/>
  <c r="L332" i="1"/>
  <c r="Z332" i="1" s="1"/>
  <c r="L301" i="1"/>
  <c r="Z301" i="1" s="1"/>
  <c r="L257" i="1"/>
  <c r="Z257" i="1" s="1"/>
  <c r="L258" i="1"/>
  <c r="Z258" i="1" s="1"/>
  <c r="L259" i="1"/>
  <c r="Z259" i="1" s="1"/>
  <c r="L260" i="1"/>
  <c r="Z260" i="1" s="1"/>
  <c r="L261" i="1"/>
  <c r="Z261" i="1" s="1"/>
  <c r="L262" i="1"/>
  <c r="Z262" i="1" s="1"/>
  <c r="L263" i="1"/>
  <c r="Z263" i="1" s="1"/>
  <c r="L264" i="1"/>
  <c r="Z264" i="1" s="1"/>
  <c r="L265" i="1"/>
  <c r="Z265" i="1" s="1"/>
  <c r="L266" i="1"/>
  <c r="Z266" i="1" s="1"/>
  <c r="L267" i="1"/>
  <c r="Z267" i="1" s="1"/>
  <c r="L268" i="1"/>
  <c r="Z268" i="1" s="1"/>
  <c r="L269" i="1"/>
  <c r="Z269" i="1" s="1"/>
  <c r="L270" i="1"/>
  <c r="Z270" i="1" s="1"/>
  <c r="L271" i="1"/>
  <c r="Z271" i="1" s="1"/>
  <c r="L272" i="1"/>
  <c r="Z272" i="1" s="1"/>
  <c r="L273" i="1"/>
  <c r="Z273" i="1" s="1"/>
  <c r="L274" i="1"/>
  <c r="Z274" i="1" s="1"/>
  <c r="L275" i="1"/>
  <c r="Z275" i="1" s="1"/>
  <c r="L276" i="1"/>
  <c r="Z276" i="1" s="1"/>
  <c r="L277" i="1"/>
  <c r="Z277" i="1" s="1"/>
  <c r="L278" i="1"/>
  <c r="Z278" i="1" s="1"/>
  <c r="L279" i="1"/>
  <c r="Z279" i="1" s="1"/>
  <c r="L280" i="1"/>
  <c r="Z280" i="1" s="1"/>
  <c r="L281" i="1"/>
  <c r="Z281" i="1" s="1"/>
  <c r="L282" i="1"/>
  <c r="Z282" i="1" s="1"/>
  <c r="L283" i="1"/>
  <c r="Z283" i="1" s="1"/>
  <c r="L284" i="1"/>
  <c r="Z284" i="1" s="1"/>
  <c r="L285" i="1"/>
  <c r="Z285" i="1" s="1"/>
  <c r="L286" i="1"/>
  <c r="Z286" i="1" s="1"/>
  <c r="L287" i="1"/>
  <c r="Z287" i="1" s="1"/>
  <c r="L288" i="1"/>
  <c r="Z288" i="1" s="1"/>
  <c r="L289" i="1"/>
  <c r="Z289" i="1" s="1"/>
  <c r="L290" i="1"/>
  <c r="Z290" i="1" s="1"/>
  <c r="L291" i="1"/>
  <c r="Z291" i="1" s="1"/>
  <c r="L292" i="1"/>
  <c r="Z292" i="1" s="1"/>
  <c r="L293" i="1"/>
  <c r="Z293" i="1" s="1"/>
  <c r="L294" i="1"/>
  <c r="Z294" i="1" s="1"/>
  <c r="L295" i="1"/>
  <c r="Z295" i="1" s="1"/>
  <c r="L296" i="1"/>
  <c r="Z296" i="1" s="1"/>
  <c r="L297" i="1"/>
  <c r="Z297" i="1" s="1"/>
  <c r="L298" i="1"/>
  <c r="Z298" i="1" s="1"/>
  <c r="L299" i="1"/>
  <c r="Z299" i="1" s="1"/>
  <c r="L300" i="1"/>
  <c r="Z300" i="1" s="1"/>
  <c r="L256" i="1"/>
  <c r="Z256" i="1" s="1"/>
  <c r="V708" i="1"/>
  <c r="L708" i="1"/>
  <c r="Z708" i="1" s="1"/>
  <c r="L36" i="1"/>
  <c r="Z36" i="1" s="1"/>
  <c r="K12" i="3" l="1"/>
  <c r="K11" i="3"/>
  <c r="H11" i="3"/>
  <c r="G11" i="3"/>
  <c r="K10" i="3"/>
  <c r="R9" i="3"/>
  <c r="K9" i="3"/>
  <c r="K8" i="3"/>
  <c r="R7" i="3"/>
  <c r="K7" i="3"/>
  <c r="R6" i="3"/>
  <c r="K6" i="3"/>
  <c r="K5" i="3"/>
  <c r="K4" i="3"/>
  <c r="K3" i="3"/>
  <c r="K2" i="3"/>
  <c r="L346" i="1"/>
  <c r="Z346" i="1" s="1"/>
  <c r="L392" i="1"/>
  <c r="Z392" i="1" s="1"/>
  <c r="L391" i="1"/>
  <c r="Z391" i="1" s="1"/>
  <c r="L390" i="1"/>
  <c r="Z390" i="1" s="1"/>
  <c r="L389" i="1"/>
  <c r="Z389" i="1" s="1"/>
  <c r="L388" i="1"/>
  <c r="Z388" i="1" s="1"/>
  <c r="L387" i="1"/>
  <c r="Z387" i="1" s="1"/>
  <c r="L386" i="1"/>
  <c r="Z386" i="1" s="1"/>
  <c r="L385" i="1"/>
  <c r="Z385" i="1" s="1"/>
  <c r="L384" i="1"/>
  <c r="Z384" i="1" s="1"/>
  <c r="L383" i="1"/>
  <c r="Z383" i="1" s="1"/>
  <c r="L382" i="1"/>
  <c r="Z382" i="1" s="1"/>
  <c r="L381" i="1"/>
  <c r="Z381" i="1" s="1"/>
  <c r="L380" i="1"/>
  <c r="Z380" i="1" s="1"/>
  <c r="L379" i="1"/>
  <c r="Z379" i="1" s="1"/>
  <c r="L378" i="1"/>
  <c r="Z378" i="1" s="1"/>
  <c r="L377" i="1"/>
  <c r="Z377" i="1" s="1"/>
  <c r="L376" i="1"/>
  <c r="Z376" i="1" s="1"/>
  <c r="L375" i="1"/>
  <c r="Z375" i="1" s="1"/>
  <c r="L374" i="1"/>
  <c r="Z374" i="1" s="1"/>
  <c r="L373" i="1"/>
  <c r="Z373" i="1" s="1"/>
  <c r="L372" i="1"/>
  <c r="Z372" i="1" s="1"/>
  <c r="L371" i="1"/>
  <c r="Z371" i="1" s="1"/>
  <c r="L370" i="1"/>
  <c r="Z370" i="1" s="1"/>
  <c r="L369" i="1"/>
  <c r="Z369" i="1" s="1"/>
  <c r="L368" i="1"/>
  <c r="Z368" i="1" s="1"/>
  <c r="L367" i="1"/>
  <c r="Z367" i="1" s="1"/>
  <c r="L366" i="1"/>
  <c r="Z366" i="1" s="1"/>
  <c r="L365" i="1"/>
  <c r="Z365" i="1" s="1"/>
  <c r="L364" i="1"/>
  <c r="Z364" i="1" s="1"/>
  <c r="L363" i="1"/>
  <c r="Z363" i="1" s="1"/>
  <c r="L362" i="1"/>
  <c r="Z362" i="1" s="1"/>
  <c r="L361" i="1"/>
  <c r="Z361" i="1" s="1"/>
  <c r="L360" i="1"/>
  <c r="Z360" i="1" s="1"/>
  <c r="L359" i="1"/>
  <c r="Z359" i="1" s="1"/>
  <c r="L358" i="1"/>
  <c r="Z358" i="1" s="1"/>
  <c r="L357" i="1"/>
  <c r="Z357" i="1" s="1"/>
  <c r="L356" i="1"/>
  <c r="Z356" i="1" s="1"/>
  <c r="L355" i="1"/>
  <c r="Z355" i="1" s="1"/>
  <c r="L354" i="1"/>
  <c r="Z354" i="1" s="1"/>
  <c r="L353" i="1"/>
  <c r="Z353" i="1" s="1"/>
  <c r="L352" i="1"/>
  <c r="Z352" i="1" s="1"/>
  <c r="L351" i="1"/>
  <c r="Z351" i="1" s="1"/>
  <c r="L350" i="1"/>
  <c r="Z350" i="1" s="1"/>
  <c r="L349" i="1"/>
  <c r="Z349" i="1" s="1"/>
  <c r="L348" i="1"/>
  <c r="Z348" i="1" s="1"/>
  <c r="L347" i="1"/>
  <c r="Z347" i="1" s="1"/>
  <c r="L416" i="1"/>
  <c r="Z416" i="1" s="1"/>
  <c r="L415" i="1"/>
  <c r="Z415" i="1" s="1"/>
  <c r="L414" i="1"/>
  <c r="Z414" i="1" s="1"/>
  <c r="L413" i="1"/>
  <c r="Z413" i="1" s="1"/>
  <c r="L412" i="1"/>
  <c r="Z412" i="1" s="1"/>
  <c r="L411" i="1"/>
  <c r="Z411" i="1" s="1"/>
  <c r="L410" i="1"/>
  <c r="Z410" i="1" s="1"/>
  <c r="L409" i="1"/>
  <c r="Z409" i="1" s="1"/>
  <c r="L408" i="1"/>
  <c r="Z408" i="1" s="1"/>
  <c r="L407" i="1"/>
  <c r="Z407" i="1" s="1"/>
  <c r="L406" i="1"/>
  <c r="Z406" i="1" s="1"/>
  <c r="L405" i="1"/>
  <c r="Z405" i="1" s="1"/>
  <c r="L404" i="1"/>
  <c r="Z404" i="1" s="1"/>
  <c r="L403" i="1"/>
  <c r="Z403" i="1" s="1"/>
  <c r="L402" i="1"/>
  <c r="Z402" i="1" s="1"/>
  <c r="L401" i="1"/>
  <c r="Z401" i="1" s="1"/>
  <c r="L400" i="1"/>
  <c r="Z400" i="1" s="1"/>
  <c r="L399" i="1"/>
  <c r="Z399" i="1" s="1"/>
  <c r="L398" i="1"/>
  <c r="Z398" i="1" s="1"/>
  <c r="L397" i="1"/>
  <c r="Z397" i="1" s="1"/>
  <c r="L396" i="1"/>
  <c r="Z396" i="1" s="1"/>
  <c r="L395" i="1"/>
  <c r="Z395" i="1" s="1"/>
  <c r="L394" i="1"/>
  <c r="Z394" i="1" s="1"/>
  <c r="L393" i="1"/>
  <c r="Z393" i="1" s="1"/>
  <c r="L447" i="1"/>
  <c r="Z447" i="1" s="1"/>
  <c r="L448" i="1"/>
  <c r="Z448" i="1" s="1"/>
  <c r="L449" i="1"/>
  <c r="Z449" i="1" s="1"/>
  <c r="L450" i="1"/>
  <c r="Z450" i="1" s="1"/>
  <c r="L451" i="1"/>
  <c r="Z451" i="1" s="1"/>
  <c r="L452" i="1"/>
  <c r="Z452" i="1" s="1"/>
  <c r="L453" i="1"/>
  <c r="Z453" i="1" s="1"/>
  <c r="L454" i="1"/>
  <c r="Z454" i="1" s="1"/>
  <c r="L455" i="1"/>
  <c r="Z455" i="1" s="1"/>
  <c r="L456" i="1"/>
  <c r="Z456" i="1" s="1"/>
  <c r="L457" i="1"/>
  <c r="Z457" i="1" s="1"/>
  <c r="L458" i="1"/>
  <c r="Z458" i="1" s="1"/>
  <c r="L459" i="1"/>
  <c r="Z459" i="1" s="1"/>
  <c r="L460" i="1"/>
  <c r="Z460" i="1" s="1"/>
  <c r="L461" i="1"/>
  <c r="Z461" i="1" s="1"/>
  <c r="L462" i="1"/>
  <c r="Z462" i="1" s="1"/>
  <c r="L463" i="1"/>
  <c r="Z463" i="1" s="1"/>
  <c r="L464" i="1"/>
  <c r="Z464" i="1" s="1"/>
  <c r="L465" i="1"/>
  <c r="Z465" i="1" s="1"/>
  <c r="L466" i="1"/>
  <c r="Z466" i="1" s="1"/>
  <c r="L467" i="1"/>
  <c r="Z467" i="1" s="1"/>
  <c r="L468" i="1"/>
  <c r="Z468" i="1" s="1"/>
  <c r="L469" i="1"/>
  <c r="Z469" i="1" s="1"/>
  <c r="L470" i="1"/>
  <c r="Z470" i="1" s="1"/>
  <c r="L471" i="1"/>
  <c r="Z471" i="1" s="1"/>
  <c r="L472" i="1"/>
  <c r="Z472" i="1" s="1"/>
  <c r="L473" i="1"/>
  <c r="Z473" i="1" s="1"/>
  <c r="L474" i="1"/>
  <c r="Z474" i="1" s="1"/>
  <c r="L475" i="1"/>
  <c r="Z475" i="1" s="1"/>
  <c r="L476" i="1"/>
  <c r="Z476" i="1" s="1"/>
  <c r="L477" i="1"/>
  <c r="Z477" i="1" s="1"/>
  <c r="L478" i="1"/>
  <c r="Z478" i="1" s="1"/>
  <c r="L479" i="1"/>
  <c r="Z479" i="1" s="1"/>
  <c r="L480" i="1"/>
  <c r="Z480" i="1" s="1"/>
  <c r="L481" i="1"/>
  <c r="Z481" i="1" s="1"/>
  <c r="L482" i="1"/>
  <c r="Z482" i="1" s="1"/>
  <c r="L483" i="1"/>
  <c r="Z483" i="1" s="1"/>
  <c r="L484" i="1"/>
  <c r="Z484" i="1" s="1"/>
  <c r="L485" i="1"/>
  <c r="Z485" i="1" s="1"/>
  <c r="L486" i="1"/>
  <c r="Z486" i="1" s="1"/>
  <c r="L446" i="1"/>
  <c r="Z446" i="1" s="1"/>
  <c r="V542" i="1" l="1"/>
  <c r="L331" i="1" l="1"/>
  <c r="Z331" i="1" s="1"/>
  <c r="L247" i="1"/>
  <c r="Z247" i="1" s="1"/>
  <c r="L232" i="1"/>
  <c r="Z232" i="1" s="1"/>
  <c r="L246" i="1"/>
  <c r="Z246" i="1" s="1"/>
  <c r="L231" i="1"/>
  <c r="Z231" i="1" s="1"/>
  <c r="L230" i="1"/>
  <c r="Z230" i="1" s="1"/>
  <c r="L229" i="1"/>
  <c r="Z229" i="1" s="1"/>
  <c r="L228" i="1"/>
  <c r="Z228" i="1" s="1"/>
  <c r="L227" i="1"/>
  <c r="Z227" i="1" s="1"/>
  <c r="L226" i="1"/>
  <c r="Z226" i="1" s="1"/>
  <c r="L225" i="1"/>
  <c r="Z225" i="1" s="1"/>
  <c r="L245" i="1"/>
  <c r="Z245" i="1" s="1"/>
  <c r="L244" i="1"/>
  <c r="Z244" i="1" s="1"/>
  <c r="L243" i="1"/>
  <c r="Z243" i="1" s="1"/>
  <c r="L223" i="1"/>
  <c r="Z223" i="1" s="1"/>
  <c r="L222" i="1"/>
  <c r="Z222" i="1" s="1"/>
  <c r="L221" i="1"/>
  <c r="Z221" i="1" s="1"/>
  <c r="L220" i="1"/>
  <c r="Z220" i="1" s="1"/>
  <c r="L219" i="1"/>
  <c r="Z219" i="1" s="1"/>
  <c r="L218" i="1"/>
  <c r="Z218" i="1" s="1"/>
  <c r="L237" i="1"/>
  <c r="Z237" i="1" s="1"/>
  <c r="L236" i="1"/>
  <c r="Z236" i="1" s="1"/>
  <c r="L235" i="1"/>
  <c r="Z235" i="1" s="1"/>
  <c r="L234" i="1"/>
  <c r="Z234" i="1" s="1"/>
  <c r="L233" i="1"/>
  <c r="Z233" i="1" s="1"/>
  <c r="L212" i="1"/>
  <c r="Z212" i="1" s="1"/>
  <c r="L211" i="1"/>
  <c r="Z211" i="1" s="1"/>
  <c r="L210" i="1"/>
  <c r="Z210" i="1" s="1"/>
  <c r="L209" i="1"/>
  <c r="Z209" i="1" s="1"/>
  <c r="L208" i="1"/>
  <c r="Z208" i="1" s="1"/>
  <c r="L207" i="1"/>
  <c r="Z207" i="1" s="1"/>
  <c r="L206" i="1"/>
  <c r="Z206" i="1" s="1"/>
  <c r="L529" i="1"/>
  <c r="L530" i="1"/>
  <c r="Z530" i="1" s="1"/>
  <c r="L531" i="1"/>
  <c r="Z531" i="1" s="1"/>
  <c r="L532" i="1"/>
  <c r="Z532" i="1" s="1"/>
  <c r="L538" i="1"/>
  <c r="Z538" i="1" s="1"/>
  <c r="L535" i="1"/>
  <c r="Z535" i="1" s="1"/>
  <c r="L540" i="1"/>
  <c r="Z540" i="1" s="1"/>
  <c r="L541" i="1"/>
  <c r="Z541" i="1" s="1"/>
  <c r="L543" i="1"/>
  <c r="Z543" i="1" s="1"/>
  <c r="L544" i="1"/>
  <c r="Z544" i="1" s="1"/>
  <c r="L545" i="1"/>
  <c r="Z545" i="1" s="1"/>
  <c r="L546" i="1"/>
  <c r="Z546" i="1" s="1"/>
  <c r="L547" i="1"/>
  <c r="Z547" i="1" s="1"/>
  <c r="L548" i="1"/>
  <c r="Z548" i="1" s="1"/>
  <c r="L549" i="1"/>
  <c r="Z549" i="1" s="1"/>
  <c r="L550" i="1"/>
  <c r="Z550" i="1" s="1"/>
  <c r="L551" i="1"/>
  <c r="Z551" i="1" s="1"/>
  <c r="L552" i="1"/>
  <c r="Z552" i="1" s="1"/>
  <c r="L553" i="1"/>
  <c r="Z553" i="1" s="1"/>
  <c r="L554" i="1"/>
  <c r="Z554" i="1" s="1"/>
  <c r="L555" i="1"/>
  <c r="Z555" i="1" s="1"/>
  <c r="L556" i="1"/>
  <c r="Z556" i="1" s="1"/>
  <c r="L557" i="1"/>
  <c r="Z557" i="1" s="1"/>
  <c r="L558" i="1"/>
  <c r="L559" i="1"/>
  <c r="Z559" i="1" s="1"/>
  <c r="L560" i="1"/>
  <c r="Z560" i="1" s="1"/>
  <c r="L561" i="1"/>
  <c r="Z561" i="1" s="1"/>
  <c r="L562" i="1"/>
  <c r="Z562" i="1" s="1"/>
  <c r="L563" i="1"/>
  <c r="Z563" i="1" s="1"/>
  <c r="L564" i="1"/>
  <c r="Z564" i="1" s="1"/>
  <c r="L533" i="1"/>
  <c r="Z533" i="1" s="1"/>
  <c r="L567" i="1"/>
  <c r="Z567" i="1" s="1"/>
  <c r="L568" i="1"/>
  <c r="Z568" i="1" s="1"/>
  <c r="L534" i="1"/>
  <c r="Z534" i="1" s="1"/>
  <c r="L569" i="1"/>
  <c r="Z569" i="1" s="1"/>
  <c r="L570" i="1"/>
  <c r="Z570" i="1" s="1"/>
  <c r="L571" i="1"/>
  <c r="Z571" i="1" s="1"/>
  <c r="L572" i="1"/>
  <c r="Z572" i="1" s="1"/>
  <c r="L573" i="1"/>
  <c r="Z573" i="1" s="1"/>
  <c r="L574" i="1"/>
  <c r="Z574" i="1" s="1"/>
  <c r="L575" i="1"/>
  <c r="Z575" i="1" s="1"/>
  <c r="L576" i="1"/>
  <c r="Z576" i="1" s="1"/>
  <c r="L577" i="1"/>
  <c r="Z577" i="1" s="1"/>
  <c r="L578" i="1"/>
  <c r="Z578" i="1" s="1"/>
  <c r="L579" i="1"/>
  <c r="Z579" i="1" s="1"/>
  <c r="L580" i="1"/>
  <c r="Z580" i="1" s="1"/>
  <c r="L581" i="1"/>
  <c r="Z581" i="1" s="1"/>
  <c r="L582" i="1"/>
  <c r="Z582" i="1" s="1"/>
  <c r="L583" i="1"/>
  <c r="Z583" i="1" s="1"/>
  <c r="L584" i="1"/>
  <c r="Z584" i="1" s="1"/>
  <c r="L585" i="1"/>
  <c r="Z585" i="1" s="1"/>
  <c r="L586" i="1"/>
  <c r="Z586" i="1" s="1"/>
  <c r="L587" i="1"/>
  <c r="Z587" i="1" s="1"/>
  <c r="L588" i="1"/>
  <c r="Z588" i="1" s="1"/>
  <c r="L589" i="1"/>
  <c r="Z589" i="1" s="1"/>
  <c r="L590" i="1"/>
  <c r="Z590" i="1" s="1"/>
  <c r="L591" i="1"/>
  <c r="Z591" i="1" s="1"/>
  <c r="L592" i="1"/>
  <c r="Z592" i="1" s="1"/>
  <c r="L593" i="1"/>
  <c r="Z593" i="1" s="1"/>
  <c r="L594" i="1"/>
  <c r="Z594" i="1" s="1"/>
  <c r="L595" i="1"/>
  <c r="Z595" i="1" s="1"/>
  <c r="L596" i="1"/>
  <c r="Z596" i="1" s="1"/>
  <c r="L597" i="1"/>
  <c r="Z597" i="1" s="1"/>
  <c r="L598" i="1"/>
  <c r="Z598" i="1" s="1"/>
  <c r="L599" i="1"/>
  <c r="Z599" i="1" s="1"/>
  <c r="L600" i="1"/>
  <c r="Z600" i="1" s="1"/>
  <c r="L601" i="1"/>
  <c r="Z601" i="1" s="1"/>
  <c r="L602" i="1"/>
  <c r="Z602" i="1" s="1"/>
  <c r="L603" i="1"/>
  <c r="Z603" i="1" s="1"/>
  <c r="L604" i="1"/>
  <c r="Z604" i="1" s="1"/>
  <c r="L605" i="1"/>
  <c r="Z605" i="1" s="1"/>
  <c r="L606" i="1"/>
  <c r="Z606" i="1" s="1"/>
  <c r="L42" i="1"/>
  <c r="Z42" i="1" s="1"/>
  <c r="L146" i="1"/>
  <c r="Z146" i="1" s="1"/>
  <c r="L147" i="1"/>
  <c r="Z147" i="1" s="1"/>
  <c r="L148" i="1"/>
  <c r="Z148" i="1" s="1"/>
  <c r="L149" i="1"/>
  <c r="Z149" i="1" s="1"/>
  <c r="L151" i="1"/>
  <c r="Z151" i="1" s="1"/>
  <c r="L152" i="1"/>
  <c r="Z152" i="1" s="1"/>
  <c r="L153" i="1"/>
  <c r="Z153" i="1" s="1"/>
  <c r="L154" i="1"/>
  <c r="Z154" i="1" s="1"/>
  <c r="L155" i="1"/>
  <c r="Z155" i="1" s="1"/>
  <c r="L156" i="1"/>
  <c r="Z156" i="1" s="1"/>
  <c r="L157" i="1"/>
  <c r="Z157" i="1" s="1"/>
  <c r="L158" i="1"/>
  <c r="Z158" i="1" s="1"/>
  <c r="L159" i="1"/>
  <c r="Z159" i="1" s="1"/>
  <c r="L164" i="1"/>
  <c r="Z164" i="1" s="1"/>
  <c r="L13" i="1"/>
  <c r="Z13" i="1" s="1"/>
  <c r="L14" i="1"/>
  <c r="Z14" i="1" s="1"/>
  <c r="L15" i="1"/>
  <c r="Z15" i="1" s="1"/>
  <c r="L625" i="1"/>
  <c r="Z625" i="1" s="1"/>
  <c r="L536" i="1"/>
  <c r="Z536" i="1" s="1"/>
  <c r="L627" i="1"/>
  <c r="Z627" i="1" s="1"/>
  <c r="L628" i="1"/>
  <c r="Z628" i="1" s="1"/>
  <c r="L629" i="1"/>
  <c r="Z629" i="1" s="1"/>
  <c r="L630" i="1"/>
  <c r="Z630" i="1" s="1"/>
  <c r="L631" i="1"/>
  <c r="Z631" i="1" s="1"/>
  <c r="L537" i="1"/>
  <c r="Z537" i="1" s="1"/>
  <c r="L633" i="1"/>
  <c r="Z633" i="1" s="1"/>
  <c r="L539" i="1"/>
  <c r="Z539" i="1" s="1"/>
  <c r="L635" i="1"/>
  <c r="Z635" i="1" s="1"/>
  <c r="L636" i="1"/>
  <c r="Z636" i="1" s="1"/>
  <c r="L637" i="1"/>
  <c r="Z637" i="1" s="1"/>
  <c r="L638" i="1"/>
  <c r="Z638" i="1" s="1"/>
  <c r="L565" i="1"/>
  <c r="Z565" i="1" s="1"/>
  <c r="L640" i="1"/>
  <c r="Z640" i="1" s="1"/>
  <c r="L193" i="1"/>
  <c r="Z193" i="1" s="1"/>
  <c r="L194" i="1"/>
  <c r="Z194" i="1" s="1"/>
  <c r="L195" i="1"/>
  <c r="Z195" i="1" s="1"/>
  <c r="L196" i="1"/>
  <c r="Z196" i="1" s="1"/>
  <c r="L197" i="1"/>
  <c r="Z197" i="1" s="1"/>
  <c r="L198" i="1"/>
  <c r="Z198" i="1" s="1"/>
  <c r="L199" i="1"/>
  <c r="Z199" i="1" s="1"/>
  <c r="L200" i="1"/>
  <c r="Z200" i="1" s="1"/>
  <c r="L141" i="1"/>
  <c r="Z141" i="1" s="1"/>
  <c r="L309" i="1"/>
  <c r="Z309" i="1" s="1"/>
  <c r="L615" i="1"/>
  <c r="Z615" i="1" s="1"/>
  <c r="L652" i="1"/>
  <c r="Z652" i="1" s="1"/>
  <c r="L653" i="1"/>
  <c r="Z653" i="1" s="1"/>
  <c r="L654" i="1"/>
  <c r="Z654" i="1" s="1"/>
  <c r="L566" i="1"/>
  <c r="Z566" i="1" s="1"/>
  <c r="L626" i="1"/>
  <c r="Z626" i="1" s="1"/>
  <c r="L632" i="1"/>
  <c r="Z632" i="1" s="1"/>
  <c r="L634" i="1"/>
  <c r="Z634" i="1" s="1"/>
  <c r="L659" i="1"/>
  <c r="Z659" i="1" s="1"/>
  <c r="L639" i="1"/>
  <c r="Z639" i="1" s="1"/>
  <c r="L655" i="1"/>
  <c r="Z655" i="1" s="1"/>
  <c r="L662" i="1"/>
  <c r="Z662" i="1" s="1"/>
  <c r="L656" i="1"/>
  <c r="Z656" i="1" s="1"/>
  <c r="L664" i="1"/>
  <c r="Z664" i="1" s="1"/>
  <c r="L657" i="1"/>
  <c r="Z657" i="1" s="1"/>
  <c r="L658" i="1"/>
  <c r="Z658" i="1" s="1"/>
  <c r="L667" i="1"/>
  <c r="Z667" i="1" s="1"/>
  <c r="L660" i="1"/>
  <c r="Z660" i="1" s="1"/>
  <c r="L669" i="1"/>
  <c r="Z669" i="1" s="1"/>
  <c r="L661" i="1"/>
  <c r="Z661" i="1" s="1"/>
  <c r="L663" i="1"/>
  <c r="Z663" i="1" s="1"/>
  <c r="L672" i="1"/>
  <c r="Z672" i="1" s="1"/>
  <c r="L673" i="1"/>
  <c r="Z673" i="1" s="1"/>
  <c r="L665" i="1"/>
  <c r="Z665" i="1" s="1"/>
  <c r="L675" i="1"/>
  <c r="Z675" i="1" s="1"/>
  <c r="L676" i="1"/>
  <c r="Z676" i="1" s="1"/>
  <c r="L677" i="1"/>
  <c r="Z677" i="1" s="1"/>
  <c r="L666" i="1"/>
  <c r="Z666" i="1" s="1"/>
  <c r="L679" i="1"/>
  <c r="Z679" i="1" s="1"/>
  <c r="L680" i="1"/>
  <c r="Z680" i="1" s="1"/>
  <c r="L668" i="1"/>
  <c r="Z668" i="1" s="1"/>
  <c r="L670" i="1"/>
  <c r="Z670" i="1" s="1"/>
  <c r="L671" i="1"/>
  <c r="Z671" i="1" s="1"/>
  <c r="L142" i="1"/>
  <c r="Z142" i="1" s="1"/>
  <c r="L143" i="1"/>
  <c r="Z143" i="1" s="1"/>
  <c r="L144" i="1"/>
  <c r="Z144" i="1" s="1"/>
  <c r="L17" i="1"/>
  <c r="Z17" i="1" s="1"/>
  <c r="L674" i="1"/>
  <c r="Z674" i="1" s="1"/>
  <c r="L310" i="1"/>
  <c r="Z310" i="1" s="1"/>
  <c r="L311" i="1"/>
  <c r="Z311" i="1" s="1"/>
  <c r="L678" i="1"/>
  <c r="Z678" i="1" s="1"/>
  <c r="L681" i="1"/>
  <c r="Z681" i="1" s="1"/>
  <c r="L682" i="1"/>
  <c r="Z682" i="1" s="1"/>
  <c r="L312" i="1"/>
  <c r="Z312" i="1" s="1"/>
  <c r="L313" i="1"/>
  <c r="Z313" i="1" s="1"/>
  <c r="L314" i="1"/>
  <c r="Z314" i="1" s="1"/>
  <c r="L315" i="1"/>
  <c r="Z315" i="1" s="1"/>
  <c r="L316" i="1"/>
  <c r="Z316" i="1" s="1"/>
  <c r="L317" i="1"/>
  <c r="Z317" i="1" s="1"/>
  <c r="L318" i="1"/>
  <c r="Z318" i="1" s="1"/>
  <c r="L319" i="1"/>
  <c r="Z319" i="1" s="1"/>
  <c r="L320" i="1"/>
  <c r="Z320" i="1" s="1"/>
  <c r="L308" i="1"/>
  <c r="Z308" i="1" s="1"/>
  <c r="L321" i="1"/>
  <c r="Z321" i="1" s="1"/>
  <c r="L322" i="1"/>
  <c r="Z322" i="1" s="1"/>
  <c r="L323" i="1"/>
  <c r="Z323" i="1" s="1"/>
  <c r="L324" i="1"/>
  <c r="Z324" i="1" s="1"/>
  <c r="L325" i="1"/>
  <c r="Z325" i="1" s="1"/>
  <c r="L326" i="1"/>
  <c r="Z326" i="1" s="1"/>
  <c r="L327" i="1"/>
  <c r="Z327" i="1" s="1"/>
  <c r="L328" i="1"/>
  <c r="Z328" i="1" s="1"/>
  <c r="L329" i="1"/>
  <c r="Z329" i="1" s="1"/>
  <c r="L330" i="1"/>
  <c r="Z330" i="1" s="1"/>
  <c r="L334" i="1"/>
  <c r="Z334" i="1" s="1"/>
  <c r="L335" i="1"/>
  <c r="Z335" i="1" s="1"/>
  <c r="L417" i="1"/>
  <c r="Z417" i="1" s="1"/>
  <c r="L490" i="1"/>
  <c r="Z490" i="1" s="1"/>
  <c r="L524" i="1"/>
  <c r="Z524" i="1" s="1"/>
  <c r="L607" i="1"/>
  <c r="Z607" i="1" s="1"/>
  <c r="L608" i="1"/>
  <c r="Z608" i="1" s="1"/>
  <c r="L609" i="1"/>
  <c r="Z609" i="1" s="1"/>
  <c r="L610" i="1"/>
  <c r="Z610" i="1" s="1"/>
  <c r="L611" i="1"/>
  <c r="Z611" i="1" s="1"/>
  <c r="L612" i="1"/>
  <c r="Z612" i="1" s="1"/>
  <c r="L613" i="1"/>
  <c r="Z613" i="1" s="1"/>
  <c r="L614" i="1"/>
  <c r="Z614" i="1" s="1"/>
  <c r="L722" i="1"/>
  <c r="Z722" i="1" s="1"/>
  <c r="L723" i="1"/>
  <c r="Z723" i="1" s="1"/>
  <c r="L647" i="1"/>
  <c r="Z647" i="1" s="1"/>
  <c r="L646" i="1"/>
  <c r="Z646" i="1" s="1"/>
  <c r="L645" i="1"/>
  <c r="Z645" i="1" s="1"/>
  <c r="L644" i="1"/>
  <c r="Z644" i="1" s="1"/>
  <c r="L643" i="1"/>
  <c r="Z643" i="1" s="1"/>
  <c r="L642" i="1"/>
  <c r="Z642" i="1" s="1"/>
  <c r="L641" i="1"/>
  <c r="Z641" i="1" s="1"/>
  <c r="L624" i="1"/>
  <c r="Z624" i="1" s="1"/>
  <c r="L623" i="1"/>
  <c r="Z623" i="1" s="1"/>
  <c r="V307" i="1"/>
  <c r="V306" i="1"/>
  <c r="V305" i="1"/>
  <c r="V304" i="1"/>
  <c r="V303" i="1"/>
  <c r="V302" i="1"/>
  <c r="V253" i="1"/>
  <c r="V252" i="1"/>
  <c r="V251" i="1"/>
  <c r="V250" i="1"/>
  <c r="V249" i="1"/>
  <c r="V241" i="1"/>
  <c r="V240" i="1"/>
  <c r="V205" i="1"/>
  <c r="V203" i="1"/>
  <c r="V201" i="1"/>
  <c r="V187" i="1"/>
  <c r="V188" i="1"/>
  <c r="V186" i="1"/>
  <c r="V185" i="1"/>
  <c r="V18" i="1"/>
  <c r="V192" i="1"/>
  <c r="V191" i="1"/>
  <c r="V190" i="1"/>
  <c r="V189" i="1"/>
  <c r="V165" i="1"/>
  <c r="V617" i="1"/>
  <c r="V616" i="1"/>
  <c r="L46" i="1"/>
  <c r="Z46" i="1" s="1"/>
  <c r="L47" i="1"/>
  <c r="Z47" i="1" s="1"/>
  <c r="L48" i="1"/>
  <c r="Z48" i="1" s="1"/>
  <c r="L49" i="1"/>
  <c r="Z49" i="1" s="1"/>
  <c r="L50" i="1"/>
  <c r="Z50" i="1" s="1"/>
  <c r="L51" i="1"/>
  <c r="Z51" i="1" s="1"/>
  <c r="L52" i="1"/>
  <c r="Z52" i="1" s="1"/>
  <c r="L53" i="1"/>
  <c r="Z53" i="1" s="1"/>
  <c r="L54" i="1"/>
  <c r="Z54" i="1" s="1"/>
  <c r="L55" i="1"/>
  <c r="Z55" i="1" s="1"/>
  <c r="L56" i="1"/>
  <c r="Z56" i="1" s="1"/>
  <c r="L57" i="1"/>
  <c r="Z57" i="1" s="1"/>
  <c r="L58" i="1"/>
  <c r="Z58" i="1" s="1"/>
  <c r="L59" i="1"/>
  <c r="Z59" i="1" s="1"/>
  <c r="L60" i="1"/>
  <c r="Z60" i="1" s="1"/>
  <c r="L61" i="1"/>
  <c r="Z61" i="1" s="1"/>
  <c r="L62" i="1"/>
  <c r="Z62" i="1" s="1"/>
  <c r="L63" i="1"/>
  <c r="Z63" i="1" s="1"/>
  <c r="L64" i="1"/>
  <c r="Z64" i="1" s="1"/>
  <c r="L65" i="1"/>
  <c r="Z65" i="1" s="1"/>
  <c r="L66" i="1"/>
  <c r="Z66" i="1" s="1"/>
  <c r="L67" i="1"/>
  <c r="Z67" i="1" s="1"/>
  <c r="L68" i="1"/>
  <c r="Z68" i="1" s="1"/>
  <c r="L69" i="1"/>
  <c r="Z69" i="1" s="1"/>
  <c r="L70" i="1"/>
  <c r="Z70" i="1" s="1"/>
  <c r="L71" i="1"/>
  <c r="Z71" i="1" s="1"/>
  <c r="L72" i="1"/>
  <c r="Z72" i="1" s="1"/>
  <c r="L73" i="1"/>
  <c r="Z73" i="1" s="1"/>
  <c r="L74" i="1"/>
  <c r="Z74" i="1" s="1"/>
  <c r="L75" i="1"/>
  <c r="Z75" i="1" s="1"/>
  <c r="L76" i="1"/>
  <c r="Z76" i="1" s="1"/>
  <c r="L77" i="1"/>
  <c r="Z77" i="1" s="1"/>
  <c r="L78" i="1"/>
  <c r="Z78" i="1" s="1"/>
  <c r="L79" i="1"/>
  <c r="Z79" i="1" s="1"/>
  <c r="L80" i="1"/>
  <c r="Z80" i="1" s="1"/>
  <c r="L81" i="1"/>
  <c r="Z81" i="1" s="1"/>
  <c r="L82" i="1"/>
  <c r="Z82" i="1" s="1"/>
  <c r="L83" i="1"/>
  <c r="Z83" i="1" s="1"/>
  <c r="L84" i="1"/>
  <c r="Z84" i="1" s="1"/>
  <c r="L85" i="1"/>
  <c r="Z85" i="1" s="1"/>
  <c r="L86" i="1"/>
  <c r="Z86" i="1" s="1"/>
  <c r="L87" i="1"/>
  <c r="Z87" i="1" s="1"/>
  <c r="L38" i="1"/>
  <c r="Z38" i="1" s="1"/>
  <c r="L162" i="1"/>
  <c r="Z162" i="1" s="1"/>
  <c r="L39" i="1"/>
  <c r="Z39" i="1" s="1"/>
  <c r="L40" i="1"/>
  <c r="Z40" i="1" s="1"/>
  <c r="L23" i="1"/>
  <c r="Z23" i="1" s="1"/>
  <c r="L24" i="1"/>
  <c r="Z24" i="1" s="1"/>
  <c r="L25" i="1"/>
  <c r="Z25" i="1" s="1"/>
  <c r="L26" i="1"/>
  <c r="Z26" i="1" s="1"/>
  <c r="L27" i="1"/>
  <c r="Z27" i="1" s="1"/>
  <c r="L28" i="1"/>
  <c r="Z28" i="1" s="1"/>
  <c r="L29" i="1"/>
  <c r="Z29" i="1" s="1"/>
  <c r="L30" i="1"/>
  <c r="Z30" i="1" s="1"/>
  <c r="L31" i="1"/>
  <c r="Z31" i="1" s="1"/>
  <c r="L32" i="1"/>
  <c r="Z32" i="1" s="1"/>
  <c r="L33" i="1"/>
  <c r="Z33" i="1" s="1"/>
  <c r="L34" i="1"/>
  <c r="Z34" i="1" s="1"/>
  <c r="L35" i="1"/>
  <c r="Z35" i="1" s="1"/>
  <c r="L91" i="1"/>
  <c r="Z91" i="1" s="1"/>
  <c r="L92" i="1"/>
  <c r="Z92" i="1" s="1"/>
  <c r="L93" i="1"/>
  <c r="Z93" i="1" s="1"/>
  <c r="L94" i="1"/>
  <c r="Z94" i="1" s="1"/>
  <c r="L95" i="1"/>
  <c r="Z95" i="1" s="1"/>
  <c r="L96" i="1"/>
  <c r="Z96" i="1" s="1"/>
  <c r="L97" i="1"/>
  <c r="Z97" i="1" s="1"/>
  <c r="L98" i="1"/>
  <c r="Z98" i="1" s="1"/>
  <c r="L99" i="1"/>
  <c r="Z99" i="1" s="1"/>
  <c r="L100" i="1"/>
  <c r="Z100" i="1" s="1"/>
  <c r="L101" i="1"/>
  <c r="Z101" i="1" s="1"/>
  <c r="L102" i="1"/>
  <c r="Z102" i="1" s="1"/>
  <c r="L103" i="1"/>
  <c r="Z103" i="1" s="1"/>
  <c r="L104" i="1"/>
  <c r="Z104" i="1" s="1"/>
  <c r="L105" i="1"/>
  <c r="Z105" i="1" s="1"/>
  <c r="L106" i="1"/>
  <c r="Z106" i="1" s="1"/>
  <c r="L107" i="1"/>
  <c r="Z107" i="1" s="1"/>
  <c r="L108" i="1"/>
  <c r="Z108" i="1" s="1"/>
  <c r="L109" i="1"/>
  <c r="Z109" i="1" s="1"/>
  <c r="L110" i="1"/>
  <c r="Z110" i="1" s="1"/>
  <c r="L111" i="1"/>
  <c r="Z111" i="1" s="1"/>
  <c r="L112" i="1"/>
  <c r="Z112" i="1" s="1"/>
  <c r="L113" i="1"/>
  <c r="Z113" i="1" s="1"/>
  <c r="L114" i="1"/>
  <c r="Z114" i="1" s="1"/>
  <c r="L115" i="1"/>
  <c r="Z115" i="1" s="1"/>
  <c r="L116" i="1"/>
  <c r="Z116" i="1" s="1"/>
  <c r="L117" i="1"/>
  <c r="Z117" i="1" s="1"/>
  <c r="L118" i="1"/>
  <c r="Z118" i="1" s="1"/>
  <c r="L119" i="1"/>
  <c r="Z119" i="1" s="1"/>
  <c r="L120" i="1"/>
  <c r="Z120" i="1" s="1"/>
  <c r="L121" i="1"/>
  <c r="Z121" i="1" s="1"/>
  <c r="L122" i="1"/>
  <c r="Z122" i="1" s="1"/>
  <c r="L123" i="1"/>
  <c r="Z123" i="1" s="1"/>
  <c r="L124" i="1"/>
  <c r="Z124" i="1" s="1"/>
  <c r="L125" i="1"/>
  <c r="Z125" i="1" s="1"/>
  <c r="L126" i="1"/>
  <c r="Z126" i="1" s="1"/>
  <c r="L127" i="1"/>
  <c r="Z127" i="1" s="1"/>
  <c r="L129" i="1"/>
  <c r="Z129" i="1" s="1"/>
  <c r="L136" i="1"/>
  <c r="Z136" i="1" s="1"/>
  <c r="L139" i="1"/>
  <c r="Z139" i="1" s="1"/>
  <c r="L140" i="1"/>
  <c r="Z140" i="1" s="1"/>
  <c r="L12" i="1"/>
  <c r="L11" i="1"/>
  <c r="L10" i="1"/>
  <c r="L9" i="1"/>
  <c r="L8" i="1"/>
  <c r="V16" i="1"/>
  <c r="L203" i="1"/>
  <c r="Z203" i="1" s="1"/>
  <c r="L204" i="1"/>
  <c r="Z204" i="1" s="1"/>
  <c r="L205" i="1"/>
  <c r="Z205" i="1" s="1"/>
  <c r="L240" i="1"/>
  <c r="Z240" i="1" s="1"/>
  <c r="L241" i="1"/>
  <c r="Z241" i="1" s="1"/>
  <c r="L249" i="1"/>
  <c r="Z249" i="1" s="1"/>
  <c r="L250" i="1"/>
  <c r="Z250" i="1" s="1"/>
  <c r="L251" i="1"/>
  <c r="Z251" i="1" s="1"/>
  <c r="L252" i="1"/>
  <c r="Z252" i="1" s="1"/>
  <c r="L253" i="1"/>
  <c r="Z253" i="1" s="1"/>
  <c r="L302" i="1"/>
  <c r="Z302" i="1" s="1"/>
  <c r="L303" i="1"/>
  <c r="Z303" i="1" s="1"/>
  <c r="L304" i="1"/>
  <c r="Z304" i="1" s="1"/>
  <c r="L305" i="1"/>
  <c r="Z305" i="1" s="1"/>
  <c r="L306" i="1"/>
  <c r="Z306" i="1" s="1"/>
  <c r="L307" i="1"/>
  <c r="Z307" i="1" s="1"/>
  <c r="L201" i="1"/>
  <c r="Z201" i="1" s="1"/>
  <c r="L188" i="1"/>
  <c r="Z188" i="1" s="1"/>
  <c r="L187" i="1"/>
  <c r="Z187" i="1" s="1"/>
  <c r="L186" i="1"/>
  <c r="Z186" i="1" s="1"/>
  <c r="L185" i="1"/>
  <c r="Z185" i="1" s="1"/>
  <c r="L184" i="1"/>
  <c r="L224" i="1"/>
  <c r="L217" i="1"/>
  <c r="L216" i="1"/>
  <c r="L215" i="1"/>
  <c r="L214" i="1"/>
  <c r="L213" i="1"/>
  <c r="L183" i="1"/>
  <c r="L182" i="1"/>
  <c r="L181" i="1"/>
  <c r="L180" i="1"/>
  <c r="Z180" i="1" s="1"/>
  <c r="L179" i="1"/>
  <c r="L178" i="1"/>
  <c r="L177" i="1"/>
  <c r="L176" i="1"/>
  <c r="L175" i="1"/>
  <c r="L174" i="1"/>
  <c r="L173" i="1"/>
  <c r="L172" i="1"/>
  <c r="Z172" i="1" s="1"/>
  <c r="L145" i="1"/>
  <c r="Z145" i="1" s="1"/>
  <c r="L202" i="1"/>
  <c r="Z202" i="1" s="1"/>
  <c r="L166" i="1"/>
  <c r="Z166" i="1" s="1"/>
  <c r="L163" i="1"/>
  <c r="Z163" i="1" s="1"/>
  <c r="L161" i="1"/>
  <c r="Z161" i="1" s="1"/>
  <c r="L160" i="1"/>
  <c r="Z160" i="1" s="1"/>
  <c r="L18" i="1"/>
  <c r="Z18" i="1" s="1"/>
  <c r="L192" i="1"/>
  <c r="Z192" i="1" s="1"/>
  <c r="L191" i="1"/>
  <c r="Z191" i="1" s="1"/>
  <c r="L190" i="1"/>
  <c r="Z190" i="1" s="1"/>
  <c r="L189" i="1"/>
  <c r="Z189" i="1" s="1"/>
  <c r="L165" i="1"/>
  <c r="Z165" i="1" s="1"/>
  <c r="L617" i="1"/>
  <c r="Z617" i="1" s="1"/>
  <c r="L616" i="1"/>
  <c r="Z616" i="1" s="1"/>
  <c r="L1066" i="1"/>
  <c r="Z1066" i="1" s="1"/>
  <c r="L150" i="1"/>
  <c r="Z150" i="1" s="1"/>
  <c r="L445" i="1"/>
  <c r="Z445" i="1" s="1"/>
  <c r="L90" i="1"/>
  <c r="Z90" i="1" s="1"/>
  <c r="L89" i="1"/>
  <c r="L88" i="1"/>
  <c r="L45" i="1"/>
  <c r="Z45" i="1" s="1"/>
  <c r="L44" i="1"/>
  <c r="Z44" i="1" s="1"/>
  <c r="L43" i="1"/>
  <c r="Z43" i="1" s="1"/>
  <c r="L1065" i="1"/>
  <c r="Z1065" i="1" s="1"/>
  <c r="L41" i="1"/>
  <c r="Z41" i="1" s="1"/>
  <c r="L37" i="1"/>
  <c r="Z37" i="1" s="1"/>
  <c r="L22" i="1"/>
  <c r="Z22" i="1" s="1"/>
  <c r="L1062" i="1"/>
  <c r="Z1062" i="1" s="1"/>
  <c r="L6" i="1"/>
  <c r="Z6" i="1" s="1"/>
  <c r="L5" i="1"/>
  <c r="Z5" i="1" s="1"/>
  <c r="L4" i="1"/>
  <c r="Z4" i="1" s="1"/>
  <c r="L7" i="1"/>
  <c r="L1060" i="1"/>
  <c r="Z1060" i="1" s="1"/>
  <c r="L1061" i="1"/>
  <c r="Z1061" i="1" s="1"/>
  <c r="L16" i="1"/>
  <c r="Z16" i="1" s="1"/>
  <c r="L1063" i="1"/>
  <c r="Z1063" i="1" s="1"/>
  <c r="L1064" i="1"/>
  <c r="Z1064" i="1" s="1"/>
  <c r="L19" i="1"/>
  <c r="Z19" i="1" s="1"/>
  <c r="L20" i="1"/>
  <c r="Z20" i="1" s="1"/>
  <c r="L21" i="1"/>
  <c r="Z21" i="1" s="1"/>
  <c r="L3" i="1"/>
  <c r="Z3" i="1" s="1"/>
  <c r="L2" i="1"/>
  <c r="Z2" i="1" s="1"/>
  <c r="V182" i="1" l="1"/>
  <c r="Z182" i="1"/>
  <c r="V183" i="1"/>
  <c r="Z183" i="1"/>
  <c r="V217" i="1"/>
  <c r="Z217" i="1"/>
  <c r="V181" i="1"/>
  <c r="Z181" i="1"/>
  <c r="V213" i="1"/>
  <c r="Z213" i="1"/>
  <c r="V214" i="1"/>
  <c r="Z214" i="1"/>
  <c r="V558" i="1"/>
  <c r="Z558" i="1"/>
  <c r="V224" i="1"/>
  <c r="Z224" i="1"/>
  <c r="V215" i="1"/>
  <c r="Z215" i="1"/>
  <c r="V184" i="1"/>
  <c r="Z184" i="1"/>
  <c r="V88" i="1"/>
  <c r="Z88" i="1"/>
  <c r="V173" i="1"/>
  <c r="Z173" i="1"/>
  <c r="V8" i="1"/>
  <c r="Z8" i="1"/>
  <c r="V11" i="1"/>
  <c r="Z11" i="1"/>
  <c r="V177" i="1"/>
  <c r="Z177" i="1"/>
  <c r="V216" i="1"/>
  <c r="Z216" i="1"/>
  <c r="V176" i="1"/>
  <c r="Z176" i="1"/>
  <c r="V529" i="1"/>
  <c r="Z529" i="1"/>
  <c r="V89" i="1"/>
  <c r="Z89" i="1"/>
  <c r="V174" i="1"/>
  <c r="Z174" i="1"/>
  <c r="V9" i="1"/>
  <c r="Z9" i="1"/>
  <c r="V10" i="1"/>
  <c r="Z10" i="1"/>
  <c r="V175" i="1"/>
  <c r="Z175" i="1"/>
  <c r="V12" i="1"/>
  <c r="Z12" i="1"/>
  <c r="V178" i="1"/>
  <c r="Z178" i="1"/>
  <c r="V179" i="1"/>
  <c r="Z179" i="1"/>
  <c r="V7" i="1"/>
  <c r="Z7" i="1"/>
  <c r="V1064" i="1"/>
  <c r="V1065" i="1"/>
  <c r="V1063" i="1"/>
  <c r="V1062" i="1"/>
  <c r="V1061" i="1"/>
  <c r="V1060" i="1"/>
  <c r="V20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tc={5787ACAF-5C01-469E-B579-0D67E6E10425}</author>
    <author>tc={3E409FCC-9A28-4F9C-8E3E-B74853EA5B7B}</author>
    <author>tc={ED7DD936-67CB-4A39-9C11-FB5A627FBDB2}</author>
    <author>tc={E63EEF37-74D0-4B07-91A6-7E4B68609B1E}</author>
  </authors>
  <commentList>
    <comment ref="J1073" authorId="0" shapeId="0" xr:uid="{5787ACAF-5C01-469E-B579-0D67E6E10425}">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J1074" authorId="1" shapeId="0" xr:uid="{3E409FCC-9A28-4F9C-8E3E-B74853EA5B7B}">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J1075" authorId="2" shapeId="0" xr:uid="{ED7DD936-67CB-4A39-9C11-FB5A627FBDB2}">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B1212" authorId="3" shapeId="0" xr:uid="{E63EEF37-74D0-4B07-91A6-7E4B68609B1E}">
      <text>
        <t>[Threaded comment]
Your version of Excel allows you to read this threaded comment; however, any edits to it will get removed if the file is opened in a newer version of Excel. Learn more: https://go.microsoft.com/fwlink/?linkid=870924
Comment:
    Possibly for meroplankton</t>
      </text>
    </comment>
  </commentList>
</comments>
</file>

<file path=xl/sharedStrings.xml><?xml version="1.0" encoding="utf-8"?>
<sst xmlns="http://schemas.openxmlformats.org/spreadsheetml/2006/main" count="19916" uniqueCount="2191">
  <si>
    <t>Reference</t>
  </si>
  <si>
    <t>Taxa</t>
  </si>
  <si>
    <t>Salmon</t>
  </si>
  <si>
    <t>Y</t>
  </si>
  <si>
    <t>Chum salmon</t>
  </si>
  <si>
    <t>Coho salmon</t>
  </si>
  <si>
    <t>Region</t>
  </si>
  <si>
    <t>West coast of US</t>
  </si>
  <si>
    <t>Pollock</t>
  </si>
  <si>
    <t>Gadus chalcogrammus</t>
  </si>
  <si>
    <t>Alaska</t>
  </si>
  <si>
    <t>Rogers &amp; Dougherty (2019) Effects of climate and demography on reproductive
phenology of a harvested marine fish population. Global Change Biology 25: 708-720</t>
  </si>
  <si>
    <t>Cod</t>
  </si>
  <si>
    <t>Gadus morhua</t>
  </si>
  <si>
    <t>Details</t>
  </si>
  <si>
    <t>Irish Sea</t>
  </si>
  <si>
    <t>Central North Sea</t>
  </si>
  <si>
    <t>Northern North Sea</t>
  </si>
  <si>
    <t>Y (−1.35 weeks for every 1oC)</t>
  </si>
  <si>
    <t>Fincham et al. (2013) Shifts in the timing of spawning in sole linked to warming sea temperatures. Journal of Sea Research 75 (2013) 69–76</t>
  </si>
  <si>
    <t>Solea solea</t>
  </si>
  <si>
    <t>Sexual maturity data. Note that 4 out of 7 regions were significant, 1 other too short, and 2 others could have negative trends? Overall data given - would need to digitise data for each region to get 7 estimates</t>
  </si>
  <si>
    <t>Polar bear</t>
  </si>
  <si>
    <t>Ursus maritimus</t>
  </si>
  <si>
    <t>N</t>
  </si>
  <si>
    <t>Why?</t>
  </si>
  <si>
    <t>Beluga whale</t>
  </si>
  <si>
    <t>Delphinapterus leucas</t>
  </si>
  <si>
    <t>Chukchi Sea</t>
  </si>
  <si>
    <t>Beaufort Sea</t>
  </si>
  <si>
    <t>Pink salmon</t>
  </si>
  <si>
    <t>Oncorhynchus gorbuscha</t>
  </si>
  <si>
    <t>For fry. Warmer temperature speeding up development of eggs/fry</t>
  </si>
  <si>
    <t>Ramp et al. (2015) Adapting to a Warmer Ocean—Seasonal
Shift of Baleen Whale Movements over Three
Decades. PLoS One 10(3): e0121374</t>
  </si>
  <si>
    <t>Gulf of St Lawrence, Canada</t>
  </si>
  <si>
    <t>Fin whales</t>
  </si>
  <si>
    <t>Balaenoptera physalus</t>
  </si>
  <si>
    <t>Humpback whales</t>
  </si>
  <si>
    <t>Megaptera novaeangliae</t>
  </si>
  <si>
    <t>Zakynthos, Greece</t>
  </si>
  <si>
    <t>Loggerhead turtles</t>
  </si>
  <si>
    <t>Caretta caretta</t>
  </si>
  <si>
    <t>Earlier female emergence. Update of Mazaris (2009) and Mazaris (2008)</t>
  </si>
  <si>
    <t>Green turtles</t>
  </si>
  <si>
    <t>Chelonia mydas</t>
  </si>
  <si>
    <t>Weishampel et al (2010)</t>
  </si>
  <si>
    <t>Florida, USA</t>
  </si>
  <si>
    <t>Normandy</t>
  </si>
  <si>
    <t>Brittany</t>
  </si>
  <si>
    <t>Aquitane</t>
  </si>
  <si>
    <t>Salmo salar</t>
  </si>
  <si>
    <t>Fish</t>
  </si>
  <si>
    <t>Zooplankton</t>
  </si>
  <si>
    <t>Gironde Estuary, France</t>
  </si>
  <si>
    <t>Western Sweden</t>
  </si>
  <si>
    <t>Appelqvist et al. (2016) A phenological shift in the time of recruitment of the
shipworm, Teredo navalis L., mirrors marine climate change. Ecology and Evolution 2016; 6(12): 3862–
3870</t>
  </si>
  <si>
    <t>Shipworm</t>
  </si>
  <si>
    <t>Teredo navalis</t>
  </si>
  <si>
    <t>Arctic Ocean</t>
  </si>
  <si>
    <t>SW Britain</t>
  </si>
  <si>
    <t>Northern limpet</t>
  </si>
  <si>
    <t>Patella depressa</t>
  </si>
  <si>
    <t>Patella vulgata</t>
  </si>
  <si>
    <t>Southern limpet</t>
  </si>
  <si>
    <t>Earlier reproductive development</t>
  </si>
  <si>
    <t>Cold-water species delayed development (to when its colder)</t>
  </si>
  <si>
    <t>Northeast US</t>
  </si>
  <si>
    <t>Bay of Biscay</t>
  </si>
  <si>
    <t>Albacore tuna</t>
  </si>
  <si>
    <t>Bluefin tuna</t>
  </si>
  <si>
    <t>Asch et al. (2015) Climate change and decadal shifts in the phenology of
larval fishes in the California Current ecosystem. PNAS E4065–E4074</t>
  </si>
  <si>
    <t>California Current</t>
  </si>
  <si>
    <t>Walreven et al. (2017) Long-term patterns in fish phenology in the western Dutch Wadden Sea in
relation to climate change. Journal of Sea Research 127 (2017) 173–181</t>
  </si>
  <si>
    <t>Otero et al. (2014) Basin-scale phenology and effects of climate variability
on global timing of initial seaward migration of Atlantic
salmon (Salmo salar). Global Change Biology 20, 61–75</t>
  </si>
  <si>
    <t>Hudson Bay</t>
  </si>
  <si>
    <t>North Atlantic</t>
  </si>
  <si>
    <t>Southern Australia</t>
  </si>
  <si>
    <t>Netherlands</t>
  </si>
  <si>
    <t>Cherry et al. (2013) Migration phenology and seasonal fidelity of an Arctic
marine predator in relation to sea ice dynamics. Journal of Animal Ecology 2013, 82, 912–921</t>
  </si>
  <si>
    <t>Generally earlier arrival (sea ice breaking up early) and later departure (sea ice forming later)</t>
  </si>
  <si>
    <t>Eudyptula minor</t>
  </si>
  <si>
    <t>Eudyptes schlegeli</t>
  </si>
  <si>
    <t>Aptenodytes forsteri</t>
  </si>
  <si>
    <t>Pygoscelis adeliae</t>
  </si>
  <si>
    <t>Daption capense</t>
  </si>
  <si>
    <t>Pagodroma nivea</t>
  </si>
  <si>
    <t>Stercorarius maccormicki</t>
  </si>
  <si>
    <t>Rissa tridactyla</t>
  </si>
  <si>
    <t>St Paul</t>
  </si>
  <si>
    <t>St George</t>
  </si>
  <si>
    <t>Rissa brevirostris</t>
  </si>
  <si>
    <t>Uria lomvia</t>
  </si>
  <si>
    <t>Phalacrocorax aristotelis</t>
  </si>
  <si>
    <t>Uria aalge</t>
  </si>
  <si>
    <t>Ptychoramphus aleuticus</t>
  </si>
  <si>
    <t>Fratercula cirrhat</t>
  </si>
  <si>
    <t>Alle alle</t>
  </si>
  <si>
    <t>Barbraud and Weimerskirch (2006) Antarctic birds breed
later in response to climate change. Proc. Natl. Acad. Sci. USA
103:6248–6251.</t>
  </si>
  <si>
    <t>Byrd et al. (2008) Responses of piscivorous seabirds at the Pribilof Islands to
ocean climate. Deep Sea Res. Pt. II 55:1856–1867.</t>
  </si>
  <si>
    <t>Hindell et al. (2012) Long-term breeding phenology shift in royal penguins. Ecology and Evolution 2012; 2(7):
1563–1571</t>
  </si>
  <si>
    <t>Royal penguin</t>
  </si>
  <si>
    <t>Macquarie Island</t>
  </si>
  <si>
    <t>Southern Ocean</t>
  </si>
  <si>
    <t>North Sea</t>
  </si>
  <si>
    <t>Table 1 in Hindell et al. 2012 has all the values (mult. by 10 for per decade)</t>
  </si>
  <si>
    <t xml:space="preserve">Jansen &amp; Gislason (2011) Temperature affectsthetimingofspawningandmigration
of NorthSeamackerel. Continental ShelfResearch 31: 64–72 </t>
  </si>
  <si>
    <t>Mackerel</t>
  </si>
  <si>
    <t>Scomber scombrus</t>
  </si>
  <si>
    <t>North Sea and Baltic</t>
  </si>
  <si>
    <t>Morgan, M. J., Wright, P. J., and Rideout, R. M. 2013. Effect of age
and temperature of spawning time in two gadoid species.
Fisheries Research, 138: 2–51</t>
  </si>
  <si>
    <t>Persson et al. (2012) Scale-dependent effects of climate on
two copepod species, Calanus glacialis and
Pseudocalanus minutus, in an Arctic-boreal sea. Mar Ecol Prog Ser 468: 71–83</t>
  </si>
  <si>
    <t>Calanus glacialis</t>
  </si>
  <si>
    <t>Pseudocalanus minutus</t>
  </si>
  <si>
    <t>Coats Island, Canadian Arctic</t>
  </si>
  <si>
    <t>Prince Leopold Island, Canadian Arctic</t>
  </si>
  <si>
    <t>Gaston et al. (2005) Climate change, ice conditions and reproduction in an Arctic nesting marine bird: Brunnich’s guillemot (Uria lomvia L.). Journal of Animal Ecology 200574, 832– 841</t>
  </si>
  <si>
    <t>Thick-billed Murres</t>
  </si>
  <si>
    <t>Gaston et al. (2009) Changes in seasonal events, peak food availability, … The Condor 111(1): 111-119</t>
  </si>
  <si>
    <t>Update to Gaston et al. (2009) for Coats Island</t>
  </si>
  <si>
    <t>Calanus finmarchicus</t>
  </si>
  <si>
    <t>Calanus helgolandicus</t>
  </si>
  <si>
    <t>Malin Shelf</t>
  </si>
  <si>
    <t>Bahia Blanca Estuary, Argentina</t>
  </si>
  <si>
    <t>Chl-a</t>
  </si>
  <si>
    <t>From Fig. 8c</t>
  </si>
  <si>
    <t>North Esk, Scotland</t>
  </si>
  <si>
    <t>Tweed, Scotland</t>
  </si>
  <si>
    <t>Spey, Scotland</t>
  </si>
  <si>
    <t>Tay, Scotland</t>
  </si>
  <si>
    <t>Todd et al. (2012) Phenological and phenotypic changes in Atlantic salmon
populations in response to a changing climate. ICES Journal of Marine Science (2012), 69(9), 1686–1698</t>
  </si>
  <si>
    <t>Atlantic salmon</t>
  </si>
  <si>
    <t>Wanless et al. (2009) Long-term changes in breeding phenology at two
seabird colonies in the western North Sea. Ibis 151: 274-285</t>
  </si>
  <si>
    <t>Isle of May</t>
  </si>
  <si>
    <t>Northern fulmar</t>
  </si>
  <si>
    <t>European shag</t>
  </si>
  <si>
    <t>Common eider</t>
  </si>
  <si>
    <t>Black-legged kittiwake</t>
  </si>
  <si>
    <t>Common guillemot</t>
  </si>
  <si>
    <t>Razorbill</t>
  </si>
  <si>
    <t>Atlantic puffin</t>
  </si>
  <si>
    <t>Farne Island</t>
  </si>
  <si>
    <t>Sandwich tern</t>
  </si>
  <si>
    <t>Common tern</t>
  </si>
  <si>
    <t>Arctic tern</t>
  </si>
  <si>
    <t>From Table 4. Used corrected values where needed. Assumed table is in days/yr</t>
  </si>
  <si>
    <t>Not included because n.s. and don't know if agree or not. Table 1 in Hindell et al. 2012 has all the values (mult. by 10 for per decade)</t>
  </si>
  <si>
    <t>Consistent (explanation)</t>
  </si>
  <si>
    <t>Data estimated from Fig. 3. Data for 2 x Bristol Channel sites were removed because too short</t>
  </si>
  <si>
    <t>L. ramada</t>
  </si>
  <si>
    <t>A. alosa</t>
  </si>
  <si>
    <t>A. anguilla</t>
  </si>
  <si>
    <t>A. fallax</t>
  </si>
  <si>
    <t>E. encrasicolus</t>
  </si>
  <si>
    <t>O. eperlanus</t>
  </si>
  <si>
    <t>G. aculatus</t>
  </si>
  <si>
    <t>P. flesus</t>
  </si>
  <si>
    <t>Pomatoschistus sp.</t>
  </si>
  <si>
    <t>A. reguis</t>
  </si>
  <si>
    <t>Dicentrarchus sp.</t>
  </si>
  <si>
    <t>Solea sp.</t>
  </si>
  <si>
    <t>S. sprattus</t>
  </si>
  <si>
    <t>Syngnathus sp.</t>
  </si>
  <si>
    <t>A. tonsa</t>
  </si>
  <si>
    <t>M. slabberi</t>
  </si>
  <si>
    <t>NC</t>
  </si>
  <si>
    <t>NA</t>
  </si>
  <si>
    <t>Acadian fish</t>
  </si>
  <si>
    <t>American plaice</t>
  </si>
  <si>
    <t>Atlantic halibut</t>
  </si>
  <si>
    <t>Atlantic wolffish</t>
  </si>
  <si>
    <t>Black sea bass</t>
  </si>
  <si>
    <t>Black belly rosefish</t>
  </si>
  <si>
    <t>Cod (N)</t>
  </si>
  <si>
    <t>Cod (S)</t>
  </si>
  <si>
    <t>Cusk</t>
  </si>
  <si>
    <t>Fourspot flounder</t>
  </si>
  <si>
    <t>Goosefish</t>
  </si>
  <si>
    <t>Haddock (N)</t>
  </si>
  <si>
    <t>Haddock (S)</t>
  </si>
  <si>
    <t>Little skate</t>
  </si>
  <si>
    <t>Longhorn sculpin</t>
  </si>
  <si>
    <t>Ocean pout</t>
  </si>
  <si>
    <t>Red hake (N)</t>
  </si>
  <si>
    <t>Red hake (S)</t>
  </si>
  <si>
    <t>Sea raven</t>
  </si>
  <si>
    <t>Silver hake (N)</t>
  </si>
  <si>
    <t>Silver hake (S)</t>
  </si>
  <si>
    <t>Spiny dogfish</t>
  </si>
  <si>
    <t>Spotted hake</t>
  </si>
  <si>
    <t>Striped bass</t>
  </si>
  <si>
    <t>Summer flounder</t>
  </si>
  <si>
    <t>Thorny skate</t>
  </si>
  <si>
    <t>White hake</t>
  </si>
  <si>
    <t>Windowpane</t>
  </si>
  <si>
    <t>Winter flounder (N)</t>
  </si>
  <si>
    <t>Winter flounder (S)</t>
  </si>
  <si>
    <t>Winter skate</t>
  </si>
  <si>
    <t>Yellowtail flounder (N)</t>
  </si>
  <si>
    <t>Yellowtail flounder (S)</t>
  </si>
  <si>
    <t>American lobster</t>
  </si>
  <si>
    <t>Atlantic rock crab</t>
  </si>
  <si>
    <t>Jonah crab</t>
  </si>
  <si>
    <t>Longfin squid</t>
  </si>
  <si>
    <t>North shortfin squid</t>
  </si>
  <si>
    <t>Alewife</t>
  </si>
  <si>
    <t>American shad</t>
  </si>
  <si>
    <t>Atlantic herring</t>
  </si>
  <si>
    <t>Atlantic mackerel</t>
  </si>
  <si>
    <t>Engraulis mordax</t>
  </si>
  <si>
    <t>Sardinops sagax</t>
  </si>
  <si>
    <t>Argentina sialis</t>
  </si>
  <si>
    <t>Bathylagus pacificus</t>
  </si>
  <si>
    <t>Bathylagus wesethi</t>
  </si>
  <si>
    <t>Leuroglossus stilbius</t>
  </si>
  <si>
    <t>Lipolagus ochotensis</t>
  </si>
  <si>
    <t>Danaphos oculatus</t>
  </si>
  <si>
    <t>Vinciguerria lucetia</t>
  </si>
  <si>
    <t>Chauliodus macouni</t>
  </si>
  <si>
    <t>Idiacanthus antrostomus</t>
  </si>
  <si>
    <t>Stomias atriventer</t>
  </si>
  <si>
    <t>Lestidiops ringens</t>
  </si>
  <si>
    <t>Ceratoscopelus townsendi</t>
  </si>
  <si>
    <t>Nannobrachium regale</t>
  </si>
  <si>
    <t>Nannobrachium ritteri</t>
  </si>
  <si>
    <t>Protomyctophum crockeri</t>
  </si>
  <si>
    <t>Stenobrachius leucopsarus</t>
  </si>
  <si>
    <t>Triphoturus mexicanus</t>
  </si>
  <si>
    <t>Merluccius productus</t>
  </si>
  <si>
    <t>Sebastes aurora</t>
  </si>
  <si>
    <t>Sebastes diploproa</t>
  </si>
  <si>
    <t>Sebastes goodei</t>
  </si>
  <si>
    <t>Sebastes jordani</t>
  </si>
  <si>
    <t>Sebastes paucispinis</t>
  </si>
  <si>
    <t>Trachurus symmetricus</t>
  </si>
  <si>
    <t>Chromis punctipinnis</t>
  </si>
  <si>
    <t>Oxyjulis californica</t>
  </si>
  <si>
    <t>Scomber japonicus</t>
  </si>
  <si>
    <t>Icichthys lockingtoni</t>
  </si>
  <si>
    <t>Tetragonurus cuvieri</t>
  </si>
  <si>
    <t>Citharichthys stigmaeus</t>
  </si>
  <si>
    <t>Lyopsetta exilis</t>
  </si>
  <si>
    <t>Parophrys vetulus</t>
  </si>
  <si>
    <t>Pleuronichthys verticalis</t>
  </si>
  <si>
    <t>Cyclothone signata Phase I</t>
  </si>
  <si>
    <t>Argyropelecus sladeni Phase I</t>
  </si>
  <si>
    <t>Diogenichthys attanticus Phase I</t>
  </si>
  <si>
    <t>Symbolophorus californiensis Phase I</t>
  </si>
  <si>
    <t>Tarletonbeania crenularis Phase I</t>
  </si>
  <si>
    <t>Melamphaes lugubris Phase I</t>
  </si>
  <si>
    <t>Paralichthys californicus Phase I</t>
  </si>
  <si>
    <t>Citharichthys sordidus Phase I</t>
  </si>
  <si>
    <t>Data in Table S2. Only Phase I used when 2 phenophases. Resident species less consistent. 31 of 51 are consistent - earlier with warming</t>
  </si>
  <si>
    <t>Asch et al. (2015) Climate change and decadal shifts in the phenology of
larval fishes in the California Current ecosystem. PNAS E4065–E4075</t>
  </si>
  <si>
    <t>Asch et al. (2015) Climate change and decadal shifts in the phenology of
larval fishes in the California Current ecosystem. PNAS E4065–E4076</t>
  </si>
  <si>
    <t>Asch et al. (2015) Climate change and decadal shifts in the phenology of
larval fishes in the California Current ecosystem. PNAS E4065–E4077</t>
  </si>
  <si>
    <t>Asch et al. (2015) Climate change and decadal shifts in the phenology of
larval fishes in the California Current ecosystem. PNAS E4065–E4078</t>
  </si>
  <si>
    <t>Asch et al. (2015) Climate change and decadal shifts in the phenology of
larval fishes in the California Current ecosystem. PNAS E4065–E4079</t>
  </si>
  <si>
    <t>Asch et al. (2015) Climate change and decadal shifts in the phenology of
larval fishes in the California Current ecosystem. PNAS E4065–E4080</t>
  </si>
  <si>
    <t>Asch et al. (2015) Climate change and decadal shifts in the phenology of
larval fishes in the California Current ecosystem. PNAS E4065–E4081</t>
  </si>
  <si>
    <t>Asch et al. (2015) Climate change and decadal shifts in the phenology of
larval fishes in the California Current ecosystem. PNAS E4065–E4082</t>
  </si>
  <si>
    <t>Asch et al. (2015) Climate change and decadal shifts in the phenology of
larval fishes in the California Current ecosystem. PNAS E4065–E4083</t>
  </si>
  <si>
    <t>Asch et al. (2015) Climate change and decadal shifts in the phenology of
larval fishes in the California Current ecosystem. PNAS E4065–E4084</t>
  </si>
  <si>
    <t>Asch et al. (2015) Climate change and decadal shifts in the phenology of
larval fishes in the California Current ecosystem. PNAS E4065–E4085</t>
  </si>
  <si>
    <t>Asch et al. (2015) Climate change and decadal shifts in the phenology of
larval fishes in the California Current ecosystem. PNAS E4065–E4086</t>
  </si>
  <si>
    <t>Asch et al. (2015) Climate change and decadal shifts in the phenology of
larval fishes in the California Current ecosystem. PNAS E4065–E4087</t>
  </si>
  <si>
    <t>Asch et al. (2015) Climate change and decadal shifts in the phenology of
larval fishes in the California Current ecosystem. PNAS E4065–E4088</t>
  </si>
  <si>
    <t>Asch et al. (2015) Climate change and decadal shifts in the phenology of
larval fishes in the California Current ecosystem. PNAS E4065–E4089</t>
  </si>
  <si>
    <t>Asch et al. (2015) Climate change and decadal shifts in the phenology of
larval fishes in the California Current ecosystem. PNAS E4065–E4090</t>
  </si>
  <si>
    <t>Asch et al. (2015) Climate change and decadal shifts in the phenology of
larval fishes in the California Current ecosystem. PNAS E4065–E4091</t>
  </si>
  <si>
    <t>Asch et al. (2015) Climate change and decadal shifts in the phenology of
larval fishes in the California Current ecosystem. PNAS E4065–E4092</t>
  </si>
  <si>
    <t>Asch et al. (2015) Climate change and decadal shifts in the phenology of
larval fishes in the California Current ecosystem. PNAS E4065–E4093</t>
  </si>
  <si>
    <t>Asch et al. (2015) Climate change and decadal shifts in the phenology of
larval fishes in the California Current ecosystem. PNAS E4065–E4094</t>
  </si>
  <si>
    <t>Asch et al. (2015) Climate change and decadal shifts in the phenology of
larval fishes in the California Current ecosystem. PNAS E4065–E4095</t>
  </si>
  <si>
    <t>Asch et al. (2015) Climate change and decadal shifts in the phenology of
larval fishes in the California Current ecosystem. PNAS E4065–E4096</t>
  </si>
  <si>
    <t>Asch et al. (2015) Climate change and decadal shifts in the phenology of
larval fishes in the California Current ecosystem. PNAS E4065–E4097</t>
  </si>
  <si>
    <t>Asch et al. (2015) Climate change and decadal shifts in the phenology of
larval fishes in the California Current ecosystem. PNAS E4065–E4098</t>
  </si>
  <si>
    <t>Asch et al. (2015) Climate change and decadal shifts in the phenology of
larval fishes in the California Current ecosystem. PNAS E4065–E4099</t>
  </si>
  <si>
    <t>Asch et al. (2015) Climate change and decadal shifts in the phenology of
larval fishes in the California Current ecosystem. PNAS E4065–E4100</t>
  </si>
  <si>
    <t>Asch et al. (2015) Climate change and decadal shifts in the phenology of
larval fishes in the California Current ecosystem. PNAS E4065–E4101</t>
  </si>
  <si>
    <t>Asch et al. (2015) Climate change and decadal shifts in the phenology of
larval fishes in the California Current ecosystem. PNAS E4065–E4102</t>
  </si>
  <si>
    <t>Asch et al. (2015) Climate change and decadal shifts in the phenology of
larval fishes in the California Current ecosystem. PNAS E4065–E4103</t>
  </si>
  <si>
    <t>Asch et al. (2015) Climate change and decadal shifts in the phenology of
larval fishes in the California Current ecosystem. PNAS E4065–E4104</t>
  </si>
  <si>
    <t>Asch et al. (2015) Climate change and decadal shifts in the phenology of
larval fishes in the California Current ecosystem. PNAS E4065–E4105</t>
  </si>
  <si>
    <t>Asch et al. (2015) Climate change and decadal shifts in the phenology of
larval fishes in the California Current ecosystem. PNAS E4065–E4106</t>
  </si>
  <si>
    <t>Asch et al. (2015) Climate change and decadal shifts in the phenology of
larval fishes in the California Current ecosystem. PNAS E4065–E4107</t>
  </si>
  <si>
    <t>Asch et al. (2015) Climate change and decadal shifts in the phenology of
larval fishes in the California Current ecosystem. PNAS E4065–E4108</t>
  </si>
  <si>
    <t>Asch et al. (2015) Climate change and decadal shifts in the phenology of
larval fishes in the California Current ecosystem. PNAS E4065–E4109</t>
  </si>
  <si>
    <t>Asch et al. (2015) Climate change and decadal shifts in the phenology of
larval fishes in the California Current ecosystem. PNAS E4065–E4110</t>
  </si>
  <si>
    <t>Asch et al. (2015) Climate change and decadal shifts in the phenology of
larval fishes in the California Current ecosystem. PNAS E4065–E4111</t>
  </si>
  <si>
    <t>Asch et al. (2015) Climate change and decadal shifts in the phenology of
larval fishes in the California Current ecosystem. PNAS E4065–E4112</t>
  </si>
  <si>
    <t>Asch et al. (2015) Climate change and decadal shifts in the phenology of
larval fishes in the California Current ecosystem. PNAS E4065–E4113</t>
  </si>
  <si>
    <t>Asch et al. (2015) Climate change and decadal shifts in the phenology of
larval fishes in the California Current ecosystem. PNAS E4065–E4114</t>
  </si>
  <si>
    <t>Asch et al. (2015) Climate change and decadal shifts in the phenology of
larval fishes in the California Current ecosystem. PNAS E4065–E4115</t>
  </si>
  <si>
    <t>Group</t>
  </si>
  <si>
    <t>Reptile</t>
  </si>
  <si>
    <t>E. afinis</t>
  </si>
  <si>
    <t>A. bifilosa</t>
  </si>
  <si>
    <t>Worm</t>
  </si>
  <si>
    <t>Rocky shore</t>
  </si>
  <si>
    <t>Phytoplankton</t>
  </si>
  <si>
    <t>Consistent (Y/N/NC=No Change)</t>
  </si>
  <si>
    <t>Arrival into Bay of Biscay. From Abstract</t>
  </si>
  <si>
    <t>Include</t>
  </si>
  <si>
    <t>Chambers (2004a) Delayed breeding in little
penguins—evidence of climate change? Aust. Meteorol. Mag.
53 13–19.; Chambers (2004b) Pp. 1–62 in The impact of climate on
Little Penguin breeding success. Bureau of Meteorology,
Melbourne, Australia.</t>
  </si>
  <si>
    <t>Earlier median laying date, no value. See Fig. 6 and text states date is earlier. Coats Island warming, and Prince Leopold probably is too. Sea ice is reducing in both places. Earlier breakup of sea ice, earlier breeding too. For Coats Island in this paper, an updated time series with a metric was published in Gaston et al. (2009)</t>
  </si>
  <si>
    <t>Little penguin</t>
  </si>
  <si>
    <t>Eudyptula minor </t>
  </si>
  <si>
    <t>Phillip Island, Australia</t>
  </si>
  <si>
    <t>Took most recent study</t>
  </si>
  <si>
    <t>St Kilda, Australia</t>
  </si>
  <si>
    <t>Penguin Island, Western Australia</t>
  </si>
  <si>
    <t>Sooty tern</t>
  </si>
  <si>
    <t>Onychoprion fuscata </t>
  </si>
  <si>
    <t>Houtman Abrolhos, Western Australia</t>
  </si>
  <si>
    <t>Later - averaged across 3 measures. Surman et al. (2012)</t>
  </si>
  <si>
    <t>On average, across 3 measures. Cannell et al. (2012)</t>
  </si>
  <si>
    <t>Bridled Tern </t>
  </si>
  <si>
    <t>Dunlap &amp; Surman (2012)</t>
  </si>
  <si>
    <t>Onychoprion anaethetus</t>
  </si>
  <si>
    <t>Brown noddy</t>
  </si>
  <si>
    <t>Anous stolidus </t>
  </si>
  <si>
    <t>Surman et al. (2012)</t>
  </si>
  <si>
    <t>Lesser noddy</t>
  </si>
  <si>
    <t>Anous tenuicornis</t>
  </si>
  <si>
    <t>Surman et al. (2012). Average of the two</t>
  </si>
  <si>
    <t>Wedge-tailed shearwater</t>
  </si>
  <si>
    <t>Ardenna pacifica</t>
  </si>
  <si>
    <t>Magellanic penguin</t>
  </si>
  <si>
    <t>Boersma &amp; Rebstock (2009)</t>
  </si>
  <si>
    <t>Spheniscus magellanicus</t>
  </si>
  <si>
    <t>Unpublished data</t>
  </si>
  <si>
    <t>Schluter, M.H., A. Merico, M. Reginatto, M. Boersma, K.H. Wiltshire and W. Greve. 2010. Phenological shifts in three interacting zooplankton groups in relation to climate change. Global Change Biology doi: 10.1111/j.1365-2486.2010.02246.x</t>
  </si>
  <si>
    <t>Tunin-Ley, A., F. Ibanez, J-P. Labat, A. Zingone and R. Lemee. 2009. Phytoplankton biodiversity and the NW Mediterranean Sea warming: changes in the dinoflagellate genus Ceratium in the 20th century. Marine Ecology Progress Series 375: 85-99</t>
  </si>
  <si>
    <t>Edwards, M., D.G. Johns, P. Licandro, A.W.G. John and D.P. Stevens. 2005. Ecological status report: result from the CPR survey 2004/2005. SAHFOS Technical Report 3: 1-8</t>
  </si>
  <si>
    <t>Ahas, R. and A. Aasa 2006. The effects of climate change on the phenology of selected Estonian plant, bird and fish populations. International Journal of Biometeorology 51:17:26</t>
  </si>
  <si>
    <t>Philippart, C. J. M., H. M. van Aken, J. J. Beukema, O. G. Bos, G. C. Cadee, and R. Dekker. 2003. Climate-related changes in recruitment of the bivalve Macoma balthica. Limnology and Oceanography 48:2171-2185.</t>
  </si>
  <si>
    <t>Hawkes, L., M. A. C. Broderick, M. H. Godfrey, and B. J. Godley. 2007. Investigating the potential impacts of climate change on a marine turtle population. Global Change Biology 13:923-932.</t>
  </si>
  <si>
    <t xml:space="preserve">Pike, D. A., R. L. Antworth, and J. C. Stiner. 2006. Earlier nesting contributes to shorter nesting seasons for the loggerhead seaturtle, Caretta caretta. Journal of Herpetology 40:91-94. </t>
  </si>
  <si>
    <t>Weishampel, J.F., D.A. Bagley and L.M. Ehrhart. 2004. Earlier nesting by loggerhead sea turtles following sea surface warming. Global Change Biology 10:1424-1427</t>
  </si>
  <si>
    <t>Beukema, J.J., Dekker, R., Jansen, J.M. 2009. Some like it cold: populations of the tellinid bivalve Macoma balthica (L.) suffer in various ways from a warming climate. Marine Ecology Progress Series 384: 135Ð145</t>
  </si>
  <si>
    <t>Dufour, F., H. Arrizabalaga, X. Irigoien and J. Santiago. 2010. Climate impacts on albacore and bluefin tunas migrations phenology and spatial distribution. Progress in Oceanography 86: 283-290</t>
  </si>
  <si>
    <t>Costello, J.H, B.K. Sullivan and D.J. Gifford. 2006. A physical-biological interaction underlying variable phenological responses to climate change by coastal zooplankton. Journal of Plankton Research 28:1099-1105</t>
  </si>
  <si>
    <t>Gjerdum, C., A.M.J. Valle_e, C.C. St. Clair, D.F. Bertram, J.L. Ryder and G.S. Blackburn. 2003. Tufted puffin reproduction reveals ocean climate variability. Proceedings of the National Academy of Science 100: 9377-9382</t>
  </si>
  <si>
    <t>Juanes, F., S. Gephard and K.F. Beland. 2004. Long-term changes in migration timing of adult Atlantic salmon (Salmo salar) at the southern edge of the species distribution. Canadian journal of Fisheries and Aquatic Sciences 61:2392-2400</t>
  </si>
  <si>
    <t>Kennedy, R. J. and W. W. Crozier. 2010. Evidence of changing migratory patterns of wild Atlantic salmon Salmo salar smolts in the River Bush, Northern Ireland, and possible associations with climate change. Journal of Fish Biology. 76: 1786-1805</t>
  </si>
  <si>
    <t>Wiltshire, K.H. and B.F.J. Manly. 2004. The warming trend at Helgoland Roads, North Sea: phytoplankton response. Helgoland Marine Research 58: 269-273</t>
  </si>
  <si>
    <t>Edwards, M. and A.J. Richardson. 2004. Impact of climate change on marine pelagic phenology and trophic mismatch. Nature 430: 881-884.</t>
  </si>
  <si>
    <t>Abraham, C.L. and W.J. Sydeman. 2004. Ocean climate, euphausiids and auklet nesting: inter-annual trends and variation in phenology, diet and growth of a planktivorous seabird, Ptychoramphus aleuticus.  Marine Ecology Progress Series 274: 235-250.</t>
  </si>
  <si>
    <t>Barbraud, C. and H. Weimerskirch. 2006. Antarctic birds breed later in response to climate change. Proceedings of the National Academy of Sciences 103: 6248-6251.</t>
  </si>
  <si>
    <t>Bertram, D.F., D.L. Mackas, and S.M. McKinnell. 2001. The seasonal cycle revisited: interannual variation and ecosystem consequences.  Progress in Oceanography 49: 283-307.</t>
  </si>
  <si>
    <t>Byrd, G.V., W.J. Sydeman, H.M. Renner, and S. Minobe. 2008. Responses of piscivorous seabirds at the Pribilof Islands to ocean climate.  Deep-Sea Research II 55: 1856-1867.</t>
  </si>
  <si>
    <t>Chambers, L.E.  2004. Delayed breeding in Little Penguins-- evidence of climate change?  Australian Meteorological Magazine 53: 13-19.</t>
  </si>
  <si>
    <t>Cullen, J.M., L.E. Chambers, P.C. Coutin and P. Dann. 2009. Predicting onset and success of breeding in little penguins Eudyptula minor from ocean temperatures. Marine Ecology Progress Series 378:269-278.</t>
  </si>
  <si>
    <t>D'Alba, L., P. Monaghan, and R.G. Nager. 2010. Advances in laying date and increasing population size suggest poistive responses to climate change in Common Eiders Somateria mollissima in Iceland. Ibis 152:19-28.</t>
  </si>
  <si>
    <t>Frederiksen, M., M.P. Harris , F. Daunt, P. Rothery, and S. Wanless. 2004. Scale-dependent climate signals drive breeding phenology of three seabird species. Global Change Biology 10: 1214-1221.</t>
  </si>
  <si>
    <t>Gaston, A.J. and J.L. Smith. 2001. Changes in oceanographic conditions off northern British Columbia (1983-1999) and the reproduction of a marine bird, the Ancient Murrelet (Synthliboramphus antiquus). Canadian Journal of Zoology 79:1735-1742.</t>
  </si>
  <si>
    <t>Greve, W, Reiners, F, Nusta, Hoffmann S. 2004. Helgoland Roads meso- and macrozooplankton time-series 1974 to 2004: lessons from 30 years of single spot, high frequency sampling at the only off-shore island of the North Sea. Helgoland Marine Research 58: 274Ð288</t>
  </si>
  <si>
    <t>Moe, B., L. Stempniewicz, D. Jakubas, F. Angelier, O. Chastel, F. Dinessen, G.W. Gabrielsen, F. Hanssen, N.J. Karnovsky, B. Ronning, J. Welcker, K. Wojczulanis-Jakubas and C. Bech. Climate change and phenological responses of two seabird species breeding in the high-Arctic. Marine Ecology Progress Series 393:235-246.</t>
  </si>
  <si>
    <t>Mackas, D.L., R. Goldblatt and A.G. Lewis. 1998. Interdecadal variation in developmental timing of Neocalanus plumchrus populations at Ocean Station P in the subarctic North Pacific. Canadian Journal of Fisheries and Aquatic Sciences 55: 1878-1893</t>
  </si>
  <si>
    <t>Schroeder, I.D., W.J. Sydeman, N. Sarkar, S.A. Thompson, S.J. Bograd and F.B. Schwing. 2009. Winter pre-conditioning of seabird phenology in the California Current. Marine Ecology Progress Series 393:211-223.</t>
  </si>
  <si>
    <t>Sydeman, W.J., K.L. Mills, J.A. Santora, S.A. Thompson, D.F. Bertram, J.M. Hipfner, B.K. Wells and S.G. Wolf.  2009.  Seabirds and climate in the California Current--A synthesis of change.  CalCOFI Report 50:82-104.</t>
  </si>
  <si>
    <t>Votier, S.C., B.J. Hatchwell, M. Mears and T.R. Birkhead. 2009. Changes in the timing of egg-laying of a colonial seabird in relation to population size and environmental conditions. Marine Ecology Progress Series 393:225-233.</t>
  </si>
  <si>
    <t>Wanless, S., M. Frederiksen, J. Walton and M.P. Harris.  2009.  Long-term changes in breeding phenology at two seabird colonies in the western North Sea.  Ibis 151:274-285.</t>
  </si>
  <si>
    <t>Wanless, S., M.P. Harris, S. Lewis, M. Frederiksen and S. Murray. 2008. Later breeding in northern gannets in the eastern Atlantic. Marine Ecology Progress Series 370:263-269.</t>
  </si>
  <si>
    <t>Greve, W., F. Reiners and J. Nast. 1996. Biocoenotic changes of the zooplankton in the German Bight: the possible effects of eutrophication and climate. ICES Journal of Marine Science. 53: 951-956.</t>
  </si>
  <si>
    <t>Database</t>
  </si>
  <si>
    <t>Ant</t>
  </si>
  <si>
    <t>NCEAS</t>
  </si>
  <si>
    <t>Mazaris, A. D., et al. 2008. Do long-term changes in sea surface temperature at the breeding areas affect the breeding dates and reproduction performance of Mediterranean loggerhead turtles? Implications for climate change.JMBE 367: 219-226</t>
  </si>
  <si>
    <t>Continuous</t>
  </si>
  <si>
    <t>Irregular</t>
  </si>
  <si>
    <t>Two periods</t>
  </si>
  <si>
    <t>DataType</t>
  </si>
  <si>
    <t>Copepods</t>
  </si>
  <si>
    <t>Comb jellies</t>
  </si>
  <si>
    <t>Dinoflagellates</t>
  </si>
  <si>
    <t>Bony Fish</t>
  </si>
  <si>
    <t>Other crustacea</t>
  </si>
  <si>
    <t>Turtles</t>
  </si>
  <si>
    <t>Benthic molluscs</t>
  </si>
  <si>
    <t>Seabirds</t>
  </si>
  <si>
    <t>Diatoms</t>
  </si>
  <si>
    <t>Annelids</t>
  </si>
  <si>
    <t>Bryozoans</t>
  </si>
  <si>
    <t>Protozoa</t>
  </si>
  <si>
    <t>Beroe gracilis</t>
  </si>
  <si>
    <t>Osmerus eperlanus eperlanus</t>
  </si>
  <si>
    <t>Osmerus eperlanus eperlanus morpha spirinchus</t>
  </si>
  <si>
    <t>Crangon crangon</t>
  </si>
  <si>
    <t>Macoma balthica rubra</t>
  </si>
  <si>
    <t>Thunnus thynnus</t>
  </si>
  <si>
    <t>Thunnus alalunga</t>
  </si>
  <si>
    <t>Acartia tonsa</t>
  </si>
  <si>
    <t>Mnemiopsis leidyi</t>
  </si>
  <si>
    <t>Fratercula cirrhata</t>
  </si>
  <si>
    <t>Ceratium macroceros</t>
  </si>
  <si>
    <t>Ceratium fusus</t>
  </si>
  <si>
    <t>Rhizosolenia alata alata</t>
  </si>
  <si>
    <t>Pygocelis adeliae</t>
  </si>
  <si>
    <t>Macronectes giganteus</t>
  </si>
  <si>
    <t>Fulmarus glacialoides</t>
  </si>
  <si>
    <t>Oceanites oceanicus</t>
  </si>
  <si>
    <t>Thalassoica antarctica</t>
  </si>
  <si>
    <t>Catharacta maccormicki</t>
  </si>
  <si>
    <t>Cerorhinca monocerata</t>
  </si>
  <si>
    <t>Thalassiothrix longissima</t>
  </si>
  <si>
    <t>Larvacea</t>
  </si>
  <si>
    <t>Prorocentrum spp.</t>
  </si>
  <si>
    <t>Ceratium tripos</t>
  </si>
  <si>
    <t>Ceratium furca</t>
  </si>
  <si>
    <t>Protoperidinium spp.</t>
  </si>
  <si>
    <t>Odontella aurita</t>
  </si>
  <si>
    <t>Candacia armata</t>
  </si>
  <si>
    <t>Dinophysis spp.</t>
  </si>
  <si>
    <t>Harpacticoida</t>
  </si>
  <si>
    <t>Fragilaria spp.</t>
  </si>
  <si>
    <t>Asterionella glacialis</t>
  </si>
  <si>
    <t>Ceratium horridum</t>
  </si>
  <si>
    <t>Rhizosolenia imbrica shrubsolei</t>
  </si>
  <si>
    <t>Centropages typicus</t>
  </si>
  <si>
    <t>Ceratium lineatum</t>
  </si>
  <si>
    <t>Somateria mollissima</t>
  </si>
  <si>
    <t>Fish eggs</t>
  </si>
  <si>
    <t>Echinoderm larvae</t>
  </si>
  <si>
    <t>Fish larvae</t>
  </si>
  <si>
    <t>Centropages hamatus</t>
  </si>
  <si>
    <t>Para-pseudocalanus spp.</t>
  </si>
  <si>
    <t>Pseudocalanus elongatus</t>
  </si>
  <si>
    <t>Labidocera wollastoni</t>
  </si>
  <si>
    <t>Rhizosolenia hebetata semispina</t>
  </si>
  <si>
    <t>Evadne spp.</t>
  </si>
  <si>
    <t>Paralia sulcata</t>
  </si>
  <si>
    <t>Oithona spp.</t>
  </si>
  <si>
    <t>Odontella sinensis</t>
  </si>
  <si>
    <t>Acartia spp.</t>
  </si>
  <si>
    <t>Temora longicornis</t>
  </si>
  <si>
    <t>Skeletonema costatum</t>
  </si>
  <si>
    <t>Chaetognatha</t>
  </si>
  <si>
    <t>Ceratium longipes</t>
  </si>
  <si>
    <t>Corycaeus spp.</t>
  </si>
  <si>
    <t>Tomopteris spp.</t>
  </si>
  <si>
    <t>Thalassiosira spp</t>
  </si>
  <si>
    <t>Decapoda larvae</t>
  </si>
  <si>
    <t>Cumacea</t>
  </si>
  <si>
    <t>Lamellibranchia larvae</t>
  </si>
  <si>
    <t>Cyphonautes larvae</t>
  </si>
  <si>
    <t>Podon spp.</t>
  </si>
  <si>
    <t>Polychaeta larvae</t>
  </si>
  <si>
    <t>Cirripede larvae</t>
  </si>
  <si>
    <t>Gammaridea</t>
  </si>
  <si>
    <t>Clione limacina</t>
  </si>
  <si>
    <t>Limacina retroversa</t>
  </si>
  <si>
    <t>Synthliboramphus antiquus</t>
  </si>
  <si>
    <t>Neocalanus plumchrus</t>
  </si>
  <si>
    <t>Alca torda</t>
  </si>
  <si>
    <t>Fratercula arctica</t>
  </si>
  <si>
    <t>Fulmarus glacialis</t>
  </si>
  <si>
    <t>Sterna sandvicensis</t>
  </si>
  <si>
    <t>Sterna hirundo</t>
  </si>
  <si>
    <t>Sterna paradisaea</t>
  </si>
  <si>
    <t>Morus bassanus</t>
  </si>
  <si>
    <t>copepods</t>
  </si>
  <si>
    <t>Smelt</t>
  </si>
  <si>
    <t>shrimp</t>
  </si>
  <si>
    <t>loggerhead turtle</t>
  </si>
  <si>
    <t>Loggehead sea turtle</t>
  </si>
  <si>
    <t>bivalve</t>
  </si>
  <si>
    <t>bluefin tuna</t>
  </si>
  <si>
    <t>albacore</t>
  </si>
  <si>
    <t>Black footed limpet</t>
  </si>
  <si>
    <t>Common limpet</t>
  </si>
  <si>
    <t>tufted puffin</t>
  </si>
  <si>
    <t>Cassin's auklet</t>
  </si>
  <si>
    <t>Emperor penguin</t>
  </si>
  <si>
    <t>Adelie penguin</t>
  </si>
  <si>
    <t>Southern giant petrel</t>
  </si>
  <si>
    <t>Southern fulmar</t>
  </si>
  <si>
    <t>Wilson's storm-petrel</t>
  </si>
  <si>
    <t>Antarctic petrel</t>
  </si>
  <si>
    <t>South polar skua</t>
  </si>
  <si>
    <t>Cape petrel</t>
  </si>
  <si>
    <t>Snow petrel</t>
  </si>
  <si>
    <t>Rhinoceros auklet</t>
  </si>
  <si>
    <t>Tufted puffin</t>
  </si>
  <si>
    <t>Copepod</t>
  </si>
  <si>
    <t>Black-legged Kittiwake</t>
  </si>
  <si>
    <t>Red-legged Kittiwake</t>
  </si>
  <si>
    <t>Common Murre</t>
  </si>
  <si>
    <t>Thick-billed Murre</t>
  </si>
  <si>
    <t>Cladoceran</t>
  </si>
  <si>
    <t>Arrow worm</t>
  </si>
  <si>
    <t xml:space="preserve">phytoplankton  </t>
  </si>
  <si>
    <t>barnacles</t>
  </si>
  <si>
    <t>amphipod</t>
  </si>
  <si>
    <t>Common Guillemot</t>
  </si>
  <si>
    <t>European Shag</t>
  </si>
  <si>
    <t>Ancient murrelet</t>
  </si>
  <si>
    <t>Little auk</t>
  </si>
  <si>
    <t>Common murre</t>
  </si>
  <si>
    <t>Northern gannet</t>
  </si>
  <si>
    <t>Consistent</t>
  </si>
  <si>
    <t>Mediterranean Sea</t>
  </si>
  <si>
    <t>North-east Atlantic</t>
  </si>
  <si>
    <t>Baltic Sea</t>
  </si>
  <si>
    <t>North-west Atlantic</t>
  </si>
  <si>
    <t>North-west Pacific</t>
  </si>
  <si>
    <t>North-east Pacific</t>
  </si>
  <si>
    <t>SOUTHERN OCEAN</t>
  </si>
  <si>
    <t>Bering Sea</t>
  </si>
  <si>
    <t>Bass Strait</t>
  </si>
  <si>
    <t>Gulf of Alaska</t>
  </si>
  <si>
    <t>Greenland Sea</t>
  </si>
  <si>
    <t>Hemisphere</t>
  </si>
  <si>
    <t>Northern</t>
  </si>
  <si>
    <t>Southern</t>
  </si>
  <si>
    <t>Latitude</t>
  </si>
  <si>
    <t>Longitude</t>
  </si>
  <si>
    <t>Species</t>
  </si>
  <si>
    <t>Chris B</t>
  </si>
  <si>
    <t>Pippa M</t>
  </si>
  <si>
    <t>Lauren B</t>
  </si>
  <si>
    <t>Elvira P</t>
  </si>
  <si>
    <t>Anthony R</t>
  </si>
  <si>
    <t>Bill S</t>
  </si>
  <si>
    <t>Author</t>
  </si>
  <si>
    <t>Pleurobrachia pileus</t>
  </si>
  <si>
    <t>Mammals</t>
  </si>
  <si>
    <t>Subgroup</t>
  </si>
  <si>
    <t>Number</t>
  </si>
  <si>
    <t>Fig. 1d goes from Week 20 to Week 19</t>
  </si>
  <si>
    <t>Mixed</t>
  </si>
  <si>
    <t>Noctiluca scintillans</t>
  </si>
  <si>
    <t>Dinoflagellate</t>
  </si>
  <si>
    <t>Alaurina spp.</t>
  </si>
  <si>
    <t>Spioniden Metatrocha</t>
  </si>
  <si>
    <t>Lanice conchilega</t>
  </si>
  <si>
    <t>Magelona spp.</t>
  </si>
  <si>
    <t>Cyphonautes</t>
  </si>
  <si>
    <t>Meroplankton</t>
  </si>
  <si>
    <t>Actinotrocha</t>
  </si>
  <si>
    <t>Para-, Pseudocalanus spp</t>
  </si>
  <si>
    <t>Temora longicaudata</t>
  </si>
  <si>
    <t>Cirripedia (Nauplii)</t>
  </si>
  <si>
    <t>Gastropoda (Veliger)</t>
  </si>
  <si>
    <t>Lamellibranchia (Veliger)</t>
  </si>
  <si>
    <t>Asterias rubens Bip.</t>
  </si>
  <si>
    <t>Ophiura spp.</t>
  </si>
  <si>
    <t>Echinocardium cordatum</t>
  </si>
  <si>
    <t>Oikopleura dioica</t>
  </si>
  <si>
    <t>Fritillaria borealis</t>
  </si>
  <si>
    <t>Aglantha digitale</t>
  </si>
  <si>
    <t>Arachnactes</t>
  </si>
  <si>
    <t>Carcinus maenas (zoea)</t>
  </si>
  <si>
    <t>Crangonidae</t>
  </si>
  <si>
    <t>Fish (eggs)</t>
  </si>
  <si>
    <t>Fish (larvae)</t>
  </si>
  <si>
    <t>Galathea spp. (zoea)</t>
  </si>
  <si>
    <t>Liocarcinus spp. (zoea)</t>
  </si>
  <si>
    <t>Obelia spp.</t>
  </si>
  <si>
    <t>Pagurus spp. (zoea)</t>
  </si>
  <si>
    <t>Paramysis spp.</t>
  </si>
  <si>
    <t>Sagitta spp.</t>
  </si>
  <si>
    <t>From Table 1. Column D = Correlation with month of maximum abundance</t>
  </si>
  <si>
    <t>Shift</t>
  </si>
  <si>
    <t>PhenologyVsSSTTested</t>
  </si>
  <si>
    <t>InitialYear</t>
  </si>
  <si>
    <t>FinalYear</t>
  </si>
  <si>
    <t>Changed from 31 days over time period to 0.44 days earlier per year (from Fig. 3C) by Ant</t>
  </si>
  <si>
    <t>Ant changed from Pippa who had 10 days later, which was wrong</t>
  </si>
  <si>
    <t>Moore, P.J., R.C. Thompson  and S.J. Hawkins. 2011. Phenological changes in intertidal con-specific gastrpods in response to climate warming. Global Change Biology</t>
  </si>
  <si>
    <t>Ant changed from Pippa because she had advanced as positive and later as negative</t>
  </si>
  <si>
    <t>Ant: Phytoplankton values of 3,000 mg.m3 must be incorrect! Assume trend is OK</t>
  </si>
  <si>
    <t>RefYear</t>
  </si>
  <si>
    <t>Chambers et al. (2013) Climate as a driver of phenological change in southern seabirds. Chambers, L.E., Dann, P., Cannell, B. and Woehler, E.J. (2013) Climate as a driver of phenological change in southern seabirds. International Journal of Biometeorology, 58 (4). pp. 603-612</t>
  </si>
  <si>
    <t>Punto Tombo, Argentina</t>
  </si>
  <si>
    <t>Taylor et al. (2018) Climate warming causes phenological shift in Pink Salmon, Oncorhynchus gorbuscha, behavior at Auke Creek, Alaska. Global Change Biology 14: 229–235</t>
  </si>
  <si>
    <t>Auke Creek, Alaska</t>
  </si>
  <si>
    <t>Baffin Bay, Canada</t>
  </si>
  <si>
    <t>Bal et al. (2017) Evidence for long-term change in length, mass and migration phenology of anadromous spawners in French Atlantic salmon Salmo salar. J Fish Biol 90: 2375-2393</t>
  </si>
  <si>
    <t>McQueen et al. (2017) Shifts in spawning phenology of cod linked to rising sea temperatures. ICES J Mar Sci 74(6): 1561-1573</t>
  </si>
  <si>
    <t>NO TABLE S2 OR THIS SPECIES??? WRONG PAPER??? Data in Table S2. Only Phase I used when 2 phenophases. Resident species less consistent. 31 of 51 are consistent - earlier with warming</t>
  </si>
  <si>
    <t>Zoarces viviparus</t>
  </si>
  <si>
    <t>Agonus cataphractus</t>
  </si>
  <si>
    <t>Belone belone</t>
  </si>
  <si>
    <t>Ciliata mustela</t>
  </si>
  <si>
    <t>Clupea harengus</t>
  </si>
  <si>
    <t>Cyclopterus lumpus</t>
  </si>
  <si>
    <t>Hyperoplus lanceolatus</t>
  </si>
  <si>
    <t>Limanda limanda</t>
  </si>
  <si>
    <t>Liparis liparis liparis</t>
  </si>
  <si>
    <t>Myoxocephalus scorpius</t>
  </si>
  <si>
    <t>Pholis gunnellus</t>
  </si>
  <si>
    <t>Platichthys flesus</t>
  </si>
  <si>
    <t>Pleuronectes platessa</t>
  </si>
  <si>
    <t>Pollachius pollachius</t>
  </si>
  <si>
    <t>Pollachius virens</t>
  </si>
  <si>
    <t>Salmo trutta trutta</t>
  </si>
  <si>
    <t>Scophthalmus maximus</t>
  </si>
  <si>
    <t>Trisopterus minutus</t>
  </si>
  <si>
    <t>Ammodytes tobianus</t>
  </si>
  <si>
    <t>Anguilla anguilla</t>
  </si>
  <si>
    <t>Gasterosteus aculeatus aculeatus</t>
  </si>
  <si>
    <t>Alosa fallax</t>
  </si>
  <si>
    <t>Arnoglossus laterna</t>
  </si>
  <si>
    <t>Atherina presbyter</t>
  </si>
  <si>
    <t>Callionymus lyra</t>
  </si>
  <si>
    <t>Chelidonichthys lucerna</t>
  </si>
  <si>
    <t>Chelon labrosus</t>
  </si>
  <si>
    <t>Dicentrarchus labrax</t>
  </si>
  <si>
    <t>Engraulis encrasicolus</t>
  </si>
  <si>
    <t>Liza aurata</t>
  </si>
  <si>
    <t>Merlangius merlangus</t>
  </si>
  <si>
    <t>Pomatoschistus minutus</t>
  </si>
  <si>
    <t>Sardina pilchardus</t>
  </si>
  <si>
    <t>Scophthalmus rhombus</t>
  </si>
  <si>
    <t>Sprattus sprattus</t>
  </si>
  <si>
    <t>Syngnathus acus</t>
  </si>
  <si>
    <t>Trachurus trachurus</t>
  </si>
  <si>
    <t>Trisopterus luscus</t>
  </si>
  <si>
    <t>Osmerus eperlanus</t>
  </si>
  <si>
    <t>Duration</t>
  </si>
  <si>
    <t>Canada - Campbellton</t>
  </si>
  <si>
    <t>Canada - NE Brook-Trepassey</t>
  </si>
  <si>
    <t>Canada - Rocky</t>
  </si>
  <si>
    <t>Canada - Conne</t>
  </si>
  <si>
    <t>Canada - Highlands</t>
  </si>
  <si>
    <t>Canada - Western Arm Brook</t>
  </si>
  <si>
    <t>Canada - Sand Hill</t>
  </si>
  <si>
    <t>Canada - Saint-Jean</t>
  </si>
  <si>
    <t>Canada - Trinite</t>
  </si>
  <si>
    <t>USA - Sheepscot</t>
  </si>
  <si>
    <t>USA - Narraguagus</t>
  </si>
  <si>
    <t>USA - Shorey Brook</t>
  </si>
  <si>
    <t>USA - Connecticut (Cabot)</t>
  </si>
  <si>
    <t>USA - Connecticut (Holyoke)</t>
  </si>
  <si>
    <t>USA - Farmington</t>
  </si>
  <si>
    <t>USA - West Brook</t>
  </si>
  <si>
    <t>Iceland - Ellidaar</t>
  </si>
  <si>
    <t>Iceland - Vesturdalsa</t>
  </si>
  <si>
    <t>Iceland - Nupsa</t>
  </si>
  <si>
    <t>Scotland - Bran</t>
  </si>
  <si>
    <t>Scotland - North Esk</t>
  </si>
  <si>
    <t>Ireland - Burrishoole</t>
  </si>
  <si>
    <t>Ireland - Bush</t>
  </si>
  <si>
    <t>England - Wear</t>
  </si>
  <si>
    <t>England - Coquet</t>
  </si>
  <si>
    <t>England - Test</t>
  </si>
  <si>
    <t>England - Tamar</t>
  </si>
  <si>
    <t>England - Tyne</t>
  </si>
  <si>
    <t>England - Esk (Yorkshire)</t>
  </si>
  <si>
    <t>Wales - Dee</t>
  </si>
  <si>
    <t>Wales - Ceiriog</t>
  </si>
  <si>
    <t>France - Scorff</t>
  </si>
  <si>
    <t>Spain - Ulla</t>
  </si>
  <si>
    <t>France - Selune (Oir)</t>
  </si>
  <si>
    <t>Spain - Tea</t>
  </si>
  <si>
    <t>Russia - Varzuga</t>
  </si>
  <si>
    <t>Finland - Simojoki</t>
  </si>
  <si>
    <t>Finland - Tornionjoki</t>
  </si>
  <si>
    <t>Finland - Pulmankijoki</t>
  </si>
  <si>
    <t>Finland - Kalddasjoki</t>
  </si>
  <si>
    <t>Finland - Kevojoki</t>
  </si>
  <si>
    <t>Finland - Tsarsjoki</t>
  </si>
  <si>
    <t>Finland - Kuoppilasjoki</t>
  </si>
  <si>
    <t>Finland - Karigasjoki</t>
  </si>
  <si>
    <t>Finland - Utsjoki</t>
  </si>
  <si>
    <t>Norway - Halselva</t>
  </si>
  <si>
    <t>Norway - Altaelva</t>
  </si>
  <si>
    <t>Norway - Roksdalselva</t>
  </si>
  <si>
    <t>Norway - Skjoma</t>
  </si>
  <si>
    <t>Norway - Saltdalselva</t>
  </si>
  <si>
    <t>Norway - Urdvoldelva</t>
  </si>
  <si>
    <t>Norway - Stjørdalselva</t>
  </si>
  <si>
    <t>Norway - Orkla</t>
  </si>
  <si>
    <t>Norway - Driva</t>
  </si>
  <si>
    <t>Norway - Eira</t>
  </si>
  <si>
    <t>Norway - Hustadelva</t>
  </si>
  <si>
    <t>Norway - Aurlandselva</t>
  </si>
  <si>
    <t>Norway - Flamselva</t>
  </si>
  <si>
    <t>Norway - Vosso</t>
  </si>
  <si>
    <t>Norway - Guddalselva</t>
  </si>
  <si>
    <t>Norway - Suldaslagen</t>
  </si>
  <si>
    <t>Norway - Imsa</t>
  </si>
  <si>
    <t>Norway - Mandalselva</t>
  </si>
  <si>
    <t>Norway - Tovdalselva</t>
  </si>
  <si>
    <t>Norway - Storelva</t>
  </si>
  <si>
    <t>Sweden - Savaran</t>
  </si>
  <si>
    <t>Sweden - Ricklean</t>
  </si>
  <si>
    <t>Sweden - Morrumsan (Hemsjo upper)</t>
  </si>
  <si>
    <t>Sweden - Morrumsan (Hemsjo lower)</t>
  </si>
  <si>
    <t>Sweden - Morrumsan (Marieberg)</t>
  </si>
  <si>
    <t>Otero et al. (2014) Basin-scale phenology and effects of climate variability
on global timing of initial seaward migration of Atlantic
salmon (Salmo salar). Global Change Biology 20, 61–76</t>
  </si>
  <si>
    <t>Otero et al. (2014) Basin-scale phenology and effects of climate variability
on global timing of initial seaward migration of Atlantic
salmon (Salmo salar). Global Change Biology 20, 61–77</t>
  </si>
  <si>
    <t>Otero et al. (2014) Basin-scale phenology and effects of climate variability
on global timing of initial seaward migration of Atlantic
salmon (Salmo salar). Global Change Biology 20, 61–78</t>
  </si>
  <si>
    <t>Otero et al. (2014) Basin-scale phenology and effects of climate variability
on global timing of initial seaward migration of Atlantic
salmon (Salmo salar). Global Change Biology 20, 61–79</t>
  </si>
  <si>
    <t>Otero et al. (2014) Basin-scale phenology and effects of climate variability
on global timing of initial seaward migration of Atlantic
salmon (Salmo salar). Global Change Biology 20, 61–80</t>
  </si>
  <si>
    <t>Otero et al. (2014) Basin-scale phenology and effects of climate variability
on global timing of initial seaward migration of Atlantic
salmon (Salmo salar). Global Change Biology 20, 61–81</t>
  </si>
  <si>
    <t>Otero et al. (2014) Basin-scale phenology and effects of climate variability
on global timing of initial seaward migration of Atlantic
salmon (Salmo salar). Global Change Biology 20, 61–82</t>
  </si>
  <si>
    <t>Otero et al. (2014) Basin-scale phenology and effects of climate variability
on global timing of initial seaward migration of Atlantic
salmon (Salmo salar). Global Change Biology 20, 61–83</t>
  </si>
  <si>
    <t>Otero et al. (2014) Basin-scale phenology and effects of climate variability
on global timing of initial seaward migration of Atlantic
salmon (Salmo salar). Global Change Biology 20, 61–84</t>
  </si>
  <si>
    <t>Otero et al. (2014) Basin-scale phenology and effects of climate variability
on global timing of initial seaward migration of Atlantic
salmon (Salmo salar). Global Change Biology 20, 61–85</t>
  </si>
  <si>
    <t>Otero et al. (2014) Basin-scale phenology and effects of climate variability
on global timing of initial seaward migration of Atlantic
salmon (Salmo salar). Global Change Biology 20, 61–86</t>
  </si>
  <si>
    <t>Otero et al. (2014) Basin-scale phenology and effects of climate variability
on global timing of initial seaward migration of Atlantic
salmon (Salmo salar). Global Change Biology 20, 61–87</t>
  </si>
  <si>
    <t>Otero et al. (2014) Basin-scale phenology and effects of climate variability
on global timing of initial seaward migration of Atlantic
salmon (Salmo salar). Global Change Biology 20, 61–88</t>
  </si>
  <si>
    <t>Otero et al. (2014) Basin-scale phenology and effects of climate variability
on global timing of initial seaward migration of Atlantic
salmon (Salmo salar). Global Change Biology 20, 61–89</t>
  </si>
  <si>
    <t>Otero et al. (2014) Basin-scale phenology and effects of climate variability
on global timing of initial seaward migration of Atlantic
salmon (Salmo salar). Global Change Biology 20, 61–90</t>
  </si>
  <si>
    <t>Otero et al. (2014) Basin-scale phenology and effects of climate variability
on global timing of initial seaward migration of Atlantic
salmon (Salmo salar). Global Change Biology 20, 61–91</t>
  </si>
  <si>
    <t>Otero et al. (2014) Basin-scale phenology and effects of climate variability
on global timing of initial seaward migration of Atlantic
salmon (Salmo salar). Global Change Biology 20, 61–92</t>
  </si>
  <si>
    <t>Otero et al. (2014) Basin-scale phenology and effects of climate variability
on global timing of initial seaward migration of Atlantic
salmon (Salmo salar). Global Change Biology 20, 61–93</t>
  </si>
  <si>
    <t>Otero et al. (2014) Basin-scale phenology and effects of climate variability
on global timing of initial seaward migration of Atlantic
salmon (Salmo salar). Global Change Biology 20, 61–94</t>
  </si>
  <si>
    <t>Otero et al. (2014) Basin-scale phenology and effects of climate variability
on global timing of initial seaward migration of Atlantic
salmon (Salmo salar). Global Change Biology 20, 61–95</t>
  </si>
  <si>
    <t>Otero et al. (2014) Basin-scale phenology and effects of climate variability
on global timing of initial seaward migration of Atlantic
salmon (Salmo salar). Global Change Biology 20, 61–96</t>
  </si>
  <si>
    <t>Otero et al. (2014) Basin-scale phenology and effects of climate variability
on global timing of initial seaward migration of Atlantic
salmon (Salmo salar). Global Change Biology 20, 61–97</t>
  </si>
  <si>
    <t>Otero et al. (2014) Basin-scale phenology and effects of climate variability
on global timing of initial seaward migration of Atlantic
salmon (Salmo salar). Global Change Biology 20, 61–98</t>
  </si>
  <si>
    <t>Otero et al. (2014) Basin-scale phenology and effects of climate variability
on global timing of initial seaward migration of Atlantic
salmon (Salmo salar). Global Change Biology 20, 61–99</t>
  </si>
  <si>
    <t>Otero et al. (2014) Basin-scale phenology and effects of climate variability
on global timing of initial seaward migration of Atlantic
salmon (Salmo salar). Global Change Biology 20, 61–100</t>
  </si>
  <si>
    <t>Otero et al. (2014) Basin-scale phenology and effects of climate variability
on global timing of initial seaward migration of Atlantic
salmon (Salmo salar). Global Change Biology 20, 61–101</t>
  </si>
  <si>
    <t>Otero et al. (2014) Basin-scale phenology and effects of climate variability
on global timing of initial seaward migration of Atlantic
salmon (Salmo salar). Global Change Biology 20, 61–102</t>
  </si>
  <si>
    <t>Otero et al. (2014) Basin-scale phenology and effects of climate variability
on global timing of initial seaward migration of Atlantic
salmon (Salmo salar). Global Change Biology 20, 61–103</t>
  </si>
  <si>
    <t>Otero et al. (2014) Basin-scale phenology and effects of climate variability
on global timing of initial seaward migration of Atlantic
salmon (Salmo salar). Global Change Biology 20, 61–104</t>
  </si>
  <si>
    <t>Otero et al. (2014) Basin-scale phenology and effects of climate variability
on global timing of initial seaward migration of Atlantic
salmon (Salmo salar). Global Change Biology 20, 61–105</t>
  </si>
  <si>
    <t>Otero et al. (2014) Basin-scale phenology and effects of climate variability
on global timing of initial seaward migration of Atlantic
salmon (Salmo salar). Global Change Biology 20, 61–106</t>
  </si>
  <si>
    <t>Otero et al. (2014) Basin-scale phenology and effects of climate variability
on global timing of initial seaward migration of Atlantic
salmon (Salmo salar). Global Change Biology 20, 61–107</t>
  </si>
  <si>
    <t>Otero et al. (2014) Basin-scale phenology and effects of climate variability
on global timing of initial seaward migration of Atlantic
salmon (Salmo salar). Global Change Biology 20, 61–108</t>
  </si>
  <si>
    <t>Otero et al. (2014) Basin-scale phenology and effects of climate variability
on global timing of initial seaward migration of Atlantic
salmon (Salmo salar). Global Change Biology 20, 61–109</t>
  </si>
  <si>
    <t>Otero et al. (2014) Basin-scale phenology and effects of climate variability
on global timing of initial seaward migration of Atlantic
salmon (Salmo salar). Global Change Biology 20, 61–110</t>
  </si>
  <si>
    <t>Otero et al. (2014) Basin-scale phenology and effects of climate variability
on global timing of initial seaward migration of Atlantic
salmon (Salmo salar). Global Change Biology 20, 61–111</t>
  </si>
  <si>
    <t>Otero et al. (2014) Basin-scale phenology and effects of climate variability
on global timing of initial seaward migration of Atlantic
salmon (Salmo salar). Global Change Biology 20, 61–112</t>
  </si>
  <si>
    <t>Otero et al. (2014) Basin-scale phenology and effects of climate variability
on global timing of initial seaward migration of Atlantic
salmon (Salmo salar). Global Change Biology 20, 61–113</t>
  </si>
  <si>
    <t>Otero et al. (2014) Basin-scale phenology and effects of climate variability
on global timing of initial seaward migration of Atlantic
salmon (Salmo salar). Global Change Biology 20, 61–114</t>
  </si>
  <si>
    <t>Otero et al. (2014) Basin-scale phenology and effects of climate variability
on global timing of initial seaward migration of Atlantic
salmon (Salmo salar). Global Change Biology 20, 61–115</t>
  </si>
  <si>
    <t>Otero et al. (2014) Basin-scale phenology and effects of climate variability
on global timing of initial seaward migration of Atlantic
salmon (Salmo salar). Global Change Biology 20, 61–116</t>
  </si>
  <si>
    <t>Otero et al. (2014) Basin-scale phenology and effects of climate variability
on global timing of initial seaward migration of Atlantic
salmon (Salmo salar). Global Change Biology 20, 61–117</t>
  </si>
  <si>
    <t>Otero et al. (2014) Basin-scale phenology and effects of climate variability
on global timing of initial seaward migration of Atlantic
salmon (Salmo salar). Global Change Biology 20, 61–118</t>
  </si>
  <si>
    <t>Otero et al. (2014) Basin-scale phenology and effects of climate variability
on global timing of initial seaward migration of Atlantic
salmon (Salmo salar). Global Change Biology 20, 61–119</t>
  </si>
  <si>
    <t>Otero et al. (2014) Basin-scale phenology and effects of climate variability
on global timing of initial seaward migration of Atlantic
salmon (Salmo salar). Global Change Biology 20, 61–120</t>
  </si>
  <si>
    <t>Otero et al. (2014) Basin-scale phenology and effects of climate variability
on global timing of initial seaward migration of Atlantic
salmon (Salmo salar). Global Change Biology 20, 61–121</t>
  </si>
  <si>
    <t>Otero et al. (2014) Basin-scale phenology and effects of climate variability
on global timing of initial seaward migration of Atlantic
salmon (Salmo salar). Global Change Biology 20, 61–122</t>
  </si>
  <si>
    <t>Otero et al. (2014) Basin-scale phenology and effects of climate variability
on global timing of initial seaward migration of Atlantic
salmon (Salmo salar). Global Change Biology 20, 61–123</t>
  </si>
  <si>
    <t>Otero et al. (2014) Basin-scale phenology and effects of climate variability
on global timing of initial seaward migration of Atlantic
salmon (Salmo salar). Global Change Biology 20, 61–124</t>
  </si>
  <si>
    <t>Otero et al. (2014) Basin-scale phenology and effects of climate variability
on global timing of initial seaward migration of Atlantic
salmon (Salmo salar). Global Change Biology 20, 61–125</t>
  </si>
  <si>
    <t>Otero et al. (2014) Basin-scale phenology and effects of climate variability
on global timing of initial seaward migration of Atlantic
salmon (Salmo salar). Global Change Biology 20, 61–126</t>
  </si>
  <si>
    <t>Otero et al. (2014) Basin-scale phenology and effects of climate variability
on global timing of initial seaward migration of Atlantic
salmon (Salmo salar). Global Change Biology 20, 61–127</t>
  </si>
  <si>
    <t>Otero et al. (2014) Basin-scale phenology and effects of climate variability
on global timing of initial seaward migration of Atlantic
salmon (Salmo salar). Global Change Biology 20, 61–128</t>
  </si>
  <si>
    <t>Otero et al. (2014) Basin-scale phenology and effects of climate variability
on global timing of initial seaward migration of Atlantic
salmon (Salmo salar). Global Change Biology 20, 61–129</t>
  </si>
  <si>
    <t>Otero et al. (2014) Basin-scale phenology and effects of climate variability
on global timing of initial seaward migration of Atlantic
salmon (Salmo salar). Global Change Biology 20, 61–130</t>
  </si>
  <si>
    <t>Otero et al. (2014) Basin-scale phenology and effects of climate variability
on global timing of initial seaward migration of Atlantic
salmon (Salmo salar). Global Change Biology 20, 61–131</t>
  </si>
  <si>
    <t>Otero et al. (2014) Basin-scale phenology and effects of climate variability
on global timing of initial seaward migration of Atlantic
salmon (Salmo salar). Global Change Biology 20, 61–132</t>
  </si>
  <si>
    <t>Otero et al. (2014) Basin-scale phenology and effects of climate variability
on global timing of initial seaward migration of Atlantic
salmon (Salmo salar). Global Change Biology 20, 61–133</t>
  </si>
  <si>
    <t>Otero et al. (2014) Basin-scale phenology and effects of climate variability
on global timing of initial seaward migration of Atlantic
salmon (Salmo salar). Global Change Biology 20, 61–134</t>
  </si>
  <si>
    <t>Otero et al. (2014) Basin-scale phenology and effects of climate variability
on global timing of initial seaward migration of Atlantic
salmon (Salmo salar). Global Change Biology 20, 61–135</t>
  </si>
  <si>
    <t>Otero et al. (2014) Basin-scale phenology and effects of climate variability
on global timing of initial seaward migration of Atlantic
salmon (Salmo salar). Global Change Biology 20, 61–136</t>
  </si>
  <si>
    <t>Otero et al. (2014) Basin-scale phenology and effects of climate variability
on global timing of initial seaward migration of Atlantic
salmon (Salmo salar). Global Change Biology 20, 61–137</t>
  </si>
  <si>
    <t>Otero et al. (2014) Basin-scale phenology and effects of climate variability
on global timing of initial seaward migration of Atlantic
salmon (Salmo salar). Global Change Biology 20, 61–138</t>
  </si>
  <si>
    <t>Otero et al. (2014) Basin-scale phenology and effects of climate variability
on global timing of initial seaward migration of Atlantic
salmon (Salmo salar). Global Change Biology 20, 61–139</t>
  </si>
  <si>
    <t>Otero et al. (2014) Basin-scale phenology and effects of climate variability
on global timing of initial seaward migration of Atlantic
salmon (Salmo salar). Global Change Biology 20, 61–140</t>
  </si>
  <si>
    <t>Otero et al. (2014) Basin-scale phenology and effects of climate variability
on global timing of initial seaward migration of Atlantic
salmon (Salmo salar). Global Change Biology 20, 61–141</t>
  </si>
  <si>
    <t>Otero et al. (2014) Basin-scale phenology and effects of climate variability
on global timing of initial seaward migration of Atlantic
salmon (Salmo salar). Global Change Biology 20, 61–142</t>
  </si>
  <si>
    <t>Otero et al. (2014) Basin-scale phenology and effects of climate variability
on global timing of initial seaward migration of Atlantic
salmon (Salmo salar). Global Change Biology 20, 61–143</t>
  </si>
  <si>
    <t>Otero et al. (2014) Basin-scale phenology and effects of climate variability
on global timing of initial seaward migration of Atlantic
salmon (Salmo salar). Global Change Biology 20, 61–144</t>
  </si>
  <si>
    <t>Otero et al. (2014) Basin-scale phenology and effects of climate variability
on global timing of initial seaward migration of Atlantic
salmon (Salmo salar). Global Change Biology 20, 61–145</t>
  </si>
  <si>
    <t>Consistency from Fig. 4. All +ve except 1. Lat and Lon from Table S1</t>
  </si>
  <si>
    <t>Consistency from Fig. 4. All +ve except 1. Lat and Lon from Table S2</t>
  </si>
  <si>
    <t>Consistency from Fig. 4. All +ve except 1. Lat and Lon from Table S3</t>
  </si>
  <si>
    <t>Consistency from Fig. 4. All +ve except 1. Lat and Lon from Table S4</t>
  </si>
  <si>
    <t>Consistency from Fig. 4. All +ve except 1. Lat and Lon from Table S5</t>
  </si>
  <si>
    <t>Consistency from Fig. 4. All +ve except 1. Lat and Lon from Table S6</t>
  </si>
  <si>
    <t>Consistency from Fig. 4. All +ve except 1. Lat and Lon from Table S7</t>
  </si>
  <si>
    <t>Consistency from Fig. 4. All +ve except 1. Lat and Lon from Table S8</t>
  </si>
  <si>
    <t>Consistency from Fig. 4. All +ve except 1. Lat and Lon from Table S9</t>
  </si>
  <si>
    <t>Consistency from Fig. 4. All +ve except 1. Lat and Lon from Table S10</t>
  </si>
  <si>
    <t>Consistency from Fig. 4. All +ve except 1. Lat and Lon from Table S11</t>
  </si>
  <si>
    <t>Consistency from Fig. 4. All +ve except 1. Lat and Lon from Table S12</t>
  </si>
  <si>
    <t>Consistency from Fig. 4. All +ve except 1. Lat and Lon from Table S13</t>
  </si>
  <si>
    <t>Consistency from Fig. 4. All +ve except 1. Lat and Lon from Table S14</t>
  </si>
  <si>
    <t>Consistency from Fig. 4. All +ve except 1. Lat and Lon from Table S15</t>
  </si>
  <si>
    <t>Consistency from Fig. 4. All +ve except 1. Lat and Lon from Table S16</t>
  </si>
  <si>
    <t>Consistency from Fig. 4. All +ve except 1. Lat and Lon from Table S17</t>
  </si>
  <si>
    <t>Consistency from Fig. 4. All +ve except 1. Lat and Lon from Table S18</t>
  </si>
  <si>
    <t>Consistency from Fig. 4. All +ve except 1. Lat and Lon from Table S20</t>
  </si>
  <si>
    <t>Consistency from Fig. 4. All +ve except 1. Lat and Lon from Table S21</t>
  </si>
  <si>
    <t>Consistency from Fig. 4. All +ve except 1. Lat and Lon from Table S22</t>
  </si>
  <si>
    <t>Consistency from Fig. 4. All +ve except 1. Lat and Lon from Table S23</t>
  </si>
  <si>
    <t>Consistency from Fig. 4. All +ve except 1. Lat and Lon from Table S24</t>
  </si>
  <si>
    <t>Consistency from Fig. 4. All +ve except 1. Lat and Lon from Table S25</t>
  </si>
  <si>
    <t>Consistency from Fig. 4. All +ve except 1. Lat and Lon from Table S26</t>
  </si>
  <si>
    <t>Consistency from Fig. 4. All +ve except 1. Lat and Lon from Table S27</t>
  </si>
  <si>
    <t>Consistency from Fig. 4. All +ve except 1. Lat and Lon from Table S28</t>
  </si>
  <si>
    <t>Consistency from Fig. 4. All +ve except 1. Lat and Lon from Table S29</t>
  </si>
  <si>
    <t>Consistency from Fig. 4. All +ve except 1. Lat and Lon from Table S30</t>
  </si>
  <si>
    <t>Consistency from Fig. 4. All +ve except 1. Lat and Lon from Table S31</t>
  </si>
  <si>
    <t>Consistency from Fig. 4. All +ve except 1. Lat and Lon from Table S32</t>
  </si>
  <si>
    <t>Consistency from Fig. 4. All +ve except 1. Lat and Lon from Table S33</t>
  </si>
  <si>
    <t>Consistency from Fig. 4. All +ve except 1. Lat and Lon from Table S34</t>
  </si>
  <si>
    <t>Consistency from Fig. 4. All +ve except 1. Lat and Lon from Table S35</t>
  </si>
  <si>
    <t>Consistency from Fig. 4. All +ve except 1. Lat and Lon from Table S36</t>
  </si>
  <si>
    <t>Consistency from Fig. 4. All +ve except 1. Lat and Lon from Table S37</t>
  </si>
  <si>
    <t>Consistency from Fig. 4. All +ve except 1. Lat and Lon from Table S38</t>
  </si>
  <si>
    <t>Consistency from Fig. 4. All +ve except 1. Lat and Lon from Table S39</t>
  </si>
  <si>
    <t>Consistency from Fig. 4. All +ve except 1. Lat and Lon from Table S40</t>
  </si>
  <si>
    <t>Consistency from Fig. 4. All +ve except 1. Lat and Lon from Table S41</t>
  </si>
  <si>
    <t>Consistency from Fig. 4. All +ve except 1. Lat and Lon from Table S42</t>
  </si>
  <si>
    <t>Consistency from Fig. 4. All +ve except 1. Lat and Lon from Table S43</t>
  </si>
  <si>
    <t>Consistency from Fig. 4. All +ve except 1. Lat and Lon from Table S44</t>
  </si>
  <si>
    <t>Consistency from Fig. 4. All +ve except 1. Lat and Lon from Table S45</t>
  </si>
  <si>
    <t>Consistency from Fig. 4. All +ve except 1. Lat and Lon from Table S46</t>
  </si>
  <si>
    <t>Consistency from Fig. 4. All +ve except 1. Lat and Lon from Table S47</t>
  </si>
  <si>
    <t>Consistency from Fig. 4. All +ve except 1. Lat and Lon from Table S48</t>
  </si>
  <si>
    <t>Consistency from Fig. 4. All +ve except 1. Lat and Lon from Table S49</t>
  </si>
  <si>
    <t>Consistency from Fig. 4. All +ve except 1. Lat and Lon from Table S50</t>
  </si>
  <si>
    <t>Consistency from Fig. 4. All +ve except 1. Lat and Lon from Table S51</t>
  </si>
  <si>
    <t>Consistency from Fig. 4. All +ve except 1. Lat and Lon from Table S52</t>
  </si>
  <si>
    <t>Consistency from Fig. 4. All +ve except 1. Lat and Lon from Table S53</t>
  </si>
  <si>
    <t>Consistency from Fig. 4. All +ve except 1. Lat and Lon from Table S54</t>
  </si>
  <si>
    <t>Consistency from Fig. 4. All +ve except 1. Lat and Lon from Table S55</t>
  </si>
  <si>
    <t>Consistency from Fig. 4. All +ve except 1. Lat and Lon from Table S56</t>
  </si>
  <si>
    <t>Consistency from Fig. 4. All +ve except 1. Lat and Lon from Table S57</t>
  </si>
  <si>
    <t>Consistency from Fig. 4. All +ve except 1. Lat and Lon from Table S58</t>
  </si>
  <si>
    <t>Consistency from Fig. 4. All +ve except 1. Lat and Lon from Table S59</t>
  </si>
  <si>
    <t>Consistency from Fig. 4. All +ve except 1. Lat and Lon from Table S60</t>
  </si>
  <si>
    <t>Consistency from Fig. 4. All +ve except 1. Lat and Lon from Table S61</t>
  </si>
  <si>
    <t>Consistency from Fig. 4. All +ve except 1. Lat and Lon from Table S62</t>
  </si>
  <si>
    <t>Consistency from Fig. 4. All +ve except 1. Lat and Lon from Table S63</t>
  </si>
  <si>
    <t>Consistency from Fig. 4. All +ve except 1. Lat and Lon from Table S64</t>
  </si>
  <si>
    <t>Consistency from Fig. 4. All +ve except 1. Lat and Lon from Table S65</t>
  </si>
  <si>
    <t>Consistency from Fig. 4. All +ve except 1. Lat and Lon from Table S66</t>
  </si>
  <si>
    <t>Consistency from Fig. 4. All +ve except 1. Lat and Lon from Table S67</t>
  </si>
  <si>
    <t>Consistency from Fig. 4. All +ve except 1. Lat and Lon from Table S68</t>
  </si>
  <si>
    <t>Consistency from Fig. 4. All +ve except 1. Lat and Lon from Table S69</t>
  </si>
  <si>
    <t>Consistency from Fig. 4. All +ve except 1. Lat and Lon from Table S70</t>
  </si>
  <si>
    <t>Consistency from Fig. 4 (65oN and 20oW only one less than 0). All +ve except 1. Lat and Lon from Table S19</t>
  </si>
  <si>
    <t>Bristol Channel (107E)</t>
  </si>
  <si>
    <t>Irish Sea (107A)</t>
  </si>
  <si>
    <t>East-central North Sea (104BE)</t>
  </si>
  <si>
    <t>West-central North Sea (104BW)</t>
  </si>
  <si>
    <t>Southern North Sea (104C)</t>
  </si>
  <si>
    <t>Eastern Channel (107D)</t>
  </si>
  <si>
    <t>Measure</t>
  </si>
  <si>
    <t>Spawning time</t>
  </si>
  <si>
    <t>NW Atlantic (3L)</t>
  </si>
  <si>
    <t>NW Atlantic (3NO)</t>
  </si>
  <si>
    <t>Based on gonad development. Cod from Table 2. Mean of all 3L males and females of all ages for 1972-1999 (149.60) and for 1993-2009 (190.11). North Sea time series (cod and haddock) 11 yrs long and too short</t>
  </si>
  <si>
    <t>Based on gonad development. Cod from Table 2. Mean of all 3NO males and females of all ages for 1975-1999 (136.33) and for 1993-2009 (158.55). North Sea time series (cod and haddock) 11 yrs long and too short</t>
  </si>
  <si>
    <t>Seaward migration</t>
  </si>
  <si>
    <t>5 days earlier per 1oC. Climate variability rather than change. Strong effect of climate variability, but virtually no warming in the area. Adjusted phenology for age of fish</t>
  </si>
  <si>
    <t>Shift of 2.5 d earlier per decade in Abstract. Also 2.4 d ealier / 1oC (see Supplement). Earlier emergence from rivers related to SST. Based on many sites around the North Atlantic. Norway had most data and so I took lat and lon from longest time series there</t>
  </si>
  <si>
    <t>White Sea</t>
  </si>
  <si>
    <t>No value, but peak biomass earlier. Fig. 2 shows warming, and the paper talks about earlier peaks, especially for Calanus glacialis</t>
  </si>
  <si>
    <t>No value, but peak biomass earlier. Fig. 2 shows warming, and the paper talks about earlier peaks, only slightly for Pseudocalanus minutus because of its broader temperature range (see p. 81)</t>
  </si>
  <si>
    <t>Biomass peak</t>
  </si>
  <si>
    <t>Estimated from Fig. 7 and Table 2 (Year coefficient)</t>
  </si>
  <si>
    <t>Return date</t>
  </si>
  <si>
    <t>Peak spawning</t>
  </si>
  <si>
    <t>Migration arrival</t>
  </si>
  <si>
    <t>Mean migration arrival -15.6 days per oC (for warming of 1.5oC at Spawning Start + Peak (5,6) in Fig. 2), which gives -23.4 days earlier. Note that larval CPR data were from 1949-1977 (too early) and weren't included. Values not given, but significantly earlier arrival in multiple areas of North Sea and Baltic but strong warming in region and strong relationship of arrival with temperature/ Plus significant warming in region</t>
  </si>
  <si>
    <t>Don't include - pseudreplicated. Peak spawning reported as -2.3 days per oC (for warming of 1.5oC at Spawning Start + Peak (5,6) in Fig. 2), which gives -3.45 days earlier. Note that larval CPR data were from 1949-1977 (too early) and weren't included. Values not given, but significantly earlier arrival in multiple areas of North Sea and Baltic but strong warming in region and strong relationship of arrival with temperature/ Plus significant warming in region</t>
  </si>
  <si>
    <t>Celtic mixed (CM)</t>
  </si>
  <si>
    <t>Irish Sea (IS)</t>
  </si>
  <si>
    <t>Celtic Sea (stratified) (CS)</t>
  </si>
  <si>
    <t>Shelf edge (SE)</t>
  </si>
  <si>
    <t>Warm temperate (WT)</t>
  </si>
  <si>
    <t>Abyssal south (ABS)</t>
  </si>
  <si>
    <t>Rockall Bank (RB)</t>
  </si>
  <si>
    <t>Rockall Trough (RT)</t>
  </si>
  <si>
    <t>Peak abundance</t>
  </si>
  <si>
    <t>From Fig. 5. Ignored Calanus I-IV  because same species as included. And Para/Pseudo is not a species. Lat/Lon from Fig. 2.</t>
  </si>
  <si>
    <t>Common sole</t>
  </si>
  <si>
    <t>Don't use - no change in SST in the region (see Fig. 6). Median nesting date. As May SST. But significant relationship between warmer temperature and earlier nesting
increased, the median days of nesting shifted earlier
by ~4.5 d per °C.</t>
  </si>
  <si>
    <t>Also in Table 1 in Hindell et al. (2012)</t>
  </si>
  <si>
    <t>Actually n.s. but still report it. Also in Table 1 in Hindell et al. (2012)</t>
  </si>
  <si>
    <t>Delay with time, but earlier as sea ice retreated</t>
  </si>
  <si>
    <t>Already included NCEAS…</t>
  </si>
  <si>
    <t>Table 1 in Hindell et al. 2012 also has all the values (mult. by 10 for per decade)</t>
  </si>
  <si>
    <t>Replaced by Hindell et al. (2012) value, which is probably more accurate</t>
  </si>
  <si>
    <t>Gjerdrum et al. (2003) Tufted puffin reproduction reveals ocean climate variability. Proc. Natl. Acad. Sci. USA.
100:9377–9382.</t>
  </si>
  <si>
    <t>Chevillot et al. (2017) Toward a phenological mismatch in estuarine pelagic food web? PLoS One 12(3): e0173752</t>
  </si>
  <si>
    <t>Durant et al. (2019) Contrasting effects of rising temperatures on trophic interactions in marine ecosystems. Scientific Reports 9: 15213</t>
  </si>
  <si>
    <t>Estimated from phenology data (CPR) on Centropages typicus in the Bay of Biscay (p. 4 in Supplement) - Day 210 (1970) to Day 140 (2012)</t>
  </si>
  <si>
    <t>Sauve et al. (2019) Phenotypic plasticity or evolutionary change? An examination
of the phenological response of an arctic seabird to climate
change. Functional Ecology 33: 2180-2190</t>
  </si>
  <si>
    <t>Cepphus grylle mandtii</t>
  </si>
  <si>
    <t>Mandt's black guillemots</t>
  </si>
  <si>
    <t>Clutch initiation</t>
  </si>
  <si>
    <t>Chivers et al. (2019) Phenological shuffling of major marine phytoplankton groups
over the last six decades. Biodiversity Research 26: 536-548.</t>
  </si>
  <si>
    <t>Asterionellopsis glacialis</t>
  </si>
  <si>
    <t>Chaetoceros (Hyalochaete)</t>
  </si>
  <si>
    <t>Chaetoceros (Phaeoceros)</t>
  </si>
  <si>
    <t>Cylindrotheca closterium</t>
  </si>
  <si>
    <t>Ditylum brightwelli</t>
  </si>
  <si>
    <t>Eucampia zodiacus</t>
  </si>
  <si>
    <t>Gyrosigma spp.</t>
  </si>
  <si>
    <t>Navicula spp.</t>
  </si>
  <si>
    <t>Proboscia alata</t>
  </si>
  <si>
    <t>Proboscia inermis</t>
  </si>
  <si>
    <t>Rhizosolenia hebetata</t>
  </si>
  <si>
    <t>Rhizosolenia imbricata</t>
  </si>
  <si>
    <t>Rhizosolenia styliformis</t>
  </si>
  <si>
    <t>Thalassionema nitzscioides</t>
  </si>
  <si>
    <t>Thalassiosira spp.</t>
  </si>
  <si>
    <t>Pseudo nitzschia delicatissima</t>
  </si>
  <si>
    <t>Pseudo nitzschia seriata</t>
  </si>
  <si>
    <t>Autumn</t>
  </si>
  <si>
    <t>Spring</t>
  </si>
  <si>
    <t>From Abstract, earlier migration of 2.3 days per decade</t>
  </si>
  <si>
    <t>Chust et al. (2019) Earlier migration and distribution changes of albacore in the
Northeast Atlantic. Fisheries Oceanography 28: 505-516</t>
  </si>
  <si>
    <t>Northeast Altantic</t>
  </si>
  <si>
    <t>Tuna</t>
  </si>
  <si>
    <t>Albacore</t>
  </si>
  <si>
    <t>Canada</t>
  </si>
  <si>
    <t>Chionoecetes opilio</t>
  </si>
  <si>
    <t>Hyas spp.</t>
  </si>
  <si>
    <t>Snow crab</t>
  </si>
  <si>
    <t>Toad crab</t>
  </si>
  <si>
    <t>Benthic invertebrate</t>
  </si>
  <si>
    <t>Information from Fig. 2 and Table 1. Phenology index based of proportion of young larvae at fixed time of year, so no rate value per decade available.</t>
  </si>
  <si>
    <t>Puce et al. (2009) Long-term changes in hydroid (Cnidaria, Hydrozoa)
assemblages: effect of Mediterranean warming? Marine Ecology 30: 313–326</t>
  </si>
  <si>
    <t>Italy</t>
  </si>
  <si>
    <t>Two points</t>
  </si>
  <si>
    <t>Multiple</t>
  </si>
  <si>
    <t>Multiple jellyfish</t>
  </si>
  <si>
    <t>Occurrence</t>
  </si>
  <si>
    <t xml:space="preserve">Rubenstein et al. (2019) Trophic implications of a phenological paradigm shift: Bald eagles and salmon in a changing climate. Journal of Applied Ecology </t>
  </si>
  <si>
    <t>Oncorhynchus keta</t>
  </si>
  <si>
    <t>Oncorhynchus kisutch</t>
  </si>
  <si>
    <t>Nesting duration</t>
  </si>
  <si>
    <t>Onset of nesting</t>
  </si>
  <si>
    <t>Monsinjon et al. (2019) Effects of temperature and demography on the
phenology of loggerhead sea turtles in Brazil. Marine Ecology Progress Series 623: 209-219</t>
  </si>
  <si>
    <t>Brazil</t>
  </si>
  <si>
    <t>Loggerhead turtle</t>
  </si>
  <si>
    <t>Carretta carretta</t>
  </si>
  <si>
    <t>Marine reptiles</t>
  </si>
  <si>
    <t>Escajeda et al. (2018) Identifying shifts in maternity den phenology and habitat characteristics of polar bears (Ursus maritimus) in Baffin Bay and Kane Basin. Polar Biology 41: 87-100</t>
  </si>
  <si>
    <t>Arrival</t>
  </si>
  <si>
    <t>Baffin Bay, Canada (Kane Basin)</t>
  </si>
  <si>
    <t>Baffin Bay, Canada (Baffin Bay)</t>
  </si>
  <si>
    <t>Cherkiss et al. (2020) Shifts in hatching date of American crocodile (Crocodylus acutus) in southern Florida. Journal of Thermal Biology 88: 102521</t>
  </si>
  <si>
    <t>American crocodile</t>
  </si>
  <si>
    <t>Crocodylus acutus</t>
  </si>
  <si>
    <t>Turkey Point, Florida</t>
  </si>
  <si>
    <t>Everglades National Park, Florida</t>
  </si>
  <si>
    <t>Hatch date</t>
  </si>
  <si>
    <t>0.3781 days per year earlier (from text and Fig. 3 slope)</t>
  </si>
  <si>
    <t>0.7814 days per year earlier (from text and Fig. 3 slope)</t>
  </si>
  <si>
    <t>Kanamori et al. (2019) Climate change shifts the spawning ground northward and extends the spawning period of chub mackerel in the western North Pacific. Marine Ecology Progress Series 624: 155-166</t>
  </si>
  <si>
    <t>Kuroshio Current, Japan</t>
  </si>
  <si>
    <t>Chub mackerel</t>
  </si>
  <si>
    <t>Burthe et al. (2012) Phenological trends and trophic mismatch across multiple levels of a North Sea pelagic food web. Marine Ecology Progress Series 454: 119-133</t>
  </si>
  <si>
    <t>Total phytoplankton</t>
  </si>
  <si>
    <t>Calanus I-IV</t>
  </si>
  <si>
    <t>Copepod nauplii</t>
  </si>
  <si>
    <t>Sandeel</t>
  </si>
  <si>
    <t>Guillemot</t>
  </si>
  <si>
    <t>Shag</t>
  </si>
  <si>
    <t>Kitiwake</t>
  </si>
  <si>
    <t>Puffin</t>
  </si>
  <si>
    <t>First egg laying</t>
  </si>
  <si>
    <t>Mean egg laying</t>
  </si>
  <si>
    <t>Digitised rom Fig. 3</t>
  </si>
  <si>
    <t>Digitised rom Fig. 3. Two time periods in Fig. 3 (21.57 and -18.99) so net change is a delay</t>
  </si>
  <si>
    <t>Digitised rom Fig. 3. Median not mean</t>
  </si>
  <si>
    <t>Digitised rom Fig. 3. "Duplicate" of PCI</t>
  </si>
  <si>
    <t>Phytoplankton Colour Index</t>
  </si>
  <si>
    <t>Digitised rom Fig. 3. Used this rather than Total Phytoplankton because better idea of phytoplankton biomass</t>
  </si>
  <si>
    <t>Fitchett et al. (2019) Progressive delays in the timing of sardine migration in the southwest Indian Ocean. South African Journal of Science 115: 1-6</t>
  </si>
  <si>
    <t>South Africa</t>
  </si>
  <si>
    <t>Sardines</t>
  </si>
  <si>
    <t>South African sardine</t>
  </si>
  <si>
    <t>Espinasse et al. (2018) Interannual phenological variability in two North-
East Atlantic populations of Calanus finmarchicus. Marine Biology Research 14(7), 752-767</t>
  </si>
  <si>
    <t>Svalbard, Norway</t>
  </si>
  <si>
    <t>Iceland</t>
  </si>
  <si>
    <t>Guinder et al. (2010) Long-term changes in phytoplankton phenology and community structure in the Bahı´a Blanca Estuary, Argentina. Mar Biol (2010) 157:2703–2716</t>
  </si>
  <si>
    <t>Reptiles</t>
  </si>
  <si>
    <t>Jellyfish</t>
  </si>
  <si>
    <t>Mollusc</t>
  </si>
  <si>
    <t>McGinty et al. (2011) Variation among northeast Atlantic regions in the responses of zooplankton to climate change: Not all areas follow the same path. Journal of Experimental Marine Biology and Ecology 400: 120–131</t>
  </si>
  <si>
    <t>Dufour et al. (2010) Climate impacts on albacore and bluefin tunas migrations phenology and spatial distribution. Progress in Oceanography 86 (2010) 283–290</t>
  </si>
  <si>
    <t>Henderson et al. (2017) Effects of spring onset and summer duration on fish species distribution and biomass along the Northeast United States continental shelf. Rev Fish Biol Fisheries (2017) 27:411–424</t>
  </si>
  <si>
    <t>Patel et al. (2016) Climate Impacts on Sea Turtle Breeding Phenology in Greece and Associated Foraging Habitats in the Wider Mediterranean Region. PLoS One: e0157170</t>
  </si>
  <si>
    <t>FirstYear</t>
  </si>
  <si>
    <t>LastYear</t>
  </si>
  <si>
    <t>Climate variability not change. They detrended their indices!</t>
  </si>
  <si>
    <t>Fig. 7a. Slope for Spring Chl-a is -1.43 day/yr</t>
  </si>
  <si>
    <t>Wasmund et al. (2019) Extension of the growing season of phytoplankton in the western Baltic Sea in response to climate change. Marine Ecology Progress Series 622: 1-16</t>
  </si>
  <si>
    <t>Scharfe &amp; Wiltshire (2019) Modeling of intra-annual abundance distributions: Constancy and variation in the phenology of marine phytoplankton species over five decades at Helgoland Roads (North Sea). Ecological Modelling 404: 46-60</t>
  </si>
  <si>
    <t>Chaetoceros spp.</t>
  </si>
  <si>
    <t>Ceratulina pelagica</t>
  </si>
  <si>
    <t>Guindardia flaccida</t>
  </si>
  <si>
    <t>Pseudo-nitzschia spp.</t>
  </si>
  <si>
    <t>Leptocylindricus minimus</t>
  </si>
  <si>
    <t>Detonula pumila</t>
  </si>
  <si>
    <t>Prorocentrum micans</t>
  </si>
  <si>
    <t>Rhizosolenia setigera</t>
  </si>
  <si>
    <t>Guindardia delicatula</t>
  </si>
  <si>
    <t>Digitised from Fig. 5. All species and peaks used. Spring moving forward and Autum moving back. Fig. 8a. Shows PC1 getting earlier in Spring. Fig. 8b. shows earlier then later in Summer</t>
  </si>
  <si>
    <t>Hjerne et al. (2019) Climate Driven Changes in Timing, Composition and Magnitude of the Baltic Sea Phytoplankton Spring Bloom. Frontiers in Marine Science 6: 15 pp.</t>
  </si>
  <si>
    <t>Data from Fig. 3. B1 (slope = -0.468, p = 0.001)</t>
  </si>
  <si>
    <t>Data from Fig. 3. B1 (slope = -0.436, p = 0.002)</t>
  </si>
  <si>
    <t>Data from Fig. 3. BY31 (slope = -0.578, p = 0.006)</t>
  </si>
  <si>
    <t>Cimino et al. (2019) The interaction between island geomorphology and environmental parameters drives Adélie penguin breeding phenology on neighboring islands near Palmer Station, Antarctica. Ecology and Evolutiuon 9: 9334-9349</t>
  </si>
  <si>
    <t>Antarctica</t>
  </si>
  <si>
    <t>Related to spring ice retreat more than SST (but those are correlated ). Previous studies related phenology to air T, but sea ice thought to be more causative. Not used because Spring ice declined and then increased, so no consistent climate change signal</t>
  </si>
  <si>
    <t>Aethia cristatella</t>
  </si>
  <si>
    <t>Aethia psittacula</t>
  </si>
  <si>
    <t>Aethia pusilla</t>
  </si>
  <si>
    <t>Aethia pygmaea</t>
  </si>
  <si>
    <t>Alca torda</t>
  </si>
  <si>
    <t>Alle alle</t>
  </si>
  <si>
    <t>Cepphus columba</t>
  </si>
  <si>
    <t>Cerorhinca monocerata</t>
  </si>
  <si>
    <t>Fratercula Arctica</t>
  </si>
  <si>
    <t>Fratercula cirrhata</t>
  </si>
  <si>
    <t>Fratercula corniculata</t>
  </si>
  <si>
    <t>Fulmarus glacialis</t>
  </si>
  <si>
    <t>Larus glaucescens</t>
  </si>
  <si>
    <t>Larus hyperboreus</t>
  </si>
  <si>
    <t>Oceanodroma furcata</t>
  </si>
  <si>
    <t>Oceanodroma leucorhoa</t>
  </si>
  <si>
    <t>Phalacrocorax aristotelis</t>
  </si>
  <si>
    <t>Phalacrocorax pelagicus</t>
  </si>
  <si>
    <t>Phalacrocorax urile</t>
  </si>
  <si>
    <t>Rissa brevirostris</t>
  </si>
  <si>
    <t>Rissa tridactyla</t>
  </si>
  <si>
    <t>Somateria  mollissima</t>
  </si>
  <si>
    <t>Somateria fischeri</t>
  </si>
  <si>
    <t>Stercorarius longicaudus</t>
  </si>
  <si>
    <t>Sterna paradisaea</t>
  </si>
  <si>
    <t>Synthliboramphus antiquus</t>
  </si>
  <si>
    <t>Uria aalge</t>
  </si>
  <si>
    <t>Uria lomvia</t>
  </si>
  <si>
    <t>Xema sabini</t>
  </si>
  <si>
    <t>Crested auklet</t>
  </si>
  <si>
    <t>Parakeet auklet</t>
  </si>
  <si>
    <t>Least auklet</t>
  </si>
  <si>
    <t>Whiskered auklet</t>
  </si>
  <si>
    <t>Little auk</t>
  </si>
  <si>
    <t>Pigeon Guillemot</t>
  </si>
  <si>
    <t>Rhinoceros auklet</t>
  </si>
  <si>
    <t>Atlantic puffin</t>
  </si>
  <si>
    <t>Tufted puffin</t>
  </si>
  <si>
    <t>Horned puffin</t>
  </si>
  <si>
    <t>Northern fulmar</t>
  </si>
  <si>
    <t>Glaucous-winged gull</t>
  </si>
  <si>
    <t>Glaucous gull</t>
  </si>
  <si>
    <t>Fork-tailed Storm-Petrel</t>
  </si>
  <si>
    <t>Leach's storm petrel</t>
  </si>
  <si>
    <t>European shag</t>
  </si>
  <si>
    <t>Pelagic Cormorant</t>
  </si>
  <si>
    <t>Red-faced cormorant</t>
  </si>
  <si>
    <t>Red-legged kittiwake</t>
  </si>
  <si>
    <t>Black-legged kittiwake</t>
  </si>
  <si>
    <t>Common eider</t>
  </si>
  <si>
    <t>Spectacled Eider</t>
  </si>
  <si>
    <t>Long-tailed skua</t>
  </si>
  <si>
    <t>Arctic tern</t>
  </si>
  <si>
    <t>Ancient murrelets</t>
  </si>
  <si>
    <t>Common murre</t>
  </si>
  <si>
    <t>Thick-billed murre</t>
  </si>
  <si>
    <t>Sabine's Gull</t>
  </si>
  <si>
    <t>Descamps et al. (2019) Diverging phenological responses of Arctic seabirds to an earlier spring. Global Change Biology 25:4081–4091</t>
  </si>
  <si>
    <t>InitialDOY</t>
  </si>
  <si>
    <t>Season</t>
  </si>
  <si>
    <t>Data from Fig. 1b Phenology Trend calculated from their raw data deposited in Dryad. For each species, calculated a linear regression of HatchDate vs YR, and used the slope of that (= Fig. 1b I think). Lat and Lon of colony with most number of years of data slected for each species. InitialDOY (and Season) estimated from HatchDate linear model for each species</t>
  </si>
  <si>
    <t>#</t>
  </si>
  <si>
    <t>(NH)</t>
  </si>
  <si>
    <t>and</t>
  </si>
  <si>
    <t>(SH)</t>
  </si>
  <si>
    <t>=</t>
  </si>
  <si>
    <t>Day</t>
  </si>
  <si>
    <t>61-152</t>
  </si>
  <si>
    <t>Summer</t>
  </si>
  <si>
    <t>Winter</t>
  </si>
  <si>
    <t>153-244</t>
  </si>
  <si>
    <t>245-335</t>
  </si>
  <si>
    <t>336-60</t>
  </si>
  <si>
    <t>Data from Fig. 3. BY31 (slope = -0.316, p = 0.124)</t>
  </si>
  <si>
    <t>From Abstract, clutch initiation moved forward by 7.8 days over 42 years.DOY estimated from Fig.1.</t>
  </si>
  <si>
    <t>See Fig. 6,but not really supportive or not of CC. And see Rossi et al. (2019) p. 258 "In particular, Puce et al. (2009) is the only study on hydroid communities in the Northern Mediterranean Sea demonstrating phenological changes linked to global warming across a 25-year period (from 1976 to 2004)."</t>
  </si>
  <si>
    <t>Timing</t>
  </si>
  <si>
    <t>Emond et al. (2020) Long-term trends and drivers of larval phenology and abundance of dominant brachyuran crabs in the Gulf of St. Lawrence (Canada). Fisheries Oceanography. 29:185–200.</t>
  </si>
  <si>
    <t>0.22 days earlier in text. See Fig. 3</t>
  </si>
  <si>
    <t>3.11 days per year longer in text. See Fig. 3</t>
  </si>
  <si>
    <t xml:space="preserve">Fig. 8. Slope for duration is 4.48 days/yr. Increasing duration is consistent with climate change. The substantial delay in Autumn bloom was not included even though it is consistent with climate change because it would be double dipping having Spring, Autum and Duration - should only include 2 of those 3. </t>
  </si>
  <si>
    <t>Fig. 7b. Slope for Autumn Chl-a is +3.1 day/yr given in text</t>
  </si>
  <si>
    <t>No effect sizes given. Data from Table 2. Data from Central tendency used. Getting earlier (/) was consistent and later (\) was not consistent. C and backward C were NC (no change overall) (See Fig.3 for definitions). Paper says there has been warming. Dates estimated from Fig. S1 and peak month taken as middle of month (day 15) for peak month for the 1985-1988 period.</t>
  </si>
  <si>
    <t>N. integer</t>
  </si>
  <si>
    <t>Mysid</t>
  </si>
  <si>
    <t>Normandy region. DOY estimated from Fig. 2a. Use timing values from text = "up to 40 days later for Normandy and Brittany (will use 35 days), and 20 days for Aquitaine</t>
  </si>
  <si>
    <t>Brittany region. DOY estimated from Fig. 2a. Use timing from text = "up to 40 days later for Normandy and Brittany (will use 35 days), and 20 days for Aquitaine</t>
  </si>
  <si>
    <t>Aquitaine region. DOY estimated from Fig. 2a. Used timing from text = "up to 40 days later for Normandy and Brittany (will use 35 days), and 20 days for Aquitaine</t>
  </si>
  <si>
    <t>BB (Baffin Bay) region. First date on land used (FDOL). Day 237 (1990s) to Day 219 (2000s). Taking arrival rather than duration because arrival is a more common phenology metric. Warming and loss of sea ice discussed in Introduction.</t>
  </si>
  <si>
    <t>KB (Kane Basin) region. First date on land used (FDOL). See p. 93 highlighted. Day 261 (1990s) to Day 235 (2000s). But den entry delayed and thus duration decreased. Warming and loss of sea ice discussed in Introduction.</t>
  </si>
  <si>
    <t>Hibernation</t>
  </si>
  <si>
    <t>BB from 194.1 days (1990s) to 167.1 days (2000s) - not enough data for KB so not included. Entry to den delayed and thus duration shortened. Shifts in sea ice phenology. Less sea ice and more time spent feeding over summer, so later entry to den and shorter den duration
and snow availability may explain the observed changes"</t>
  </si>
  <si>
    <t>See Fig. 3 Period. Duration estimated from 0.02*Year - 38 (see text on 161). Duration might have extended because Autumn getting later and spawning distribution moving north</t>
  </si>
  <si>
    <t>See Fig. 3 Start. Timing estimated from equation on p. 161 (slope = 0.004). Note that this is a fraction of a month per year, so *30.25 for days per year, and *10 for per decade. Initial DOY estimated from Fig. 3. Note that species moved north over the period may explain no shift</t>
  </si>
  <si>
    <t>See Fig. 3 End. Timing estimated from equation on p. 161 (slope = 0.024). Note that this is a fraction of a month per year, so *30.25 for days per year, and *10 for per decade. Initial DOY estimated from Fig. 3. Note that species moved north over the period may explain no shift</t>
  </si>
  <si>
    <t>Shift (days/decade) -ve = earlier; +ve = later; for duration, still standardise/decade</t>
  </si>
  <si>
    <t>Type</t>
  </si>
  <si>
    <t>Migration peak</t>
  </si>
  <si>
    <t>In Table 1, 3 different measures of arrival and departure. I averaged the 3 for each for Eastern Chukchi belugas. Authors suggest delayed migration in Autumn because of later occurrence of freeze up of sea ice for winter.</t>
  </si>
  <si>
    <t>Checked</t>
  </si>
  <si>
    <t>Yes</t>
  </si>
  <si>
    <t>Hypothesised (see Abstract) to migrate earlier and thus would be seen further North. Data from Fig. 5A and derived consistency from there, but no values. The Season is Spring because survey was March/April.</t>
  </si>
  <si>
    <t>Biomass latitude</t>
  </si>
  <si>
    <t>Rate of change (weeks per month) in Peak Roe Month (PRM) from Table 1. Averaged for the two weightings (1.03 + 0.81)/2*7. Minus because earlier. Also see Fig. 3.</t>
  </si>
  <si>
    <t>Rate of change (weeks per month) in Peak Roe Month (PRM) from Table 1. Averaged for the two weightings (2.44 + 1.76)/2*7. Minus because earlier. Also see Fig. 3.</t>
  </si>
  <si>
    <t>Data from Fig. 4. Can't use all 3 measures (pseudoreplicated, so took 2 out of 3 red consistent with CC; 2 out of 3 blue not consistent with CC). No significance recorded. Table 2 gives the timing, so have used Peak Abundance DOY (last column).</t>
  </si>
  <si>
    <t>Data from Fig. 4. Can't use all 3 measures (pseudoreplicated, so took 2 out of 3 red consistent with CC; 2 out of 3 blue not consistent with CC). No significance recorded. Table 2 gives the timing, so have used Peak Abundance DOY (last column) - all 20-54 DOY.</t>
  </si>
  <si>
    <t>First observed recruits (Fig. 2) and from text is 21 days earlier in 2000s compared with 1970s</t>
  </si>
  <si>
    <t>Last observed recruits (Fig. 2) and from text is 19.3 days earlier in 2000s compared with 1970s</t>
  </si>
  <si>
    <t>Recruitment</t>
  </si>
  <si>
    <t>Recruitment duration expanded because of warming. Estimated for total duration of recruitment from Fig. 2 (1970s from 23/7 to 18/9 = 57 days; and 2000s from 1/7 to 10/10 = 101 days).Divide this difference by 36 years / 10.</t>
  </si>
  <si>
    <t>Departure</t>
  </si>
  <si>
    <t xml:space="preserve">From p. 9, mean arrival date onshore (from Day 256 (13 Sep) in the past to Day 241 now). </t>
  </si>
  <si>
    <t xml:space="preserve">From p. 9, mean departure date from onshore (from Day 275 (2 Oct) in the past to Day 294 now). </t>
  </si>
  <si>
    <t>Explanation</t>
  </si>
  <si>
    <t>Predictors</t>
  </si>
  <si>
    <t>Sea ice</t>
  </si>
  <si>
    <t>Earlier sea ice break up leading to go onshore earlier. Later sea ice formation so leave later, and longer duration on land</t>
  </si>
  <si>
    <t>From mean arrival and deparature dates (From 275-256=19 days to 294-241=53 days)</t>
  </si>
  <si>
    <t>PhenologyVsPredictorTested</t>
  </si>
  <si>
    <t>TimingDuration</t>
  </si>
  <si>
    <t>SST</t>
  </si>
  <si>
    <t>Warming leading to earlier peaks</t>
  </si>
  <si>
    <t>SST, Wind</t>
  </si>
  <si>
    <t>Data from Table 1 and Sections 6 and 7 in Supplement</t>
  </si>
  <si>
    <t>SST, NAO</t>
  </si>
  <si>
    <t>Warming leading to earlier peak</t>
  </si>
  <si>
    <t>No</t>
  </si>
  <si>
    <t>See p. 773 and Fig. 3a. Initial DOY = Week 48.1 (About Day 332). NOTE: Mismatch between salmon and eagles tested</t>
  </si>
  <si>
    <t>See p. 773 and Fig. 3a (Unknown Season, but assumed to be same as Chum). NOTE: Mismatch between salmon and eagles tested</t>
  </si>
  <si>
    <t>SST, flooding</t>
  </si>
  <si>
    <t>Climate change suggested to influence earlier timing but not tested</t>
  </si>
  <si>
    <t>Snowmelt</t>
  </si>
  <si>
    <t>"Earlier phenology was associated with earlier snowmelt and experienced mothers." from Abstract</t>
  </si>
  <si>
    <t>Warming leads to earlier migration to Bay of Biscay</t>
  </si>
  <si>
    <t>SST, sea ice</t>
  </si>
  <si>
    <t>Warming and sea ice retreat lead to earlier blooms and earlier occurrence of crabs</t>
  </si>
  <si>
    <t>Nesting season onset occurred slightly earlier with warmer SST at foraging site</t>
  </si>
  <si>
    <t>Number of turtles, SST</t>
  </si>
  <si>
    <t>Longer duration mainly because of larger population and only weakly SST</t>
  </si>
  <si>
    <t xml:space="preserve">Value given in text and Abstract. </t>
  </si>
  <si>
    <t>Although this phenological shift reveals a poor association with sea surface temperatures (SST), it coincides with a poleward shift in the position of the 21 °C mean annual SST isotherm – the threshold temperature for sardine populations. The timing of sardine arrivals near Durban corresponds closely with the number of mid-latitude cyclones passing over the Durban coastline during the months of April and May.</t>
  </si>
  <si>
    <t>Isotherm shift, SST, Cyclones</t>
  </si>
  <si>
    <t>SST, salinity, nutrients</t>
  </si>
  <si>
    <t>Sunshine, SST, salinity, nutrients</t>
  </si>
  <si>
    <t>Mainly sunshine</t>
  </si>
  <si>
    <t>Mainly SST</t>
  </si>
  <si>
    <t>SST, sunshine, nutrients</t>
  </si>
  <si>
    <t>SST, sunshine, wind, MLD</t>
  </si>
  <si>
    <t>Earlier blooms with warmer SST, more sunshine and less wind</t>
  </si>
  <si>
    <t>Warming leads to earlier spring onset. Response differs by Ocean basin (different warming) and whether surface feeders (more affected) and deeper feeders (less affected)</t>
  </si>
  <si>
    <t>Models</t>
  </si>
  <si>
    <t>GLMM</t>
  </si>
  <si>
    <t>LM</t>
  </si>
  <si>
    <t>GAM</t>
  </si>
  <si>
    <t>GLM</t>
  </si>
  <si>
    <t>Mann-Kendall</t>
  </si>
  <si>
    <t>Pearson correlations</t>
  </si>
  <si>
    <t>PCA</t>
  </si>
  <si>
    <t>Warming led to movement north</t>
  </si>
  <si>
    <t>Later spawning in a more northerly location is the same temperature it was spawning before</t>
  </si>
  <si>
    <t>Longer duration because of longer spawning.</t>
  </si>
  <si>
    <t>Earlier hatching because warmer SST</t>
  </si>
  <si>
    <t>Mann-Whitney U-tests</t>
  </si>
  <si>
    <t>Shorter duration because shorter winter</t>
  </si>
  <si>
    <t>Earlier arrival on land because of earlier sea ice break up. But take longer once on land to go to den.</t>
  </si>
  <si>
    <t>Speculates that declining feeding conditions at sea could cause later migration back to rivers</t>
  </si>
  <si>
    <t>None</t>
  </si>
  <si>
    <t>Bayesian modelling</t>
  </si>
  <si>
    <t>Warming in the region most likely responsible for earlier shifts</t>
  </si>
  <si>
    <t>Delayed migration because of later sea ice formation</t>
  </si>
  <si>
    <t xml:space="preserve">In Table 1, 3 different measures of arrival and departure. I averaged the 3 for Eastern Beaufort population. Authors suggest delayed migration in Autumn because of later occurrence of sea ice. </t>
  </si>
  <si>
    <t>Defining this one as NC because little change and pseudoreplicated with Chuckchi Sea. For this area, not related to sea ice</t>
  </si>
  <si>
    <t>Poorly analysed. But warming leads to movement further north because of earlier migration</t>
  </si>
  <si>
    <t>LM (Type II)</t>
  </si>
  <si>
    <t>Warmer conditions lead to earlier oogenesis</t>
  </si>
  <si>
    <t>SST, salinity</t>
  </si>
  <si>
    <t>Some earlier, some later. For those earlier, could be because of wamring. For those that are later, authors hypothesis that warmer conditions at sea could be because of warmer conditions at sea so they migrate to estuaries later.</t>
  </si>
  <si>
    <t>Earlier because of warming</t>
  </si>
  <si>
    <t>Later because longer reproductive season</t>
  </si>
  <si>
    <t>Longer duration because of longer reproductive season.</t>
  </si>
  <si>
    <t>Hauser et al. (2017) Decadal shifts in autumn migration timing by Pacific Arctic beluga whales are related to delayed annual sea ice formation. Global Change Biology 23: 2206-2217</t>
  </si>
  <si>
    <t>Cyclothone signata Phase II</t>
  </si>
  <si>
    <t>Argyropelecus sladeni Phase II</t>
  </si>
  <si>
    <t>Paralichthys californicus Phase II</t>
  </si>
  <si>
    <t>Citharichthys sordidus Phase II</t>
  </si>
  <si>
    <t>Melamphaes lugubris Phase II</t>
  </si>
  <si>
    <t>Tarletonbeania crenularis Phase II</t>
  </si>
  <si>
    <t>Symbolophorus californiensis Phase II</t>
  </si>
  <si>
    <t>Diogenichthys attanticus Phase II</t>
  </si>
  <si>
    <t>SST, climate indices</t>
  </si>
  <si>
    <t>The species whose phenology became earlier were characterized by an offshore, pelagic distribution, whereas species with delayed phenology were more likely to reside in coastal, demersal habitats. Phenological changes were more closely associated with a trend toward earlier warming of surface waters rather than decadal climate cycles, such as the Pacific Decadal Oscillation and North Pacific Gyre Oscillation</t>
  </si>
  <si>
    <t>Our analysis revealed that the trend in arrival was strongly related to earlier ice</t>
  </si>
  <si>
    <t>From p. 6 Results (highlighted)</t>
  </si>
  <si>
    <t>Atwood et al. (2016) Rapid Environmental Change Drives Increased Land Use by an Arctic Marine Predator. PLoS ONE 11(6): e0155932</t>
  </si>
  <si>
    <t>Volkov SV &amp; Pozdnyakov VI (2019) Effects of enviromental conditions on spring arrival, the timing of nesting, and the reproductive effort of Ross's Gull, Rhodostethia rosea, in the delta of Lena River, Yakutia</t>
  </si>
  <si>
    <t>Laptev Sea</t>
  </si>
  <si>
    <t>Ross's Gull</t>
  </si>
  <si>
    <t>Rhodostethia rosea</t>
  </si>
  <si>
    <t>Air temperature</t>
  </si>
  <si>
    <t>Earlier arrival with warmer temperatures</t>
  </si>
  <si>
    <t>In Russian, so all information from English Abstract</t>
  </si>
  <si>
    <t>Correlation</t>
  </si>
  <si>
    <t>Baltic herring</t>
  </si>
  <si>
    <t>Clupea harengus membras</t>
  </si>
  <si>
    <t>Spawning stock biomass, Chl-a, Salinity, Temperature</t>
  </si>
  <si>
    <t>Gulf of Finland. Estimated from All Areas Combined in Fig. 5 using the regression equation. Did not use individual areas because all same species and same Longhurst Province</t>
  </si>
  <si>
    <t>Biomass Peak</t>
  </si>
  <si>
    <t>Bayesian</t>
  </si>
  <si>
    <t>Pseudoreplication(N=don't include; Y=include)</t>
  </si>
  <si>
    <t>Weigel et al. (2021) Exposing changing phenology of fish larvae by modeling climate effects on temporal early life-stage shifts. MEPS 666: 135-148</t>
  </si>
  <si>
    <t>McGeady et al. (2021) Shift in the larval phenology of a marine ectotherm due to ocean
warming with consequences for larval transport. Limnology and Oceanography 66: 543-557</t>
  </si>
  <si>
    <t>Nephrops norvegicus</t>
  </si>
  <si>
    <t>Norway lobster</t>
  </si>
  <si>
    <t>Warmer temperatures and earlier spawning/faster development</t>
  </si>
  <si>
    <t>Bottom temperature</t>
  </si>
  <si>
    <t>Data from observations of Stage 1 larvae that were summarised into 2 periods (19.1 days earlier). 2 periods = 1982-1995 and 2000-2010. Because the mean was used for the timing, use mean date for each period for the duration. So mean Period 1 = 1989 and Period 2 = 2005</t>
  </si>
  <si>
    <t>Lombardo et al. (2020) Evidence for temperature-dependent shifts in spawning times
of anadromous alewife (Alosa pseudoharengus) and blueback
herring (Alosa aestivalis). Can. J. Fish. Aquat. Sci. 77(4): 741-751</t>
  </si>
  <si>
    <t>Alosa aestivalis</t>
  </si>
  <si>
    <t>Blueback herring</t>
  </si>
  <si>
    <t>Alosa pseudoharengus</t>
  </si>
  <si>
    <t>Spawning migrations earlier with warming</t>
  </si>
  <si>
    <t>GAMs</t>
  </si>
  <si>
    <t>SST, pH, DOY</t>
  </si>
  <si>
    <t>Values from Table 1. From from Leggett et al. (2021), which only reports a latitudinal comparison of timing. These were (i) ingress at 5% presence probability,
(ii) peak presence probability, and (iii) egress at 5%
presence probability. Where no single, clearly defined peak existed
(i.e., a plateau or bimodal curve), the mean day along the
plateau or between the peaks was designated as the peak (i.e.,
central measure) spawning day for that decade. Much better than Ellis &amp; Volkoun (2009) study that looked at same species but focus on temperature</t>
  </si>
  <si>
    <t>Used d50 index (centroid) for the Bay area (more marine than Potomac River)</t>
  </si>
  <si>
    <t>Peer AC &amp; Miller TJ (2014) Climate Change, Migration Phenology, and Fisheries Management Interact with Unanticipated Consequences. North American Journal of Fisheries Management 34:94–110</t>
  </si>
  <si>
    <t>Morone saxatilis</t>
  </si>
  <si>
    <t>SST, wind, flow</t>
  </si>
  <si>
    <t>Linear model</t>
  </si>
  <si>
    <t>Anguilla rostrata</t>
  </si>
  <si>
    <t>Brevoortia tyrannus</t>
  </si>
  <si>
    <t>Lagodon rhomboides</t>
  </si>
  <si>
    <t>Leiostomus xanthurus</t>
  </si>
  <si>
    <t>Mugil cephalus</t>
  </si>
  <si>
    <t>Myrophis punctatus</t>
  </si>
  <si>
    <t>Micropogonias undulatus</t>
  </si>
  <si>
    <t>Paralichthys albigutta</t>
  </si>
  <si>
    <t>Paralichthys dentatus</t>
  </si>
  <si>
    <t>Paralichthys lethostigma</t>
  </si>
  <si>
    <t>Thaxton WC, Taylor JC, Asch RG (2020) Climate-associated trends and variability in
ichthyoplankton phenology from the longest
continuous larval fish time series on
the east coast of the United States. MEPS 650: 269-287</t>
  </si>
  <si>
    <t>American eel</t>
  </si>
  <si>
    <t>Atlantic menhaden</t>
  </si>
  <si>
    <t>Pinfish</t>
  </si>
  <si>
    <t>Spot</t>
  </si>
  <si>
    <t>Striped mullet</t>
  </si>
  <si>
    <t>Speckled worm eel</t>
  </si>
  <si>
    <t>Atlantic croaker</t>
  </si>
  <si>
    <t>Gulf flounder</t>
  </si>
  <si>
    <t>Southern flounder</t>
  </si>
  <si>
    <t>van Walraven et al. (2017) Long-term patterns in fish phenology in the western Dutch Wadden Sea in relation to climate change. Journal of Sea Research 127 (2017) 173–181</t>
  </si>
  <si>
    <t>Values from Table S3. Used beginning of ingress - use first occurrence measures before centroids, where possible</t>
  </si>
  <si>
    <t>SST, wind, AMO, NAO, Tide</t>
  </si>
  <si>
    <t>Warmer temperature and earlier appearance</t>
  </si>
  <si>
    <t>Bucci et al. (2020) Interannual variability in the thermal habitat of Alexandrium catenella in the Bay of Fundy and the implications of climate change. Frontiers in Marine Science 7: 587990</t>
  </si>
  <si>
    <t>Alexandrium</t>
  </si>
  <si>
    <t>Alexandrium catenella</t>
  </si>
  <si>
    <t>First occurrence</t>
  </si>
  <si>
    <t>SST, freshwater inflow</t>
  </si>
  <si>
    <t>Warmer temperature earlier blooms</t>
  </si>
  <si>
    <t>Values from Fig. 3 and main text</t>
  </si>
  <si>
    <t>USA</t>
  </si>
  <si>
    <t>Langan et al. (2021) Climate alters the migration phenology of coastal marine species. MEPS 660: 1-18</t>
  </si>
  <si>
    <t>Red hake</t>
  </si>
  <si>
    <t>Tautog</t>
  </si>
  <si>
    <t>Northern searobin</t>
  </si>
  <si>
    <t>Scup</t>
  </si>
  <si>
    <t>Butterfish</t>
  </si>
  <si>
    <t>Striped searobin</t>
  </si>
  <si>
    <t>Myoxocephalus octodecemspinosus</t>
  </si>
  <si>
    <t>Zoarces americanus</t>
  </si>
  <si>
    <t>Urophycis chuss</t>
  </si>
  <si>
    <t>Tautoga onitis</t>
  </si>
  <si>
    <t>Prionotus carolinus</t>
  </si>
  <si>
    <t>Hippoglossina oblonga</t>
  </si>
  <si>
    <t>Stenotomus chrysops</t>
  </si>
  <si>
    <t>Peprilus triacanthus</t>
  </si>
  <si>
    <t>Prionotus evolans</t>
  </si>
  <si>
    <t>Doryteuthis pealeii</t>
  </si>
  <si>
    <t>Warmer water, earlier occurrence</t>
  </si>
  <si>
    <t>Values from 1st data column in Table 3. 1st vs last decade</t>
  </si>
  <si>
    <t>t-tests</t>
  </si>
  <si>
    <t>Mazaris et al. (2013)</t>
  </si>
  <si>
    <t>Not used because does not have phenology over time, just in realation to SST</t>
  </si>
  <si>
    <t>Pike (2009) Do Green Turtles Modify Their Nesting Seasons in Response to Environmental Temperatures?</t>
  </si>
  <si>
    <t>Valverde-Cantillo et al. (2019) Influence of oceanographic conditions on nesting abundance,
phenology and internesting periods of east Pacific green turtles</t>
  </si>
  <si>
    <t>Only 7 years of data</t>
  </si>
  <si>
    <t>Only 15 years of data</t>
  </si>
  <si>
    <t>Lamont &amp; Fujisaki (2014) BioOne sees sustainable scholarly publishing as an inherently collaborative enterprise connecting authors, nonprofit publishers, academic institutions, researchlibraries, and research funders in the common goal of maximizing access to critical research.</t>
  </si>
  <si>
    <t>Mazaris et al. (2009) Sea surface temperature variations in core foraging grounds drive nesting trends and phenology of loggerhead turtles in the Mediterranean Sea</t>
  </si>
  <si>
    <t>Dalleau et al. (2014) Nesting Phenology of Marine Turtles: Insights from
a Regional Comparative Analysis on Green Turtle
(Chelonia mydas)</t>
  </si>
  <si>
    <t>No evidence of warming in the region produced or discussed, so the observed no change in turtle phenology might be expected</t>
  </si>
  <si>
    <t>Sockeye salmon</t>
  </si>
  <si>
    <t>Chinook salmon</t>
  </si>
  <si>
    <t>Oncorhynchus nerka</t>
  </si>
  <si>
    <t>Oncorhynchus tshawytscha</t>
  </si>
  <si>
    <t>Kovach et al. (2015) Temporal patterns in adult salmon migration timing
across southeast Alaska. Global Change Biology 21: 1821–1833</t>
  </si>
  <si>
    <t>Not significant. Observations taken from Table 1. Warming of 1.4-2.3oC</t>
  </si>
  <si>
    <t>SST, PDO, Precipitation</t>
  </si>
  <si>
    <t>Warmer water, earlier arrival</t>
  </si>
  <si>
    <t>Significant. Observations taken from Table 1. Warming of 1.4-2.3oC</t>
  </si>
  <si>
    <t>Kennedy &amp; Crozier (2010) Evidence of changing migratory patterns of wild Atlantic
salmon Salmo salar smolts in the River Bush, Northern
Ireland, and possible associations with climate change</t>
  </si>
  <si>
    <t>Otero et al. (2014) has many more areas, and this one, and 2 yrs longer than this one</t>
  </si>
  <si>
    <t>Thibodeau et al. (2020) Long-term observations of pteropod phenology along the Western Antarctic Peninsula</t>
  </si>
  <si>
    <t>de Kock et al. (2021) Determinants of moult haulout phenology and duration
in southern elephant seals</t>
  </si>
  <si>
    <t>Marian Island, Southern Ocean</t>
  </si>
  <si>
    <t>Seals</t>
  </si>
  <si>
    <t>Elephant seals</t>
  </si>
  <si>
    <t>Mirounga leonina</t>
  </si>
  <si>
    <t>Although moult arrival dates got later, once they were adjusted for the changing demographics there was no change</t>
  </si>
  <si>
    <t>N or NC</t>
  </si>
  <si>
    <t>SST, age structure, SAM, ENSO</t>
  </si>
  <si>
    <t>No change, so temperature didn't play a role. Other papers shows Marion Island is warming rapidly</t>
  </si>
  <si>
    <t>Linear mixed model</t>
  </si>
  <si>
    <t>Crozier et al. (2011) Using Time Series Analysis to Characterize Evolutionary and
Plastic Responses to Environmental Change: A Case Study
of a Shift toward Earlier Migration Date in Sockeye Salmon. The American Naturalist 178(6): 755-773</t>
  </si>
  <si>
    <t>Oregon</t>
  </si>
  <si>
    <t>10.3 days earlier from text on page 756. Also from Fig. 1</t>
  </si>
  <si>
    <t>Temperature, flow, PDO</t>
  </si>
  <si>
    <t>Time series model</t>
  </si>
  <si>
    <t>Cobb (2020) The Impact of Climate Change on the Migration. Honours thesis
Phenology of New England’s Anadromous River
Herring and American Shad</t>
  </si>
  <si>
    <t>Gulf of Maine</t>
  </si>
  <si>
    <t>Alosa sapidissima</t>
  </si>
  <si>
    <t>Temperature, flow, population</t>
  </si>
  <si>
    <t>From text on p. 13, and from Fig. S2</t>
  </si>
  <si>
    <t>From text on p. 13, and from Fig. S1</t>
  </si>
  <si>
    <t>River herring</t>
  </si>
  <si>
    <t>Alosa pseudoharengus and Alosa aestivalis</t>
  </si>
  <si>
    <t xml:space="preserve">Agha et al. (2021) Temporal patterns and ecosystem correlates of chum salmon (Oncorhynchus keta) migration phenology in the Pacific Northwest. Can. J. Fish. Aquat. Sci. </t>
  </si>
  <si>
    <t>Other</t>
  </si>
  <si>
    <t>Benthic crustacea</t>
  </si>
  <si>
    <t>Kris</t>
  </si>
  <si>
    <t>‌</t>
  </si>
  <si>
    <t>Whelan, S., Hatch, S. A., Gaston, A. J., Gilchrist, H. G., &amp; Elliott, K. H. (2022). Opposite, but insufficient, phenological responses to climate in two circumpolar seabirds: Relative roles of phenotypic plasticity and selection. Functional Ecology, 36(7), 1782–1795. https://doi.org/10.1111/1365-2435.14064</t>
  </si>
  <si>
    <t>Thick-billed murre</t>
  </si>
  <si>
    <t>Middleton Island, Alaska</t>
  </si>
  <si>
    <t>Coats Island, Nunavut</t>
  </si>
  <si>
    <t>Mean laying date</t>
  </si>
  <si>
    <t>SST and sea-ice concentration</t>
  </si>
  <si>
    <t>−0.652</t>
  </si>
  <si>
    <t>Figure 3e. Obtained the points of the ends (x,y) of the regression line. Calculate the d/decade from there.</t>
  </si>
  <si>
    <t>Figure 3f. Obtained the points of the ends (x,y) of the regression line. Calculate the d/decade from there.</t>
  </si>
  <si>
    <t>−2.277</t>
  </si>
  <si>
    <t>Will adjust laying time with climate change</t>
  </si>
  <si>
    <t>Link</t>
  </si>
  <si>
    <t>https://besjournals.onlinelibrary.wiley.com/doi/full/10.1111/1365-2435.14064</t>
  </si>
  <si>
    <t>Gutowsky, S. E., Baak, J. E., Gaston, A. J., &amp; Mallory, M. L. (2022). Sea ice extent and phenology influence breeding of high-Arctic seabirds: 4 decades of monitoring in Nunavut, Canada. Oecologia, 198(2), 393–406. https://doi.org/10.1007/s00442-022-05117-8</t>
  </si>
  <si>
    <t>https://link.springer.com/article/10.1007/s00442-022-05117-8</t>
  </si>
  <si>
    <t>Glaucous gull</t>
  </si>
  <si>
    <t>Larus hyperboreus</t>
  </si>
  <si>
    <t>Prince Leopold Island, Nunavut</t>
  </si>
  <si>
    <t>Median laying date</t>
  </si>
  <si>
    <t>Sea ice extent</t>
  </si>
  <si>
    <t>Fig.3 digitised</t>
  </si>
  <si>
    <t xml:space="preserve">Earlier </t>
  </si>
  <si>
    <t>https://esajournals.onlinelibrary.wiley.com/doi/10.1002/ecs2.4417?utm_source=chatgpt.com</t>
  </si>
  <si>
    <t>Keogan, K., Daunt, F., Wanless, S., Phillips, R. A., Walling, C. A., Agnew, P., Ainley, D. G., Anker-Nilssen, T., Ballard, G., Barrett, R. T., Barton, K. J., Bech, C., Becker, P., Berglund, P.-A., Bollache, L., Bond, A. L., Bouwhuis, S., Bradley, R. W., Burr, Z. M., &amp; Camphuysen, K. (2018). Global phenological insensitivity to shifting ocean temperatures among seabirds. Nature Climate Change, 8(4), 313–318. https://doi.org/10.1038/s41558-018-0115-z</t>
  </si>
  <si>
    <t>https://www.nature.com/articles/s41558-018-0115-z#Sec1</t>
  </si>
  <si>
    <t>South</t>
  </si>
  <si>
    <t>North</t>
  </si>
  <si>
    <t>Oceanodroma furcata</t>
  </si>
  <si>
    <t>Larus glaucescens</t>
  </si>
  <si>
    <t>Fratercula corniculata</t>
  </si>
  <si>
    <t>Oceanodroma leucorhoa</t>
  </si>
  <si>
    <t>Sterna dougallii</t>
  </si>
  <si>
    <t>Hydrobates pelagicus</t>
  </si>
  <si>
    <t>Thalassarche melanophrys</t>
  </si>
  <si>
    <t>Pygoscelis papua</t>
  </si>
  <si>
    <t>Thalassarche chrysostoma</t>
  </si>
  <si>
    <t>Eudyptes chrysolophus</t>
  </si>
  <si>
    <t>Macronectes halli</t>
  </si>
  <si>
    <t>Diomedea exulans</t>
  </si>
  <si>
    <t>Aethia cristatella</t>
  </si>
  <si>
    <t>Aethia pusilla</t>
  </si>
  <si>
    <t>Aethia psittacula</t>
  </si>
  <si>
    <t>Aethia pygmaea</t>
  </si>
  <si>
    <t>Pygoscelis antarcticus</t>
  </si>
  <si>
    <t>Cepphus grylle</t>
  </si>
  <si>
    <t>Larus audouinii</t>
  </si>
  <si>
    <t>Thalassarche chlororhynchos</t>
  </si>
  <si>
    <t>Sula nebouxii</t>
  </si>
  <si>
    <t>Stercorarius longicaudus</t>
  </si>
  <si>
    <t>Larus argentatus</t>
  </si>
  <si>
    <t>Larus fuscus</t>
  </si>
  <si>
    <t>Xema sabini</t>
  </si>
  <si>
    <t>Eudyptes chrysocome</t>
  </si>
  <si>
    <t>Calonectris diomedea</t>
  </si>
  <si>
    <t>Anous stolidus</t>
  </si>
  <si>
    <t>Anous tenuirostris</t>
  </si>
  <si>
    <t>Morus serrator</t>
  </si>
  <si>
    <t>Phalacrocorax atriceps</t>
  </si>
  <si>
    <t>Phalacrocorax penicillatus</t>
  </si>
  <si>
    <t>Cepphus columba</t>
  </si>
  <si>
    <t>Phalacrocorax urile</t>
  </si>
  <si>
    <t>Larus crassirostris</t>
  </si>
  <si>
    <t>Phalacrocorax capillatus</t>
  </si>
  <si>
    <t>Adélie Penguin</t>
  </si>
  <si>
    <t>Ancient Murrelet</t>
  </si>
  <si>
    <t>Antarctic Petrel</t>
  </si>
  <si>
    <t>Antarctic Skua</t>
  </si>
  <si>
    <t>Arctic Tern</t>
  </si>
  <si>
    <t>Atlantic Puffin</t>
  </si>
  <si>
    <t>Atlantic Yellow-nosed Albatross</t>
  </si>
  <si>
    <t>Audouin’s Gull</t>
  </si>
  <si>
    <t>Australasian Gannet</t>
  </si>
  <si>
    <t>Black Guillemot</t>
  </si>
  <si>
    <t>Black-browed Albatross</t>
  </si>
  <si>
    <t>Black-tailed Gull</t>
  </si>
  <si>
    <t>Blue-footed Booby</t>
  </si>
  <si>
    <t>Brandt’s Cormorant</t>
  </si>
  <si>
    <t>Brown Noddy</t>
  </si>
  <si>
    <t>Cape Petrel</t>
  </si>
  <si>
    <t>Cassin’s Auklet</t>
  </si>
  <si>
    <t>Chinstrap Penguin</t>
  </si>
  <si>
    <t>Common Tern</t>
  </si>
  <si>
    <t>Cory’s Shearwater</t>
  </si>
  <si>
    <t>Crested Auklet</t>
  </si>
  <si>
    <t>European Herring Gull</t>
  </si>
  <si>
    <t>European Storm Petrel</t>
  </si>
  <si>
    <t>Fork-tailed Storm-Petrel</t>
  </si>
  <si>
    <t>Gentoo Penguin</t>
  </si>
  <si>
    <t>Glaucous Gull</t>
  </si>
  <si>
    <t>Glaucous-winged Gull</t>
  </si>
  <si>
    <t>Grey-headed Albatross</t>
  </si>
  <si>
    <t>Horned Puffin</t>
  </si>
  <si>
    <t>Imperial Shag</t>
  </si>
  <si>
    <t>Japanese Cormorant</t>
  </si>
  <si>
    <t>Leach’s Storm-Petrel</t>
  </si>
  <si>
    <t>Lesser Black-backed Gull</t>
  </si>
  <si>
    <t>Lesser Noddy</t>
  </si>
  <si>
    <t>Least Auklet</t>
  </si>
  <si>
    <t>Little Auk</t>
  </si>
  <si>
    <t>Little Penguin</t>
  </si>
  <si>
    <t>Long-tailed Skua</t>
  </si>
  <si>
    <t>Macaroni Penguin</t>
  </si>
  <si>
    <t>Northern Gannet</t>
  </si>
  <si>
    <t>Northern Giant Petrel</t>
  </si>
  <si>
    <t>Parakeet Auklet</t>
  </si>
  <si>
    <t>Pigeon Guillemot</t>
  </si>
  <si>
    <t>Red-faced Cormorant</t>
  </si>
  <si>
    <t>Rhinoceros Auklet</t>
  </si>
  <si>
    <t>Roseate Tern</t>
  </si>
  <si>
    <t>Sabine’s Gull</t>
  </si>
  <si>
    <t>Scopoli’s Shearwater</t>
  </si>
  <si>
    <t>Snow Petrel</t>
  </si>
  <si>
    <t>Southern Fulmar</t>
  </si>
  <si>
    <t>Southern Giant Petrel</t>
  </si>
  <si>
    <t>Southern Rockhopper Penguin</t>
  </si>
  <si>
    <t>Tufted Puffin</t>
  </si>
  <si>
    <t>Wandering Albatross</t>
  </si>
  <si>
    <t>Whiskered Auklet</t>
  </si>
  <si>
    <t>Wilson’s Storm-Petrel</t>
  </si>
  <si>
    <t>First HatchDate</t>
  </si>
  <si>
    <t>Mean HatchDate</t>
  </si>
  <si>
    <t>Median HatchDate</t>
  </si>
  <si>
    <t>Mean LayDate</t>
  </si>
  <si>
    <t>Median LayDate</t>
  </si>
  <si>
    <t>Adélie Land, East Antarctica</t>
  </si>
  <si>
    <t>Aiktak Island, Aleutian Islands, Alaska, USA</t>
  </si>
  <si>
    <t>Ailsa Craig, Firth of Clyde, Scotland, UK</t>
  </si>
  <si>
    <t>Anda (Vesterålen), Nordland, Norway</t>
  </si>
  <si>
    <t>Aride Island, Seychelles</t>
  </si>
  <si>
    <t>Banter See, Wilhelmshaven, Lower Saxony, Germany</t>
  </si>
  <si>
    <t>Bechervaise Island (near Mawson Station), East Antarctica</t>
  </si>
  <si>
    <t>Benidorm Island, Valencian Community, Spain</t>
  </si>
  <si>
    <t>Bird Island, Buzzards Bay, Massachusetts, USA</t>
  </si>
  <si>
    <t>Bird Island, South Georgia (UK Overseas Territory), South Atlantic</t>
  </si>
  <si>
    <t>Buldir Island, Aleutian Islands, Alaska, USA</t>
  </si>
  <si>
    <t>Cape Bird, Ross Island, Antarctica</t>
  </si>
  <si>
    <t>Cape Crozier, Ross Island, Antarctica</t>
  </si>
  <si>
    <t>Cape Royds, Ross Island, Antarctica</t>
  </si>
  <si>
    <t>Cape Shirreff, Livingston Island, South Shetland Islands, Antarctica</t>
  </si>
  <si>
    <t>Chowiet Island, Semidi Islands, Alaska, USA</t>
  </si>
  <si>
    <t>Coats Island, Nunavut, Canada (Hudson Bay)</t>
  </si>
  <si>
    <t>Cooper Island, Beaufort Sea, Alaska, USA</t>
  </si>
  <si>
    <t>Copacabana area, King George Island, South Shetland Islands, Antarctica</t>
  </si>
  <si>
    <t>East Amatuli Island, Barren Islands, Alaska, USA</t>
  </si>
  <si>
    <t>Eastern Egg Rock, Maine, USA</t>
  </si>
  <si>
    <t>Ebro Delta, Catalonia, Spain (NW Mediterranean)</t>
  </si>
  <si>
    <t>Ellefsnyken (Røst archipelago), Nordland, Norway</t>
  </si>
  <si>
    <t>Gough Island, Tristan da Cunha (UK Overseas Territory), South Atlantic</t>
  </si>
  <si>
    <t>Grumantbyen area, Spitsbergen, Svalbard, Norway</t>
  </si>
  <si>
    <t>Gull Island, Witless Bay, Newfoundland &amp; Labrador, Canada</t>
  </si>
  <si>
    <t>Hernyken (Røst), Nordland, Norway</t>
  </si>
  <si>
    <t>Hornøya, Vardø, Finnmark, Norway (Barents Sea)</t>
  </si>
  <si>
    <t>Humble Island, near Anvers Island, Palmer Archipelago, Antarctica</t>
  </si>
  <si>
    <t>Isla Isabel, Nayarit, Mexico (NE Pacific)</t>
  </si>
  <si>
    <t>Isle of May, Firth of Forth, Scotland, UK</t>
  </si>
  <si>
    <t>Karøysundet, Finnmark, Norway (Barents Sea)</t>
  </si>
  <si>
    <t>Karupelv Valley, Jameson Land, Northeast Greenland</t>
  </si>
  <si>
    <t>Kasatochi Island, Aleutian Islands, Alaska, USA</t>
  </si>
  <si>
    <t>Kelderhuispolder, Texel, Noord-Holland, Netherlands</t>
  </si>
  <si>
    <t>Kiska Island, Aleutian Islands, Alaska, USA</t>
  </si>
  <si>
    <t>Kongsfjorden (Ny-Ålesund), Spitsbergen, Svalbard, Norway</t>
  </si>
  <si>
    <t>Limestone Island, Haida Gwaii, British Columbia, Canada</t>
  </si>
  <si>
    <t>Machias Seal Island, Gulf of Maine / Bay of Fundy (Canada–USA)</t>
  </si>
  <si>
    <t>Matinicus Rock, Maine, USA</t>
  </si>
  <si>
    <t>Nasaruvaalik Island, Nunavut, Canada (Foxe Basin)</t>
  </si>
  <si>
    <t>New Island, Falkland Islands (Islas Malvinas)</t>
  </si>
  <si>
    <t>Oamaru, Otago, South Island, New Zealand</t>
  </si>
  <si>
    <t>Pantaleu Islet (Sant Elm), Mallorca, Balearic Islands, Spain</t>
  </si>
  <si>
    <t>Pelsaert Island, Houtman Abrolhos, Western Australia, Australia</t>
  </si>
  <si>
    <t>Penikese Island, Massachusetts, USA</t>
  </si>
  <si>
    <t>Phillip Island, Victoria, Australia</t>
  </si>
  <si>
    <t>Pope’s Eye, Port Phillip Heads Marine National Park, Victoria, Australia</t>
  </si>
  <si>
    <t>Prince Leopold Island, Nunavut, Canada (Lancaster Sound)</t>
  </si>
  <si>
    <t>Punta León, Chubut, Patagonia, Argentina</t>
  </si>
  <si>
    <t>Ram Island, Buzzards Bay, Massachusetts, USA</t>
  </si>
  <si>
    <t>Reef Island, Haida Gwaii, British Columbia, Canada</t>
  </si>
  <si>
    <t>The Scar Rocks (off Ailsa Craig), Ayrshire, Scotland, UK</t>
  </si>
  <si>
    <t>Southeast Farallon Island (SEFI), California, USA</t>
  </si>
  <si>
    <t>Signy Island, South Orkney Islands, Antarctica</t>
  </si>
  <si>
    <t>Sklinna, Trøndelag, Norway (Norwegian Sea)</t>
  </si>
  <si>
    <t>Skomer Island, Pembrokeshire, Wales, UK</t>
  </si>
  <si>
    <t>St. George Island, Pribilof Islands, Alaska, USA (Bering Sea)</t>
  </si>
  <si>
    <t>St. Lazaria Island, Sitka Sound, Alaska, USA</t>
  </si>
  <si>
    <t>Stora Karlsö, Gotland, Sweden (Baltic Sea)</t>
  </si>
  <si>
    <t>St. Paul Island, Pribilof Islands, Alaska, USA (Bering Sea)</t>
  </si>
  <si>
    <t>Svarthamaren, Dronning Maud Land, East Antarctica</t>
  </si>
  <si>
    <t>Teuri Island, Hokkaido, Japan (Japan Sea/Okhotsk region)</t>
  </si>
  <si>
    <t>Troup Head, Aberdeenshire, Scotland, UK (North Sea)</t>
  </si>
  <si>
    <t>Ukaleqarteq (Appat Island area), Upernavik district, NW Greenland</t>
  </si>
  <si>
    <t>Veneguera, Gran Canaria, Canary Islands, Spain (NE Atlantic)</t>
  </si>
  <si>
    <t>Zackenberg, Northeast Greenland National Park, Greenland</t>
  </si>
  <si>
    <t>Values provided in their supplementary data sheet</t>
  </si>
  <si>
    <t xml:space="preserve">Generally earlier with climate change </t>
  </si>
  <si>
    <t>&gt;= 19 years?</t>
  </si>
  <si>
    <t>Cimino, M. A., Conroy, J. A., Connors, E., Bowman, J., Corso, A., Ducklow, H., Fraser, W., Friedlaender, A., Kim, H. H., Larsen, G. D., Moffat, C., Nichols, R., Pallin, L., Patterson‐Fraser, D., Roberts, D., Roberts, M., Steinberg, D. K., Thibodeau, P., Trinh, R., &amp; Schofield, O. (2023). Long‐term patterns in ecosystem phenology near Palmer Station, Antarctica, from the perspective of the Adélie penguin. Ecosphere, 14(2). https://doi.org/10.1002/ecs2.4417</t>
  </si>
  <si>
    <t>Palmer Station, Antarctica</t>
  </si>
  <si>
    <t>Table 1</t>
  </si>
  <si>
    <t>Adelie Penguin</t>
  </si>
  <si>
    <t>Mean clutch initiation date</t>
  </si>
  <si>
    <t>SST and sea ice retreat</t>
  </si>
  <si>
    <t>Advancement with climate change</t>
  </si>
  <si>
    <t>Delay in Phenology with increase in sea ice concentration</t>
  </si>
  <si>
    <t xml:space="preserve">Kris </t>
  </si>
  <si>
    <t>Sauser, C., Delord, K., &amp; Christophe Barbraud. (2021). Sea ice and local weather affect reproductive phenology of a polar seabird with breeding consequences. Ornithological Applications, 123(4). https://doi.org/10.1093/ornithapp/duab032</t>
  </si>
  <si>
    <t>https://academic.oup.com/condor/article/123/4/duab032/6327879</t>
  </si>
  <si>
    <t>Pointe Geologie, Antarctica</t>
  </si>
  <si>
    <t>Snow Petrels</t>
  </si>
  <si>
    <t>HatchDate</t>
  </si>
  <si>
    <t>Fig. 1 - approximated using the fitted line</t>
  </si>
  <si>
    <t>Moiron, M., Teplitsky, C., Birgen Haest, Charmantier, A., &amp; Bouwhuis, S. (2023). Micro-evolutionary response of spring migration timing in a wild seabird. Evolution Letters, 8(1), 8–17. https://doi.org/10.1093/evlett/qrad014</t>
  </si>
  <si>
    <t>https://academic.oup.com/evlett/article/8/1/8/7150359</t>
  </si>
  <si>
    <t>German North Sea coast</t>
  </si>
  <si>
    <t>Warming</t>
  </si>
  <si>
    <t>Later arrival with warming</t>
  </si>
  <si>
    <t>Fig. 1</t>
  </si>
  <si>
    <t>https://online.ucpress.edu/elementa/article/9/1/00033/118774/Contrasting-phenological-and-demographic-responses</t>
  </si>
  <si>
    <t>Major, H. L., Durham, S. E., Fana, N., Rivers, J. E., &amp; Diamond, A. W. (2021). Contrasting phenological and demographic responses of Atlantic Puffin (Fratercula arctica) and Razorbill (Alca torda) to climate change in the Gulf of Maine. Elementa: Science of the Anthropocene, 9(1). https://doi.org/10.1525/elementa.2021.00033</t>
  </si>
  <si>
    <t>Machias Seal Island, Canada</t>
  </si>
  <si>
    <t>FledgeDate</t>
  </si>
  <si>
    <t>Fig. 3 - approximated by getting the first and last points of the fitted line</t>
  </si>
  <si>
    <t>delayed fledge date with CC</t>
  </si>
  <si>
    <t>Delayed hatch date with CC</t>
  </si>
  <si>
    <t xml:space="preserve">Ananin, A.A., &amp; Sokolov, L.V. (2009) Long–term arrival trends of 54 avian species to Barguzinsky Nature Reserve in northeastern Baikal area. Avian Ecology and Behaviour, 15, 33–48. </t>
  </si>
  <si>
    <t>Barrett, R. T., Nilsen, E. B., &amp; Anker-Nilssen, T. (2012). Long-term decline in egg size of Atlantic puffins Fratercula arctica is related to changes in forage fish stocks and climate conditions. Marine Ecology Progress Series, 457, 1-10.</t>
  </si>
  <si>
    <t xml:space="preserve">Barrett, R.T. (2011) Recent responses to climate change among migrant birds in northern Norway. Ringing &amp; Migration, 26 83–93. </t>
  </si>
  <si>
    <t xml:space="preserve">Butler, C.J. (2003) The disproportionate effect of global warming on the arrival dates of short–distance migratory birds in North America. Ibis, 145 484–495. </t>
  </si>
  <si>
    <t>DeLeon, R.L., DeLeon, E.E., &amp; Rising, G.R. (2011) Influence of climate change on avian migrants’ first arrival dates. The Condor, 113, 915–923.</t>
  </si>
  <si>
    <t xml:space="preserve">Donnelly, A., Geyer, H., &amp; Yu, R. (2015) Changes in the timing of departure and arrival of Irish migrant waterbirds. PeerJ, 3, 2726. </t>
  </si>
  <si>
    <t xml:space="preserve">Dunlop, J.N., Surman, C.A. (2012) The role of foraging ecology in the contrasting responses of two dark terns to a changing ocean. Marine Ornithology 40: 105-110. </t>
  </si>
  <si>
    <t xml:space="preserve">Foster, C.R., Amos, A.F., &amp; Fuiman, L.A. (2010) Phenology of six migratory coastal birds in relation to climate change. The Wilson Journal of Ornithology, 122  116–125.  </t>
  </si>
  <si>
    <t>Gaston, A. J., Smith, P. A., &amp; Provencher, J. F. (2012). Discontinuous change in ice cover in Hudson Bay in the 1990s and some consequences for marine birds and their prey. ICES Journal of Marine Science, 69(7), 1218-1225.</t>
  </si>
  <si>
    <t>Gienapp, P., &amp; Bregnballe, T. (2012). Fitness consequences of timing of migration and breeding in cormorants. PLoS One, 7(9), e46165.</t>
  </si>
  <si>
    <t xml:space="preserve">Gunnarsson T.G. &amp; Tómasson G. (2011) Flexibility in spring arrival of migratory birds at northern latitudes under rapid temperature changes. Bird Study, 58, 1–12. </t>
  </si>
  <si>
    <t>Hipfner, J. M. (2008). Matches and mismatches: ocean climate, prey phenology and breeding success in a zooplanktivorous seabird. Marine Ecology Progress Series, 368, 295-304.</t>
  </si>
  <si>
    <t>Lewis, S., Nussey, D. H., Wood, A. G., Croxall, J. P., &amp; Phillips, R. A. (2012). Intrinsic determinants of a population trend in timing of breeding in the wandering albatross. Oikos, 121(12), 2061-2071.</t>
  </si>
  <si>
    <t xml:space="preserve">Møller, A.P., Flensted–Jensen, E., &amp; Mardal, W. (2009) Adjustment of the annual cycle to climatic change in a long–lived migratory bird species. Current Zoology, 55, 92–101. </t>
  </si>
  <si>
    <t>Møller, A. P., Flensted‐Jensen, E., Klarborg, K., Mardal, W., &amp; Nielsen, J. T. (2010). Climate change affects the duration of the reproductive season in birds. Journal of Animal Ecology, 79(4), 777-784.</t>
  </si>
  <si>
    <t xml:space="preserve">Murphy–Klassen, H.M., Underwood, T.J., Sealy, S.G., &amp; Czyrnyj, A.A. (2005) Long–term trends in spring arrival dates of migrant birds at Delta Marsh Manitoba in relation to climate change. The Auk, 122, 1130–1148. </t>
  </si>
  <si>
    <t>Petersen, T. L., Meltofte, H., &amp; Tøttrup, A. P. T. (2012). Advanced spring arrival of avian migrants on Tipperne, western Denmark, during 1929-2008. Dansk Ornitologisk Forenings Tidsskrift, 106(2), 65-72.</t>
  </si>
  <si>
    <t>Schmidt, E., &amp; Huppop, K. (2007). First observation and start of birdsong of 97 bird species in a community in the county of Parchim (Mecklenburg-Vorpommern) in the years 1963 to 2006. Vogelwarte, 45(1), 27.</t>
  </si>
  <si>
    <t xml:space="preserve">Sokolov, L.V., &amp; Gordienko, N.S. (2008) Has recent climate warming affected the dates of bird arrival to the Il’men Reserve in the southern Urals? Russian Journal of Ecology, 39, 56–62. </t>
  </si>
  <si>
    <t xml:space="preserve">Sparks T.H. Huber K. Bland R.L. Crick H.Q.P. Croxton P.J. Flood J.... &amp; Tryjanowski P. (2007) How consistent are trends in arrival (and departure) dates of migrant birds in the UK? Journal of Ornithology148 503–511. </t>
  </si>
  <si>
    <t>Teplitsky, C., Mills, J. A., Yarrall, J. W., &amp; Merilä, J. (2010). Indirect genetic effects in a sex‐limited trait: the case of breeding time in red‐billed gulls. Journal of Evolutionary Biology, 23(5), 935-944.</t>
  </si>
  <si>
    <t>Grabowski, M. M., Doyle, F. I., Reid, D. G., Mossop, D., &amp; Talarico, D. (2013). Do Arctic-nesting birds respond to earlier snowmelt? A multi-species study in north Yukon, Canada. Polar Biology, 36(8), 1097-1105.</t>
  </si>
  <si>
    <t>Žalakevičius, M., Bartkevičienė, G., Ivanauskas, F., &amp; Nedzinskas, V. (2009). The response of spring arrival dates of non-passerine migrants to climate change: a case study from Eastern Baltic. Acta Zoologica Lituanica, 19(3), 155-171.</t>
  </si>
  <si>
    <t>Croxton, P. J., Sparks, T. H., Cade, M., &amp; Loxton, R. G. (2006). Trends and temperature effects in the arrival of spring migrants in Portland (United Kingdom) 1959–2005. Acta Ornithologica, 41(2), 103-111.</t>
  </si>
  <si>
    <t>Vegvari, Z., Bokony, V., Barta, Z., &amp; Kovacs, G. (2010). Life history predicts advancement of avian spring migration in response to climate change. Global Change Biology, 16(1), 1-11.</t>
  </si>
  <si>
    <t>Saino, N., Ambrosini, R., Rubolini, D., von Hardenberg, J., Provenzale, A., Hüppop, K., ... &amp; Sokolov, L. (2011). Climate warming, ecological mismatch at arrival and population decline in migratory birds. Proceedings of the Royal Society B: Biological Sciences, 278(1707), 835-842. </t>
  </si>
  <si>
    <t>Lorentsen, S. H., Anker-Nilssen, T., Erikstad, K. E., &amp; Røv, N. (2015). Forage fish abundance is a predictor of timing of breeding and hatching brood size in a coastal seabird. Marine Ecology Progress Series, 519, 209-220.</t>
  </si>
  <si>
    <t>Barlow, M. L., &amp; Dowding, J. E. (2002). Breeding biology of Caspian terns (Sterna caspia) at a colony near Invercargill, New Zealand. Notornis, 49(2), 76-90.</t>
  </si>
  <si>
    <t>Bond, A. L., Jones, I. L., Sydeman, W. J., Major, H. L., Minobe, S., Williams, J. C., &amp; Byrd, G. V. (2011). Reproductive success of planktivorous seabirds in the North Pacific is related to ocean climate on decadal scales. Marine Ecology Progress Series, 424, 205-218.</t>
  </si>
  <si>
    <t>Lynch, H. J., Fagan, W. F., Naveen, R., Trivelpiece, S. G., &amp; Trivelpiece, W. Z. (2012). Differential advancement of breeding phenology in response to climate may alter staggered breeding among sympatric pygoscelid penguins. Marine Ecology Progress Series, 454, 135-145.</t>
  </si>
  <si>
    <t>Monticelli, D., Ramos, J. A., Catry, T., Pedro, P., &amp; Paiva, V. H. (2014). Reproductive parameters of tropical lesser noddies respond to local variations in oceanographic conditions and weather. Estuarine, Coastal and Shelf Science, 139, 110-118.</t>
  </si>
  <si>
    <t>Murphy, E. C., Roseneau, D. G., Springer, A. M., &amp; Byrd, G. V. (2016). Breeding chronology and productivity of Black-legged Kittiwakes Rissa tridacytla at Bluff, Alaska, 1975-2008: Associations with regional environmental indices and distant colonies. Marine Ornithology, 44, 183-201.</t>
  </si>
  <si>
    <t>Pezzo, F., Olmastroni, S., Volpi, V., &amp; Focardi, S. (2007). Annual variation in reproductive parameters of Adélie penguins at Edmonson Point, Victoria Land, Antarctica. Polar Biology, 31(1), 39-45.</t>
  </si>
  <si>
    <t>Ramos, J. A., Maul, A. M., Ayrton, V., Bullock, I., Hunter, J., Bowler, J., ... &amp; Pacheco, C. (2002). Influence of local and large-scale weather events and timing of breeding on tropical roseate tern reproductive parameters. Marine Ecology Progress Series, 243, 271-279.</t>
  </si>
  <si>
    <t>Slater, L., &amp; Byrd, G. V. (2009). Status, trends, and patterns of covariation of breeding seabirds at St Lazaria Island, Southeast Alaska, 1994–2006. Journal of Biogeography, 36(3), 465-475.</t>
  </si>
  <si>
    <t>Álvarez, D., &amp; Pajuelo, M. A. F. (2011). Southern populations of European shag Phalacrocorax a. aristotelis advance their laying date in response to local weather conditions but not to large-scale climate. Ardeola, 58(2), 239-250.</t>
  </si>
  <si>
    <t>Blight, L. K. (2011). Egg production in a coastal seabird, the Glaucous-winged Gull (Larus glaucescens), declines during the last century. PLoS One, 6(7), e22027.</t>
  </si>
  <si>
    <t>Durant, J. M., Crawford, R. J., Wolfaardt, A. C., Agenbag, K., Visagie, J., Upfold, L., &amp; Stenseth, N. C. (2010). Influence of feeding conditions on breeding of African penguins—importance of adequate local food supplies. Marine Ecology Progress Series, 420, 263-271.</t>
  </si>
  <si>
    <t>Emmerson, L., Pike, R., &amp; Southwell, C. (2011). Reproductive consequences of environment-driven variation in Adélie penguin breeding phenology. Marine Ecology Progress Series, 440, 203-216.</t>
  </si>
  <si>
    <t>Szostek, K. L., Bouwhuis, S., &amp; Becker, P. H. (2015). Are arrival date and body mass after spring migration influenced by large-scale environmental factors in a migratory seabird?. Frontiers in Ecology and Evolution, 3, 42.</t>
  </si>
  <si>
    <t>Thayer, J. A., &amp; Sydeman, W. J. (2007). Spatio-temporal variability in prey harvest and reproductive ecology of a piscivorous seabird, Cerorhinca monocerata, in an upwelling system. Marine Ecology Progress Series, 329, 253-265.</t>
  </si>
  <si>
    <t>Watanuki, Y., &amp; Ito, M. (2012). Climatic effects on breeding seabirds of the northern Japan Sea. Marine Ecology Progress Series, 454, 183-196.</t>
  </si>
  <si>
    <t>Barrett, R. T. (2001). The breeding demography and egg size of North Norwegian Atlantic Puffins Fratercula arctica and Razorbills Alca torda during 20 years of climatic variability. Atlantic Seabirds, 3(3), 97-112.</t>
  </si>
  <si>
    <t>Barrett, R. T. (2016). Upwind or downwind: the spring arrival of Arctic Terns Sterna paradisaea at Troms, North Norway. Ringing &amp; Migration, 31(1), 23-29.</t>
  </si>
  <si>
    <t>Cannell, B. L., Chambers, L. E., Wooller, R. D., &amp; Bradley, J. S. (2012). Poorer breeding by little penguins near Perth, Western Australia is correlated with above average sea surface temperatures and a stronger Leeuwin Current. Marine and Freshwater Research, 63(10), 914-925.</t>
  </si>
  <si>
    <t>Ward, D. H., Helmericks, J., Hupp, J. W., McManus, L., Budde, M., Douglas, D. C., &amp; Tape, K. D. (2016). Multi‐decadal trends in spring arrival of avian migrants to the central Arctic coast of Alaska: effects of environmental and ecological factors. Journal of Avian Biology, 47(2), 197-207.</t>
  </si>
  <si>
    <t>Ramírez, F., Afán, I., Tavecchia, G., Catalán, I. A., Oro, D., &amp; Sanz-Aguilar, A. (2016). Oceanographic drivers and mistiming processes shape breeding success in a seabird. Proceedings of the Royal Society B: Biological Sciences, 283(1826), 20152287.</t>
  </si>
  <si>
    <t>Riou, S., Gray, C. M., Brooke, M. D. L., Quillfeldt, P., Masello, J. F., Perrins, C., &amp; Hamer, K. C. (2011). Recent impacts of anthropogenic climate change on a higher marine predator in western Britain. Marine Ecology Progress Series, 422, 105-112.</t>
  </si>
  <si>
    <t>Hansen, J., Hansen L. H., Schmidt, N. M., &amp; Reneerkens, J. (2012). Bird monitoring at Zackerberg, Northeast Greenland, 2010, with comparison with 1996-2009. Bird Populations, 11, 42-51.</t>
  </si>
  <si>
    <t>Kluen, E., Nousiainen, R., &amp; Lehikoinen, A. (2017). Breeding phenological response to spring weather conditions in common Finnish birds: resident species respond stronger than migratory species. Journal of Avian Biology, 48(5), 611-619.</t>
  </si>
  <si>
    <t>Hinke, J. T., Polito, M. J., Reiss, C. S., Trivelpiece, S. G., &amp; Trivelpiece, W. Z. (2012). Flexible reproductive timing can buffer reproductive success of Pygoscelis spp. penguins in the Antarctic Peninsula region. Marine Ecology Progress Series, 454, 91-104.</t>
  </si>
  <si>
    <t>Hipfner, J. M., &amp; Greenwood, J. L. (2008). Breeding biology of the common murre at Triangle Island, British Columbia, Canada, 2002–2007. Northwestern Naturalist, 89(2), 76-84.</t>
  </si>
  <si>
    <t>Pyk, T. M., Weston, M. A., Bunce, A., &amp; Norman, F. I. (2013). Establishment and development of a seabird colony: long-term trends in phenology, breeding success, recruitment, breeding density and demography. Journal of Ornithology, 154(1), 299-310.</t>
  </si>
  <si>
    <t>Surman, C. A., Nicholson, L. W., &amp; Santora, J. A. (2012). Effects of climate variability on breeding phenology and performance of tropical seabirds in the eastern Indian Ocean. Marine Ecology Progress Series, 454, 147-157.</t>
  </si>
  <si>
    <t>Dobson, F. S., Becker, P. H., Arnaud, C. M., Bouwhuis, S., &amp; Charmantier, A. (2017). Plasticity results in delayed breeding in a long‐distant migrant seabird. Ecology and Evolution, 7(9), 3100-3109.</t>
  </si>
  <si>
    <t>Sparks, T. H. (2001). Dates of arrivals and departures of spring migrants taken from Essex Bird Reports 1950-1998. Essex Bird Rep, 1999, 154-164.</t>
  </si>
  <si>
    <t>Phillips, R. A., Caldow, R. W. G., &amp; Furness, R. W. (1996). The influence of food availability on the breeding effort and reproductive success of Arctic Skuas Stercorarius parasiticus. Ibis, 138(3), 410-419.</t>
  </si>
  <si>
    <t>Wanless, S., Harris, M. P., Lewis, S., Frederiksen, M., &amp; Murray, S. (2008). Later breeding in northern gannets in the eastern Atlantic. Marine Ecology Progress Series, 370, 263-269.</t>
  </si>
  <si>
    <t>Larus_cachinnans</t>
  </si>
  <si>
    <t>Sterna_hirundo</t>
  </si>
  <si>
    <t>Fratercula_arctica</t>
  </si>
  <si>
    <t>Stercorarius_parasiticus</t>
  </si>
  <si>
    <t>Sterna_caspia</t>
  </si>
  <si>
    <t>Sterna_sandvicensis</t>
  </si>
  <si>
    <t>Anous_stolidus</t>
  </si>
  <si>
    <t>Sterna_anaethetus</t>
  </si>
  <si>
    <t>Larus_argentatus</t>
  </si>
  <si>
    <t>Sterna_antillarum</t>
  </si>
  <si>
    <t>Uria_lomvia</t>
  </si>
  <si>
    <t>Phalacrocorax_carbo</t>
  </si>
  <si>
    <t>Larus_fuscus</t>
  </si>
  <si>
    <t>Sterna_paradisaea</t>
  </si>
  <si>
    <t>Ptychoramphus_aleuticus</t>
  </si>
  <si>
    <t>Diomedea_exulans</t>
  </si>
  <si>
    <t>Sterna_albifrons</t>
  </si>
  <si>
    <t>Sterna_forsteri</t>
  </si>
  <si>
    <t>Larus_novaehollandiae</t>
  </si>
  <si>
    <t>Stercorarius_longicaudus</t>
  </si>
  <si>
    <t>Alca_torda</t>
  </si>
  <si>
    <t>Phalacrocorax_aristotelis</t>
  </si>
  <si>
    <t>Aethia_cristatella</t>
  </si>
  <si>
    <t>Aethia_pusilla</t>
  </si>
  <si>
    <t>Aethia_pygmaea</t>
  </si>
  <si>
    <t>Pygoscelis_adeliae</t>
  </si>
  <si>
    <t>Pygoscelis_antarcticus</t>
  </si>
  <si>
    <t>Anous_tenuirostris</t>
  </si>
  <si>
    <t>Rissa_tridactyla</t>
  </si>
  <si>
    <t>Sterna_dougallii</t>
  </si>
  <si>
    <t>Cerorhinca_monocerata</t>
  </si>
  <si>
    <t>Oceanodroma_furcata</t>
  </si>
  <si>
    <t>Oceanodroma_leucorhoa</t>
  </si>
  <si>
    <t>Uria_aalge</t>
  </si>
  <si>
    <t>Larus_glaucescens</t>
  </si>
  <si>
    <t>Spheniscus_demersus</t>
  </si>
  <si>
    <t>Larus_crassirostris</t>
  </si>
  <si>
    <t>Phalacrocorax_capillatus</t>
  </si>
  <si>
    <t>Eudyptula_minor</t>
  </si>
  <si>
    <t>Larus_hyperboreus</t>
  </si>
  <si>
    <t>Hydrobates_pelagicus</t>
  </si>
  <si>
    <t>Puffinus_puffinus</t>
  </si>
  <si>
    <t>Pygoscelis_papua</t>
  </si>
  <si>
    <t>Morus_serrator</t>
  </si>
  <si>
    <t>Sterna_fuscata</t>
  </si>
  <si>
    <t>Morus_bassanus</t>
  </si>
  <si>
    <t>Pre-breeding migration</t>
  </si>
  <si>
    <t>Breeding</t>
  </si>
  <si>
    <t>Post-breeding migration</t>
  </si>
  <si>
    <t>From this meta-analysis: https://esajournals.onlinelibrary.wiley.com/doi/full/10.1002/ecm.1552?utm_source=chatgpt.com</t>
  </si>
  <si>
    <t>BarguzinskyNatureReserve, Russia</t>
  </si>
  <si>
    <t>Hernyken, Norway</t>
  </si>
  <si>
    <t>Hornøya, Norway</t>
  </si>
  <si>
    <t>Troms, Norway</t>
  </si>
  <si>
    <t>WorcesterCounty_Massachussets, United_States</t>
  </si>
  <si>
    <t>Buffalo_NewYork, United_States</t>
  </si>
  <si>
    <t>EastCoast, Ireland</t>
  </si>
  <si>
    <t>LancelinIsland, Australia</t>
  </si>
  <si>
    <t>PenguinIsland, Australia</t>
  </si>
  <si>
    <t>MustangIsland_Texas, United_States</t>
  </si>
  <si>
    <t>CoatsIsland, Canada</t>
  </si>
  <si>
    <t>Vorsø, Denmark</t>
  </si>
  <si>
    <t>Laugaras, Iceland</t>
  </si>
  <si>
    <t>TriangleIsland_BritishColumbia, Canada</t>
  </si>
  <si>
    <t>BirdIsland, British_Overseas_Territory</t>
  </si>
  <si>
    <t>Denmark, Denmark</t>
  </si>
  <si>
    <t>DeltaMarsh_Manitoba, Canada</t>
  </si>
  <si>
    <t>Tipperne, Denmark</t>
  </si>
  <si>
    <t>Parchim, Germany</t>
  </si>
  <si>
    <t>Il'menReserve, Russia</t>
  </si>
  <si>
    <t>Essex, United_Kingdom</t>
  </si>
  <si>
    <t>Sussex, United_Kingdom</t>
  </si>
  <si>
    <t>KaikouraPeninsula, New_Zealand</t>
  </si>
  <si>
    <t>HerschelIsland, Canada</t>
  </si>
  <si>
    <t>Zuvintas, Lithuania</t>
  </si>
  <si>
    <t>Portland_Dorset, United_Kingdom</t>
  </si>
  <si>
    <t>Hortobagy, Hungary</t>
  </si>
  <si>
    <t>Jurmo, Finland</t>
  </si>
  <si>
    <t>Hanko, Finland</t>
  </si>
  <si>
    <t>Sklinna, Norway</t>
  </si>
  <si>
    <t>Røst, Norway</t>
  </si>
  <si>
    <t>NewRiverEstuary, New_Zealand</t>
  </si>
  <si>
    <t>Buldir_AleutianIslands, United_States</t>
  </si>
  <si>
    <t>Kasatochi_AleutianIslands, United_States</t>
  </si>
  <si>
    <t>HumbleIsland, Antarctic</t>
  </si>
  <si>
    <t>CapeShirreff_LivingstonIsland, Antarctic</t>
  </si>
  <si>
    <t>ArideIsland, Seychelles</t>
  </si>
  <si>
    <t>Bluff, United_States</t>
  </si>
  <si>
    <t>CapeThompson, United_States</t>
  </si>
  <si>
    <t>CapeLisburne, United_States</t>
  </si>
  <si>
    <t>EdmonsonPoint_VictoriaLand, Antarctic</t>
  </si>
  <si>
    <t>StLazariaIsland_Alaska, United_States</t>
  </si>
  <si>
    <t>Pantorgas_Castríos_Represas_Forcada, Spain</t>
  </si>
  <si>
    <t>StraitofGeorgia, Canada</t>
  </si>
  <si>
    <t>DassenIsland, South_Africa</t>
  </si>
  <si>
    <t>BéchervaiseIsland, Antarctic</t>
  </si>
  <si>
    <t>BanterSee, Germany</t>
  </si>
  <si>
    <t>SoutheastFarallonIsland_California, United_States</t>
  </si>
  <si>
    <t>AñoNuevoIsland_California, United_States</t>
  </si>
  <si>
    <t>TeuriIsland, Japan</t>
  </si>
  <si>
    <t>AnachlikIsland_Alaska, United_States</t>
  </si>
  <si>
    <t>BenidormIsland, Spain</t>
  </si>
  <si>
    <t>SkokholmIsland_SkomerIsland_Wales, United_Kingdom</t>
  </si>
  <si>
    <t>Zackenberg, Greenland</t>
  </si>
  <si>
    <t>Finland, Finland</t>
  </si>
  <si>
    <t>AdmiraltyBay_KingGeorgeIsland, Antarctic</t>
  </si>
  <si>
    <t>Pope’sEye, Australia</t>
  </si>
  <si>
    <t>PelsaertIsland, Australia</t>
  </si>
  <si>
    <t>Foula_Shetland, United_Kingdom</t>
  </si>
  <si>
    <t>TroupHead_Scotland, United_Kingdom</t>
  </si>
  <si>
    <t>BassRock_Scotland, United_Kingdom</t>
  </si>
  <si>
    <t>RouzicIsland, France</t>
  </si>
  <si>
    <t>https://www.nature.com/articles/s41598-020-64855-y?utm_source=chatgpt.com#Sec2</t>
  </si>
  <si>
    <t>https://aslopubs.onlinelibrary.wiley.com/doi/10.1002/lno.12242?utm_source=chatgpt.com</t>
  </si>
  <si>
    <t>distribution</t>
  </si>
  <si>
    <t>https://esajournals.onlinelibrary.wiley.com/doi/10.1002/eap.2071</t>
  </si>
  <si>
    <t>https://www.researchgate.net/publication/318329124_Identifying_shifts_in_maternity_den_phenology_and_habitat_characteristics_of_polar_bears_Ursus_maritimus_in_Baffin_Bay_and_Kane_Basin</t>
  </si>
  <si>
    <t>https://pmc.ncbi.nlm.nih.gov/articles/PMC8634623/?utm_source=chatgpt.com#s3</t>
  </si>
  <si>
    <t>https://www.sciencedirect.com/science/article/abs/pii/S0048969722013365</t>
  </si>
  <si>
    <t>experimental</t>
  </si>
  <si>
    <t>Waluda, C. M., Gregory, S., &amp; Dunn, M. J. (2009). Long-term variability in the abundance of Antarctic fur seals Arctocephalus gazella at Signy Island, South Orkneys. Polar Biology, 33(3), 305–312. https://doi.org/10.1007/s00300-009-0706-2</t>
  </si>
  <si>
    <t>https://link.springer.com/article/10.1007/s00300-009-0706-2</t>
  </si>
  <si>
    <t>Signy Island, South Orkneys</t>
  </si>
  <si>
    <t> Arctocephalus gazella </t>
  </si>
  <si>
    <t>Antarctic fur seals</t>
  </si>
  <si>
    <t>Date of peak haul-out</t>
  </si>
  <si>
    <t>Date of first arrival</t>
  </si>
  <si>
    <t>Later arrival would be correlated to late fast-ice breakout</t>
  </si>
  <si>
    <t xml:space="preserve">https://link.springer.com/article/10.1007/s00300-009-0706-2 </t>
  </si>
  <si>
    <t>Mossman Peninsula, Laurie Island</t>
  </si>
  <si>
    <t>-60.750°</t>
  </si>
  <si>
    <t>Fig. 5b</t>
  </si>
  <si>
    <t>Calculated regression for Table 1</t>
  </si>
  <si>
    <t>https://besjournals.onlinelibrary.wiley.com/doi/10.1111/1365-2656.12050</t>
  </si>
  <si>
    <t>Cherry, S. G., Derocher, A. E., Thiemann, G. W., &amp; Lunn, N. J. (2013). Migration phenology and seasonal fidelity of an Arctic marine predator in relation to sea ice dynamics. Journal of Animal Ecology, 82(4), 912–921. https://doi.org/10.1111/1365-2656.12050</t>
  </si>
  <si>
    <t>Mean ashore date</t>
  </si>
  <si>
    <t>Mean departure from ashore date</t>
  </si>
  <si>
    <t>Earlier arrival</t>
  </si>
  <si>
    <t xml:space="preserve">Later depature </t>
  </si>
  <si>
    <t>Fig. 2</t>
  </si>
  <si>
    <t>https://esajournals.onlinelibrary.wiley.com/doi/abs/10.1890/04-1153</t>
  </si>
  <si>
    <t>Forcada, J., Trathan, P. N., Reid, K., &amp; Murphy, E. J. (2005). THE EFFECTS OF GLOBAL CLIMATE VARIABILITY IN PUP PRODUCTION OF ANTARCTIC FUR SEALS. Ecology, 86(9), 2408–2417. https://doi.org/10.1890/04-1153</t>
  </si>
  <si>
    <t>South Atlantic Ocean</t>
  </si>
  <si>
    <t>Antarctic fur seal</t>
  </si>
  <si>
    <t>Birth date</t>
  </si>
  <si>
    <t>There is a lag in the production or birth dates with SST/warming. SST/warming &gt; later production</t>
  </si>
  <si>
    <t>Fig. 5</t>
  </si>
  <si>
    <t>https://link.springer.com/article/10.1007/s00300-015-1648-5#Sec8</t>
  </si>
  <si>
    <t>Laidre, K. L., Born, E. W., Heagerty, P., Wiig, Ø., Stern, H., Dietz, R., Aars, J., &amp; Andersen, M. (2015). Shifts in female polar bear (Ursus maritimus) habitat use in East Greenland. Polar Biology, 38(6), 879–893. https://doi.org/10.1007/s00300-015-1648-5</t>
  </si>
  <si>
    <t>Discontinuous</t>
  </si>
  <si>
    <t xml:space="preserve">Date entry </t>
  </si>
  <si>
    <t xml:space="preserve">Date exit </t>
  </si>
  <si>
    <t>Table 6</t>
  </si>
  <si>
    <t>Table 7</t>
  </si>
  <si>
    <t>Table 8</t>
  </si>
  <si>
    <t>Table 9</t>
  </si>
  <si>
    <t>Table 10</t>
  </si>
  <si>
    <t>Later departure</t>
  </si>
  <si>
    <t>https://royalsocietypublishing.org/doi/10.1098/rsbl.2016.0404</t>
  </si>
  <si>
    <t>O’Corry-Crowe, G., Mahoney, A. R., Suydam, R., Quakenbush, L., Whiting, A., Lowry, L., &amp; Harwood, L. (2016). Genetic profiling links changing sea-ice to shifting beluga whale migration patterns. Biology Letters, 12(11), 20160404–20160404. https://doi.org/10.1098/rsbl.2016.0404</t>
  </si>
  <si>
    <t>Eastern Chukchi Sea</t>
  </si>
  <si>
    <t>Sighting date</t>
  </si>
  <si>
    <t>Figure 2</t>
  </si>
  <si>
    <t>Earlier arrival with earlier sea-ice retreat</t>
  </si>
  <si>
    <t>https://academic.oup.com/jmammal/article-abstract/99/1/16/4801738?redirectedFrom=fulltext</t>
  </si>
  <si>
    <t>Rode, K. D., Olson, J., Eggett, D., Douglas, D. C., Durner, G. M., Atwood, T. C., Regehr, E. V., Wilson, R. R., Smith, T., &amp; St. Martin, M. (2018). Den phenology and reproductive success of polar bears in a changing climate. Journal of Mammalogy, 99(1), 16–26. https://doi.org/10.1093/jmammal/gyx181</t>
  </si>
  <si>
    <t>Den entrance date</t>
  </si>
  <si>
    <t>Den emergence date</t>
  </si>
  <si>
    <t xml:space="preserve">Based on the results section: Difference between subpopulations and trends over time </t>
  </si>
  <si>
    <t>Laidre, K. L., Atkinson, S., Regehr, E. V., Stern, H. L., Born, E. W., Wiig, Ø., Lunn, N. J., &amp; Dyck, M. (2020). Interrelated ecological impacts of climate change on an apex predator. Ecological Applications, 30(4). https://doi.org/10.1002/eap.2071</t>
  </si>
  <si>
    <t>Laidre, K. L., Atkinson, S., Regehr, E. V., Stern, H. L., Born, E. W., Wiig, Ø., Lunn, N. J., &amp; Dyck, M. (2020). Interrelated ecological impacts of climate change on an apex predator. Ecological Applications, 30(4). https://doi.org/10.1002/eap.2072</t>
  </si>
  <si>
    <t>Baffin Bay, Greenland</t>
  </si>
  <si>
    <t>Shuert, C. R., Marcoux, M., Hussey, N. E., Heide-Jørgensen, M. P., Dietz, R., &amp; Auger-Méthé, M. (2022). Decadal migration phenology of a long-lived Arctic icon keeps pace with climate change. Proceedings of the National Academy of Sciences, 119(45). https://doi.org/10.1073/pnas.2121092119</t>
  </si>
  <si>
    <t>https://www.pnas.org/doi/pdf/10.1073/pnas.2121092119</t>
  </si>
  <si>
    <t>Pendleton, D. E., Tingley, M. W., Ganley, L. C., Friedland, K. D., Mayo, C., Brown, M. W., McKenna, B. E., Jordaan, A., &amp; Staudinger, M. D. (2022). Decadal‐scale phenology and seasonal climate drivers of migratory baleen whales in a rapidly warming marine ecosystem. Global Change Biology, 28(16), 4989–5005. https://doi.org/10.1111/gcb.16225</t>
  </si>
  <si>
    <t>Shuert, C. R., Marcoux, M., Hussey, N. E., Heide-Jørgensen, M. P., Dietz, R., &amp; Auger-Méthé, M. (2022). Decadal migration phenology of a long-lived Arctic icon keeps pace with climate change. Proceedings of the National Academy of Sciences, 119(45). https://doi.org/10.1073/pnas.2121092120</t>
  </si>
  <si>
    <t>https://www.pnas.org/doi/pdf/10.1073/pnas.2121092120</t>
  </si>
  <si>
    <t>Peter, Sophie, &amp; Erik. (2010). Earlier pupping in harbour seals, Phoca vitulina. Biology Letters, 6(6), 854–857. https://doi.org/10.1098/rsbl.2010.0468</t>
  </si>
  <si>
    <t>10 years</t>
  </si>
  <si>
    <t>https://www.researchgate.net/publication/322597753_Range_contraction_and_increasing_isolation_of_a_polar_bear_subpopulation_in_an_era_of_sea-ice_loss</t>
  </si>
  <si>
    <t>Bull, J. C., Jones, O. R., Luca Börger, Franconi, N., Banga, R., Lock, K., &amp; Stringell, T. B. (2021). Climate causes shifts in grey seal phenology by modifying age structure. Proceedings of the Royal Society B Biological Sciences, 288(1964). https://doi.org/10.1098/rspb.2021.2284</t>
  </si>
  <si>
    <t>https://journals.plos.org/plosone/article?id=10.1371/journal.pone.0075514</t>
  </si>
  <si>
    <t>Fig. 3 (digitised)</t>
  </si>
  <si>
    <t>Earlier arrival with CC</t>
  </si>
  <si>
    <t>Late departure with CC</t>
  </si>
  <si>
    <t xml:space="preserve">https://www.pnas.org/doi/pdf/10.1073/pnas.2121092119 </t>
  </si>
  <si>
    <t>Fig. 2A</t>
  </si>
  <si>
    <t>Baffin Island, Canadian Arctic</t>
  </si>
  <si>
    <t>Three periods</t>
  </si>
  <si>
    <t>Narwhals</t>
  </si>
  <si>
    <t>Monodon monoceros</t>
  </si>
  <si>
    <t>Later migration</t>
  </si>
  <si>
    <t>Crossing date</t>
  </si>
  <si>
    <t>Female departure date</t>
  </si>
  <si>
    <t>Male departure date</t>
  </si>
  <si>
    <t>Fig. 3A</t>
  </si>
  <si>
    <t xml:space="preserve">https://pmc.ncbi.nlm.nih.gov/articles/PMC9541444/ </t>
  </si>
  <si>
    <t>Cape Cod Bay, USA</t>
  </si>
  <si>
    <t>Day of maximum occupancy</t>
  </si>
  <si>
    <t>Right whale</t>
  </si>
  <si>
    <r>
      <t>Eubalaena</t>
    </r>
    <r>
      <rPr>
        <sz val="12"/>
        <color theme="1"/>
        <rFont val="Calibri"/>
        <family val="2"/>
        <scheme val="minor"/>
      </rPr>
      <t xml:space="preserve"> spp.</t>
    </r>
  </si>
  <si>
    <t>Fig. 4</t>
  </si>
  <si>
    <t>Earlier timing in habitat use</t>
  </si>
  <si>
    <t xml:space="preserve">https://pmc.ncbi.nlm.nih.gov/articles/PMC3001384/?utm_source=chatgpt.com#s3 </t>
  </si>
  <si>
    <t>Day of maximum pupping</t>
  </si>
  <si>
    <t xml:space="preserve">Wadden Sea </t>
  </si>
  <si>
    <t>Phoca vitulina</t>
  </si>
  <si>
    <t>Harbours seals</t>
  </si>
  <si>
    <t>Fig.2 but slope provided in the text</t>
  </si>
  <si>
    <t>Climate change is not discussed as a driver</t>
  </si>
  <si>
    <t xml:space="preserve">https://storage.googleapis.com/nmfs_odp_swfsc/Publications/Files/CR/2025/2025Eguchi.pdf </t>
  </si>
  <si>
    <t>Eguchi, T., Lang, A., &amp; Weller, D. (2025). NOAA Technical Memorandum NMFS ABUNDANCE OF EASTERN NORTH PACIFIC GRAY WHALES 2024/2025. https://doi.org/10.25923/jqea-s505</t>
  </si>
  <si>
    <t>Central California Coast</t>
  </si>
  <si>
    <t>Gray whale</t>
  </si>
  <si>
    <t>Eschrichtius robustus</t>
  </si>
  <si>
    <t>Median date of migration</t>
  </si>
  <si>
    <t xml:space="preserve">Fig. 3 </t>
  </si>
  <si>
    <t xml:space="preserve">https://naturalresources.wales/media/686259/eng-report-217-temporal-trends-and-phenology-in-grey-seal-halichoerus-grypus-pup-counts-skomer.pdf </t>
  </si>
  <si>
    <t>does not relate it to climate change</t>
  </si>
  <si>
    <t>https://www.nature.com/articles/s41598-021-92635-9#Sec16</t>
  </si>
  <si>
    <t>Kock, L. de, W. Chris Oosthuizen, Beltran, R. S., Bester, M. N., &amp; Nico, J. (2021). Determinants of moult haulout phenology and duration in southern elephant seals. Scientific Reports, 11(1). https://doi.org/10.1038/s41598-021-92635-9</t>
  </si>
  <si>
    <t>Marion Island, Southern Indian Ocean</t>
  </si>
  <si>
    <t xml:space="preserve">Southern </t>
  </si>
  <si>
    <t>Southern elephant seal</t>
  </si>
  <si>
    <t>Date of moulting</t>
  </si>
  <si>
    <t>Fig. 1 the moulting trends across age groups are similar so I just took one</t>
  </si>
  <si>
    <t>Sea ice, SST</t>
  </si>
  <si>
    <t>Moult later with climate change</t>
  </si>
  <si>
    <t xml:space="preserve">https://movementecologyjournal.biomedcentral.com/articles/10.1186/s40462-023-00374-5?utm_source=chatgpt.com </t>
  </si>
  <si>
    <t>less than 19 years</t>
  </si>
  <si>
    <t>there are mammals here  but probs already in our database</t>
  </si>
  <si>
    <t>Bull, J. C., Jones, O. R., Börger, L., Franconi, N., Banga, R., Lock, K., &amp; Stringell, T. B. (2021). Climate causes shifts in grey seal phenology by modifying age structure. Proceedings of the Royal Society B: Biological Sciences, 288(1964). https://doi.org/10.1098/rspb.2021.2284</t>
  </si>
  <si>
    <t>Skomer Marine Conservation Zone (SMCZ), Pembrokeshire, south Wales, UK</t>
  </si>
  <si>
    <t>Gray seals</t>
  </si>
  <si>
    <t>Halicheorus grypus</t>
  </si>
  <si>
    <t>Midpoint of pupping season</t>
  </si>
  <si>
    <t xml:space="preserve">Fig 2b. </t>
  </si>
  <si>
    <t>Earlier pupping season</t>
  </si>
  <si>
    <t>Ingman, K., Hines, E., Mazzini, P. L. F., Rockwood, R. C., Nur, N., &amp; Jahncke, J. (2021). Modeling changes in baleen whale seasonal abundance, timing of migration, and environmental variables to explain the sudden rise in entanglements in California. PLOS ONE, 16(4), e0248557. https://doi.org/10.1371/journal.pone.0248557</t>
  </si>
  <si>
    <t>Review paper on marine verts</t>
  </si>
  <si>
    <t>https://www.frontiersin.org/journals/environmental-science/articles/10.3389/fenvs.2024.1434549/full</t>
  </si>
  <si>
    <t>Hoover-Miller, A., Atkinson, S., Conlon, S., Prewitt, J., &amp; Armato, P. (2011). Persistent decline in abundance of harbor seals Phoca vitulina richardsi over three decades in Aialik Bay, an Alaskan tidewater glacial fjord. Marine Ecology Progress Series, 424, 259–271. https://doi.org/10.3354/meps08987</t>
  </si>
  <si>
    <t>Jemison, L. A., &amp; Kelly, B. P. (2001). PUPPING PHENOLOGY AND DEMOGRAPHY OF HARBOR SEALS (PHOCA VITULINA RICHARDSI)ON TUGIDAK ISLAND, ALASKA. Marine Mammal Science, 17(3), 585–600. https://doi.org/10.1111/j.1748-7692.2001.tb01006.x</t>
  </si>
  <si>
    <t>Dunlop, R., Gumley, E., McGrath, E. H., &amp; Noad, M. (2025). Southern Ocean humpback whales are shifting to an earlier return migration. Scientific Reports, 15(1). https://doi.org/10.1038/s41598-025-07010-9</t>
  </si>
  <si>
    <t xml:space="preserve">https://royalsocietypublishing.org/doi/10.1098/rspb.2024.1809#d1e1616 </t>
  </si>
  <si>
    <t>Rickwood, M. L., Tucker, E., Beton, D., Davey, S., Godley, B. J., Snape, R. T. E., Postma, E., &amp; Broderick, A. C. (2025). Individual plasticity in response to rising sea temperatures contributes to an advancement in green turtle nesting phenology. Proceedings of the Royal Society B: Biological Sciences, 292(2041). https://doi.org/10.1098/rspb.2024.1809</t>
  </si>
  <si>
    <t xml:space="preserve">https://www.int-res.com/articles/esr2025/56/n056p041.pdf </t>
  </si>
  <si>
    <t>Witt, M., Beton, D., Davey, S., Fuller, W., Godley, B., Özkan, M., Snape, R., Stokes, K., &amp; Broderick, A. (2025). Phenological shift mitigates predicted impacts of climate change on sea turtle offspring. Endangered Species Research, 56, 41–51. https://doi.org/10.3354/esr01382</t>
  </si>
  <si>
    <t>Ceriani, S. A., &amp; Casale, P. (2025). Long‐Term Incubation Duration Decline Indicates Climate‐Change Driven Feminization of Three Sea Turtle Species in Florida, USA. Global Change Biology, 31(10). https://doi.org/10.1111/gcb.70559</t>
  </si>
  <si>
    <t>https://sciences.ucf.edu/biology/games/wp-content/uploads/sites/13/2012/09/GCB-2004.pdf?utm_source=chatgpt.com</t>
  </si>
  <si>
    <t>14 years</t>
  </si>
  <si>
    <t>Patel, S. H., Morreale, S. J., Saba, V. S., Panagopoulou, A., Margaritoulis, D., &amp; Spotila, J. R. (2016). Climate Impacts on Sea Turtle Breeding Phenology in Greece and Associated Foraging Habitats in the Wider Mediterranean Region. PLOS ONE, 11(6), e0157170. https://doi.org/10.1371/journal.pone.0157170</t>
  </si>
  <si>
    <t>no access</t>
  </si>
  <si>
    <t>Robinson, N., Valentine, S., PS Tomillo, Saba, V., JR Spotila, &amp; Paladino, F. (2014). Multidecadal trends in the nesting phenology of Pacific and Atlantic leatherback turtles are associated with population demography. Endangered Species Research, 24(3), 197–206. https://doi.org/10.3354/esr00604</t>
  </si>
  <si>
    <t xml:space="preserve">https://pmc.ncbi.nlm.nih.gov/articles/PMC8049321/?utm_source=chatgpt.com#sec022 </t>
  </si>
  <si>
    <t>Southeast Farallon Island</t>
  </si>
  <si>
    <t>Blue whales</t>
  </si>
  <si>
    <t>Gray-south whales</t>
  </si>
  <si>
    <t>Gray-north whales</t>
  </si>
  <si>
    <t>Megaptera novaeanglia</t>
  </si>
  <si>
    <t>Balaenoptera musculu</t>
  </si>
  <si>
    <t>Day of arrival</t>
  </si>
  <si>
    <t>Day of departure</t>
  </si>
  <si>
    <t>Whales</t>
  </si>
  <si>
    <t>Earlier departure under warm SST</t>
  </si>
  <si>
    <t>Later arrival for krill specialists</t>
  </si>
  <si>
    <t xml:space="preserve">Relatively stable </t>
  </si>
  <si>
    <t>Fig. 4 (digitised and considered the y-axis scale in a way that each month is only 30 months)</t>
  </si>
  <si>
    <t xml:space="preserve">https://www.int-res.com/articles/meps_oa/m424p259.pdf </t>
  </si>
  <si>
    <t>Aialik Bay, Alaska</t>
  </si>
  <si>
    <t>Habour seal</t>
  </si>
  <si>
    <t>Day of peak pupping</t>
  </si>
  <si>
    <t xml:space="preserve">https://onlinelibrary.wiley.com/doi/epdf/10.1111/j.1748-7692.2001.tb01006.x?saml_referrer </t>
  </si>
  <si>
    <t>Tugidak Island, Alaska</t>
  </si>
  <si>
    <t>Table 2</t>
  </si>
  <si>
    <t>Phoca vitulina richardsi</t>
  </si>
  <si>
    <t xml:space="preserve">https://www.nature.com/articles/s41598-025-07010-9?utm_source=chatgpt.com#Sec2 </t>
  </si>
  <si>
    <t>Peregian Beach, Queensland, Australia</t>
  </si>
  <si>
    <t>Intermittent</t>
  </si>
  <si>
    <t>Southern Ocean humpback whales</t>
  </si>
  <si>
    <t>Day of adult peak presence</t>
  </si>
  <si>
    <t>Day of female-calf peak presence</t>
  </si>
  <si>
    <t>Day of singer peak start</t>
  </si>
  <si>
    <t>Day of singer peak end</t>
  </si>
  <si>
    <t>Fig. 3</t>
  </si>
  <si>
    <t>Earlier migration</t>
  </si>
  <si>
    <t>https://www.sciencedirect.com/science/article/pii/S2666900521000095#sec0007</t>
  </si>
  <si>
    <t xml:space="preserve">https://meetings.pices.int/publications/presentations/2018-Climate-Change/S08-D2-1140-Staudinger_R.pdf </t>
  </si>
  <si>
    <t>Staudinger, M., Pendleton, D., Jordaan, A., Yakola, K., &amp; Devine, M. (n.d.). Climate-induced shifts in phenology: Case studies of fish, whales, and seabirds in the Gulf of Maine. Retrieved October 29, 2025, from https://meetings.pices.int/publications/presentations/2018-Climate-Change/S08-D2-1140-Staudinger_R.pdf</t>
  </si>
  <si>
    <t>Right Whale</t>
  </si>
  <si>
    <t>Fin Whale</t>
  </si>
  <si>
    <t>Slide 26</t>
  </si>
  <si>
    <t>Slide 27</t>
  </si>
  <si>
    <t>Slide 28</t>
  </si>
  <si>
    <t>Slide 29</t>
  </si>
  <si>
    <t>Slide 30</t>
  </si>
  <si>
    <t>Alagadi Beach, North Cyprus</t>
  </si>
  <si>
    <t>Last Nest Date</t>
  </si>
  <si>
    <t>First Nest Date</t>
  </si>
  <si>
    <t>Median Nest Date</t>
  </si>
  <si>
    <t>Earlier nest daty</t>
  </si>
  <si>
    <t xml:space="preserve">https://onlinelibrary.wiley.com/doi/10.1111/gcb.70559?utm_source=chatgpt.com </t>
  </si>
  <si>
    <t xml:space="preserve">https://pmc.ncbi.nlm.nih.gov/articles/PMC4917093/?utm_source=chatgpt.com#ref-list1 </t>
  </si>
  <si>
    <t>Chan, Y. T., Pilcher, N., &amp; Cheng, I. J. (2025). A long-term study of green turtles on Lanyu Island, Taiwan, suggests resilience to global climate change. Endangered Species Research, 57, 81–89. https://doi.org/10.3354/esr01388</t>
  </si>
  <si>
    <t>https://crocdoc.ifas.ufl.edu/publications/articles/Mazzotti%20et%20al%202022%20croc%20nesting%20ecology.pdf?utm_source=chatgpt.com</t>
  </si>
  <si>
    <t>Colman, L. P., Baptistotte, C., Godley, B. J., Thomé, J. C. A., Marcondes, A. C., Monsinjon, J. R., Santos, A., Patrício, A. R. C., Stahelin, G., &amp; Broderick, A. C. (2025). Incubation duration and predicted hatchling sex ratios of leatherback turtles (Dermochelys coriacea) in the southwestern Atlantic Ocean (1988–2021). Journal of Experimental Marine Biology and Ecology, 586, 152100. https://doi.org/10.1016/j.jembe.2025.152100</t>
  </si>
  <si>
    <t>Weishampel, J., Bagley, D., Ehrhart, L., &amp; Weishampel, A. (2010). Nesting phenologies of two sympatric sea turtle species related to sea surface temperatures. Endangered Species Research, 12(1), 41–47. https://doi.org/10.3354/esr00290</t>
  </si>
  <si>
    <t xml:space="preserve">https://pmc.ncbi.nlm.nih.gov/articles/PMC3574410/ </t>
  </si>
  <si>
    <t xml:space="preserve">https://www.sciencedirect.com/science/article/pii/S0022098109002950#aep-section-id18 </t>
  </si>
  <si>
    <t>Mazaris, A. D., Kallimanis, A. S., Pantis, J. D., &amp; Hays, G. C. (2012). Phenological response of sea turtles to environmental variation across a species’ northern range. Proceedings of the Royal Society B Biological Sciences, 280(1751), 20122397–20122397. https://doi.org/10.1098/rspb.2012.2397</t>
  </si>
  <si>
    <t>Mediterranean</t>
  </si>
  <si>
    <t xml:space="preserve">https://www.semanticscholar.org/paper/Thirty-Eight-Years-of-Loggerhead-Turtle-Nesting-in-Margaritoulis-Louren%C3%A7o/aa0ae82be14b2e47f7b15f0e8e93153d04d325ca </t>
  </si>
  <si>
    <t xml:space="preserve">https://journals.plos.org/plosone/article?id=10.1371/journal.pone.0046920#s3 </t>
  </si>
  <si>
    <t>Mayeul Dalleau, Stéphane Ciccione, Mortimer, J. A., Garnier, J., Benhamou, S., &amp; Jérôme Bourjea. (2012). Nesting Phenology of Marine Turtles: Insights from a Regional Comparative Analysis on Green Turtle (Chelonia mydas). PLoS ONE, 7(10), e46920–e46920. https://doi.org/10.1371/journal.pone.0046920</t>
  </si>
  <si>
    <t>Mazaris, A. D., Kallimanis, A. S., Tzanopoulos, J., Sgardelis, S. P., &amp; Pantis, J. D. (2009). Sea surface temperature variations in core foraging grounds drive nesting trends and phenology of loggerhead turtles in the Mediterranean Sea. Journal of Experimental Marine Biology and Ecology, 379(1-2), 23–27. https://doi.org/10.1016/j.jembe.2009.07.026</t>
  </si>
  <si>
    <t>Neeman, N., Robinson, N. J., Paladino, F. V., Spotila, J. R., &amp; O’Connor, M. P. (2014). Phenology shifts in leatherback turtles (Dermochelys coriacea) due to changes in sea surface temperature. Journal of Experimental Marine Biology and Ecology, 462, 113–120. https://doi.org/10.1016/j.jembe.2014.10.019</t>
  </si>
  <si>
    <t>https://academic.oup.com/icesjms/article/81/3/600/7205703?utm_source=chatgpt.com&amp;login=false#447666750</t>
  </si>
  <si>
    <t xml:space="preserve">https://journals.plos.org/plosone/article?id=10.1371%2Fjournal.pone.0310388&amp;utm_source=chatgpt.com </t>
  </si>
  <si>
    <t>https://www.int-res.com/articles/meps2019/633/m633p157.pdf</t>
  </si>
  <si>
    <t>https://pmc.ncbi.nlm.nih.gov/articles/PMC3894899/#sec14</t>
  </si>
  <si>
    <t>https://onlinelibrary-wiley-com.simsrad.net.ocs.mq.edu.au/doi/full/10.1111%2Ffwb.13638</t>
  </si>
  <si>
    <t>https://agupubs-onlinelibrary-wiley-com.simsrad.net.ocs.mq.edu.au/doi/full/10.1029/2023JC019865</t>
  </si>
  <si>
    <t>phytoplankton</t>
  </si>
  <si>
    <t>Schneider, K. N., Newman, R. M., Card, V., Weisberg, S. &amp; Pereira, D. L. Timing of Walleye Spawning as an Indicator of 696 Climate Change. T Am Fish Soc 139, 1198-1210, doi:10.1577/T09-129.1 (2010)</t>
  </si>
  <si>
    <t>https://www.frontiersin.org/journals/ecology-and-evolution/articles/10.3389/fevo.2023.1304021/full#h4</t>
  </si>
  <si>
    <t>Chesapeake Bay </t>
  </si>
  <si>
    <t>Callinectes sapidus</t>
  </si>
  <si>
    <t>Blue crab</t>
  </si>
  <si>
    <t>Spawning onset</t>
  </si>
  <si>
    <t>Have to confirm with Ant how to deal about multiple metrics for the same species (But the trends are rather similar across, so just took one metric); Excluded the river data and only took the bay data</t>
  </si>
  <si>
    <t>Earlier spawning with warming waters</t>
  </si>
  <si>
    <t>Lobsters, crab, shrimps</t>
  </si>
  <si>
    <t>Molting</t>
  </si>
  <si>
    <t>Fig. 6 A (given the shift, I just got the shift in DOY based on the months and then divided that by overall study period years)</t>
  </si>
  <si>
    <t>Earlier molting with climate change</t>
  </si>
  <si>
    <t>Downs herring</t>
  </si>
  <si>
    <t>Spawning season peak month</t>
  </si>
  <si>
    <t>Eastern English Channel</t>
  </si>
  <si>
    <t>Fig. 3 (There are also other metrics measured i.e., end, duration, etc but they all have roughly the same trend for the same species, so I just digitsed the peak instead)</t>
  </si>
  <si>
    <t>Earlier peak with warming</t>
  </si>
  <si>
    <t xml:space="preserve">https://onlinelibrary.wiley.com/doi/10.1111/gcb.17285?utm_source=chatgpt.com </t>
  </si>
  <si>
    <t>Earlier shift with warming</t>
  </si>
  <si>
    <t>There are no figure shown, but the abstract states a forward shift in timing with climate change</t>
  </si>
  <si>
    <t>Nearshore habitat use</t>
  </si>
  <si>
    <t xml:space="preserve">https://oceanrep.geomar.de/id/eprint/60418/1/Journal%20of%20Fish%20Biology%20-%202024%20-%20Ory%20-%20Early%20arrival%20of%20spring%E2%80%90spawning%20Atlantic%20herring%20Clupea%20harengus%20at%20their%20spawning.pdf?utm_source=chatgpt.com </t>
  </si>
  <si>
    <t>Ory, N. C., Gröger, J. P., Lehmann, A., Mittermayer, F., Neuheimer, A. B., &amp; Catriona Clemmesen. (2024). Early arrival of spring‐spawning Atlantic herring Clupea harengus at their spawning ground in the Kiel Fjord, western Baltic, relates to increasing winter seawater temperature. Journal of Fish Biology. https://doi.org/10.1111/jfb.15811</t>
  </si>
  <si>
    <t>Kiel Fjord</t>
  </si>
  <si>
    <t>Figure 5. Took the x-axis coordinates for each year and then regressed it to get the trend</t>
  </si>
  <si>
    <t>First arrival</t>
  </si>
  <si>
    <t>Dalton, R. M., Sheppard, J. J., Finn, J. T., Jordaan, A., &amp; Staudinger, M. D. (2022). Phenological Variation in Spring Migration Timing of Adult Alewife in Coastal Massachusetts. Marine and Coastal Fisheries, 14(2).</t>
  </si>
  <si>
    <t xml:space="preserve">https://doi.org/10.1002/mcf2.10198 </t>
  </si>
  <si>
    <t>Earlier timing under warming</t>
  </si>
  <si>
    <t>ff</t>
  </si>
  <si>
    <t>PAR -Parker River, Ipswich Bay</t>
  </si>
  <si>
    <t>IPS - Ipswich River, Ipswich Bay</t>
  </si>
  <si>
    <t>LIT - Little River, Ipswich Bay</t>
  </si>
  <si>
    <t>JON - Jones River, Cape Cod Bay</t>
  </si>
  <si>
    <t>TOW - Town Brook, Cape Cod Bay</t>
  </si>
  <si>
    <t>NEM - Nemasket River, Mount Hope Bay</t>
  </si>
  <si>
    <t>ACU - Acushnet River, Buzzards Bay</t>
  </si>
  <si>
    <t>AGA - Agawam River, Buzzards Bay</t>
  </si>
  <si>
    <t>MON - Monument River, Cape Cod Bay</t>
  </si>
  <si>
    <t>STO - Stony Brook, Cape Cod Bay</t>
  </si>
  <si>
    <t>HER - Herring River, Nantucket Sound</t>
  </si>
  <si>
    <t xml:space="preserve">MAM - Marston Mills River, Nantucket Sound </t>
  </si>
  <si>
    <t>Initiation date</t>
  </si>
  <si>
    <t>Fig. 4 (Initiation Date) There are other metrics but they are all roughly the same</t>
  </si>
  <si>
    <t xml:space="preserve">https://onlinelibrary.wiley.com/doi/10.1002/aqc.70124?utm_source=chatgpt.com </t>
  </si>
  <si>
    <t>Cherbero, M., Teichert, N., De Oliveira, E., &amp; Céline Le Pichon. (2025). Coastal to Riverine Entry Timing During the Spawning Migration of the European Shads (Alosa spp.): Drivers and Phenological Trends for the French Atlantic Coast Populations. Aquatic Conservation Marine and Freshwater Ecosystems, 35(4). https://doi.org/10.1002/aqc.70124</t>
  </si>
  <si>
    <t>Nivelle</t>
  </si>
  <si>
    <t>Garonne</t>
  </si>
  <si>
    <t>Dordogne</t>
  </si>
  <si>
    <t>Aulne</t>
  </si>
  <si>
    <t>Vire</t>
  </si>
  <si>
    <t>European shad</t>
  </si>
  <si>
    <t>Alosa spp.</t>
  </si>
  <si>
    <t>Migration initation</t>
  </si>
  <si>
    <t>Fig. 5 The trends are already provided (I only got the initiation date)</t>
  </si>
  <si>
    <t>Kovach, R. P., Joyce, J. E., Echave, J. D., Lindberg, M. S., &amp; Tallmon, D. A. (2013). Earlier Migration Timing, Decreasing Phenotypic Variation, and Biocomplexity in Multiple Salmonid Species. PLoS ONE, 8(1), e53807. https://doi.org/10.1371/journal.pone.0053807</t>
  </si>
  <si>
    <t>Population annual mean day of nesting</t>
  </si>
  <si>
    <t>Remigrant annual mean day of nesting</t>
  </si>
  <si>
    <t>North Cyprus, Eastern Mediterranean</t>
  </si>
  <si>
    <t>Fig. 6</t>
  </si>
  <si>
    <t>Incubation duration</t>
  </si>
  <si>
    <t>NW, Florida</t>
  </si>
  <si>
    <t>NE, Florida</t>
  </si>
  <si>
    <t>CW, Florida</t>
  </si>
  <si>
    <t>CE, Florida</t>
  </si>
  <si>
    <t>SW, Florida</t>
  </si>
  <si>
    <t>SE, Florida</t>
  </si>
  <si>
    <t>Florida</t>
  </si>
  <si>
    <t>Leatherback sea turtle</t>
  </si>
  <si>
    <t>Dermochelys coriacea</t>
  </si>
  <si>
    <t>Incubation duration days</t>
  </si>
  <si>
    <t>Shorten incubation periods</t>
  </si>
  <si>
    <t xml:space="preserve">https://www.frontiersin.org/journals/ecology-and-evolution/articles/10.3389/fevo.2022.915854/full </t>
  </si>
  <si>
    <t>Eyto, E. de, Kelly, S., Rogan, G., French, A., Cooney, J., Murphy, M., Nixon, P., Hughes, P., Sweeney, D., McGinnity, P., Dillane, M., &amp; Poole, R. (2022). Decadal Trends in the Migration Phenology of Diadromous Fishes Native to the Burrishoole Catchment, Ireland. Frontiers in Ecology and Evolution, 10. https://doi.org/10.3389/fevo.2022.915854</t>
  </si>
  <si>
    <t>Burishoole Catchment, Ireland</t>
  </si>
  <si>
    <t xml:space="preserve">Eel </t>
  </si>
  <si>
    <t xml:space="preserve">Salmon </t>
  </si>
  <si>
    <t>Peak arrival</t>
  </si>
  <si>
    <t>Peak departure</t>
  </si>
  <si>
    <t xml:space="preserve">Salmon  </t>
  </si>
  <si>
    <t xml:space="preserve">Trout </t>
  </si>
  <si>
    <t>Trout</t>
  </si>
  <si>
    <t>Salmo trutta</t>
  </si>
  <si>
    <t>Earlier migration with climate change</t>
  </si>
  <si>
    <t>Fig. 3 Just took the median 50% percentile as peak migration abundance</t>
  </si>
  <si>
    <t xml:space="preserve">https://www.sciencedirect.com/science/article/pii/S0006320705000789 </t>
  </si>
  <si>
    <t xml:space="preserve">https://www.sciencedirect.com/science/article/pii/S0967064517302151?via%3Dihub#s0070 </t>
  </si>
  <si>
    <t>Erauskin-Extramiana, M., Alvarez, P., Arrizabalaga, H., Ibaibarriaga, L., Uriarte, A., Cotano, U., Santos, M., Ferrer, L., Cabré, A., Irigoien, X., &amp; Chust, G. (2019). Historical trends and future distribution of anchovy spawning in the Bay of Biscay. Deep Sea Research Part II: Topical Studies in Oceanography, 159, 169–182. https://doi.org/10.1016/j.dsr2.2018.07.007</t>
  </si>
  <si>
    <t>Anchovy</t>
  </si>
  <si>
    <t>Legrand, M., Briand, C., Buisson, L., Besse, T., Gwenaël Artur, Azam, D., Baisez, A., Barracou, D., Bourré, N., Carry, L., Anne‐Laure Caudal, Corre, J., Croguennec, E., Mikaélian, S. D., Josset, Q., Laëtitia Le Gurun, Schaeffer, F., Toussaint, R., &amp; Pascal Laffaille. (2020). Diadromous fish modified timing of upstream migration over the last 30 years in France. Freshwater Biology, 66(2), 286–302. https://doi.org/10.1111/fwb.13638</t>
  </si>
  <si>
    <t>French Rivers</t>
  </si>
  <si>
    <t>Petromyzon marinus</t>
  </si>
  <si>
    <t>Glass eel</t>
  </si>
  <si>
    <t>Yello eel</t>
  </si>
  <si>
    <t>Change in migration for the median date</t>
  </si>
  <si>
    <t>Sea lamprey</t>
  </si>
  <si>
    <t xml:space="preserve">Brown trout </t>
  </si>
  <si>
    <t xml:space="preserve">Table 2. Just get median date </t>
  </si>
  <si>
    <t>Earlier migration with warming</t>
  </si>
  <si>
    <t>Teal, L.R. et al. (2008). Effects of climate change on growth of 0-group sole and plaice. Marine Ecology Progress Series 358:219-230</t>
  </si>
  <si>
    <t>https://www.researchgate.net/publication/236009515_Effects_of_climate_change_on_growth_of_0-group_sole_and_plaice</t>
  </si>
  <si>
    <t xml:space="preserve">Northern </t>
  </si>
  <si>
    <t>Dutch coast</t>
  </si>
  <si>
    <t>Danish coast</t>
  </si>
  <si>
    <t>From the Poloczanska paper</t>
  </si>
  <si>
    <t>~</t>
  </si>
  <si>
    <t xml:space="preserve"> Fig. 6 (multiplied slope with 10) as time is based on PT (phenological trend = date of peak abundance)</t>
  </si>
  <si>
    <t>Fournier, R. J., Colombano, D. D., Latour, R. J., Carlson, S. M., &amp; Ruhi, A. (2024). Long‐term data reveal widespread phenological change across major US estuarine food webs. Ecology Letters, 27(12)</t>
  </si>
  <si>
    <t>https://doi.org/10.1111/ele.14441</t>
  </si>
  <si>
    <t>Delta Region, San Francisco Bay</t>
  </si>
  <si>
    <t>Suisun Bay, San Francisco Bay</t>
  </si>
  <si>
    <t xml:space="preserve">Continuous </t>
  </si>
  <si>
    <t>San Pablo Bay, San Francisco Bay</t>
  </si>
  <si>
    <t>Morone saxatilis juv</t>
  </si>
  <si>
    <t xml:space="preserve">Morone saxatilis </t>
  </si>
  <si>
    <t>Engraulis mordax juv</t>
  </si>
  <si>
    <t>Sprinchus thaleichthys</t>
  </si>
  <si>
    <t>Engraulis mordax juv.</t>
  </si>
  <si>
    <t>Genyonemus lineatus</t>
  </si>
  <si>
    <t>Change in peak abundance</t>
  </si>
  <si>
    <t>Advancement in peak dates with climate change</t>
  </si>
  <si>
    <t>Temperature</t>
  </si>
  <si>
    <t>https://academic-oup-com.simsrad.net.ocs.mq.edu.au/najfm/article/29/6/1584/7847119?login=true&amp;token=eyJhbGciOiJub25lIn0.eyJleHAiOjE3NjQ5OTcwMTgsImp0aSI6Ijc0N2IxYTkxLTAzNTAtNDJkMi05NzA5LTc4ODI0NWZjZWM5ZiJ9.#497048268</t>
  </si>
  <si>
    <t>Southern New Englad Streams</t>
  </si>
  <si>
    <t>Ellis, D., &amp; Vokoun, J. C. (2009). Earlier spring warming of coastal streams and implications for Alewife migration timing. North American Journal of Fisheries Management, 29(6), 1584–1589.</t>
  </si>
  <si>
    <t>First day of year occurrence</t>
  </si>
  <si>
    <t>Earlier appearance with cliamte change</t>
  </si>
  <si>
    <t>Fig. 2 (or the written Results) but the values are also given in the review article here: https://onlinelibrary-wiley-com.simsrad.net.ocs.mq.edu.au/doi/full/10.1111/fog.12429</t>
  </si>
  <si>
    <t>https://link-springer-com.simsrad.net.ocs.mq.edu.au/article/10.1023/A:1026360615401</t>
  </si>
  <si>
    <t>Huntington, T. G., Hodgkins, G. A., &amp; Dudley, R. W. (2003). Historical trend in river ice thickness and coherence in hydroclimatological trends in Maine. Climatic Change, 61, 217–236. https://doi.org/10.1023/A:1026360615401</t>
  </si>
  <si>
    <t>Androscoggin River, Midcoast Maine</t>
  </si>
  <si>
    <t>Median capture date</t>
  </si>
  <si>
    <t>Earlier capture with climate change</t>
  </si>
  <si>
    <t>Fig. 9 but the values are also given in the review article here: https://onlinelibrary-wiley-com.simsrad.net.ocs.mq.edu.au/doi/full/10.1111/fog.12429</t>
  </si>
  <si>
    <t>Penobscot River, Midcoast Maine</t>
  </si>
  <si>
    <t>https://academic.oup.com/tafs/article/139/4/1198/7877414</t>
  </si>
  <si>
    <t>Big Lake Creek</t>
  </si>
  <si>
    <t>Boy River</t>
  </si>
  <si>
    <t>Bucks Mill</t>
  </si>
  <si>
    <t>Little Cut Foot Sioux Lake</t>
  </si>
  <si>
    <t xml:space="preserve">Little Cut Foot Sious Lake </t>
  </si>
  <si>
    <t>Dead River</t>
  </si>
  <si>
    <t>Lake Koronis</t>
  </si>
  <si>
    <t>Lake Sallie</t>
  </si>
  <si>
    <t>Otter Tail River</t>
  </si>
  <si>
    <t>Pike River</t>
  </si>
  <si>
    <t>Pine River</t>
  </si>
  <si>
    <t>Rice Lake</t>
  </si>
  <si>
    <t xml:space="preserve">St. Louis River </t>
  </si>
  <si>
    <t>Table 3 (only getting peak abundance)</t>
  </si>
  <si>
    <t xml:space="preserve">Peak egg-take </t>
  </si>
  <si>
    <t>Sander vitreus</t>
  </si>
  <si>
    <t>Walleye</t>
  </si>
  <si>
    <t>Earlier peak abundance with climate change</t>
  </si>
  <si>
    <t>Table 2 has other studies related to other traits (phenology difference timing)</t>
  </si>
  <si>
    <t>Kuczynski, L., Chevalier, M., Laffaille, P., Legrand, M., &amp; Grenouillet, G. (2017). Indirect effect of temperature on fish population abundances through phenological changes. PLOS ONE, 12(4), e0175735. https://doi.org/10.1371/journal.pone.0175735</t>
  </si>
  <si>
    <t>https://pmc.ncbi.nlm.nih.gov/articles/PMC5395187/#sec006</t>
  </si>
  <si>
    <t>Issue: not known which fishes were collect in which areas????</t>
  </si>
  <si>
    <t>https://journals.plos.org/plosone/article?id=10.1371/journal.pone.0053807</t>
  </si>
  <si>
    <t>Even year pink</t>
  </si>
  <si>
    <t>Odd year pink</t>
  </si>
  <si>
    <t>Sockeye</t>
  </si>
  <si>
    <t>Sockeye jacks</t>
  </si>
  <si>
    <t>Coho</t>
  </si>
  <si>
    <t>Coho jacks</t>
  </si>
  <si>
    <t>Change in migration arrival</t>
  </si>
  <si>
    <t>Earlier migration with timing</t>
  </si>
  <si>
    <t>Change in departure</t>
  </si>
  <si>
    <t xml:space="preserve">Valiente, A. G., Juanes, F., &amp; E. Garcia‐Vazquez. (2011). Increasing Regional Temperatures Associated with Delays in Atlantic Salmon Sea‐Run Timing at the Southern Edge of the European Distribution. Transactions of the American Fisheries Society, 140(2), 367–373. </t>
  </si>
  <si>
    <t>https://doi.org/10.1080/00028487.2011.557018</t>
  </si>
  <si>
    <t>Salmon salar</t>
  </si>
  <si>
    <t>First catch dates</t>
  </si>
  <si>
    <t>e 42.868803 -3.786340</t>
  </si>
  <si>
    <t>Eo, Bay of Biscay</t>
  </si>
  <si>
    <t>Esva, Bay of Biscay</t>
  </si>
  <si>
    <t>Narcea, Bay of Biscay</t>
  </si>
  <si>
    <t>Sella, Bay of Biscay</t>
  </si>
  <si>
    <t>Cares, Bay of Biscay</t>
  </si>
  <si>
    <t>Dahl, J., Dannewitz, J., Karlsson, L., Petersson, E., Löf, A., &amp; Ragnarsson, B. (2004). The timing of spawning migration: implications of environmental variation, life history, and sex. Canadian Journal of Zoology, 82(12), 1864–1870. https://doi.org/10.1139/z04-184</t>
  </si>
  <si>
    <t>Dalälven River</t>
  </si>
  <si>
    <t>https://besjournals.onlinelibrary.wiley.com/doi/full/10.1111/j.0021-8790.2004.00810.x</t>
  </si>
  <si>
    <t xml:space="preserve">https://cdnsciencepub.com/doi/10.1139/z04-184 </t>
  </si>
  <si>
    <t>T</t>
  </si>
  <si>
    <t>Migration occurs earlier in warming years (Fig. 2)</t>
  </si>
  <si>
    <t>Median run date</t>
  </si>
  <si>
    <t>Brown trout</t>
  </si>
  <si>
    <t>Salmon trutta</t>
  </si>
  <si>
    <t>Migration occurs earlier in warming years (Fig. 3)</t>
  </si>
  <si>
    <t xml:space="preserve">https://doi.org/10.1080/00028487.2011.557018 </t>
  </si>
  <si>
    <t>Increasing temperature will delay sea-run first arrival</t>
  </si>
  <si>
    <t xml:space="preserve">https://academic.oup.com/icesjms/article/69/9/1563/634513 </t>
  </si>
  <si>
    <t>Russell, I. C., Aprahamian, M. W., Barry, J., Davidson, I. C., Fiske, P., Ibbotson, A. T., Kennedy, R. J., Maclean, J. C., Moore, A., Otero, J., Potter, T. (E. C. E. ), &amp; Todd, C. D. (2012). The influence of the freshwater environment and the biological characteristics of Atlantic salmon smolts on their subsequent marine survival. ICES Journal of Marine Science, 69(9), 1563–1573. https://doi.org/10.1093/icesjms/fsr208</t>
  </si>
  <si>
    <t>Residual day of the year</t>
  </si>
  <si>
    <t>Earlier smolt migration with climate warming</t>
  </si>
  <si>
    <t xml:space="preserve">https://onlinelibrary.wiley.com/doi/10.1002/ece3.337 </t>
  </si>
  <si>
    <t xml:space="preserve">https://esajournals.onlinelibrary.wiley.com/doi/abs/10.2307/2265584 </t>
  </si>
  <si>
    <t>Otero, J., Jensen, A. J., L’Abée‐Lund, J. H., Stenseth, N. Chr., Storvik, G. O., &amp; Vøllestad, L. A. (2012). Contemporary ocean warming and freshwater conditions are related to later sea age at maturity in Atlantic salmon spawning in Norwegian rivers. Ecology and Evolution, 2(9), 2192–2203. https://doi.org/10.1002/ece3.337</t>
  </si>
  <si>
    <t>Age-at-maturity phenology</t>
  </si>
  <si>
    <t>Fish are now more likely to stay an extra year at sea before maturing and returning to spawn → that’s a delay in age at maturity (they come back in a later calendar year).</t>
  </si>
  <si>
    <t>Norwegian Rivers</t>
  </si>
  <si>
    <t>Quinn, T. P., &amp; Adams, D. J. (1996). Environmental Changes Affecting the Migratory Timing of American Shad and Sockeye Salmon. Ecology, 77(4), 1151–1162. https://doi.org/10.2307/2265584</t>
  </si>
  <si>
    <t>Bonneville Dam</t>
  </si>
  <si>
    <t>Peak median date</t>
  </si>
  <si>
    <t>Earlier migration under warming conditions</t>
  </si>
  <si>
    <t>No major phenological change expected</t>
  </si>
  <si>
    <t xml:space="preserve">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
  </si>
  <si>
    <t>Bream</t>
  </si>
  <si>
    <t>Roach</t>
  </si>
  <si>
    <t>Peeter Nõges, &amp; Arvo Järvet. (2005). Climate driven changes in the spawning of roach (Rutilus rutilus (L.)) and bream (Abramis brama (L.)) in... Boreal Environment Research, 10(1). https://www.researchgate.net/publication/238092143_Climate_driven_changes_in_the_spawning_of_roach_Rutilus_rutilus_L_and_bream_Abramis_brama_L_in_the_Estonian_part_of_the_Narva_River_basin</t>
  </si>
  <si>
    <t>Narva River</t>
  </si>
  <si>
    <t>Rutilus rutilus</t>
  </si>
  <si>
    <t>Abramis brama</t>
  </si>
  <si>
    <t>Day of spawning</t>
  </si>
  <si>
    <t>Earlier spawning onset with CC</t>
  </si>
  <si>
    <t>this has everything for distribution: https://chatgpt.com/c/69103887-02cc-8324-b33e-ab87c717a6cc</t>
  </si>
  <si>
    <t>Zakynthos</t>
  </si>
  <si>
    <t>Date of first female emergence</t>
  </si>
  <si>
    <t>Figure 3 and Figure S4. Use both slopes to get change in days/decade</t>
  </si>
  <si>
    <t>Earlier emergence with climate change</t>
  </si>
  <si>
    <t xml:space="preserve">https://www.researchgate.net/publication/285106873_Multidecadal_trends_in_the_nesting_phenology_of_Pacific_and_Atlantic_leatherback_turtles_are_associated_with_population_demography </t>
  </si>
  <si>
    <t>Median nesting date</t>
  </si>
  <si>
    <t>Playa Grande, Costa Rica</t>
  </si>
  <si>
    <t>Sandy Point, US Virgin Islands</t>
  </si>
  <si>
    <t>Earlier nesting date with warming</t>
  </si>
  <si>
    <t xml:space="preserve">https://www.int-res.com/articles/esr2025/57/n057p081.pdf </t>
  </si>
  <si>
    <t xml:space="preserve">https://www.sciencedirect.com/science/article/pii/S0022098125000206?utm_source=chatgpt.com#s0050 </t>
  </si>
  <si>
    <t>for distribution</t>
  </si>
  <si>
    <t>No clear evidence that cliamte change caused changes in median nesting date</t>
  </si>
  <si>
    <t>Abstract</t>
  </si>
  <si>
    <t>South West Indian Ocean</t>
  </si>
  <si>
    <t>Nesting dates</t>
  </si>
  <si>
    <t xml:space="preserve">https://www.sciencedirect.com/science/article/pii/S0022098114002809 </t>
  </si>
  <si>
    <t>Tortuguero, Costa Rica</t>
  </si>
  <si>
    <t>Departure month</t>
  </si>
  <si>
    <t xml:space="preserve">Warming </t>
  </si>
  <si>
    <t>Table 1. Look at the correlation values for departure month. Although there are multiple foraging areas, you can look at least one that has a significant result and based the result from there (if any)</t>
  </si>
  <si>
    <t xml:space="preserve">Earlier nesting under warming </t>
  </si>
  <si>
    <t xml:space="preserve">https://www.int-res.com/articles/esr2010/12/n012p041.pdf </t>
  </si>
  <si>
    <t>East Central Florida, USA</t>
  </si>
  <si>
    <t>Median ordinal day of nesting</t>
  </si>
  <si>
    <t>Earlier nesting with climate change</t>
  </si>
  <si>
    <t>Get Slope from fig. 3 and then slope for May SST from Fig.6 and then get change in days/dec</t>
  </si>
  <si>
    <t>Date of nesting</t>
  </si>
  <si>
    <t xml:space="preserve">Earlier nesting </t>
  </si>
  <si>
    <t>Fig. 4 the slope show earlier phenology with warming</t>
  </si>
  <si>
    <t>Lanyu Island</t>
  </si>
  <si>
    <t>Internesting interval</t>
  </si>
  <si>
    <t>Espirito Santo, Brazil</t>
  </si>
  <si>
    <t>Delay in nesting (into cooler months)</t>
  </si>
  <si>
    <t>Fig. 3b</t>
  </si>
  <si>
    <t xml:space="preserve">Shortened nesting duration with warming </t>
  </si>
  <si>
    <t>Date of first emergence</t>
  </si>
  <si>
    <t>Earlier emergence with cliamte change</t>
  </si>
  <si>
    <t>Fig. 2 but use Fig. 1 to get the slope for change in T per year multiplies with Fig. 2</t>
  </si>
  <si>
    <t xml:space="preserve">https://www.frontiersin.org/journals/marine-science/articles/10.3389/fmars.2025.1595960/full </t>
  </si>
  <si>
    <t>https://academic.oup.com/icesjms/article/77/1/109/5688942#198827865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</si>
</sst>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2" x14ac:knownFonts="1">
    <font>
      <sz val="12"/>
      <color theme="1"/>
      <name val="Calibri"/>
      <family val="2"/>
      <scheme val="minor"/>
    </font>
    <font>
      <sz val="11"/>
      <color theme="1"/>
      <name val="Calibri"/>
      <family val="2"/>
      <scheme val="minor"/>
    </font>
    <font>
      <b/>
      <sz val="12"/>
      <color theme="1"/>
      <name val="Calibri"/>
      <family val="2"/>
      <scheme val="minor"/>
    </font>
    <font>
      <sz val="11"/>
      <color theme="1"/>
      <name val="Calibri"/>
      <family val="2"/>
      <scheme val="minor"/>
    </font>
    <font>
      <sz val="8"/>
      <color theme="1"/>
      <name val="Helvetica"/>
      <family val="2"/>
    </font>
    <font>
      <sz val="12"/>
      <color rgb="FF000000"/>
      <name val="Calibri"/>
      <family val="2"/>
      <scheme val="minor"/>
    </font>
    <font>
      <sz val="12"/>
      <color rgb="FF1B1C20"/>
      <name val="Calibri"/>
      <family val="2"/>
      <scheme val="minor"/>
    </font>
    <font>
      <sz val="12"/>
      <color rgb="FF222222"/>
      <name val="Calibri"/>
      <family val="2"/>
      <scheme val="minor"/>
    </font>
    <font>
      <sz val="12"/>
      <color rgb="FF2E2E2E"/>
      <name val="Calibri"/>
      <family val="2"/>
      <scheme val="minor"/>
    </font>
    <font>
      <sz val="8"/>
      <name val="Calibri"/>
      <family val="2"/>
      <scheme val="minor"/>
    </font>
    <font>
      <sz val="11"/>
      <color rgb="FF000000"/>
      <name val="Lucida Grande"/>
      <family val="2"/>
    </font>
    <font>
      <sz val="11"/>
      <color theme="1"/>
      <name val="Lucida Grande"/>
      <family val="2"/>
    </font>
    <font>
      <sz val="10"/>
      <color theme="1"/>
      <name val="Helvetica"/>
      <family val="2"/>
    </font>
    <font>
      <sz val="10"/>
      <color rgb="FF1B1C20"/>
      <name val="Helvetica"/>
      <family val="2"/>
    </font>
    <font>
      <sz val="12"/>
      <color theme="1"/>
      <name val="Helvetica"/>
      <family val="2"/>
    </font>
    <font>
      <sz val="12"/>
      <color rgb="FF202124"/>
      <name val="Calibri"/>
      <family val="2"/>
      <scheme val="minor"/>
    </font>
    <font>
      <sz val="12"/>
      <color rgb="FF231F20"/>
      <name val="Calibri"/>
      <family val="2"/>
      <scheme val="minor"/>
    </font>
    <font>
      <sz val="24"/>
      <color rgb="FF505050"/>
      <name val="Georgia"/>
      <family val="1"/>
    </font>
    <font>
      <u/>
      <sz val="12"/>
      <color theme="10"/>
      <name val="Calibri"/>
      <family val="2"/>
      <scheme val="minor"/>
    </font>
    <font>
      <i/>
      <sz val="12"/>
      <color theme="1"/>
      <name val="Calibri"/>
      <family val="2"/>
      <scheme val="minor"/>
    </font>
    <font>
      <sz val="12"/>
      <color theme="1"/>
      <name val="Calibri"/>
      <family val="2"/>
      <scheme val="minor"/>
    </font>
    <font>
      <sz val="12"/>
      <color theme="1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7"/>
        <bgColor indexed="64"/>
      </patternFill>
    </fill>
    <fill>
      <patternFill patternType="solid">
        <fgColor theme="5" tint="0.59999389629810485"/>
        <bgColor indexed="64"/>
      </patternFill>
    </fill>
    <fill>
      <patternFill patternType="solid">
        <fgColor rgb="FF00B050"/>
        <bgColor indexed="64"/>
      </patternFill>
    </fill>
  </fills>
  <borders count="2">
    <border>
      <left/>
      <right/>
      <top/>
      <bottom/>
      <diagonal/>
    </border>
    <border>
      <left style="thin">
        <color indexed="64"/>
      </left>
      <right/>
      <top/>
      <bottom/>
      <diagonal/>
    </border>
  </borders>
  <cellStyleXfs count="2">
    <xf numFmtId="0" fontId="0" fillId="0" borderId="0"/>
    <xf numFmtId="0" fontId="18" fillId="0" borderId="0" applyNumberFormat="0" applyFill="0" applyBorder="0" applyAlignment="0" applyProtection="0"/>
  </cellStyleXfs>
  <cellXfs count="77">
    <xf numFmtId="0" fontId="0" fillId="0" borderId="0" xfId="0"/>
    <xf numFmtId="0" fontId="2" fillId="0" borderId="0" xfId="0" applyFont="1"/>
    <xf numFmtId="0" fontId="3" fillId="0" borderId="0" xfId="0" applyFont="1"/>
    <xf numFmtId="0" fontId="4" fillId="0" borderId="0" xfId="0" applyFont="1"/>
    <xf numFmtId="0" fontId="0" fillId="2" borderId="0" xfId="0" applyFill="1"/>
    <xf numFmtId="0" fontId="5" fillId="0" borderId="0" xfId="0" applyFont="1"/>
    <xf numFmtId="0" fontId="6" fillId="0" borderId="0" xfId="0" applyFont="1"/>
    <xf numFmtId="0" fontId="0" fillId="0" borderId="0" xfId="0" quotePrefix="1"/>
    <xf numFmtId="0" fontId="7" fillId="2" borderId="0" xfId="0" applyFont="1" applyFill="1"/>
    <xf numFmtId="0" fontId="0" fillId="2" borderId="0" xfId="0" quotePrefix="1" applyFill="1"/>
    <xf numFmtId="0" fontId="8" fillId="0" borderId="0" xfId="0" applyFont="1"/>
    <xf numFmtId="0" fontId="0" fillId="0" borderId="1" xfId="0" applyBorder="1"/>
    <xf numFmtId="2" fontId="2" fillId="0" borderId="0" xfId="0" applyNumberFormat="1" applyFont="1"/>
    <xf numFmtId="2" fontId="0" fillId="0" borderId="0" xfId="0" applyNumberFormat="1"/>
    <xf numFmtId="2" fontId="7" fillId="0" borderId="0" xfId="0" applyNumberFormat="1" applyFont="1"/>
    <xf numFmtId="0" fontId="10" fillId="0" borderId="0" xfId="0" applyFont="1"/>
    <xf numFmtId="0" fontId="11" fillId="0" borderId="0" xfId="0" applyFont="1"/>
    <xf numFmtId="16" fontId="0" fillId="0" borderId="0" xfId="0" applyNumberForma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0" fillId="3" borderId="0" xfId="0" applyFill="1"/>
    <xf numFmtId="2" fontId="7" fillId="3" borderId="0" xfId="0" applyNumberFormat="1" applyFont="1" applyFill="1"/>
    <xf numFmtId="2" fontId="0" fillId="3" borderId="0" xfId="0" applyNumberFormat="1" applyFill="1"/>
    <xf numFmtId="16" fontId="0" fillId="3" borderId="0" xfId="0" applyNumberFormat="1" applyFill="1"/>
    <xf numFmtId="0" fontId="10" fillId="3" borderId="0" xfId="0" applyFont="1" applyFill="1"/>
    <xf numFmtId="0" fontId="5" fillId="3" borderId="0" xfId="0" applyFont="1" applyFill="1"/>
    <xf numFmtId="0" fontId="3" fillId="3" borderId="0" xfId="0" applyFont="1" applyFill="1"/>
    <xf numFmtId="0" fontId="6" fillId="3" borderId="0" xfId="0" applyFont="1" applyFill="1"/>
    <xf numFmtId="0" fontId="4" fillId="3" borderId="0" xfId="0" applyFont="1" applyFill="1"/>
    <xf numFmtId="0" fontId="8" fillId="3" borderId="0" xfId="0" applyFont="1" applyFill="1"/>
    <xf numFmtId="0" fontId="0" fillId="3" borderId="0" xfId="0" applyFill="1" applyAlignment="1">
      <alignment wrapText="1"/>
    </xf>
    <xf numFmtId="0" fontId="13" fillId="3" borderId="0" xfId="0" applyFont="1" applyFill="1"/>
    <xf numFmtId="0" fontId="15" fillId="3" borderId="0" xfId="0" applyFont="1" applyFill="1"/>
    <xf numFmtId="2" fontId="0" fillId="2" borderId="0" xfId="0" applyNumberFormat="1" applyFill="1"/>
    <xf numFmtId="0" fontId="18" fillId="0" borderId="0" xfId="1"/>
    <xf numFmtId="0" fontId="10" fillId="2" borderId="0" xfId="0" applyFont="1" applyFill="1"/>
    <xf numFmtId="0" fontId="2" fillId="2" borderId="0" xfId="0" applyFont="1" applyFill="1"/>
    <xf numFmtId="0" fontId="0" fillId="0" borderId="0" xfId="0" applyAlignment="1">
      <alignment horizontal="left"/>
    </xf>
    <xf numFmtId="1" fontId="0" fillId="0" borderId="0" xfId="0" applyNumberFormat="1"/>
    <xf numFmtId="164" fontId="0" fillId="0" borderId="0" xfId="0" applyNumberFormat="1" applyAlignment="1">
      <alignment horizontal="right"/>
    </xf>
    <xf numFmtId="164" fontId="0" fillId="0" borderId="0" xfId="0" applyNumberFormat="1"/>
    <xf numFmtId="1" fontId="0" fillId="2" borderId="0" xfId="0" applyNumberFormat="1" applyFill="1"/>
    <xf numFmtId="164" fontId="0" fillId="2" borderId="0" xfId="0" applyNumberFormat="1" applyFill="1" applyAlignment="1">
      <alignment horizontal="right"/>
    </xf>
    <xf numFmtId="0" fontId="1" fillId="2" borderId="0" xfId="0" applyFont="1" applyFill="1"/>
    <xf numFmtId="0" fontId="0" fillId="0" borderId="0" xfId="0" applyAlignment="1">
      <alignment horizontal="left" vertical="center" indent="1"/>
    </xf>
    <xf numFmtId="0" fontId="18" fillId="0" borderId="0" xfId="1" applyAlignment="1">
      <alignment horizontal="left" vertical="center" indent="1"/>
    </xf>
    <xf numFmtId="0" fontId="19" fillId="0" borderId="0" xfId="0" applyFont="1"/>
    <xf numFmtId="0" fontId="0" fillId="4" borderId="0" xfId="0" applyFill="1"/>
    <xf numFmtId="0" fontId="0" fillId="5" borderId="0" xfId="0" applyFill="1"/>
    <xf numFmtId="0" fontId="6" fillId="5" borderId="0" xfId="0" applyFont="1" applyFill="1"/>
    <xf numFmtId="2" fontId="0" fillId="5" borderId="0" xfId="0" applyNumberFormat="1" applyFill="1"/>
    <xf numFmtId="0" fontId="16" fillId="5" borderId="0" xfId="0" applyFont="1" applyFill="1"/>
    <xf numFmtId="0" fontId="0" fillId="6" borderId="0" xfId="0" applyFill="1"/>
    <xf numFmtId="0" fontId="20" fillId="0" borderId="0" xfId="1" applyFont="1"/>
    <xf numFmtId="0" fontId="0" fillId="0" borderId="0" xfId="1" applyFont="1"/>
    <xf numFmtId="0" fontId="0" fillId="2" borderId="0" xfId="1" applyFont="1" applyFill="1"/>
    <xf numFmtId="0" fontId="20" fillId="2" borderId="0" xfId="1" applyFont="1" applyFill="1"/>
    <xf numFmtId="0" fontId="20" fillId="0" borderId="0" xfId="1" applyFont="1" applyFill="1"/>
    <xf numFmtId="0" fontId="0" fillId="7" borderId="0" xfId="0" applyFill="1"/>
    <xf numFmtId="0" fontId="0" fillId="8" borderId="0" xfId="0" applyFill="1"/>
    <xf numFmtId="0" fontId="18" fillId="8" borderId="0" xfId="1" applyFill="1"/>
    <xf numFmtId="0" fontId="0" fillId="8" borderId="0" xfId="1" applyFont="1" applyFill="1"/>
    <xf numFmtId="2" fontId="0" fillId="8" borderId="0" xfId="0" applyNumberFormat="1" applyFill="1"/>
    <xf numFmtId="0" fontId="18" fillId="0" borderId="0" xfId="1" applyFill="1"/>
    <xf numFmtId="0" fontId="0" fillId="0" borderId="0" xfId="1" applyFont="1" applyFill="1"/>
    <xf numFmtId="0" fontId="0" fillId="6" borderId="0" xfId="1" applyFont="1" applyFill="1"/>
    <xf numFmtId="0" fontId="20" fillId="6" borderId="0" xfId="1" applyFont="1" applyFill="1"/>
    <xf numFmtId="2" fontId="0" fillId="6" borderId="0" xfId="0" applyNumberFormat="1" applyFill="1"/>
    <xf numFmtId="0" fontId="21" fillId="0" borderId="0" xfId="1" applyFont="1"/>
    <xf numFmtId="0" fontId="19" fillId="0" borderId="0" xfId="0" applyFont="1" applyAlignment="1">
      <alignment vertical="center" wrapText="1"/>
    </xf>
    <xf numFmtId="0" fontId="18" fillId="9" borderId="0" xfId="1" applyFill="1"/>
    <xf numFmtId="0" fontId="0" fillId="9" borderId="0" xfId="0" applyFill="1"/>
    <xf numFmtId="2" fontId="0" fillId="9"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ris Esturas" id="{8BC2B38C-11C0-4621-9ED4-28D254EB628E}" userId="S::kris.esturas@mq.edu.au::60c470c4-ff90-4860-a2e4-78e4ef4dea1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073" dT="2025-10-09T12:23:36.12" personId="{8BC2B38C-11C0-4621-9ED4-28D254EB628E}" id="{5787ACAF-5C01-469E-B579-0D67E6E10425}">
    <text>For whole study, 1977. But for date of first arrival, they only have data starting at 1994</text>
  </threadedComment>
  <threadedComment ref="J1074" dT="2025-10-09T12:23:36.12" personId="{8BC2B38C-11C0-4621-9ED4-28D254EB628E}" id="{3E409FCC-9A28-4F9C-8E3E-B74853EA5B7B}">
    <text>For whole study, 1977. But for date of first arrival, they only have data starting at 1994</text>
  </threadedComment>
  <threadedComment ref="J1075" dT="2025-10-09T12:23:36.12" personId="{8BC2B38C-11C0-4621-9ED4-28D254EB628E}" id="{ED7DD936-67CB-4A39-9C11-FB5A627FBDB2}">
    <text>For whole study, 1977. But for date of first arrival, they only have data starting at 1994</text>
  </threadedComment>
  <threadedComment ref="B1212" dT="2025-11-06T06:05:40.95" personId="{8BC2B38C-11C0-4621-9ED4-28D254EB628E}" id="{E63EEF37-74D0-4B07-91A6-7E4B68609B1E}">
    <text>Possibly for meroplankton</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nature.com/articles/s41598-025-07010-9?utm_source=chatgpt.com" TargetMode="External"/><Relationship Id="rId21" Type="http://schemas.openxmlformats.org/officeDocument/2006/relationships/hyperlink" Target="https://pmc.ncbi.nlm.nih.gov/articles/PMC8049321/?utm_source=chatgpt.com" TargetMode="External"/><Relationship Id="rId42" Type="http://schemas.openxmlformats.org/officeDocument/2006/relationships/hyperlink" Target="https://onlinelibrary.wiley.com/doi/10.1111/gcb.70559?utm_source=chatgpt.com" TargetMode="External"/><Relationship Id="rId47" Type="http://schemas.openxmlformats.org/officeDocument/2006/relationships/hyperlink" Target="https://www.semanticscholar.org/paper/Thirty-Eight-Years-of-Loggerhead-Turtle-Nesting-in-Margaritoulis-Louren%C3%A7o/aa0ae82be14b2e47f7b15f0e8e93153d04d325ca" TargetMode="External"/><Relationship Id="rId63" Type="http://schemas.openxmlformats.org/officeDocument/2006/relationships/hyperlink" Target="https://doi.org/10.1002/mcf2.10198" TargetMode="External"/><Relationship Id="rId68" Type="http://schemas.openxmlformats.org/officeDocument/2006/relationships/hyperlink" Target="https://onlinelibrary.wiley.com/doi/10.1002/aqc.70124?utm_source=chatgpt.com" TargetMode="External"/><Relationship Id="rId84" Type="http://schemas.openxmlformats.org/officeDocument/2006/relationships/hyperlink" Target="https://onlinelibrary-wiley-com.simsrad.net.ocs.mq.edu.au/doi/full/10.1111%2Ffwb.13638" TargetMode="External"/><Relationship Id="rId89" Type="http://schemas.openxmlformats.org/officeDocument/2006/relationships/hyperlink" Target="https://cdnsciencepub.com/doi/10.1139/z04-184" TargetMode="External"/><Relationship Id="rId16" Type="http://schemas.openxmlformats.org/officeDocument/2006/relationships/hyperlink" Target="https://pmc.ncbi.nlm.nih.gov/articles/PMC8049321/?utm_source=chatgpt.com" TargetMode="External"/><Relationship Id="rId107" Type="http://schemas.openxmlformats.org/officeDocument/2006/relationships/vmlDrawing" Target="../drawings/vmlDrawing1.vml"/><Relationship Id="rId11" Type="http://schemas.openxmlformats.org/officeDocument/2006/relationships/hyperlink" Target="https://movementecologyjournal.biomedcentral.com/articles/10.1186/s40462-023-00374-5?utm_source=chatgpt.com" TargetMode="External"/><Relationship Id="rId32" Type="http://schemas.openxmlformats.org/officeDocument/2006/relationships/hyperlink" Target="https://royalsocietypublishing.org/doi/10.1098/rspb.2024.1809" TargetMode="External"/><Relationship Id="rId37" Type="http://schemas.openxmlformats.org/officeDocument/2006/relationships/hyperlink" Target="https://onlinelibrary.wiley.com/doi/10.1111/gcb.70559?utm_source=chatgpt.com" TargetMode="External"/><Relationship Id="rId53" Type="http://schemas.openxmlformats.org/officeDocument/2006/relationships/hyperlink" Target="https://onlinelibrary.wiley.com/doi/10.1111/gcb.17285?utm_source=chatgpt.com" TargetMode="External"/><Relationship Id="rId58" Type="http://schemas.openxmlformats.org/officeDocument/2006/relationships/hyperlink" Target="https://doi.org/10.1002/mcf2.10198" TargetMode="External"/><Relationship Id="rId74" Type="http://schemas.openxmlformats.org/officeDocument/2006/relationships/hyperlink" Target="https://www.frontiersin.org/journals/ecology-and-evolution/articles/10.3389/fevo.2022.915854/full" TargetMode="External"/><Relationship Id="rId79" Type="http://schemas.openxmlformats.org/officeDocument/2006/relationships/hyperlink" Target="https://onlinelibrary-wiley-com.simsrad.net.ocs.mq.edu.au/doi/full/10.1111%2Ffwb.13638" TargetMode="External"/><Relationship Id="rId102" Type="http://schemas.openxmlformats.org/officeDocument/2006/relationships/hyperlink" Target="https://www.sciencedirect.com/science/article/pii/S0022098114002809" TargetMode="External"/><Relationship Id="rId5" Type="http://schemas.openxmlformats.org/officeDocument/2006/relationships/hyperlink" Target="https://pmc.ncbi.nlm.nih.gov/articles/PMC9541444/" TargetMode="External"/><Relationship Id="rId90" Type="http://schemas.openxmlformats.org/officeDocument/2006/relationships/hyperlink" Target="https://doi.org/10.1080/00028487.2011.557018" TargetMode="External"/><Relationship Id="rId95" Type="http://schemas.openxmlformats.org/officeDocument/2006/relationships/hyperlink" Target="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argetMode="External"/><Relationship Id="rId22" Type="http://schemas.openxmlformats.org/officeDocument/2006/relationships/hyperlink" Target="https://www.int-res.com/articles/meps_oa/m424p259.pdf" TargetMode="External"/><Relationship Id="rId27" Type="http://schemas.openxmlformats.org/officeDocument/2006/relationships/hyperlink" Target="https://www.nature.com/articles/s41598-025-07010-9?utm_source=chatgpt.com" TargetMode="External"/><Relationship Id="rId43" Type="http://schemas.openxmlformats.org/officeDocument/2006/relationships/hyperlink" Target="https://pmc.ncbi.nlm.nih.gov/articles/PMC4917093/?utm_source=chatgpt.com" TargetMode="External"/><Relationship Id="rId48" Type="http://schemas.openxmlformats.org/officeDocument/2006/relationships/hyperlink" Target="https://www.sciencedirect.com/science/article/pii/S0022098114002809" TargetMode="External"/><Relationship Id="rId64" Type="http://schemas.openxmlformats.org/officeDocument/2006/relationships/hyperlink" Target="https://doi.org/10.1002/mcf2.10198" TargetMode="External"/><Relationship Id="rId69" Type="http://schemas.openxmlformats.org/officeDocument/2006/relationships/hyperlink" Target="https://onlinelibrary.wiley.com/doi/10.1002/aqc.70124?utm_source=chatgpt.com" TargetMode="External"/><Relationship Id="rId80" Type="http://schemas.openxmlformats.org/officeDocument/2006/relationships/hyperlink" Target="https://onlinelibrary-wiley-com.simsrad.net.ocs.mq.edu.au/doi/full/10.1111%2Ffwb.13638" TargetMode="External"/><Relationship Id="rId85" Type="http://schemas.openxmlformats.org/officeDocument/2006/relationships/hyperlink" Target="https://www.researchgate.net/publication/236009515_Effects_of_climate_change_on_growth_of_0-group_sole_and_plaice" TargetMode="External"/><Relationship Id="rId12" Type="http://schemas.openxmlformats.org/officeDocument/2006/relationships/hyperlink" Target="https://royalsocietypublishing.org/doi/10.1098/rspb.2024.1809" TargetMode="External"/><Relationship Id="rId17" Type="http://schemas.openxmlformats.org/officeDocument/2006/relationships/hyperlink" Target="https://pmc.ncbi.nlm.nih.gov/articles/PMC8049321/?utm_source=chatgpt.com" TargetMode="External"/><Relationship Id="rId33" Type="http://schemas.openxmlformats.org/officeDocument/2006/relationships/hyperlink" Target="https://www.int-res.com/articles/esr2025/56/n056p041.pdf" TargetMode="External"/><Relationship Id="rId38" Type="http://schemas.openxmlformats.org/officeDocument/2006/relationships/hyperlink" Target="https://onlinelibrary.wiley.com/doi/10.1111/gcb.70559?utm_source=chatgpt.com" TargetMode="External"/><Relationship Id="rId59" Type="http://schemas.openxmlformats.org/officeDocument/2006/relationships/hyperlink" Target="https://doi.org/10.1002/mcf2.10198" TargetMode="External"/><Relationship Id="rId103" Type="http://schemas.openxmlformats.org/officeDocument/2006/relationships/hyperlink" Target="https://www.int-res.com/articles/esr2010/12/n012p041.pdf" TargetMode="External"/><Relationship Id="rId108" Type="http://schemas.openxmlformats.org/officeDocument/2006/relationships/comments" Target="../comments1.xml"/><Relationship Id="rId54" Type="http://schemas.openxmlformats.org/officeDocument/2006/relationships/hyperlink" Target="https://oceanrep.geomar.de/id/eprint/60418/1/Journal%20of%20Fish%20Biology%20-%202024%20-%20Ory%20-%20Early%20arrival%20of%20spring%E2%80%90spawning%20Atlantic%20herring%20Clupea%20harengus%20at%20their%20spawning.pdf?utm_source=chatgpt.com" TargetMode="External"/><Relationship Id="rId70" Type="http://schemas.openxmlformats.org/officeDocument/2006/relationships/hyperlink" Target="https://onlinelibrary.wiley.com/doi/10.1002/aqc.70124?utm_source=chatgpt.com" TargetMode="External"/><Relationship Id="rId75" Type="http://schemas.openxmlformats.org/officeDocument/2006/relationships/hyperlink" Target="https://www.frontiersin.org/journals/ecology-and-evolution/articles/10.3389/fevo.2022.915854/full" TargetMode="External"/><Relationship Id="rId91" Type="http://schemas.openxmlformats.org/officeDocument/2006/relationships/hyperlink" Target="https://academic.oup.com/icesjms/article/69/9/1563/634513" TargetMode="External"/><Relationship Id="rId96" Type="http://schemas.openxmlformats.org/officeDocument/2006/relationships/hyperlink" Target="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argetMode="External"/><Relationship Id="rId1" Type="http://schemas.openxmlformats.org/officeDocument/2006/relationships/hyperlink" Target="https://link.springer.com/article/10.1007/s00300-009-0706-2" TargetMode="External"/><Relationship Id="rId6" Type="http://schemas.openxmlformats.org/officeDocument/2006/relationships/hyperlink" Target="https://pmc.ncbi.nlm.nih.gov/articles/PMC9541444/" TargetMode="External"/><Relationship Id="rId15" Type="http://schemas.openxmlformats.org/officeDocument/2006/relationships/hyperlink" Target="https://pmc.ncbi.nlm.nih.gov/articles/PMC8049321/?utm_source=chatgpt.com" TargetMode="External"/><Relationship Id="rId23" Type="http://schemas.openxmlformats.org/officeDocument/2006/relationships/hyperlink" Target="https://onlinelibrary.wiley.com/doi/epdf/10.1111/j.1748-7692.2001.tb01006.x?saml_referrer" TargetMode="External"/><Relationship Id="rId28" Type="http://schemas.openxmlformats.org/officeDocument/2006/relationships/hyperlink" Target="https://www.sciencedirect.com/science/article/pii/S2666900521000095" TargetMode="External"/><Relationship Id="rId36" Type="http://schemas.openxmlformats.org/officeDocument/2006/relationships/hyperlink" Target="https://onlinelibrary.wiley.com/doi/10.1111/gcb.70559?utm_source=chatgpt.com" TargetMode="External"/><Relationship Id="rId49" Type="http://schemas.openxmlformats.org/officeDocument/2006/relationships/hyperlink" Target="https://journals.plos.org/plosone/article?id=10.1371/journal.pone.0046920" TargetMode="External"/><Relationship Id="rId57" Type="http://schemas.openxmlformats.org/officeDocument/2006/relationships/hyperlink" Target="https://doi.org/10.1002/mcf2.10198" TargetMode="External"/><Relationship Id="rId106" Type="http://schemas.openxmlformats.org/officeDocument/2006/relationships/printerSettings" Target="../printerSettings/printerSettings1.bin"/><Relationship Id="rId10" Type="http://schemas.openxmlformats.org/officeDocument/2006/relationships/hyperlink" Target="https://naturalresources.wales/media/686259/eng-report-217-temporal-trends-and-phenology-in-grey-seal-halichoerus-grypus-pup-counts-skomer.pdf" TargetMode="External"/><Relationship Id="rId31" Type="http://schemas.openxmlformats.org/officeDocument/2006/relationships/hyperlink" Target="https://royalsocietypublishing.org/doi/10.1098/rspb.2024.1809" TargetMode="External"/><Relationship Id="rId44" Type="http://schemas.openxmlformats.org/officeDocument/2006/relationships/hyperlink" Target="https://pmc.ncbi.nlm.nih.gov/articles/PMC3574410/" TargetMode="External"/><Relationship Id="rId52" Type="http://schemas.openxmlformats.org/officeDocument/2006/relationships/hyperlink" Target="https://www.frontiersin.org/journals/ecology-and-evolution/articles/10.3389/fevo.2023.1304021/full" TargetMode="External"/><Relationship Id="rId60" Type="http://schemas.openxmlformats.org/officeDocument/2006/relationships/hyperlink" Target="https://doi.org/10.1002/mcf2.10198" TargetMode="External"/><Relationship Id="rId65" Type="http://schemas.openxmlformats.org/officeDocument/2006/relationships/hyperlink" Target="https://doi.org/10.1002/mcf2.10198" TargetMode="External"/><Relationship Id="rId73" Type="http://schemas.openxmlformats.org/officeDocument/2006/relationships/hyperlink" Target="https://www.frontiersin.org/journals/ecology-and-evolution/articles/10.3389/fevo.2022.915854/full" TargetMode="External"/><Relationship Id="rId78" Type="http://schemas.openxmlformats.org/officeDocument/2006/relationships/hyperlink" Target="https://www.sciencedirect.com/science/article/pii/S0967064517302151?via%3Dihub" TargetMode="External"/><Relationship Id="rId81" Type="http://schemas.openxmlformats.org/officeDocument/2006/relationships/hyperlink" Target="https://onlinelibrary-wiley-com.simsrad.net.ocs.mq.edu.au/doi/full/10.1111%2Ffwb.13638" TargetMode="External"/><Relationship Id="rId86" Type="http://schemas.openxmlformats.org/officeDocument/2006/relationships/hyperlink" Target="https://www.researchgate.net/publication/236009515_Effects_of_climate_change_on_growth_of_0-group_sole_and_plaice" TargetMode="External"/><Relationship Id="rId94" Type="http://schemas.openxmlformats.org/officeDocument/2006/relationships/hyperlink" Target="https://esajournals.onlinelibrary.wiley.com/doi/abs/10.2307/2265584" TargetMode="External"/><Relationship Id="rId99" Type="http://schemas.openxmlformats.org/officeDocument/2006/relationships/hyperlink" Target="https://www.int-res.com/articles/esr2025/57/n057p081.pdf" TargetMode="External"/><Relationship Id="rId101" Type="http://schemas.openxmlformats.org/officeDocument/2006/relationships/hyperlink" Target="https://www.sciencedirect.com/science/article/pii/S0022098114002809" TargetMode="External"/><Relationship Id="rId4" Type="http://schemas.openxmlformats.org/officeDocument/2006/relationships/hyperlink" Target="https://www.pnas.org/doi/pdf/10.1073/pnas.2121092119" TargetMode="External"/><Relationship Id="rId9" Type="http://schemas.openxmlformats.org/officeDocument/2006/relationships/hyperlink" Target="https://storage.googleapis.com/nmfs_odp_swfsc/Publications/Files/CR/2025/2025Eguchi.pdf" TargetMode="External"/><Relationship Id="rId13" Type="http://schemas.openxmlformats.org/officeDocument/2006/relationships/hyperlink" Target="https://www.int-res.com/articles/esr2025/56/n056p041.pdf" TargetMode="External"/><Relationship Id="rId18" Type="http://schemas.openxmlformats.org/officeDocument/2006/relationships/hyperlink" Target="https://pmc.ncbi.nlm.nih.gov/articles/PMC8049321/?utm_source=chatgpt.com" TargetMode="External"/><Relationship Id="rId39" Type="http://schemas.openxmlformats.org/officeDocument/2006/relationships/hyperlink" Target="https://onlinelibrary.wiley.com/doi/10.1111/gcb.70559?utm_source=chatgpt.com" TargetMode="External"/><Relationship Id="rId109" Type="http://schemas.microsoft.com/office/2017/10/relationships/threadedComment" Target="../threadedComments/threadedComment1.xml"/><Relationship Id="rId34" Type="http://schemas.openxmlformats.org/officeDocument/2006/relationships/hyperlink" Target="https://onlinelibrary.wiley.com/doi/10.1111/gcb.70559?utm_source=chatgpt.com" TargetMode="External"/><Relationship Id="rId50" Type="http://schemas.openxmlformats.org/officeDocument/2006/relationships/hyperlink" Target="https://crocdoc.ifas.ufl.edu/publications/articles/Mazzotti%20et%20al%202022%20croc%20nesting%20ecology.pdf?utm_source=chatgpt.com" TargetMode="External"/><Relationship Id="rId55" Type="http://schemas.openxmlformats.org/officeDocument/2006/relationships/hyperlink" Target="https://doi.org/10.1002/mcf2.10198" TargetMode="External"/><Relationship Id="rId76" Type="http://schemas.openxmlformats.org/officeDocument/2006/relationships/hyperlink" Target="https://www.frontiersin.org/journals/ecology-and-evolution/articles/10.3389/fevo.2022.915854/full" TargetMode="External"/><Relationship Id="rId97" Type="http://schemas.openxmlformats.org/officeDocument/2006/relationships/hyperlink" Target="https://www.researchgate.net/publication/285106873_Multidecadal_trends_in_the_nesting_phenology_of_Pacific_and_Atlantic_leatherback_turtles_are_associated_with_population_demography" TargetMode="External"/><Relationship Id="rId104" Type="http://schemas.openxmlformats.org/officeDocument/2006/relationships/hyperlink" Target="https://www.int-res.com/articles/esr2010/12/n012p041.pdf" TargetMode="External"/><Relationship Id="rId7" Type="http://schemas.openxmlformats.org/officeDocument/2006/relationships/hyperlink" Target="https://pmc.ncbi.nlm.nih.gov/articles/PMC9541444/" TargetMode="External"/><Relationship Id="rId71" Type="http://schemas.openxmlformats.org/officeDocument/2006/relationships/hyperlink" Target="https://onlinelibrary.wiley.com/doi/10.1002/aqc.70124?utm_source=chatgpt.com" TargetMode="External"/><Relationship Id="rId92" Type="http://schemas.openxmlformats.org/officeDocument/2006/relationships/hyperlink" Target="https://onlinelibrary.wiley.com/doi/10.1002/ece3.337" TargetMode="External"/><Relationship Id="rId2" Type="http://schemas.openxmlformats.org/officeDocument/2006/relationships/hyperlink" Target="https://besjournals.onlinelibrary.wiley.com/doi/10.1111/1365-2656.12050" TargetMode="External"/><Relationship Id="rId29" Type="http://schemas.openxmlformats.org/officeDocument/2006/relationships/hyperlink" Target="https://meetings.pices.int/publications/presentations/2018-Climate-Change/S08-D2-1140-Staudinger_R.pdf" TargetMode="External"/><Relationship Id="rId24" Type="http://schemas.openxmlformats.org/officeDocument/2006/relationships/hyperlink" Target="https://www.nature.com/articles/s41598-025-07010-9?utm_source=chatgpt.com" TargetMode="External"/><Relationship Id="rId40" Type="http://schemas.openxmlformats.org/officeDocument/2006/relationships/hyperlink" Target="https://onlinelibrary.wiley.com/doi/10.1111/gcb.70559?utm_source=chatgpt.com" TargetMode="External"/><Relationship Id="rId45" Type="http://schemas.openxmlformats.org/officeDocument/2006/relationships/hyperlink" Target="https://www.sciencedirect.com/science/article/pii/S0022098109002950" TargetMode="External"/><Relationship Id="rId66" Type="http://schemas.openxmlformats.org/officeDocument/2006/relationships/hyperlink" Target="https://doi.org/10.1002/mcf2.10198" TargetMode="External"/><Relationship Id="rId87" Type="http://schemas.openxmlformats.org/officeDocument/2006/relationships/hyperlink" Target="https://academic-oup-com.simsrad.net.ocs.mq.edu.au/najfm/article/29/6/1584/7847119?login=true&amp;token=eyJhbGciOiJub25lIn0.eyJleHAiOjE3NjQ5OTcwMTgsImp0aSI6Ijc0N2IxYTkxLTAzNTAtNDJkMi05NzA5LTc4ODI0NWZjZWM5ZiJ9." TargetMode="External"/><Relationship Id="rId61" Type="http://schemas.openxmlformats.org/officeDocument/2006/relationships/hyperlink" Target="https://doi.org/10.1002/mcf2.10198" TargetMode="External"/><Relationship Id="rId82" Type="http://schemas.openxmlformats.org/officeDocument/2006/relationships/hyperlink" Target="https://onlinelibrary-wiley-com.simsrad.net.ocs.mq.edu.au/doi/full/10.1111%2Ffwb.13638" TargetMode="External"/><Relationship Id="rId19" Type="http://schemas.openxmlformats.org/officeDocument/2006/relationships/hyperlink" Target="https://pmc.ncbi.nlm.nih.gov/articles/PMC8049321/?utm_source=chatgpt.com" TargetMode="External"/><Relationship Id="rId14" Type="http://schemas.openxmlformats.org/officeDocument/2006/relationships/hyperlink" Target="https://pmc.ncbi.nlm.nih.gov/articles/PMC8049321/?utm_source=chatgpt.com" TargetMode="External"/><Relationship Id="rId30" Type="http://schemas.openxmlformats.org/officeDocument/2006/relationships/hyperlink" Target="https://meetings.pices.int/publications/presentations/2018-Climate-Change/S08-D2-1140-Staudinger_R.pdf" TargetMode="External"/><Relationship Id="rId35" Type="http://schemas.openxmlformats.org/officeDocument/2006/relationships/hyperlink" Target="https://onlinelibrary.wiley.com/doi/10.1111/gcb.70559?utm_source=chatgpt.com" TargetMode="External"/><Relationship Id="rId56" Type="http://schemas.openxmlformats.org/officeDocument/2006/relationships/hyperlink" Target="https://doi.org/10.1002/mcf2.10198" TargetMode="External"/><Relationship Id="rId77" Type="http://schemas.openxmlformats.org/officeDocument/2006/relationships/hyperlink" Target="https://www.sciencedirect.com/science/article/pii/S0006320705000789" TargetMode="External"/><Relationship Id="rId100" Type="http://schemas.openxmlformats.org/officeDocument/2006/relationships/hyperlink" Target="https://www.sciencedirect.com/science/article/pii/S0022098125000206?utm_source=chatgpt.com" TargetMode="External"/><Relationship Id="rId105" Type="http://schemas.openxmlformats.org/officeDocument/2006/relationships/hyperlink" Target="https://www.frontiersin.org/journals/marine-science/articles/10.3389/fmars.2025.1595960/full" TargetMode="External"/><Relationship Id="rId8" Type="http://schemas.openxmlformats.org/officeDocument/2006/relationships/hyperlink" Target="https://pmc.ncbi.nlm.nih.gov/articles/PMC3001384/?utm_source=chatgpt.com" TargetMode="External"/><Relationship Id="rId51" Type="http://schemas.openxmlformats.org/officeDocument/2006/relationships/hyperlink" Target="https://journals.plos.org/plosone/article?id=10.1371%2Fjournal.pone.0310388&amp;utm_source=chatgpt.com" TargetMode="External"/><Relationship Id="rId72" Type="http://schemas.openxmlformats.org/officeDocument/2006/relationships/hyperlink" Target="https://www.frontiersin.org/journals/ecology-and-evolution/articles/10.3389/fevo.2022.915854/full" TargetMode="External"/><Relationship Id="rId93" Type="http://schemas.openxmlformats.org/officeDocument/2006/relationships/hyperlink" Target="https://esajournals.onlinelibrary.wiley.com/doi/abs/10.2307/2265584" TargetMode="External"/><Relationship Id="rId98" Type="http://schemas.openxmlformats.org/officeDocument/2006/relationships/hyperlink" Target="https://www.researchgate.net/publication/285106873_Multidecadal_trends_in_the_nesting_phenology_of_Pacific_and_Atlantic_leatherback_turtles_are_associated_with_population_demography" TargetMode="External"/><Relationship Id="rId3" Type="http://schemas.openxmlformats.org/officeDocument/2006/relationships/hyperlink" Target="https://link.springer.com/article/10.1007/s00300-015-1648-5" TargetMode="External"/><Relationship Id="rId25" Type="http://schemas.openxmlformats.org/officeDocument/2006/relationships/hyperlink" Target="https://www.nature.com/articles/s41598-025-07010-9?utm_source=chatgpt.com" TargetMode="External"/><Relationship Id="rId46" Type="http://schemas.openxmlformats.org/officeDocument/2006/relationships/hyperlink" Target="https://pmc.ncbi.nlm.nih.gov/articles/PMC3574410/" TargetMode="External"/><Relationship Id="rId67" Type="http://schemas.openxmlformats.org/officeDocument/2006/relationships/hyperlink" Target="https://onlinelibrary.wiley.com/doi/10.1002/aqc.70124?utm_source=chatgpt.com" TargetMode="External"/><Relationship Id="rId20" Type="http://schemas.openxmlformats.org/officeDocument/2006/relationships/hyperlink" Target="https://pmc.ncbi.nlm.nih.gov/articles/PMC8049321/?utm_source=chatgpt.com" TargetMode="External"/><Relationship Id="rId41" Type="http://schemas.openxmlformats.org/officeDocument/2006/relationships/hyperlink" Target="https://onlinelibrary.wiley.com/doi/10.1111/gcb.70559?utm_source=chatgpt.com" TargetMode="External"/><Relationship Id="rId62" Type="http://schemas.openxmlformats.org/officeDocument/2006/relationships/hyperlink" Target="https://doi.org/10.1002/mcf2.10198" TargetMode="External"/><Relationship Id="rId83" Type="http://schemas.openxmlformats.org/officeDocument/2006/relationships/hyperlink" Target="https://onlinelibrary-wiley-com.simsrad.net.ocs.mq.edu.au/doi/full/10.1111%2Ffwb.13638" TargetMode="External"/><Relationship Id="rId88" Type="http://schemas.openxmlformats.org/officeDocument/2006/relationships/hyperlink" Target="https://cdnsciencepub.com/doi/10.1139/z04-18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F0EE8-847E-6448-9752-D992F9A10E50}">
  <dimension ref="A1:CN1347"/>
  <sheetViews>
    <sheetView tabSelected="1" topLeftCell="B1" zoomScale="67" workbookViewId="0">
      <pane xSplit="2" ySplit="1" topLeftCell="D2" activePane="bottomRight" state="frozen"/>
      <selection pane="topRight" activeCell="D1" sqref="D1"/>
      <selection pane="bottomLeft" activeCell="A3" sqref="A3"/>
      <selection pane="bottomRight" activeCell="E984" sqref="E984"/>
    </sheetView>
  </sheetViews>
  <sheetFormatPr baseColWidth="10" defaultColWidth="10.6640625" defaultRowHeight="16" x14ac:dyDescent="0.2"/>
  <cols>
    <col min="1" max="1" width="11.6640625" hidden="1" customWidth="1"/>
    <col min="2" max="2" width="9.1640625" customWidth="1"/>
    <col min="3" max="3" width="10.83203125" customWidth="1"/>
    <col min="4" max="4" width="11" customWidth="1"/>
    <col min="5" max="5" width="8.6640625" customWidth="1"/>
    <col min="6" max="6" width="16" customWidth="1"/>
    <col min="7" max="7" width="8.83203125" customWidth="1"/>
    <col min="8" max="8" width="7.83203125" style="13" bestFit="1" customWidth="1"/>
    <col min="9" max="9" width="9.1640625" style="13" bestFit="1" customWidth="1"/>
    <col min="10" max="10" width="10.83203125" style="13"/>
    <col min="11" max="12" width="9.5" style="13" customWidth="1"/>
    <col min="13" max="13" width="14.6640625" customWidth="1"/>
    <col min="14" max="14" width="12.5" customWidth="1"/>
    <col min="15" max="15" width="14.6640625" customWidth="1"/>
    <col min="16" max="16" width="14" customWidth="1"/>
    <col min="17" max="17" width="35.33203125" customWidth="1"/>
    <col min="18" max="18" width="15.5" customWidth="1"/>
    <col min="19" max="19" width="10.33203125" hidden="1" customWidth="1"/>
    <col min="20" max="20" width="7.5" hidden="1" customWidth="1"/>
    <col min="21" max="21" width="8.1640625" hidden="1" customWidth="1"/>
    <col min="22" max="22" width="10" customWidth="1"/>
    <col min="23" max="23" width="12.1640625" bestFit="1" customWidth="1"/>
    <col min="25" max="25" width="0" hidden="1" customWidth="1"/>
    <col min="26" max="26" width="10.6640625" style="4"/>
    <col min="29" max="29" width="10" customWidth="1"/>
    <col min="30" max="30" width="12.1640625" hidden="1" customWidth="1"/>
    <col min="31" max="31" width="7.33203125" hidden="1" customWidth="1"/>
    <col min="32" max="32" width="6" hidden="1" customWidth="1"/>
    <col min="33" max="33" width="0" hidden="1" customWidth="1"/>
  </cols>
  <sheetData>
    <row r="1" spans="1:33" x14ac:dyDescent="0.2">
      <c r="A1" s="1" t="s">
        <v>528</v>
      </c>
      <c r="B1" s="1" t="s">
        <v>365</v>
      </c>
      <c r="C1" s="1" t="s">
        <v>0</v>
      </c>
      <c r="D1" s="1" t="s">
        <v>1343</v>
      </c>
      <c r="E1" s="1" t="s">
        <v>572</v>
      </c>
      <c r="F1" s="1" t="s">
        <v>6</v>
      </c>
      <c r="G1" s="1" t="s">
        <v>512</v>
      </c>
      <c r="H1" s="12" t="s">
        <v>515</v>
      </c>
      <c r="I1" s="12" t="s">
        <v>516</v>
      </c>
      <c r="J1" s="12" t="s">
        <v>977</v>
      </c>
      <c r="K1" s="12" t="s">
        <v>978</v>
      </c>
      <c r="L1" s="12" t="s">
        <v>620</v>
      </c>
      <c r="M1" s="1" t="s">
        <v>372</v>
      </c>
      <c r="N1" s="1" t="s">
        <v>293</v>
      </c>
      <c r="O1" s="1" t="s">
        <v>527</v>
      </c>
      <c r="P1" s="1" t="s">
        <v>1</v>
      </c>
      <c r="Q1" s="1" t="s">
        <v>517</v>
      </c>
      <c r="R1" s="1" t="s">
        <v>837</v>
      </c>
      <c r="S1" s="1" t="s">
        <v>1096</v>
      </c>
      <c r="T1" s="1" t="s">
        <v>1058</v>
      </c>
      <c r="U1" s="1" t="s">
        <v>1059</v>
      </c>
      <c r="V1" s="1" t="s">
        <v>563</v>
      </c>
      <c r="W1" s="1" t="s">
        <v>500</v>
      </c>
      <c r="X1" s="1" t="s">
        <v>302</v>
      </c>
      <c r="Y1" s="1" t="s">
        <v>524</v>
      </c>
      <c r="Z1" s="40" t="s">
        <v>1525</v>
      </c>
      <c r="AA1" s="1" t="s">
        <v>1115</v>
      </c>
      <c r="AB1" s="1" t="s">
        <v>1114</v>
      </c>
      <c r="AC1" s="1" t="s">
        <v>14</v>
      </c>
      <c r="AD1" s="1" t="s">
        <v>1119</v>
      </c>
      <c r="AE1" s="1" t="s">
        <v>1151</v>
      </c>
      <c r="AF1" s="1" t="s">
        <v>1209</v>
      </c>
      <c r="AG1" s="1" t="s">
        <v>1099</v>
      </c>
    </row>
    <row r="2" spans="1:33" x14ac:dyDescent="0.2">
      <c r="A2">
        <v>1</v>
      </c>
      <c r="B2" t="s">
        <v>366</v>
      </c>
      <c r="C2" t="s">
        <v>920</v>
      </c>
      <c r="E2">
        <v>2019</v>
      </c>
      <c r="F2" t="s">
        <v>7</v>
      </c>
      <c r="G2" t="s">
        <v>513</v>
      </c>
      <c r="H2" s="13">
        <v>49.650599999999997</v>
      </c>
      <c r="I2" s="13">
        <v>-125.4494</v>
      </c>
      <c r="J2" s="13">
        <v>1982</v>
      </c>
      <c r="K2" s="13">
        <v>2015</v>
      </c>
      <c r="L2" s="13">
        <f t="shared" ref="L2:L12" si="0">K2-J2+1</f>
        <v>34</v>
      </c>
      <c r="M2" t="s">
        <v>369</v>
      </c>
      <c r="N2" t="s">
        <v>51</v>
      </c>
      <c r="O2" t="s">
        <v>51</v>
      </c>
      <c r="P2" t="s">
        <v>4</v>
      </c>
      <c r="Q2" t="s">
        <v>921</v>
      </c>
      <c r="R2" t="s">
        <v>853</v>
      </c>
      <c r="S2" t="s">
        <v>1076</v>
      </c>
      <c r="T2">
        <v>332</v>
      </c>
      <c r="U2" t="s">
        <v>900</v>
      </c>
      <c r="V2">
        <v>-4.3</v>
      </c>
      <c r="W2" t="s">
        <v>3</v>
      </c>
      <c r="X2" t="s">
        <v>3</v>
      </c>
      <c r="Y2" t="s">
        <v>366</v>
      </c>
      <c r="Z2" s="4" t="str">
        <f t="shared" ref="Z2:Z65" si="1">IF(L2&gt;=19,"Y","N")</f>
        <v>Y</v>
      </c>
      <c r="AA2" t="s">
        <v>1130</v>
      </c>
      <c r="AB2" t="s">
        <v>1131</v>
      </c>
      <c r="AC2" t="s">
        <v>1128</v>
      </c>
      <c r="AD2" t="s">
        <v>1127</v>
      </c>
      <c r="AE2" t="s">
        <v>1153</v>
      </c>
      <c r="AF2" t="s">
        <v>3</v>
      </c>
      <c r="AG2" t="s">
        <v>1100</v>
      </c>
    </row>
    <row r="3" spans="1:33" x14ac:dyDescent="0.2">
      <c r="A3">
        <v>2</v>
      </c>
      <c r="B3" t="s">
        <v>366</v>
      </c>
      <c r="C3" t="s">
        <v>920</v>
      </c>
      <c r="E3">
        <v>2019</v>
      </c>
      <c r="F3" t="s">
        <v>7</v>
      </c>
      <c r="G3" t="s">
        <v>513</v>
      </c>
      <c r="H3" s="13">
        <v>49.650599999999997</v>
      </c>
      <c r="I3" s="13">
        <v>-125.4494</v>
      </c>
      <c r="J3" s="13">
        <v>1982</v>
      </c>
      <c r="K3" s="13">
        <v>2015</v>
      </c>
      <c r="L3" s="13">
        <f t="shared" si="0"/>
        <v>34</v>
      </c>
      <c r="M3" t="s">
        <v>369</v>
      </c>
      <c r="N3" t="s">
        <v>51</v>
      </c>
      <c r="O3" t="s">
        <v>51</v>
      </c>
      <c r="P3" t="s">
        <v>5</v>
      </c>
      <c r="Q3" t="s">
        <v>922</v>
      </c>
      <c r="R3" t="s">
        <v>853</v>
      </c>
      <c r="S3" t="s">
        <v>1076</v>
      </c>
      <c r="T3">
        <v>332</v>
      </c>
      <c r="U3" t="s">
        <v>900</v>
      </c>
      <c r="V3">
        <v>-8</v>
      </c>
      <c r="W3" t="s">
        <v>3</v>
      </c>
      <c r="X3" t="s">
        <v>3</v>
      </c>
      <c r="Y3" t="s">
        <v>366</v>
      </c>
      <c r="Z3" s="4" t="str">
        <f t="shared" si="1"/>
        <v>Y</v>
      </c>
      <c r="AA3" t="s">
        <v>1130</v>
      </c>
      <c r="AB3" t="s">
        <v>1131</v>
      </c>
      <c r="AC3" t="s">
        <v>1129</v>
      </c>
      <c r="AD3" t="s">
        <v>1127</v>
      </c>
      <c r="AE3" t="s">
        <v>1153</v>
      </c>
      <c r="AF3" t="s">
        <v>3</v>
      </c>
      <c r="AG3" t="s">
        <v>1100</v>
      </c>
    </row>
    <row r="4" spans="1:33" x14ac:dyDescent="0.2">
      <c r="A4">
        <v>4</v>
      </c>
      <c r="B4" t="s">
        <v>366</v>
      </c>
      <c r="C4" t="s">
        <v>579</v>
      </c>
      <c r="E4">
        <v>2017</v>
      </c>
      <c r="F4" t="s">
        <v>15</v>
      </c>
      <c r="G4" t="s">
        <v>513</v>
      </c>
      <c r="H4" s="14">
        <v>53.5</v>
      </c>
      <c r="I4" s="13">
        <v>-5</v>
      </c>
      <c r="J4" s="13">
        <v>1983</v>
      </c>
      <c r="K4" s="13">
        <v>2014</v>
      </c>
      <c r="L4" s="13">
        <f t="shared" si="0"/>
        <v>32</v>
      </c>
      <c r="M4" t="s">
        <v>369</v>
      </c>
      <c r="N4" t="s">
        <v>51</v>
      </c>
      <c r="O4" t="s">
        <v>51</v>
      </c>
      <c r="P4" t="s">
        <v>12</v>
      </c>
      <c r="Q4" t="s">
        <v>13</v>
      </c>
      <c r="R4" t="s">
        <v>838</v>
      </c>
      <c r="S4" s="17" t="s">
        <v>1076</v>
      </c>
      <c r="T4" t="s">
        <v>165</v>
      </c>
      <c r="U4" t="s">
        <v>901</v>
      </c>
      <c r="V4">
        <f>-(1.03+0.81)/2*7</f>
        <v>-6.44</v>
      </c>
      <c r="W4" t="s">
        <v>3</v>
      </c>
      <c r="X4" t="s">
        <v>3</v>
      </c>
      <c r="Y4" t="s">
        <v>366</v>
      </c>
      <c r="Z4" s="4" t="str">
        <f t="shared" si="1"/>
        <v>Y</v>
      </c>
      <c r="AA4" t="s">
        <v>1121</v>
      </c>
      <c r="AB4" t="s">
        <v>1175</v>
      </c>
      <c r="AC4" t="s">
        <v>1103</v>
      </c>
      <c r="AD4" s="15" t="s">
        <v>1100</v>
      </c>
      <c r="AE4" s="15" t="s">
        <v>1174</v>
      </c>
      <c r="AF4" s="15" t="s">
        <v>24</v>
      </c>
      <c r="AG4" t="s">
        <v>1100</v>
      </c>
    </row>
    <row r="5" spans="1:33" x14ac:dyDescent="0.2">
      <c r="A5">
        <v>5</v>
      </c>
      <c r="B5" t="s">
        <v>366</v>
      </c>
      <c r="C5" s="11" t="s">
        <v>579</v>
      </c>
      <c r="E5">
        <v>2017</v>
      </c>
      <c r="F5" t="s">
        <v>16</v>
      </c>
      <c r="G5" t="s">
        <v>513</v>
      </c>
      <c r="H5" s="14">
        <v>55.5</v>
      </c>
      <c r="I5" s="13">
        <v>2.5</v>
      </c>
      <c r="J5" s="13">
        <v>1985</v>
      </c>
      <c r="K5" s="13">
        <v>2014</v>
      </c>
      <c r="L5" s="13">
        <f t="shared" si="0"/>
        <v>30</v>
      </c>
      <c r="M5" t="s">
        <v>369</v>
      </c>
      <c r="N5" t="s">
        <v>51</v>
      </c>
      <c r="O5" t="s">
        <v>51</v>
      </c>
      <c r="P5" t="s">
        <v>12</v>
      </c>
      <c r="Q5" t="s">
        <v>13</v>
      </c>
      <c r="R5" t="s">
        <v>838</v>
      </c>
      <c r="S5" s="17" t="s">
        <v>1076</v>
      </c>
      <c r="T5" t="s">
        <v>165</v>
      </c>
      <c r="U5" t="s">
        <v>901</v>
      </c>
      <c r="V5">
        <f>-(1.76+2.44)/2*7</f>
        <v>-14.700000000000001</v>
      </c>
      <c r="W5" t="s">
        <v>3</v>
      </c>
      <c r="X5" t="s">
        <v>3</v>
      </c>
      <c r="Y5" t="s">
        <v>366</v>
      </c>
      <c r="Z5" s="4" t="str">
        <f t="shared" si="1"/>
        <v>Y</v>
      </c>
      <c r="AA5" t="s">
        <v>1121</v>
      </c>
      <c r="AB5" t="s">
        <v>1175</v>
      </c>
      <c r="AC5" t="s">
        <v>1104</v>
      </c>
      <c r="AD5" s="15" t="s">
        <v>1100</v>
      </c>
      <c r="AE5" s="15" t="s">
        <v>1174</v>
      </c>
      <c r="AF5" s="15" t="s">
        <v>24</v>
      </c>
      <c r="AG5" t="s">
        <v>1100</v>
      </c>
    </row>
    <row r="6" spans="1:33" x14ac:dyDescent="0.2">
      <c r="A6">
        <v>6</v>
      </c>
      <c r="B6" t="s">
        <v>366</v>
      </c>
      <c r="C6" t="s">
        <v>579</v>
      </c>
      <c r="E6">
        <v>2017</v>
      </c>
      <c r="F6" t="s">
        <v>17</v>
      </c>
      <c r="G6" t="s">
        <v>513</v>
      </c>
      <c r="H6" s="14">
        <v>60</v>
      </c>
      <c r="I6" s="13">
        <v>1</v>
      </c>
      <c r="J6" s="13">
        <v>1985</v>
      </c>
      <c r="K6" s="13">
        <v>2014</v>
      </c>
      <c r="L6" s="13">
        <f t="shared" si="0"/>
        <v>30</v>
      </c>
      <c r="M6" t="s">
        <v>369</v>
      </c>
      <c r="N6" t="s">
        <v>51</v>
      </c>
      <c r="O6" t="s">
        <v>51</v>
      </c>
      <c r="P6" t="s">
        <v>12</v>
      </c>
      <c r="Q6" t="s">
        <v>13</v>
      </c>
      <c r="R6" t="s">
        <v>838</v>
      </c>
      <c r="S6" s="17" t="s">
        <v>1076</v>
      </c>
      <c r="T6" t="s">
        <v>165</v>
      </c>
      <c r="U6" t="s">
        <v>901</v>
      </c>
      <c r="V6">
        <f>-0.94*7</f>
        <v>-6.58</v>
      </c>
      <c r="W6" t="s">
        <v>3</v>
      </c>
      <c r="X6" t="s">
        <v>3</v>
      </c>
      <c r="Y6" t="s">
        <v>366</v>
      </c>
      <c r="Z6" s="4" t="str">
        <f t="shared" si="1"/>
        <v>Y</v>
      </c>
      <c r="AA6" t="s">
        <v>1121</v>
      </c>
      <c r="AB6" t="s">
        <v>1175</v>
      </c>
      <c r="AC6" t="s">
        <v>1103</v>
      </c>
      <c r="AD6" s="15" t="s">
        <v>1100</v>
      </c>
      <c r="AE6" s="15" t="s">
        <v>1174</v>
      </c>
      <c r="AF6" s="15" t="s">
        <v>3</v>
      </c>
      <c r="AG6" t="s">
        <v>1100</v>
      </c>
    </row>
    <row r="7" spans="1:33" x14ac:dyDescent="0.2">
      <c r="A7">
        <v>7</v>
      </c>
      <c r="B7" t="s">
        <v>366</v>
      </c>
      <c r="C7" t="s">
        <v>19</v>
      </c>
      <c r="E7">
        <v>2013</v>
      </c>
      <c r="F7" t="s">
        <v>832</v>
      </c>
      <c r="G7" t="s">
        <v>513</v>
      </c>
      <c r="H7" s="13">
        <v>51</v>
      </c>
      <c r="I7" s="13">
        <v>-4.75</v>
      </c>
      <c r="J7" s="13">
        <v>1983</v>
      </c>
      <c r="K7" s="13">
        <v>2009</v>
      </c>
      <c r="L7" s="13">
        <f t="shared" si="0"/>
        <v>27</v>
      </c>
      <c r="N7" t="s">
        <v>51</v>
      </c>
      <c r="O7" t="s">
        <v>51</v>
      </c>
      <c r="P7" t="s">
        <v>866</v>
      </c>
      <c r="Q7" t="s">
        <v>20</v>
      </c>
      <c r="R7" t="s">
        <v>843</v>
      </c>
      <c r="V7">
        <f>-(21.5-18)*7/(L7/10)</f>
        <v>-9.0740740740740726</v>
      </c>
      <c r="W7" t="s">
        <v>3</v>
      </c>
      <c r="X7" t="s">
        <v>3</v>
      </c>
      <c r="Y7" t="s">
        <v>366</v>
      </c>
      <c r="Z7" s="4" t="str">
        <f t="shared" si="1"/>
        <v>Y</v>
      </c>
      <c r="AC7" t="s">
        <v>21</v>
      </c>
      <c r="AD7" t="s">
        <v>18</v>
      </c>
    </row>
    <row r="8" spans="1:33" x14ac:dyDescent="0.2">
      <c r="A8">
        <v>8</v>
      </c>
      <c r="B8" t="s">
        <v>366</v>
      </c>
      <c r="C8" t="s">
        <v>19</v>
      </c>
      <c r="E8">
        <v>2013</v>
      </c>
      <c r="F8" t="s">
        <v>833</v>
      </c>
      <c r="G8" t="s">
        <v>513</v>
      </c>
      <c r="H8" s="13">
        <v>54.5</v>
      </c>
      <c r="I8" s="13">
        <v>8</v>
      </c>
      <c r="J8" s="13">
        <v>1970</v>
      </c>
      <c r="K8" s="13">
        <v>2010</v>
      </c>
      <c r="L8" s="13">
        <f t="shared" si="0"/>
        <v>41</v>
      </c>
      <c r="N8" t="s">
        <v>51</v>
      </c>
      <c r="O8" t="s">
        <v>51</v>
      </c>
      <c r="P8" t="s">
        <v>866</v>
      </c>
      <c r="Q8" t="s">
        <v>20</v>
      </c>
      <c r="R8" t="s">
        <v>843</v>
      </c>
      <c r="V8">
        <f>-(26-20.5)*7/(L8/10)</f>
        <v>-9.3902439024390247</v>
      </c>
      <c r="W8" t="s">
        <v>3</v>
      </c>
      <c r="X8" t="s">
        <v>3</v>
      </c>
      <c r="Y8" t="s">
        <v>366</v>
      </c>
      <c r="Z8" s="4" t="str">
        <f t="shared" si="1"/>
        <v>Y</v>
      </c>
      <c r="AC8" t="s">
        <v>147</v>
      </c>
    </row>
    <row r="9" spans="1:33" x14ac:dyDescent="0.2">
      <c r="A9">
        <v>9</v>
      </c>
      <c r="B9" t="s">
        <v>366</v>
      </c>
      <c r="C9" t="s">
        <v>19</v>
      </c>
      <c r="E9">
        <v>2013</v>
      </c>
      <c r="F9" t="s">
        <v>834</v>
      </c>
      <c r="G9" t="s">
        <v>513</v>
      </c>
      <c r="H9" s="13">
        <v>54</v>
      </c>
      <c r="I9" s="13">
        <v>0</v>
      </c>
      <c r="J9" s="13">
        <v>1983</v>
      </c>
      <c r="K9" s="13">
        <v>2009</v>
      </c>
      <c r="L9" s="13">
        <f t="shared" si="0"/>
        <v>27</v>
      </c>
      <c r="N9" t="s">
        <v>51</v>
      </c>
      <c r="O9" t="s">
        <v>51</v>
      </c>
      <c r="P9" t="s">
        <v>866</v>
      </c>
      <c r="Q9" t="s">
        <v>20</v>
      </c>
      <c r="R9" t="s">
        <v>843</v>
      </c>
      <c r="V9">
        <f>-(23-20)*7/(L9/10)</f>
        <v>-7.7777777777777777</v>
      </c>
      <c r="W9" t="s">
        <v>3</v>
      </c>
      <c r="X9" t="s">
        <v>3</v>
      </c>
      <c r="Y9" t="s">
        <v>366</v>
      </c>
      <c r="Z9" s="4" t="str">
        <f t="shared" si="1"/>
        <v>Y</v>
      </c>
      <c r="AC9" t="s">
        <v>147</v>
      </c>
    </row>
    <row r="10" spans="1:33" x14ac:dyDescent="0.2">
      <c r="A10">
        <v>10</v>
      </c>
      <c r="B10" t="s">
        <v>366</v>
      </c>
      <c r="C10" t="s">
        <v>19</v>
      </c>
      <c r="E10">
        <v>2013</v>
      </c>
      <c r="F10" t="s">
        <v>835</v>
      </c>
      <c r="G10" t="s">
        <v>513</v>
      </c>
      <c r="H10" s="13">
        <v>51.5</v>
      </c>
      <c r="I10" s="13">
        <v>3</v>
      </c>
      <c r="J10" s="13">
        <v>1970</v>
      </c>
      <c r="K10" s="13">
        <v>2009</v>
      </c>
      <c r="L10" s="13">
        <f t="shared" si="0"/>
        <v>40</v>
      </c>
      <c r="N10" t="s">
        <v>51</v>
      </c>
      <c r="O10" t="s">
        <v>51</v>
      </c>
      <c r="P10" t="s">
        <v>866</v>
      </c>
      <c r="Q10" t="s">
        <v>20</v>
      </c>
      <c r="R10" t="s">
        <v>843</v>
      </c>
      <c r="V10">
        <f>-(22-18.5)*7/(L10/10)</f>
        <v>-6.125</v>
      </c>
      <c r="W10" t="s">
        <v>3</v>
      </c>
      <c r="X10" t="s">
        <v>3</v>
      </c>
      <c r="Y10" t="s">
        <v>366</v>
      </c>
      <c r="Z10" s="4" t="str">
        <f t="shared" si="1"/>
        <v>Y</v>
      </c>
      <c r="AC10" t="s">
        <v>147</v>
      </c>
    </row>
    <row r="11" spans="1:33" x14ac:dyDescent="0.2">
      <c r="A11">
        <v>11</v>
      </c>
      <c r="B11" t="s">
        <v>366</v>
      </c>
      <c r="C11" t="s">
        <v>19</v>
      </c>
      <c r="E11">
        <v>2013</v>
      </c>
      <c r="F11" t="s">
        <v>836</v>
      </c>
      <c r="G11" t="s">
        <v>513</v>
      </c>
      <c r="H11" s="13">
        <v>50.5</v>
      </c>
      <c r="I11" s="13">
        <v>-0.25</v>
      </c>
      <c r="J11" s="13">
        <v>1983</v>
      </c>
      <c r="K11" s="13">
        <v>2009</v>
      </c>
      <c r="L11" s="13">
        <f t="shared" si="0"/>
        <v>27</v>
      </c>
      <c r="N11" t="s">
        <v>51</v>
      </c>
      <c r="O11" t="s">
        <v>51</v>
      </c>
      <c r="P11" t="s">
        <v>866</v>
      </c>
      <c r="Q11" t="s">
        <v>20</v>
      </c>
      <c r="R11" t="s">
        <v>843</v>
      </c>
      <c r="V11">
        <f>-(19-15)*7/(L11/10)</f>
        <v>-10.37037037037037</v>
      </c>
      <c r="W11" t="s">
        <v>3</v>
      </c>
      <c r="X11" t="s">
        <v>3</v>
      </c>
      <c r="Y11" t="s">
        <v>366</v>
      </c>
      <c r="Z11" s="4" t="str">
        <f t="shared" si="1"/>
        <v>Y</v>
      </c>
      <c r="AC11" t="s">
        <v>147</v>
      </c>
    </row>
    <row r="12" spans="1:33" x14ac:dyDescent="0.2">
      <c r="A12">
        <v>12</v>
      </c>
      <c r="B12" t="s">
        <v>366</v>
      </c>
      <c r="C12" t="s">
        <v>19</v>
      </c>
      <c r="E12">
        <v>2013</v>
      </c>
      <c r="F12" t="s">
        <v>831</v>
      </c>
      <c r="G12" t="s">
        <v>513</v>
      </c>
      <c r="H12" s="13">
        <v>49.8</v>
      </c>
      <c r="I12" s="13">
        <v>-4.25</v>
      </c>
      <c r="J12" s="13">
        <v>1984</v>
      </c>
      <c r="K12" s="13">
        <v>2008</v>
      </c>
      <c r="L12" s="13">
        <f t="shared" si="0"/>
        <v>25</v>
      </c>
      <c r="N12" t="s">
        <v>51</v>
      </c>
      <c r="O12" t="s">
        <v>51</v>
      </c>
      <c r="P12" t="s">
        <v>866</v>
      </c>
      <c r="Q12" t="s">
        <v>20</v>
      </c>
      <c r="R12" t="s">
        <v>843</v>
      </c>
      <c r="V12">
        <f>-(12.5-12)*7/(L12/10)</f>
        <v>-1.4</v>
      </c>
      <c r="W12" t="s">
        <v>3</v>
      </c>
      <c r="X12" t="s">
        <v>3</v>
      </c>
      <c r="Y12" t="s">
        <v>366</v>
      </c>
      <c r="Z12" s="4" t="str">
        <f t="shared" si="1"/>
        <v>Y</v>
      </c>
      <c r="AC12" t="s">
        <v>147</v>
      </c>
    </row>
    <row r="13" spans="1:33" x14ac:dyDescent="0.2">
      <c r="A13">
        <v>336</v>
      </c>
      <c r="B13" t="s">
        <v>367</v>
      </c>
      <c r="C13" t="s">
        <v>349</v>
      </c>
      <c r="E13">
        <v>2001</v>
      </c>
      <c r="F13" t="s">
        <v>506</v>
      </c>
      <c r="G13" t="s">
        <v>513</v>
      </c>
      <c r="H13" s="13">
        <v>50.87</v>
      </c>
      <c r="I13" s="13">
        <v>-129.08000000000001</v>
      </c>
      <c r="J13" s="13">
        <v>1975</v>
      </c>
      <c r="K13" s="13">
        <v>1999</v>
      </c>
      <c r="L13" s="13">
        <f t="shared" ref="L13:L76" si="2">K13-J13+1</f>
        <v>25</v>
      </c>
      <c r="M13" t="s">
        <v>370</v>
      </c>
      <c r="N13" t="s">
        <v>380</v>
      </c>
      <c r="O13" t="s">
        <v>380</v>
      </c>
      <c r="P13" t="s">
        <v>472</v>
      </c>
      <c r="Q13" t="s">
        <v>94</v>
      </c>
      <c r="V13">
        <v>0</v>
      </c>
      <c r="W13" t="s">
        <v>164</v>
      </c>
      <c r="X13" t="s">
        <v>3</v>
      </c>
      <c r="Y13" t="s">
        <v>523</v>
      </c>
      <c r="Z13" s="4" t="str">
        <f t="shared" si="1"/>
        <v>Y</v>
      </c>
    </row>
    <row r="14" spans="1:33" x14ac:dyDescent="0.2">
      <c r="A14">
        <v>337</v>
      </c>
      <c r="B14" t="s">
        <v>367</v>
      </c>
      <c r="C14" t="s">
        <v>349</v>
      </c>
      <c r="E14">
        <v>2001</v>
      </c>
      <c r="F14" t="s">
        <v>506</v>
      </c>
      <c r="G14" t="s">
        <v>513</v>
      </c>
      <c r="H14" s="13">
        <v>50.87</v>
      </c>
      <c r="I14" s="13">
        <v>-129.08000000000001</v>
      </c>
      <c r="J14" s="13">
        <v>1975</v>
      </c>
      <c r="K14" s="13">
        <v>1999</v>
      </c>
      <c r="L14" s="13">
        <f t="shared" si="2"/>
        <v>25</v>
      </c>
      <c r="M14" t="s">
        <v>370</v>
      </c>
      <c r="N14" t="s">
        <v>380</v>
      </c>
      <c r="O14" t="s">
        <v>380</v>
      </c>
      <c r="P14" t="s">
        <v>482</v>
      </c>
      <c r="Q14" t="s">
        <v>404</v>
      </c>
      <c r="V14">
        <v>-9</v>
      </c>
      <c r="W14" t="s">
        <v>3</v>
      </c>
      <c r="X14" t="s">
        <v>3</v>
      </c>
      <c r="Y14" t="s">
        <v>523</v>
      </c>
      <c r="Z14" s="4" t="str">
        <f t="shared" si="1"/>
        <v>Y</v>
      </c>
    </row>
    <row r="15" spans="1:33" x14ac:dyDescent="0.2">
      <c r="A15">
        <v>338</v>
      </c>
      <c r="B15" t="s">
        <v>367</v>
      </c>
      <c r="C15" t="s">
        <v>349</v>
      </c>
      <c r="E15">
        <v>2001</v>
      </c>
      <c r="F15" t="s">
        <v>506</v>
      </c>
      <c r="G15" t="s">
        <v>513</v>
      </c>
      <c r="H15" s="13">
        <v>50.87</v>
      </c>
      <c r="I15" s="13">
        <v>-129.08000000000001</v>
      </c>
      <c r="J15" s="13">
        <v>1975</v>
      </c>
      <c r="K15" s="13">
        <v>1999</v>
      </c>
      <c r="L15" s="13">
        <f t="shared" si="2"/>
        <v>25</v>
      </c>
      <c r="M15" t="s">
        <v>370</v>
      </c>
      <c r="N15" t="s">
        <v>380</v>
      </c>
      <c r="O15" t="s">
        <v>380</v>
      </c>
      <c r="P15" t="s">
        <v>483</v>
      </c>
      <c r="Q15" t="s">
        <v>394</v>
      </c>
      <c r="V15">
        <v>-14</v>
      </c>
      <c r="W15" t="s">
        <v>3</v>
      </c>
      <c r="X15" t="s">
        <v>3</v>
      </c>
      <c r="Y15" t="s">
        <v>523</v>
      </c>
      <c r="Z15" s="4" t="str">
        <f t="shared" si="1"/>
        <v>Y</v>
      </c>
    </row>
    <row r="16" spans="1:33" x14ac:dyDescent="0.2">
      <c r="A16">
        <v>16</v>
      </c>
      <c r="B16" t="s">
        <v>366</v>
      </c>
      <c r="C16" t="s">
        <v>575</v>
      </c>
      <c r="E16">
        <v>2008</v>
      </c>
      <c r="F16" t="s">
        <v>576</v>
      </c>
      <c r="G16" t="s">
        <v>513</v>
      </c>
      <c r="H16" s="13">
        <v>58.383299999999998</v>
      </c>
      <c r="I16" s="13">
        <v>-134.6558</v>
      </c>
      <c r="J16" s="13">
        <v>1972</v>
      </c>
      <c r="K16" s="13">
        <v>2005</v>
      </c>
      <c r="L16" s="13">
        <f t="shared" si="2"/>
        <v>34</v>
      </c>
      <c r="N16" t="s">
        <v>51</v>
      </c>
      <c r="O16" t="s">
        <v>51</v>
      </c>
      <c r="P16" t="s">
        <v>30</v>
      </c>
      <c r="Q16" t="s">
        <v>31</v>
      </c>
      <c r="R16" s="2"/>
      <c r="S16" s="2"/>
      <c r="T16" s="2"/>
      <c r="U16" s="2"/>
      <c r="V16">
        <f>-0.5*10</f>
        <v>-5</v>
      </c>
      <c r="W16" t="s">
        <v>3</v>
      </c>
      <c r="X16" t="s">
        <v>3</v>
      </c>
      <c r="Y16" t="s">
        <v>366</v>
      </c>
      <c r="Z16" s="4" t="str">
        <f t="shared" si="1"/>
        <v>Y</v>
      </c>
      <c r="AC16" t="s">
        <v>32</v>
      </c>
      <c r="AD16" t="s">
        <v>3</v>
      </c>
    </row>
    <row r="17" spans="1:33" x14ac:dyDescent="0.2">
      <c r="A17">
        <v>401</v>
      </c>
      <c r="B17" t="s">
        <v>367</v>
      </c>
      <c r="C17" t="s">
        <v>355</v>
      </c>
      <c r="E17">
        <v>2001</v>
      </c>
      <c r="F17" t="s">
        <v>510</v>
      </c>
      <c r="G17" t="s">
        <v>513</v>
      </c>
      <c r="H17" s="13">
        <v>52.89</v>
      </c>
      <c r="I17" s="13">
        <v>-131.65</v>
      </c>
      <c r="J17" s="13">
        <v>1984</v>
      </c>
      <c r="K17" s="13">
        <v>1999</v>
      </c>
      <c r="L17" s="13">
        <f t="shared" si="2"/>
        <v>16</v>
      </c>
      <c r="M17" t="s">
        <v>369</v>
      </c>
      <c r="N17" t="s">
        <v>380</v>
      </c>
      <c r="O17" t="s">
        <v>380</v>
      </c>
      <c r="P17" t="s">
        <v>496</v>
      </c>
      <c r="Q17" t="s">
        <v>452</v>
      </c>
      <c r="V17">
        <v>-3.4210526319999999</v>
      </c>
      <c r="W17" t="s">
        <v>3</v>
      </c>
      <c r="X17" t="s">
        <v>3</v>
      </c>
      <c r="Y17" t="s">
        <v>523</v>
      </c>
      <c r="Z17" s="4" t="str">
        <f t="shared" si="1"/>
        <v>N</v>
      </c>
    </row>
    <row r="18" spans="1:33" x14ac:dyDescent="0.2">
      <c r="A18">
        <v>165</v>
      </c>
      <c r="B18" t="s">
        <v>366</v>
      </c>
      <c r="C18" t="s">
        <v>874</v>
      </c>
      <c r="E18">
        <v>2003</v>
      </c>
      <c r="F18" t="s">
        <v>102</v>
      </c>
      <c r="G18" t="s">
        <v>513</v>
      </c>
      <c r="H18" s="13">
        <v>50.87</v>
      </c>
      <c r="I18" s="13">
        <v>-129.08000000000001</v>
      </c>
      <c r="J18" s="13">
        <v>1975</v>
      </c>
      <c r="K18" s="13">
        <v>2002</v>
      </c>
      <c r="L18" s="13">
        <f t="shared" si="2"/>
        <v>28</v>
      </c>
      <c r="N18" t="s">
        <v>380</v>
      </c>
      <c r="O18" t="s">
        <v>380</v>
      </c>
      <c r="Q18" t="s">
        <v>95</v>
      </c>
      <c r="V18">
        <f>-0.79*10</f>
        <v>-7.9</v>
      </c>
      <c r="W18" t="s">
        <v>3</v>
      </c>
      <c r="X18" s="2" t="s">
        <v>3</v>
      </c>
      <c r="Y18" t="s">
        <v>366</v>
      </c>
      <c r="Z18" s="4" t="str">
        <f t="shared" si="1"/>
        <v>Y</v>
      </c>
      <c r="AC18" t="s">
        <v>104</v>
      </c>
      <c r="AD18" s="2"/>
      <c r="AE18" s="2"/>
      <c r="AF18" s="2"/>
    </row>
    <row r="19" spans="1:33" x14ac:dyDescent="0.2">
      <c r="A19">
        <v>22</v>
      </c>
      <c r="B19" t="s">
        <v>366</v>
      </c>
      <c r="C19" t="s">
        <v>578</v>
      </c>
      <c r="E19">
        <v>2017</v>
      </c>
      <c r="F19" t="s">
        <v>47</v>
      </c>
      <c r="G19" t="s">
        <v>513</v>
      </c>
      <c r="H19" s="13">
        <v>48.879899999999999</v>
      </c>
      <c r="I19" s="13">
        <v>0.17130000000000001</v>
      </c>
      <c r="J19" s="13">
        <v>1987</v>
      </c>
      <c r="K19" s="13">
        <v>2013</v>
      </c>
      <c r="L19" s="13">
        <f t="shared" si="2"/>
        <v>27</v>
      </c>
      <c r="M19" t="s">
        <v>369</v>
      </c>
      <c r="N19" t="s">
        <v>51</v>
      </c>
      <c r="O19" t="s">
        <v>51</v>
      </c>
      <c r="P19" t="s">
        <v>2</v>
      </c>
      <c r="Q19" t="s">
        <v>50</v>
      </c>
      <c r="R19" t="s">
        <v>853</v>
      </c>
      <c r="S19" t="s">
        <v>1076</v>
      </c>
      <c r="T19">
        <v>160</v>
      </c>
      <c r="U19" t="s">
        <v>1068</v>
      </c>
      <c r="V19">
        <f>35/2.7</f>
        <v>12.962962962962962</v>
      </c>
      <c r="W19" t="s">
        <v>24</v>
      </c>
      <c r="X19" t="s">
        <v>3</v>
      </c>
      <c r="Y19" t="s">
        <v>366</v>
      </c>
      <c r="Z19" s="4" t="str">
        <f t="shared" si="1"/>
        <v>Y</v>
      </c>
      <c r="AA19" t="s">
        <v>1167</v>
      </c>
      <c r="AB19" t="s">
        <v>1166</v>
      </c>
      <c r="AC19" t="s">
        <v>1085</v>
      </c>
      <c r="AD19" s="15" t="s">
        <v>1127</v>
      </c>
      <c r="AE19" s="15" t="s">
        <v>1167</v>
      </c>
      <c r="AF19" s="15" t="s">
        <v>24</v>
      </c>
      <c r="AG19" t="s">
        <v>1100</v>
      </c>
    </row>
    <row r="20" spans="1:33" x14ac:dyDescent="0.2">
      <c r="A20">
        <v>23</v>
      </c>
      <c r="B20" t="s">
        <v>366</v>
      </c>
      <c r="C20" t="s">
        <v>578</v>
      </c>
      <c r="E20">
        <v>2017</v>
      </c>
      <c r="F20" t="s">
        <v>48</v>
      </c>
      <c r="G20" t="s">
        <v>513</v>
      </c>
      <c r="H20" s="13">
        <v>48.201999999999998</v>
      </c>
      <c r="I20" s="13">
        <v>-2.9325999999999999</v>
      </c>
      <c r="J20" s="13">
        <v>1987</v>
      </c>
      <c r="K20" s="13">
        <v>2013</v>
      </c>
      <c r="L20" s="13">
        <f t="shared" si="2"/>
        <v>27</v>
      </c>
      <c r="M20" t="s">
        <v>369</v>
      </c>
      <c r="N20" t="s">
        <v>51</v>
      </c>
      <c r="O20" t="s">
        <v>51</v>
      </c>
      <c r="P20" t="s">
        <v>2</v>
      </c>
      <c r="Q20" t="s">
        <v>50</v>
      </c>
      <c r="R20" t="s">
        <v>853</v>
      </c>
      <c r="S20" t="s">
        <v>1076</v>
      </c>
      <c r="T20">
        <v>160</v>
      </c>
      <c r="U20" t="s">
        <v>1068</v>
      </c>
      <c r="V20">
        <f>35/2.7</f>
        <v>12.962962962962962</v>
      </c>
      <c r="W20" t="s">
        <v>24</v>
      </c>
      <c r="X20" t="s">
        <v>3</v>
      </c>
      <c r="Y20" t="s">
        <v>366</v>
      </c>
      <c r="Z20" s="4" t="str">
        <f t="shared" si="1"/>
        <v>Y</v>
      </c>
      <c r="AA20" t="s">
        <v>1167</v>
      </c>
      <c r="AB20" t="s">
        <v>1166</v>
      </c>
      <c r="AC20" t="s">
        <v>1086</v>
      </c>
      <c r="AD20" s="15" t="s">
        <v>1127</v>
      </c>
      <c r="AE20" s="15" t="s">
        <v>1167</v>
      </c>
      <c r="AF20" s="15" t="s">
        <v>3</v>
      </c>
      <c r="AG20" t="s">
        <v>1100</v>
      </c>
    </row>
    <row r="21" spans="1:33" x14ac:dyDescent="0.2">
      <c r="A21">
        <v>24</v>
      </c>
      <c r="B21" t="s">
        <v>366</v>
      </c>
      <c r="C21" t="s">
        <v>578</v>
      </c>
      <c r="E21">
        <v>2017</v>
      </c>
      <c r="F21" t="s">
        <v>49</v>
      </c>
      <c r="G21" t="s">
        <v>513</v>
      </c>
      <c r="H21" s="13">
        <v>44.700200000000002</v>
      </c>
      <c r="I21" s="13">
        <v>-0.29959999999999998</v>
      </c>
      <c r="J21" s="13">
        <v>1987</v>
      </c>
      <c r="K21" s="13">
        <v>2013</v>
      </c>
      <c r="L21" s="13">
        <f t="shared" si="2"/>
        <v>27</v>
      </c>
      <c r="M21" t="s">
        <v>369</v>
      </c>
      <c r="N21" t="s">
        <v>51</v>
      </c>
      <c r="O21" t="s">
        <v>51</v>
      </c>
      <c r="P21" t="s">
        <v>2</v>
      </c>
      <c r="Q21" t="s">
        <v>50</v>
      </c>
      <c r="R21" t="s">
        <v>853</v>
      </c>
      <c r="S21" t="s">
        <v>1076</v>
      </c>
      <c r="T21">
        <v>180</v>
      </c>
      <c r="U21" t="s">
        <v>1068</v>
      </c>
      <c r="V21">
        <f>20/2.7</f>
        <v>7.4074074074074066</v>
      </c>
      <c r="W21" t="s">
        <v>24</v>
      </c>
      <c r="X21" t="s">
        <v>3</v>
      </c>
      <c r="Y21" t="s">
        <v>366</v>
      </c>
      <c r="Z21" s="4" t="str">
        <f t="shared" si="1"/>
        <v>Y</v>
      </c>
      <c r="AA21" t="s">
        <v>1167</v>
      </c>
      <c r="AB21" t="s">
        <v>1166</v>
      </c>
      <c r="AC21" t="s">
        <v>1087</v>
      </c>
      <c r="AD21" s="15" t="s">
        <v>1127</v>
      </c>
      <c r="AE21" s="15" t="s">
        <v>1167</v>
      </c>
      <c r="AF21" s="15" t="s">
        <v>24</v>
      </c>
      <c r="AG21" t="s">
        <v>1100</v>
      </c>
    </row>
    <row r="22" spans="1:33" x14ac:dyDescent="0.2">
      <c r="A22">
        <v>28</v>
      </c>
      <c r="B22" t="s">
        <v>366</v>
      </c>
      <c r="C22" t="s">
        <v>875</v>
      </c>
      <c r="E22">
        <v>2017</v>
      </c>
      <c r="F22" t="s">
        <v>53</v>
      </c>
      <c r="G22" t="s">
        <v>513</v>
      </c>
      <c r="H22" s="14">
        <v>45.427700000000002</v>
      </c>
      <c r="I22" s="13">
        <v>-0.86129999999999995</v>
      </c>
      <c r="J22" s="13">
        <v>1985</v>
      </c>
      <c r="K22" s="13">
        <v>2010</v>
      </c>
      <c r="L22" s="13">
        <f t="shared" si="2"/>
        <v>26</v>
      </c>
      <c r="M22" t="s">
        <v>369</v>
      </c>
      <c r="N22" t="s">
        <v>51</v>
      </c>
      <c r="O22" t="s">
        <v>51</v>
      </c>
      <c r="P22" t="s">
        <v>51</v>
      </c>
      <c r="Q22" t="s">
        <v>148</v>
      </c>
      <c r="R22" t="s">
        <v>864</v>
      </c>
      <c r="S22" s="17" t="s">
        <v>1076</v>
      </c>
      <c r="T22">
        <v>349</v>
      </c>
      <c r="U22" t="s">
        <v>1069</v>
      </c>
      <c r="V22" t="s">
        <v>165</v>
      </c>
      <c r="W22" t="s">
        <v>164</v>
      </c>
      <c r="X22" t="s">
        <v>3</v>
      </c>
      <c r="Y22" t="s">
        <v>366</v>
      </c>
      <c r="Z22" s="4" t="str">
        <f t="shared" si="1"/>
        <v>Y</v>
      </c>
      <c r="AA22" t="s">
        <v>1167</v>
      </c>
      <c r="AB22" t="s">
        <v>1169</v>
      </c>
      <c r="AC22" t="s">
        <v>1082</v>
      </c>
      <c r="AD22" s="15" t="s">
        <v>1127</v>
      </c>
      <c r="AE22" s="15" t="s">
        <v>1168</v>
      </c>
      <c r="AF22" s="15" t="s">
        <v>3</v>
      </c>
      <c r="AG22" t="s">
        <v>1100</v>
      </c>
    </row>
    <row r="23" spans="1:33" x14ac:dyDescent="0.2">
      <c r="A23">
        <v>29</v>
      </c>
      <c r="B23" t="s">
        <v>366</v>
      </c>
      <c r="C23" t="s">
        <v>875</v>
      </c>
      <c r="E23">
        <v>2017</v>
      </c>
      <c r="F23" t="s">
        <v>53</v>
      </c>
      <c r="G23" t="s">
        <v>513</v>
      </c>
      <c r="H23" s="14">
        <v>45.427700000000002</v>
      </c>
      <c r="I23" s="13">
        <v>-0.86129999999999995</v>
      </c>
      <c r="J23" s="13">
        <v>1985</v>
      </c>
      <c r="K23" s="13">
        <v>2010</v>
      </c>
      <c r="L23" s="13">
        <f t="shared" si="2"/>
        <v>26</v>
      </c>
      <c r="M23" t="s">
        <v>369</v>
      </c>
      <c r="N23" t="s">
        <v>51</v>
      </c>
      <c r="O23" t="s">
        <v>51</v>
      </c>
      <c r="P23" t="s">
        <v>51</v>
      </c>
      <c r="Q23" t="s">
        <v>150</v>
      </c>
      <c r="R23" t="s">
        <v>864</v>
      </c>
      <c r="S23" s="17" t="s">
        <v>1076</v>
      </c>
      <c r="T23">
        <v>46</v>
      </c>
      <c r="U23" t="s">
        <v>1069</v>
      </c>
      <c r="V23" t="s">
        <v>165</v>
      </c>
      <c r="W23" t="s">
        <v>164</v>
      </c>
      <c r="X23" t="s">
        <v>3</v>
      </c>
      <c r="Y23" t="s">
        <v>366</v>
      </c>
      <c r="Z23" s="4" t="str">
        <f t="shared" si="1"/>
        <v>Y</v>
      </c>
      <c r="AA23" t="s">
        <v>1167</v>
      </c>
      <c r="AB23" t="s">
        <v>1169</v>
      </c>
      <c r="AC23" t="s">
        <v>1082</v>
      </c>
      <c r="AD23" s="15" t="s">
        <v>1127</v>
      </c>
      <c r="AE23" s="15" t="s">
        <v>1168</v>
      </c>
      <c r="AF23" s="15" t="s">
        <v>3</v>
      </c>
      <c r="AG23" t="s">
        <v>1100</v>
      </c>
    </row>
    <row r="24" spans="1:33" x14ac:dyDescent="0.2">
      <c r="A24">
        <v>30</v>
      </c>
      <c r="B24" t="s">
        <v>366</v>
      </c>
      <c r="C24" t="s">
        <v>875</v>
      </c>
      <c r="E24">
        <v>2017</v>
      </c>
      <c r="F24" t="s">
        <v>53</v>
      </c>
      <c r="G24" t="s">
        <v>513</v>
      </c>
      <c r="H24" s="14">
        <v>45.427700000000002</v>
      </c>
      <c r="I24" s="13">
        <v>-0.86129999999999995</v>
      </c>
      <c r="J24" s="13">
        <v>1985</v>
      </c>
      <c r="K24" s="13">
        <v>2010</v>
      </c>
      <c r="L24" s="13">
        <f t="shared" si="2"/>
        <v>26</v>
      </c>
      <c r="M24" t="s">
        <v>369</v>
      </c>
      <c r="N24" t="s">
        <v>51</v>
      </c>
      <c r="O24" t="s">
        <v>51</v>
      </c>
      <c r="P24" t="s">
        <v>51</v>
      </c>
      <c r="Q24" t="s">
        <v>149</v>
      </c>
      <c r="R24" t="s">
        <v>864</v>
      </c>
      <c r="S24" s="17" t="s">
        <v>1076</v>
      </c>
      <c r="T24">
        <v>15</v>
      </c>
      <c r="U24" t="s">
        <v>1069</v>
      </c>
      <c r="V24" t="s">
        <v>165</v>
      </c>
      <c r="W24" t="s">
        <v>3</v>
      </c>
      <c r="X24" t="s">
        <v>3</v>
      </c>
      <c r="Y24" t="s">
        <v>366</v>
      </c>
      <c r="Z24" s="4" t="str">
        <f t="shared" si="1"/>
        <v>Y</v>
      </c>
      <c r="AA24" t="s">
        <v>1167</v>
      </c>
      <c r="AB24" t="s">
        <v>1169</v>
      </c>
      <c r="AC24" t="s">
        <v>1082</v>
      </c>
      <c r="AD24" s="15" t="s">
        <v>1127</v>
      </c>
      <c r="AE24" s="15" t="s">
        <v>1168</v>
      </c>
      <c r="AF24" s="15" t="s">
        <v>3</v>
      </c>
      <c r="AG24" t="s">
        <v>1100</v>
      </c>
    </row>
    <row r="25" spans="1:33" x14ac:dyDescent="0.2">
      <c r="A25">
        <v>31</v>
      </c>
      <c r="B25" t="s">
        <v>366</v>
      </c>
      <c r="C25" t="s">
        <v>875</v>
      </c>
      <c r="E25">
        <v>2017</v>
      </c>
      <c r="F25" t="s">
        <v>53</v>
      </c>
      <c r="G25" t="s">
        <v>513</v>
      </c>
      <c r="H25" s="14">
        <v>45.427700000000002</v>
      </c>
      <c r="I25" s="13">
        <v>-0.86129999999999995</v>
      </c>
      <c r="J25" s="13">
        <v>1985</v>
      </c>
      <c r="K25" s="13">
        <v>2010</v>
      </c>
      <c r="L25" s="13">
        <f t="shared" si="2"/>
        <v>26</v>
      </c>
      <c r="M25" t="s">
        <v>369</v>
      </c>
      <c r="N25" t="s">
        <v>51</v>
      </c>
      <c r="O25" t="s">
        <v>51</v>
      </c>
      <c r="P25" t="s">
        <v>51</v>
      </c>
      <c r="Q25" t="s">
        <v>151</v>
      </c>
      <c r="R25" t="s">
        <v>864</v>
      </c>
      <c r="S25" s="17" t="s">
        <v>1076</v>
      </c>
      <c r="T25">
        <v>258</v>
      </c>
      <c r="U25" t="s">
        <v>900</v>
      </c>
      <c r="V25" t="s">
        <v>165</v>
      </c>
      <c r="W25" t="s">
        <v>3</v>
      </c>
      <c r="X25" t="s">
        <v>3</v>
      </c>
      <c r="Y25" t="s">
        <v>366</v>
      </c>
      <c r="Z25" s="4" t="str">
        <f t="shared" si="1"/>
        <v>Y</v>
      </c>
      <c r="AA25" t="s">
        <v>1167</v>
      </c>
      <c r="AB25" t="s">
        <v>1169</v>
      </c>
      <c r="AC25" t="s">
        <v>1082</v>
      </c>
      <c r="AD25" s="15" t="s">
        <v>1127</v>
      </c>
      <c r="AE25" s="15" t="s">
        <v>1168</v>
      </c>
      <c r="AF25" s="15" t="s">
        <v>3</v>
      </c>
      <c r="AG25" t="s">
        <v>1100</v>
      </c>
    </row>
    <row r="26" spans="1:33" x14ac:dyDescent="0.2">
      <c r="A26">
        <v>32</v>
      </c>
      <c r="B26" t="s">
        <v>366</v>
      </c>
      <c r="C26" t="s">
        <v>875</v>
      </c>
      <c r="E26">
        <v>2017</v>
      </c>
      <c r="F26" t="s">
        <v>53</v>
      </c>
      <c r="G26" t="s">
        <v>513</v>
      </c>
      <c r="H26" s="14">
        <v>45.427700000000002</v>
      </c>
      <c r="I26" s="13">
        <v>-0.86129999999999995</v>
      </c>
      <c r="J26" s="13">
        <v>1985</v>
      </c>
      <c r="K26" s="13">
        <v>2010</v>
      </c>
      <c r="L26" s="13">
        <f t="shared" si="2"/>
        <v>26</v>
      </c>
      <c r="M26" t="s">
        <v>369</v>
      </c>
      <c r="N26" t="s">
        <v>51</v>
      </c>
      <c r="O26" t="s">
        <v>51</v>
      </c>
      <c r="P26" t="s">
        <v>51</v>
      </c>
      <c r="Q26" t="s">
        <v>152</v>
      </c>
      <c r="R26" t="s">
        <v>864</v>
      </c>
      <c r="S26" s="17" t="s">
        <v>1076</v>
      </c>
      <c r="T26">
        <v>258</v>
      </c>
      <c r="U26" t="s">
        <v>900</v>
      </c>
      <c r="V26" t="s">
        <v>165</v>
      </c>
      <c r="W26" t="s">
        <v>3</v>
      </c>
      <c r="X26" t="s">
        <v>3</v>
      </c>
      <c r="Y26" t="s">
        <v>366</v>
      </c>
      <c r="Z26" s="4" t="str">
        <f t="shared" si="1"/>
        <v>Y</v>
      </c>
      <c r="AA26" t="s">
        <v>1167</v>
      </c>
      <c r="AB26" t="s">
        <v>1169</v>
      </c>
      <c r="AC26" t="s">
        <v>1082</v>
      </c>
      <c r="AD26" s="15" t="s">
        <v>1127</v>
      </c>
      <c r="AE26" s="15" t="s">
        <v>1168</v>
      </c>
      <c r="AF26" s="15" t="s">
        <v>3</v>
      </c>
      <c r="AG26" t="s">
        <v>1100</v>
      </c>
    </row>
    <row r="27" spans="1:33" x14ac:dyDescent="0.2">
      <c r="A27">
        <v>33</v>
      </c>
      <c r="B27" t="s">
        <v>366</v>
      </c>
      <c r="C27" t="s">
        <v>875</v>
      </c>
      <c r="E27">
        <v>2017</v>
      </c>
      <c r="F27" t="s">
        <v>53</v>
      </c>
      <c r="G27" t="s">
        <v>513</v>
      </c>
      <c r="H27" s="14">
        <v>45.427700000000002</v>
      </c>
      <c r="I27" s="13">
        <v>-0.86129999999999995</v>
      </c>
      <c r="J27" s="13">
        <v>1985</v>
      </c>
      <c r="K27" s="13">
        <v>2010</v>
      </c>
      <c r="L27" s="13">
        <f t="shared" si="2"/>
        <v>26</v>
      </c>
      <c r="M27" t="s">
        <v>369</v>
      </c>
      <c r="N27" t="s">
        <v>51</v>
      </c>
      <c r="O27" t="s">
        <v>51</v>
      </c>
      <c r="P27" t="s">
        <v>51</v>
      </c>
      <c r="Q27" t="s">
        <v>153</v>
      </c>
      <c r="R27" t="s">
        <v>864</v>
      </c>
      <c r="S27" s="17" t="s">
        <v>1076</v>
      </c>
      <c r="T27">
        <v>196</v>
      </c>
      <c r="U27" t="s">
        <v>1068</v>
      </c>
      <c r="V27" t="s">
        <v>165</v>
      </c>
      <c r="W27" t="s">
        <v>164</v>
      </c>
      <c r="X27" t="s">
        <v>3</v>
      </c>
      <c r="Y27" t="s">
        <v>366</v>
      </c>
      <c r="Z27" s="4" t="str">
        <f t="shared" si="1"/>
        <v>Y</v>
      </c>
      <c r="AA27" t="s">
        <v>1167</v>
      </c>
      <c r="AB27" t="s">
        <v>1169</v>
      </c>
      <c r="AC27" t="s">
        <v>1082</v>
      </c>
      <c r="AD27" s="15" t="s">
        <v>1127</v>
      </c>
      <c r="AE27" s="15" t="s">
        <v>1168</v>
      </c>
      <c r="AF27" s="15" t="s">
        <v>3</v>
      </c>
      <c r="AG27" t="s">
        <v>1100</v>
      </c>
    </row>
    <row r="28" spans="1:33" x14ac:dyDescent="0.2">
      <c r="A28">
        <v>34</v>
      </c>
      <c r="B28" t="s">
        <v>366</v>
      </c>
      <c r="C28" t="s">
        <v>875</v>
      </c>
      <c r="E28">
        <v>2017</v>
      </c>
      <c r="F28" t="s">
        <v>53</v>
      </c>
      <c r="G28" t="s">
        <v>513</v>
      </c>
      <c r="H28" s="14">
        <v>45.427700000000002</v>
      </c>
      <c r="I28" s="13">
        <v>-0.86129999999999995</v>
      </c>
      <c r="J28" s="13">
        <v>1985</v>
      </c>
      <c r="K28" s="13">
        <v>2010</v>
      </c>
      <c r="L28" s="13">
        <f t="shared" si="2"/>
        <v>26</v>
      </c>
      <c r="M28" t="s">
        <v>369</v>
      </c>
      <c r="N28" t="s">
        <v>51</v>
      </c>
      <c r="O28" t="s">
        <v>51</v>
      </c>
      <c r="P28" t="s">
        <v>51</v>
      </c>
      <c r="Q28" t="s">
        <v>154</v>
      </c>
      <c r="R28" t="s">
        <v>864</v>
      </c>
      <c r="S28" s="17" t="s">
        <v>1076</v>
      </c>
      <c r="T28">
        <v>196</v>
      </c>
      <c r="U28" t="s">
        <v>1068</v>
      </c>
      <c r="V28" t="s">
        <v>165</v>
      </c>
      <c r="W28" t="s">
        <v>3</v>
      </c>
      <c r="X28" t="s">
        <v>3</v>
      </c>
      <c r="Y28" t="s">
        <v>366</v>
      </c>
      <c r="Z28" s="4" t="str">
        <f t="shared" si="1"/>
        <v>Y</v>
      </c>
      <c r="AA28" t="s">
        <v>1167</v>
      </c>
      <c r="AB28" t="s">
        <v>1169</v>
      </c>
      <c r="AC28" t="s">
        <v>1082</v>
      </c>
      <c r="AD28" s="15" t="s">
        <v>1127</v>
      </c>
      <c r="AE28" s="15" t="s">
        <v>1168</v>
      </c>
      <c r="AF28" s="15" t="s">
        <v>3</v>
      </c>
      <c r="AG28" t="s">
        <v>1100</v>
      </c>
    </row>
    <row r="29" spans="1:33" x14ac:dyDescent="0.2">
      <c r="A29">
        <v>35</v>
      </c>
      <c r="B29" t="s">
        <v>366</v>
      </c>
      <c r="C29" t="s">
        <v>875</v>
      </c>
      <c r="E29">
        <v>2017</v>
      </c>
      <c r="F29" t="s">
        <v>53</v>
      </c>
      <c r="G29" t="s">
        <v>513</v>
      </c>
      <c r="H29" s="14">
        <v>45.427700000000002</v>
      </c>
      <c r="I29" s="13">
        <v>-0.86129999999999995</v>
      </c>
      <c r="J29" s="13">
        <v>1985</v>
      </c>
      <c r="K29" s="13">
        <v>2010</v>
      </c>
      <c r="L29" s="13">
        <f t="shared" si="2"/>
        <v>26</v>
      </c>
      <c r="M29" t="s">
        <v>369</v>
      </c>
      <c r="N29" t="s">
        <v>51</v>
      </c>
      <c r="O29" t="s">
        <v>51</v>
      </c>
      <c r="P29" t="s">
        <v>51</v>
      </c>
      <c r="Q29" t="s">
        <v>155</v>
      </c>
      <c r="R29" t="s">
        <v>864</v>
      </c>
      <c r="S29" s="17" t="s">
        <v>1076</v>
      </c>
      <c r="T29">
        <v>166</v>
      </c>
      <c r="U29" t="s">
        <v>1068</v>
      </c>
      <c r="V29" t="s">
        <v>165</v>
      </c>
      <c r="W29" t="s">
        <v>164</v>
      </c>
      <c r="X29" t="s">
        <v>3</v>
      </c>
      <c r="Y29" t="s">
        <v>366</v>
      </c>
      <c r="Z29" s="4" t="str">
        <f t="shared" si="1"/>
        <v>Y</v>
      </c>
      <c r="AA29" t="s">
        <v>1167</v>
      </c>
      <c r="AB29" t="s">
        <v>1169</v>
      </c>
      <c r="AC29" t="s">
        <v>1082</v>
      </c>
      <c r="AD29" s="15" t="s">
        <v>1127</v>
      </c>
      <c r="AE29" s="15" t="s">
        <v>1168</v>
      </c>
      <c r="AF29" s="15" t="s">
        <v>3</v>
      </c>
      <c r="AG29" t="s">
        <v>1100</v>
      </c>
    </row>
    <row r="30" spans="1:33" x14ac:dyDescent="0.2">
      <c r="A30">
        <v>36</v>
      </c>
      <c r="B30" t="s">
        <v>366</v>
      </c>
      <c r="C30" t="s">
        <v>875</v>
      </c>
      <c r="E30">
        <v>2017</v>
      </c>
      <c r="F30" t="s">
        <v>53</v>
      </c>
      <c r="G30" t="s">
        <v>513</v>
      </c>
      <c r="H30" s="14">
        <v>45.427700000000002</v>
      </c>
      <c r="I30" s="13">
        <v>-0.86129999999999995</v>
      </c>
      <c r="J30" s="13">
        <v>1985</v>
      </c>
      <c r="K30" s="13">
        <v>2010</v>
      </c>
      <c r="L30" s="13">
        <f t="shared" si="2"/>
        <v>26</v>
      </c>
      <c r="M30" t="s">
        <v>369</v>
      </c>
      <c r="N30" t="s">
        <v>51</v>
      </c>
      <c r="O30" t="s">
        <v>51</v>
      </c>
      <c r="P30" t="s">
        <v>51</v>
      </c>
      <c r="Q30" t="s">
        <v>156</v>
      </c>
      <c r="R30" t="s">
        <v>864</v>
      </c>
      <c r="S30" s="17" t="s">
        <v>1076</v>
      </c>
      <c r="T30">
        <v>227</v>
      </c>
      <c r="U30" t="s">
        <v>1068</v>
      </c>
      <c r="V30" t="s">
        <v>165</v>
      </c>
      <c r="W30" t="s">
        <v>164</v>
      </c>
      <c r="X30" t="s">
        <v>3</v>
      </c>
      <c r="Y30" t="s">
        <v>366</v>
      </c>
      <c r="Z30" s="4" t="str">
        <f t="shared" si="1"/>
        <v>Y</v>
      </c>
      <c r="AA30" t="s">
        <v>1167</v>
      </c>
      <c r="AB30" t="s">
        <v>1169</v>
      </c>
      <c r="AC30" t="s">
        <v>1082</v>
      </c>
      <c r="AD30" s="15" t="s">
        <v>1127</v>
      </c>
      <c r="AE30" s="15" t="s">
        <v>1168</v>
      </c>
      <c r="AF30" s="15" t="s">
        <v>3</v>
      </c>
      <c r="AG30" t="s">
        <v>1100</v>
      </c>
    </row>
    <row r="31" spans="1:33" x14ac:dyDescent="0.2">
      <c r="A31">
        <v>37</v>
      </c>
      <c r="B31" t="s">
        <v>366</v>
      </c>
      <c r="C31" t="s">
        <v>875</v>
      </c>
      <c r="E31">
        <v>2017</v>
      </c>
      <c r="F31" t="s">
        <v>53</v>
      </c>
      <c r="G31" t="s">
        <v>513</v>
      </c>
      <c r="H31" s="14">
        <v>45.427700000000002</v>
      </c>
      <c r="I31" s="13">
        <v>-0.86129999999999995</v>
      </c>
      <c r="J31" s="13">
        <v>1985</v>
      </c>
      <c r="K31" s="13">
        <v>2010</v>
      </c>
      <c r="L31" s="13">
        <f t="shared" si="2"/>
        <v>26</v>
      </c>
      <c r="M31" t="s">
        <v>369</v>
      </c>
      <c r="N31" t="s">
        <v>51</v>
      </c>
      <c r="O31" t="s">
        <v>51</v>
      </c>
      <c r="P31" t="s">
        <v>51</v>
      </c>
      <c r="Q31" t="s">
        <v>157</v>
      </c>
      <c r="R31" t="s">
        <v>864</v>
      </c>
      <c r="S31" s="17" t="s">
        <v>1076</v>
      </c>
      <c r="T31">
        <v>166</v>
      </c>
      <c r="U31" t="s">
        <v>1068</v>
      </c>
      <c r="V31" t="s">
        <v>165</v>
      </c>
      <c r="W31" t="s">
        <v>24</v>
      </c>
      <c r="X31" t="s">
        <v>3</v>
      </c>
      <c r="Y31" t="s">
        <v>366</v>
      </c>
      <c r="Z31" s="4" t="str">
        <f t="shared" si="1"/>
        <v>Y</v>
      </c>
      <c r="AA31" t="s">
        <v>1167</v>
      </c>
      <c r="AB31" t="s">
        <v>1169</v>
      </c>
      <c r="AC31" t="s">
        <v>1082</v>
      </c>
      <c r="AD31" s="15" t="s">
        <v>1127</v>
      </c>
      <c r="AE31" s="15" t="s">
        <v>1168</v>
      </c>
      <c r="AF31" s="15" t="s">
        <v>3</v>
      </c>
      <c r="AG31" t="s">
        <v>1100</v>
      </c>
    </row>
    <row r="32" spans="1:33" x14ac:dyDescent="0.2">
      <c r="A32">
        <v>38</v>
      </c>
      <c r="B32" t="s">
        <v>366</v>
      </c>
      <c r="C32" t="s">
        <v>875</v>
      </c>
      <c r="E32">
        <v>2017</v>
      </c>
      <c r="F32" t="s">
        <v>53</v>
      </c>
      <c r="G32" t="s">
        <v>513</v>
      </c>
      <c r="H32" s="14">
        <v>45.427700000000002</v>
      </c>
      <c r="I32" s="13">
        <v>-0.86129999999999995</v>
      </c>
      <c r="J32" s="13">
        <v>1985</v>
      </c>
      <c r="K32" s="13">
        <v>2010</v>
      </c>
      <c r="L32" s="13">
        <f t="shared" si="2"/>
        <v>26</v>
      </c>
      <c r="M32" t="s">
        <v>369</v>
      </c>
      <c r="N32" t="s">
        <v>51</v>
      </c>
      <c r="O32" t="s">
        <v>51</v>
      </c>
      <c r="P32" t="s">
        <v>51</v>
      </c>
      <c r="Q32" t="s">
        <v>158</v>
      </c>
      <c r="R32" t="s">
        <v>864</v>
      </c>
      <c r="S32" s="17" t="s">
        <v>1076</v>
      </c>
      <c r="T32">
        <v>227</v>
      </c>
      <c r="U32" t="s">
        <v>1068</v>
      </c>
      <c r="V32" t="s">
        <v>165</v>
      </c>
      <c r="W32" t="s">
        <v>164</v>
      </c>
      <c r="X32" t="s">
        <v>3</v>
      </c>
      <c r="Y32" t="s">
        <v>366</v>
      </c>
      <c r="Z32" s="4" t="str">
        <f t="shared" si="1"/>
        <v>Y</v>
      </c>
      <c r="AA32" t="s">
        <v>1167</v>
      </c>
      <c r="AB32" t="s">
        <v>1169</v>
      </c>
      <c r="AC32" t="s">
        <v>1082</v>
      </c>
      <c r="AD32" s="15" t="s">
        <v>1127</v>
      </c>
      <c r="AE32" s="15" t="s">
        <v>1168</v>
      </c>
      <c r="AF32" s="15" t="s">
        <v>3</v>
      </c>
      <c r="AG32" t="s">
        <v>1100</v>
      </c>
    </row>
    <row r="33" spans="1:33" x14ac:dyDescent="0.2">
      <c r="A33">
        <v>39</v>
      </c>
      <c r="B33" t="s">
        <v>366</v>
      </c>
      <c r="C33" t="s">
        <v>875</v>
      </c>
      <c r="E33">
        <v>2017</v>
      </c>
      <c r="F33" t="s">
        <v>53</v>
      </c>
      <c r="G33" t="s">
        <v>513</v>
      </c>
      <c r="H33" s="14">
        <v>45.427700000000002</v>
      </c>
      <c r="I33" s="13">
        <v>-0.86129999999999995</v>
      </c>
      <c r="J33" s="13">
        <v>1985</v>
      </c>
      <c r="K33" s="13">
        <v>2010</v>
      </c>
      <c r="L33" s="13">
        <f t="shared" si="2"/>
        <v>26</v>
      </c>
      <c r="M33" t="s">
        <v>369</v>
      </c>
      <c r="N33" t="s">
        <v>51</v>
      </c>
      <c r="O33" t="s">
        <v>51</v>
      </c>
      <c r="P33" t="s">
        <v>51</v>
      </c>
      <c r="Q33" t="s">
        <v>159</v>
      </c>
      <c r="R33" t="s">
        <v>864</v>
      </c>
      <c r="S33" s="17" t="s">
        <v>1076</v>
      </c>
      <c r="T33">
        <v>196</v>
      </c>
      <c r="U33" t="s">
        <v>1068</v>
      </c>
      <c r="V33" t="s">
        <v>165</v>
      </c>
      <c r="W33" t="s">
        <v>164</v>
      </c>
      <c r="X33" t="s">
        <v>3</v>
      </c>
      <c r="Y33" t="s">
        <v>366</v>
      </c>
      <c r="Z33" s="4" t="str">
        <f t="shared" si="1"/>
        <v>Y</v>
      </c>
      <c r="AA33" t="s">
        <v>1167</v>
      </c>
      <c r="AB33" t="s">
        <v>1169</v>
      </c>
      <c r="AC33" t="s">
        <v>1082</v>
      </c>
      <c r="AD33" s="15" t="s">
        <v>1127</v>
      </c>
      <c r="AE33" s="15" t="s">
        <v>1168</v>
      </c>
      <c r="AF33" s="15" t="s">
        <v>3</v>
      </c>
      <c r="AG33" t="s">
        <v>1100</v>
      </c>
    </row>
    <row r="34" spans="1:33" x14ac:dyDescent="0.2">
      <c r="A34">
        <v>40</v>
      </c>
      <c r="B34" t="s">
        <v>366</v>
      </c>
      <c r="C34" t="s">
        <v>875</v>
      </c>
      <c r="E34">
        <v>2017</v>
      </c>
      <c r="F34" t="s">
        <v>53</v>
      </c>
      <c r="G34" t="s">
        <v>513</v>
      </c>
      <c r="H34" s="14">
        <v>45.427700000000002</v>
      </c>
      <c r="I34" s="13">
        <v>-0.86129999999999995</v>
      </c>
      <c r="J34" s="13">
        <v>1985</v>
      </c>
      <c r="K34" s="13">
        <v>2010</v>
      </c>
      <c r="L34" s="13">
        <f t="shared" si="2"/>
        <v>26</v>
      </c>
      <c r="M34" t="s">
        <v>369</v>
      </c>
      <c r="N34" t="s">
        <v>51</v>
      </c>
      <c r="O34" t="s">
        <v>51</v>
      </c>
      <c r="P34" t="s">
        <v>51</v>
      </c>
      <c r="Q34" t="s">
        <v>160</v>
      </c>
      <c r="R34" t="s">
        <v>864</v>
      </c>
      <c r="S34" s="17" t="s">
        <v>1076</v>
      </c>
      <c r="T34">
        <v>166</v>
      </c>
      <c r="U34" t="s">
        <v>1068</v>
      </c>
      <c r="V34" t="s">
        <v>165</v>
      </c>
      <c r="W34" t="s">
        <v>164</v>
      </c>
      <c r="X34" t="s">
        <v>3</v>
      </c>
      <c r="Y34" t="s">
        <v>366</v>
      </c>
      <c r="Z34" s="4" t="str">
        <f t="shared" si="1"/>
        <v>Y</v>
      </c>
      <c r="AA34" t="s">
        <v>1167</v>
      </c>
      <c r="AB34" t="s">
        <v>1169</v>
      </c>
      <c r="AC34" t="s">
        <v>1082</v>
      </c>
      <c r="AD34" s="15" t="s">
        <v>1127</v>
      </c>
      <c r="AE34" s="15" t="s">
        <v>1168</v>
      </c>
      <c r="AF34" s="15" t="s">
        <v>3</v>
      </c>
      <c r="AG34" t="s">
        <v>1100</v>
      </c>
    </row>
    <row r="35" spans="1:33" x14ac:dyDescent="0.2">
      <c r="A35">
        <v>41</v>
      </c>
      <c r="B35" t="s">
        <v>366</v>
      </c>
      <c r="C35" t="s">
        <v>875</v>
      </c>
      <c r="E35">
        <v>2017</v>
      </c>
      <c r="F35" t="s">
        <v>53</v>
      </c>
      <c r="G35" t="s">
        <v>513</v>
      </c>
      <c r="H35" s="14">
        <v>45.427700000000002</v>
      </c>
      <c r="I35" s="13">
        <v>-0.86129999999999995</v>
      </c>
      <c r="J35" s="13">
        <v>1985</v>
      </c>
      <c r="K35" s="13">
        <v>2010</v>
      </c>
      <c r="L35" s="13">
        <f t="shared" si="2"/>
        <v>26</v>
      </c>
      <c r="M35" t="s">
        <v>369</v>
      </c>
      <c r="N35" t="s">
        <v>51</v>
      </c>
      <c r="O35" t="s">
        <v>51</v>
      </c>
      <c r="P35" t="s">
        <v>51</v>
      </c>
      <c r="Q35" t="s">
        <v>161</v>
      </c>
      <c r="R35" t="s">
        <v>864</v>
      </c>
      <c r="S35" s="17" t="s">
        <v>1076</v>
      </c>
      <c r="T35">
        <v>258</v>
      </c>
      <c r="U35" t="s">
        <v>900</v>
      </c>
      <c r="V35" t="s">
        <v>165</v>
      </c>
      <c r="W35" t="s">
        <v>164</v>
      </c>
      <c r="X35" t="s">
        <v>3</v>
      </c>
      <c r="Y35" t="s">
        <v>366</v>
      </c>
      <c r="Z35" s="4" t="str">
        <f t="shared" si="1"/>
        <v>Y</v>
      </c>
      <c r="AA35" t="s">
        <v>1167</v>
      </c>
      <c r="AB35" t="s">
        <v>1169</v>
      </c>
      <c r="AC35" t="s">
        <v>1082</v>
      </c>
      <c r="AD35" s="15" t="s">
        <v>1127</v>
      </c>
      <c r="AE35" s="15" t="s">
        <v>1168</v>
      </c>
      <c r="AF35" s="15" t="s">
        <v>3</v>
      </c>
      <c r="AG35" t="s">
        <v>1100</v>
      </c>
    </row>
    <row r="36" spans="1:33" s="24" customFormat="1" x14ac:dyDescent="0.2">
      <c r="B36" s="24" t="s">
        <v>366</v>
      </c>
      <c r="C36" s="24" t="s">
        <v>876</v>
      </c>
      <c r="E36" s="24">
        <v>2019</v>
      </c>
      <c r="F36" s="24" t="s">
        <v>67</v>
      </c>
      <c r="G36" s="24" t="s">
        <v>513</v>
      </c>
      <c r="H36" s="26">
        <v>45.557000000000002</v>
      </c>
      <c r="I36" s="26">
        <v>-3.1631999999999998</v>
      </c>
      <c r="J36" s="26">
        <v>1970</v>
      </c>
      <c r="K36" s="26">
        <v>2012</v>
      </c>
      <c r="L36" s="26">
        <f t="shared" si="2"/>
        <v>43</v>
      </c>
      <c r="M36" s="24" t="s">
        <v>369</v>
      </c>
      <c r="N36" s="24" t="s">
        <v>52</v>
      </c>
      <c r="O36" s="29" t="s">
        <v>484</v>
      </c>
      <c r="P36" s="24" t="s">
        <v>373</v>
      </c>
      <c r="Q36" s="24" t="s">
        <v>419</v>
      </c>
      <c r="R36" s="24" t="s">
        <v>864</v>
      </c>
      <c r="S36" s="24" t="s">
        <v>1076</v>
      </c>
      <c r="T36" s="24">
        <v>210</v>
      </c>
      <c r="U36" s="24" t="s">
        <v>1068</v>
      </c>
      <c r="V36" s="24">
        <f>(210-140)/(1970-2012)*10</f>
        <v>-16.666666666666668</v>
      </c>
      <c r="W36" s="24" t="s">
        <v>3</v>
      </c>
      <c r="X36" s="24" t="s">
        <v>3</v>
      </c>
      <c r="Y36" s="24" t="s">
        <v>366</v>
      </c>
      <c r="Z36" s="4" t="str">
        <f t="shared" si="1"/>
        <v>Y</v>
      </c>
      <c r="AA36" s="24" t="s">
        <v>1125</v>
      </c>
      <c r="AB36" s="24" t="s">
        <v>1126</v>
      </c>
      <c r="AC36" s="24" t="s">
        <v>877</v>
      </c>
      <c r="AD36" s="24" t="s">
        <v>1100</v>
      </c>
      <c r="AE36" s="24" t="s">
        <v>1153</v>
      </c>
      <c r="AF36" s="24" t="s">
        <v>3</v>
      </c>
      <c r="AG36" s="24" t="s">
        <v>1100</v>
      </c>
    </row>
    <row r="37" spans="1:33" s="24" customFormat="1" x14ac:dyDescent="0.2">
      <c r="A37" s="24">
        <v>42</v>
      </c>
      <c r="B37" s="24" t="s">
        <v>366</v>
      </c>
      <c r="C37" s="24" t="s">
        <v>875</v>
      </c>
      <c r="E37" s="24">
        <v>2017</v>
      </c>
      <c r="F37" s="24" t="s">
        <v>53</v>
      </c>
      <c r="G37" s="24" t="s">
        <v>513</v>
      </c>
      <c r="H37" s="25">
        <v>45.427700000000002</v>
      </c>
      <c r="I37" s="26">
        <v>-0.86129999999999995</v>
      </c>
      <c r="J37" s="26">
        <v>1985</v>
      </c>
      <c r="K37" s="26">
        <v>2010</v>
      </c>
      <c r="L37" s="26">
        <f t="shared" si="2"/>
        <v>26</v>
      </c>
      <c r="M37" s="24" t="s">
        <v>369</v>
      </c>
      <c r="N37" s="24" t="s">
        <v>52</v>
      </c>
      <c r="O37" s="24" t="s">
        <v>484</v>
      </c>
      <c r="P37" s="24" t="s">
        <v>484</v>
      </c>
      <c r="Q37" s="24" t="s">
        <v>295</v>
      </c>
      <c r="R37" s="24" t="s">
        <v>864</v>
      </c>
      <c r="S37" s="27" t="s">
        <v>1076</v>
      </c>
      <c r="T37" s="24">
        <v>135</v>
      </c>
      <c r="U37" s="24" t="s">
        <v>901</v>
      </c>
      <c r="V37" s="24" t="s">
        <v>165</v>
      </c>
      <c r="W37" s="24" t="s">
        <v>164</v>
      </c>
      <c r="X37" s="24" t="s">
        <v>3</v>
      </c>
      <c r="Y37" s="24" t="s">
        <v>366</v>
      </c>
      <c r="Z37" s="4" t="str">
        <f t="shared" si="1"/>
        <v>Y</v>
      </c>
      <c r="AA37" s="24" t="s">
        <v>1167</v>
      </c>
      <c r="AB37" s="24" t="s">
        <v>1169</v>
      </c>
      <c r="AC37" s="24" t="s">
        <v>1082</v>
      </c>
      <c r="AD37" s="28" t="s">
        <v>1127</v>
      </c>
      <c r="AE37" s="28" t="s">
        <v>1168</v>
      </c>
      <c r="AF37" s="28" t="s">
        <v>3</v>
      </c>
      <c r="AG37" s="24" t="s">
        <v>1100</v>
      </c>
    </row>
    <row r="38" spans="1:33" s="24" customFormat="1" x14ac:dyDescent="0.2">
      <c r="A38" s="24">
        <v>43</v>
      </c>
      <c r="B38" s="24" t="s">
        <v>366</v>
      </c>
      <c r="C38" s="24" t="s">
        <v>875</v>
      </c>
      <c r="E38" s="24">
        <v>2017</v>
      </c>
      <c r="F38" s="24" t="s">
        <v>53</v>
      </c>
      <c r="G38" s="24" t="s">
        <v>513</v>
      </c>
      <c r="H38" s="25">
        <v>45.427700000000002</v>
      </c>
      <c r="I38" s="26">
        <v>-0.86129999999999995</v>
      </c>
      <c r="J38" s="26">
        <v>1985</v>
      </c>
      <c r="K38" s="26">
        <v>2010</v>
      </c>
      <c r="L38" s="26">
        <f t="shared" si="2"/>
        <v>26</v>
      </c>
      <c r="M38" s="24" t="s">
        <v>369</v>
      </c>
      <c r="N38" s="24" t="s">
        <v>52</v>
      </c>
      <c r="O38" s="24" t="s">
        <v>484</v>
      </c>
      <c r="P38" s="24" t="s">
        <v>484</v>
      </c>
      <c r="Q38" s="24" t="s">
        <v>296</v>
      </c>
      <c r="R38" s="24" t="s">
        <v>864</v>
      </c>
      <c r="S38" s="27" t="s">
        <v>1076</v>
      </c>
      <c r="T38" s="24">
        <v>227</v>
      </c>
      <c r="U38" s="24" t="s">
        <v>1068</v>
      </c>
      <c r="V38" s="24" t="s">
        <v>165</v>
      </c>
      <c r="W38" s="24" t="s">
        <v>3</v>
      </c>
      <c r="X38" s="24" t="s">
        <v>3</v>
      </c>
      <c r="Y38" s="24" t="s">
        <v>366</v>
      </c>
      <c r="Z38" s="4" t="str">
        <f t="shared" si="1"/>
        <v>Y</v>
      </c>
      <c r="AA38" s="24" t="s">
        <v>1167</v>
      </c>
      <c r="AB38" s="24" t="s">
        <v>1169</v>
      </c>
      <c r="AC38" s="24" t="s">
        <v>1082</v>
      </c>
      <c r="AD38" s="28" t="s">
        <v>1127</v>
      </c>
      <c r="AE38" s="28" t="s">
        <v>1168</v>
      </c>
      <c r="AF38" s="28" t="s">
        <v>3</v>
      </c>
      <c r="AG38" s="24" t="s">
        <v>1100</v>
      </c>
    </row>
    <row r="39" spans="1:33" s="24" customFormat="1" x14ac:dyDescent="0.2">
      <c r="A39" s="24">
        <v>45</v>
      </c>
      <c r="B39" s="24" t="s">
        <v>366</v>
      </c>
      <c r="C39" s="24" t="s">
        <v>875</v>
      </c>
      <c r="E39" s="24">
        <v>2017</v>
      </c>
      <c r="F39" s="24" t="s">
        <v>53</v>
      </c>
      <c r="G39" s="24" t="s">
        <v>513</v>
      </c>
      <c r="H39" s="25">
        <v>45.427700000000002</v>
      </c>
      <c r="I39" s="26">
        <v>-0.86129999999999995</v>
      </c>
      <c r="J39" s="26">
        <v>1985</v>
      </c>
      <c r="K39" s="26">
        <v>2010</v>
      </c>
      <c r="L39" s="26">
        <f t="shared" si="2"/>
        <v>26</v>
      </c>
      <c r="M39" s="24" t="s">
        <v>369</v>
      </c>
      <c r="N39" s="24" t="s">
        <v>538</v>
      </c>
      <c r="O39" s="24" t="s">
        <v>1328</v>
      </c>
      <c r="P39" s="24" t="s">
        <v>1084</v>
      </c>
      <c r="Q39" s="24" t="s">
        <v>1083</v>
      </c>
      <c r="R39" s="24" t="s">
        <v>864</v>
      </c>
      <c r="S39" s="27" t="s">
        <v>1076</v>
      </c>
      <c r="T39" s="24">
        <v>196</v>
      </c>
      <c r="U39" s="24" t="s">
        <v>1068</v>
      </c>
      <c r="V39" s="24" t="s">
        <v>165</v>
      </c>
      <c r="W39" s="24" t="s">
        <v>3</v>
      </c>
      <c r="X39" s="24" t="s">
        <v>3</v>
      </c>
      <c r="Y39" s="24" t="s">
        <v>366</v>
      </c>
      <c r="Z39" s="4" t="str">
        <f t="shared" si="1"/>
        <v>Y</v>
      </c>
      <c r="AA39" s="24" t="s">
        <v>1167</v>
      </c>
      <c r="AB39" s="24" t="s">
        <v>1169</v>
      </c>
      <c r="AC39" s="24" t="s">
        <v>1082</v>
      </c>
      <c r="AD39" s="28" t="s">
        <v>1127</v>
      </c>
      <c r="AE39" s="28" t="s">
        <v>1168</v>
      </c>
      <c r="AF39" s="28" t="s">
        <v>3</v>
      </c>
      <c r="AG39" s="24" t="s">
        <v>1100</v>
      </c>
    </row>
    <row r="40" spans="1:33" s="24" customFormat="1" x14ac:dyDescent="0.2">
      <c r="A40" s="24">
        <v>46</v>
      </c>
      <c r="B40" s="24" t="s">
        <v>366</v>
      </c>
      <c r="C40" s="24" t="s">
        <v>875</v>
      </c>
      <c r="E40" s="24">
        <v>2017</v>
      </c>
      <c r="F40" s="24" t="s">
        <v>53</v>
      </c>
      <c r="G40" s="24" t="s">
        <v>513</v>
      </c>
      <c r="H40" s="25">
        <v>45.427700000000002</v>
      </c>
      <c r="I40" s="26">
        <v>-0.86129999999999995</v>
      </c>
      <c r="J40" s="26">
        <v>1985</v>
      </c>
      <c r="K40" s="26">
        <v>2010</v>
      </c>
      <c r="L40" s="26">
        <f t="shared" si="2"/>
        <v>26</v>
      </c>
      <c r="M40" s="24" t="s">
        <v>369</v>
      </c>
      <c r="N40" s="24" t="s">
        <v>538</v>
      </c>
      <c r="O40" s="24" t="s">
        <v>1328</v>
      </c>
      <c r="P40" s="24" t="s">
        <v>1084</v>
      </c>
      <c r="Q40" s="24" t="s">
        <v>163</v>
      </c>
      <c r="R40" s="24" t="s">
        <v>864</v>
      </c>
      <c r="S40" s="27" t="s">
        <v>1076</v>
      </c>
      <c r="T40" s="24">
        <v>227</v>
      </c>
      <c r="U40" s="24" t="s">
        <v>1068</v>
      </c>
      <c r="V40" s="24" t="s">
        <v>165</v>
      </c>
      <c r="W40" s="24" t="s">
        <v>164</v>
      </c>
      <c r="X40" s="24" t="s">
        <v>3</v>
      </c>
      <c r="Y40" s="24" t="s">
        <v>366</v>
      </c>
      <c r="Z40" s="4" t="str">
        <f t="shared" si="1"/>
        <v>Y</v>
      </c>
      <c r="AA40" s="24" t="s">
        <v>1167</v>
      </c>
      <c r="AB40" s="24" t="s">
        <v>1169</v>
      </c>
      <c r="AC40" s="24" t="s">
        <v>1082</v>
      </c>
      <c r="AD40" s="28" t="s">
        <v>1127</v>
      </c>
      <c r="AE40" s="28" t="s">
        <v>1168</v>
      </c>
      <c r="AF40" s="28" t="s">
        <v>3</v>
      </c>
      <c r="AG40" s="24" t="s">
        <v>1100</v>
      </c>
    </row>
    <row r="41" spans="1:33" x14ac:dyDescent="0.2">
      <c r="A41">
        <v>47</v>
      </c>
      <c r="B41" t="s">
        <v>366</v>
      </c>
      <c r="C41" t="s">
        <v>55</v>
      </c>
      <c r="E41">
        <v>2016</v>
      </c>
      <c r="F41" t="s">
        <v>54</v>
      </c>
      <c r="G41" t="s">
        <v>513</v>
      </c>
      <c r="H41" s="14">
        <v>58.25</v>
      </c>
      <c r="I41" s="13">
        <v>11.35</v>
      </c>
      <c r="J41" s="13">
        <v>1971</v>
      </c>
      <c r="K41" s="13">
        <v>2006</v>
      </c>
      <c r="L41" s="13">
        <f t="shared" si="2"/>
        <v>36</v>
      </c>
      <c r="M41" t="s">
        <v>371</v>
      </c>
      <c r="N41" t="s">
        <v>379</v>
      </c>
      <c r="O41" t="s">
        <v>297</v>
      </c>
      <c r="P41" t="s">
        <v>56</v>
      </c>
      <c r="Q41" t="s">
        <v>57</v>
      </c>
      <c r="R41" t="s">
        <v>1109</v>
      </c>
      <c r="S41" s="17" t="s">
        <v>1076</v>
      </c>
      <c r="T41">
        <v>196</v>
      </c>
      <c r="U41" s="10" t="s">
        <v>1068</v>
      </c>
      <c r="V41">
        <f>-21/3.6</f>
        <v>-5.833333333333333</v>
      </c>
      <c r="W41" t="s">
        <v>3</v>
      </c>
      <c r="X41" t="s">
        <v>3</v>
      </c>
      <c r="Y41" t="s">
        <v>366</v>
      </c>
      <c r="Z41" s="4" t="str">
        <f t="shared" si="1"/>
        <v>Y</v>
      </c>
      <c r="AA41" t="s">
        <v>1121</v>
      </c>
      <c r="AB41" t="s">
        <v>1178</v>
      </c>
      <c r="AC41" t="s">
        <v>1107</v>
      </c>
      <c r="AD41" t="s">
        <v>1100</v>
      </c>
      <c r="AE41" s="15" t="s">
        <v>1153</v>
      </c>
      <c r="AF41" s="15" t="s">
        <v>3</v>
      </c>
      <c r="AG41" t="s">
        <v>1100</v>
      </c>
    </row>
    <row r="42" spans="1:33" x14ac:dyDescent="0.2">
      <c r="A42">
        <v>321</v>
      </c>
      <c r="B42" t="s">
        <v>367</v>
      </c>
      <c r="C42" t="s">
        <v>347</v>
      </c>
      <c r="E42">
        <v>2004</v>
      </c>
      <c r="F42" t="s">
        <v>506</v>
      </c>
      <c r="G42" t="s">
        <v>513</v>
      </c>
      <c r="H42" s="13">
        <v>38.700000000000003</v>
      </c>
      <c r="I42" s="13">
        <v>-123</v>
      </c>
      <c r="J42" s="13">
        <v>1973</v>
      </c>
      <c r="K42" s="13">
        <v>2001</v>
      </c>
      <c r="L42" s="13">
        <f t="shared" si="2"/>
        <v>29</v>
      </c>
      <c r="M42" t="s">
        <v>369</v>
      </c>
      <c r="N42" t="s">
        <v>380</v>
      </c>
      <c r="O42" t="s">
        <v>380</v>
      </c>
      <c r="P42" t="s">
        <v>472</v>
      </c>
      <c r="Q42" t="s">
        <v>94</v>
      </c>
      <c r="V42">
        <v>0</v>
      </c>
      <c r="W42" t="s">
        <v>164</v>
      </c>
      <c r="X42" t="s">
        <v>3</v>
      </c>
      <c r="Y42" t="s">
        <v>523</v>
      </c>
      <c r="Z42" s="4" t="str">
        <f t="shared" si="1"/>
        <v>Y</v>
      </c>
    </row>
    <row r="43" spans="1:33" x14ac:dyDescent="0.2">
      <c r="A43">
        <v>49</v>
      </c>
      <c r="B43" t="s">
        <v>366</v>
      </c>
      <c r="C43" t="s">
        <v>973</v>
      </c>
      <c r="E43">
        <v>2011</v>
      </c>
      <c r="F43" t="s">
        <v>59</v>
      </c>
      <c r="G43" t="s">
        <v>513</v>
      </c>
      <c r="H43" s="13">
        <v>50.5</v>
      </c>
      <c r="I43" s="13">
        <v>-4.5</v>
      </c>
      <c r="J43" s="13">
        <v>1946</v>
      </c>
      <c r="K43" s="13">
        <v>2007</v>
      </c>
      <c r="L43" s="13">
        <f t="shared" si="2"/>
        <v>62</v>
      </c>
      <c r="N43" t="s">
        <v>379</v>
      </c>
      <c r="O43" t="s">
        <v>298</v>
      </c>
      <c r="P43" t="s">
        <v>63</v>
      </c>
      <c r="Q43" t="s">
        <v>61</v>
      </c>
      <c r="V43">
        <v>-10.199999999999999</v>
      </c>
      <c r="W43" t="s">
        <v>3</v>
      </c>
      <c r="X43" t="s">
        <v>3</v>
      </c>
      <c r="Y43" t="s">
        <v>366</v>
      </c>
      <c r="Z43" s="4" t="str">
        <f t="shared" si="1"/>
        <v>Y</v>
      </c>
      <c r="AC43" t="s">
        <v>64</v>
      </c>
    </row>
    <row r="44" spans="1:33" x14ac:dyDescent="0.2">
      <c r="A44">
        <v>50</v>
      </c>
      <c r="B44" t="s">
        <v>366</v>
      </c>
      <c r="C44" t="s">
        <v>973</v>
      </c>
      <c r="E44">
        <v>2011</v>
      </c>
      <c r="F44" t="s">
        <v>59</v>
      </c>
      <c r="G44" t="s">
        <v>513</v>
      </c>
      <c r="H44" s="13">
        <v>50.5</v>
      </c>
      <c r="I44" s="13">
        <v>-4.5</v>
      </c>
      <c r="J44" s="13">
        <v>1946</v>
      </c>
      <c r="K44" s="13">
        <v>2007</v>
      </c>
      <c r="L44" s="13">
        <f t="shared" si="2"/>
        <v>62</v>
      </c>
      <c r="N44" t="s">
        <v>379</v>
      </c>
      <c r="O44" t="s">
        <v>298</v>
      </c>
      <c r="P44" t="s">
        <v>60</v>
      </c>
      <c r="Q44" t="s">
        <v>62</v>
      </c>
      <c r="V44">
        <v>3.3</v>
      </c>
      <c r="W44" t="s">
        <v>24</v>
      </c>
      <c r="X44" t="s">
        <v>3</v>
      </c>
      <c r="Y44" t="s">
        <v>366</v>
      </c>
      <c r="Z44" s="4" t="str">
        <f t="shared" si="1"/>
        <v>Y</v>
      </c>
      <c r="AC44" t="s">
        <v>65</v>
      </c>
    </row>
    <row r="45" spans="1:33" x14ac:dyDescent="0.2">
      <c r="A45">
        <v>51</v>
      </c>
      <c r="B45" t="s">
        <v>366</v>
      </c>
      <c r="C45" t="s">
        <v>975</v>
      </c>
      <c r="E45">
        <v>2017</v>
      </c>
      <c r="F45" t="s">
        <v>66</v>
      </c>
      <c r="G45" t="s">
        <v>513</v>
      </c>
      <c r="H45" s="14">
        <v>40</v>
      </c>
      <c r="I45" s="13">
        <v>-71</v>
      </c>
      <c r="J45" s="13">
        <v>1967</v>
      </c>
      <c r="K45" s="13">
        <v>2014</v>
      </c>
      <c r="L45" s="13">
        <f t="shared" si="2"/>
        <v>48</v>
      </c>
      <c r="M45" t="s">
        <v>369</v>
      </c>
      <c r="N45" t="s">
        <v>51</v>
      </c>
      <c r="O45" t="s">
        <v>51</v>
      </c>
      <c r="P45" t="s">
        <v>166</v>
      </c>
      <c r="R45" t="s">
        <v>1102</v>
      </c>
      <c r="S45" s="17" t="s">
        <v>1076</v>
      </c>
      <c r="T45" t="s">
        <v>165</v>
      </c>
      <c r="U45" t="s">
        <v>901</v>
      </c>
      <c r="V45" t="s">
        <v>165</v>
      </c>
      <c r="W45" t="s">
        <v>3</v>
      </c>
      <c r="X45" t="s">
        <v>3</v>
      </c>
      <c r="Y45" t="s">
        <v>366</v>
      </c>
      <c r="Z45" s="4" t="str">
        <f t="shared" si="1"/>
        <v>Y</v>
      </c>
      <c r="AA45" t="s">
        <v>1121</v>
      </c>
      <c r="AB45" t="s">
        <v>1173</v>
      </c>
      <c r="AC45" t="s">
        <v>1101</v>
      </c>
      <c r="AD45" s="15" t="s">
        <v>1100</v>
      </c>
      <c r="AE45" s="15" t="s">
        <v>1157</v>
      </c>
      <c r="AF45" s="15" t="s">
        <v>3</v>
      </c>
      <c r="AG45" t="s">
        <v>1100</v>
      </c>
    </row>
    <row r="46" spans="1:33" x14ac:dyDescent="0.2">
      <c r="A46">
        <v>52</v>
      </c>
      <c r="B46" t="s">
        <v>366</v>
      </c>
      <c r="C46" t="s">
        <v>975</v>
      </c>
      <c r="E46">
        <v>2017</v>
      </c>
      <c r="F46" t="s">
        <v>66</v>
      </c>
      <c r="G46" t="s">
        <v>513</v>
      </c>
      <c r="H46" s="14">
        <v>40</v>
      </c>
      <c r="I46" s="13">
        <v>-71</v>
      </c>
      <c r="J46" s="13">
        <v>1967</v>
      </c>
      <c r="K46" s="13">
        <v>2014</v>
      </c>
      <c r="L46" s="13">
        <f t="shared" si="2"/>
        <v>48</v>
      </c>
      <c r="M46" t="s">
        <v>369</v>
      </c>
      <c r="N46" t="s">
        <v>51</v>
      </c>
      <c r="O46" t="s">
        <v>51</v>
      </c>
      <c r="P46" t="s">
        <v>167</v>
      </c>
      <c r="R46" t="s">
        <v>1102</v>
      </c>
      <c r="S46" s="17" t="s">
        <v>1076</v>
      </c>
      <c r="T46" t="s">
        <v>165</v>
      </c>
      <c r="U46" t="s">
        <v>901</v>
      </c>
      <c r="V46" t="s">
        <v>165</v>
      </c>
      <c r="W46" t="s">
        <v>3</v>
      </c>
      <c r="X46" t="s">
        <v>3</v>
      </c>
      <c r="Y46" t="s">
        <v>366</v>
      </c>
      <c r="Z46" s="4" t="str">
        <f t="shared" si="1"/>
        <v>Y</v>
      </c>
      <c r="AA46" t="s">
        <v>1121</v>
      </c>
      <c r="AB46" t="s">
        <v>1173</v>
      </c>
      <c r="AC46" t="s">
        <v>1101</v>
      </c>
      <c r="AD46" s="15" t="s">
        <v>1100</v>
      </c>
      <c r="AE46" s="15" t="s">
        <v>1157</v>
      </c>
      <c r="AF46" s="15" t="s">
        <v>3</v>
      </c>
      <c r="AG46" t="s">
        <v>1100</v>
      </c>
    </row>
    <row r="47" spans="1:33" x14ac:dyDescent="0.2">
      <c r="A47">
        <v>53</v>
      </c>
      <c r="B47" t="s">
        <v>366</v>
      </c>
      <c r="C47" t="s">
        <v>975</v>
      </c>
      <c r="E47">
        <v>2017</v>
      </c>
      <c r="F47" t="s">
        <v>66</v>
      </c>
      <c r="G47" t="s">
        <v>513</v>
      </c>
      <c r="H47" s="14">
        <v>40</v>
      </c>
      <c r="I47" s="13">
        <v>-71</v>
      </c>
      <c r="J47" s="13">
        <v>1967</v>
      </c>
      <c r="K47" s="13">
        <v>2014</v>
      </c>
      <c r="L47" s="13">
        <f t="shared" si="2"/>
        <v>48</v>
      </c>
      <c r="M47" t="s">
        <v>369</v>
      </c>
      <c r="N47" t="s">
        <v>51</v>
      </c>
      <c r="O47" t="s">
        <v>51</v>
      </c>
      <c r="P47" t="s">
        <v>168</v>
      </c>
      <c r="R47" t="s">
        <v>1102</v>
      </c>
      <c r="S47" s="17" t="s">
        <v>1076</v>
      </c>
      <c r="T47" t="s">
        <v>165</v>
      </c>
      <c r="U47" t="s">
        <v>901</v>
      </c>
      <c r="V47" t="s">
        <v>165</v>
      </c>
      <c r="W47" t="s">
        <v>3</v>
      </c>
      <c r="X47" t="s">
        <v>3</v>
      </c>
      <c r="Y47" t="s">
        <v>366</v>
      </c>
      <c r="Z47" s="4" t="str">
        <f t="shared" si="1"/>
        <v>Y</v>
      </c>
      <c r="AA47" t="s">
        <v>1121</v>
      </c>
      <c r="AB47" t="s">
        <v>1173</v>
      </c>
      <c r="AC47" t="s">
        <v>1101</v>
      </c>
      <c r="AD47" s="15" t="s">
        <v>1100</v>
      </c>
      <c r="AE47" s="15" t="s">
        <v>1157</v>
      </c>
      <c r="AF47" s="15" t="s">
        <v>3</v>
      </c>
      <c r="AG47" t="s">
        <v>1100</v>
      </c>
    </row>
    <row r="48" spans="1:33" x14ac:dyDescent="0.2">
      <c r="A48">
        <v>54</v>
      </c>
      <c r="B48" t="s">
        <v>366</v>
      </c>
      <c r="C48" t="s">
        <v>975</v>
      </c>
      <c r="E48">
        <v>2017</v>
      </c>
      <c r="F48" t="s">
        <v>66</v>
      </c>
      <c r="G48" t="s">
        <v>513</v>
      </c>
      <c r="H48" s="14">
        <v>40</v>
      </c>
      <c r="I48" s="13">
        <v>-71</v>
      </c>
      <c r="J48" s="13">
        <v>1967</v>
      </c>
      <c r="K48" s="13">
        <v>2014</v>
      </c>
      <c r="L48" s="13">
        <f t="shared" si="2"/>
        <v>48</v>
      </c>
      <c r="M48" t="s">
        <v>369</v>
      </c>
      <c r="N48" t="s">
        <v>51</v>
      </c>
      <c r="O48" t="s">
        <v>51</v>
      </c>
      <c r="P48" t="s">
        <v>169</v>
      </c>
      <c r="R48" t="s">
        <v>1102</v>
      </c>
      <c r="S48" s="17" t="s">
        <v>1076</v>
      </c>
      <c r="T48" t="s">
        <v>165</v>
      </c>
      <c r="U48" t="s">
        <v>901</v>
      </c>
      <c r="V48" t="s">
        <v>165</v>
      </c>
      <c r="W48" t="s">
        <v>3</v>
      </c>
      <c r="X48" t="s">
        <v>3</v>
      </c>
      <c r="Y48" t="s">
        <v>366</v>
      </c>
      <c r="Z48" s="4" t="str">
        <f t="shared" si="1"/>
        <v>Y</v>
      </c>
      <c r="AA48" t="s">
        <v>1121</v>
      </c>
      <c r="AB48" t="s">
        <v>1173</v>
      </c>
      <c r="AC48" t="s">
        <v>1101</v>
      </c>
      <c r="AD48" s="15" t="s">
        <v>1100</v>
      </c>
      <c r="AE48" s="15" t="s">
        <v>1157</v>
      </c>
      <c r="AF48" s="15" t="s">
        <v>3</v>
      </c>
      <c r="AG48" t="s">
        <v>1100</v>
      </c>
    </row>
    <row r="49" spans="1:33" x14ac:dyDescent="0.2">
      <c r="A49">
        <v>55</v>
      </c>
      <c r="B49" t="s">
        <v>366</v>
      </c>
      <c r="C49" t="s">
        <v>975</v>
      </c>
      <c r="E49">
        <v>2017</v>
      </c>
      <c r="F49" t="s">
        <v>66</v>
      </c>
      <c r="G49" t="s">
        <v>513</v>
      </c>
      <c r="H49" s="14">
        <v>40</v>
      </c>
      <c r="I49" s="13">
        <v>-71</v>
      </c>
      <c r="J49" s="13">
        <v>1967</v>
      </c>
      <c r="K49" s="13">
        <v>2014</v>
      </c>
      <c r="L49" s="13">
        <f t="shared" si="2"/>
        <v>48</v>
      </c>
      <c r="M49" t="s">
        <v>369</v>
      </c>
      <c r="N49" t="s">
        <v>51</v>
      </c>
      <c r="O49" t="s">
        <v>51</v>
      </c>
      <c r="P49" t="s">
        <v>170</v>
      </c>
      <c r="R49" t="s">
        <v>1102</v>
      </c>
      <c r="S49" s="17" t="s">
        <v>1076</v>
      </c>
      <c r="T49" t="s">
        <v>165</v>
      </c>
      <c r="U49" t="s">
        <v>901</v>
      </c>
      <c r="V49" t="s">
        <v>165</v>
      </c>
      <c r="W49" t="s">
        <v>3</v>
      </c>
      <c r="X49" t="s">
        <v>3</v>
      </c>
      <c r="Y49" t="s">
        <v>366</v>
      </c>
      <c r="Z49" s="4" t="str">
        <f t="shared" si="1"/>
        <v>Y</v>
      </c>
      <c r="AA49" t="s">
        <v>1121</v>
      </c>
      <c r="AB49" t="s">
        <v>1173</v>
      </c>
      <c r="AC49" t="s">
        <v>1101</v>
      </c>
      <c r="AD49" s="15" t="s">
        <v>1100</v>
      </c>
      <c r="AE49" s="15" t="s">
        <v>1157</v>
      </c>
      <c r="AF49" s="15" t="s">
        <v>3</v>
      </c>
      <c r="AG49" t="s">
        <v>1100</v>
      </c>
    </row>
    <row r="50" spans="1:33" x14ac:dyDescent="0.2">
      <c r="A50">
        <v>56</v>
      </c>
      <c r="B50" t="s">
        <v>366</v>
      </c>
      <c r="C50" t="s">
        <v>975</v>
      </c>
      <c r="E50">
        <v>2017</v>
      </c>
      <c r="F50" t="s">
        <v>66</v>
      </c>
      <c r="G50" t="s">
        <v>513</v>
      </c>
      <c r="H50" s="14">
        <v>40</v>
      </c>
      <c r="I50" s="13">
        <v>-71</v>
      </c>
      <c r="J50" s="13">
        <v>1967</v>
      </c>
      <c r="K50" s="13">
        <v>2014</v>
      </c>
      <c r="L50" s="13">
        <f t="shared" si="2"/>
        <v>48</v>
      </c>
      <c r="M50" t="s">
        <v>369</v>
      </c>
      <c r="N50" t="s">
        <v>51</v>
      </c>
      <c r="O50" t="s">
        <v>51</v>
      </c>
      <c r="P50" t="s">
        <v>171</v>
      </c>
      <c r="R50" t="s">
        <v>1102</v>
      </c>
      <c r="S50" s="17" t="s">
        <v>1076</v>
      </c>
      <c r="T50" t="s">
        <v>165</v>
      </c>
      <c r="U50" t="s">
        <v>901</v>
      </c>
      <c r="V50" t="s">
        <v>165</v>
      </c>
      <c r="W50" t="s">
        <v>3</v>
      </c>
      <c r="X50" t="s">
        <v>3</v>
      </c>
      <c r="Y50" t="s">
        <v>366</v>
      </c>
      <c r="Z50" s="4" t="str">
        <f t="shared" si="1"/>
        <v>Y</v>
      </c>
      <c r="AA50" t="s">
        <v>1121</v>
      </c>
      <c r="AB50" t="s">
        <v>1173</v>
      </c>
      <c r="AC50" t="s">
        <v>1101</v>
      </c>
      <c r="AD50" s="15" t="s">
        <v>1100</v>
      </c>
      <c r="AE50" s="15" t="s">
        <v>1157</v>
      </c>
      <c r="AF50" s="15" t="s">
        <v>3</v>
      </c>
      <c r="AG50" t="s">
        <v>1100</v>
      </c>
    </row>
    <row r="51" spans="1:33" x14ac:dyDescent="0.2">
      <c r="A51">
        <v>57</v>
      </c>
      <c r="B51" t="s">
        <v>366</v>
      </c>
      <c r="C51" t="s">
        <v>975</v>
      </c>
      <c r="E51">
        <v>2017</v>
      </c>
      <c r="F51" t="s">
        <v>66</v>
      </c>
      <c r="G51" t="s">
        <v>513</v>
      </c>
      <c r="H51" s="14">
        <v>40</v>
      </c>
      <c r="I51" s="13">
        <v>-71</v>
      </c>
      <c r="J51" s="13">
        <v>1967</v>
      </c>
      <c r="K51" s="13">
        <v>2014</v>
      </c>
      <c r="L51" s="13">
        <f t="shared" si="2"/>
        <v>48</v>
      </c>
      <c r="M51" t="s">
        <v>369</v>
      </c>
      <c r="N51" t="s">
        <v>51</v>
      </c>
      <c r="O51" t="s">
        <v>51</v>
      </c>
      <c r="P51" t="s">
        <v>172</v>
      </c>
      <c r="R51" t="s">
        <v>1102</v>
      </c>
      <c r="S51" s="17" t="s">
        <v>1076</v>
      </c>
      <c r="T51" t="s">
        <v>165</v>
      </c>
      <c r="U51" t="s">
        <v>901</v>
      </c>
      <c r="V51" t="s">
        <v>165</v>
      </c>
      <c r="W51" t="s">
        <v>3</v>
      </c>
      <c r="X51" t="s">
        <v>3</v>
      </c>
      <c r="Y51" t="s">
        <v>366</v>
      </c>
      <c r="Z51" s="4" t="str">
        <f t="shared" si="1"/>
        <v>Y</v>
      </c>
      <c r="AA51" t="s">
        <v>1121</v>
      </c>
      <c r="AB51" t="s">
        <v>1173</v>
      </c>
      <c r="AC51" t="s">
        <v>1101</v>
      </c>
      <c r="AD51" s="15" t="s">
        <v>1100</v>
      </c>
      <c r="AE51" s="15" t="s">
        <v>1157</v>
      </c>
      <c r="AF51" s="15" t="s">
        <v>3</v>
      </c>
      <c r="AG51" t="s">
        <v>1100</v>
      </c>
    </row>
    <row r="52" spans="1:33" x14ac:dyDescent="0.2">
      <c r="A52">
        <v>58</v>
      </c>
      <c r="B52" t="s">
        <v>366</v>
      </c>
      <c r="C52" t="s">
        <v>975</v>
      </c>
      <c r="E52">
        <v>2017</v>
      </c>
      <c r="F52" t="s">
        <v>66</v>
      </c>
      <c r="G52" t="s">
        <v>513</v>
      </c>
      <c r="H52" s="14">
        <v>40</v>
      </c>
      <c r="I52" s="13">
        <v>-71</v>
      </c>
      <c r="J52" s="13">
        <v>1967</v>
      </c>
      <c r="K52" s="13">
        <v>2014</v>
      </c>
      <c r="L52" s="13">
        <f t="shared" si="2"/>
        <v>48</v>
      </c>
      <c r="M52" t="s">
        <v>369</v>
      </c>
      <c r="N52" t="s">
        <v>51</v>
      </c>
      <c r="O52" t="s">
        <v>51</v>
      </c>
      <c r="P52" t="s">
        <v>173</v>
      </c>
      <c r="R52" t="s">
        <v>1102</v>
      </c>
      <c r="S52" s="17" t="s">
        <v>1076</v>
      </c>
      <c r="T52" t="s">
        <v>165</v>
      </c>
      <c r="U52" t="s">
        <v>901</v>
      </c>
      <c r="V52" t="s">
        <v>165</v>
      </c>
      <c r="W52" t="s">
        <v>3</v>
      </c>
      <c r="X52" t="s">
        <v>3</v>
      </c>
      <c r="Y52" t="s">
        <v>366</v>
      </c>
      <c r="Z52" s="4" t="str">
        <f t="shared" si="1"/>
        <v>Y</v>
      </c>
      <c r="AA52" t="s">
        <v>1121</v>
      </c>
      <c r="AB52" t="s">
        <v>1173</v>
      </c>
      <c r="AC52" t="s">
        <v>1101</v>
      </c>
      <c r="AD52" s="15" t="s">
        <v>1100</v>
      </c>
      <c r="AE52" s="15" t="s">
        <v>1157</v>
      </c>
      <c r="AF52" s="15" t="s">
        <v>3</v>
      </c>
      <c r="AG52" t="s">
        <v>1100</v>
      </c>
    </row>
    <row r="53" spans="1:33" x14ac:dyDescent="0.2">
      <c r="A53">
        <v>59</v>
      </c>
      <c r="B53" t="s">
        <v>366</v>
      </c>
      <c r="C53" t="s">
        <v>975</v>
      </c>
      <c r="E53">
        <v>2017</v>
      </c>
      <c r="F53" t="s">
        <v>66</v>
      </c>
      <c r="G53" t="s">
        <v>513</v>
      </c>
      <c r="H53" s="14">
        <v>40</v>
      </c>
      <c r="I53" s="13">
        <v>-71</v>
      </c>
      <c r="J53" s="13">
        <v>1967</v>
      </c>
      <c r="K53" s="13">
        <v>2014</v>
      </c>
      <c r="L53" s="13">
        <f t="shared" si="2"/>
        <v>48</v>
      </c>
      <c r="M53" t="s">
        <v>369</v>
      </c>
      <c r="N53" t="s">
        <v>51</v>
      </c>
      <c r="O53" t="s">
        <v>51</v>
      </c>
      <c r="P53" t="s">
        <v>174</v>
      </c>
      <c r="R53" t="s">
        <v>1102</v>
      </c>
      <c r="S53" s="17" t="s">
        <v>1076</v>
      </c>
      <c r="T53" t="s">
        <v>165</v>
      </c>
      <c r="U53" t="s">
        <v>901</v>
      </c>
      <c r="V53" t="s">
        <v>165</v>
      </c>
      <c r="W53" t="s">
        <v>24</v>
      </c>
      <c r="X53" t="s">
        <v>3</v>
      </c>
      <c r="Y53" t="s">
        <v>366</v>
      </c>
      <c r="Z53" s="4" t="str">
        <f t="shared" si="1"/>
        <v>Y</v>
      </c>
      <c r="AA53" t="s">
        <v>1121</v>
      </c>
      <c r="AB53" t="s">
        <v>1173</v>
      </c>
      <c r="AC53" t="s">
        <v>1101</v>
      </c>
      <c r="AD53" s="15" t="s">
        <v>1100</v>
      </c>
      <c r="AE53" s="15" t="s">
        <v>1157</v>
      </c>
      <c r="AF53" s="15" t="s">
        <v>3</v>
      </c>
      <c r="AG53" t="s">
        <v>1100</v>
      </c>
    </row>
    <row r="54" spans="1:33" x14ac:dyDescent="0.2">
      <c r="A54">
        <v>60</v>
      </c>
      <c r="B54" t="s">
        <v>366</v>
      </c>
      <c r="C54" t="s">
        <v>975</v>
      </c>
      <c r="E54">
        <v>2017</v>
      </c>
      <c r="F54" t="s">
        <v>66</v>
      </c>
      <c r="G54" t="s">
        <v>513</v>
      </c>
      <c r="H54" s="14">
        <v>40</v>
      </c>
      <c r="I54" s="13">
        <v>-71</v>
      </c>
      <c r="J54" s="13">
        <v>1967</v>
      </c>
      <c r="K54" s="13">
        <v>2014</v>
      </c>
      <c r="L54" s="13">
        <f t="shared" si="2"/>
        <v>48</v>
      </c>
      <c r="M54" t="s">
        <v>369</v>
      </c>
      <c r="N54" t="s">
        <v>51</v>
      </c>
      <c r="O54" t="s">
        <v>51</v>
      </c>
      <c r="P54" t="s">
        <v>175</v>
      </c>
      <c r="R54" t="s">
        <v>1102</v>
      </c>
      <c r="S54" s="17" t="s">
        <v>1076</v>
      </c>
      <c r="T54" t="s">
        <v>165</v>
      </c>
      <c r="U54" t="s">
        <v>901</v>
      </c>
      <c r="V54" t="s">
        <v>165</v>
      </c>
      <c r="W54" t="s">
        <v>3</v>
      </c>
      <c r="X54" t="s">
        <v>3</v>
      </c>
      <c r="Y54" t="s">
        <v>366</v>
      </c>
      <c r="Z54" s="4" t="str">
        <f t="shared" si="1"/>
        <v>Y</v>
      </c>
      <c r="AA54" t="s">
        <v>1121</v>
      </c>
      <c r="AB54" t="s">
        <v>1173</v>
      </c>
      <c r="AC54" t="s">
        <v>1101</v>
      </c>
      <c r="AD54" s="15" t="s">
        <v>1100</v>
      </c>
      <c r="AE54" s="15" t="s">
        <v>1157</v>
      </c>
      <c r="AF54" s="15" t="s">
        <v>3</v>
      </c>
      <c r="AG54" t="s">
        <v>1100</v>
      </c>
    </row>
    <row r="55" spans="1:33" x14ac:dyDescent="0.2">
      <c r="A55">
        <v>61</v>
      </c>
      <c r="B55" t="s">
        <v>366</v>
      </c>
      <c r="C55" t="s">
        <v>975</v>
      </c>
      <c r="E55">
        <v>2017</v>
      </c>
      <c r="F55" t="s">
        <v>66</v>
      </c>
      <c r="G55" t="s">
        <v>513</v>
      </c>
      <c r="H55" s="14">
        <v>40</v>
      </c>
      <c r="I55" s="13">
        <v>-71</v>
      </c>
      <c r="J55" s="13">
        <v>1967</v>
      </c>
      <c r="K55" s="13">
        <v>2014</v>
      </c>
      <c r="L55" s="13">
        <f t="shared" si="2"/>
        <v>48</v>
      </c>
      <c r="M55" t="s">
        <v>369</v>
      </c>
      <c r="N55" t="s">
        <v>51</v>
      </c>
      <c r="O55" t="s">
        <v>51</v>
      </c>
      <c r="P55" t="s">
        <v>176</v>
      </c>
      <c r="R55" t="s">
        <v>1102</v>
      </c>
      <c r="S55" s="17" t="s">
        <v>1076</v>
      </c>
      <c r="T55" t="s">
        <v>165</v>
      </c>
      <c r="U55" t="s">
        <v>901</v>
      </c>
      <c r="V55" t="s">
        <v>165</v>
      </c>
      <c r="W55" t="s">
        <v>24</v>
      </c>
      <c r="X55" t="s">
        <v>3</v>
      </c>
      <c r="Y55" t="s">
        <v>366</v>
      </c>
      <c r="Z55" s="4" t="str">
        <f t="shared" si="1"/>
        <v>Y</v>
      </c>
      <c r="AA55" t="s">
        <v>1121</v>
      </c>
      <c r="AB55" t="s">
        <v>1173</v>
      </c>
      <c r="AC55" t="s">
        <v>1101</v>
      </c>
      <c r="AD55" s="15" t="s">
        <v>1100</v>
      </c>
      <c r="AE55" s="15" t="s">
        <v>1157</v>
      </c>
      <c r="AF55" s="15" t="s">
        <v>3</v>
      </c>
      <c r="AG55" t="s">
        <v>1100</v>
      </c>
    </row>
    <row r="56" spans="1:33" x14ac:dyDescent="0.2">
      <c r="A56">
        <v>62</v>
      </c>
      <c r="B56" t="s">
        <v>366</v>
      </c>
      <c r="C56" t="s">
        <v>975</v>
      </c>
      <c r="E56">
        <v>2017</v>
      </c>
      <c r="F56" t="s">
        <v>66</v>
      </c>
      <c r="G56" t="s">
        <v>513</v>
      </c>
      <c r="H56" s="14">
        <v>40</v>
      </c>
      <c r="I56" s="13">
        <v>-71</v>
      </c>
      <c r="J56" s="13">
        <v>1967</v>
      </c>
      <c r="K56" s="13">
        <v>2014</v>
      </c>
      <c r="L56" s="13">
        <f t="shared" si="2"/>
        <v>48</v>
      </c>
      <c r="M56" t="s">
        <v>369</v>
      </c>
      <c r="N56" t="s">
        <v>51</v>
      </c>
      <c r="O56" t="s">
        <v>51</v>
      </c>
      <c r="P56" t="s">
        <v>177</v>
      </c>
      <c r="R56" t="s">
        <v>1102</v>
      </c>
      <c r="S56" s="17" t="s">
        <v>1076</v>
      </c>
      <c r="T56" t="s">
        <v>165</v>
      </c>
      <c r="U56" t="s">
        <v>901</v>
      </c>
      <c r="V56" t="s">
        <v>165</v>
      </c>
      <c r="W56" t="s">
        <v>3</v>
      </c>
      <c r="X56" t="s">
        <v>3</v>
      </c>
      <c r="Y56" t="s">
        <v>366</v>
      </c>
      <c r="Z56" s="4" t="str">
        <f t="shared" si="1"/>
        <v>Y</v>
      </c>
      <c r="AA56" t="s">
        <v>1121</v>
      </c>
      <c r="AB56" t="s">
        <v>1173</v>
      </c>
      <c r="AC56" t="s">
        <v>1101</v>
      </c>
      <c r="AD56" s="15" t="s">
        <v>1100</v>
      </c>
      <c r="AE56" s="15" t="s">
        <v>1157</v>
      </c>
      <c r="AF56" s="15" t="s">
        <v>3</v>
      </c>
      <c r="AG56" t="s">
        <v>1100</v>
      </c>
    </row>
    <row r="57" spans="1:33" x14ac:dyDescent="0.2">
      <c r="A57">
        <v>63</v>
      </c>
      <c r="B57" t="s">
        <v>366</v>
      </c>
      <c r="C57" t="s">
        <v>975</v>
      </c>
      <c r="E57">
        <v>2017</v>
      </c>
      <c r="F57" t="s">
        <v>66</v>
      </c>
      <c r="G57" t="s">
        <v>513</v>
      </c>
      <c r="H57" s="14">
        <v>40</v>
      </c>
      <c r="I57" s="13">
        <v>-71</v>
      </c>
      <c r="J57" s="13">
        <v>1967</v>
      </c>
      <c r="K57" s="13">
        <v>2014</v>
      </c>
      <c r="L57" s="13">
        <f t="shared" si="2"/>
        <v>48</v>
      </c>
      <c r="M57" t="s">
        <v>369</v>
      </c>
      <c r="N57" t="s">
        <v>51</v>
      </c>
      <c r="O57" t="s">
        <v>51</v>
      </c>
      <c r="P57" t="s">
        <v>178</v>
      </c>
      <c r="R57" t="s">
        <v>1102</v>
      </c>
      <c r="S57" s="17" t="s">
        <v>1076</v>
      </c>
      <c r="T57" t="s">
        <v>165</v>
      </c>
      <c r="U57" t="s">
        <v>901</v>
      </c>
      <c r="V57" t="s">
        <v>165</v>
      </c>
      <c r="W57" t="s">
        <v>3</v>
      </c>
      <c r="X57" t="s">
        <v>3</v>
      </c>
      <c r="Y57" t="s">
        <v>366</v>
      </c>
      <c r="Z57" s="4" t="str">
        <f t="shared" si="1"/>
        <v>Y</v>
      </c>
      <c r="AA57" t="s">
        <v>1121</v>
      </c>
      <c r="AB57" t="s">
        <v>1173</v>
      </c>
      <c r="AC57" t="s">
        <v>1101</v>
      </c>
      <c r="AD57" s="15" t="s">
        <v>1100</v>
      </c>
      <c r="AE57" s="15" t="s">
        <v>1157</v>
      </c>
      <c r="AF57" s="15" t="s">
        <v>3</v>
      </c>
      <c r="AG57" t="s">
        <v>1100</v>
      </c>
    </row>
    <row r="58" spans="1:33" x14ac:dyDescent="0.2">
      <c r="A58">
        <v>64</v>
      </c>
      <c r="B58" t="s">
        <v>366</v>
      </c>
      <c r="C58" t="s">
        <v>975</v>
      </c>
      <c r="E58">
        <v>2017</v>
      </c>
      <c r="F58" t="s">
        <v>66</v>
      </c>
      <c r="G58" t="s">
        <v>513</v>
      </c>
      <c r="H58" s="14">
        <v>40</v>
      </c>
      <c r="I58" s="13">
        <v>-71</v>
      </c>
      <c r="J58" s="13">
        <v>1967</v>
      </c>
      <c r="K58" s="13">
        <v>2014</v>
      </c>
      <c r="L58" s="13">
        <f t="shared" si="2"/>
        <v>48</v>
      </c>
      <c r="M58" t="s">
        <v>369</v>
      </c>
      <c r="N58" t="s">
        <v>51</v>
      </c>
      <c r="O58" t="s">
        <v>51</v>
      </c>
      <c r="P58" t="s">
        <v>179</v>
      </c>
      <c r="R58" t="s">
        <v>1102</v>
      </c>
      <c r="S58" s="17" t="s">
        <v>1076</v>
      </c>
      <c r="T58" t="s">
        <v>165</v>
      </c>
      <c r="U58" t="s">
        <v>901</v>
      </c>
      <c r="V58" t="s">
        <v>165</v>
      </c>
      <c r="W58" t="s">
        <v>24</v>
      </c>
      <c r="X58" t="s">
        <v>3</v>
      </c>
      <c r="Y58" t="s">
        <v>366</v>
      </c>
      <c r="Z58" s="4" t="str">
        <f t="shared" si="1"/>
        <v>Y</v>
      </c>
      <c r="AA58" t="s">
        <v>1121</v>
      </c>
      <c r="AB58" t="s">
        <v>1173</v>
      </c>
      <c r="AC58" t="s">
        <v>1101</v>
      </c>
      <c r="AD58" s="15" t="s">
        <v>1100</v>
      </c>
      <c r="AE58" s="15" t="s">
        <v>1157</v>
      </c>
      <c r="AF58" s="15" t="s">
        <v>3</v>
      </c>
      <c r="AG58" t="s">
        <v>1100</v>
      </c>
    </row>
    <row r="59" spans="1:33" x14ac:dyDescent="0.2">
      <c r="A59">
        <v>65</v>
      </c>
      <c r="B59" t="s">
        <v>366</v>
      </c>
      <c r="C59" t="s">
        <v>975</v>
      </c>
      <c r="E59">
        <v>2017</v>
      </c>
      <c r="F59" t="s">
        <v>66</v>
      </c>
      <c r="G59" t="s">
        <v>513</v>
      </c>
      <c r="H59" s="14">
        <v>40</v>
      </c>
      <c r="I59" s="13">
        <v>-71</v>
      </c>
      <c r="J59" s="13">
        <v>1967</v>
      </c>
      <c r="K59" s="13">
        <v>2014</v>
      </c>
      <c r="L59" s="13">
        <f t="shared" si="2"/>
        <v>48</v>
      </c>
      <c r="M59" t="s">
        <v>369</v>
      </c>
      <c r="N59" t="s">
        <v>51</v>
      </c>
      <c r="O59" t="s">
        <v>51</v>
      </c>
      <c r="P59" t="s">
        <v>180</v>
      </c>
      <c r="R59" t="s">
        <v>1102</v>
      </c>
      <c r="S59" s="17" t="s">
        <v>1076</v>
      </c>
      <c r="T59" t="s">
        <v>165</v>
      </c>
      <c r="U59" t="s">
        <v>901</v>
      </c>
      <c r="V59" t="s">
        <v>165</v>
      </c>
      <c r="W59" t="s">
        <v>3</v>
      </c>
      <c r="X59" t="s">
        <v>3</v>
      </c>
      <c r="Y59" t="s">
        <v>366</v>
      </c>
      <c r="Z59" s="4" t="str">
        <f t="shared" si="1"/>
        <v>Y</v>
      </c>
      <c r="AA59" t="s">
        <v>1121</v>
      </c>
      <c r="AB59" t="s">
        <v>1173</v>
      </c>
      <c r="AC59" t="s">
        <v>1101</v>
      </c>
      <c r="AD59" s="15" t="s">
        <v>1100</v>
      </c>
      <c r="AE59" s="15" t="s">
        <v>1157</v>
      </c>
      <c r="AF59" s="15" t="s">
        <v>3</v>
      </c>
      <c r="AG59" t="s">
        <v>1100</v>
      </c>
    </row>
    <row r="60" spans="1:33" x14ac:dyDescent="0.2">
      <c r="A60">
        <v>66</v>
      </c>
      <c r="B60" t="s">
        <v>366</v>
      </c>
      <c r="C60" t="s">
        <v>975</v>
      </c>
      <c r="E60">
        <v>2017</v>
      </c>
      <c r="F60" t="s">
        <v>66</v>
      </c>
      <c r="G60" t="s">
        <v>513</v>
      </c>
      <c r="H60" s="14">
        <v>40</v>
      </c>
      <c r="I60" s="13">
        <v>-71</v>
      </c>
      <c r="J60" s="13">
        <v>1967</v>
      </c>
      <c r="K60" s="13">
        <v>2014</v>
      </c>
      <c r="L60" s="13">
        <f t="shared" si="2"/>
        <v>48</v>
      </c>
      <c r="M60" t="s">
        <v>369</v>
      </c>
      <c r="N60" t="s">
        <v>51</v>
      </c>
      <c r="O60" t="s">
        <v>51</v>
      </c>
      <c r="P60" t="s">
        <v>181</v>
      </c>
      <c r="R60" t="s">
        <v>1102</v>
      </c>
      <c r="S60" s="17" t="s">
        <v>1076</v>
      </c>
      <c r="T60" t="s">
        <v>165</v>
      </c>
      <c r="U60" t="s">
        <v>901</v>
      </c>
      <c r="V60" t="s">
        <v>165</v>
      </c>
      <c r="W60" t="s">
        <v>3</v>
      </c>
      <c r="X60" t="s">
        <v>3</v>
      </c>
      <c r="Y60" t="s">
        <v>366</v>
      </c>
      <c r="Z60" s="4" t="str">
        <f t="shared" si="1"/>
        <v>Y</v>
      </c>
      <c r="AA60" t="s">
        <v>1121</v>
      </c>
      <c r="AB60" t="s">
        <v>1173</v>
      </c>
      <c r="AC60" t="s">
        <v>1101</v>
      </c>
      <c r="AD60" s="15" t="s">
        <v>1100</v>
      </c>
      <c r="AE60" s="15" t="s">
        <v>1157</v>
      </c>
      <c r="AF60" s="15" t="s">
        <v>3</v>
      </c>
      <c r="AG60" t="s">
        <v>1100</v>
      </c>
    </row>
    <row r="61" spans="1:33" x14ac:dyDescent="0.2">
      <c r="A61">
        <v>67</v>
      </c>
      <c r="B61" t="s">
        <v>366</v>
      </c>
      <c r="C61" t="s">
        <v>975</v>
      </c>
      <c r="E61">
        <v>2017</v>
      </c>
      <c r="F61" t="s">
        <v>66</v>
      </c>
      <c r="G61" t="s">
        <v>513</v>
      </c>
      <c r="H61" s="14">
        <v>40</v>
      </c>
      <c r="I61" s="13">
        <v>-71</v>
      </c>
      <c r="J61" s="13">
        <v>1967</v>
      </c>
      <c r="K61" s="13">
        <v>2014</v>
      </c>
      <c r="L61" s="13">
        <f t="shared" si="2"/>
        <v>48</v>
      </c>
      <c r="M61" t="s">
        <v>369</v>
      </c>
      <c r="N61" t="s">
        <v>51</v>
      </c>
      <c r="O61" t="s">
        <v>51</v>
      </c>
      <c r="P61" t="s">
        <v>8</v>
      </c>
      <c r="R61" t="s">
        <v>1102</v>
      </c>
      <c r="S61" s="17" t="s">
        <v>1076</v>
      </c>
      <c r="T61" t="s">
        <v>165</v>
      </c>
      <c r="U61" t="s">
        <v>901</v>
      </c>
      <c r="V61" t="s">
        <v>165</v>
      </c>
      <c r="W61" t="s">
        <v>3</v>
      </c>
      <c r="X61" t="s">
        <v>3</v>
      </c>
      <c r="Y61" t="s">
        <v>366</v>
      </c>
      <c r="Z61" s="4" t="str">
        <f t="shared" si="1"/>
        <v>Y</v>
      </c>
      <c r="AA61" t="s">
        <v>1121</v>
      </c>
      <c r="AB61" t="s">
        <v>1173</v>
      </c>
      <c r="AC61" t="s">
        <v>1101</v>
      </c>
      <c r="AD61" s="15" t="s">
        <v>1100</v>
      </c>
      <c r="AE61" s="15" t="s">
        <v>1157</v>
      </c>
      <c r="AF61" s="15" t="s">
        <v>3</v>
      </c>
      <c r="AG61" t="s">
        <v>1100</v>
      </c>
    </row>
    <row r="62" spans="1:33" x14ac:dyDescent="0.2">
      <c r="A62">
        <v>68</v>
      </c>
      <c r="B62" t="s">
        <v>366</v>
      </c>
      <c r="C62" t="s">
        <v>975</v>
      </c>
      <c r="E62">
        <v>2017</v>
      </c>
      <c r="F62" t="s">
        <v>66</v>
      </c>
      <c r="G62" t="s">
        <v>513</v>
      </c>
      <c r="H62" s="14">
        <v>40</v>
      </c>
      <c r="I62" s="13">
        <v>-71</v>
      </c>
      <c r="J62" s="13">
        <v>1967</v>
      </c>
      <c r="K62" s="13">
        <v>2014</v>
      </c>
      <c r="L62" s="13">
        <f t="shared" si="2"/>
        <v>48</v>
      </c>
      <c r="M62" t="s">
        <v>369</v>
      </c>
      <c r="N62" t="s">
        <v>51</v>
      </c>
      <c r="O62" t="s">
        <v>51</v>
      </c>
      <c r="P62" t="s">
        <v>182</v>
      </c>
      <c r="R62" t="s">
        <v>1102</v>
      </c>
      <c r="S62" s="17" t="s">
        <v>1076</v>
      </c>
      <c r="T62" t="s">
        <v>165</v>
      </c>
      <c r="U62" t="s">
        <v>901</v>
      </c>
      <c r="V62" t="s">
        <v>165</v>
      </c>
      <c r="W62" t="s">
        <v>24</v>
      </c>
      <c r="X62" t="s">
        <v>3</v>
      </c>
      <c r="Y62" t="s">
        <v>366</v>
      </c>
      <c r="Z62" s="4" t="str">
        <f t="shared" si="1"/>
        <v>Y</v>
      </c>
      <c r="AA62" t="s">
        <v>1121</v>
      </c>
      <c r="AB62" t="s">
        <v>1173</v>
      </c>
      <c r="AC62" t="s">
        <v>1101</v>
      </c>
      <c r="AD62" s="15" t="s">
        <v>1100</v>
      </c>
      <c r="AE62" s="15" t="s">
        <v>1157</v>
      </c>
      <c r="AF62" s="15" t="s">
        <v>3</v>
      </c>
      <c r="AG62" t="s">
        <v>1100</v>
      </c>
    </row>
    <row r="63" spans="1:33" x14ac:dyDescent="0.2">
      <c r="A63">
        <v>69</v>
      </c>
      <c r="B63" t="s">
        <v>366</v>
      </c>
      <c r="C63" t="s">
        <v>975</v>
      </c>
      <c r="E63">
        <v>2017</v>
      </c>
      <c r="F63" t="s">
        <v>66</v>
      </c>
      <c r="G63" t="s">
        <v>513</v>
      </c>
      <c r="H63" s="14">
        <v>40</v>
      </c>
      <c r="I63" s="13">
        <v>-71</v>
      </c>
      <c r="J63" s="13">
        <v>1967</v>
      </c>
      <c r="K63" s="13">
        <v>2014</v>
      </c>
      <c r="L63" s="13">
        <f t="shared" si="2"/>
        <v>48</v>
      </c>
      <c r="M63" t="s">
        <v>369</v>
      </c>
      <c r="N63" t="s">
        <v>51</v>
      </c>
      <c r="O63" t="s">
        <v>51</v>
      </c>
      <c r="P63" t="s">
        <v>183</v>
      </c>
      <c r="R63" t="s">
        <v>1102</v>
      </c>
      <c r="S63" s="17" t="s">
        <v>1076</v>
      </c>
      <c r="T63" t="s">
        <v>165</v>
      </c>
      <c r="U63" t="s">
        <v>901</v>
      </c>
      <c r="V63" t="s">
        <v>165</v>
      </c>
      <c r="W63" t="s">
        <v>3</v>
      </c>
      <c r="X63" t="s">
        <v>3</v>
      </c>
      <c r="Y63" t="s">
        <v>366</v>
      </c>
      <c r="Z63" s="4" t="str">
        <f t="shared" si="1"/>
        <v>Y</v>
      </c>
      <c r="AA63" t="s">
        <v>1121</v>
      </c>
      <c r="AB63" t="s">
        <v>1173</v>
      </c>
      <c r="AC63" t="s">
        <v>1101</v>
      </c>
      <c r="AD63" s="15" t="s">
        <v>1100</v>
      </c>
      <c r="AE63" s="15" t="s">
        <v>1157</v>
      </c>
      <c r="AF63" s="15" t="s">
        <v>3</v>
      </c>
      <c r="AG63" t="s">
        <v>1100</v>
      </c>
    </row>
    <row r="64" spans="1:33" x14ac:dyDescent="0.2">
      <c r="A64">
        <v>70</v>
      </c>
      <c r="B64" t="s">
        <v>366</v>
      </c>
      <c r="C64" t="s">
        <v>975</v>
      </c>
      <c r="E64">
        <v>2017</v>
      </c>
      <c r="F64" t="s">
        <v>66</v>
      </c>
      <c r="G64" t="s">
        <v>513</v>
      </c>
      <c r="H64" s="14">
        <v>40</v>
      </c>
      <c r="I64" s="13">
        <v>-71</v>
      </c>
      <c r="J64" s="13">
        <v>1967</v>
      </c>
      <c r="K64" s="13">
        <v>2014</v>
      </c>
      <c r="L64" s="13">
        <f t="shared" si="2"/>
        <v>48</v>
      </c>
      <c r="M64" t="s">
        <v>369</v>
      </c>
      <c r="N64" t="s">
        <v>51</v>
      </c>
      <c r="O64" t="s">
        <v>51</v>
      </c>
      <c r="P64" t="s">
        <v>184</v>
      </c>
      <c r="R64" t="s">
        <v>1102</v>
      </c>
      <c r="S64" s="17" t="s">
        <v>1076</v>
      </c>
      <c r="T64" t="s">
        <v>165</v>
      </c>
      <c r="U64" t="s">
        <v>901</v>
      </c>
      <c r="V64" t="s">
        <v>165</v>
      </c>
      <c r="W64" t="s">
        <v>3</v>
      </c>
      <c r="X64" t="s">
        <v>3</v>
      </c>
      <c r="Y64" t="s">
        <v>366</v>
      </c>
      <c r="Z64" s="4" t="str">
        <f t="shared" si="1"/>
        <v>Y</v>
      </c>
      <c r="AA64" t="s">
        <v>1121</v>
      </c>
      <c r="AB64" t="s">
        <v>1173</v>
      </c>
      <c r="AC64" t="s">
        <v>1101</v>
      </c>
      <c r="AD64" s="15" t="s">
        <v>1100</v>
      </c>
      <c r="AE64" s="15" t="s">
        <v>1157</v>
      </c>
      <c r="AF64" s="15" t="s">
        <v>3</v>
      </c>
      <c r="AG64" t="s">
        <v>1100</v>
      </c>
    </row>
    <row r="65" spans="1:33" x14ac:dyDescent="0.2">
      <c r="A65">
        <v>71</v>
      </c>
      <c r="B65" t="s">
        <v>366</v>
      </c>
      <c r="C65" t="s">
        <v>975</v>
      </c>
      <c r="E65">
        <v>2017</v>
      </c>
      <c r="F65" t="s">
        <v>66</v>
      </c>
      <c r="G65" t="s">
        <v>513</v>
      </c>
      <c r="H65" s="14">
        <v>40</v>
      </c>
      <c r="I65" s="13">
        <v>-71</v>
      </c>
      <c r="J65" s="13">
        <v>1967</v>
      </c>
      <c r="K65" s="13">
        <v>2014</v>
      </c>
      <c r="L65" s="13">
        <f t="shared" si="2"/>
        <v>48</v>
      </c>
      <c r="M65" t="s">
        <v>369</v>
      </c>
      <c r="N65" t="s">
        <v>51</v>
      </c>
      <c r="O65" t="s">
        <v>51</v>
      </c>
      <c r="P65" t="s">
        <v>185</v>
      </c>
      <c r="R65" t="s">
        <v>1102</v>
      </c>
      <c r="S65" s="17" t="s">
        <v>1076</v>
      </c>
      <c r="T65" t="s">
        <v>165</v>
      </c>
      <c r="U65" t="s">
        <v>901</v>
      </c>
      <c r="V65" t="s">
        <v>165</v>
      </c>
      <c r="W65" t="s">
        <v>24</v>
      </c>
      <c r="X65" t="s">
        <v>3</v>
      </c>
      <c r="Y65" t="s">
        <v>366</v>
      </c>
      <c r="Z65" s="4" t="str">
        <f t="shared" si="1"/>
        <v>Y</v>
      </c>
      <c r="AA65" t="s">
        <v>1121</v>
      </c>
      <c r="AB65" t="s">
        <v>1173</v>
      </c>
      <c r="AC65" t="s">
        <v>1101</v>
      </c>
      <c r="AD65" s="15" t="s">
        <v>1100</v>
      </c>
      <c r="AE65" s="15" t="s">
        <v>1157</v>
      </c>
      <c r="AF65" s="15" t="s">
        <v>3</v>
      </c>
      <c r="AG65" t="s">
        <v>1100</v>
      </c>
    </row>
    <row r="66" spans="1:33" x14ac:dyDescent="0.2">
      <c r="A66">
        <v>72</v>
      </c>
      <c r="B66" t="s">
        <v>366</v>
      </c>
      <c r="C66" t="s">
        <v>975</v>
      </c>
      <c r="E66">
        <v>2017</v>
      </c>
      <c r="F66" t="s">
        <v>66</v>
      </c>
      <c r="G66" t="s">
        <v>513</v>
      </c>
      <c r="H66" s="14">
        <v>40</v>
      </c>
      <c r="I66" s="13">
        <v>-71</v>
      </c>
      <c r="J66" s="13">
        <v>1967</v>
      </c>
      <c r="K66" s="13">
        <v>2014</v>
      </c>
      <c r="L66" s="13">
        <f t="shared" si="2"/>
        <v>48</v>
      </c>
      <c r="M66" t="s">
        <v>369</v>
      </c>
      <c r="N66" t="s">
        <v>51</v>
      </c>
      <c r="O66" t="s">
        <v>51</v>
      </c>
      <c r="P66" t="s">
        <v>186</v>
      </c>
      <c r="R66" t="s">
        <v>1102</v>
      </c>
      <c r="S66" s="17" t="s">
        <v>1076</v>
      </c>
      <c r="T66" t="s">
        <v>165</v>
      </c>
      <c r="U66" t="s">
        <v>901</v>
      </c>
      <c r="V66" t="s">
        <v>165</v>
      </c>
      <c r="W66" t="s">
        <v>24</v>
      </c>
      <c r="X66" t="s">
        <v>3</v>
      </c>
      <c r="Y66" t="s">
        <v>366</v>
      </c>
      <c r="Z66" s="4" t="str">
        <f t="shared" ref="Z66:Z129" si="3">IF(L66&gt;=19,"Y","N")</f>
        <v>Y</v>
      </c>
      <c r="AA66" t="s">
        <v>1121</v>
      </c>
      <c r="AB66" t="s">
        <v>1173</v>
      </c>
      <c r="AC66" t="s">
        <v>1101</v>
      </c>
      <c r="AD66" s="15" t="s">
        <v>1100</v>
      </c>
      <c r="AE66" s="15" t="s">
        <v>1157</v>
      </c>
      <c r="AF66" s="15" t="s">
        <v>3</v>
      </c>
      <c r="AG66" t="s">
        <v>1100</v>
      </c>
    </row>
    <row r="67" spans="1:33" x14ac:dyDescent="0.2">
      <c r="A67">
        <v>73</v>
      </c>
      <c r="B67" t="s">
        <v>366</v>
      </c>
      <c r="C67" t="s">
        <v>975</v>
      </c>
      <c r="E67">
        <v>2017</v>
      </c>
      <c r="F67" t="s">
        <v>66</v>
      </c>
      <c r="G67" t="s">
        <v>513</v>
      </c>
      <c r="H67" s="14">
        <v>40</v>
      </c>
      <c r="I67" s="13">
        <v>-71</v>
      </c>
      <c r="J67" s="13">
        <v>1967</v>
      </c>
      <c r="K67" s="13">
        <v>2014</v>
      </c>
      <c r="L67" s="13">
        <f t="shared" si="2"/>
        <v>48</v>
      </c>
      <c r="M67" t="s">
        <v>369</v>
      </c>
      <c r="N67" t="s">
        <v>51</v>
      </c>
      <c r="O67" t="s">
        <v>51</v>
      </c>
      <c r="P67" t="s">
        <v>187</v>
      </c>
      <c r="R67" t="s">
        <v>1102</v>
      </c>
      <c r="S67" s="17" t="s">
        <v>1076</v>
      </c>
      <c r="T67" t="s">
        <v>165</v>
      </c>
      <c r="U67" t="s">
        <v>901</v>
      </c>
      <c r="V67" t="s">
        <v>165</v>
      </c>
      <c r="W67" t="s">
        <v>24</v>
      </c>
      <c r="X67" t="s">
        <v>3</v>
      </c>
      <c r="Y67" t="s">
        <v>366</v>
      </c>
      <c r="Z67" s="4" t="str">
        <f t="shared" si="3"/>
        <v>Y</v>
      </c>
      <c r="AA67" t="s">
        <v>1121</v>
      </c>
      <c r="AB67" t="s">
        <v>1173</v>
      </c>
      <c r="AC67" t="s">
        <v>1101</v>
      </c>
      <c r="AD67" s="15" t="s">
        <v>1100</v>
      </c>
      <c r="AE67" s="15" t="s">
        <v>1157</v>
      </c>
      <c r="AF67" s="15" t="s">
        <v>3</v>
      </c>
      <c r="AG67" t="s">
        <v>1100</v>
      </c>
    </row>
    <row r="68" spans="1:33" x14ac:dyDescent="0.2">
      <c r="A68">
        <v>74</v>
      </c>
      <c r="B68" t="s">
        <v>366</v>
      </c>
      <c r="C68" t="s">
        <v>975</v>
      </c>
      <c r="E68">
        <v>2017</v>
      </c>
      <c r="F68" t="s">
        <v>66</v>
      </c>
      <c r="G68" t="s">
        <v>513</v>
      </c>
      <c r="H68" s="14">
        <v>40</v>
      </c>
      <c r="I68" s="13">
        <v>-71</v>
      </c>
      <c r="J68" s="13">
        <v>1967</v>
      </c>
      <c r="K68" s="13">
        <v>2014</v>
      </c>
      <c r="L68" s="13">
        <f t="shared" si="2"/>
        <v>48</v>
      </c>
      <c r="M68" t="s">
        <v>369</v>
      </c>
      <c r="N68" t="s">
        <v>51</v>
      </c>
      <c r="O68" t="s">
        <v>51</v>
      </c>
      <c r="P68" t="s">
        <v>188</v>
      </c>
      <c r="R68" t="s">
        <v>1102</v>
      </c>
      <c r="S68" s="17" t="s">
        <v>1076</v>
      </c>
      <c r="T68" t="s">
        <v>165</v>
      </c>
      <c r="U68" t="s">
        <v>901</v>
      </c>
      <c r="V68" t="s">
        <v>165</v>
      </c>
      <c r="W68" t="s">
        <v>3</v>
      </c>
      <c r="X68" t="s">
        <v>3</v>
      </c>
      <c r="Y68" t="s">
        <v>366</v>
      </c>
      <c r="Z68" s="4" t="str">
        <f t="shared" si="3"/>
        <v>Y</v>
      </c>
      <c r="AA68" t="s">
        <v>1121</v>
      </c>
      <c r="AB68" t="s">
        <v>1173</v>
      </c>
      <c r="AC68" t="s">
        <v>1101</v>
      </c>
      <c r="AD68" s="15" t="s">
        <v>1100</v>
      </c>
      <c r="AE68" s="15" t="s">
        <v>1157</v>
      </c>
      <c r="AF68" s="15" t="s">
        <v>3</v>
      </c>
      <c r="AG68" t="s">
        <v>1100</v>
      </c>
    </row>
    <row r="69" spans="1:33" x14ac:dyDescent="0.2">
      <c r="A69">
        <v>75</v>
      </c>
      <c r="B69" t="s">
        <v>366</v>
      </c>
      <c r="C69" t="s">
        <v>975</v>
      </c>
      <c r="E69">
        <v>2017</v>
      </c>
      <c r="F69" t="s">
        <v>66</v>
      </c>
      <c r="G69" t="s">
        <v>513</v>
      </c>
      <c r="H69" s="14">
        <v>40</v>
      </c>
      <c r="I69" s="13">
        <v>-71</v>
      </c>
      <c r="J69" s="13">
        <v>1967</v>
      </c>
      <c r="K69" s="13">
        <v>2014</v>
      </c>
      <c r="L69" s="13">
        <f t="shared" si="2"/>
        <v>48</v>
      </c>
      <c r="M69" t="s">
        <v>369</v>
      </c>
      <c r="N69" t="s">
        <v>51</v>
      </c>
      <c r="O69" t="s">
        <v>51</v>
      </c>
      <c r="P69" t="s">
        <v>189</v>
      </c>
      <c r="R69" t="s">
        <v>1102</v>
      </c>
      <c r="S69" s="17" t="s">
        <v>1076</v>
      </c>
      <c r="T69" t="s">
        <v>165</v>
      </c>
      <c r="U69" t="s">
        <v>901</v>
      </c>
      <c r="V69" t="s">
        <v>165</v>
      </c>
      <c r="W69" t="s">
        <v>3</v>
      </c>
      <c r="X69" t="s">
        <v>3</v>
      </c>
      <c r="Y69" t="s">
        <v>366</v>
      </c>
      <c r="Z69" s="4" t="str">
        <f t="shared" si="3"/>
        <v>Y</v>
      </c>
      <c r="AA69" t="s">
        <v>1121</v>
      </c>
      <c r="AB69" t="s">
        <v>1173</v>
      </c>
      <c r="AC69" t="s">
        <v>1101</v>
      </c>
      <c r="AD69" s="15" t="s">
        <v>1100</v>
      </c>
      <c r="AE69" s="15" t="s">
        <v>1157</v>
      </c>
      <c r="AF69" s="15" t="s">
        <v>3</v>
      </c>
      <c r="AG69" t="s">
        <v>1100</v>
      </c>
    </row>
    <row r="70" spans="1:33" x14ac:dyDescent="0.2">
      <c r="A70">
        <v>76</v>
      </c>
      <c r="B70" t="s">
        <v>366</v>
      </c>
      <c r="C70" t="s">
        <v>975</v>
      </c>
      <c r="E70">
        <v>2017</v>
      </c>
      <c r="F70" t="s">
        <v>66</v>
      </c>
      <c r="G70" t="s">
        <v>513</v>
      </c>
      <c r="H70" s="14">
        <v>40</v>
      </c>
      <c r="I70" s="13">
        <v>-71</v>
      </c>
      <c r="J70" s="13">
        <v>1967</v>
      </c>
      <c r="K70" s="13">
        <v>2014</v>
      </c>
      <c r="L70" s="13">
        <f t="shared" si="2"/>
        <v>48</v>
      </c>
      <c r="M70" t="s">
        <v>369</v>
      </c>
      <c r="N70" t="s">
        <v>51</v>
      </c>
      <c r="O70" t="s">
        <v>51</v>
      </c>
      <c r="P70" t="s">
        <v>190</v>
      </c>
      <c r="R70" t="s">
        <v>1102</v>
      </c>
      <c r="S70" s="17" t="s">
        <v>1076</v>
      </c>
      <c r="T70" t="s">
        <v>165</v>
      </c>
      <c r="U70" t="s">
        <v>901</v>
      </c>
      <c r="V70" t="s">
        <v>165</v>
      </c>
      <c r="W70" t="s">
        <v>3</v>
      </c>
      <c r="X70" t="s">
        <v>3</v>
      </c>
      <c r="Y70" t="s">
        <v>366</v>
      </c>
      <c r="Z70" s="4" t="str">
        <f t="shared" si="3"/>
        <v>Y</v>
      </c>
      <c r="AA70" t="s">
        <v>1121</v>
      </c>
      <c r="AB70" t="s">
        <v>1173</v>
      </c>
      <c r="AC70" t="s">
        <v>1101</v>
      </c>
      <c r="AD70" s="15" t="s">
        <v>1100</v>
      </c>
      <c r="AE70" s="15" t="s">
        <v>1157</v>
      </c>
      <c r="AF70" s="15" t="s">
        <v>3</v>
      </c>
      <c r="AG70" t="s">
        <v>1100</v>
      </c>
    </row>
    <row r="71" spans="1:33" x14ac:dyDescent="0.2">
      <c r="A71">
        <v>77</v>
      </c>
      <c r="B71" t="s">
        <v>366</v>
      </c>
      <c r="C71" t="s">
        <v>975</v>
      </c>
      <c r="E71">
        <v>2017</v>
      </c>
      <c r="F71" t="s">
        <v>66</v>
      </c>
      <c r="G71" t="s">
        <v>513</v>
      </c>
      <c r="H71" s="14">
        <v>40</v>
      </c>
      <c r="I71" s="13">
        <v>-71</v>
      </c>
      <c r="J71" s="13">
        <v>1967</v>
      </c>
      <c r="K71" s="13">
        <v>2014</v>
      </c>
      <c r="L71" s="13">
        <f t="shared" si="2"/>
        <v>48</v>
      </c>
      <c r="M71" t="s">
        <v>369</v>
      </c>
      <c r="N71" t="s">
        <v>51</v>
      </c>
      <c r="O71" t="s">
        <v>51</v>
      </c>
      <c r="P71" t="s">
        <v>191</v>
      </c>
      <c r="R71" t="s">
        <v>1102</v>
      </c>
      <c r="S71" s="17" t="s">
        <v>1076</v>
      </c>
      <c r="T71" t="s">
        <v>165</v>
      </c>
      <c r="U71" t="s">
        <v>901</v>
      </c>
      <c r="V71" t="s">
        <v>165</v>
      </c>
      <c r="W71" t="s">
        <v>24</v>
      </c>
      <c r="X71" t="s">
        <v>3</v>
      </c>
      <c r="Y71" t="s">
        <v>366</v>
      </c>
      <c r="Z71" s="4" t="str">
        <f t="shared" si="3"/>
        <v>Y</v>
      </c>
      <c r="AA71" t="s">
        <v>1121</v>
      </c>
      <c r="AB71" t="s">
        <v>1173</v>
      </c>
      <c r="AC71" t="s">
        <v>1101</v>
      </c>
      <c r="AD71" s="15" t="s">
        <v>1100</v>
      </c>
      <c r="AE71" s="15" t="s">
        <v>1157</v>
      </c>
      <c r="AF71" s="15" t="s">
        <v>3</v>
      </c>
      <c r="AG71" t="s">
        <v>1100</v>
      </c>
    </row>
    <row r="72" spans="1:33" x14ac:dyDescent="0.2">
      <c r="A72">
        <v>78</v>
      </c>
      <c r="B72" t="s">
        <v>366</v>
      </c>
      <c r="C72" t="s">
        <v>975</v>
      </c>
      <c r="E72">
        <v>2017</v>
      </c>
      <c r="F72" t="s">
        <v>66</v>
      </c>
      <c r="G72" t="s">
        <v>513</v>
      </c>
      <c r="H72" s="14">
        <v>40</v>
      </c>
      <c r="I72" s="13">
        <v>-71</v>
      </c>
      <c r="J72" s="13">
        <v>1967</v>
      </c>
      <c r="K72" s="13">
        <v>2014</v>
      </c>
      <c r="L72" s="13">
        <f t="shared" si="2"/>
        <v>48</v>
      </c>
      <c r="M72" t="s">
        <v>369</v>
      </c>
      <c r="N72" t="s">
        <v>51</v>
      </c>
      <c r="O72" t="s">
        <v>51</v>
      </c>
      <c r="P72" t="s">
        <v>192</v>
      </c>
      <c r="R72" t="s">
        <v>1102</v>
      </c>
      <c r="S72" s="17" t="s">
        <v>1076</v>
      </c>
      <c r="T72" t="s">
        <v>165</v>
      </c>
      <c r="U72" t="s">
        <v>901</v>
      </c>
      <c r="V72" t="s">
        <v>165</v>
      </c>
      <c r="W72" t="s">
        <v>3</v>
      </c>
      <c r="X72" t="s">
        <v>3</v>
      </c>
      <c r="Y72" t="s">
        <v>366</v>
      </c>
      <c r="Z72" s="4" t="str">
        <f t="shared" si="3"/>
        <v>Y</v>
      </c>
      <c r="AA72" t="s">
        <v>1121</v>
      </c>
      <c r="AB72" t="s">
        <v>1173</v>
      </c>
      <c r="AC72" t="s">
        <v>1101</v>
      </c>
      <c r="AD72" s="15" t="s">
        <v>1100</v>
      </c>
      <c r="AE72" s="15" t="s">
        <v>1157</v>
      </c>
      <c r="AF72" s="15" t="s">
        <v>3</v>
      </c>
      <c r="AG72" t="s">
        <v>1100</v>
      </c>
    </row>
    <row r="73" spans="1:33" x14ac:dyDescent="0.2">
      <c r="A73">
        <v>79</v>
      </c>
      <c r="B73" t="s">
        <v>366</v>
      </c>
      <c r="C73" t="s">
        <v>975</v>
      </c>
      <c r="E73">
        <v>2017</v>
      </c>
      <c r="F73" t="s">
        <v>66</v>
      </c>
      <c r="G73" t="s">
        <v>513</v>
      </c>
      <c r="H73" s="14">
        <v>40</v>
      </c>
      <c r="I73" s="13">
        <v>-71</v>
      </c>
      <c r="J73" s="13">
        <v>1967</v>
      </c>
      <c r="K73" s="13">
        <v>2014</v>
      </c>
      <c r="L73" s="13">
        <f t="shared" si="2"/>
        <v>48</v>
      </c>
      <c r="M73" t="s">
        <v>369</v>
      </c>
      <c r="N73" t="s">
        <v>51</v>
      </c>
      <c r="O73" t="s">
        <v>51</v>
      </c>
      <c r="P73" t="s">
        <v>193</v>
      </c>
      <c r="R73" t="s">
        <v>1102</v>
      </c>
      <c r="S73" s="17" t="s">
        <v>1076</v>
      </c>
      <c r="T73" t="s">
        <v>165</v>
      </c>
      <c r="U73" t="s">
        <v>901</v>
      </c>
      <c r="V73" t="s">
        <v>165</v>
      </c>
      <c r="W73" t="s">
        <v>24</v>
      </c>
      <c r="X73" t="s">
        <v>3</v>
      </c>
      <c r="Y73" t="s">
        <v>366</v>
      </c>
      <c r="Z73" s="4" t="str">
        <f t="shared" si="3"/>
        <v>Y</v>
      </c>
      <c r="AA73" t="s">
        <v>1121</v>
      </c>
      <c r="AB73" t="s">
        <v>1173</v>
      </c>
      <c r="AC73" t="s">
        <v>1101</v>
      </c>
      <c r="AD73" s="15" t="s">
        <v>1100</v>
      </c>
      <c r="AE73" s="15" t="s">
        <v>1157</v>
      </c>
      <c r="AF73" s="15" t="s">
        <v>3</v>
      </c>
      <c r="AG73" t="s">
        <v>1100</v>
      </c>
    </row>
    <row r="74" spans="1:33" x14ac:dyDescent="0.2">
      <c r="A74">
        <v>80</v>
      </c>
      <c r="B74" t="s">
        <v>366</v>
      </c>
      <c r="C74" t="s">
        <v>975</v>
      </c>
      <c r="E74">
        <v>2017</v>
      </c>
      <c r="F74" t="s">
        <v>66</v>
      </c>
      <c r="G74" t="s">
        <v>513</v>
      </c>
      <c r="H74" s="14">
        <v>40</v>
      </c>
      <c r="I74" s="13">
        <v>-71</v>
      </c>
      <c r="J74" s="13">
        <v>1967</v>
      </c>
      <c r="K74" s="13">
        <v>2014</v>
      </c>
      <c r="L74" s="13">
        <f t="shared" si="2"/>
        <v>48</v>
      </c>
      <c r="M74" t="s">
        <v>369</v>
      </c>
      <c r="N74" t="s">
        <v>51</v>
      </c>
      <c r="O74" t="s">
        <v>51</v>
      </c>
      <c r="P74" t="s">
        <v>194</v>
      </c>
      <c r="R74" t="s">
        <v>1102</v>
      </c>
      <c r="S74" s="17" t="s">
        <v>1076</v>
      </c>
      <c r="T74" t="s">
        <v>165</v>
      </c>
      <c r="U74" t="s">
        <v>901</v>
      </c>
      <c r="V74" t="s">
        <v>165</v>
      </c>
      <c r="W74" t="s">
        <v>3</v>
      </c>
      <c r="X74" t="s">
        <v>3</v>
      </c>
      <c r="Y74" t="s">
        <v>366</v>
      </c>
      <c r="Z74" s="4" t="str">
        <f t="shared" si="3"/>
        <v>Y</v>
      </c>
      <c r="AA74" t="s">
        <v>1121</v>
      </c>
      <c r="AB74" t="s">
        <v>1173</v>
      </c>
      <c r="AC74" t="s">
        <v>1101</v>
      </c>
      <c r="AD74" s="15" t="s">
        <v>1100</v>
      </c>
      <c r="AE74" s="15" t="s">
        <v>1157</v>
      </c>
      <c r="AF74" s="15" t="s">
        <v>3</v>
      </c>
      <c r="AG74" t="s">
        <v>1100</v>
      </c>
    </row>
    <row r="75" spans="1:33" x14ac:dyDescent="0.2">
      <c r="A75">
        <v>81</v>
      </c>
      <c r="B75" t="s">
        <v>366</v>
      </c>
      <c r="C75" t="s">
        <v>975</v>
      </c>
      <c r="E75">
        <v>2017</v>
      </c>
      <c r="F75" t="s">
        <v>66</v>
      </c>
      <c r="G75" t="s">
        <v>513</v>
      </c>
      <c r="H75" s="14">
        <v>40</v>
      </c>
      <c r="I75" s="13">
        <v>-71</v>
      </c>
      <c r="J75" s="13">
        <v>1967</v>
      </c>
      <c r="K75" s="13">
        <v>2014</v>
      </c>
      <c r="L75" s="13">
        <f t="shared" si="2"/>
        <v>48</v>
      </c>
      <c r="M75" t="s">
        <v>369</v>
      </c>
      <c r="N75" t="s">
        <v>51</v>
      </c>
      <c r="O75" t="s">
        <v>51</v>
      </c>
      <c r="P75" t="s">
        <v>195</v>
      </c>
      <c r="R75" t="s">
        <v>1102</v>
      </c>
      <c r="S75" s="17" t="s">
        <v>1076</v>
      </c>
      <c r="T75" t="s">
        <v>165</v>
      </c>
      <c r="U75" t="s">
        <v>901</v>
      </c>
      <c r="V75" t="s">
        <v>165</v>
      </c>
      <c r="W75" t="s">
        <v>3</v>
      </c>
      <c r="X75" t="s">
        <v>3</v>
      </c>
      <c r="Y75" t="s">
        <v>366</v>
      </c>
      <c r="Z75" s="4" t="str">
        <f t="shared" si="3"/>
        <v>Y</v>
      </c>
      <c r="AA75" t="s">
        <v>1121</v>
      </c>
      <c r="AB75" t="s">
        <v>1173</v>
      </c>
      <c r="AC75" t="s">
        <v>1101</v>
      </c>
      <c r="AD75" s="15" t="s">
        <v>1100</v>
      </c>
      <c r="AE75" s="15" t="s">
        <v>1157</v>
      </c>
      <c r="AF75" s="15" t="s">
        <v>3</v>
      </c>
      <c r="AG75" t="s">
        <v>1100</v>
      </c>
    </row>
    <row r="76" spans="1:33" x14ac:dyDescent="0.2">
      <c r="A76">
        <v>82</v>
      </c>
      <c r="B76" t="s">
        <v>366</v>
      </c>
      <c r="C76" t="s">
        <v>975</v>
      </c>
      <c r="E76">
        <v>2017</v>
      </c>
      <c r="F76" t="s">
        <v>66</v>
      </c>
      <c r="G76" t="s">
        <v>513</v>
      </c>
      <c r="H76" s="14">
        <v>40</v>
      </c>
      <c r="I76" s="13">
        <v>-71</v>
      </c>
      <c r="J76" s="13">
        <v>1967</v>
      </c>
      <c r="K76" s="13">
        <v>2014</v>
      </c>
      <c r="L76" s="13">
        <f t="shared" si="2"/>
        <v>48</v>
      </c>
      <c r="M76" t="s">
        <v>369</v>
      </c>
      <c r="N76" t="s">
        <v>51</v>
      </c>
      <c r="O76" t="s">
        <v>51</v>
      </c>
      <c r="P76" t="s">
        <v>196</v>
      </c>
      <c r="R76" t="s">
        <v>1102</v>
      </c>
      <c r="S76" s="17" t="s">
        <v>1076</v>
      </c>
      <c r="T76" t="s">
        <v>165</v>
      </c>
      <c r="U76" t="s">
        <v>901</v>
      </c>
      <c r="V76" t="s">
        <v>165</v>
      </c>
      <c r="W76" t="s">
        <v>24</v>
      </c>
      <c r="X76" t="s">
        <v>3</v>
      </c>
      <c r="Y76" t="s">
        <v>366</v>
      </c>
      <c r="Z76" s="4" t="str">
        <f t="shared" si="3"/>
        <v>Y</v>
      </c>
      <c r="AA76" t="s">
        <v>1121</v>
      </c>
      <c r="AB76" t="s">
        <v>1173</v>
      </c>
      <c r="AC76" t="s">
        <v>1101</v>
      </c>
      <c r="AD76" s="15" t="s">
        <v>1100</v>
      </c>
      <c r="AE76" s="15" t="s">
        <v>1157</v>
      </c>
      <c r="AF76" s="15" t="s">
        <v>3</v>
      </c>
      <c r="AG76" t="s">
        <v>1100</v>
      </c>
    </row>
    <row r="77" spans="1:33" x14ac:dyDescent="0.2">
      <c r="A77">
        <v>83</v>
      </c>
      <c r="B77" t="s">
        <v>366</v>
      </c>
      <c r="C77" t="s">
        <v>975</v>
      </c>
      <c r="E77">
        <v>2017</v>
      </c>
      <c r="F77" t="s">
        <v>66</v>
      </c>
      <c r="G77" t="s">
        <v>513</v>
      </c>
      <c r="H77" s="14">
        <v>40</v>
      </c>
      <c r="I77" s="13">
        <v>-71</v>
      </c>
      <c r="J77" s="13">
        <v>1967</v>
      </c>
      <c r="K77" s="13">
        <v>2014</v>
      </c>
      <c r="L77" s="13">
        <f t="shared" ref="L77:L140" si="4">K77-J77+1</f>
        <v>48</v>
      </c>
      <c r="M77" t="s">
        <v>369</v>
      </c>
      <c r="N77" t="s">
        <v>51</v>
      </c>
      <c r="O77" t="s">
        <v>51</v>
      </c>
      <c r="P77" t="s">
        <v>197</v>
      </c>
      <c r="R77" t="s">
        <v>1102</v>
      </c>
      <c r="S77" s="17" t="s">
        <v>1076</v>
      </c>
      <c r="T77" t="s">
        <v>165</v>
      </c>
      <c r="U77" t="s">
        <v>901</v>
      </c>
      <c r="V77" t="s">
        <v>165</v>
      </c>
      <c r="W77" t="s">
        <v>3</v>
      </c>
      <c r="X77" t="s">
        <v>3</v>
      </c>
      <c r="Y77" t="s">
        <v>366</v>
      </c>
      <c r="Z77" s="4" t="str">
        <f t="shared" si="3"/>
        <v>Y</v>
      </c>
      <c r="AA77" t="s">
        <v>1121</v>
      </c>
      <c r="AB77" t="s">
        <v>1173</v>
      </c>
      <c r="AC77" t="s">
        <v>1101</v>
      </c>
      <c r="AD77" s="15" t="s">
        <v>1100</v>
      </c>
      <c r="AE77" s="15" t="s">
        <v>1157</v>
      </c>
      <c r="AF77" s="15" t="s">
        <v>3</v>
      </c>
      <c r="AG77" t="s">
        <v>1100</v>
      </c>
    </row>
    <row r="78" spans="1:33" x14ac:dyDescent="0.2">
      <c r="A78">
        <v>84</v>
      </c>
      <c r="B78" t="s">
        <v>366</v>
      </c>
      <c r="C78" t="s">
        <v>975</v>
      </c>
      <c r="E78">
        <v>2017</v>
      </c>
      <c r="F78" t="s">
        <v>66</v>
      </c>
      <c r="G78" t="s">
        <v>513</v>
      </c>
      <c r="H78" s="14">
        <v>40</v>
      </c>
      <c r="I78" s="13">
        <v>-71</v>
      </c>
      <c r="J78" s="13">
        <v>1967</v>
      </c>
      <c r="K78" s="13">
        <v>2014</v>
      </c>
      <c r="L78" s="13">
        <f t="shared" si="4"/>
        <v>48</v>
      </c>
      <c r="M78" t="s">
        <v>369</v>
      </c>
      <c r="N78" t="s">
        <v>51</v>
      </c>
      <c r="O78" t="s">
        <v>51</v>
      </c>
      <c r="P78" t="s">
        <v>198</v>
      </c>
      <c r="R78" t="s">
        <v>1102</v>
      </c>
      <c r="S78" s="17" t="s">
        <v>1076</v>
      </c>
      <c r="T78" t="s">
        <v>165</v>
      </c>
      <c r="U78" t="s">
        <v>901</v>
      </c>
      <c r="V78" t="s">
        <v>165</v>
      </c>
      <c r="W78" t="s">
        <v>24</v>
      </c>
      <c r="X78" t="s">
        <v>3</v>
      </c>
      <c r="Y78" t="s">
        <v>366</v>
      </c>
      <c r="Z78" s="4" t="str">
        <f t="shared" si="3"/>
        <v>Y</v>
      </c>
      <c r="AA78" t="s">
        <v>1121</v>
      </c>
      <c r="AB78" t="s">
        <v>1173</v>
      </c>
      <c r="AC78" t="s">
        <v>1101</v>
      </c>
      <c r="AD78" s="15" t="s">
        <v>1100</v>
      </c>
      <c r="AE78" s="15" t="s">
        <v>1157</v>
      </c>
      <c r="AF78" s="15" t="s">
        <v>3</v>
      </c>
      <c r="AG78" t="s">
        <v>1100</v>
      </c>
    </row>
    <row r="79" spans="1:33" x14ac:dyDescent="0.2">
      <c r="A79">
        <v>85</v>
      </c>
      <c r="B79" t="s">
        <v>366</v>
      </c>
      <c r="C79" t="s">
        <v>975</v>
      </c>
      <c r="E79">
        <v>2017</v>
      </c>
      <c r="F79" t="s">
        <v>66</v>
      </c>
      <c r="G79" t="s">
        <v>513</v>
      </c>
      <c r="H79" s="14">
        <v>40</v>
      </c>
      <c r="I79" s="13">
        <v>-71</v>
      </c>
      <c r="J79" s="13">
        <v>1967</v>
      </c>
      <c r="K79" s="13">
        <v>2014</v>
      </c>
      <c r="L79" s="13">
        <f t="shared" si="4"/>
        <v>48</v>
      </c>
      <c r="M79" t="s">
        <v>369</v>
      </c>
      <c r="N79" t="s">
        <v>51</v>
      </c>
      <c r="O79" t="s">
        <v>51</v>
      </c>
      <c r="P79" t="s">
        <v>199</v>
      </c>
      <c r="R79" t="s">
        <v>1102</v>
      </c>
      <c r="S79" s="17" t="s">
        <v>1076</v>
      </c>
      <c r="T79" t="s">
        <v>165</v>
      </c>
      <c r="U79" t="s">
        <v>901</v>
      </c>
      <c r="V79" t="s">
        <v>165</v>
      </c>
      <c r="W79" t="s">
        <v>3</v>
      </c>
      <c r="X79" t="s">
        <v>3</v>
      </c>
      <c r="Y79" t="s">
        <v>366</v>
      </c>
      <c r="Z79" s="4" t="str">
        <f t="shared" si="3"/>
        <v>Y</v>
      </c>
      <c r="AA79" t="s">
        <v>1121</v>
      </c>
      <c r="AB79" t="s">
        <v>1173</v>
      </c>
      <c r="AC79" t="s">
        <v>1101</v>
      </c>
      <c r="AD79" s="15" t="s">
        <v>1100</v>
      </c>
      <c r="AE79" s="15" t="s">
        <v>1157</v>
      </c>
      <c r="AF79" s="15" t="s">
        <v>3</v>
      </c>
      <c r="AG79" t="s">
        <v>1100</v>
      </c>
    </row>
    <row r="80" spans="1:33" x14ac:dyDescent="0.2">
      <c r="A80">
        <v>86</v>
      </c>
      <c r="B80" t="s">
        <v>366</v>
      </c>
      <c r="C80" t="s">
        <v>975</v>
      </c>
      <c r="E80">
        <v>2017</v>
      </c>
      <c r="F80" t="s">
        <v>66</v>
      </c>
      <c r="G80" t="s">
        <v>513</v>
      </c>
      <c r="H80" s="14">
        <v>40</v>
      </c>
      <c r="I80" s="13">
        <v>-71</v>
      </c>
      <c r="J80" s="13">
        <v>1967</v>
      </c>
      <c r="K80" s="13">
        <v>2014</v>
      </c>
      <c r="L80" s="13">
        <f t="shared" si="4"/>
        <v>48</v>
      </c>
      <c r="M80" t="s">
        <v>369</v>
      </c>
      <c r="N80" t="s">
        <v>51</v>
      </c>
      <c r="O80" t="s">
        <v>51</v>
      </c>
      <c r="P80" t="s">
        <v>200</v>
      </c>
      <c r="R80" t="s">
        <v>1102</v>
      </c>
      <c r="S80" s="17" t="s">
        <v>1076</v>
      </c>
      <c r="T80" t="s">
        <v>165</v>
      </c>
      <c r="U80" t="s">
        <v>901</v>
      </c>
      <c r="V80" t="s">
        <v>165</v>
      </c>
      <c r="W80" t="s">
        <v>3</v>
      </c>
      <c r="X80" t="s">
        <v>3</v>
      </c>
      <c r="Y80" t="s">
        <v>366</v>
      </c>
      <c r="Z80" s="4" t="str">
        <f t="shared" si="3"/>
        <v>Y</v>
      </c>
      <c r="AA80" t="s">
        <v>1121</v>
      </c>
      <c r="AB80" t="s">
        <v>1173</v>
      </c>
      <c r="AC80" t="s">
        <v>1101</v>
      </c>
      <c r="AD80" s="15" t="s">
        <v>1100</v>
      </c>
      <c r="AE80" s="15" t="s">
        <v>1157</v>
      </c>
      <c r="AF80" s="15" t="s">
        <v>3</v>
      </c>
      <c r="AG80" t="s">
        <v>1100</v>
      </c>
    </row>
    <row r="81" spans="1:33" x14ac:dyDescent="0.2">
      <c r="A81">
        <v>87</v>
      </c>
      <c r="B81" t="s">
        <v>366</v>
      </c>
      <c r="C81" t="s">
        <v>975</v>
      </c>
      <c r="E81">
        <v>2017</v>
      </c>
      <c r="F81" t="s">
        <v>66</v>
      </c>
      <c r="G81" t="s">
        <v>513</v>
      </c>
      <c r="H81" s="14">
        <v>40</v>
      </c>
      <c r="I81" s="13">
        <v>-71</v>
      </c>
      <c r="J81" s="13">
        <v>1967</v>
      </c>
      <c r="K81" s="13">
        <v>2014</v>
      </c>
      <c r="L81" s="13">
        <f t="shared" si="4"/>
        <v>48</v>
      </c>
      <c r="M81" t="s">
        <v>369</v>
      </c>
      <c r="N81" t="s">
        <v>51</v>
      </c>
      <c r="O81" t="s">
        <v>51</v>
      </c>
      <c r="P81" t="s">
        <v>201</v>
      </c>
      <c r="R81" t="s">
        <v>1102</v>
      </c>
      <c r="S81" s="17" t="s">
        <v>1076</v>
      </c>
      <c r="T81" t="s">
        <v>165</v>
      </c>
      <c r="U81" t="s">
        <v>901</v>
      </c>
      <c r="V81" t="s">
        <v>165</v>
      </c>
      <c r="W81" t="s">
        <v>3</v>
      </c>
      <c r="X81" t="s">
        <v>3</v>
      </c>
      <c r="Y81" t="s">
        <v>366</v>
      </c>
      <c r="Z81" s="4" t="str">
        <f t="shared" si="3"/>
        <v>Y</v>
      </c>
      <c r="AA81" t="s">
        <v>1121</v>
      </c>
      <c r="AB81" t="s">
        <v>1173</v>
      </c>
      <c r="AC81" t="s">
        <v>1101</v>
      </c>
      <c r="AD81" s="15" t="s">
        <v>1100</v>
      </c>
      <c r="AE81" s="15" t="s">
        <v>1157</v>
      </c>
      <c r="AF81" s="15" t="s">
        <v>3</v>
      </c>
      <c r="AG81" t="s">
        <v>1100</v>
      </c>
    </row>
    <row r="82" spans="1:33" x14ac:dyDescent="0.2">
      <c r="A82">
        <v>88</v>
      </c>
      <c r="B82" t="s">
        <v>366</v>
      </c>
      <c r="C82" t="s">
        <v>975</v>
      </c>
      <c r="E82">
        <v>2017</v>
      </c>
      <c r="F82" t="s">
        <v>66</v>
      </c>
      <c r="G82" t="s">
        <v>513</v>
      </c>
      <c r="H82" s="14">
        <v>40</v>
      </c>
      <c r="I82" s="13">
        <v>-71</v>
      </c>
      <c r="J82" s="13">
        <v>1967</v>
      </c>
      <c r="K82" s="13">
        <v>2014</v>
      </c>
      <c r="L82" s="13">
        <f t="shared" si="4"/>
        <v>48</v>
      </c>
      <c r="M82" t="s">
        <v>369</v>
      </c>
      <c r="N82" t="s">
        <v>51</v>
      </c>
      <c r="O82" t="s">
        <v>51</v>
      </c>
      <c r="P82" t="s">
        <v>202</v>
      </c>
      <c r="R82" t="s">
        <v>1102</v>
      </c>
      <c r="S82" s="17" t="s">
        <v>1076</v>
      </c>
      <c r="T82" t="s">
        <v>165</v>
      </c>
      <c r="U82" t="s">
        <v>901</v>
      </c>
      <c r="V82" t="s">
        <v>165</v>
      </c>
      <c r="W82" t="s">
        <v>3</v>
      </c>
      <c r="X82" t="s">
        <v>3</v>
      </c>
      <c r="Y82" t="s">
        <v>366</v>
      </c>
      <c r="Z82" s="4" t="str">
        <f t="shared" si="3"/>
        <v>Y</v>
      </c>
      <c r="AA82" t="s">
        <v>1121</v>
      </c>
      <c r="AB82" t="s">
        <v>1173</v>
      </c>
      <c r="AC82" t="s">
        <v>1101</v>
      </c>
      <c r="AD82" s="15" t="s">
        <v>1100</v>
      </c>
      <c r="AE82" s="15" t="s">
        <v>1157</v>
      </c>
      <c r="AF82" s="15" t="s">
        <v>3</v>
      </c>
      <c r="AG82" t="s">
        <v>1100</v>
      </c>
    </row>
    <row r="83" spans="1:33" x14ac:dyDescent="0.2">
      <c r="A83">
        <v>89</v>
      </c>
      <c r="B83" t="s">
        <v>366</v>
      </c>
      <c r="C83" t="s">
        <v>975</v>
      </c>
      <c r="E83">
        <v>2017</v>
      </c>
      <c r="F83" t="s">
        <v>66</v>
      </c>
      <c r="G83" t="s">
        <v>513</v>
      </c>
      <c r="H83" s="14">
        <v>40</v>
      </c>
      <c r="I83" s="13">
        <v>-71</v>
      </c>
      <c r="J83" s="13">
        <v>1967</v>
      </c>
      <c r="K83" s="13">
        <v>2014</v>
      </c>
      <c r="L83" s="13">
        <f t="shared" si="4"/>
        <v>48</v>
      </c>
      <c r="M83" t="s">
        <v>369</v>
      </c>
      <c r="N83" t="s">
        <v>51</v>
      </c>
      <c r="O83" t="s">
        <v>51</v>
      </c>
      <c r="P83" t="s">
        <v>203</v>
      </c>
      <c r="R83" t="s">
        <v>1102</v>
      </c>
      <c r="S83" s="17" t="s">
        <v>1076</v>
      </c>
      <c r="T83" t="s">
        <v>165</v>
      </c>
      <c r="U83" t="s">
        <v>901</v>
      </c>
      <c r="V83" t="s">
        <v>165</v>
      </c>
      <c r="W83" t="s">
        <v>3</v>
      </c>
      <c r="X83" t="s">
        <v>3</v>
      </c>
      <c r="Y83" t="s">
        <v>366</v>
      </c>
      <c r="Z83" s="4" t="str">
        <f t="shared" si="3"/>
        <v>Y</v>
      </c>
      <c r="AA83" t="s">
        <v>1121</v>
      </c>
      <c r="AB83" t="s">
        <v>1173</v>
      </c>
      <c r="AC83" t="s">
        <v>1101</v>
      </c>
      <c r="AD83" s="15" t="s">
        <v>1100</v>
      </c>
      <c r="AE83" s="15" t="s">
        <v>1157</v>
      </c>
      <c r="AF83" s="15" t="s">
        <v>3</v>
      </c>
      <c r="AG83" t="s">
        <v>1100</v>
      </c>
    </row>
    <row r="84" spans="1:33" x14ac:dyDescent="0.2">
      <c r="A84">
        <v>90</v>
      </c>
      <c r="B84" t="s">
        <v>366</v>
      </c>
      <c r="C84" t="s">
        <v>975</v>
      </c>
      <c r="E84">
        <v>2017</v>
      </c>
      <c r="F84" t="s">
        <v>66</v>
      </c>
      <c r="G84" t="s">
        <v>513</v>
      </c>
      <c r="H84" s="14">
        <v>40</v>
      </c>
      <c r="I84" s="13">
        <v>-71</v>
      </c>
      <c r="J84" s="13">
        <v>1967</v>
      </c>
      <c r="K84" s="13">
        <v>2014</v>
      </c>
      <c r="L84" s="13">
        <f t="shared" si="4"/>
        <v>48</v>
      </c>
      <c r="M84" t="s">
        <v>369</v>
      </c>
      <c r="N84" t="s">
        <v>51</v>
      </c>
      <c r="O84" t="s">
        <v>51</v>
      </c>
      <c r="P84" t="s">
        <v>204</v>
      </c>
      <c r="R84" t="s">
        <v>1102</v>
      </c>
      <c r="S84" s="17" t="s">
        <v>1076</v>
      </c>
      <c r="T84" t="s">
        <v>165</v>
      </c>
      <c r="U84" t="s">
        <v>901</v>
      </c>
      <c r="V84" t="s">
        <v>165</v>
      </c>
      <c r="W84" t="s">
        <v>3</v>
      </c>
      <c r="X84" t="s">
        <v>3</v>
      </c>
      <c r="Y84" t="s">
        <v>366</v>
      </c>
      <c r="Z84" s="4" t="str">
        <f t="shared" si="3"/>
        <v>Y</v>
      </c>
      <c r="AA84" t="s">
        <v>1121</v>
      </c>
      <c r="AB84" t="s">
        <v>1173</v>
      </c>
      <c r="AC84" t="s">
        <v>1101</v>
      </c>
      <c r="AD84" s="15" t="s">
        <v>1100</v>
      </c>
      <c r="AE84" s="15" t="s">
        <v>1157</v>
      </c>
      <c r="AF84" s="15" t="s">
        <v>3</v>
      </c>
      <c r="AG84" t="s">
        <v>1100</v>
      </c>
    </row>
    <row r="85" spans="1:33" x14ac:dyDescent="0.2">
      <c r="A85">
        <v>91</v>
      </c>
      <c r="B85" t="s">
        <v>366</v>
      </c>
      <c r="C85" t="s">
        <v>975</v>
      </c>
      <c r="E85">
        <v>2017</v>
      </c>
      <c r="F85" t="s">
        <v>66</v>
      </c>
      <c r="G85" t="s">
        <v>513</v>
      </c>
      <c r="H85" s="14">
        <v>40</v>
      </c>
      <c r="I85" s="13">
        <v>-71</v>
      </c>
      <c r="J85" s="13">
        <v>1967</v>
      </c>
      <c r="K85" s="13">
        <v>2014</v>
      </c>
      <c r="L85" s="13">
        <f t="shared" si="4"/>
        <v>48</v>
      </c>
      <c r="M85" t="s">
        <v>369</v>
      </c>
      <c r="N85" t="s">
        <v>51</v>
      </c>
      <c r="O85" t="s">
        <v>51</v>
      </c>
      <c r="P85" t="s">
        <v>205</v>
      </c>
      <c r="R85" t="s">
        <v>1102</v>
      </c>
      <c r="S85" s="17" t="s">
        <v>1076</v>
      </c>
      <c r="T85" t="s">
        <v>165</v>
      </c>
      <c r="U85" t="s">
        <v>901</v>
      </c>
      <c r="V85" t="s">
        <v>165</v>
      </c>
      <c r="W85" t="s">
        <v>3</v>
      </c>
      <c r="X85" t="s">
        <v>3</v>
      </c>
      <c r="Y85" t="s">
        <v>366</v>
      </c>
      <c r="Z85" s="4" t="str">
        <f t="shared" si="3"/>
        <v>Y</v>
      </c>
      <c r="AA85" t="s">
        <v>1121</v>
      </c>
      <c r="AB85" t="s">
        <v>1173</v>
      </c>
      <c r="AC85" t="s">
        <v>1101</v>
      </c>
      <c r="AD85" s="15" t="s">
        <v>1100</v>
      </c>
      <c r="AE85" s="15" t="s">
        <v>1157</v>
      </c>
      <c r="AF85" s="15" t="s">
        <v>3</v>
      </c>
      <c r="AG85" t="s">
        <v>1100</v>
      </c>
    </row>
    <row r="86" spans="1:33" x14ac:dyDescent="0.2">
      <c r="A86">
        <v>92</v>
      </c>
      <c r="B86" t="s">
        <v>366</v>
      </c>
      <c r="C86" t="s">
        <v>975</v>
      </c>
      <c r="E86">
        <v>2017</v>
      </c>
      <c r="F86" t="s">
        <v>66</v>
      </c>
      <c r="G86" t="s">
        <v>513</v>
      </c>
      <c r="H86" s="14">
        <v>40</v>
      </c>
      <c r="I86" s="13">
        <v>-71</v>
      </c>
      <c r="J86" s="13">
        <v>1967</v>
      </c>
      <c r="K86" s="13">
        <v>2014</v>
      </c>
      <c r="L86" s="13">
        <f t="shared" si="4"/>
        <v>48</v>
      </c>
      <c r="M86" t="s">
        <v>369</v>
      </c>
      <c r="N86" t="s">
        <v>51</v>
      </c>
      <c r="O86" t="s">
        <v>51</v>
      </c>
      <c r="P86" t="s">
        <v>206</v>
      </c>
      <c r="R86" t="s">
        <v>1102</v>
      </c>
      <c r="S86" s="17" t="s">
        <v>1076</v>
      </c>
      <c r="T86" t="s">
        <v>165</v>
      </c>
      <c r="U86" t="s">
        <v>901</v>
      </c>
      <c r="V86" t="s">
        <v>165</v>
      </c>
      <c r="W86" t="s">
        <v>3</v>
      </c>
      <c r="X86" t="s">
        <v>3</v>
      </c>
      <c r="Y86" t="s">
        <v>366</v>
      </c>
      <c r="Z86" s="4" t="str">
        <f t="shared" si="3"/>
        <v>Y</v>
      </c>
      <c r="AA86" t="s">
        <v>1121</v>
      </c>
      <c r="AB86" t="s">
        <v>1173</v>
      </c>
      <c r="AC86" t="s">
        <v>1101</v>
      </c>
      <c r="AD86" s="15" t="s">
        <v>1100</v>
      </c>
      <c r="AE86" s="15" t="s">
        <v>1157</v>
      </c>
      <c r="AF86" s="15" t="s">
        <v>3</v>
      </c>
      <c r="AG86" t="s">
        <v>1100</v>
      </c>
    </row>
    <row r="87" spans="1:33" x14ac:dyDescent="0.2">
      <c r="A87">
        <v>93</v>
      </c>
      <c r="B87" t="s">
        <v>366</v>
      </c>
      <c r="C87" t="s">
        <v>975</v>
      </c>
      <c r="E87">
        <v>2017</v>
      </c>
      <c r="F87" t="s">
        <v>66</v>
      </c>
      <c r="G87" t="s">
        <v>513</v>
      </c>
      <c r="H87" s="14">
        <v>40</v>
      </c>
      <c r="I87" s="13">
        <v>-71</v>
      </c>
      <c r="J87" s="13">
        <v>1967</v>
      </c>
      <c r="K87" s="13">
        <v>2014</v>
      </c>
      <c r="L87" s="13">
        <f t="shared" si="4"/>
        <v>48</v>
      </c>
      <c r="M87" t="s">
        <v>369</v>
      </c>
      <c r="N87" t="s">
        <v>51</v>
      </c>
      <c r="O87" t="s">
        <v>51</v>
      </c>
      <c r="P87" t="s">
        <v>207</v>
      </c>
      <c r="R87" t="s">
        <v>1102</v>
      </c>
      <c r="S87" s="17" t="s">
        <v>1076</v>
      </c>
      <c r="T87" t="s">
        <v>165</v>
      </c>
      <c r="U87" t="s">
        <v>901</v>
      </c>
      <c r="V87" t="s">
        <v>165</v>
      </c>
      <c r="W87" t="s">
        <v>3</v>
      </c>
      <c r="X87" t="s">
        <v>3</v>
      </c>
      <c r="Y87" t="s">
        <v>366</v>
      </c>
      <c r="Z87" s="4" t="str">
        <f t="shared" si="3"/>
        <v>Y</v>
      </c>
      <c r="AA87" t="s">
        <v>1121</v>
      </c>
      <c r="AB87" t="s">
        <v>1173</v>
      </c>
      <c r="AC87" t="s">
        <v>1101</v>
      </c>
      <c r="AD87" s="15" t="s">
        <v>1100</v>
      </c>
      <c r="AE87" s="15" t="s">
        <v>1157</v>
      </c>
      <c r="AF87" s="15" t="s">
        <v>3</v>
      </c>
      <c r="AG87" t="s">
        <v>1100</v>
      </c>
    </row>
    <row r="88" spans="1:33" x14ac:dyDescent="0.2">
      <c r="A88">
        <v>94</v>
      </c>
      <c r="B88" t="s">
        <v>366</v>
      </c>
      <c r="C88" s="4" t="s">
        <v>974</v>
      </c>
      <c r="D88" s="4"/>
      <c r="E88">
        <v>2010</v>
      </c>
      <c r="F88" t="s">
        <v>67</v>
      </c>
      <c r="G88" t="s">
        <v>513</v>
      </c>
      <c r="H88" s="13">
        <v>45.557000000000002</v>
      </c>
      <c r="I88" s="13">
        <v>-3.1631999999999998</v>
      </c>
      <c r="J88" s="13">
        <v>1967</v>
      </c>
      <c r="K88" s="13">
        <v>2005</v>
      </c>
      <c r="L88" s="13">
        <f t="shared" si="4"/>
        <v>39</v>
      </c>
      <c r="N88" t="s">
        <v>51</v>
      </c>
      <c r="O88" t="s">
        <v>51</v>
      </c>
      <c r="P88" t="s">
        <v>68</v>
      </c>
      <c r="V88">
        <f>-8/(L88/10)</f>
        <v>-2.0512820512820515</v>
      </c>
      <c r="W88" t="s">
        <v>3</v>
      </c>
      <c r="X88" t="s">
        <v>3</v>
      </c>
      <c r="Y88" t="s">
        <v>366</v>
      </c>
      <c r="Z88" s="4" t="str">
        <f t="shared" si="3"/>
        <v>Y</v>
      </c>
      <c r="AC88" t="s">
        <v>301</v>
      </c>
    </row>
    <row r="89" spans="1:33" x14ac:dyDescent="0.2">
      <c r="A89">
        <v>95</v>
      </c>
      <c r="B89" t="s">
        <v>366</v>
      </c>
      <c r="C89" s="4" t="s">
        <v>974</v>
      </c>
      <c r="D89" s="4"/>
      <c r="E89">
        <v>2010</v>
      </c>
      <c r="F89" t="s">
        <v>67</v>
      </c>
      <c r="G89" t="s">
        <v>513</v>
      </c>
      <c r="H89" s="13">
        <v>45.557000000000002</v>
      </c>
      <c r="I89" s="13">
        <v>-3.1631999999999998</v>
      </c>
      <c r="J89" s="13">
        <v>1981</v>
      </c>
      <c r="K89" s="13">
        <v>2005</v>
      </c>
      <c r="L89" s="13">
        <f t="shared" si="4"/>
        <v>25</v>
      </c>
      <c r="N89" t="s">
        <v>51</v>
      </c>
      <c r="O89" t="s">
        <v>51</v>
      </c>
      <c r="P89" t="s">
        <v>69</v>
      </c>
      <c r="V89">
        <f>-14/(L89/10)</f>
        <v>-5.6</v>
      </c>
      <c r="W89" t="s">
        <v>3</v>
      </c>
      <c r="X89" t="s">
        <v>3</v>
      </c>
      <c r="Y89" t="s">
        <v>366</v>
      </c>
      <c r="Z89" s="4" t="str">
        <f t="shared" si="3"/>
        <v>Y</v>
      </c>
      <c r="AC89" t="s">
        <v>301</v>
      </c>
    </row>
    <row r="90" spans="1:33" s="24" customFormat="1" x14ac:dyDescent="0.2">
      <c r="A90" s="24">
        <v>96</v>
      </c>
      <c r="B90" s="24" t="s">
        <v>366</v>
      </c>
      <c r="C90" s="24" t="s">
        <v>70</v>
      </c>
      <c r="E90" s="24">
        <v>2015</v>
      </c>
      <c r="F90" s="24" t="s">
        <v>71</v>
      </c>
      <c r="G90" s="24" t="s">
        <v>513</v>
      </c>
      <c r="H90" s="25">
        <v>34</v>
      </c>
      <c r="I90" s="26">
        <v>-122</v>
      </c>
      <c r="J90" s="26">
        <v>1951</v>
      </c>
      <c r="K90" s="26">
        <v>2008</v>
      </c>
      <c r="L90" s="26">
        <f t="shared" si="4"/>
        <v>58</v>
      </c>
      <c r="M90" s="24" t="s">
        <v>369</v>
      </c>
      <c r="N90" s="24" t="s">
        <v>538</v>
      </c>
      <c r="O90" s="24" t="s">
        <v>424</v>
      </c>
      <c r="P90" s="24" t="s">
        <v>51</v>
      </c>
      <c r="Q90" s="24" t="s">
        <v>208</v>
      </c>
      <c r="R90" s="27" t="s">
        <v>849</v>
      </c>
      <c r="S90" s="27" t="s">
        <v>1076</v>
      </c>
      <c r="T90" s="24">
        <v>74</v>
      </c>
      <c r="U90" s="33" t="s">
        <v>901</v>
      </c>
      <c r="V90" s="24">
        <v>-3</v>
      </c>
      <c r="W90" s="24" t="s">
        <v>3</v>
      </c>
      <c r="X90" s="24" t="s">
        <v>3</v>
      </c>
      <c r="Y90" s="24" t="s">
        <v>366</v>
      </c>
      <c r="Z90" s="4" t="str">
        <f t="shared" si="3"/>
        <v>Y</v>
      </c>
      <c r="AA90" s="24" t="s">
        <v>1190</v>
      </c>
      <c r="AB90" s="24" t="s">
        <v>1191</v>
      </c>
      <c r="AC90" s="24" t="s">
        <v>251</v>
      </c>
      <c r="AD90" s="24" t="s">
        <v>1100</v>
      </c>
      <c r="AE90" s="28" t="s">
        <v>1153</v>
      </c>
      <c r="AF90" s="28" t="s">
        <v>3</v>
      </c>
      <c r="AG90" s="24" t="s">
        <v>1100</v>
      </c>
    </row>
    <row r="91" spans="1:33" s="24" customFormat="1" x14ac:dyDescent="0.2">
      <c r="A91" s="24">
        <v>97</v>
      </c>
      <c r="B91" s="24" t="s">
        <v>366</v>
      </c>
      <c r="C91" s="24" t="s">
        <v>252</v>
      </c>
      <c r="E91" s="24">
        <v>2015</v>
      </c>
      <c r="F91" s="24" t="s">
        <v>71</v>
      </c>
      <c r="G91" s="24" t="s">
        <v>513</v>
      </c>
      <c r="H91" s="25">
        <v>34</v>
      </c>
      <c r="I91" s="26">
        <v>-122</v>
      </c>
      <c r="J91" s="26">
        <v>1951</v>
      </c>
      <c r="K91" s="26">
        <v>2008</v>
      </c>
      <c r="L91" s="26">
        <f t="shared" si="4"/>
        <v>58</v>
      </c>
      <c r="M91" s="24" t="s">
        <v>369</v>
      </c>
      <c r="N91" s="24" t="s">
        <v>538</v>
      </c>
      <c r="O91" s="24" t="s">
        <v>424</v>
      </c>
      <c r="P91" s="24" t="s">
        <v>51</v>
      </c>
      <c r="Q91" s="24" t="s">
        <v>209</v>
      </c>
      <c r="R91" s="27" t="s">
        <v>849</v>
      </c>
      <c r="S91" s="27" t="s">
        <v>1076</v>
      </c>
      <c r="T91" s="24">
        <v>105</v>
      </c>
      <c r="U91" s="33" t="s">
        <v>901</v>
      </c>
      <c r="V91" s="24">
        <v>-11.1</v>
      </c>
      <c r="W91" s="24" t="s">
        <v>3</v>
      </c>
      <c r="X91" s="24" t="s">
        <v>3</v>
      </c>
      <c r="Y91" s="24" t="s">
        <v>366</v>
      </c>
      <c r="Z91" s="4" t="str">
        <f t="shared" si="3"/>
        <v>Y</v>
      </c>
      <c r="AA91" s="24" t="s">
        <v>1190</v>
      </c>
      <c r="AB91" s="24" t="s">
        <v>1191</v>
      </c>
      <c r="AC91" s="24" t="s">
        <v>251</v>
      </c>
      <c r="AD91" s="24" t="s">
        <v>1100</v>
      </c>
      <c r="AE91" s="28" t="s">
        <v>1153</v>
      </c>
      <c r="AF91" s="28" t="s">
        <v>3</v>
      </c>
      <c r="AG91" s="24" t="s">
        <v>1100</v>
      </c>
    </row>
    <row r="92" spans="1:33" s="24" customFormat="1" x14ac:dyDescent="0.2">
      <c r="A92" s="24">
        <v>98</v>
      </c>
      <c r="B92" s="24" t="s">
        <v>366</v>
      </c>
      <c r="C92" s="24" t="s">
        <v>253</v>
      </c>
      <c r="E92" s="24">
        <v>2015</v>
      </c>
      <c r="F92" s="24" t="s">
        <v>71</v>
      </c>
      <c r="G92" s="24" t="s">
        <v>513</v>
      </c>
      <c r="H92" s="25">
        <v>34</v>
      </c>
      <c r="I92" s="26">
        <v>-122</v>
      </c>
      <c r="J92" s="26">
        <v>1951</v>
      </c>
      <c r="K92" s="26">
        <v>2008</v>
      </c>
      <c r="L92" s="26">
        <f t="shared" si="4"/>
        <v>58</v>
      </c>
      <c r="M92" s="24" t="s">
        <v>369</v>
      </c>
      <c r="N92" s="24" t="s">
        <v>538</v>
      </c>
      <c r="O92" s="24" t="s">
        <v>424</v>
      </c>
      <c r="P92" s="24" t="s">
        <v>51</v>
      </c>
      <c r="Q92" s="24" t="s">
        <v>210</v>
      </c>
      <c r="R92" s="27" t="s">
        <v>849</v>
      </c>
      <c r="S92" s="27" t="s">
        <v>1076</v>
      </c>
      <c r="T92" s="24">
        <v>74</v>
      </c>
      <c r="U92" s="33" t="s">
        <v>901</v>
      </c>
      <c r="V92" s="24">
        <v>2</v>
      </c>
      <c r="W92" s="29" t="s">
        <v>24</v>
      </c>
      <c r="X92" s="29" t="s">
        <v>3</v>
      </c>
      <c r="Y92" s="24" t="s">
        <v>366</v>
      </c>
      <c r="Z92" s="4" t="str">
        <f t="shared" si="3"/>
        <v>Y</v>
      </c>
      <c r="AA92" s="24" t="s">
        <v>1190</v>
      </c>
      <c r="AB92" s="24" t="s">
        <v>1191</v>
      </c>
      <c r="AC92" s="29" t="s">
        <v>251</v>
      </c>
      <c r="AD92" s="24" t="s">
        <v>1100</v>
      </c>
      <c r="AE92" s="28" t="s">
        <v>1153</v>
      </c>
      <c r="AF92" s="28" t="s">
        <v>3</v>
      </c>
      <c r="AG92" s="24" t="s">
        <v>1100</v>
      </c>
    </row>
    <row r="93" spans="1:33" s="24" customFormat="1" x14ac:dyDescent="0.2">
      <c r="A93" s="24">
        <v>99</v>
      </c>
      <c r="B93" s="24" t="s">
        <v>366</v>
      </c>
      <c r="C93" s="24" t="s">
        <v>254</v>
      </c>
      <c r="E93" s="24">
        <v>2015</v>
      </c>
      <c r="F93" s="24" t="s">
        <v>71</v>
      </c>
      <c r="G93" s="24" t="s">
        <v>513</v>
      </c>
      <c r="H93" s="25">
        <v>34</v>
      </c>
      <c r="I93" s="26">
        <v>-122</v>
      </c>
      <c r="J93" s="26">
        <v>1951</v>
      </c>
      <c r="K93" s="26">
        <v>2008</v>
      </c>
      <c r="L93" s="26">
        <f t="shared" si="4"/>
        <v>58</v>
      </c>
      <c r="M93" s="24" t="s">
        <v>369</v>
      </c>
      <c r="N93" s="24" t="s">
        <v>538</v>
      </c>
      <c r="O93" s="24" t="s">
        <v>424</v>
      </c>
      <c r="P93" s="24" t="s">
        <v>51</v>
      </c>
      <c r="Q93" s="24" t="s">
        <v>211</v>
      </c>
      <c r="R93" s="27" t="s">
        <v>849</v>
      </c>
      <c r="S93" s="27" t="s">
        <v>1076</v>
      </c>
      <c r="T93" s="24">
        <v>74</v>
      </c>
      <c r="U93" s="33" t="s">
        <v>901</v>
      </c>
      <c r="V93" s="24">
        <v>4.5999999999999996</v>
      </c>
      <c r="W93" s="29" t="s">
        <v>24</v>
      </c>
      <c r="X93" s="24" t="s">
        <v>3</v>
      </c>
      <c r="Y93" s="24" t="s">
        <v>366</v>
      </c>
      <c r="Z93" s="4" t="str">
        <f t="shared" si="3"/>
        <v>Y</v>
      </c>
      <c r="AA93" s="24" t="s">
        <v>1190</v>
      </c>
      <c r="AB93" s="24" t="s">
        <v>1191</v>
      </c>
      <c r="AC93" s="24" t="s">
        <v>251</v>
      </c>
      <c r="AD93" s="24" t="s">
        <v>1100</v>
      </c>
      <c r="AE93" s="28" t="s">
        <v>1153</v>
      </c>
      <c r="AF93" s="28" t="s">
        <v>3</v>
      </c>
      <c r="AG93" s="24" t="s">
        <v>1100</v>
      </c>
    </row>
    <row r="94" spans="1:33" s="24" customFormat="1" x14ac:dyDescent="0.2">
      <c r="A94" s="24">
        <v>100</v>
      </c>
      <c r="B94" s="24" t="s">
        <v>366</v>
      </c>
      <c r="C94" s="24" t="s">
        <v>255</v>
      </c>
      <c r="E94" s="24">
        <v>2015</v>
      </c>
      <c r="F94" s="24" t="s">
        <v>71</v>
      </c>
      <c r="G94" s="24" t="s">
        <v>513</v>
      </c>
      <c r="H94" s="25">
        <v>34</v>
      </c>
      <c r="I94" s="26">
        <v>-122</v>
      </c>
      <c r="J94" s="26">
        <v>1951</v>
      </c>
      <c r="K94" s="26">
        <v>2008</v>
      </c>
      <c r="L94" s="26">
        <f t="shared" si="4"/>
        <v>58</v>
      </c>
      <c r="M94" s="24" t="s">
        <v>369</v>
      </c>
      <c r="N94" s="24" t="s">
        <v>538</v>
      </c>
      <c r="O94" s="24" t="s">
        <v>424</v>
      </c>
      <c r="P94" s="24" t="s">
        <v>51</v>
      </c>
      <c r="Q94" s="24" t="s">
        <v>212</v>
      </c>
      <c r="R94" s="27" t="s">
        <v>849</v>
      </c>
      <c r="S94" s="27" t="s">
        <v>1076</v>
      </c>
      <c r="T94" s="24">
        <v>196</v>
      </c>
      <c r="U94" s="33" t="s">
        <v>1068</v>
      </c>
      <c r="V94" s="24">
        <v>4.4000000000000004</v>
      </c>
      <c r="W94" s="29" t="s">
        <v>24</v>
      </c>
      <c r="X94" s="24" t="s">
        <v>3</v>
      </c>
      <c r="Y94" s="24" t="s">
        <v>366</v>
      </c>
      <c r="Z94" s="4" t="str">
        <f t="shared" si="3"/>
        <v>Y</v>
      </c>
      <c r="AA94" s="24" t="s">
        <v>1190</v>
      </c>
      <c r="AB94" s="24" t="s">
        <v>1191</v>
      </c>
      <c r="AC94" s="24" t="s">
        <v>251</v>
      </c>
      <c r="AD94" s="24" t="s">
        <v>1100</v>
      </c>
      <c r="AE94" s="28" t="s">
        <v>1153</v>
      </c>
      <c r="AF94" s="28" t="s">
        <v>3</v>
      </c>
      <c r="AG94" s="24" t="s">
        <v>1100</v>
      </c>
    </row>
    <row r="95" spans="1:33" s="24" customFormat="1" x14ac:dyDescent="0.2">
      <c r="A95" s="24">
        <v>101</v>
      </c>
      <c r="B95" s="24" t="s">
        <v>366</v>
      </c>
      <c r="C95" s="24" t="s">
        <v>256</v>
      </c>
      <c r="E95" s="24">
        <v>2015</v>
      </c>
      <c r="F95" s="24" t="s">
        <v>71</v>
      </c>
      <c r="G95" s="24" t="s">
        <v>513</v>
      </c>
      <c r="H95" s="25">
        <v>34</v>
      </c>
      <c r="I95" s="26">
        <v>-122</v>
      </c>
      <c r="J95" s="26">
        <v>1951</v>
      </c>
      <c r="K95" s="26">
        <v>2008</v>
      </c>
      <c r="L95" s="26">
        <f t="shared" si="4"/>
        <v>58</v>
      </c>
      <c r="M95" s="24" t="s">
        <v>369</v>
      </c>
      <c r="N95" s="24" t="s">
        <v>538</v>
      </c>
      <c r="O95" s="24" t="s">
        <v>424</v>
      </c>
      <c r="P95" s="24" t="s">
        <v>51</v>
      </c>
      <c r="Q95" s="24" t="s">
        <v>213</v>
      </c>
      <c r="R95" s="27" t="s">
        <v>849</v>
      </c>
      <c r="S95" s="27" t="s">
        <v>1076</v>
      </c>
      <c r="T95" s="24">
        <v>74</v>
      </c>
      <c r="U95" s="33" t="s">
        <v>901</v>
      </c>
      <c r="V95" s="24">
        <v>1.2</v>
      </c>
      <c r="W95" s="29" t="s">
        <v>24</v>
      </c>
      <c r="X95" s="24" t="s">
        <v>3</v>
      </c>
      <c r="Y95" s="24" t="s">
        <v>366</v>
      </c>
      <c r="Z95" s="4" t="str">
        <f t="shared" si="3"/>
        <v>Y</v>
      </c>
      <c r="AA95" s="24" t="s">
        <v>1190</v>
      </c>
      <c r="AB95" s="24" t="s">
        <v>1191</v>
      </c>
      <c r="AC95" s="24" t="s">
        <v>251</v>
      </c>
      <c r="AD95" s="24" t="s">
        <v>1100</v>
      </c>
      <c r="AE95" s="28" t="s">
        <v>1153</v>
      </c>
      <c r="AF95" s="28" t="s">
        <v>3</v>
      </c>
      <c r="AG95" s="24" t="s">
        <v>1100</v>
      </c>
    </row>
    <row r="96" spans="1:33" s="24" customFormat="1" x14ac:dyDescent="0.2">
      <c r="A96" s="24">
        <v>102</v>
      </c>
      <c r="B96" s="24" t="s">
        <v>366</v>
      </c>
      <c r="C96" s="24" t="s">
        <v>257</v>
      </c>
      <c r="E96" s="24">
        <v>2015</v>
      </c>
      <c r="F96" s="24" t="s">
        <v>71</v>
      </c>
      <c r="G96" s="24" t="s">
        <v>513</v>
      </c>
      <c r="H96" s="25">
        <v>34</v>
      </c>
      <c r="I96" s="26">
        <v>-122</v>
      </c>
      <c r="J96" s="26">
        <v>1951</v>
      </c>
      <c r="K96" s="26">
        <v>2008</v>
      </c>
      <c r="L96" s="26">
        <f t="shared" si="4"/>
        <v>58</v>
      </c>
      <c r="M96" s="24" t="s">
        <v>369</v>
      </c>
      <c r="N96" s="24" t="s">
        <v>538</v>
      </c>
      <c r="O96" s="24" t="s">
        <v>424</v>
      </c>
      <c r="P96" s="24" t="s">
        <v>51</v>
      </c>
      <c r="Q96" s="24" t="s">
        <v>214</v>
      </c>
      <c r="R96" s="27" t="s">
        <v>849</v>
      </c>
      <c r="S96" s="27" t="s">
        <v>1076</v>
      </c>
      <c r="T96" s="24">
        <v>74</v>
      </c>
      <c r="U96" s="33" t="s">
        <v>901</v>
      </c>
      <c r="V96" s="24">
        <v>-3.2</v>
      </c>
      <c r="W96" s="24" t="s">
        <v>3</v>
      </c>
      <c r="X96" s="24" t="s">
        <v>3</v>
      </c>
      <c r="Y96" s="24" t="s">
        <v>366</v>
      </c>
      <c r="Z96" s="4" t="str">
        <f t="shared" si="3"/>
        <v>Y</v>
      </c>
      <c r="AA96" s="24" t="s">
        <v>1190</v>
      </c>
      <c r="AB96" s="24" t="s">
        <v>1191</v>
      </c>
      <c r="AC96" s="24" t="s">
        <v>251</v>
      </c>
      <c r="AD96" s="24" t="s">
        <v>1100</v>
      </c>
      <c r="AE96" s="28" t="s">
        <v>1153</v>
      </c>
      <c r="AF96" s="28" t="s">
        <v>3</v>
      </c>
      <c r="AG96" s="24" t="s">
        <v>1100</v>
      </c>
    </row>
    <row r="97" spans="1:33" s="24" customFormat="1" x14ac:dyDescent="0.2">
      <c r="A97" s="24">
        <v>103</v>
      </c>
      <c r="B97" s="24" t="s">
        <v>366</v>
      </c>
      <c r="C97" s="24" t="s">
        <v>258</v>
      </c>
      <c r="E97" s="24">
        <v>2015</v>
      </c>
      <c r="F97" s="24" t="s">
        <v>71</v>
      </c>
      <c r="G97" s="24" t="s">
        <v>513</v>
      </c>
      <c r="H97" s="25">
        <v>34</v>
      </c>
      <c r="I97" s="26">
        <v>-122</v>
      </c>
      <c r="J97" s="26">
        <v>1951</v>
      </c>
      <c r="K97" s="26">
        <v>2008</v>
      </c>
      <c r="L97" s="26">
        <f t="shared" si="4"/>
        <v>58</v>
      </c>
      <c r="M97" s="24" t="s">
        <v>369</v>
      </c>
      <c r="N97" s="24" t="s">
        <v>538</v>
      </c>
      <c r="O97" s="24" t="s">
        <v>424</v>
      </c>
      <c r="P97" s="24" t="s">
        <v>51</v>
      </c>
      <c r="Q97" s="24" t="s">
        <v>243</v>
      </c>
      <c r="R97" s="27" t="s">
        <v>849</v>
      </c>
      <c r="S97" s="27" t="s">
        <v>1076</v>
      </c>
      <c r="T97" s="24">
        <v>74</v>
      </c>
      <c r="U97" s="33" t="s">
        <v>901</v>
      </c>
      <c r="V97" s="24">
        <v>-1.7</v>
      </c>
      <c r="W97" s="24" t="s">
        <v>3</v>
      </c>
      <c r="X97" s="24" t="s">
        <v>3</v>
      </c>
      <c r="Y97" s="24" t="s">
        <v>366</v>
      </c>
      <c r="Z97" s="4" t="str">
        <f t="shared" si="3"/>
        <v>Y</v>
      </c>
      <c r="AA97" s="24" t="s">
        <v>1190</v>
      </c>
      <c r="AB97" s="24" t="s">
        <v>1191</v>
      </c>
      <c r="AC97" s="24" t="s">
        <v>251</v>
      </c>
      <c r="AD97" s="24" t="s">
        <v>1100</v>
      </c>
      <c r="AE97" s="28" t="s">
        <v>1153</v>
      </c>
      <c r="AF97" s="28" t="s">
        <v>3</v>
      </c>
      <c r="AG97" s="24" t="s">
        <v>1100</v>
      </c>
    </row>
    <row r="98" spans="1:33" s="24" customFormat="1" x14ac:dyDescent="0.2">
      <c r="A98" s="24">
        <v>104</v>
      </c>
      <c r="B98" s="24" t="s">
        <v>366</v>
      </c>
      <c r="C98" s="24" t="s">
        <v>259</v>
      </c>
      <c r="E98" s="24">
        <v>2015</v>
      </c>
      <c r="F98" s="24" t="s">
        <v>71</v>
      </c>
      <c r="G98" s="24" t="s">
        <v>513</v>
      </c>
      <c r="H98" s="25">
        <v>34</v>
      </c>
      <c r="I98" s="26">
        <v>-122</v>
      </c>
      <c r="J98" s="26">
        <v>1951</v>
      </c>
      <c r="K98" s="26">
        <v>2008</v>
      </c>
      <c r="L98" s="26">
        <f t="shared" si="4"/>
        <v>58</v>
      </c>
      <c r="M98" s="24" t="s">
        <v>369</v>
      </c>
      <c r="N98" s="24" t="s">
        <v>538</v>
      </c>
      <c r="O98" s="24" t="s">
        <v>424</v>
      </c>
      <c r="P98" s="24" t="s">
        <v>51</v>
      </c>
      <c r="Q98" s="24" t="s">
        <v>244</v>
      </c>
      <c r="R98" s="27" t="s">
        <v>849</v>
      </c>
      <c r="S98" s="27" t="s">
        <v>1076</v>
      </c>
      <c r="T98" s="24">
        <v>74</v>
      </c>
      <c r="U98" s="33" t="s">
        <v>901</v>
      </c>
      <c r="V98" s="24">
        <v>-3.8</v>
      </c>
      <c r="W98" s="24" t="s">
        <v>3</v>
      </c>
      <c r="X98" s="24" t="s">
        <v>3</v>
      </c>
      <c r="Y98" s="24" t="s">
        <v>366</v>
      </c>
      <c r="Z98" s="4" t="str">
        <f t="shared" si="3"/>
        <v>Y</v>
      </c>
      <c r="AA98" s="24" t="s">
        <v>1190</v>
      </c>
      <c r="AB98" s="24" t="s">
        <v>1191</v>
      </c>
      <c r="AC98" s="24" t="s">
        <v>251</v>
      </c>
      <c r="AD98" s="24" t="s">
        <v>1100</v>
      </c>
      <c r="AE98" s="28" t="s">
        <v>1153</v>
      </c>
      <c r="AF98" s="28" t="s">
        <v>3</v>
      </c>
      <c r="AG98" s="24" t="s">
        <v>1100</v>
      </c>
    </row>
    <row r="99" spans="1:33" s="24" customFormat="1" x14ac:dyDescent="0.2">
      <c r="A99" s="24">
        <v>105</v>
      </c>
      <c r="B99" s="24" t="s">
        <v>366</v>
      </c>
      <c r="C99" s="24" t="s">
        <v>260</v>
      </c>
      <c r="E99" s="24">
        <v>2015</v>
      </c>
      <c r="F99" s="24" t="s">
        <v>71</v>
      </c>
      <c r="G99" s="24" t="s">
        <v>513</v>
      </c>
      <c r="H99" s="25">
        <v>34</v>
      </c>
      <c r="I99" s="26">
        <v>-122</v>
      </c>
      <c r="J99" s="26">
        <v>1951</v>
      </c>
      <c r="K99" s="26">
        <v>2008</v>
      </c>
      <c r="L99" s="26">
        <f t="shared" si="4"/>
        <v>58</v>
      </c>
      <c r="M99" s="24" t="s">
        <v>369</v>
      </c>
      <c r="N99" s="24" t="s">
        <v>538</v>
      </c>
      <c r="O99" s="24" t="s">
        <v>424</v>
      </c>
      <c r="P99" s="24" t="s">
        <v>51</v>
      </c>
      <c r="Q99" s="24" t="s">
        <v>215</v>
      </c>
      <c r="R99" s="27" t="s">
        <v>849</v>
      </c>
      <c r="S99" s="27" t="s">
        <v>1076</v>
      </c>
      <c r="T99" s="24">
        <v>319</v>
      </c>
      <c r="U99" s="33" t="s">
        <v>900</v>
      </c>
      <c r="V99" s="24">
        <v>-9.3000000000000007</v>
      </c>
      <c r="W99" s="24" t="s">
        <v>3</v>
      </c>
      <c r="X99" s="24" t="s">
        <v>3</v>
      </c>
      <c r="Y99" s="24" t="s">
        <v>366</v>
      </c>
      <c r="Z99" s="4" t="str">
        <f t="shared" si="3"/>
        <v>Y</v>
      </c>
      <c r="AA99" s="24" t="s">
        <v>1190</v>
      </c>
      <c r="AB99" s="24" t="s">
        <v>1191</v>
      </c>
      <c r="AC99" s="24" t="s">
        <v>251</v>
      </c>
      <c r="AD99" s="24" t="s">
        <v>1100</v>
      </c>
      <c r="AE99" s="28" t="s">
        <v>1153</v>
      </c>
      <c r="AF99" s="28" t="s">
        <v>3</v>
      </c>
      <c r="AG99" s="24" t="s">
        <v>1100</v>
      </c>
    </row>
    <row r="100" spans="1:33" s="24" customFormat="1" x14ac:dyDescent="0.2">
      <c r="A100" s="24">
        <v>106</v>
      </c>
      <c r="B100" s="24" t="s">
        <v>366</v>
      </c>
      <c r="C100" s="24" t="s">
        <v>261</v>
      </c>
      <c r="E100" s="24">
        <v>2015</v>
      </c>
      <c r="F100" s="24" t="s">
        <v>71</v>
      </c>
      <c r="G100" s="24" t="s">
        <v>513</v>
      </c>
      <c r="H100" s="25">
        <v>34</v>
      </c>
      <c r="I100" s="26">
        <v>-122</v>
      </c>
      <c r="J100" s="26">
        <v>1951</v>
      </c>
      <c r="K100" s="26">
        <v>2008</v>
      </c>
      <c r="L100" s="26">
        <f t="shared" si="4"/>
        <v>58</v>
      </c>
      <c r="M100" s="24" t="s">
        <v>369</v>
      </c>
      <c r="N100" s="24" t="s">
        <v>538</v>
      </c>
      <c r="O100" s="24" t="s">
        <v>424</v>
      </c>
      <c r="P100" s="24" t="s">
        <v>51</v>
      </c>
      <c r="Q100" s="24" t="s">
        <v>216</v>
      </c>
      <c r="R100" s="27" t="s">
        <v>849</v>
      </c>
      <c r="S100" s="27" t="s">
        <v>1076</v>
      </c>
      <c r="T100" s="24">
        <v>227</v>
      </c>
      <c r="U100" s="33" t="s">
        <v>1068</v>
      </c>
      <c r="V100" s="24">
        <v>-5.6</v>
      </c>
      <c r="W100" s="24" t="s">
        <v>3</v>
      </c>
      <c r="X100" s="24" t="s">
        <v>3</v>
      </c>
      <c r="Y100" s="24" t="s">
        <v>366</v>
      </c>
      <c r="Z100" s="4" t="str">
        <f t="shared" si="3"/>
        <v>Y</v>
      </c>
      <c r="AA100" s="24" t="s">
        <v>1190</v>
      </c>
      <c r="AB100" s="24" t="s">
        <v>1191</v>
      </c>
      <c r="AC100" s="24" t="s">
        <v>251</v>
      </c>
      <c r="AD100" s="24" t="s">
        <v>1100</v>
      </c>
      <c r="AE100" s="28" t="s">
        <v>1153</v>
      </c>
      <c r="AF100" s="28" t="s">
        <v>3</v>
      </c>
      <c r="AG100" s="24" t="s">
        <v>1100</v>
      </c>
    </row>
    <row r="101" spans="1:33" s="24" customFormat="1" x14ac:dyDescent="0.2">
      <c r="A101" s="24">
        <v>107</v>
      </c>
      <c r="B101" s="24" t="s">
        <v>366</v>
      </c>
      <c r="C101" s="24" t="s">
        <v>262</v>
      </c>
      <c r="E101" s="24">
        <v>2015</v>
      </c>
      <c r="F101" s="24" t="s">
        <v>71</v>
      </c>
      <c r="G101" s="24" t="s">
        <v>513</v>
      </c>
      <c r="H101" s="25">
        <v>34</v>
      </c>
      <c r="I101" s="26">
        <v>-122</v>
      </c>
      <c r="J101" s="26">
        <v>1951</v>
      </c>
      <c r="K101" s="26">
        <v>2008</v>
      </c>
      <c r="L101" s="26">
        <f t="shared" si="4"/>
        <v>58</v>
      </c>
      <c r="M101" s="24" t="s">
        <v>369</v>
      </c>
      <c r="N101" s="24" t="s">
        <v>538</v>
      </c>
      <c r="O101" s="24" t="s">
        <v>424</v>
      </c>
      <c r="P101" s="24" t="s">
        <v>51</v>
      </c>
      <c r="Q101" s="24" t="s">
        <v>217</v>
      </c>
      <c r="R101" s="27" t="s">
        <v>849</v>
      </c>
      <c r="S101" s="27" t="s">
        <v>1076</v>
      </c>
      <c r="T101" s="24">
        <v>227</v>
      </c>
      <c r="U101" s="33" t="s">
        <v>1068</v>
      </c>
      <c r="V101" s="24">
        <v>-0.6</v>
      </c>
      <c r="W101" s="24" t="s">
        <v>3</v>
      </c>
      <c r="X101" s="24" t="s">
        <v>3</v>
      </c>
      <c r="Y101" s="24" t="s">
        <v>366</v>
      </c>
      <c r="Z101" s="4" t="str">
        <f t="shared" si="3"/>
        <v>Y</v>
      </c>
      <c r="AA101" s="24" t="s">
        <v>1190</v>
      </c>
      <c r="AB101" s="24" t="s">
        <v>1191</v>
      </c>
      <c r="AC101" s="24" t="s">
        <v>251</v>
      </c>
      <c r="AD101" s="24" t="s">
        <v>1100</v>
      </c>
      <c r="AE101" s="28" t="s">
        <v>1153</v>
      </c>
      <c r="AF101" s="28" t="s">
        <v>3</v>
      </c>
      <c r="AG101" s="24" t="s">
        <v>1100</v>
      </c>
    </row>
    <row r="102" spans="1:33" s="24" customFormat="1" x14ac:dyDescent="0.2">
      <c r="A102" s="24">
        <v>108</v>
      </c>
      <c r="B102" s="24" t="s">
        <v>366</v>
      </c>
      <c r="C102" s="24" t="s">
        <v>263</v>
      </c>
      <c r="E102" s="24">
        <v>2015</v>
      </c>
      <c r="F102" s="24" t="s">
        <v>71</v>
      </c>
      <c r="G102" s="24" t="s">
        <v>513</v>
      </c>
      <c r="H102" s="25">
        <v>34</v>
      </c>
      <c r="I102" s="26">
        <v>-122</v>
      </c>
      <c r="J102" s="26">
        <v>1951</v>
      </c>
      <c r="K102" s="26">
        <v>2008</v>
      </c>
      <c r="L102" s="26">
        <f t="shared" si="4"/>
        <v>58</v>
      </c>
      <c r="M102" s="24" t="s">
        <v>369</v>
      </c>
      <c r="N102" s="24" t="s">
        <v>538</v>
      </c>
      <c r="O102" s="24" t="s">
        <v>424</v>
      </c>
      <c r="P102" s="24" t="s">
        <v>51</v>
      </c>
      <c r="Q102" s="24" t="s">
        <v>218</v>
      </c>
      <c r="R102" s="27" t="s">
        <v>849</v>
      </c>
      <c r="S102" s="27" t="s">
        <v>1076</v>
      </c>
      <c r="T102" s="24">
        <v>227</v>
      </c>
      <c r="U102" s="33" t="s">
        <v>1068</v>
      </c>
      <c r="V102" s="24">
        <v>-3</v>
      </c>
      <c r="W102" s="24" t="s">
        <v>3</v>
      </c>
      <c r="X102" s="24" t="s">
        <v>3</v>
      </c>
      <c r="Y102" s="24" t="s">
        <v>366</v>
      </c>
      <c r="Z102" s="4" t="str">
        <f t="shared" si="3"/>
        <v>Y</v>
      </c>
      <c r="AA102" s="24" t="s">
        <v>1190</v>
      </c>
      <c r="AB102" s="24" t="s">
        <v>1191</v>
      </c>
      <c r="AC102" s="24" t="s">
        <v>251</v>
      </c>
      <c r="AD102" s="24" t="s">
        <v>1100</v>
      </c>
      <c r="AE102" s="28" t="s">
        <v>1153</v>
      </c>
      <c r="AF102" s="28" t="s">
        <v>3</v>
      </c>
      <c r="AG102" s="24" t="s">
        <v>1100</v>
      </c>
    </row>
    <row r="103" spans="1:33" s="24" customFormat="1" x14ac:dyDescent="0.2">
      <c r="A103" s="24">
        <v>109</v>
      </c>
      <c r="B103" s="24" t="s">
        <v>366</v>
      </c>
      <c r="C103" s="24" t="s">
        <v>264</v>
      </c>
      <c r="E103" s="24">
        <v>2015</v>
      </c>
      <c r="F103" s="24" t="s">
        <v>71</v>
      </c>
      <c r="G103" s="24" t="s">
        <v>513</v>
      </c>
      <c r="H103" s="25">
        <v>34</v>
      </c>
      <c r="I103" s="26">
        <v>-122</v>
      </c>
      <c r="J103" s="26">
        <v>1951</v>
      </c>
      <c r="K103" s="26">
        <v>2008</v>
      </c>
      <c r="L103" s="26">
        <f t="shared" si="4"/>
        <v>58</v>
      </c>
      <c r="M103" s="24" t="s">
        <v>369</v>
      </c>
      <c r="N103" s="24" t="s">
        <v>538</v>
      </c>
      <c r="O103" s="24" t="s">
        <v>424</v>
      </c>
      <c r="P103" s="24" t="s">
        <v>51</v>
      </c>
      <c r="Q103" s="24" t="s">
        <v>219</v>
      </c>
      <c r="R103" s="27" t="s">
        <v>849</v>
      </c>
      <c r="S103" s="27" t="s">
        <v>1076</v>
      </c>
      <c r="T103" s="24">
        <v>74</v>
      </c>
      <c r="U103" s="33" t="s">
        <v>901</v>
      </c>
      <c r="V103" s="24">
        <v>1.2</v>
      </c>
      <c r="W103" s="29" t="s">
        <v>24</v>
      </c>
      <c r="X103" s="24" t="s">
        <v>3</v>
      </c>
      <c r="Y103" s="24" t="s">
        <v>366</v>
      </c>
      <c r="Z103" s="4" t="str">
        <f t="shared" si="3"/>
        <v>Y</v>
      </c>
      <c r="AA103" s="24" t="s">
        <v>1190</v>
      </c>
      <c r="AB103" s="24" t="s">
        <v>1191</v>
      </c>
      <c r="AC103" s="24" t="s">
        <v>251</v>
      </c>
      <c r="AD103" s="24" t="s">
        <v>1100</v>
      </c>
      <c r="AE103" s="28" t="s">
        <v>1153</v>
      </c>
      <c r="AF103" s="28" t="s">
        <v>3</v>
      </c>
      <c r="AG103" s="24" t="s">
        <v>1100</v>
      </c>
    </row>
    <row r="104" spans="1:33" s="24" customFormat="1" x14ac:dyDescent="0.2">
      <c r="A104" s="24">
        <v>110</v>
      </c>
      <c r="B104" s="24" t="s">
        <v>366</v>
      </c>
      <c r="C104" s="24" t="s">
        <v>265</v>
      </c>
      <c r="E104" s="24">
        <v>2015</v>
      </c>
      <c r="F104" s="24" t="s">
        <v>71</v>
      </c>
      <c r="G104" s="24" t="s">
        <v>513</v>
      </c>
      <c r="H104" s="25">
        <v>34</v>
      </c>
      <c r="I104" s="26">
        <v>-122</v>
      </c>
      <c r="J104" s="26">
        <v>1951</v>
      </c>
      <c r="K104" s="26">
        <v>2008</v>
      </c>
      <c r="L104" s="26">
        <f t="shared" si="4"/>
        <v>58</v>
      </c>
      <c r="M104" s="24" t="s">
        <v>369</v>
      </c>
      <c r="N104" s="24" t="s">
        <v>538</v>
      </c>
      <c r="O104" s="24" t="s">
        <v>424</v>
      </c>
      <c r="P104" s="24" t="s">
        <v>51</v>
      </c>
      <c r="Q104" s="24" t="s">
        <v>220</v>
      </c>
      <c r="R104" s="27" t="s">
        <v>849</v>
      </c>
      <c r="S104" s="27" t="s">
        <v>1076</v>
      </c>
      <c r="T104" s="24">
        <v>227</v>
      </c>
      <c r="U104" s="33" t="s">
        <v>1068</v>
      </c>
      <c r="V104" s="24">
        <v>-7.3</v>
      </c>
      <c r="W104" s="24" t="s">
        <v>3</v>
      </c>
      <c r="X104" s="24" t="s">
        <v>3</v>
      </c>
      <c r="Y104" s="24" t="s">
        <v>366</v>
      </c>
      <c r="Z104" s="4" t="str">
        <f t="shared" si="3"/>
        <v>Y</v>
      </c>
      <c r="AA104" s="24" t="s">
        <v>1190</v>
      </c>
      <c r="AB104" s="24" t="s">
        <v>1191</v>
      </c>
      <c r="AC104" s="24" t="s">
        <v>251</v>
      </c>
      <c r="AD104" s="24" t="s">
        <v>1100</v>
      </c>
      <c r="AE104" s="28" t="s">
        <v>1153</v>
      </c>
      <c r="AF104" s="28" t="s">
        <v>3</v>
      </c>
      <c r="AG104" s="24" t="s">
        <v>1100</v>
      </c>
    </row>
    <row r="105" spans="1:33" s="24" customFormat="1" x14ac:dyDescent="0.2">
      <c r="A105" s="24">
        <v>111</v>
      </c>
      <c r="B105" s="24" t="s">
        <v>366</v>
      </c>
      <c r="C105" s="24" t="s">
        <v>266</v>
      </c>
      <c r="E105" s="24">
        <v>2015</v>
      </c>
      <c r="F105" s="24" t="s">
        <v>71</v>
      </c>
      <c r="G105" s="24" t="s">
        <v>513</v>
      </c>
      <c r="H105" s="25">
        <v>34</v>
      </c>
      <c r="I105" s="26">
        <v>-122</v>
      </c>
      <c r="J105" s="26">
        <v>1951</v>
      </c>
      <c r="K105" s="26">
        <v>2008</v>
      </c>
      <c r="L105" s="26">
        <f t="shared" si="4"/>
        <v>58</v>
      </c>
      <c r="M105" s="24" t="s">
        <v>369</v>
      </c>
      <c r="N105" s="24" t="s">
        <v>538</v>
      </c>
      <c r="O105" s="24" t="s">
        <v>424</v>
      </c>
      <c r="P105" s="24" t="s">
        <v>51</v>
      </c>
      <c r="Q105" s="24" t="s">
        <v>221</v>
      </c>
      <c r="R105" s="27" t="s">
        <v>849</v>
      </c>
      <c r="S105" s="27" t="s">
        <v>1076</v>
      </c>
      <c r="T105" s="24">
        <v>227</v>
      </c>
      <c r="U105" s="33" t="s">
        <v>1068</v>
      </c>
      <c r="V105" s="24">
        <v>-0.7</v>
      </c>
      <c r="W105" s="24" t="s">
        <v>3</v>
      </c>
      <c r="X105" s="24" t="s">
        <v>3</v>
      </c>
      <c r="Y105" s="24" t="s">
        <v>366</v>
      </c>
      <c r="Z105" s="4" t="str">
        <f t="shared" si="3"/>
        <v>Y</v>
      </c>
      <c r="AA105" s="24" t="s">
        <v>1190</v>
      </c>
      <c r="AB105" s="24" t="s">
        <v>1191</v>
      </c>
      <c r="AC105" s="24" t="s">
        <v>251</v>
      </c>
      <c r="AD105" s="24" t="s">
        <v>1100</v>
      </c>
      <c r="AE105" s="28" t="s">
        <v>1153</v>
      </c>
      <c r="AF105" s="28" t="s">
        <v>3</v>
      </c>
      <c r="AG105" s="24" t="s">
        <v>1100</v>
      </c>
    </row>
    <row r="106" spans="1:33" s="24" customFormat="1" x14ac:dyDescent="0.2">
      <c r="A106" s="24">
        <v>112</v>
      </c>
      <c r="B106" s="24" t="s">
        <v>366</v>
      </c>
      <c r="C106" s="24" t="s">
        <v>267</v>
      </c>
      <c r="E106" s="24">
        <v>2015</v>
      </c>
      <c r="F106" s="24" t="s">
        <v>71</v>
      </c>
      <c r="G106" s="24" t="s">
        <v>513</v>
      </c>
      <c r="H106" s="25">
        <v>34</v>
      </c>
      <c r="I106" s="26">
        <v>-122</v>
      </c>
      <c r="J106" s="26">
        <v>1951</v>
      </c>
      <c r="K106" s="26">
        <v>2008</v>
      </c>
      <c r="L106" s="26">
        <f t="shared" si="4"/>
        <v>58</v>
      </c>
      <c r="M106" s="24" t="s">
        <v>369</v>
      </c>
      <c r="N106" s="24" t="s">
        <v>538</v>
      </c>
      <c r="O106" s="24" t="s">
        <v>424</v>
      </c>
      <c r="P106" s="24" t="s">
        <v>51</v>
      </c>
      <c r="Q106" s="24" t="s">
        <v>245</v>
      </c>
      <c r="R106" s="27" t="s">
        <v>849</v>
      </c>
      <c r="S106" s="27" t="s">
        <v>1076</v>
      </c>
      <c r="T106" s="24">
        <v>105</v>
      </c>
      <c r="U106" s="33" t="s">
        <v>901</v>
      </c>
      <c r="V106" s="24">
        <v>-7.6</v>
      </c>
      <c r="W106" s="24" t="s">
        <v>3</v>
      </c>
      <c r="X106" s="24" t="s">
        <v>3</v>
      </c>
      <c r="Y106" s="24" t="s">
        <v>366</v>
      </c>
      <c r="Z106" s="4" t="str">
        <f t="shared" si="3"/>
        <v>Y</v>
      </c>
      <c r="AA106" s="24" t="s">
        <v>1190</v>
      </c>
      <c r="AB106" s="24" t="s">
        <v>1191</v>
      </c>
      <c r="AC106" s="24" t="s">
        <v>251</v>
      </c>
      <c r="AD106" s="24" t="s">
        <v>1100</v>
      </c>
      <c r="AE106" s="28" t="s">
        <v>1153</v>
      </c>
      <c r="AF106" s="28" t="s">
        <v>3</v>
      </c>
      <c r="AG106" s="24" t="s">
        <v>1100</v>
      </c>
    </row>
    <row r="107" spans="1:33" s="24" customFormat="1" x14ac:dyDescent="0.2">
      <c r="A107" s="24">
        <v>113</v>
      </c>
      <c r="B107" s="24" t="s">
        <v>366</v>
      </c>
      <c r="C107" s="24" t="s">
        <v>268</v>
      </c>
      <c r="E107" s="24">
        <v>2015</v>
      </c>
      <c r="F107" s="24" t="s">
        <v>71</v>
      </c>
      <c r="G107" s="24" t="s">
        <v>513</v>
      </c>
      <c r="H107" s="25">
        <v>34</v>
      </c>
      <c r="I107" s="26">
        <v>-122</v>
      </c>
      <c r="J107" s="26">
        <v>1951</v>
      </c>
      <c r="K107" s="26">
        <v>2008</v>
      </c>
      <c r="L107" s="26">
        <f t="shared" si="4"/>
        <v>58</v>
      </c>
      <c r="M107" s="24" t="s">
        <v>369</v>
      </c>
      <c r="N107" s="24" t="s">
        <v>538</v>
      </c>
      <c r="O107" s="24" t="s">
        <v>424</v>
      </c>
      <c r="P107" s="24" t="s">
        <v>51</v>
      </c>
      <c r="Q107" s="24" t="s">
        <v>222</v>
      </c>
      <c r="R107" s="27" t="s">
        <v>849</v>
      </c>
      <c r="S107" s="27" t="s">
        <v>1076</v>
      </c>
      <c r="T107" s="24">
        <v>196</v>
      </c>
      <c r="U107" s="33" t="s">
        <v>1068</v>
      </c>
      <c r="V107" s="24">
        <v>0.7</v>
      </c>
      <c r="W107" s="29" t="s">
        <v>24</v>
      </c>
      <c r="X107" s="24" t="s">
        <v>3</v>
      </c>
      <c r="Y107" s="24" t="s">
        <v>366</v>
      </c>
      <c r="Z107" s="4" t="str">
        <f t="shared" si="3"/>
        <v>Y</v>
      </c>
      <c r="AA107" s="24" t="s">
        <v>1190</v>
      </c>
      <c r="AB107" s="24" t="s">
        <v>1191</v>
      </c>
      <c r="AC107" s="24" t="s">
        <v>251</v>
      </c>
      <c r="AD107" s="24" t="s">
        <v>1100</v>
      </c>
      <c r="AE107" s="28" t="s">
        <v>1153</v>
      </c>
      <c r="AF107" s="28" t="s">
        <v>3</v>
      </c>
      <c r="AG107" s="24" t="s">
        <v>1100</v>
      </c>
    </row>
    <row r="108" spans="1:33" s="24" customFormat="1" x14ac:dyDescent="0.2">
      <c r="A108" s="24">
        <v>114</v>
      </c>
      <c r="B108" s="24" t="s">
        <v>366</v>
      </c>
      <c r="C108" s="24" t="s">
        <v>269</v>
      </c>
      <c r="E108" s="24">
        <v>2015</v>
      </c>
      <c r="F108" s="24" t="s">
        <v>71</v>
      </c>
      <c r="G108" s="24" t="s">
        <v>513</v>
      </c>
      <c r="H108" s="25">
        <v>34</v>
      </c>
      <c r="I108" s="26">
        <v>-122</v>
      </c>
      <c r="J108" s="26">
        <v>1951</v>
      </c>
      <c r="K108" s="26">
        <v>2008</v>
      </c>
      <c r="L108" s="26">
        <f t="shared" si="4"/>
        <v>58</v>
      </c>
      <c r="M108" s="24" t="s">
        <v>369</v>
      </c>
      <c r="N108" s="24" t="s">
        <v>538</v>
      </c>
      <c r="O108" s="24" t="s">
        <v>424</v>
      </c>
      <c r="P108" s="24" t="s">
        <v>51</v>
      </c>
      <c r="Q108" s="24" t="s">
        <v>223</v>
      </c>
      <c r="R108" s="27" t="s">
        <v>849</v>
      </c>
      <c r="S108" s="27" t="s">
        <v>1076</v>
      </c>
      <c r="T108" s="24">
        <v>74</v>
      </c>
      <c r="U108" s="33" t="s">
        <v>901</v>
      </c>
      <c r="V108" s="24">
        <v>-4.8</v>
      </c>
      <c r="W108" s="24" t="s">
        <v>3</v>
      </c>
      <c r="X108" s="24" t="s">
        <v>3</v>
      </c>
      <c r="Y108" s="24" t="s">
        <v>366</v>
      </c>
      <c r="Z108" s="4" t="str">
        <f t="shared" si="3"/>
        <v>Y</v>
      </c>
      <c r="AA108" s="24" t="s">
        <v>1190</v>
      </c>
      <c r="AB108" s="24" t="s">
        <v>1191</v>
      </c>
      <c r="AC108" s="24" t="s">
        <v>251</v>
      </c>
      <c r="AD108" s="24" t="s">
        <v>1100</v>
      </c>
      <c r="AE108" s="28" t="s">
        <v>1153</v>
      </c>
      <c r="AF108" s="28" t="s">
        <v>3</v>
      </c>
      <c r="AG108" s="24" t="s">
        <v>1100</v>
      </c>
    </row>
    <row r="109" spans="1:33" s="24" customFormat="1" x14ac:dyDescent="0.2">
      <c r="A109" s="24">
        <v>115</v>
      </c>
      <c r="B109" s="24" t="s">
        <v>366</v>
      </c>
      <c r="C109" s="24" t="s">
        <v>270</v>
      </c>
      <c r="E109" s="24">
        <v>2015</v>
      </c>
      <c r="F109" s="24" t="s">
        <v>71</v>
      </c>
      <c r="G109" s="24" t="s">
        <v>513</v>
      </c>
      <c r="H109" s="25">
        <v>34</v>
      </c>
      <c r="I109" s="26">
        <v>-122</v>
      </c>
      <c r="J109" s="26">
        <v>1951</v>
      </c>
      <c r="K109" s="26">
        <v>2008</v>
      </c>
      <c r="L109" s="26">
        <f t="shared" si="4"/>
        <v>58</v>
      </c>
      <c r="M109" s="24" t="s">
        <v>369</v>
      </c>
      <c r="N109" s="24" t="s">
        <v>538</v>
      </c>
      <c r="O109" s="24" t="s">
        <v>424</v>
      </c>
      <c r="P109" s="24" t="s">
        <v>51</v>
      </c>
      <c r="Q109" s="24" t="s">
        <v>224</v>
      </c>
      <c r="R109" s="27" t="s">
        <v>849</v>
      </c>
      <c r="S109" s="27" t="s">
        <v>1076</v>
      </c>
      <c r="T109" s="24">
        <v>15</v>
      </c>
      <c r="U109" s="33" t="s">
        <v>1069</v>
      </c>
      <c r="V109" s="24">
        <v>-1.4</v>
      </c>
      <c r="W109" s="24" t="s">
        <v>3</v>
      </c>
      <c r="X109" s="24" t="s">
        <v>3</v>
      </c>
      <c r="Y109" s="24" t="s">
        <v>366</v>
      </c>
      <c r="Z109" s="4" t="str">
        <f t="shared" si="3"/>
        <v>Y</v>
      </c>
      <c r="AA109" s="24" t="s">
        <v>1190</v>
      </c>
      <c r="AB109" s="24" t="s">
        <v>1191</v>
      </c>
      <c r="AC109" s="24" t="s">
        <v>251</v>
      </c>
      <c r="AD109" s="24" t="s">
        <v>1100</v>
      </c>
      <c r="AE109" s="28" t="s">
        <v>1153</v>
      </c>
      <c r="AF109" s="28" t="s">
        <v>3</v>
      </c>
      <c r="AG109" s="24" t="s">
        <v>1100</v>
      </c>
    </row>
    <row r="110" spans="1:33" s="24" customFormat="1" x14ac:dyDescent="0.2">
      <c r="A110" s="24">
        <v>116</v>
      </c>
      <c r="B110" s="24" t="s">
        <v>366</v>
      </c>
      <c r="C110" s="24" t="s">
        <v>271</v>
      </c>
      <c r="E110" s="24">
        <v>2015</v>
      </c>
      <c r="F110" s="24" t="s">
        <v>71</v>
      </c>
      <c r="G110" s="24" t="s">
        <v>513</v>
      </c>
      <c r="H110" s="25">
        <v>34</v>
      </c>
      <c r="I110" s="26">
        <v>-122</v>
      </c>
      <c r="J110" s="26">
        <v>1951</v>
      </c>
      <c r="K110" s="26">
        <v>2008</v>
      </c>
      <c r="L110" s="26">
        <f t="shared" si="4"/>
        <v>58</v>
      </c>
      <c r="M110" s="24" t="s">
        <v>369</v>
      </c>
      <c r="N110" s="24" t="s">
        <v>538</v>
      </c>
      <c r="O110" s="24" t="s">
        <v>424</v>
      </c>
      <c r="P110" s="24" t="s">
        <v>51</v>
      </c>
      <c r="Q110" s="24" t="s">
        <v>225</v>
      </c>
      <c r="R110" s="27" t="s">
        <v>849</v>
      </c>
      <c r="S110" s="27" t="s">
        <v>1076</v>
      </c>
      <c r="T110" s="24">
        <v>74</v>
      </c>
      <c r="U110" s="33" t="s">
        <v>901</v>
      </c>
      <c r="V110" s="24">
        <v>-1.7</v>
      </c>
      <c r="W110" s="24" t="s">
        <v>3</v>
      </c>
      <c r="X110" s="24" t="s">
        <v>3</v>
      </c>
      <c r="Y110" s="24" t="s">
        <v>366</v>
      </c>
      <c r="Z110" s="4" t="str">
        <f t="shared" si="3"/>
        <v>Y</v>
      </c>
      <c r="AA110" s="24" t="s">
        <v>1190</v>
      </c>
      <c r="AB110" s="24" t="s">
        <v>1191</v>
      </c>
      <c r="AC110" s="24" t="s">
        <v>251</v>
      </c>
      <c r="AD110" s="24" t="s">
        <v>1100</v>
      </c>
      <c r="AE110" s="28" t="s">
        <v>1153</v>
      </c>
      <c r="AF110" s="28" t="s">
        <v>3</v>
      </c>
      <c r="AG110" s="24" t="s">
        <v>1100</v>
      </c>
    </row>
    <row r="111" spans="1:33" s="24" customFormat="1" x14ac:dyDescent="0.2">
      <c r="A111" s="24">
        <v>117</v>
      </c>
      <c r="B111" s="24" t="s">
        <v>366</v>
      </c>
      <c r="C111" s="24" t="s">
        <v>272</v>
      </c>
      <c r="E111" s="24">
        <v>2015</v>
      </c>
      <c r="F111" s="24" t="s">
        <v>71</v>
      </c>
      <c r="G111" s="24" t="s">
        <v>513</v>
      </c>
      <c r="H111" s="25">
        <v>34</v>
      </c>
      <c r="I111" s="26">
        <v>-122</v>
      </c>
      <c r="J111" s="26">
        <v>1951</v>
      </c>
      <c r="K111" s="26">
        <v>2008</v>
      </c>
      <c r="L111" s="26">
        <f t="shared" si="4"/>
        <v>58</v>
      </c>
      <c r="M111" s="24" t="s">
        <v>369</v>
      </c>
      <c r="N111" s="24" t="s">
        <v>538</v>
      </c>
      <c r="O111" s="24" t="s">
        <v>424</v>
      </c>
      <c r="P111" s="24" t="s">
        <v>51</v>
      </c>
      <c r="Q111" s="24" t="s">
        <v>246</v>
      </c>
      <c r="R111" s="27" t="s">
        <v>849</v>
      </c>
      <c r="S111" s="27" t="s">
        <v>1076</v>
      </c>
      <c r="T111" s="24">
        <v>105</v>
      </c>
      <c r="U111" s="33" t="s">
        <v>901</v>
      </c>
      <c r="V111" s="24">
        <v>-8.1999999999999993</v>
      </c>
      <c r="W111" s="24" t="s">
        <v>3</v>
      </c>
      <c r="X111" s="24" t="s">
        <v>3</v>
      </c>
      <c r="Y111" s="24" t="s">
        <v>366</v>
      </c>
      <c r="Z111" s="4" t="str">
        <f t="shared" si="3"/>
        <v>Y</v>
      </c>
      <c r="AA111" s="24" t="s">
        <v>1190</v>
      </c>
      <c r="AB111" s="24" t="s">
        <v>1191</v>
      </c>
      <c r="AC111" s="24" t="s">
        <v>251</v>
      </c>
      <c r="AD111" s="24" t="s">
        <v>1100</v>
      </c>
      <c r="AE111" s="28" t="s">
        <v>1153</v>
      </c>
      <c r="AF111" s="28" t="s">
        <v>3</v>
      </c>
      <c r="AG111" s="24" t="s">
        <v>1100</v>
      </c>
    </row>
    <row r="112" spans="1:33" s="24" customFormat="1" x14ac:dyDescent="0.2">
      <c r="A112" s="24">
        <v>118</v>
      </c>
      <c r="B112" s="24" t="s">
        <v>366</v>
      </c>
      <c r="C112" s="24" t="s">
        <v>273</v>
      </c>
      <c r="E112" s="24">
        <v>2015</v>
      </c>
      <c r="F112" s="24" t="s">
        <v>71</v>
      </c>
      <c r="G112" s="24" t="s">
        <v>513</v>
      </c>
      <c r="H112" s="25">
        <v>34</v>
      </c>
      <c r="I112" s="26">
        <v>-122</v>
      </c>
      <c r="J112" s="26">
        <v>1951</v>
      </c>
      <c r="K112" s="26">
        <v>2008</v>
      </c>
      <c r="L112" s="26">
        <f t="shared" si="4"/>
        <v>58</v>
      </c>
      <c r="M112" s="24" t="s">
        <v>369</v>
      </c>
      <c r="N112" s="24" t="s">
        <v>538</v>
      </c>
      <c r="O112" s="24" t="s">
        <v>424</v>
      </c>
      <c r="P112" s="24" t="s">
        <v>51</v>
      </c>
      <c r="Q112" s="24" t="s">
        <v>247</v>
      </c>
      <c r="R112" s="27" t="s">
        <v>849</v>
      </c>
      <c r="S112" s="27" t="s">
        <v>1076</v>
      </c>
      <c r="T112" s="24">
        <v>74</v>
      </c>
      <c r="U112" s="33" t="s">
        <v>901</v>
      </c>
      <c r="V112" s="24">
        <v>-2.4</v>
      </c>
      <c r="W112" s="24" t="s">
        <v>3</v>
      </c>
      <c r="X112" s="24" t="s">
        <v>3</v>
      </c>
      <c r="Y112" s="24" t="s">
        <v>366</v>
      </c>
      <c r="Z112" s="4" t="str">
        <f t="shared" si="3"/>
        <v>Y</v>
      </c>
      <c r="AA112" s="24" t="s">
        <v>1190</v>
      </c>
      <c r="AB112" s="24" t="s">
        <v>1191</v>
      </c>
      <c r="AC112" s="24" t="s">
        <v>251</v>
      </c>
      <c r="AD112" s="24" t="s">
        <v>1100</v>
      </c>
      <c r="AE112" s="28" t="s">
        <v>1153</v>
      </c>
      <c r="AF112" s="28" t="s">
        <v>3</v>
      </c>
      <c r="AG112" s="24" t="s">
        <v>1100</v>
      </c>
    </row>
    <row r="113" spans="1:33" s="24" customFormat="1" x14ac:dyDescent="0.2">
      <c r="A113" s="24">
        <v>119</v>
      </c>
      <c r="B113" s="24" t="s">
        <v>366</v>
      </c>
      <c r="C113" s="24" t="s">
        <v>274</v>
      </c>
      <c r="E113" s="24">
        <v>2015</v>
      </c>
      <c r="F113" s="24" t="s">
        <v>71</v>
      </c>
      <c r="G113" s="24" t="s">
        <v>513</v>
      </c>
      <c r="H113" s="25">
        <v>34</v>
      </c>
      <c r="I113" s="26">
        <v>-122</v>
      </c>
      <c r="J113" s="26">
        <v>1951</v>
      </c>
      <c r="K113" s="26">
        <v>2008</v>
      </c>
      <c r="L113" s="26">
        <f t="shared" si="4"/>
        <v>58</v>
      </c>
      <c r="M113" s="24" t="s">
        <v>369</v>
      </c>
      <c r="N113" s="24" t="s">
        <v>538</v>
      </c>
      <c r="O113" s="24" t="s">
        <v>424</v>
      </c>
      <c r="P113" s="24" t="s">
        <v>51</v>
      </c>
      <c r="Q113" s="24" t="s">
        <v>226</v>
      </c>
      <c r="R113" s="27" t="s">
        <v>849</v>
      </c>
      <c r="S113" s="27" t="s">
        <v>1076</v>
      </c>
      <c r="T113" s="24">
        <v>258</v>
      </c>
      <c r="U113" s="33" t="s">
        <v>900</v>
      </c>
      <c r="V113" s="24">
        <v>-6.2</v>
      </c>
      <c r="W113" s="24" t="s">
        <v>3</v>
      </c>
      <c r="X113" s="24" t="s">
        <v>3</v>
      </c>
      <c r="Y113" s="24" t="s">
        <v>366</v>
      </c>
      <c r="Z113" s="4" t="str">
        <f t="shared" si="3"/>
        <v>Y</v>
      </c>
      <c r="AA113" s="24" t="s">
        <v>1190</v>
      </c>
      <c r="AB113" s="24" t="s">
        <v>1191</v>
      </c>
      <c r="AC113" s="24" t="s">
        <v>251</v>
      </c>
      <c r="AD113" s="24" t="s">
        <v>1100</v>
      </c>
      <c r="AE113" s="28" t="s">
        <v>1153</v>
      </c>
      <c r="AF113" s="28" t="s">
        <v>3</v>
      </c>
      <c r="AG113" s="24" t="s">
        <v>1100</v>
      </c>
    </row>
    <row r="114" spans="1:33" s="24" customFormat="1" x14ac:dyDescent="0.2">
      <c r="A114" s="24">
        <v>120</v>
      </c>
      <c r="B114" s="24" t="s">
        <v>366</v>
      </c>
      <c r="C114" s="24" t="s">
        <v>275</v>
      </c>
      <c r="E114" s="24">
        <v>2015</v>
      </c>
      <c r="F114" s="24" t="s">
        <v>71</v>
      </c>
      <c r="G114" s="24" t="s">
        <v>513</v>
      </c>
      <c r="H114" s="25">
        <v>34</v>
      </c>
      <c r="I114" s="26">
        <v>-122</v>
      </c>
      <c r="J114" s="26">
        <v>1951</v>
      </c>
      <c r="K114" s="26">
        <v>2008</v>
      </c>
      <c r="L114" s="26">
        <f t="shared" si="4"/>
        <v>58</v>
      </c>
      <c r="M114" s="24" t="s">
        <v>369</v>
      </c>
      <c r="N114" s="24" t="s">
        <v>538</v>
      </c>
      <c r="O114" s="24" t="s">
        <v>424</v>
      </c>
      <c r="P114" s="24" t="s">
        <v>51</v>
      </c>
      <c r="Q114" s="24" t="s">
        <v>227</v>
      </c>
      <c r="R114" s="27" t="s">
        <v>849</v>
      </c>
      <c r="S114" s="27" t="s">
        <v>1076</v>
      </c>
      <c r="T114" s="24">
        <v>46</v>
      </c>
      <c r="U114" s="33" t="s">
        <v>1069</v>
      </c>
      <c r="V114" s="24">
        <v>-3</v>
      </c>
      <c r="W114" s="24" t="s">
        <v>3</v>
      </c>
      <c r="X114" s="24" t="s">
        <v>3</v>
      </c>
      <c r="Y114" s="24" t="s">
        <v>366</v>
      </c>
      <c r="Z114" s="4" t="str">
        <f t="shared" si="3"/>
        <v>Y</v>
      </c>
      <c r="AA114" s="24" t="s">
        <v>1190</v>
      </c>
      <c r="AB114" s="24" t="s">
        <v>1191</v>
      </c>
      <c r="AC114" s="24" t="s">
        <v>251</v>
      </c>
      <c r="AD114" s="24" t="s">
        <v>1100</v>
      </c>
      <c r="AE114" s="28" t="s">
        <v>1153</v>
      </c>
      <c r="AF114" s="28" t="s">
        <v>3</v>
      </c>
      <c r="AG114" s="24" t="s">
        <v>1100</v>
      </c>
    </row>
    <row r="115" spans="1:33" s="24" customFormat="1" x14ac:dyDescent="0.2">
      <c r="A115" s="24">
        <v>121</v>
      </c>
      <c r="B115" s="24" t="s">
        <v>366</v>
      </c>
      <c r="C115" s="24" t="s">
        <v>276</v>
      </c>
      <c r="E115" s="24">
        <v>2015</v>
      </c>
      <c r="F115" s="24" t="s">
        <v>71</v>
      </c>
      <c r="G115" s="24" t="s">
        <v>513</v>
      </c>
      <c r="H115" s="25">
        <v>34</v>
      </c>
      <c r="I115" s="26">
        <v>-122</v>
      </c>
      <c r="J115" s="26">
        <v>1951</v>
      </c>
      <c r="K115" s="26">
        <v>2008</v>
      </c>
      <c r="L115" s="26">
        <f t="shared" si="4"/>
        <v>58</v>
      </c>
      <c r="M115" s="24" t="s">
        <v>369</v>
      </c>
      <c r="N115" s="24" t="s">
        <v>538</v>
      </c>
      <c r="O115" s="24" t="s">
        <v>424</v>
      </c>
      <c r="P115" s="24" t="s">
        <v>51</v>
      </c>
      <c r="Q115" s="24" t="s">
        <v>248</v>
      </c>
      <c r="R115" s="27" t="s">
        <v>849</v>
      </c>
      <c r="S115" s="27" t="s">
        <v>1076</v>
      </c>
      <c r="T115" s="24">
        <v>74</v>
      </c>
      <c r="U115" s="33" t="s">
        <v>901</v>
      </c>
      <c r="V115" s="24">
        <v>0.4</v>
      </c>
      <c r="W115" s="29" t="s">
        <v>24</v>
      </c>
      <c r="X115" s="24" t="s">
        <v>3</v>
      </c>
      <c r="Y115" s="24" t="s">
        <v>366</v>
      </c>
      <c r="Z115" s="4" t="str">
        <f t="shared" si="3"/>
        <v>Y</v>
      </c>
      <c r="AA115" s="24" t="s">
        <v>1190</v>
      </c>
      <c r="AB115" s="24" t="s">
        <v>1191</v>
      </c>
      <c r="AC115" s="24" t="s">
        <v>251</v>
      </c>
      <c r="AD115" s="24" t="s">
        <v>1100</v>
      </c>
      <c r="AE115" s="28" t="s">
        <v>1153</v>
      </c>
      <c r="AF115" s="28" t="s">
        <v>3</v>
      </c>
      <c r="AG115" s="24" t="s">
        <v>1100</v>
      </c>
    </row>
    <row r="116" spans="1:33" s="24" customFormat="1" x14ac:dyDescent="0.2">
      <c r="A116" s="24">
        <v>122</v>
      </c>
      <c r="B116" s="24" t="s">
        <v>366</v>
      </c>
      <c r="C116" s="24" t="s">
        <v>277</v>
      </c>
      <c r="E116" s="24">
        <v>2015</v>
      </c>
      <c r="F116" s="24" t="s">
        <v>71</v>
      </c>
      <c r="G116" s="24" t="s">
        <v>513</v>
      </c>
      <c r="H116" s="25">
        <v>34</v>
      </c>
      <c r="I116" s="26">
        <v>-122</v>
      </c>
      <c r="J116" s="26">
        <v>1951</v>
      </c>
      <c r="K116" s="26">
        <v>2008</v>
      </c>
      <c r="L116" s="26">
        <f t="shared" si="4"/>
        <v>58</v>
      </c>
      <c r="M116" s="24" t="s">
        <v>369</v>
      </c>
      <c r="N116" s="24" t="s">
        <v>538</v>
      </c>
      <c r="O116" s="24" t="s">
        <v>424</v>
      </c>
      <c r="P116" s="24" t="s">
        <v>51</v>
      </c>
      <c r="Q116" s="24" t="s">
        <v>228</v>
      </c>
      <c r="R116" s="27" t="s">
        <v>849</v>
      </c>
      <c r="S116" s="27" t="s">
        <v>1076</v>
      </c>
      <c r="T116" s="24">
        <v>135</v>
      </c>
      <c r="U116" s="33" t="s">
        <v>901</v>
      </c>
      <c r="V116" s="24">
        <v>-5.4</v>
      </c>
      <c r="W116" s="24" t="s">
        <v>3</v>
      </c>
      <c r="X116" s="24" t="s">
        <v>3</v>
      </c>
      <c r="Y116" s="24" t="s">
        <v>366</v>
      </c>
      <c r="Z116" s="4" t="str">
        <f t="shared" si="3"/>
        <v>Y</v>
      </c>
      <c r="AA116" s="24" t="s">
        <v>1190</v>
      </c>
      <c r="AB116" s="24" t="s">
        <v>1191</v>
      </c>
      <c r="AC116" s="24" t="s">
        <v>251</v>
      </c>
      <c r="AD116" s="24" t="s">
        <v>1100</v>
      </c>
      <c r="AE116" s="28" t="s">
        <v>1153</v>
      </c>
      <c r="AF116" s="28" t="s">
        <v>3</v>
      </c>
      <c r="AG116" s="24" t="s">
        <v>1100</v>
      </c>
    </row>
    <row r="117" spans="1:33" s="24" customFormat="1" x14ac:dyDescent="0.2">
      <c r="A117" s="24">
        <v>123</v>
      </c>
      <c r="B117" s="24" t="s">
        <v>366</v>
      </c>
      <c r="C117" s="24" t="s">
        <v>278</v>
      </c>
      <c r="E117" s="24">
        <v>2015</v>
      </c>
      <c r="F117" s="24" t="s">
        <v>71</v>
      </c>
      <c r="G117" s="24" t="s">
        <v>513</v>
      </c>
      <c r="H117" s="25">
        <v>34</v>
      </c>
      <c r="I117" s="26">
        <v>-122</v>
      </c>
      <c r="J117" s="26">
        <v>1951</v>
      </c>
      <c r="K117" s="26">
        <v>2008</v>
      </c>
      <c r="L117" s="26">
        <f t="shared" si="4"/>
        <v>58</v>
      </c>
      <c r="M117" s="24" t="s">
        <v>369</v>
      </c>
      <c r="N117" s="24" t="s">
        <v>538</v>
      </c>
      <c r="O117" s="24" t="s">
        <v>424</v>
      </c>
      <c r="P117" s="24" t="s">
        <v>51</v>
      </c>
      <c r="Q117" s="24" t="s">
        <v>229</v>
      </c>
      <c r="R117" s="27" t="s">
        <v>849</v>
      </c>
      <c r="S117" s="27" t="s">
        <v>1076</v>
      </c>
      <c r="T117" s="24">
        <v>288</v>
      </c>
      <c r="U117" s="33" t="s">
        <v>900</v>
      </c>
      <c r="V117" s="24">
        <v>-12.3</v>
      </c>
      <c r="W117" s="24" t="s">
        <v>3</v>
      </c>
      <c r="X117" s="24" t="s">
        <v>3</v>
      </c>
      <c r="Y117" s="24" t="s">
        <v>366</v>
      </c>
      <c r="Z117" s="4" t="str">
        <f t="shared" si="3"/>
        <v>Y</v>
      </c>
      <c r="AA117" s="24" t="s">
        <v>1190</v>
      </c>
      <c r="AB117" s="24" t="s">
        <v>1191</v>
      </c>
      <c r="AC117" s="24" t="s">
        <v>251</v>
      </c>
      <c r="AD117" s="24" t="s">
        <v>1100</v>
      </c>
      <c r="AE117" s="28" t="s">
        <v>1153</v>
      </c>
      <c r="AF117" s="28" t="s">
        <v>3</v>
      </c>
      <c r="AG117" s="24" t="s">
        <v>1100</v>
      </c>
    </row>
    <row r="118" spans="1:33" s="24" customFormat="1" x14ac:dyDescent="0.2">
      <c r="A118" s="24">
        <v>124</v>
      </c>
      <c r="B118" s="24" t="s">
        <v>366</v>
      </c>
      <c r="C118" s="24" t="s">
        <v>279</v>
      </c>
      <c r="E118" s="24">
        <v>2015</v>
      </c>
      <c r="F118" s="24" t="s">
        <v>71</v>
      </c>
      <c r="G118" s="24" t="s">
        <v>513</v>
      </c>
      <c r="H118" s="25">
        <v>34</v>
      </c>
      <c r="I118" s="26">
        <v>-122</v>
      </c>
      <c r="J118" s="26">
        <v>1951</v>
      </c>
      <c r="K118" s="26">
        <v>2008</v>
      </c>
      <c r="L118" s="26">
        <f t="shared" si="4"/>
        <v>58</v>
      </c>
      <c r="M118" s="24" t="s">
        <v>369</v>
      </c>
      <c r="N118" s="24" t="s">
        <v>538</v>
      </c>
      <c r="O118" s="24" t="s">
        <v>424</v>
      </c>
      <c r="P118" s="24" t="s">
        <v>51</v>
      </c>
      <c r="Q118" s="24" t="s">
        <v>230</v>
      </c>
      <c r="R118" s="27" t="s">
        <v>849</v>
      </c>
      <c r="S118" s="27" t="s">
        <v>1076</v>
      </c>
      <c r="T118" s="24">
        <v>46</v>
      </c>
      <c r="U118" s="33" t="s">
        <v>1069</v>
      </c>
      <c r="V118" s="24">
        <v>6.7</v>
      </c>
      <c r="W118" s="29" t="s">
        <v>24</v>
      </c>
      <c r="X118" s="24" t="s">
        <v>3</v>
      </c>
      <c r="Y118" s="24" t="s">
        <v>366</v>
      </c>
      <c r="Z118" s="4" t="str">
        <f t="shared" si="3"/>
        <v>Y</v>
      </c>
      <c r="AA118" s="24" t="s">
        <v>1190</v>
      </c>
      <c r="AB118" s="24" t="s">
        <v>1191</v>
      </c>
      <c r="AC118" s="24" t="s">
        <v>251</v>
      </c>
      <c r="AD118" s="24" t="s">
        <v>1100</v>
      </c>
      <c r="AE118" s="28" t="s">
        <v>1153</v>
      </c>
      <c r="AF118" s="28" t="s">
        <v>3</v>
      </c>
      <c r="AG118" s="24" t="s">
        <v>1100</v>
      </c>
    </row>
    <row r="119" spans="1:33" s="24" customFormat="1" x14ac:dyDescent="0.2">
      <c r="A119" s="24">
        <v>125</v>
      </c>
      <c r="B119" s="24" t="s">
        <v>366</v>
      </c>
      <c r="C119" s="24" t="s">
        <v>280</v>
      </c>
      <c r="E119" s="24">
        <v>2015</v>
      </c>
      <c r="F119" s="24" t="s">
        <v>71</v>
      </c>
      <c r="G119" s="24" t="s">
        <v>513</v>
      </c>
      <c r="H119" s="25">
        <v>34</v>
      </c>
      <c r="I119" s="26">
        <v>-122</v>
      </c>
      <c r="J119" s="26">
        <v>1951</v>
      </c>
      <c r="K119" s="26">
        <v>2008</v>
      </c>
      <c r="L119" s="26">
        <f t="shared" si="4"/>
        <v>58</v>
      </c>
      <c r="M119" s="24" t="s">
        <v>369</v>
      </c>
      <c r="N119" s="24" t="s">
        <v>538</v>
      </c>
      <c r="O119" s="24" t="s">
        <v>424</v>
      </c>
      <c r="P119" s="24" t="s">
        <v>51</v>
      </c>
      <c r="Q119" s="24" t="s">
        <v>231</v>
      </c>
      <c r="R119" s="27" t="s">
        <v>849</v>
      </c>
      <c r="S119" s="27" t="s">
        <v>1076</v>
      </c>
      <c r="T119" s="24">
        <v>46</v>
      </c>
      <c r="U119" s="33" t="s">
        <v>1069</v>
      </c>
      <c r="V119" s="24">
        <v>-2.8</v>
      </c>
      <c r="W119" s="24" t="s">
        <v>3</v>
      </c>
      <c r="X119" s="24" t="s">
        <v>3</v>
      </c>
      <c r="Y119" s="24" t="s">
        <v>366</v>
      </c>
      <c r="Z119" s="4" t="str">
        <f t="shared" si="3"/>
        <v>Y</v>
      </c>
      <c r="AA119" s="24" t="s">
        <v>1190</v>
      </c>
      <c r="AB119" s="24" t="s">
        <v>1191</v>
      </c>
      <c r="AC119" s="24" t="s">
        <v>251</v>
      </c>
      <c r="AD119" s="24" t="s">
        <v>1100</v>
      </c>
      <c r="AE119" s="28" t="s">
        <v>1153</v>
      </c>
      <c r="AF119" s="28" t="s">
        <v>3</v>
      </c>
      <c r="AG119" s="24" t="s">
        <v>1100</v>
      </c>
    </row>
    <row r="120" spans="1:33" s="24" customFormat="1" x14ac:dyDescent="0.2">
      <c r="A120" s="24">
        <v>126</v>
      </c>
      <c r="B120" s="24" t="s">
        <v>366</v>
      </c>
      <c r="C120" s="24" t="s">
        <v>281</v>
      </c>
      <c r="E120" s="24">
        <v>2015</v>
      </c>
      <c r="F120" s="24" t="s">
        <v>71</v>
      </c>
      <c r="G120" s="24" t="s">
        <v>513</v>
      </c>
      <c r="H120" s="25">
        <v>34</v>
      </c>
      <c r="I120" s="26">
        <v>-122</v>
      </c>
      <c r="J120" s="26">
        <v>1951</v>
      </c>
      <c r="K120" s="26">
        <v>2008</v>
      </c>
      <c r="L120" s="26">
        <f t="shared" si="4"/>
        <v>58</v>
      </c>
      <c r="M120" s="24" t="s">
        <v>369</v>
      </c>
      <c r="N120" s="24" t="s">
        <v>538</v>
      </c>
      <c r="O120" s="24" t="s">
        <v>424</v>
      </c>
      <c r="P120" s="24" t="s">
        <v>51</v>
      </c>
      <c r="Q120" s="24" t="s">
        <v>232</v>
      </c>
      <c r="R120" s="27" t="s">
        <v>849</v>
      </c>
      <c r="S120" s="27" t="s">
        <v>1076</v>
      </c>
      <c r="T120" s="24">
        <v>15</v>
      </c>
      <c r="U120" s="33" t="s">
        <v>1069</v>
      </c>
      <c r="V120" s="24">
        <v>1.6</v>
      </c>
      <c r="W120" s="29" t="s">
        <v>24</v>
      </c>
      <c r="X120" s="24" t="s">
        <v>3</v>
      </c>
      <c r="Y120" s="24" t="s">
        <v>366</v>
      </c>
      <c r="Z120" s="4" t="str">
        <f t="shared" si="3"/>
        <v>Y</v>
      </c>
      <c r="AA120" s="24" t="s">
        <v>1190</v>
      </c>
      <c r="AB120" s="24" t="s">
        <v>1191</v>
      </c>
      <c r="AC120" s="24" t="s">
        <v>251</v>
      </c>
      <c r="AD120" s="24" t="s">
        <v>1100</v>
      </c>
      <c r="AE120" s="28" t="s">
        <v>1153</v>
      </c>
      <c r="AF120" s="28" t="s">
        <v>3</v>
      </c>
      <c r="AG120" s="24" t="s">
        <v>1100</v>
      </c>
    </row>
    <row r="121" spans="1:33" s="24" customFormat="1" x14ac:dyDescent="0.2">
      <c r="A121" s="24">
        <v>127</v>
      </c>
      <c r="B121" s="24" t="s">
        <v>366</v>
      </c>
      <c r="C121" s="24" t="s">
        <v>282</v>
      </c>
      <c r="E121" s="24">
        <v>2015</v>
      </c>
      <c r="F121" s="24" t="s">
        <v>71</v>
      </c>
      <c r="G121" s="24" t="s">
        <v>513</v>
      </c>
      <c r="H121" s="25">
        <v>34</v>
      </c>
      <c r="I121" s="26">
        <v>-122</v>
      </c>
      <c r="J121" s="26">
        <v>1951</v>
      </c>
      <c r="K121" s="26">
        <v>2008</v>
      </c>
      <c r="L121" s="26">
        <f t="shared" si="4"/>
        <v>58</v>
      </c>
      <c r="M121" s="24" t="s">
        <v>369</v>
      </c>
      <c r="N121" s="24" t="s">
        <v>538</v>
      </c>
      <c r="O121" s="24" t="s">
        <v>424</v>
      </c>
      <c r="P121" s="24" t="s">
        <v>51</v>
      </c>
      <c r="Q121" s="24" t="s">
        <v>233</v>
      </c>
      <c r="R121" s="27" t="s">
        <v>849</v>
      </c>
      <c r="S121" s="27" t="s">
        <v>1076</v>
      </c>
      <c r="T121" s="24">
        <v>166</v>
      </c>
      <c r="U121" s="33" t="s">
        <v>1068</v>
      </c>
      <c r="V121" s="24">
        <v>-6.7</v>
      </c>
      <c r="W121" s="24" t="s">
        <v>3</v>
      </c>
      <c r="X121" s="24" t="s">
        <v>3</v>
      </c>
      <c r="Y121" s="24" t="s">
        <v>366</v>
      </c>
      <c r="Z121" s="4" t="str">
        <f t="shared" si="3"/>
        <v>Y</v>
      </c>
      <c r="AA121" s="24" t="s">
        <v>1190</v>
      </c>
      <c r="AB121" s="24" t="s">
        <v>1191</v>
      </c>
      <c r="AC121" s="24" t="s">
        <v>251</v>
      </c>
      <c r="AD121" s="24" t="s">
        <v>1100</v>
      </c>
      <c r="AE121" s="28" t="s">
        <v>1153</v>
      </c>
      <c r="AF121" s="28" t="s">
        <v>3</v>
      </c>
      <c r="AG121" s="24" t="s">
        <v>1100</v>
      </c>
    </row>
    <row r="122" spans="1:33" s="24" customFormat="1" x14ac:dyDescent="0.2">
      <c r="A122" s="24">
        <v>128</v>
      </c>
      <c r="B122" s="24" t="s">
        <v>366</v>
      </c>
      <c r="C122" s="24" t="s">
        <v>283</v>
      </c>
      <c r="E122" s="24">
        <v>2015</v>
      </c>
      <c r="F122" s="24" t="s">
        <v>71</v>
      </c>
      <c r="G122" s="24" t="s">
        <v>513</v>
      </c>
      <c r="H122" s="25">
        <v>34</v>
      </c>
      <c r="I122" s="26">
        <v>-122</v>
      </c>
      <c r="J122" s="26">
        <v>1951</v>
      </c>
      <c r="K122" s="26">
        <v>2008</v>
      </c>
      <c r="L122" s="26">
        <f t="shared" si="4"/>
        <v>58</v>
      </c>
      <c r="M122" s="24" t="s">
        <v>369</v>
      </c>
      <c r="N122" s="24" t="s">
        <v>538</v>
      </c>
      <c r="O122" s="24" t="s">
        <v>424</v>
      </c>
      <c r="P122" s="24" t="s">
        <v>51</v>
      </c>
      <c r="Q122" s="24" t="s">
        <v>234</v>
      </c>
      <c r="R122" s="27" t="s">
        <v>849</v>
      </c>
      <c r="S122" s="27" t="s">
        <v>1076</v>
      </c>
      <c r="T122" s="24">
        <v>227</v>
      </c>
      <c r="U122" s="33" t="s">
        <v>1068</v>
      </c>
      <c r="V122" s="24">
        <v>3</v>
      </c>
      <c r="W122" s="29" t="s">
        <v>24</v>
      </c>
      <c r="X122" s="24" t="s">
        <v>3</v>
      </c>
      <c r="Y122" s="24" t="s">
        <v>366</v>
      </c>
      <c r="Z122" s="4" t="str">
        <f t="shared" si="3"/>
        <v>Y</v>
      </c>
      <c r="AA122" s="24" t="s">
        <v>1190</v>
      </c>
      <c r="AB122" s="24" t="s">
        <v>1191</v>
      </c>
      <c r="AC122" s="24" t="s">
        <v>251</v>
      </c>
      <c r="AD122" s="24" t="s">
        <v>1100</v>
      </c>
      <c r="AE122" s="28" t="s">
        <v>1153</v>
      </c>
      <c r="AF122" s="28" t="s">
        <v>3</v>
      </c>
      <c r="AG122" s="24" t="s">
        <v>1100</v>
      </c>
    </row>
    <row r="123" spans="1:33" s="24" customFormat="1" x14ac:dyDescent="0.2">
      <c r="A123" s="24">
        <v>129</v>
      </c>
      <c r="B123" s="24" t="s">
        <v>366</v>
      </c>
      <c r="C123" s="24" t="s">
        <v>284</v>
      </c>
      <c r="E123" s="24">
        <v>2015</v>
      </c>
      <c r="F123" s="24" t="s">
        <v>71</v>
      </c>
      <c r="G123" s="24" t="s">
        <v>513</v>
      </c>
      <c r="H123" s="25">
        <v>34</v>
      </c>
      <c r="I123" s="26">
        <v>-122</v>
      </c>
      <c r="J123" s="26">
        <v>1951</v>
      </c>
      <c r="K123" s="26">
        <v>2008</v>
      </c>
      <c r="L123" s="26">
        <f t="shared" si="4"/>
        <v>58</v>
      </c>
      <c r="M123" s="24" t="s">
        <v>369</v>
      </c>
      <c r="N123" s="24" t="s">
        <v>538</v>
      </c>
      <c r="O123" s="24" t="s">
        <v>424</v>
      </c>
      <c r="P123" s="24" t="s">
        <v>51</v>
      </c>
      <c r="Q123" s="24" t="s">
        <v>235</v>
      </c>
      <c r="R123" s="27" t="s">
        <v>849</v>
      </c>
      <c r="S123" s="27" t="s">
        <v>1076</v>
      </c>
      <c r="T123" s="24">
        <v>227</v>
      </c>
      <c r="U123" s="33" t="s">
        <v>1068</v>
      </c>
      <c r="V123" s="24">
        <v>-6.9</v>
      </c>
      <c r="W123" s="24" t="s">
        <v>3</v>
      </c>
      <c r="X123" s="24" t="s">
        <v>3</v>
      </c>
      <c r="Y123" s="24" t="s">
        <v>366</v>
      </c>
      <c r="Z123" s="4" t="str">
        <f t="shared" si="3"/>
        <v>Y</v>
      </c>
      <c r="AA123" s="24" t="s">
        <v>1190</v>
      </c>
      <c r="AB123" s="24" t="s">
        <v>1191</v>
      </c>
      <c r="AC123" s="24" t="s">
        <v>251</v>
      </c>
      <c r="AD123" s="24" t="s">
        <v>1100</v>
      </c>
      <c r="AE123" s="28" t="s">
        <v>1153</v>
      </c>
      <c r="AF123" s="28" t="s">
        <v>3</v>
      </c>
      <c r="AG123" s="24" t="s">
        <v>1100</v>
      </c>
    </row>
    <row r="124" spans="1:33" s="24" customFormat="1" x14ac:dyDescent="0.2">
      <c r="A124" s="24">
        <v>130</v>
      </c>
      <c r="B124" s="24" t="s">
        <v>366</v>
      </c>
      <c r="C124" s="24" t="s">
        <v>285</v>
      </c>
      <c r="E124" s="24">
        <v>2015</v>
      </c>
      <c r="F124" s="24" t="s">
        <v>71</v>
      </c>
      <c r="G124" s="24" t="s">
        <v>513</v>
      </c>
      <c r="H124" s="25">
        <v>34</v>
      </c>
      <c r="I124" s="26">
        <v>-122</v>
      </c>
      <c r="J124" s="26">
        <v>1951</v>
      </c>
      <c r="K124" s="26">
        <v>2008</v>
      </c>
      <c r="L124" s="26">
        <f t="shared" si="4"/>
        <v>58</v>
      </c>
      <c r="M124" s="24" t="s">
        <v>369</v>
      </c>
      <c r="N124" s="24" t="s">
        <v>538</v>
      </c>
      <c r="O124" s="24" t="s">
        <v>424</v>
      </c>
      <c r="P124" s="24" t="s">
        <v>51</v>
      </c>
      <c r="Q124" s="24" t="s">
        <v>236</v>
      </c>
      <c r="R124" s="27" t="s">
        <v>849</v>
      </c>
      <c r="S124" s="27" t="s">
        <v>1076</v>
      </c>
      <c r="T124" s="24">
        <v>135</v>
      </c>
      <c r="U124" s="33" t="s">
        <v>901</v>
      </c>
      <c r="V124" s="24">
        <v>-1</v>
      </c>
      <c r="W124" s="24" t="s">
        <v>3</v>
      </c>
      <c r="X124" s="24" t="s">
        <v>3</v>
      </c>
      <c r="Y124" s="24" t="s">
        <v>366</v>
      </c>
      <c r="Z124" s="4" t="str">
        <f t="shared" si="3"/>
        <v>Y</v>
      </c>
      <c r="AA124" s="24" t="s">
        <v>1190</v>
      </c>
      <c r="AB124" s="24" t="s">
        <v>1191</v>
      </c>
      <c r="AC124" s="24" t="s">
        <v>251</v>
      </c>
      <c r="AD124" s="24" t="s">
        <v>1100</v>
      </c>
      <c r="AE124" s="28" t="s">
        <v>1153</v>
      </c>
      <c r="AF124" s="28" t="s">
        <v>3</v>
      </c>
      <c r="AG124" s="24" t="s">
        <v>1100</v>
      </c>
    </row>
    <row r="125" spans="1:33" s="24" customFormat="1" x14ac:dyDescent="0.2">
      <c r="A125" s="24">
        <v>131</v>
      </c>
      <c r="B125" s="24" t="s">
        <v>366</v>
      </c>
      <c r="C125" s="24" t="s">
        <v>286</v>
      </c>
      <c r="E125" s="24">
        <v>2015</v>
      </c>
      <c r="F125" s="24" t="s">
        <v>71</v>
      </c>
      <c r="G125" s="24" t="s">
        <v>513</v>
      </c>
      <c r="H125" s="25">
        <v>34</v>
      </c>
      <c r="I125" s="26">
        <v>-122</v>
      </c>
      <c r="J125" s="26">
        <v>1951</v>
      </c>
      <c r="K125" s="26">
        <v>2008</v>
      </c>
      <c r="L125" s="26">
        <f t="shared" si="4"/>
        <v>58</v>
      </c>
      <c r="M125" s="24" t="s">
        <v>369</v>
      </c>
      <c r="N125" s="24" t="s">
        <v>538</v>
      </c>
      <c r="O125" s="24" t="s">
        <v>424</v>
      </c>
      <c r="P125" s="24" t="s">
        <v>51</v>
      </c>
      <c r="Q125" s="24" t="s">
        <v>237</v>
      </c>
      <c r="R125" s="27" t="s">
        <v>849</v>
      </c>
      <c r="S125" s="27" t="s">
        <v>1076</v>
      </c>
      <c r="T125" s="24">
        <v>166</v>
      </c>
      <c r="U125" s="33" t="s">
        <v>1068</v>
      </c>
      <c r="V125" s="24">
        <v>-5.6</v>
      </c>
      <c r="W125" s="24" t="s">
        <v>3</v>
      </c>
      <c r="X125" s="24" t="s">
        <v>3</v>
      </c>
      <c r="Y125" s="24" t="s">
        <v>366</v>
      </c>
      <c r="Z125" s="4" t="str">
        <f t="shared" si="3"/>
        <v>Y</v>
      </c>
      <c r="AA125" s="24" t="s">
        <v>1190</v>
      </c>
      <c r="AB125" s="24" t="s">
        <v>1191</v>
      </c>
      <c r="AC125" s="24" t="s">
        <v>251</v>
      </c>
      <c r="AD125" s="24" t="s">
        <v>1100</v>
      </c>
      <c r="AE125" s="28" t="s">
        <v>1153</v>
      </c>
      <c r="AF125" s="28" t="s">
        <v>3</v>
      </c>
      <c r="AG125" s="24" t="s">
        <v>1100</v>
      </c>
    </row>
    <row r="126" spans="1:33" s="24" customFormat="1" x14ac:dyDescent="0.2">
      <c r="A126" s="24">
        <v>132</v>
      </c>
      <c r="B126" s="24" t="s">
        <v>366</v>
      </c>
      <c r="C126" s="24" t="s">
        <v>287</v>
      </c>
      <c r="E126" s="24">
        <v>2015</v>
      </c>
      <c r="F126" s="24" t="s">
        <v>71</v>
      </c>
      <c r="G126" s="24" t="s">
        <v>513</v>
      </c>
      <c r="H126" s="25">
        <v>34</v>
      </c>
      <c r="I126" s="26">
        <v>-122</v>
      </c>
      <c r="J126" s="26">
        <v>1951</v>
      </c>
      <c r="K126" s="26">
        <v>2008</v>
      </c>
      <c r="L126" s="26">
        <f t="shared" si="4"/>
        <v>58</v>
      </c>
      <c r="M126" s="24" t="s">
        <v>369</v>
      </c>
      <c r="N126" s="24" t="s">
        <v>538</v>
      </c>
      <c r="O126" s="24" t="s">
        <v>424</v>
      </c>
      <c r="P126" s="24" t="s">
        <v>51</v>
      </c>
      <c r="Q126" s="24" t="s">
        <v>238</v>
      </c>
      <c r="R126" s="27" t="s">
        <v>849</v>
      </c>
      <c r="S126" s="27" t="s">
        <v>1076</v>
      </c>
      <c r="T126" s="24">
        <v>288</v>
      </c>
      <c r="U126" s="33" t="s">
        <v>900</v>
      </c>
      <c r="V126" s="24">
        <v>3.5</v>
      </c>
      <c r="W126" s="29" t="s">
        <v>24</v>
      </c>
      <c r="X126" s="24" t="s">
        <v>3</v>
      </c>
      <c r="Y126" s="24" t="s">
        <v>366</v>
      </c>
      <c r="Z126" s="4" t="str">
        <f t="shared" si="3"/>
        <v>Y</v>
      </c>
      <c r="AA126" s="24" t="s">
        <v>1190</v>
      </c>
      <c r="AB126" s="24" t="s">
        <v>1191</v>
      </c>
      <c r="AC126" s="24" t="s">
        <v>251</v>
      </c>
      <c r="AD126" s="24" t="s">
        <v>1100</v>
      </c>
      <c r="AE126" s="28" t="s">
        <v>1153</v>
      </c>
      <c r="AF126" s="28" t="s">
        <v>3</v>
      </c>
      <c r="AG126" s="24" t="s">
        <v>1100</v>
      </c>
    </row>
    <row r="127" spans="1:33" s="24" customFormat="1" x14ac:dyDescent="0.2">
      <c r="A127" s="24">
        <v>133</v>
      </c>
      <c r="B127" s="24" t="s">
        <v>366</v>
      </c>
      <c r="C127" s="24" t="s">
        <v>288</v>
      </c>
      <c r="E127" s="24">
        <v>2015</v>
      </c>
      <c r="F127" s="24" t="s">
        <v>71</v>
      </c>
      <c r="G127" s="24" t="s">
        <v>513</v>
      </c>
      <c r="H127" s="25">
        <v>34</v>
      </c>
      <c r="I127" s="26">
        <v>-122</v>
      </c>
      <c r="J127" s="26">
        <v>1951</v>
      </c>
      <c r="K127" s="26">
        <v>2008</v>
      </c>
      <c r="L127" s="26">
        <f t="shared" si="4"/>
        <v>58</v>
      </c>
      <c r="M127" s="24" t="s">
        <v>369</v>
      </c>
      <c r="N127" s="24" t="s">
        <v>538</v>
      </c>
      <c r="O127" s="24" t="s">
        <v>424</v>
      </c>
      <c r="P127" s="24" t="s">
        <v>51</v>
      </c>
      <c r="Q127" s="24" t="s">
        <v>250</v>
      </c>
      <c r="R127" s="27" t="s">
        <v>849</v>
      </c>
      <c r="S127" s="27" t="s">
        <v>1076</v>
      </c>
      <c r="T127" s="24">
        <v>46</v>
      </c>
      <c r="U127" s="33" t="s">
        <v>1069</v>
      </c>
      <c r="V127" s="24">
        <v>0.5</v>
      </c>
      <c r="W127" s="29" t="s">
        <v>24</v>
      </c>
      <c r="X127" s="24" t="s">
        <v>3</v>
      </c>
      <c r="Y127" s="24" t="s">
        <v>366</v>
      </c>
      <c r="Z127" s="4" t="str">
        <f t="shared" si="3"/>
        <v>Y</v>
      </c>
      <c r="AA127" s="24" t="s">
        <v>1190</v>
      </c>
      <c r="AB127" s="24" t="s">
        <v>1191</v>
      </c>
      <c r="AC127" s="24" t="s">
        <v>251</v>
      </c>
      <c r="AD127" s="24" t="s">
        <v>1100</v>
      </c>
      <c r="AE127" s="28" t="s">
        <v>1153</v>
      </c>
      <c r="AF127" s="28" t="s">
        <v>3</v>
      </c>
      <c r="AG127" s="24" t="s">
        <v>1100</v>
      </c>
    </row>
    <row r="128" spans="1:33" s="24" customFormat="1" x14ac:dyDescent="0.2">
      <c r="A128" s="24">
        <v>133</v>
      </c>
      <c r="B128" s="24" t="s">
        <v>366</v>
      </c>
      <c r="C128" s="24" t="s">
        <v>288</v>
      </c>
      <c r="E128" s="24">
        <v>2015</v>
      </c>
      <c r="F128" s="24" t="s">
        <v>71</v>
      </c>
      <c r="G128" s="24" t="s">
        <v>513</v>
      </c>
      <c r="H128" s="25">
        <v>34</v>
      </c>
      <c r="I128" s="26">
        <v>-122</v>
      </c>
      <c r="J128" s="26">
        <v>1951</v>
      </c>
      <c r="K128" s="26">
        <v>2008</v>
      </c>
      <c r="L128" s="26">
        <f t="shared" si="4"/>
        <v>58</v>
      </c>
      <c r="M128" s="24" t="s">
        <v>369</v>
      </c>
      <c r="N128" s="24" t="s">
        <v>538</v>
      </c>
      <c r="O128" s="24" t="s">
        <v>424</v>
      </c>
      <c r="P128" s="24" t="s">
        <v>51</v>
      </c>
      <c r="Q128" s="24" t="s">
        <v>1185</v>
      </c>
      <c r="R128" s="27" t="s">
        <v>849</v>
      </c>
      <c r="S128" s="27" t="s">
        <v>1076</v>
      </c>
      <c r="T128" s="24">
        <v>288</v>
      </c>
      <c r="U128" s="33" t="s">
        <v>900</v>
      </c>
      <c r="V128" s="24">
        <v>5.4</v>
      </c>
      <c r="W128" s="29" t="s">
        <v>24</v>
      </c>
      <c r="X128" s="24" t="s">
        <v>3</v>
      </c>
      <c r="Y128" s="24" t="s">
        <v>366</v>
      </c>
      <c r="Z128" s="4" t="str">
        <f t="shared" si="3"/>
        <v>Y</v>
      </c>
      <c r="AA128" s="24" t="s">
        <v>1190</v>
      </c>
      <c r="AB128" s="24" t="s">
        <v>1191</v>
      </c>
      <c r="AD128" s="24" t="s">
        <v>1100</v>
      </c>
      <c r="AE128" s="28" t="s">
        <v>1153</v>
      </c>
      <c r="AF128" s="28" t="s">
        <v>24</v>
      </c>
      <c r="AG128" s="24" t="s">
        <v>1100</v>
      </c>
    </row>
    <row r="129" spans="1:33" s="24" customFormat="1" x14ac:dyDescent="0.2">
      <c r="A129" s="24">
        <v>134</v>
      </c>
      <c r="B129" s="24" t="s">
        <v>366</v>
      </c>
      <c r="C129" s="24" t="s">
        <v>289</v>
      </c>
      <c r="E129" s="24">
        <v>2015</v>
      </c>
      <c r="F129" s="24" t="s">
        <v>71</v>
      </c>
      <c r="G129" s="24" t="s">
        <v>513</v>
      </c>
      <c r="H129" s="25">
        <v>34</v>
      </c>
      <c r="I129" s="26">
        <v>-122</v>
      </c>
      <c r="J129" s="26">
        <v>1951</v>
      </c>
      <c r="K129" s="26">
        <v>2008</v>
      </c>
      <c r="L129" s="26">
        <f t="shared" si="4"/>
        <v>58</v>
      </c>
      <c r="M129" s="24" t="s">
        <v>369</v>
      </c>
      <c r="N129" s="24" t="s">
        <v>538</v>
      </c>
      <c r="O129" s="24" t="s">
        <v>424</v>
      </c>
      <c r="P129" s="24" t="s">
        <v>51</v>
      </c>
      <c r="Q129" s="24" t="s">
        <v>239</v>
      </c>
      <c r="R129" s="27" t="s">
        <v>849</v>
      </c>
      <c r="S129" s="27" t="s">
        <v>1076</v>
      </c>
      <c r="T129" s="24">
        <v>288</v>
      </c>
      <c r="U129" s="33" t="s">
        <v>900</v>
      </c>
      <c r="V129" s="24">
        <v>16</v>
      </c>
      <c r="W129" s="29" t="s">
        <v>24</v>
      </c>
      <c r="X129" s="24" t="s">
        <v>3</v>
      </c>
      <c r="Y129" s="24" t="s">
        <v>366</v>
      </c>
      <c r="Z129" s="4" t="str">
        <f t="shared" si="3"/>
        <v>Y</v>
      </c>
      <c r="AA129" s="24" t="s">
        <v>1190</v>
      </c>
      <c r="AB129" s="24" t="s">
        <v>1191</v>
      </c>
      <c r="AC129" s="24" t="s">
        <v>251</v>
      </c>
      <c r="AD129" s="24" t="s">
        <v>1100</v>
      </c>
      <c r="AE129" s="28" t="s">
        <v>1153</v>
      </c>
      <c r="AF129" s="28" t="s">
        <v>3</v>
      </c>
      <c r="AG129" s="24" t="s">
        <v>1100</v>
      </c>
    </row>
    <row r="130" spans="1:33" s="24" customFormat="1" x14ac:dyDescent="0.2">
      <c r="A130" s="24">
        <v>135</v>
      </c>
      <c r="B130" s="24" t="s">
        <v>366</v>
      </c>
      <c r="C130" s="24" t="s">
        <v>290</v>
      </c>
      <c r="E130" s="24">
        <v>2015</v>
      </c>
      <c r="F130" s="24" t="s">
        <v>71</v>
      </c>
      <c r="G130" s="24" t="s">
        <v>513</v>
      </c>
      <c r="H130" s="25">
        <v>34</v>
      </c>
      <c r="I130" s="26">
        <v>-122</v>
      </c>
      <c r="J130" s="26">
        <v>1951</v>
      </c>
      <c r="K130" s="26">
        <v>2008</v>
      </c>
      <c r="L130" s="26">
        <f t="shared" si="4"/>
        <v>58</v>
      </c>
      <c r="M130" s="24" t="s">
        <v>369</v>
      </c>
      <c r="N130" s="24" t="s">
        <v>538</v>
      </c>
      <c r="O130" s="24" t="s">
        <v>424</v>
      </c>
      <c r="P130" s="24" t="s">
        <v>51</v>
      </c>
      <c r="Q130" s="24" t="s">
        <v>1182</v>
      </c>
      <c r="R130" s="27" t="s">
        <v>849</v>
      </c>
      <c r="S130" s="27" t="s">
        <v>1076</v>
      </c>
      <c r="T130" s="24">
        <v>258</v>
      </c>
      <c r="U130" s="33" t="s">
        <v>900</v>
      </c>
      <c r="V130" s="24">
        <v>-7</v>
      </c>
      <c r="W130" s="29" t="s">
        <v>3</v>
      </c>
      <c r="X130" s="24" t="s">
        <v>3</v>
      </c>
      <c r="Y130" s="24" t="s">
        <v>366</v>
      </c>
      <c r="Z130" s="4" t="str">
        <f t="shared" ref="Z130:Z193" si="5">IF(L130&gt;=19,"Y","N")</f>
        <v>Y</v>
      </c>
      <c r="AA130" s="24" t="s">
        <v>1190</v>
      </c>
      <c r="AB130" s="24" t="s">
        <v>1191</v>
      </c>
      <c r="AD130" s="24" t="s">
        <v>1100</v>
      </c>
      <c r="AE130" s="28" t="s">
        <v>1153</v>
      </c>
      <c r="AF130" s="28" t="s">
        <v>24</v>
      </c>
      <c r="AG130" s="24" t="s">
        <v>1100</v>
      </c>
    </row>
    <row r="131" spans="1:33" s="24" customFormat="1" x14ac:dyDescent="0.2">
      <c r="A131" s="24">
        <v>135</v>
      </c>
      <c r="B131" s="24" t="s">
        <v>366</v>
      </c>
      <c r="C131" s="24" t="s">
        <v>290</v>
      </c>
      <c r="E131" s="24">
        <v>2015</v>
      </c>
      <c r="F131" s="24" t="s">
        <v>71</v>
      </c>
      <c r="G131" s="24" t="s">
        <v>513</v>
      </c>
      <c r="H131" s="25">
        <v>34</v>
      </c>
      <c r="I131" s="26">
        <v>-122</v>
      </c>
      <c r="J131" s="26">
        <v>1951</v>
      </c>
      <c r="K131" s="26">
        <v>2008</v>
      </c>
      <c r="L131" s="26">
        <f t="shared" si="4"/>
        <v>58</v>
      </c>
      <c r="M131" s="24" t="s">
        <v>369</v>
      </c>
      <c r="N131" s="24" t="s">
        <v>538</v>
      </c>
      <c r="O131" s="24" t="s">
        <v>424</v>
      </c>
      <c r="P131" s="24" t="s">
        <v>51</v>
      </c>
      <c r="Q131" s="24" t="s">
        <v>1183</v>
      </c>
      <c r="R131" s="27" t="s">
        <v>849</v>
      </c>
      <c r="S131" s="27" t="s">
        <v>1076</v>
      </c>
      <c r="T131" s="24">
        <v>319</v>
      </c>
      <c r="U131" s="33" t="s">
        <v>900</v>
      </c>
      <c r="V131" s="24">
        <v>-7.9</v>
      </c>
      <c r="W131" s="24" t="s">
        <v>3</v>
      </c>
      <c r="X131" s="24" t="s">
        <v>3</v>
      </c>
      <c r="Y131" s="24" t="s">
        <v>366</v>
      </c>
      <c r="Z131" s="4" t="str">
        <f t="shared" si="5"/>
        <v>Y</v>
      </c>
      <c r="AA131" s="24" t="s">
        <v>1190</v>
      </c>
      <c r="AB131" s="24" t="s">
        <v>1191</v>
      </c>
      <c r="AD131" s="24" t="s">
        <v>1100</v>
      </c>
      <c r="AE131" s="28" t="s">
        <v>1153</v>
      </c>
      <c r="AF131" s="28" t="s">
        <v>24</v>
      </c>
      <c r="AG131" s="24" t="s">
        <v>1100</v>
      </c>
    </row>
    <row r="132" spans="1:33" s="24" customFormat="1" x14ac:dyDescent="0.2">
      <c r="A132" s="24">
        <v>135</v>
      </c>
      <c r="B132" s="24" t="s">
        <v>366</v>
      </c>
      <c r="C132" s="24" t="s">
        <v>290</v>
      </c>
      <c r="E132" s="24">
        <v>2015</v>
      </c>
      <c r="F132" s="24" t="s">
        <v>71</v>
      </c>
      <c r="G132" s="24" t="s">
        <v>513</v>
      </c>
      <c r="H132" s="25">
        <v>34</v>
      </c>
      <c r="I132" s="26">
        <v>-122</v>
      </c>
      <c r="J132" s="26">
        <v>1951</v>
      </c>
      <c r="K132" s="26">
        <v>2008</v>
      </c>
      <c r="L132" s="26">
        <f t="shared" si="4"/>
        <v>58</v>
      </c>
      <c r="M132" s="24" t="s">
        <v>369</v>
      </c>
      <c r="N132" s="24" t="s">
        <v>538</v>
      </c>
      <c r="O132" s="24" t="s">
        <v>424</v>
      </c>
      <c r="P132" s="24" t="s">
        <v>51</v>
      </c>
      <c r="Q132" s="24" t="s">
        <v>1189</v>
      </c>
      <c r="R132" s="27" t="s">
        <v>849</v>
      </c>
      <c r="S132" s="27" t="s">
        <v>1076</v>
      </c>
      <c r="T132" s="24">
        <v>258</v>
      </c>
      <c r="U132" s="33" t="s">
        <v>900</v>
      </c>
      <c r="V132" s="24">
        <v>3</v>
      </c>
      <c r="W132" s="24" t="s">
        <v>24</v>
      </c>
      <c r="X132" s="24" t="s">
        <v>3</v>
      </c>
      <c r="Y132" s="24" t="s">
        <v>366</v>
      </c>
      <c r="Z132" s="4" t="str">
        <f t="shared" si="5"/>
        <v>Y</v>
      </c>
      <c r="AA132" s="24" t="s">
        <v>1190</v>
      </c>
      <c r="AB132" s="24" t="s">
        <v>1191</v>
      </c>
      <c r="AD132" s="24" t="s">
        <v>1100</v>
      </c>
      <c r="AE132" s="28" t="s">
        <v>1153</v>
      </c>
      <c r="AF132" s="28" t="s">
        <v>24</v>
      </c>
      <c r="AG132" s="24" t="s">
        <v>1100</v>
      </c>
    </row>
    <row r="133" spans="1:33" s="24" customFormat="1" x14ac:dyDescent="0.2">
      <c r="A133" s="24">
        <v>135</v>
      </c>
      <c r="B133" s="24" t="s">
        <v>366</v>
      </c>
      <c r="C133" s="24" t="s">
        <v>290</v>
      </c>
      <c r="E133" s="24">
        <v>2015</v>
      </c>
      <c r="F133" s="24" t="s">
        <v>71</v>
      </c>
      <c r="G133" s="24" t="s">
        <v>513</v>
      </c>
      <c r="H133" s="25">
        <v>34</v>
      </c>
      <c r="I133" s="26">
        <v>-122</v>
      </c>
      <c r="J133" s="26">
        <v>1951</v>
      </c>
      <c r="K133" s="26">
        <v>2008</v>
      </c>
      <c r="L133" s="26">
        <f t="shared" si="4"/>
        <v>58</v>
      </c>
      <c r="M133" s="24" t="s">
        <v>369</v>
      </c>
      <c r="N133" s="24" t="s">
        <v>538</v>
      </c>
      <c r="O133" s="24" t="s">
        <v>424</v>
      </c>
      <c r="P133" s="24" t="s">
        <v>51</v>
      </c>
      <c r="Q133" s="24" t="s">
        <v>1188</v>
      </c>
      <c r="R133" s="27" t="s">
        <v>849</v>
      </c>
      <c r="S133" s="27" t="s">
        <v>1076</v>
      </c>
      <c r="T133" s="24">
        <v>196</v>
      </c>
      <c r="U133" s="33" t="s">
        <v>1068</v>
      </c>
      <c r="V133" s="24">
        <v>-4.0999999999999996</v>
      </c>
      <c r="W133" s="24" t="s">
        <v>3</v>
      </c>
      <c r="X133" s="24" t="s">
        <v>3</v>
      </c>
      <c r="Y133" s="24" t="s">
        <v>366</v>
      </c>
      <c r="Z133" s="4" t="str">
        <f t="shared" si="5"/>
        <v>Y</v>
      </c>
      <c r="AA133" s="24" t="s">
        <v>1190</v>
      </c>
      <c r="AB133" s="24" t="s">
        <v>1191</v>
      </c>
      <c r="AD133" s="24" t="s">
        <v>1100</v>
      </c>
      <c r="AE133" s="28" t="s">
        <v>1153</v>
      </c>
      <c r="AF133" s="28" t="s">
        <v>24</v>
      </c>
      <c r="AG133" s="24" t="s">
        <v>1100</v>
      </c>
    </row>
    <row r="134" spans="1:33" s="24" customFormat="1" x14ac:dyDescent="0.2">
      <c r="A134" s="24">
        <v>135</v>
      </c>
      <c r="B134" s="24" t="s">
        <v>366</v>
      </c>
      <c r="C134" s="24" t="s">
        <v>290</v>
      </c>
      <c r="E134" s="24">
        <v>2015</v>
      </c>
      <c r="F134" s="24" t="s">
        <v>71</v>
      </c>
      <c r="G134" s="24" t="s">
        <v>513</v>
      </c>
      <c r="H134" s="25">
        <v>34</v>
      </c>
      <c r="I134" s="26">
        <v>-122</v>
      </c>
      <c r="J134" s="26">
        <v>1951</v>
      </c>
      <c r="K134" s="26">
        <v>2008</v>
      </c>
      <c r="L134" s="26">
        <f t="shared" si="4"/>
        <v>58</v>
      </c>
      <c r="M134" s="24" t="s">
        <v>369</v>
      </c>
      <c r="N134" s="24" t="s">
        <v>538</v>
      </c>
      <c r="O134" s="24" t="s">
        <v>424</v>
      </c>
      <c r="P134" s="24" t="s">
        <v>51</v>
      </c>
      <c r="Q134" s="24" t="s">
        <v>1187</v>
      </c>
      <c r="R134" s="27" t="s">
        <v>849</v>
      </c>
      <c r="S134" s="27" t="s">
        <v>1076</v>
      </c>
      <c r="T134" s="24">
        <v>166</v>
      </c>
      <c r="U134" s="33" t="s">
        <v>1068</v>
      </c>
      <c r="V134" s="24">
        <v>5.7</v>
      </c>
      <c r="W134" s="24" t="s">
        <v>24</v>
      </c>
      <c r="X134" s="24" t="s">
        <v>3</v>
      </c>
      <c r="Y134" s="24" t="s">
        <v>366</v>
      </c>
      <c r="Z134" s="4" t="str">
        <f t="shared" si="5"/>
        <v>Y</v>
      </c>
      <c r="AA134" s="24" t="s">
        <v>1190</v>
      </c>
      <c r="AB134" s="24" t="s">
        <v>1191</v>
      </c>
      <c r="AD134" s="24" t="s">
        <v>1100</v>
      </c>
      <c r="AE134" s="28" t="s">
        <v>1153</v>
      </c>
      <c r="AF134" s="28" t="s">
        <v>24</v>
      </c>
      <c r="AG134" s="24" t="s">
        <v>1100</v>
      </c>
    </row>
    <row r="135" spans="1:33" s="24" customFormat="1" x14ac:dyDescent="0.2">
      <c r="A135" s="24">
        <v>135</v>
      </c>
      <c r="B135" s="24" t="s">
        <v>366</v>
      </c>
      <c r="C135" s="24" t="s">
        <v>290</v>
      </c>
      <c r="E135" s="24">
        <v>2015</v>
      </c>
      <c r="F135" s="24" t="s">
        <v>71</v>
      </c>
      <c r="G135" s="24" t="s">
        <v>513</v>
      </c>
      <c r="H135" s="25">
        <v>34</v>
      </c>
      <c r="I135" s="26">
        <v>-122</v>
      </c>
      <c r="J135" s="26">
        <v>1951</v>
      </c>
      <c r="K135" s="26">
        <v>2008</v>
      </c>
      <c r="L135" s="26">
        <f t="shared" si="4"/>
        <v>58</v>
      </c>
      <c r="M135" s="24" t="s">
        <v>369</v>
      </c>
      <c r="N135" s="24" t="s">
        <v>538</v>
      </c>
      <c r="O135" s="24" t="s">
        <v>424</v>
      </c>
      <c r="P135" s="24" t="s">
        <v>51</v>
      </c>
      <c r="Q135" s="24" t="s">
        <v>1186</v>
      </c>
      <c r="R135" s="27" t="s">
        <v>849</v>
      </c>
      <c r="S135" s="27" t="s">
        <v>1076</v>
      </c>
      <c r="T135" s="24">
        <v>258</v>
      </c>
      <c r="U135" s="33" t="s">
        <v>900</v>
      </c>
      <c r="V135" s="24">
        <v>5.6</v>
      </c>
      <c r="W135" s="29" t="s">
        <v>24</v>
      </c>
      <c r="X135" s="24" t="s">
        <v>3</v>
      </c>
      <c r="Y135" s="24" t="s">
        <v>366</v>
      </c>
      <c r="Z135" s="4" t="str">
        <f t="shared" si="5"/>
        <v>Y</v>
      </c>
      <c r="AA135" s="24" t="s">
        <v>1190</v>
      </c>
      <c r="AB135" s="24" t="s">
        <v>1191</v>
      </c>
      <c r="AD135" s="24" t="s">
        <v>1100</v>
      </c>
      <c r="AE135" s="28" t="s">
        <v>1153</v>
      </c>
      <c r="AF135" s="28" t="s">
        <v>24</v>
      </c>
      <c r="AG135" s="24" t="s">
        <v>1100</v>
      </c>
    </row>
    <row r="136" spans="1:33" s="24" customFormat="1" x14ac:dyDescent="0.2">
      <c r="A136" s="24">
        <v>135</v>
      </c>
      <c r="B136" s="24" t="s">
        <v>366</v>
      </c>
      <c r="C136" s="24" t="s">
        <v>290</v>
      </c>
      <c r="E136" s="24">
        <v>2015</v>
      </c>
      <c r="F136" s="24" t="s">
        <v>71</v>
      </c>
      <c r="G136" s="24" t="s">
        <v>513</v>
      </c>
      <c r="H136" s="25">
        <v>34</v>
      </c>
      <c r="I136" s="26">
        <v>-122</v>
      </c>
      <c r="J136" s="26">
        <v>1951</v>
      </c>
      <c r="K136" s="26">
        <v>2008</v>
      </c>
      <c r="L136" s="26">
        <f t="shared" si="4"/>
        <v>58</v>
      </c>
      <c r="M136" s="24" t="s">
        <v>369</v>
      </c>
      <c r="N136" s="24" t="s">
        <v>538</v>
      </c>
      <c r="O136" s="24" t="s">
        <v>424</v>
      </c>
      <c r="P136" s="24" t="s">
        <v>51</v>
      </c>
      <c r="Q136" s="24" t="s">
        <v>249</v>
      </c>
      <c r="R136" s="27" t="s">
        <v>849</v>
      </c>
      <c r="S136" s="27" t="s">
        <v>1076</v>
      </c>
      <c r="T136" s="24">
        <v>74</v>
      </c>
      <c r="U136" s="33" t="s">
        <v>901</v>
      </c>
      <c r="V136" s="24">
        <v>7.2</v>
      </c>
      <c r="W136" s="29" t="s">
        <v>24</v>
      </c>
      <c r="X136" s="24" t="s">
        <v>3</v>
      </c>
      <c r="Y136" s="24" t="s">
        <v>366</v>
      </c>
      <c r="Z136" s="4" t="str">
        <f t="shared" si="5"/>
        <v>Y</v>
      </c>
      <c r="AA136" s="24" t="s">
        <v>1190</v>
      </c>
      <c r="AB136" s="24" t="s">
        <v>1191</v>
      </c>
      <c r="AC136" s="24" t="s">
        <v>251</v>
      </c>
      <c r="AD136" s="24" t="s">
        <v>1100</v>
      </c>
      <c r="AE136" s="28" t="s">
        <v>1153</v>
      </c>
      <c r="AF136" s="28" t="s">
        <v>3</v>
      </c>
      <c r="AG136" s="24" t="s">
        <v>1100</v>
      </c>
    </row>
    <row r="137" spans="1:33" s="24" customFormat="1" x14ac:dyDescent="0.2">
      <c r="A137" s="24">
        <v>135</v>
      </c>
      <c r="B137" s="24" t="s">
        <v>366</v>
      </c>
      <c r="C137" s="24" t="s">
        <v>290</v>
      </c>
      <c r="E137" s="24">
        <v>2015</v>
      </c>
      <c r="F137" s="24" t="s">
        <v>71</v>
      </c>
      <c r="G137" s="24" t="s">
        <v>513</v>
      </c>
      <c r="H137" s="25">
        <v>34</v>
      </c>
      <c r="I137" s="26">
        <v>-122</v>
      </c>
      <c r="J137" s="26">
        <v>1951</v>
      </c>
      <c r="K137" s="26">
        <v>2008</v>
      </c>
      <c r="L137" s="26">
        <f t="shared" si="4"/>
        <v>58</v>
      </c>
      <c r="M137" s="24" t="s">
        <v>369</v>
      </c>
      <c r="N137" s="24" t="s">
        <v>538</v>
      </c>
      <c r="O137" s="24" t="s">
        <v>424</v>
      </c>
      <c r="P137" s="24" t="s">
        <v>51</v>
      </c>
      <c r="Q137" s="24" t="s">
        <v>1184</v>
      </c>
      <c r="R137" s="27" t="s">
        <v>849</v>
      </c>
      <c r="S137" s="27" t="s">
        <v>1076</v>
      </c>
      <c r="T137" s="24">
        <v>196</v>
      </c>
      <c r="U137" s="33" t="s">
        <v>1068</v>
      </c>
      <c r="V137" s="24">
        <v>3.4</v>
      </c>
      <c r="W137" s="29" t="s">
        <v>24</v>
      </c>
      <c r="X137" s="24" t="s">
        <v>3</v>
      </c>
      <c r="Y137" s="24" t="s">
        <v>366</v>
      </c>
      <c r="Z137" s="4" t="str">
        <f t="shared" si="5"/>
        <v>Y</v>
      </c>
      <c r="AA137" s="24" t="s">
        <v>1190</v>
      </c>
      <c r="AB137" s="24" t="s">
        <v>1191</v>
      </c>
      <c r="AD137" s="24" t="s">
        <v>1100</v>
      </c>
      <c r="AE137" s="28" t="s">
        <v>1153</v>
      </c>
      <c r="AF137" s="28" t="s">
        <v>24</v>
      </c>
      <c r="AG137" s="24" t="s">
        <v>1100</v>
      </c>
    </row>
    <row r="138" spans="1:33" s="24" customFormat="1" x14ac:dyDescent="0.2">
      <c r="A138" s="24">
        <v>135</v>
      </c>
      <c r="B138" s="24" t="s">
        <v>366</v>
      </c>
      <c r="C138" s="24" t="s">
        <v>290</v>
      </c>
      <c r="E138" s="24">
        <v>2015</v>
      </c>
      <c r="F138" s="24" t="s">
        <v>71</v>
      </c>
      <c r="G138" s="24" t="s">
        <v>513</v>
      </c>
      <c r="H138" s="25">
        <v>34</v>
      </c>
      <c r="I138" s="26">
        <v>-122</v>
      </c>
      <c r="J138" s="26">
        <v>1951</v>
      </c>
      <c r="K138" s="26">
        <v>2008</v>
      </c>
      <c r="L138" s="26">
        <f t="shared" si="4"/>
        <v>58</v>
      </c>
      <c r="M138" s="24" t="s">
        <v>369</v>
      </c>
      <c r="N138" s="24" t="s">
        <v>538</v>
      </c>
      <c r="O138" s="24" t="s">
        <v>424</v>
      </c>
      <c r="P138" s="24" t="s">
        <v>51</v>
      </c>
      <c r="Q138" s="24" t="s">
        <v>242</v>
      </c>
      <c r="R138" s="27" t="s">
        <v>849</v>
      </c>
      <c r="S138" s="27" t="s">
        <v>1076</v>
      </c>
      <c r="T138" s="24">
        <v>74</v>
      </c>
      <c r="U138" s="33" t="s">
        <v>901</v>
      </c>
      <c r="V138" s="24">
        <v>5.6</v>
      </c>
      <c r="W138" s="29" t="s">
        <v>24</v>
      </c>
      <c r="X138" s="24" t="s">
        <v>3</v>
      </c>
      <c r="Y138" s="24" t="s">
        <v>366</v>
      </c>
      <c r="Z138" s="4" t="str">
        <f t="shared" si="5"/>
        <v>Y</v>
      </c>
      <c r="AA138" s="24" t="s">
        <v>1190</v>
      </c>
      <c r="AB138" s="24" t="s">
        <v>1191</v>
      </c>
      <c r="AD138" s="24" t="s">
        <v>1100</v>
      </c>
      <c r="AE138" s="28" t="s">
        <v>1153</v>
      </c>
      <c r="AF138" s="28" t="s">
        <v>3</v>
      </c>
      <c r="AG138" s="24" t="s">
        <v>1100</v>
      </c>
    </row>
    <row r="139" spans="1:33" s="24" customFormat="1" x14ac:dyDescent="0.2">
      <c r="A139" s="24">
        <v>136</v>
      </c>
      <c r="B139" s="24" t="s">
        <v>366</v>
      </c>
      <c r="C139" s="24" t="s">
        <v>291</v>
      </c>
      <c r="E139" s="24">
        <v>2015</v>
      </c>
      <c r="F139" s="24" t="s">
        <v>71</v>
      </c>
      <c r="G139" s="24" t="s">
        <v>513</v>
      </c>
      <c r="H139" s="25">
        <v>34</v>
      </c>
      <c r="I139" s="26">
        <v>-122</v>
      </c>
      <c r="J139" s="26">
        <v>1951</v>
      </c>
      <c r="K139" s="26">
        <v>2008</v>
      </c>
      <c r="L139" s="26">
        <f t="shared" si="4"/>
        <v>58</v>
      </c>
      <c r="M139" s="24" t="s">
        <v>369</v>
      </c>
      <c r="N139" s="24" t="s">
        <v>538</v>
      </c>
      <c r="O139" s="24" t="s">
        <v>424</v>
      </c>
      <c r="P139" s="24" t="s">
        <v>51</v>
      </c>
      <c r="Q139" s="24" t="s">
        <v>240</v>
      </c>
      <c r="R139" s="27" t="s">
        <v>849</v>
      </c>
      <c r="S139" s="27" t="s">
        <v>1076</v>
      </c>
      <c r="T139" s="24">
        <v>105</v>
      </c>
      <c r="U139" s="33" t="s">
        <v>901</v>
      </c>
      <c r="V139" s="24">
        <v>-0.7</v>
      </c>
      <c r="W139" s="24" t="s">
        <v>3</v>
      </c>
      <c r="X139" s="24" t="s">
        <v>3</v>
      </c>
      <c r="Y139" s="24" t="s">
        <v>366</v>
      </c>
      <c r="Z139" s="4" t="str">
        <f t="shared" si="5"/>
        <v>Y</v>
      </c>
      <c r="AA139" s="24" t="s">
        <v>1190</v>
      </c>
      <c r="AB139" s="24" t="s">
        <v>1191</v>
      </c>
      <c r="AC139" s="24" t="s">
        <v>251</v>
      </c>
      <c r="AD139" s="24" t="s">
        <v>1100</v>
      </c>
      <c r="AE139" s="28" t="s">
        <v>1153</v>
      </c>
      <c r="AF139" s="28" t="s">
        <v>3</v>
      </c>
      <c r="AG139" s="24" t="s">
        <v>1100</v>
      </c>
    </row>
    <row r="140" spans="1:33" s="24" customFormat="1" x14ac:dyDescent="0.2">
      <c r="A140" s="24">
        <v>137</v>
      </c>
      <c r="B140" s="24" t="s">
        <v>366</v>
      </c>
      <c r="C140" s="24" t="s">
        <v>292</v>
      </c>
      <c r="E140" s="24">
        <v>2015</v>
      </c>
      <c r="F140" s="24" t="s">
        <v>71</v>
      </c>
      <c r="G140" s="24" t="s">
        <v>513</v>
      </c>
      <c r="H140" s="25">
        <v>34</v>
      </c>
      <c r="I140" s="26">
        <v>-122</v>
      </c>
      <c r="J140" s="26">
        <v>1951</v>
      </c>
      <c r="K140" s="26">
        <v>2008</v>
      </c>
      <c r="L140" s="26">
        <f t="shared" si="4"/>
        <v>58</v>
      </c>
      <c r="M140" s="24" t="s">
        <v>369</v>
      </c>
      <c r="N140" s="24" t="s">
        <v>538</v>
      </c>
      <c r="O140" s="24" t="s">
        <v>424</v>
      </c>
      <c r="P140" s="24" t="s">
        <v>51</v>
      </c>
      <c r="Q140" s="24" t="s">
        <v>241</v>
      </c>
      <c r="R140" s="27" t="s">
        <v>849</v>
      </c>
      <c r="S140" s="27" t="s">
        <v>1076</v>
      </c>
      <c r="T140" s="24">
        <v>74</v>
      </c>
      <c r="U140" s="33" t="s">
        <v>901</v>
      </c>
      <c r="V140" s="24">
        <v>-1.8</v>
      </c>
      <c r="W140" s="24" t="s">
        <v>3</v>
      </c>
      <c r="X140" s="24" t="s">
        <v>3</v>
      </c>
      <c r="Y140" s="24" t="s">
        <v>366</v>
      </c>
      <c r="Z140" s="4" t="str">
        <f t="shared" si="5"/>
        <v>Y</v>
      </c>
      <c r="AA140" s="24" t="s">
        <v>1190</v>
      </c>
      <c r="AB140" s="24" t="s">
        <v>1191</v>
      </c>
      <c r="AC140" s="24" t="s">
        <v>251</v>
      </c>
      <c r="AD140" s="24" t="s">
        <v>1100</v>
      </c>
      <c r="AE140" s="28" t="s">
        <v>1153</v>
      </c>
      <c r="AF140" s="28" t="s">
        <v>3</v>
      </c>
      <c r="AG140" s="24" t="s">
        <v>1100</v>
      </c>
    </row>
    <row r="141" spans="1:33" x14ac:dyDescent="0.2">
      <c r="A141">
        <v>363</v>
      </c>
      <c r="B141" t="s">
        <v>367</v>
      </c>
      <c r="C141" t="s">
        <v>351</v>
      </c>
      <c r="E141">
        <v>2004</v>
      </c>
      <c r="F141" t="s">
        <v>509</v>
      </c>
      <c r="G141" t="s">
        <v>514</v>
      </c>
      <c r="H141" s="13">
        <v>-38.520000000000003</v>
      </c>
      <c r="I141" s="13">
        <v>145.13</v>
      </c>
      <c r="J141" s="13">
        <v>1968</v>
      </c>
      <c r="K141" s="13">
        <v>1998</v>
      </c>
      <c r="L141" s="13">
        <f t="shared" ref="L141:L204" si="6">K141-J141+1</f>
        <v>31</v>
      </c>
      <c r="M141" t="s">
        <v>369</v>
      </c>
      <c r="N141" t="s">
        <v>380</v>
      </c>
      <c r="O141" t="s">
        <v>380</v>
      </c>
      <c r="P141" t="s">
        <v>305</v>
      </c>
      <c r="Q141" t="s">
        <v>80</v>
      </c>
      <c r="V141">
        <v>11.9</v>
      </c>
      <c r="W141" t="s">
        <v>24</v>
      </c>
      <c r="X141" t="s">
        <v>3</v>
      </c>
      <c r="Y141" t="s">
        <v>523</v>
      </c>
      <c r="Z141" s="4" t="str">
        <f t="shared" si="5"/>
        <v>Y</v>
      </c>
    </row>
    <row r="142" spans="1:33" x14ac:dyDescent="0.2">
      <c r="A142">
        <v>398</v>
      </c>
      <c r="B142" t="s">
        <v>367</v>
      </c>
      <c r="C142" t="s">
        <v>354</v>
      </c>
      <c r="E142">
        <v>2004</v>
      </c>
      <c r="F142" t="s">
        <v>502</v>
      </c>
      <c r="G142" t="s">
        <v>513</v>
      </c>
      <c r="H142" s="13">
        <v>56.18</v>
      </c>
      <c r="I142" s="13">
        <v>-2.5499999999999998</v>
      </c>
      <c r="J142" s="13">
        <v>1982</v>
      </c>
      <c r="K142" s="13">
        <v>2002</v>
      </c>
      <c r="L142" s="13">
        <f t="shared" si="6"/>
        <v>21</v>
      </c>
      <c r="M142" t="s">
        <v>369</v>
      </c>
      <c r="N142" t="s">
        <v>380</v>
      </c>
      <c r="O142" t="s">
        <v>380</v>
      </c>
      <c r="P142" t="s">
        <v>494</v>
      </c>
      <c r="Q142" t="s">
        <v>93</v>
      </c>
      <c r="V142">
        <v>2.6</v>
      </c>
      <c r="W142" t="s">
        <v>24</v>
      </c>
      <c r="X142" t="s">
        <v>3</v>
      </c>
      <c r="Y142" t="s">
        <v>523</v>
      </c>
      <c r="Z142" s="4" t="str">
        <f t="shared" si="5"/>
        <v>Y</v>
      </c>
      <c r="AC142" t="s">
        <v>872</v>
      </c>
    </row>
    <row r="143" spans="1:33" x14ac:dyDescent="0.2">
      <c r="A143">
        <v>399</v>
      </c>
      <c r="B143" t="s">
        <v>367</v>
      </c>
      <c r="C143" t="s">
        <v>354</v>
      </c>
      <c r="E143">
        <v>2004</v>
      </c>
      <c r="F143" t="s">
        <v>502</v>
      </c>
      <c r="G143" t="s">
        <v>513</v>
      </c>
      <c r="H143" s="13">
        <v>56.18</v>
      </c>
      <c r="I143" s="13">
        <v>-2.5499999999999998</v>
      </c>
      <c r="J143" s="13">
        <v>1981</v>
      </c>
      <c r="K143" s="13">
        <v>2002</v>
      </c>
      <c r="L143" s="13">
        <f t="shared" si="6"/>
        <v>22</v>
      </c>
      <c r="M143" t="s">
        <v>369</v>
      </c>
      <c r="N143" t="s">
        <v>380</v>
      </c>
      <c r="O143" t="s">
        <v>380</v>
      </c>
      <c r="P143" t="s">
        <v>485</v>
      </c>
      <c r="Q143" t="s">
        <v>87</v>
      </c>
      <c r="V143">
        <v>5.0999999999999996</v>
      </c>
      <c r="W143" t="s">
        <v>24</v>
      </c>
      <c r="X143" t="s">
        <v>3</v>
      </c>
      <c r="Y143" t="s">
        <v>523</v>
      </c>
      <c r="Z143" s="4" t="str">
        <f t="shared" si="5"/>
        <v>Y</v>
      </c>
      <c r="AC143" t="s">
        <v>872</v>
      </c>
    </row>
    <row r="144" spans="1:33" x14ac:dyDescent="0.2">
      <c r="A144">
        <v>400</v>
      </c>
      <c r="B144" t="s">
        <v>367</v>
      </c>
      <c r="C144" t="s">
        <v>354</v>
      </c>
      <c r="E144">
        <v>2004</v>
      </c>
      <c r="F144" t="s">
        <v>103</v>
      </c>
      <c r="G144" t="s">
        <v>513</v>
      </c>
      <c r="H144" s="13">
        <v>56.18</v>
      </c>
      <c r="I144" s="13">
        <v>-2.5499999999999998</v>
      </c>
      <c r="J144" s="13">
        <v>1969</v>
      </c>
      <c r="K144" s="13">
        <v>2002</v>
      </c>
      <c r="L144" s="13">
        <f t="shared" si="6"/>
        <v>34</v>
      </c>
      <c r="M144" t="s">
        <v>369</v>
      </c>
      <c r="N144" t="s">
        <v>380</v>
      </c>
      <c r="O144" t="s">
        <v>380</v>
      </c>
      <c r="P144" t="s">
        <v>495</v>
      </c>
      <c r="Q144" t="s">
        <v>92</v>
      </c>
      <c r="V144">
        <v>-2.2999999999999998</v>
      </c>
      <c r="W144" t="s">
        <v>3</v>
      </c>
      <c r="X144" t="s">
        <v>3</v>
      </c>
      <c r="Y144" t="s">
        <v>523</v>
      </c>
      <c r="Z144" s="4" t="str">
        <f t="shared" si="5"/>
        <v>Y</v>
      </c>
      <c r="AC144" t="s">
        <v>872</v>
      </c>
    </row>
    <row r="145" spans="1:92" x14ac:dyDescent="0.2">
      <c r="A145">
        <v>174</v>
      </c>
      <c r="B145" t="s">
        <v>366</v>
      </c>
      <c r="C145" t="s">
        <v>115</v>
      </c>
      <c r="E145">
        <v>2005</v>
      </c>
      <c r="F145" t="s">
        <v>114</v>
      </c>
      <c r="G145" t="s">
        <v>513</v>
      </c>
      <c r="H145" s="13">
        <v>74.041799999999995</v>
      </c>
      <c r="I145" s="13">
        <v>-90.032600000000002</v>
      </c>
      <c r="J145" s="13">
        <v>1975</v>
      </c>
      <c r="K145" s="13">
        <v>2000</v>
      </c>
      <c r="L145" s="13">
        <f t="shared" si="6"/>
        <v>26</v>
      </c>
      <c r="N145" t="s">
        <v>380</v>
      </c>
      <c r="O145" t="s">
        <v>380</v>
      </c>
      <c r="P145" t="s">
        <v>116</v>
      </c>
      <c r="Q145" t="s">
        <v>91</v>
      </c>
      <c r="V145" t="s">
        <v>165</v>
      </c>
      <c r="W145" t="s">
        <v>3</v>
      </c>
      <c r="X145" s="2" t="s">
        <v>3</v>
      </c>
      <c r="Y145" t="s">
        <v>366</v>
      </c>
      <c r="Z145" s="4" t="str">
        <f t="shared" si="5"/>
        <v>Y</v>
      </c>
      <c r="AC145" t="s">
        <v>304</v>
      </c>
      <c r="AH145">
        <v>1</v>
      </c>
    </row>
    <row r="146" spans="1:92" x14ac:dyDescent="0.2">
      <c r="A146">
        <v>322</v>
      </c>
      <c r="B146" t="s">
        <v>367</v>
      </c>
      <c r="C146" t="s">
        <v>348</v>
      </c>
      <c r="E146">
        <v>2006</v>
      </c>
      <c r="F146" t="s">
        <v>507</v>
      </c>
      <c r="G146" t="s">
        <v>514</v>
      </c>
      <c r="H146" s="13">
        <v>-66.66</v>
      </c>
      <c r="I146" s="13">
        <v>140</v>
      </c>
      <c r="J146" s="13">
        <v>1950</v>
      </c>
      <c r="K146" s="13">
        <v>2004</v>
      </c>
      <c r="L146" s="13">
        <f t="shared" si="6"/>
        <v>55</v>
      </c>
      <c r="M146" t="s">
        <v>369</v>
      </c>
      <c r="N146" t="s">
        <v>380</v>
      </c>
      <c r="O146" t="s">
        <v>380</v>
      </c>
      <c r="P146" t="s">
        <v>473</v>
      </c>
      <c r="Q146" t="s">
        <v>82</v>
      </c>
      <c r="V146">
        <v>0.16718840600000001</v>
      </c>
      <c r="W146" t="s">
        <v>24</v>
      </c>
      <c r="X146" t="s">
        <v>3</v>
      </c>
      <c r="Y146" t="s">
        <v>523</v>
      </c>
      <c r="Z146" s="4" t="str">
        <f t="shared" si="5"/>
        <v>Y</v>
      </c>
      <c r="AC146" t="s">
        <v>870</v>
      </c>
    </row>
    <row r="147" spans="1:92" x14ac:dyDescent="0.2">
      <c r="A147">
        <v>323</v>
      </c>
      <c r="B147" t="s">
        <v>367</v>
      </c>
      <c r="C147" t="s">
        <v>348</v>
      </c>
      <c r="E147">
        <v>2006</v>
      </c>
      <c r="F147" t="s">
        <v>507</v>
      </c>
      <c r="G147" t="s">
        <v>514</v>
      </c>
      <c r="H147" s="13">
        <v>-66.66</v>
      </c>
      <c r="I147" s="13">
        <v>140</v>
      </c>
      <c r="J147" s="13">
        <v>1950</v>
      </c>
      <c r="K147" s="13">
        <v>2004</v>
      </c>
      <c r="L147" s="13">
        <f t="shared" si="6"/>
        <v>55</v>
      </c>
      <c r="M147" t="s">
        <v>369</v>
      </c>
      <c r="N147" t="s">
        <v>380</v>
      </c>
      <c r="O147" t="s">
        <v>380</v>
      </c>
      <c r="P147" t="s">
        <v>473</v>
      </c>
      <c r="Q147" t="s">
        <v>82</v>
      </c>
      <c r="V147">
        <v>0.44740288099999997</v>
      </c>
      <c r="W147" t="s">
        <v>24</v>
      </c>
      <c r="X147" t="s">
        <v>3</v>
      </c>
      <c r="Y147" t="s">
        <v>523</v>
      </c>
      <c r="Z147" s="4" t="str">
        <f t="shared" si="5"/>
        <v>Y</v>
      </c>
      <c r="AC147" t="s">
        <v>870</v>
      </c>
    </row>
    <row r="148" spans="1:92" x14ac:dyDescent="0.2">
      <c r="A148">
        <v>324</v>
      </c>
      <c r="B148" t="s">
        <v>367</v>
      </c>
      <c r="C148" t="s">
        <v>348</v>
      </c>
      <c r="E148">
        <v>2006</v>
      </c>
      <c r="F148" t="s">
        <v>507</v>
      </c>
      <c r="G148" t="s">
        <v>514</v>
      </c>
      <c r="H148" s="13">
        <v>-66.66</v>
      </c>
      <c r="I148" s="13">
        <v>140</v>
      </c>
      <c r="J148" s="13">
        <v>1950</v>
      </c>
      <c r="K148" s="13">
        <v>2004</v>
      </c>
      <c r="L148" s="13">
        <f t="shared" si="6"/>
        <v>55</v>
      </c>
      <c r="M148" t="s">
        <v>369</v>
      </c>
      <c r="N148" t="s">
        <v>380</v>
      </c>
      <c r="O148" t="s">
        <v>380</v>
      </c>
      <c r="P148" t="s">
        <v>474</v>
      </c>
      <c r="Q148" t="s">
        <v>398</v>
      </c>
      <c r="V148">
        <v>0.386969532</v>
      </c>
      <c r="W148" t="s">
        <v>24</v>
      </c>
      <c r="X148" t="s">
        <v>3</v>
      </c>
      <c r="Y148" t="s">
        <v>523</v>
      </c>
      <c r="Z148" s="4" t="str">
        <f t="shared" si="5"/>
        <v>Y</v>
      </c>
      <c r="AC148" t="s">
        <v>870</v>
      </c>
    </row>
    <row r="149" spans="1:92" x14ac:dyDescent="0.2">
      <c r="A149">
        <v>325</v>
      </c>
      <c r="B149" t="s">
        <v>367</v>
      </c>
      <c r="C149" t="s">
        <v>348</v>
      </c>
      <c r="E149">
        <v>2006</v>
      </c>
      <c r="F149" t="s">
        <v>507</v>
      </c>
      <c r="G149" t="s">
        <v>514</v>
      </c>
      <c r="H149" s="13">
        <v>-66.66</v>
      </c>
      <c r="I149" s="13">
        <v>140</v>
      </c>
      <c r="J149" s="13">
        <v>1950</v>
      </c>
      <c r="K149" s="13">
        <v>2004</v>
      </c>
      <c r="L149" s="13">
        <f t="shared" si="6"/>
        <v>55</v>
      </c>
      <c r="M149" t="s">
        <v>369</v>
      </c>
      <c r="N149" t="s">
        <v>380</v>
      </c>
      <c r="O149" t="s">
        <v>380</v>
      </c>
      <c r="P149" t="s">
        <v>474</v>
      </c>
      <c r="Q149" t="s">
        <v>398</v>
      </c>
      <c r="V149">
        <v>0.63238827500000006</v>
      </c>
      <c r="W149" t="s">
        <v>24</v>
      </c>
      <c r="X149" t="s">
        <v>3</v>
      </c>
      <c r="Y149" t="s">
        <v>523</v>
      </c>
      <c r="Z149" s="4" t="str">
        <f t="shared" si="5"/>
        <v>Y</v>
      </c>
      <c r="AC149" t="s">
        <v>870</v>
      </c>
    </row>
    <row r="150" spans="1:92" x14ac:dyDescent="0.2">
      <c r="A150">
        <v>148</v>
      </c>
      <c r="B150" t="s">
        <v>366</v>
      </c>
      <c r="C150" t="s">
        <v>73</v>
      </c>
      <c r="E150">
        <v>2014</v>
      </c>
      <c r="F150" t="s">
        <v>75</v>
      </c>
      <c r="G150" t="s">
        <v>513</v>
      </c>
      <c r="H150" s="13">
        <v>63.31666666666667</v>
      </c>
      <c r="I150" s="13">
        <v>9.8333333333333339</v>
      </c>
      <c r="J150" s="13">
        <v>1970</v>
      </c>
      <c r="K150" s="13">
        <v>2010</v>
      </c>
      <c r="L150" s="13">
        <f t="shared" si="6"/>
        <v>41</v>
      </c>
      <c r="N150" t="s">
        <v>51</v>
      </c>
      <c r="O150" t="s">
        <v>51</v>
      </c>
      <c r="P150" t="s">
        <v>130</v>
      </c>
      <c r="Q150" t="s">
        <v>50</v>
      </c>
      <c r="R150" t="s">
        <v>843</v>
      </c>
      <c r="V150">
        <v>-2.5</v>
      </c>
      <c r="W150" t="s">
        <v>3</v>
      </c>
      <c r="X150" t="s">
        <v>3</v>
      </c>
      <c r="Y150" t="s">
        <v>366</v>
      </c>
      <c r="Z150" s="4" t="str">
        <f t="shared" si="5"/>
        <v>Y</v>
      </c>
      <c r="AC150" t="s">
        <v>845</v>
      </c>
    </row>
    <row r="151" spans="1:92" s="4" customFormat="1" x14ac:dyDescent="0.2">
      <c r="A151">
        <v>326</v>
      </c>
      <c r="B151" t="s">
        <v>367</v>
      </c>
      <c r="C151" t="s">
        <v>348</v>
      </c>
      <c r="D151"/>
      <c r="E151">
        <v>2006</v>
      </c>
      <c r="F151" t="s">
        <v>507</v>
      </c>
      <c r="G151" t="s">
        <v>514</v>
      </c>
      <c r="H151" s="13">
        <v>-66.66</v>
      </c>
      <c r="I151" s="13">
        <v>140</v>
      </c>
      <c r="J151" s="13">
        <v>1960</v>
      </c>
      <c r="K151" s="13">
        <v>2004</v>
      </c>
      <c r="L151" s="13">
        <f t="shared" si="6"/>
        <v>45</v>
      </c>
      <c r="M151" t="s">
        <v>369</v>
      </c>
      <c r="N151" t="s">
        <v>380</v>
      </c>
      <c r="O151" t="s">
        <v>380</v>
      </c>
      <c r="P151" t="s">
        <v>475</v>
      </c>
      <c r="Q151" t="s">
        <v>399</v>
      </c>
      <c r="R151"/>
      <c r="S151"/>
      <c r="T151"/>
      <c r="U151"/>
      <c r="V151">
        <v>1.9136336599999999</v>
      </c>
      <c r="W151" t="s">
        <v>24</v>
      </c>
      <c r="X151" t="s">
        <v>3</v>
      </c>
      <c r="Y151" t="s">
        <v>523</v>
      </c>
      <c r="Z151" s="4" t="str">
        <f t="shared" si="5"/>
        <v>Y</v>
      </c>
      <c r="AA151"/>
      <c r="AB151"/>
      <c r="AC151" t="s">
        <v>870</v>
      </c>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92" x14ac:dyDescent="0.2">
      <c r="A152">
        <v>327</v>
      </c>
      <c r="B152" t="s">
        <v>367</v>
      </c>
      <c r="C152" t="s">
        <v>348</v>
      </c>
      <c r="E152">
        <v>2006</v>
      </c>
      <c r="F152" t="s">
        <v>507</v>
      </c>
      <c r="G152" t="s">
        <v>514</v>
      </c>
      <c r="H152" s="13">
        <v>-66.66</v>
      </c>
      <c r="I152" s="13">
        <v>140</v>
      </c>
      <c r="J152" s="13">
        <v>1950</v>
      </c>
      <c r="K152" s="13">
        <v>2004</v>
      </c>
      <c r="L152" s="13">
        <f t="shared" si="6"/>
        <v>55</v>
      </c>
      <c r="M152" t="s">
        <v>369</v>
      </c>
      <c r="N152" t="s">
        <v>380</v>
      </c>
      <c r="O152" t="s">
        <v>380</v>
      </c>
      <c r="P152" t="s">
        <v>476</v>
      </c>
      <c r="Q152" t="s">
        <v>400</v>
      </c>
      <c r="V152">
        <v>3.8721116960000002</v>
      </c>
      <c r="W152" t="s">
        <v>24</v>
      </c>
      <c r="X152" t="s">
        <v>3</v>
      </c>
      <c r="Y152" t="s">
        <v>523</v>
      </c>
      <c r="Z152" s="4" t="str">
        <f t="shared" si="5"/>
        <v>Y</v>
      </c>
      <c r="AC152" t="s">
        <v>870</v>
      </c>
    </row>
    <row r="153" spans="1:92" x14ac:dyDescent="0.2">
      <c r="A153">
        <v>328</v>
      </c>
      <c r="B153" t="s">
        <v>367</v>
      </c>
      <c r="C153" t="s">
        <v>348</v>
      </c>
      <c r="E153">
        <v>2006</v>
      </c>
      <c r="F153" t="s">
        <v>507</v>
      </c>
      <c r="G153" t="s">
        <v>514</v>
      </c>
      <c r="H153" s="13">
        <v>-66.66</v>
      </c>
      <c r="I153" s="13">
        <v>140</v>
      </c>
      <c r="J153" s="13">
        <v>1959</v>
      </c>
      <c r="K153" s="13">
        <v>2004</v>
      </c>
      <c r="L153" s="13">
        <f t="shared" si="6"/>
        <v>46</v>
      </c>
      <c r="M153" t="s">
        <v>369</v>
      </c>
      <c r="N153" t="s">
        <v>380</v>
      </c>
      <c r="O153" t="s">
        <v>380</v>
      </c>
      <c r="P153" t="s">
        <v>477</v>
      </c>
      <c r="Q153" t="s">
        <v>401</v>
      </c>
      <c r="V153">
        <v>1.0075212259999999</v>
      </c>
      <c r="W153" t="s">
        <v>24</v>
      </c>
      <c r="X153" t="s">
        <v>3</v>
      </c>
      <c r="Y153" t="s">
        <v>523</v>
      </c>
      <c r="Z153" s="4" t="str">
        <f t="shared" si="5"/>
        <v>Y</v>
      </c>
      <c r="AC153" t="s">
        <v>870</v>
      </c>
    </row>
    <row r="154" spans="1:92" x14ac:dyDescent="0.2">
      <c r="A154">
        <v>329</v>
      </c>
      <c r="B154" t="s">
        <v>367</v>
      </c>
      <c r="C154" t="s">
        <v>348</v>
      </c>
      <c r="E154">
        <v>2006</v>
      </c>
      <c r="F154" t="s">
        <v>507</v>
      </c>
      <c r="G154" t="s">
        <v>514</v>
      </c>
      <c r="H154" s="13">
        <v>-66.66</v>
      </c>
      <c r="I154" s="13">
        <v>140</v>
      </c>
      <c r="J154" s="13">
        <v>1980</v>
      </c>
      <c r="K154" s="13">
        <v>2004</v>
      </c>
      <c r="L154" s="13">
        <f t="shared" si="6"/>
        <v>25</v>
      </c>
      <c r="M154" t="s">
        <v>369</v>
      </c>
      <c r="N154" t="s">
        <v>380</v>
      </c>
      <c r="O154" t="s">
        <v>380</v>
      </c>
      <c r="P154" t="s">
        <v>478</v>
      </c>
      <c r="Q154" t="s">
        <v>402</v>
      </c>
      <c r="V154">
        <v>12.641900509999999</v>
      </c>
      <c r="W154" t="s">
        <v>24</v>
      </c>
      <c r="X154" t="s">
        <v>3</v>
      </c>
      <c r="Y154" t="s">
        <v>523</v>
      </c>
      <c r="Z154" s="4" t="str">
        <f t="shared" si="5"/>
        <v>Y</v>
      </c>
      <c r="AC154" t="s">
        <v>870</v>
      </c>
    </row>
    <row r="155" spans="1:92" x14ac:dyDescent="0.2">
      <c r="A155">
        <v>330</v>
      </c>
      <c r="B155" t="s">
        <v>367</v>
      </c>
      <c r="C155" t="s">
        <v>348</v>
      </c>
      <c r="E155">
        <v>2006</v>
      </c>
      <c r="F155" t="s">
        <v>507</v>
      </c>
      <c r="G155" t="s">
        <v>514</v>
      </c>
      <c r="H155" s="13">
        <v>-66.66</v>
      </c>
      <c r="I155" s="13">
        <v>140</v>
      </c>
      <c r="J155" s="13">
        <v>1950</v>
      </c>
      <c r="K155" s="13">
        <v>2004</v>
      </c>
      <c r="L155" s="13">
        <f t="shared" si="6"/>
        <v>55</v>
      </c>
      <c r="M155" t="s">
        <v>369</v>
      </c>
      <c r="N155" t="s">
        <v>380</v>
      </c>
      <c r="O155" t="s">
        <v>380</v>
      </c>
      <c r="P155" t="s">
        <v>479</v>
      </c>
      <c r="Q155" t="s">
        <v>403</v>
      </c>
      <c r="V155">
        <v>0.95282007800000001</v>
      </c>
      <c r="W155" t="s">
        <v>24</v>
      </c>
      <c r="X155" t="s">
        <v>3</v>
      </c>
      <c r="Y155" t="s">
        <v>523</v>
      </c>
      <c r="Z155" s="4" t="str">
        <f t="shared" si="5"/>
        <v>Y</v>
      </c>
      <c r="AC155" t="s">
        <v>870</v>
      </c>
    </row>
    <row r="156" spans="1:92" x14ac:dyDescent="0.2">
      <c r="A156">
        <v>331</v>
      </c>
      <c r="B156" t="s">
        <v>367</v>
      </c>
      <c r="C156" t="s">
        <v>348</v>
      </c>
      <c r="E156">
        <v>2006</v>
      </c>
      <c r="F156" t="s">
        <v>507</v>
      </c>
      <c r="G156" t="s">
        <v>514</v>
      </c>
      <c r="H156" s="13">
        <v>-66.66</v>
      </c>
      <c r="I156" s="13">
        <v>140</v>
      </c>
      <c r="J156" s="13">
        <v>1950</v>
      </c>
      <c r="K156" s="13">
        <v>2004</v>
      </c>
      <c r="L156" s="13">
        <f t="shared" si="6"/>
        <v>55</v>
      </c>
      <c r="M156" t="s">
        <v>369</v>
      </c>
      <c r="N156" t="s">
        <v>380</v>
      </c>
      <c r="O156" t="s">
        <v>380</v>
      </c>
      <c r="P156" t="s">
        <v>480</v>
      </c>
      <c r="Q156" t="s">
        <v>84</v>
      </c>
      <c r="V156">
        <v>1.891596944</v>
      </c>
      <c r="W156" t="s">
        <v>24</v>
      </c>
      <c r="X156" t="s">
        <v>3</v>
      </c>
      <c r="Y156" t="s">
        <v>523</v>
      </c>
      <c r="Z156" s="4" t="str">
        <f t="shared" si="5"/>
        <v>Y</v>
      </c>
      <c r="AC156" t="s">
        <v>870</v>
      </c>
    </row>
    <row r="157" spans="1:92" x14ac:dyDescent="0.2">
      <c r="A157">
        <v>332</v>
      </c>
      <c r="B157" t="s">
        <v>367</v>
      </c>
      <c r="C157" t="s">
        <v>348</v>
      </c>
      <c r="E157">
        <v>2006</v>
      </c>
      <c r="F157" t="s">
        <v>507</v>
      </c>
      <c r="G157" t="s">
        <v>514</v>
      </c>
      <c r="H157" s="13">
        <v>-66.66</v>
      </c>
      <c r="I157" s="13">
        <v>140</v>
      </c>
      <c r="J157" s="13">
        <v>1950</v>
      </c>
      <c r="K157" s="13">
        <v>2004</v>
      </c>
      <c r="L157" s="13">
        <f t="shared" si="6"/>
        <v>55</v>
      </c>
      <c r="M157" t="s">
        <v>369</v>
      </c>
      <c r="N157" t="s">
        <v>380</v>
      </c>
      <c r="O157" t="s">
        <v>380</v>
      </c>
      <c r="P157" t="s">
        <v>480</v>
      </c>
      <c r="Q157" t="s">
        <v>84</v>
      </c>
      <c r="V157">
        <v>0.66292834899999997</v>
      </c>
      <c r="W157" t="s">
        <v>24</v>
      </c>
      <c r="X157" t="s">
        <v>3</v>
      </c>
      <c r="Y157" t="s">
        <v>523</v>
      </c>
      <c r="Z157" s="4" t="str">
        <f t="shared" si="5"/>
        <v>Y</v>
      </c>
      <c r="AC157" t="s">
        <v>870</v>
      </c>
    </row>
    <row r="158" spans="1:92" x14ac:dyDescent="0.2">
      <c r="A158">
        <v>333</v>
      </c>
      <c r="B158" t="s">
        <v>367</v>
      </c>
      <c r="C158" t="s">
        <v>348</v>
      </c>
      <c r="E158">
        <v>2006</v>
      </c>
      <c r="F158" t="s">
        <v>507</v>
      </c>
      <c r="G158" t="s">
        <v>514</v>
      </c>
      <c r="H158" s="13">
        <v>-66.66</v>
      </c>
      <c r="I158" s="13">
        <v>140</v>
      </c>
      <c r="J158" s="13">
        <v>1950</v>
      </c>
      <c r="K158" s="13">
        <v>2004</v>
      </c>
      <c r="L158" s="13">
        <f t="shared" si="6"/>
        <v>55</v>
      </c>
      <c r="M158" t="s">
        <v>369</v>
      </c>
      <c r="N158" t="s">
        <v>380</v>
      </c>
      <c r="O158" t="s">
        <v>380</v>
      </c>
      <c r="P158" t="s">
        <v>479</v>
      </c>
      <c r="Q158" t="s">
        <v>403</v>
      </c>
      <c r="V158">
        <v>-0.72721065200000001</v>
      </c>
      <c r="W158" t="s">
        <v>3</v>
      </c>
      <c r="X158" t="s">
        <v>3</v>
      </c>
      <c r="Y158" t="s">
        <v>523</v>
      </c>
      <c r="Z158" s="4" t="str">
        <f t="shared" si="5"/>
        <v>Y</v>
      </c>
      <c r="AC158" t="s">
        <v>870</v>
      </c>
    </row>
    <row r="159" spans="1:92" x14ac:dyDescent="0.2">
      <c r="A159">
        <v>334</v>
      </c>
      <c r="B159" t="s">
        <v>367</v>
      </c>
      <c r="C159" t="s">
        <v>348</v>
      </c>
      <c r="E159">
        <v>2006</v>
      </c>
      <c r="F159" t="s">
        <v>507</v>
      </c>
      <c r="G159" t="s">
        <v>514</v>
      </c>
      <c r="H159" s="13">
        <v>-66.66</v>
      </c>
      <c r="I159" s="13">
        <v>140</v>
      </c>
      <c r="J159" s="13">
        <v>1970</v>
      </c>
      <c r="K159" s="13">
        <v>2004</v>
      </c>
      <c r="L159" s="13">
        <f t="shared" si="6"/>
        <v>35</v>
      </c>
      <c r="M159" t="s">
        <v>369</v>
      </c>
      <c r="N159" t="s">
        <v>380</v>
      </c>
      <c r="O159" t="s">
        <v>380</v>
      </c>
      <c r="P159" t="s">
        <v>481</v>
      </c>
      <c r="Q159" t="s">
        <v>85</v>
      </c>
      <c r="V159">
        <v>0.13406156899999999</v>
      </c>
      <c r="W159" t="s">
        <v>24</v>
      </c>
      <c r="X159" t="s">
        <v>3</v>
      </c>
      <c r="Y159" t="s">
        <v>523</v>
      </c>
      <c r="Z159" s="4" t="str">
        <f t="shared" si="5"/>
        <v>Y</v>
      </c>
      <c r="AC159" t="s">
        <v>870</v>
      </c>
    </row>
    <row r="160" spans="1:92" x14ac:dyDescent="0.2">
      <c r="A160">
        <v>168</v>
      </c>
      <c r="B160" t="s">
        <v>366</v>
      </c>
      <c r="C160" t="s">
        <v>105</v>
      </c>
      <c r="E160">
        <v>2011</v>
      </c>
      <c r="F160" t="s">
        <v>108</v>
      </c>
      <c r="G160" t="s">
        <v>513</v>
      </c>
      <c r="H160" s="13">
        <v>56.951999999999998</v>
      </c>
      <c r="I160" s="13">
        <v>11.3004</v>
      </c>
      <c r="J160" s="13">
        <v>1987</v>
      </c>
      <c r="K160" s="13">
        <v>2008</v>
      </c>
      <c r="L160" s="13">
        <f t="shared" si="6"/>
        <v>22</v>
      </c>
      <c r="N160" t="s">
        <v>51</v>
      </c>
      <c r="O160" t="s">
        <v>51</v>
      </c>
      <c r="P160" t="s">
        <v>106</v>
      </c>
      <c r="Q160" t="s">
        <v>107</v>
      </c>
      <c r="R160" t="s">
        <v>853</v>
      </c>
      <c r="V160">
        <v>-23.4</v>
      </c>
      <c r="W160" t="s">
        <v>3</v>
      </c>
      <c r="X160" s="2" t="s">
        <v>3</v>
      </c>
      <c r="Y160" t="s">
        <v>366</v>
      </c>
      <c r="Z160" s="4" t="str">
        <f t="shared" si="5"/>
        <v>Y</v>
      </c>
      <c r="AC160" t="s">
        <v>854</v>
      </c>
    </row>
    <row r="161" spans="1:33" x14ac:dyDescent="0.2">
      <c r="A161">
        <v>169</v>
      </c>
      <c r="B161" t="s">
        <v>366</v>
      </c>
      <c r="C161" t="s">
        <v>109</v>
      </c>
      <c r="E161">
        <v>2013</v>
      </c>
      <c r="F161" t="s">
        <v>839</v>
      </c>
      <c r="G161" t="s">
        <v>513</v>
      </c>
      <c r="H161" s="13">
        <v>48</v>
      </c>
      <c r="I161" s="13">
        <v>-51</v>
      </c>
      <c r="J161" s="13">
        <v>1972</v>
      </c>
      <c r="K161" s="13">
        <v>2009</v>
      </c>
      <c r="L161" s="13">
        <f t="shared" si="6"/>
        <v>38</v>
      </c>
      <c r="N161" t="s">
        <v>51</v>
      </c>
      <c r="O161" t="s">
        <v>51</v>
      </c>
      <c r="P161" t="s">
        <v>866</v>
      </c>
      <c r="Q161" t="s">
        <v>13</v>
      </c>
      <c r="R161" t="s">
        <v>838</v>
      </c>
      <c r="V161">
        <v>10.66</v>
      </c>
      <c r="W161" t="s">
        <v>24</v>
      </c>
      <c r="X161" s="2" t="s">
        <v>3</v>
      </c>
      <c r="Y161" t="s">
        <v>366</v>
      </c>
      <c r="Z161" s="4" t="str">
        <f t="shared" si="5"/>
        <v>Y</v>
      </c>
      <c r="AC161" t="s">
        <v>841</v>
      </c>
    </row>
    <row r="162" spans="1:33" s="24" customFormat="1" x14ac:dyDescent="0.2">
      <c r="A162" s="24">
        <v>44</v>
      </c>
      <c r="B162" s="24" t="s">
        <v>366</v>
      </c>
      <c r="C162" s="24" t="s">
        <v>875</v>
      </c>
      <c r="E162" s="24">
        <v>2017</v>
      </c>
      <c r="F162" s="24" t="s">
        <v>53</v>
      </c>
      <c r="G162" s="24" t="s">
        <v>513</v>
      </c>
      <c r="H162" s="25">
        <v>45.427700000000002</v>
      </c>
      <c r="I162" s="26">
        <v>-0.86129999999999995</v>
      </c>
      <c r="J162" s="26">
        <v>1985</v>
      </c>
      <c r="K162" s="26">
        <v>2010</v>
      </c>
      <c r="L162" s="26">
        <f t="shared" si="6"/>
        <v>26</v>
      </c>
      <c r="M162" s="24" t="s">
        <v>369</v>
      </c>
      <c r="N162" s="24" t="s">
        <v>52</v>
      </c>
      <c r="O162" s="24" t="s">
        <v>484</v>
      </c>
      <c r="P162" s="24" t="s">
        <v>484</v>
      </c>
      <c r="Q162" s="24" t="s">
        <v>162</v>
      </c>
      <c r="R162" s="24" t="s">
        <v>864</v>
      </c>
      <c r="S162" s="27" t="s">
        <v>1076</v>
      </c>
      <c r="T162" s="24">
        <v>258</v>
      </c>
      <c r="U162" s="24" t="s">
        <v>900</v>
      </c>
      <c r="V162" s="24" t="s">
        <v>165</v>
      </c>
      <c r="W162" s="24" t="s">
        <v>164</v>
      </c>
      <c r="X162" s="24" t="s">
        <v>3</v>
      </c>
      <c r="Y162" s="24" t="s">
        <v>366</v>
      </c>
      <c r="Z162" s="4" t="str">
        <f t="shared" si="5"/>
        <v>Y</v>
      </c>
      <c r="AA162" s="24" t="s">
        <v>1167</v>
      </c>
      <c r="AB162" s="24" t="s">
        <v>1169</v>
      </c>
      <c r="AC162" s="24" t="s">
        <v>1082</v>
      </c>
      <c r="AD162" s="28" t="s">
        <v>1127</v>
      </c>
      <c r="AE162" s="28" t="s">
        <v>1168</v>
      </c>
      <c r="AF162" s="28" t="s">
        <v>3</v>
      </c>
      <c r="AG162" s="24" t="s">
        <v>1100</v>
      </c>
    </row>
    <row r="163" spans="1:33" s="24" customFormat="1" x14ac:dyDescent="0.2">
      <c r="A163" s="24">
        <v>171</v>
      </c>
      <c r="B163" s="24" t="s">
        <v>366</v>
      </c>
      <c r="C163" s="24" t="s">
        <v>110</v>
      </c>
      <c r="E163" s="24">
        <v>2012</v>
      </c>
      <c r="F163" s="24" t="s">
        <v>846</v>
      </c>
      <c r="G163" s="24" t="s">
        <v>513</v>
      </c>
      <c r="H163" s="26">
        <v>66.332499999999996</v>
      </c>
      <c r="I163" s="26">
        <v>33.668333333333337</v>
      </c>
      <c r="J163" s="26">
        <v>1964</v>
      </c>
      <c r="K163" s="26">
        <v>2010</v>
      </c>
      <c r="L163" s="26">
        <f t="shared" si="6"/>
        <v>47</v>
      </c>
      <c r="N163" s="24" t="s">
        <v>52</v>
      </c>
      <c r="O163" s="24" t="s">
        <v>484</v>
      </c>
      <c r="P163" s="24" t="s">
        <v>165</v>
      </c>
      <c r="Q163" s="31" t="s">
        <v>111</v>
      </c>
      <c r="R163" s="31" t="s">
        <v>849</v>
      </c>
      <c r="S163" s="31"/>
      <c r="T163" s="31"/>
      <c r="U163" s="31"/>
      <c r="V163" s="24" t="s">
        <v>165</v>
      </c>
      <c r="W163" s="24" t="s">
        <v>3</v>
      </c>
      <c r="X163" s="30" t="s">
        <v>3</v>
      </c>
      <c r="Y163" s="24" t="s">
        <v>366</v>
      </c>
      <c r="Z163" s="4" t="str">
        <f t="shared" si="5"/>
        <v>Y</v>
      </c>
      <c r="AC163" s="24" t="s">
        <v>847</v>
      </c>
    </row>
    <row r="164" spans="1:33" x14ac:dyDescent="0.2">
      <c r="A164">
        <v>335</v>
      </c>
      <c r="B164" t="s">
        <v>367</v>
      </c>
      <c r="C164" t="s">
        <v>348</v>
      </c>
      <c r="E164">
        <v>2006</v>
      </c>
      <c r="F164" t="s">
        <v>507</v>
      </c>
      <c r="G164" t="s">
        <v>514</v>
      </c>
      <c r="H164" s="13">
        <v>-66.66</v>
      </c>
      <c r="I164" s="13">
        <v>140</v>
      </c>
      <c r="J164" s="13">
        <v>1970</v>
      </c>
      <c r="K164" s="13">
        <v>2004</v>
      </c>
      <c r="L164" s="13">
        <f t="shared" si="6"/>
        <v>35</v>
      </c>
      <c r="M164" t="s">
        <v>369</v>
      </c>
      <c r="N164" t="s">
        <v>380</v>
      </c>
      <c r="O164" t="s">
        <v>380</v>
      </c>
      <c r="P164" t="s">
        <v>481</v>
      </c>
      <c r="Q164" t="s">
        <v>85</v>
      </c>
      <c r="V164">
        <v>-0.58512856199999996</v>
      </c>
      <c r="W164" t="s">
        <v>3</v>
      </c>
      <c r="X164" t="s">
        <v>3</v>
      </c>
      <c r="Y164" t="s">
        <v>523</v>
      </c>
      <c r="Z164" s="4" t="str">
        <f t="shared" si="5"/>
        <v>Y</v>
      </c>
      <c r="AC164" t="s">
        <v>870</v>
      </c>
    </row>
    <row r="165" spans="1:33" x14ac:dyDescent="0.2">
      <c r="A165">
        <v>157</v>
      </c>
      <c r="B165" t="s">
        <v>366</v>
      </c>
      <c r="C165" t="s">
        <v>98</v>
      </c>
      <c r="E165">
        <v>2008</v>
      </c>
      <c r="F165" t="s">
        <v>88</v>
      </c>
      <c r="G165" t="s">
        <v>513</v>
      </c>
      <c r="H165" s="13">
        <v>57.1833326</v>
      </c>
      <c r="I165" s="13">
        <v>-170.26666560000001</v>
      </c>
      <c r="J165" s="13">
        <v>1975</v>
      </c>
      <c r="K165" s="13">
        <v>2005</v>
      </c>
      <c r="L165" s="13">
        <f t="shared" si="6"/>
        <v>31</v>
      </c>
      <c r="N165" t="s">
        <v>380</v>
      </c>
      <c r="O165" t="s">
        <v>380</v>
      </c>
      <c r="Q165" t="s">
        <v>87</v>
      </c>
      <c r="V165">
        <f>-0.646*10</f>
        <v>-6.46</v>
      </c>
      <c r="W165" t="s">
        <v>3</v>
      </c>
      <c r="X165" s="2" t="s">
        <v>3</v>
      </c>
      <c r="Y165" t="s">
        <v>366</v>
      </c>
      <c r="Z165" s="4" t="str">
        <f t="shared" si="5"/>
        <v>Y</v>
      </c>
      <c r="AC165" t="s">
        <v>104</v>
      </c>
      <c r="AD165" s="2"/>
      <c r="AE165" s="2"/>
      <c r="AF165" s="2"/>
    </row>
    <row r="166" spans="1:33" s="24" customFormat="1" x14ac:dyDescent="0.2">
      <c r="A166" s="24">
        <v>172</v>
      </c>
      <c r="B166" s="24" t="s">
        <v>366</v>
      </c>
      <c r="C166" s="24" t="s">
        <v>110</v>
      </c>
      <c r="E166" s="24">
        <v>2012</v>
      </c>
      <c r="F166" s="24" t="s">
        <v>846</v>
      </c>
      <c r="G166" s="24" t="s">
        <v>513</v>
      </c>
      <c r="H166" s="26">
        <v>66.332499999999996</v>
      </c>
      <c r="I166" s="26">
        <v>33.668333333333337</v>
      </c>
      <c r="J166" s="26">
        <v>1964</v>
      </c>
      <c r="K166" s="26">
        <v>2010</v>
      </c>
      <c r="L166" s="26">
        <f t="shared" si="6"/>
        <v>47</v>
      </c>
      <c r="N166" s="24" t="s">
        <v>52</v>
      </c>
      <c r="O166" s="24" t="s">
        <v>484</v>
      </c>
      <c r="P166" s="24" t="s">
        <v>165</v>
      </c>
      <c r="Q166" s="31" t="s">
        <v>112</v>
      </c>
      <c r="R166" s="31" t="s">
        <v>849</v>
      </c>
      <c r="S166" s="31"/>
      <c r="T166" s="31"/>
      <c r="U166" s="31"/>
      <c r="V166" s="24" t="s">
        <v>165</v>
      </c>
      <c r="W166" s="24" t="s">
        <v>3</v>
      </c>
      <c r="X166" s="30" t="s">
        <v>3</v>
      </c>
      <c r="Y166" s="24" t="s">
        <v>366</v>
      </c>
      <c r="Z166" s="4" t="str">
        <f t="shared" si="5"/>
        <v>Y</v>
      </c>
      <c r="AC166" s="24" t="s">
        <v>848</v>
      </c>
    </row>
    <row r="167" spans="1:33" s="24" customFormat="1" x14ac:dyDescent="0.2">
      <c r="B167" s="24" t="s">
        <v>366</v>
      </c>
      <c r="C167" s="24" t="s">
        <v>945</v>
      </c>
      <c r="E167" s="24">
        <v>2012</v>
      </c>
      <c r="F167" s="24" t="s">
        <v>103</v>
      </c>
      <c r="G167" s="24" t="s">
        <v>513</v>
      </c>
      <c r="H167" s="26">
        <v>56.5</v>
      </c>
      <c r="I167" s="26">
        <v>-1.5</v>
      </c>
      <c r="J167" s="26">
        <v>1983</v>
      </c>
      <c r="K167" s="26">
        <v>2006</v>
      </c>
      <c r="L167" s="26">
        <f t="shared" si="6"/>
        <v>24</v>
      </c>
      <c r="M167" s="24" t="s">
        <v>369</v>
      </c>
      <c r="N167" s="24" t="s">
        <v>52</v>
      </c>
      <c r="O167" s="24" t="s">
        <v>484</v>
      </c>
      <c r="P167" s="24" t="s">
        <v>52</v>
      </c>
      <c r="Q167" s="24" t="s">
        <v>947</v>
      </c>
      <c r="R167" s="24" t="s">
        <v>864</v>
      </c>
      <c r="V167" s="24">
        <v>-6.3259514179087803</v>
      </c>
      <c r="W167" s="24" t="s">
        <v>3</v>
      </c>
      <c r="X167" s="24" t="s">
        <v>3</v>
      </c>
      <c r="Y167" s="24" t="s">
        <v>366</v>
      </c>
      <c r="Z167" s="4" t="str">
        <f t="shared" si="5"/>
        <v>Y</v>
      </c>
      <c r="AC167" s="24" t="s">
        <v>956</v>
      </c>
    </row>
    <row r="168" spans="1:33" s="24" customFormat="1" x14ac:dyDescent="0.2">
      <c r="B168" s="24" t="s">
        <v>366</v>
      </c>
      <c r="C168" s="24" t="s">
        <v>945</v>
      </c>
      <c r="E168" s="24">
        <v>2012</v>
      </c>
      <c r="F168" s="24" t="s">
        <v>103</v>
      </c>
      <c r="G168" s="24" t="s">
        <v>513</v>
      </c>
      <c r="H168" s="26">
        <v>56.5</v>
      </c>
      <c r="I168" s="26">
        <v>-1.5</v>
      </c>
      <c r="J168" s="26">
        <v>1983</v>
      </c>
      <c r="K168" s="26">
        <v>2006</v>
      </c>
      <c r="L168" s="26">
        <f t="shared" si="6"/>
        <v>24</v>
      </c>
      <c r="M168" s="24" t="s">
        <v>369</v>
      </c>
      <c r="N168" s="24" t="s">
        <v>52</v>
      </c>
      <c r="O168" s="24" t="s">
        <v>484</v>
      </c>
      <c r="P168" s="24" t="s">
        <v>52</v>
      </c>
      <c r="Q168" s="24" t="s">
        <v>435</v>
      </c>
      <c r="R168" s="24" t="s">
        <v>864</v>
      </c>
      <c r="V168" s="24">
        <v>-11.267290889181799</v>
      </c>
      <c r="W168" s="24" t="s">
        <v>3</v>
      </c>
      <c r="X168" s="24" t="s">
        <v>3</v>
      </c>
      <c r="Y168" s="24" t="s">
        <v>366</v>
      </c>
      <c r="Z168" s="4" t="str">
        <f t="shared" si="5"/>
        <v>Y</v>
      </c>
      <c r="AC168" s="24" t="s">
        <v>956</v>
      </c>
    </row>
    <row r="169" spans="1:33" s="24" customFormat="1" x14ac:dyDescent="0.2">
      <c r="B169" s="24" t="s">
        <v>366</v>
      </c>
      <c r="C169" s="24" t="s">
        <v>945</v>
      </c>
      <c r="E169" s="24">
        <v>2012</v>
      </c>
      <c r="F169" s="24" t="s">
        <v>103</v>
      </c>
      <c r="G169" s="24" t="s">
        <v>513</v>
      </c>
      <c r="H169" s="26">
        <v>56.5</v>
      </c>
      <c r="I169" s="26">
        <v>-1.5</v>
      </c>
      <c r="J169" s="26">
        <v>1983</v>
      </c>
      <c r="K169" s="26">
        <v>2006</v>
      </c>
      <c r="L169" s="26">
        <f t="shared" si="6"/>
        <v>24</v>
      </c>
      <c r="M169" s="24" t="s">
        <v>369</v>
      </c>
      <c r="N169" s="24" t="s">
        <v>52</v>
      </c>
      <c r="O169" s="24" t="s">
        <v>484</v>
      </c>
      <c r="P169" s="24" t="s">
        <v>52</v>
      </c>
      <c r="Q169" s="24" t="s">
        <v>119</v>
      </c>
      <c r="R169" s="24" t="s">
        <v>864</v>
      </c>
      <c r="V169" s="24">
        <v>-1.00315090840018</v>
      </c>
      <c r="W169" s="24" t="s">
        <v>3</v>
      </c>
      <c r="X169" s="24" t="s">
        <v>3</v>
      </c>
      <c r="Y169" s="24" t="s">
        <v>366</v>
      </c>
      <c r="Z169" s="4" t="str">
        <f t="shared" si="5"/>
        <v>Y</v>
      </c>
      <c r="AC169" s="24" t="s">
        <v>956</v>
      </c>
    </row>
    <row r="170" spans="1:33" s="24" customFormat="1" x14ac:dyDescent="0.2">
      <c r="B170" s="24" t="s">
        <v>366</v>
      </c>
      <c r="C170" s="24" t="s">
        <v>945</v>
      </c>
      <c r="E170" s="24">
        <v>2012</v>
      </c>
      <c r="F170" s="24" t="s">
        <v>103</v>
      </c>
      <c r="G170" s="24" t="s">
        <v>513</v>
      </c>
      <c r="H170" s="26">
        <v>56.5</v>
      </c>
      <c r="I170" s="26">
        <v>-1.5</v>
      </c>
      <c r="J170" s="26">
        <v>1983</v>
      </c>
      <c r="K170" s="26">
        <v>2006</v>
      </c>
      <c r="L170" s="26">
        <f t="shared" si="6"/>
        <v>24</v>
      </c>
      <c r="M170" s="24" t="s">
        <v>369</v>
      </c>
      <c r="N170" s="24" t="s">
        <v>52</v>
      </c>
      <c r="O170" s="24" t="s">
        <v>484</v>
      </c>
      <c r="P170" s="24" t="s">
        <v>52</v>
      </c>
      <c r="Q170" s="24" t="s">
        <v>120</v>
      </c>
      <c r="R170" s="24" t="s">
        <v>864</v>
      </c>
      <c r="V170" s="24">
        <v>12.411674003888301</v>
      </c>
      <c r="W170" s="24" t="s">
        <v>24</v>
      </c>
      <c r="X170" s="24" t="s">
        <v>3</v>
      </c>
      <c r="Y170" s="24" t="s">
        <v>366</v>
      </c>
      <c r="Z170" s="4" t="str">
        <f t="shared" si="5"/>
        <v>Y</v>
      </c>
      <c r="AC170" s="24" t="s">
        <v>956</v>
      </c>
    </row>
    <row r="171" spans="1:33" s="24" customFormat="1" x14ac:dyDescent="0.2">
      <c r="B171" s="24" t="s">
        <v>366</v>
      </c>
      <c r="C171" s="24" t="s">
        <v>945</v>
      </c>
      <c r="E171" s="24">
        <v>2012</v>
      </c>
      <c r="F171" s="24" t="s">
        <v>103</v>
      </c>
      <c r="G171" s="24" t="s">
        <v>513</v>
      </c>
      <c r="H171" s="26">
        <v>56.5</v>
      </c>
      <c r="I171" s="26">
        <v>-1.5</v>
      </c>
      <c r="J171" s="26">
        <v>1983</v>
      </c>
      <c r="K171" s="26">
        <v>2006</v>
      </c>
      <c r="L171" s="26">
        <f t="shared" si="6"/>
        <v>24</v>
      </c>
      <c r="M171" s="24" t="s">
        <v>369</v>
      </c>
      <c r="N171" s="24" t="s">
        <v>52</v>
      </c>
      <c r="O171" s="24" t="s">
        <v>484</v>
      </c>
      <c r="P171" s="24" t="s">
        <v>52</v>
      </c>
      <c r="Q171" s="24" t="s">
        <v>948</v>
      </c>
      <c r="R171" s="24" t="s">
        <v>864</v>
      </c>
      <c r="V171" s="24">
        <v>-6.2285190730519098</v>
      </c>
      <c r="W171" s="24" t="s">
        <v>3</v>
      </c>
      <c r="X171" s="24" t="s">
        <v>3</v>
      </c>
      <c r="Y171" s="24" t="s">
        <v>366</v>
      </c>
      <c r="Z171" s="4" t="str">
        <f t="shared" si="5"/>
        <v>Y</v>
      </c>
      <c r="AC171" s="24" t="s">
        <v>956</v>
      </c>
    </row>
    <row r="172" spans="1:33" s="24" customFormat="1" x14ac:dyDescent="0.2">
      <c r="A172" s="24">
        <v>175</v>
      </c>
      <c r="B172" s="24" t="s">
        <v>366</v>
      </c>
      <c r="C172" s="24" t="s">
        <v>973</v>
      </c>
      <c r="E172" s="24">
        <v>2011</v>
      </c>
      <c r="F172" s="24" t="s">
        <v>857</v>
      </c>
      <c r="G172" s="24" t="s">
        <v>513</v>
      </c>
      <c r="H172" s="26">
        <v>53</v>
      </c>
      <c r="I172" s="25">
        <v>-6</v>
      </c>
      <c r="J172" s="26">
        <v>1970</v>
      </c>
      <c r="K172" s="26">
        <v>2008</v>
      </c>
      <c r="L172" s="26">
        <f t="shared" si="6"/>
        <v>39</v>
      </c>
      <c r="N172" s="24" t="s">
        <v>52</v>
      </c>
      <c r="O172" s="24" t="s">
        <v>484</v>
      </c>
      <c r="P172" s="24" t="s">
        <v>165</v>
      </c>
      <c r="Q172" s="24" t="s">
        <v>120</v>
      </c>
      <c r="R172" s="24" t="s">
        <v>864</v>
      </c>
      <c r="V172" s="24" t="e">
        <f>#REF!</f>
        <v>#REF!</v>
      </c>
      <c r="W172" s="24" t="s">
        <v>3</v>
      </c>
      <c r="X172" s="30" t="s">
        <v>3</v>
      </c>
      <c r="Y172" s="24" t="s">
        <v>366</v>
      </c>
      <c r="Z172" s="4" t="str">
        <f t="shared" si="5"/>
        <v>Y</v>
      </c>
      <c r="AC172" s="24" t="s">
        <v>865</v>
      </c>
    </row>
    <row r="173" spans="1:33" s="24" customFormat="1" x14ac:dyDescent="0.2">
      <c r="A173" s="24">
        <v>176</v>
      </c>
      <c r="B173" s="24" t="s">
        <v>366</v>
      </c>
      <c r="C173" s="24" t="s">
        <v>973</v>
      </c>
      <c r="E173" s="24">
        <v>2011</v>
      </c>
      <c r="F173" s="24" t="s">
        <v>856</v>
      </c>
      <c r="G173" s="24" t="s">
        <v>513</v>
      </c>
      <c r="H173" s="26">
        <v>48</v>
      </c>
      <c r="I173" s="25">
        <v>-6</v>
      </c>
      <c r="J173" s="26">
        <v>1958</v>
      </c>
      <c r="K173" s="26">
        <v>2008</v>
      </c>
      <c r="L173" s="26">
        <f t="shared" si="6"/>
        <v>51</v>
      </c>
      <c r="N173" s="24" t="s">
        <v>52</v>
      </c>
      <c r="O173" s="24" t="s">
        <v>484</v>
      </c>
      <c r="P173" s="24" t="s">
        <v>165</v>
      </c>
      <c r="Q173" s="24" t="s">
        <v>120</v>
      </c>
      <c r="R173" s="24" t="s">
        <v>864</v>
      </c>
      <c r="V173" s="24">
        <f>-(7.4-6.7)*30.25/(L173/10)</f>
        <v>-4.1519607843137267</v>
      </c>
      <c r="W173" s="24" t="s">
        <v>3</v>
      </c>
      <c r="X173" s="30" t="s">
        <v>3</v>
      </c>
      <c r="Y173" s="24" t="s">
        <v>366</v>
      </c>
      <c r="Z173" s="4" t="str">
        <f t="shared" si="5"/>
        <v>Y</v>
      </c>
      <c r="AC173" s="24" t="s">
        <v>865</v>
      </c>
    </row>
    <row r="174" spans="1:33" s="24" customFormat="1" x14ac:dyDescent="0.2">
      <c r="A174" s="24">
        <v>177</v>
      </c>
      <c r="B174" s="24" t="s">
        <v>366</v>
      </c>
      <c r="C174" s="24" t="s">
        <v>973</v>
      </c>
      <c r="E174" s="24">
        <v>2011</v>
      </c>
      <c r="F174" s="24" t="s">
        <v>858</v>
      </c>
      <c r="G174" s="24" t="s">
        <v>513</v>
      </c>
      <c r="H174" s="26">
        <v>49.5</v>
      </c>
      <c r="I174" s="26">
        <v>-9</v>
      </c>
      <c r="J174" s="26">
        <v>1958</v>
      </c>
      <c r="K174" s="26">
        <v>2008</v>
      </c>
      <c r="L174" s="26">
        <f t="shared" si="6"/>
        <v>51</v>
      </c>
      <c r="N174" s="24" t="s">
        <v>52</v>
      </c>
      <c r="O174" s="24" t="s">
        <v>484</v>
      </c>
      <c r="P174" s="24" t="s">
        <v>165</v>
      </c>
      <c r="Q174" s="24" t="s">
        <v>120</v>
      </c>
      <c r="R174" s="24" t="s">
        <v>864</v>
      </c>
      <c r="V174" s="24">
        <f>-(6.8-6.7)*30.25/(L174/10)</f>
        <v>-0.59313725490195868</v>
      </c>
      <c r="W174" s="24" t="s">
        <v>3</v>
      </c>
      <c r="X174" s="30" t="s">
        <v>3</v>
      </c>
      <c r="Y174" s="24" t="s">
        <v>366</v>
      </c>
      <c r="Z174" s="4" t="str">
        <f t="shared" si="5"/>
        <v>Y</v>
      </c>
      <c r="AC174" s="24" t="s">
        <v>865</v>
      </c>
    </row>
    <row r="175" spans="1:33" s="24" customFormat="1" x14ac:dyDescent="0.2">
      <c r="A175" s="24">
        <v>178</v>
      </c>
      <c r="B175" s="24" t="s">
        <v>366</v>
      </c>
      <c r="C175" s="24" t="s">
        <v>973</v>
      </c>
      <c r="E175" s="24">
        <v>2011</v>
      </c>
      <c r="F175" s="24" t="s">
        <v>859</v>
      </c>
      <c r="G175" s="24" t="s">
        <v>513</v>
      </c>
      <c r="H175" s="26">
        <v>51</v>
      </c>
      <c r="I175" s="26">
        <v>-13.5</v>
      </c>
      <c r="J175" s="26">
        <v>1958</v>
      </c>
      <c r="K175" s="26">
        <v>2008</v>
      </c>
      <c r="L175" s="26">
        <f t="shared" si="6"/>
        <v>51</v>
      </c>
      <c r="N175" s="24" t="s">
        <v>52</v>
      </c>
      <c r="O175" s="24" t="s">
        <v>484</v>
      </c>
      <c r="P175" s="24" t="s">
        <v>165</v>
      </c>
      <c r="Q175" s="24" t="s">
        <v>120</v>
      </c>
      <c r="R175" s="24" t="s">
        <v>864</v>
      </c>
      <c r="V175" s="24">
        <f>-(6.25-5.9)*30.25/(L175/10)</f>
        <v>-2.0759803921568607</v>
      </c>
      <c r="W175" s="24" t="s">
        <v>3</v>
      </c>
      <c r="X175" s="30" t="s">
        <v>3</v>
      </c>
      <c r="Y175" s="24" t="s">
        <v>366</v>
      </c>
      <c r="Z175" s="4" t="str">
        <f t="shared" si="5"/>
        <v>Y</v>
      </c>
      <c r="AC175" s="24" t="s">
        <v>865</v>
      </c>
    </row>
    <row r="176" spans="1:33" s="24" customFormat="1" x14ac:dyDescent="0.2">
      <c r="A176" s="24">
        <v>179</v>
      </c>
      <c r="B176" s="24" t="s">
        <v>366</v>
      </c>
      <c r="C176" s="24" t="s">
        <v>973</v>
      </c>
      <c r="E176" s="24">
        <v>2011</v>
      </c>
      <c r="F176" s="24" t="s">
        <v>860</v>
      </c>
      <c r="G176" s="24" t="s">
        <v>513</v>
      </c>
      <c r="H176" s="26">
        <v>41</v>
      </c>
      <c r="I176" s="26">
        <v>-15</v>
      </c>
      <c r="J176" s="26">
        <v>1958</v>
      </c>
      <c r="K176" s="26">
        <v>2008</v>
      </c>
      <c r="L176" s="26">
        <f t="shared" si="6"/>
        <v>51</v>
      </c>
      <c r="N176" s="24" t="s">
        <v>52</v>
      </c>
      <c r="O176" s="24" t="s">
        <v>484</v>
      </c>
      <c r="P176" s="24" t="s">
        <v>165</v>
      </c>
      <c r="Q176" s="24" t="s">
        <v>120</v>
      </c>
      <c r="R176" s="24" t="s">
        <v>864</v>
      </c>
      <c r="V176" s="24">
        <f>-(5-4.75)*30.25/(L176/10)</f>
        <v>-1.482843137254902</v>
      </c>
      <c r="W176" s="24" t="s">
        <v>3</v>
      </c>
      <c r="X176" s="30" t="s">
        <v>3</v>
      </c>
      <c r="Y176" s="24" t="s">
        <v>366</v>
      </c>
      <c r="Z176" s="4" t="str">
        <f t="shared" si="5"/>
        <v>Y</v>
      </c>
      <c r="AC176" s="24" t="s">
        <v>865</v>
      </c>
    </row>
    <row r="177" spans="1:32" s="24" customFormat="1" x14ac:dyDescent="0.2">
      <c r="A177" s="24">
        <v>180</v>
      </c>
      <c r="B177" s="24" t="s">
        <v>366</v>
      </c>
      <c r="C177" s="24" t="s">
        <v>973</v>
      </c>
      <c r="E177" s="24">
        <v>2011</v>
      </c>
      <c r="F177" s="24" t="s">
        <v>861</v>
      </c>
      <c r="G177" s="24" t="s">
        <v>513</v>
      </c>
      <c r="H177" s="26">
        <v>45</v>
      </c>
      <c r="I177" s="26">
        <v>-20</v>
      </c>
      <c r="J177" s="26">
        <v>1958</v>
      </c>
      <c r="K177" s="26">
        <v>2008</v>
      </c>
      <c r="L177" s="26">
        <f t="shared" si="6"/>
        <v>51</v>
      </c>
      <c r="N177" s="24" t="s">
        <v>52</v>
      </c>
      <c r="O177" s="24" t="s">
        <v>484</v>
      </c>
      <c r="P177" s="24" t="s">
        <v>165</v>
      </c>
      <c r="Q177" s="24" t="s">
        <v>120</v>
      </c>
      <c r="R177" s="24" t="s">
        <v>864</v>
      </c>
      <c r="V177" s="24">
        <f>-(5.4-5.2)*30.25/(L177/10)</f>
        <v>-1.1862745098039227</v>
      </c>
      <c r="W177" s="24" t="s">
        <v>3</v>
      </c>
      <c r="X177" s="30" t="s">
        <v>3</v>
      </c>
      <c r="Y177" s="24" t="s">
        <v>366</v>
      </c>
      <c r="Z177" s="4" t="str">
        <f t="shared" si="5"/>
        <v>Y</v>
      </c>
      <c r="AC177" s="24" t="s">
        <v>865</v>
      </c>
    </row>
    <row r="178" spans="1:32" s="24" customFormat="1" x14ac:dyDescent="0.2">
      <c r="A178" s="24">
        <v>181</v>
      </c>
      <c r="B178" s="24" t="s">
        <v>366</v>
      </c>
      <c r="C178" s="24" t="s">
        <v>973</v>
      </c>
      <c r="E178" s="24">
        <v>2011</v>
      </c>
      <c r="F178" s="24" t="s">
        <v>862</v>
      </c>
      <c r="G178" s="24" t="s">
        <v>513</v>
      </c>
      <c r="H178" s="26">
        <v>55</v>
      </c>
      <c r="I178" s="26">
        <v>-18.5</v>
      </c>
      <c r="J178" s="26">
        <v>1958</v>
      </c>
      <c r="K178" s="26">
        <v>2008</v>
      </c>
      <c r="L178" s="26">
        <f t="shared" si="6"/>
        <v>51</v>
      </c>
      <c r="N178" s="24" t="s">
        <v>52</v>
      </c>
      <c r="O178" s="24" t="s">
        <v>484</v>
      </c>
      <c r="P178" s="24" t="s">
        <v>165</v>
      </c>
      <c r="Q178" s="24" t="s">
        <v>120</v>
      </c>
      <c r="R178" s="24" t="s">
        <v>864</v>
      </c>
      <c r="V178" s="24">
        <f>-(6.8-5.9)*30.25/(L178/10)</f>
        <v>-5.3382352941176441</v>
      </c>
      <c r="W178" s="24" t="s">
        <v>3</v>
      </c>
      <c r="X178" s="30" t="s">
        <v>3</v>
      </c>
      <c r="Y178" s="24" t="s">
        <v>366</v>
      </c>
      <c r="Z178" s="4" t="str">
        <f t="shared" si="5"/>
        <v>Y</v>
      </c>
      <c r="AC178" s="24" t="s">
        <v>865</v>
      </c>
    </row>
    <row r="179" spans="1:32" s="24" customFormat="1" x14ac:dyDescent="0.2">
      <c r="A179" s="24">
        <v>182</v>
      </c>
      <c r="B179" s="24" t="s">
        <v>366</v>
      </c>
      <c r="C179" s="24" t="s">
        <v>973</v>
      </c>
      <c r="E179" s="24">
        <v>2011</v>
      </c>
      <c r="F179" s="24" t="s">
        <v>863</v>
      </c>
      <c r="G179" s="24" t="s">
        <v>513</v>
      </c>
      <c r="H179" s="26">
        <v>60</v>
      </c>
      <c r="I179" s="26">
        <v>-10</v>
      </c>
      <c r="J179" s="26">
        <v>1958</v>
      </c>
      <c r="K179" s="26">
        <v>2008</v>
      </c>
      <c r="L179" s="26">
        <f t="shared" si="6"/>
        <v>51</v>
      </c>
      <c r="N179" s="24" t="s">
        <v>52</v>
      </c>
      <c r="O179" s="24" t="s">
        <v>484</v>
      </c>
      <c r="P179" s="24" t="s">
        <v>165</v>
      </c>
      <c r="Q179" s="24" t="s">
        <v>120</v>
      </c>
      <c r="R179" s="24" t="s">
        <v>864</v>
      </c>
      <c r="V179" s="24">
        <f>-(6.6-6.25)*30.25/(L179/10)</f>
        <v>-2.0759803921568607</v>
      </c>
      <c r="W179" s="24" t="s">
        <v>3</v>
      </c>
      <c r="X179" s="30" t="s">
        <v>3</v>
      </c>
      <c r="Y179" s="24" t="s">
        <v>366</v>
      </c>
      <c r="Z179" s="4" t="str">
        <f t="shared" si="5"/>
        <v>Y</v>
      </c>
      <c r="AC179" s="24" t="s">
        <v>865</v>
      </c>
    </row>
    <row r="180" spans="1:32" s="24" customFormat="1" x14ac:dyDescent="0.2">
      <c r="A180" s="24">
        <v>183</v>
      </c>
      <c r="B180" s="24" t="s">
        <v>366</v>
      </c>
      <c r="C180" s="24" t="s">
        <v>973</v>
      </c>
      <c r="E180" s="24">
        <v>2011</v>
      </c>
      <c r="F180" s="24" t="s">
        <v>121</v>
      </c>
      <c r="G180" s="24" t="s">
        <v>513</v>
      </c>
      <c r="H180" s="26">
        <v>56.388946666666669</v>
      </c>
      <c r="I180" s="26">
        <v>-8.3386316666666662</v>
      </c>
      <c r="J180" s="26">
        <v>1958</v>
      </c>
      <c r="K180" s="26">
        <v>2008</v>
      </c>
      <c r="L180" s="26">
        <f t="shared" si="6"/>
        <v>51</v>
      </c>
      <c r="N180" s="24" t="s">
        <v>52</v>
      </c>
      <c r="O180" s="24" t="s">
        <v>484</v>
      </c>
      <c r="P180" s="24" t="s">
        <v>165</v>
      </c>
      <c r="Q180" s="24" t="s">
        <v>120</v>
      </c>
      <c r="R180" s="24" t="s">
        <v>864</v>
      </c>
      <c r="V180" s="24">
        <v>0</v>
      </c>
      <c r="W180" s="24" t="s">
        <v>24</v>
      </c>
      <c r="X180" s="30" t="s">
        <v>3</v>
      </c>
      <c r="Y180" s="24" t="s">
        <v>366</v>
      </c>
      <c r="Z180" s="4" t="str">
        <f t="shared" si="5"/>
        <v>Y</v>
      </c>
      <c r="AC180" s="24" t="s">
        <v>865</v>
      </c>
    </row>
    <row r="181" spans="1:32" s="24" customFormat="1" x14ac:dyDescent="0.2">
      <c r="A181" s="24">
        <v>184</v>
      </c>
      <c r="B181" s="24" t="s">
        <v>366</v>
      </c>
      <c r="C181" s="24" t="s">
        <v>973</v>
      </c>
      <c r="E181" s="24">
        <v>2011</v>
      </c>
      <c r="F181" s="24" t="s">
        <v>857</v>
      </c>
      <c r="G181" s="24" t="s">
        <v>513</v>
      </c>
      <c r="H181" s="26">
        <v>53</v>
      </c>
      <c r="I181" s="25">
        <v>-6</v>
      </c>
      <c r="J181" s="26">
        <v>1958</v>
      </c>
      <c r="K181" s="26">
        <v>2008</v>
      </c>
      <c r="L181" s="26">
        <f t="shared" si="6"/>
        <v>51</v>
      </c>
      <c r="N181" s="24" t="s">
        <v>52</v>
      </c>
      <c r="O181" s="24" t="s">
        <v>484</v>
      </c>
      <c r="P181" s="24" t="s">
        <v>165</v>
      </c>
      <c r="Q181" s="24" t="s">
        <v>119</v>
      </c>
      <c r="R181" s="24" t="s">
        <v>864</v>
      </c>
      <c r="V181" s="24">
        <f>-(7.1-6.5)*30.25/(L181/10)</f>
        <v>-3.5588235294117627</v>
      </c>
      <c r="W181" s="24" t="s">
        <v>3</v>
      </c>
      <c r="X181" s="30" t="s">
        <v>3</v>
      </c>
      <c r="Y181" s="24" t="s">
        <v>366</v>
      </c>
      <c r="Z181" s="4" t="str">
        <f t="shared" si="5"/>
        <v>Y</v>
      </c>
      <c r="AC181" s="24" t="s">
        <v>865</v>
      </c>
    </row>
    <row r="182" spans="1:32" s="24" customFormat="1" x14ac:dyDescent="0.2">
      <c r="A182" s="24">
        <v>185</v>
      </c>
      <c r="B182" s="24" t="s">
        <v>366</v>
      </c>
      <c r="C182" s="24" t="s">
        <v>973</v>
      </c>
      <c r="E182" s="24">
        <v>2011</v>
      </c>
      <c r="F182" s="24" t="s">
        <v>856</v>
      </c>
      <c r="G182" s="24" t="s">
        <v>513</v>
      </c>
      <c r="H182" s="26">
        <v>48</v>
      </c>
      <c r="I182" s="25">
        <v>-6</v>
      </c>
      <c r="J182" s="26">
        <v>1958</v>
      </c>
      <c r="K182" s="26">
        <v>2008</v>
      </c>
      <c r="L182" s="26">
        <f t="shared" si="6"/>
        <v>51</v>
      </c>
      <c r="N182" s="24" t="s">
        <v>52</v>
      </c>
      <c r="O182" s="24" t="s">
        <v>484</v>
      </c>
      <c r="P182" s="24" t="s">
        <v>165</v>
      </c>
      <c r="Q182" s="24" t="s">
        <v>119</v>
      </c>
      <c r="R182" s="24" t="s">
        <v>864</v>
      </c>
      <c r="V182" s="24">
        <f>-(6.2-6)*30.25/(L182/10)</f>
        <v>-1.1862745098039227</v>
      </c>
      <c r="W182" s="24" t="s">
        <v>3</v>
      </c>
      <c r="X182" s="30" t="s">
        <v>3</v>
      </c>
      <c r="Y182" s="24" t="s">
        <v>366</v>
      </c>
      <c r="Z182" s="4" t="str">
        <f t="shared" si="5"/>
        <v>Y</v>
      </c>
      <c r="AC182" s="24" t="s">
        <v>865</v>
      </c>
    </row>
    <row r="183" spans="1:32" s="24" customFormat="1" x14ac:dyDescent="0.2">
      <c r="A183" s="24">
        <v>186</v>
      </c>
      <c r="B183" s="24" t="s">
        <v>366</v>
      </c>
      <c r="C183" s="24" t="s">
        <v>973</v>
      </c>
      <c r="E183" s="24">
        <v>2011</v>
      </c>
      <c r="F183" s="24" t="s">
        <v>858</v>
      </c>
      <c r="G183" s="24" t="s">
        <v>513</v>
      </c>
      <c r="H183" s="26">
        <v>49.5</v>
      </c>
      <c r="I183" s="26">
        <v>-9</v>
      </c>
      <c r="J183" s="26">
        <v>1958</v>
      </c>
      <c r="K183" s="26">
        <v>2008</v>
      </c>
      <c r="L183" s="26">
        <f t="shared" si="6"/>
        <v>51</v>
      </c>
      <c r="N183" s="24" t="s">
        <v>52</v>
      </c>
      <c r="O183" s="24" t="s">
        <v>484</v>
      </c>
      <c r="P183" s="24" t="s">
        <v>165</v>
      </c>
      <c r="Q183" s="24" t="s">
        <v>119</v>
      </c>
      <c r="R183" s="24" t="s">
        <v>864</v>
      </c>
      <c r="V183" s="24">
        <f>-(6-5.4)*30.25/(L183/10)</f>
        <v>-3.5588235294117627</v>
      </c>
      <c r="W183" s="24" t="s">
        <v>3</v>
      </c>
      <c r="X183" s="30" t="s">
        <v>3</v>
      </c>
      <c r="Y183" s="24" t="s">
        <v>366</v>
      </c>
      <c r="Z183" s="4" t="str">
        <f t="shared" si="5"/>
        <v>Y</v>
      </c>
      <c r="AC183" s="24" t="s">
        <v>865</v>
      </c>
    </row>
    <row r="184" spans="1:32" x14ac:dyDescent="0.2">
      <c r="A184">
        <v>193</v>
      </c>
      <c r="B184" t="s">
        <v>366</v>
      </c>
      <c r="C184" t="s">
        <v>969</v>
      </c>
      <c r="E184">
        <v>2010</v>
      </c>
      <c r="F184" t="s">
        <v>122</v>
      </c>
      <c r="G184" t="s">
        <v>514</v>
      </c>
      <c r="H184" s="14">
        <v>-38.72</v>
      </c>
      <c r="I184" s="14">
        <v>-62.272399999999998</v>
      </c>
      <c r="J184" s="13">
        <v>1978</v>
      </c>
      <c r="K184" s="13">
        <v>2007</v>
      </c>
      <c r="L184" s="13">
        <f t="shared" si="6"/>
        <v>30</v>
      </c>
      <c r="N184" t="s">
        <v>299</v>
      </c>
      <c r="O184" t="s">
        <v>299</v>
      </c>
      <c r="Q184" t="s">
        <v>123</v>
      </c>
      <c r="V184">
        <f>-(182-145)/(L184/10)</f>
        <v>-12.333333333333334</v>
      </c>
      <c r="W184" t="s">
        <v>3</v>
      </c>
      <c r="X184" s="2" t="s">
        <v>3</v>
      </c>
      <c r="Y184" t="s">
        <v>366</v>
      </c>
      <c r="Z184" s="4" t="str">
        <f t="shared" si="5"/>
        <v>Y</v>
      </c>
      <c r="AC184" t="s">
        <v>124</v>
      </c>
    </row>
    <row r="185" spans="1:32" x14ac:dyDescent="0.2">
      <c r="A185">
        <v>194</v>
      </c>
      <c r="B185" t="s">
        <v>366</v>
      </c>
      <c r="C185" t="s">
        <v>129</v>
      </c>
      <c r="E185">
        <v>2012</v>
      </c>
      <c r="F185" t="s">
        <v>125</v>
      </c>
      <c r="G185" t="s">
        <v>513</v>
      </c>
      <c r="H185" s="13">
        <v>56.750996995999998</v>
      </c>
      <c r="I185" s="13">
        <v>-2.4256649640000001</v>
      </c>
      <c r="J185" s="13">
        <v>1963</v>
      </c>
      <c r="K185" s="13">
        <v>2010</v>
      </c>
      <c r="L185" s="13">
        <f t="shared" si="6"/>
        <v>48</v>
      </c>
      <c r="N185" t="s">
        <v>51</v>
      </c>
      <c r="O185" t="s">
        <v>51</v>
      </c>
      <c r="P185" t="s">
        <v>130</v>
      </c>
      <c r="Q185" t="s">
        <v>50</v>
      </c>
      <c r="R185" t="s">
        <v>851</v>
      </c>
      <c r="V185">
        <f>0.0807*10</f>
        <v>0.80699999999999994</v>
      </c>
      <c r="W185" t="s">
        <v>24</v>
      </c>
      <c r="X185" s="2" t="s">
        <v>3</v>
      </c>
      <c r="Y185" t="s">
        <v>366</v>
      </c>
      <c r="Z185" s="4" t="str">
        <f t="shared" si="5"/>
        <v>Y</v>
      </c>
      <c r="AC185" t="s">
        <v>850</v>
      </c>
    </row>
    <row r="186" spans="1:32" x14ac:dyDescent="0.2">
      <c r="A186">
        <v>195</v>
      </c>
      <c r="B186" t="s">
        <v>366</v>
      </c>
      <c r="C186" t="s">
        <v>129</v>
      </c>
      <c r="E186">
        <v>2012</v>
      </c>
      <c r="F186" t="s">
        <v>126</v>
      </c>
      <c r="G186" t="s">
        <v>513</v>
      </c>
      <c r="H186" s="13">
        <v>55.783299999999997</v>
      </c>
      <c r="I186" s="14">
        <v>-2</v>
      </c>
      <c r="J186" s="13">
        <v>1969</v>
      </c>
      <c r="K186" s="13">
        <v>2010</v>
      </c>
      <c r="L186" s="13">
        <f t="shared" si="6"/>
        <v>42</v>
      </c>
      <c r="N186" t="s">
        <v>51</v>
      </c>
      <c r="O186" t="s">
        <v>51</v>
      </c>
      <c r="P186" t="s">
        <v>130</v>
      </c>
      <c r="Q186" t="s">
        <v>50</v>
      </c>
      <c r="R186" t="s">
        <v>851</v>
      </c>
      <c r="V186">
        <f>0.4938*10</f>
        <v>4.9380000000000006</v>
      </c>
      <c r="W186" t="s">
        <v>24</v>
      </c>
      <c r="X186" s="2" t="s">
        <v>3</v>
      </c>
      <c r="Y186" t="s">
        <v>366</v>
      </c>
      <c r="Z186" s="4" t="str">
        <f t="shared" si="5"/>
        <v>Y</v>
      </c>
      <c r="AC186" t="s">
        <v>850</v>
      </c>
    </row>
    <row r="187" spans="1:32" x14ac:dyDescent="0.2">
      <c r="A187">
        <v>196</v>
      </c>
      <c r="B187" t="s">
        <v>366</v>
      </c>
      <c r="C187" t="s">
        <v>129</v>
      </c>
      <c r="E187">
        <v>2012</v>
      </c>
      <c r="F187" t="s">
        <v>127</v>
      </c>
      <c r="G187" t="s">
        <v>513</v>
      </c>
      <c r="H187" s="14">
        <v>57.637500000000003</v>
      </c>
      <c r="I187" s="14">
        <v>-3.1124999999999998</v>
      </c>
      <c r="J187" s="13">
        <v>1970</v>
      </c>
      <c r="K187" s="13">
        <v>1992</v>
      </c>
      <c r="L187" s="13">
        <f t="shared" si="6"/>
        <v>23</v>
      </c>
      <c r="N187" t="s">
        <v>51</v>
      </c>
      <c r="O187" t="s">
        <v>51</v>
      </c>
      <c r="P187" t="s">
        <v>130</v>
      </c>
      <c r="Q187" t="s">
        <v>50</v>
      </c>
      <c r="R187" t="s">
        <v>851</v>
      </c>
      <c r="V187">
        <f>-0.0417*10</f>
        <v>-0.41700000000000004</v>
      </c>
      <c r="W187" t="s">
        <v>3</v>
      </c>
      <c r="X187" s="2" t="s">
        <v>3</v>
      </c>
      <c r="Y187" t="s">
        <v>366</v>
      </c>
      <c r="Z187" s="4" t="str">
        <f t="shared" si="5"/>
        <v>Y</v>
      </c>
      <c r="AC187" t="s">
        <v>850</v>
      </c>
    </row>
    <row r="188" spans="1:32" x14ac:dyDescent="0.2">
      <c r="A188">
        <v>197</v>
      </c>
      <c r="B188" t="s">
        <v>366</v>
      </c>
      <c r="C188" t="s">
        <v>129</v>
      </c>
      <c r="E188">
        <v>2012</v>
      </c>
      <c r="F188" t="s">
        <v>128</v>
      </c>
      <c r="G188" t="s">
        <v>513</v>
      </c>
      <c r="H188" s="14">
        <v>56.439700999999999</v>
      </c>
      <c r="I188" s="14">
        <v>-2.9416730000000002</v>
      </c>
      <c r="J188" s="13">
        <v>1968</v>
      </c>
      <c r="K188" s="13">
        <v>1994</v>
      </c>
      <c r="L188" s="13">
        <f t="shared" si="6"/>
        <v>27</v>
      </c>
      <c r="N188" t="s">
        <v>51</v>
      </c>
      <c r="O188" t="s">
        <v>51</v>
      </c>
      <c r="P188" t="s">
        <v>130</v>
      </c>
      <c r="Q188" t="s">
        <v>50</v>
      </c>
      <c r="R188" t="s">
        <v>851</v>
      </c>
      <c r="V188">
        <f>-0.273*10</f>
        <v>-2.7300000000000004</v>
      </c>
      <c r="W188" t="s">
        <v>3</v>
      </c>
      <c r="X188" s="2" t="s">
        <v>3</v>
      </c>
      <c r="Y188" t="s">
        <v>366</v>
      </c>
      <c r="Z188" s="4" t="str">
        <f t="shared" si="5"/>
        <v>Y</v>
      </c>
      <c r="AC188" t="s">
        <v>850</v>
      </c>
    </row>
    <row r="189" spans="1:32" x14ac:dyDescent="0.2">
      <c r="A189">
        <v>158</v>
      </c>
      <c r="B189" t="s">
        <v>366</v>
      </c>
      <c r="C189" t="s">
        <v>98</v>
      </c>
      <c r="E189">
        <v>2008</v>
      </c>
      <c r="F189" t="s">
        <v>89</v>
      </c>
      <c r="G189" t="s">
        <v>513</v>
      </c>
      <c r="H189" s="13">
        <v>56.583331000000001</v>
      </c>
      <c r="I189" s="13">
        <v>-169.58333099999999</v>
      </c>
      <c r="J189" s="13">
        <v>1975</v>
      </c>
      <c r="K189" s="13">
        <v>2005</v>
      </c>
      <c r="L189" s="13">
        <f t="shared" si="6"/>
        <v>31</v>
      </c>
      <c r="N189" t="s">
        <v>380</v>
      </c>
      <c r="O189" t="s">
        <v>380</v>
      </c>
      <c r="Q189" t="s">
        <v>87</v>
      </c>
      <c r="V189">
        <f>-0.578*10</f>
        <v>-5.7799999999999994</v>
      </c>
      <c r="W189" t="s">
        <v>3</v>
      </c>
      <c r="X189" s="2" t="s">
        <v>3</v>
      </c>
      <c r="Y189" t="s">
        <v>366</v>
      </c>
      <c r="Z189" s="4" t="str">
        <f t="shared" si="5"/>
        <v>Y</v>
      </c>
      <c r="AC189" t="s">
        <v>104</v>
      </c>
      <c r="AD189" s="2"/>
      <c r="AE189" s="2"/>
      <c r="AF189" s="2"/>
    </row>
    <row r="190" spans="1:32" x14ac:dyDescent="0.2">
      <c r="A190">
        <v>159</v>
      </c>
      <c r="B190" t="s">
        <v>366</v>
      </c>
      <c r="C190" t="s">
        <v>98</v>
      </c>
      <c r="E190">
        <v>2008</v>
      </c>
      <c r="F190" t="s">
        <v>88</v>
      </c>
      <c r="G190" t="s">
        <v>513</v>
      </c>
      <c r="H190" s="13">
        <v>57.1833326</v>
      </c>
      <c r="I190" s="13">
        <v>-170.26666560000001</v>
      </c>
      <c r="J190" s="13">
        <v>1975</v>
      </c>
      <c r="K190" s="13">
        <v>2005</v>
      </c>
      <c r="L190" s="13">
        <f t="shared" si="6"/>
        <v>31</v>
      </c>
      <c r="N190" t="s">
        <v>380</v>
      </c>
      <c r="O190" t="s">
        <v>380</v>
      </c>
      <c r="Q190" t="s">
        <v>90</v>
      </c>
      <c r="V190">
        <f>-0.883*10</f>
        <v>-8.83</v>
      </c>
      <c r="W190" t="s">
        <v>3</v>
      </c>
      <c r="X190" s="2" t="s">
        <v>3</v>
      </c>
      <c r="Y190" t="s">
        <v>366</v>
      </c>
      <c r="Z190" s="4" t="str">
        <f t="shared" si="5"/>
        <v>Y</v>
      </c>
      <c r="AC190" t="s">
        <v>104</v>
      </c>
      <c r="AD190" s="2"/>
      <c r="AE190" s="2"/>
      <c r="AF190" s="2"/>
    </row>
    <row r="191" spans="1:32" x14ac:dyDescent="0.2">
      <c r="A191">
        <v>160</v>
      </c>
      <c r="B191" t="s">
        <v>366</v>
      </c>
      <c r="C191" t="s">
        <v>98</v>
      </c>
      <c r="E191">
        <v>2008</v>
      </c>
      <c r="F191" t="s">
        <v>89</v>
      </c>
      <c r="G191" t="s">
        <v>513</v>
      </c>
      <c r="H191" s="13">
        <v>56.583331000000001</v>
      </c>
      <c r="I191" s="13">
        <v>-169.58333099999999</v>
      </c>
      <c r="J191" s="13">
        <v>1975</v>
      </c>
      <c r="K191" s="13">
        <v>2005</v>
      </c>
      <c r="L191" s="13">
        <f t="shared" si="6"/>
        <v>31</v>
      </c>
      <c r="N191" t="s">
        <v>380</v>
      </c>
      <c r="O191" t="s">
        <v>380</v>
      </c>
      <c r="Q191" t="s">
        <v>90</v>
      </c>
      <c r="V191">
        <f>-0.792*10</f>
        <v>-7.92</v>
      </c>
      <c r="W191" t="s">
        <v>3</v>
      </c>
      <c r="X191" s="2" t="s">
        <v>3</v>
      </c>
      <c r="Y191" t="s">
        <v>366</v>
      </c>
      <c r="Z191" s="4" t="str">
        <f t="shared" si="5"/>
        <v>Y</v>
      </c>
      <c r="AC191" t="s">
        <v>104</v>
      </c>
      <c r="AD191" s="2"/>
      <c r="AE191" s="2"/>
      <c r="AF191" s="2"/>
    </row>
    <row r="192" spans="1:32" x14ac:dyDescent="0.2">
      <c r="A192">
        <v>161</v>
      </c>
      <c r="B192" t="s">
        <v>366</v>
      </c>
      <c r="C192" t="s">
        <v>98</v>
      </c>
      <c r="E192">
        <v>2008</v>
      </c>
      <c r="F192" t="s">
        <v>88</v>
      </c>
      <c r="G192" t="s">
        <v>513</v>
      </c>
      <c r="H192" s="13">
        <v>57.1833326</v>
      </c>
      <c r="I192" s="13">
        <v>-170.26666560000001</v>
      </c>
      <c r="J192" s="13">
        <v>1975</v>
      </c>
      <c r="K192" s="13">
        <v>2005</v>
      </c>
      <c r="L192" s="13">
        <f t="shared" si="6"/>
        <v>31</v>
      </c>
      <c r="N192" t="s">
        <v>380</v>
      </c>
      <c r="O192" t="s">
        <v>380</v>
      </c>
      <c r="Q192" t="s">
        <v>91</v>
      </c>
      <c r="V192">
        <f>0.468*10</f>
        <v>4.6800000000000006</v>
      </c>
      <c r="W192" t="s">
        <v>24</v>
      </c>
      <c r="X192" s="2" t="s">
        <v>3</v>
      </c>
      <c r="Y192" t="s">
        <v>366</v>
      </c>
      <c r="Z192" s="4" t="str">
        <f t="shared" si="5"/>
        <v>Y</v>
      </c>
      <c r="AC192" t="s">
        <v>104</v>
      </c>
      <c r="AD192" s="2"/>
      <c r="AE192" s="2"/>
      <c r="AF192" s="2"/>
    </row>
    <row r="193" spans="1:29" x14ac:dyDescent="0.2">
      <c r="A193">
        <v>355</v>
      </c>
      <c r="B193" t="s">
        <v>367</v>
      </c>
      <c r="C193" t="s">
        <v>350</v>
      </c>
      <c r="E193">
        <v>2008</v>
      </c>
      <c r="F193" t="s">
        <v>508</v>
      </c>
      <c r="G193" t="s">
        <v>513</v>
      </c>
      <c r="H193" s="13">
        <v>57</v>
      </c>
      <c r="I193" s="13">
        <v>-169</v>
      </c>
      <c r="J193" s="13">
        <v>1975</v>
      </c>
      <c r="K193" s="13">
        <v>2005</v>
      </c>
      <c r="L193" s="13">
        <f t="shared" si="6"/>
        <v>31</v>
      </c>
      <c r="M193" t="s">
        <v>369</v>
      </c>
      <c r="N193" t="s">
        <v>380</v>
      </c>
      <c r="O193" t="s">
        <v>380</v>
      </c>
      <c r="P193" t="s">
        <v>485</v>
      </c>
      <c r="Q193" t="s">
        <v>87</v>
      </c>
      <c r="V193">
        <v>-5.8</v>
      </c>
      <c r="W193" t="s">
        <v>3</v>
      </c>
      <c r="X193" t="s">
        <v>3</v>
      </c>
      <c r="Y193" t="s">
        <v>523</v>
      </c>
      <c r="Z193" s="4" t="str">
        <f t="shared" si="5"/>
        <v>Y</v>
      </c>
    </row>
    <row r="194" spans="1:29" x14ac:dyDescent="0.2">
      <c r="A194">
        <v>356</v>
      </c>
      <c r="B194" t="s">
        <v>367</v>
      </c>
      <c r="C194" t="s">
        <v>350</v>
      </c>
      <c r="E194">
        <v>2008</v>
      </c>
      <c r="F194" t="s">
        <v>508</v>
      </c>
      <c r="G194" t="s">
        <v>513</v>
      </c>
      <c r="H194" s="13">
        <v>57</v>
      </c>
      <c r="I194" s="13">
        <v>-169</v>
      </c>
      <c r="J194" s="13">
        <v>1975</v>
      </c>
      <c r="K194" s="13">
        <v>2005</v>
      </c>
      <c r="L194" s="13">
        <f t="shared" si="6"/>
        <v>31</v>
      </c>
      <c r="M194" t="s">
        <v>369</v>
      </c>
      <c r="N194" t="s">
        <v>380</v>
      </c>
      <c r="O194" t="s">
        <v>380</v>
      </c>
      <c r="P194" t="s">
        <v>485</v>
      </c>
      <c r="Q194" t="s">
        <v>87</v>
      </c>
      <c r="V194">
        <v>-6.4</v>
      </c>
      <c r="W194" t="s">
        <v>3</v>
      </c>
      <c r="X194" t="s">
        <v>3</v>
      </c>
      <c r="Y194" t="s">
        <v>523</v>
      </c>
      <c r="Z194" s="4" t="str">
        <f t="shared" ref="Z194:Z257" si="7">IF(L194&gt;=19,"Y","N")</f>
        <v>Y</v>
      </c>
    </row>
    <row r="195" spans="1:29" x14ac:dyDescent="0.2">
      <c r="A195">
        <v>357</v>
      </c>
      <c r="B195" t="s">
        <v>367</v>
      </c>
      <c r="C195" t="s">
        <v>350</v>
      </c>
      <c r="E195">
        <v>2008</v>
      </c>
      <c r="F195" t="s">
        <v>508</v>
      </c>
      <c r="G195" t="s">
        <v>513</v>
      </c>
      <c r="H195" s="13">
        <v>57</v>
      </c>
      <c r="I195" s="13">
        <v>-169</v>
      </c>
      <c r="J195" s="13">
        <v>1975</v>
      </c>
      <c r="K195" s="13">
        <v>2005</v>
      </c>
      <c r="L195" s="13">
        <f t="shared" si="6"/>
        <v>31</v>
      </c>
      <c r="M195" t="s">
        <v>369</v>
      </c>
      <c r="N195" t="s">
        <v>380</v>
      </c>
      <c r="O195" t="s">
        <v>380</v>
      </c>
      <c r="P195" t="s">
        <v>486</v>
      </c>
      <c r="Q195" t="s">
        <v>90</v>
      </c>
      <c r="V195">
        <v>-8.8000000000000007</v>
      </c>
      <c r="W195" t="s">
        <v>3</v>
      </c>
      <c r="X195" t="s">
        <v>3</v>
      </c>
      <c r="Y195" t="s">
        <v>523</v>
      </c>
      <c r="Z195" s="4" t="str">
        <f t="shared" si="7"/>
        <v>Y</v>
      </c>
    </row>
    <row r="196" spans="1:29" x14ac:dyDescent="0.2">
      <c r="A196">
        <v>358</v>
      </c>
      <c r="B196" t="s">
        <v>367</v>
      </c>
      <c r="C196" t="s">
        <v>350</v>
      </c>
      <c r="E196">
        <v>2008</v>
      </c>
      <c r="F196" t="s">
        <v>508</v>
      </c>
      <c r="G196" t="s">
        <v>513</v>
      </c>
      <c r="H196" s="13">
        <v>57</v>
      </c>
      <c r="I196" s="13">
        <v>-169</v>
      </c>
      <c r="J196" s="13">
        <v>1975</v>
      </c>
      <c r="K196" s="13">
        <v>2005</v>
      </c>
      <c r="L196" s="13">
        <f t="shared" si="6"/>
        <v>31</v>
      </c>
      <c r="M196" t="s">
        <v>369</v>
      </c>
      <c r="N196" t="s">
        <v>380</v>
      </c>
      <c r="O196" t="s">
        <v>380</v>
      </c>
      <c r="P196" t="s">
        <v>486</v>
      </c>
      <c r="Q196" t="s">
        <v>90</v>
      </c>
      <c r="V196">
        <v>-7.9</v>
      </c>
      <c r="W196" t="s">
        <v>3</v>
      </c>
      <c r="X196" t="s">
        <v>3</v>
      </c>
      <c r="Y196" t="s">
        <v>523</v>
      </c>
      <c r="Z196" s="4" t="str">
        <f t="shared" si="7"/>
        <v>Y</v>
      </c>
    </row>
    <row r="197" spans="1:29" x14ac:dyDescent="0.2">
      <c r="A197">
        <v>359</v>
      </c>
      <c r="B197" t="s">
        <v>367</v>
      </c>
      <c r="C197" t="s">
        <v>350</v>
      </c>
      <c r="E197">
        <v>2008</v>
      </c>
      <c r="F197" t="s">
        <v>508</v>
      </c>
      <c r="G197" t="s">
        <v>513</v>
      </c>
      <c r="H197" s="13">
        <v>57</v>
      </c>
      <c r="I197" s="13">
        <v>-169</v>
      </c>
      <c r="J197" s="13">
        <v>1975</v>
      </c>
      <c r="K197" s="13">
        <v>2005</v>
      </c>
      <c r="L197" s="13">
        <f t="shared" si="6"/>
        <v>31</v>
      </c>
      <c r="M197" t="s">
        <v>369</v>
      </c>
      <c r="N197" t="s">
        <v>380</v>
      </c>
      <c r="O197" t="s">
        <v>380</v>
      </c>
      <c r="P197" t="s">
        <v>487</v>
      </c>
      <c r="Q197" t="s">
        <v>93</v>
      </c>
      <c r="V197">
        <v>1.6</v>
      </c>
      <c r="W197" t="s">
        <v>24</v>
      </c>
      <c r="X197" t="s">
        <v>3</v>
      </c>
      <c r="Y197" t="s">
        <v>523</v>
      </c>
      <c r="Z197" s="4" t="str">
        <f t="shared" si="7"/>
        <v>Y</v>
      </c>
    </row>
    <row r="198" spans="1:29" x14ac:dyDescent="0.2">
      <c r="A198">
        <v>360</v>
      </c>
      <c r="B198" t="s">
        <v>367</v>
      </c>
      <c r="C198" t="s">
        <v>350</v>
      </c>
      <c r="E198">
        <v>2008</v>
      </c>
      <c r="F198" t="s">
        <v>508</v>
      </c>
      <c r="G198" t="s">
        <v>513</v>
      </c>
      <c r="H198" s="13">
        <v>57</v>
      </c>
      <c r="I198" s="13">
        <v>-169</v>
      </c>
      <c r="J198" s="13">
        <v>1975</v>
      </c>
      <c r="K198" s="13">
        <v>2005</v>
      </c>
      <c r="L198" s="13">
        <f t="shared" si="6"/>
        <v>31</v>
      </c>
      <c r="M198" t="s">
        <v>369</v>
      </c>
      <c r="N198" t="s">
        <v>380</v>
      </c>
      <c r="O198" t="s">
        <v>380</v>
      </c>
      <c r="P198" t="s">
        <v>487</v>
      </c>
      <c r="Q198" t="s">
        <v>93</v>
      </c>
      <c r="V198">
        <v>1</v>
      </c>
      <c r="W198" t="s">
        <v>24</v>
      </c>
      <c r="X198" t="s">
        <v>3</v>
      </c>
      <c r="Y198" t="s">
        <v>523</v>
      </c>
      <c r="Z198" s="4" t="str">
        <f t="shared" si="7"/>
        <v>Y</v>
      </c>
    </row>
    <row r="199" spans="1:29" x14ac:dyDescent="0.2">
      <c r="A199">
        <v>361</v>
      </c>
      <c r="B199" t="s">
        <v>367</v>
      </c>
      <c r="C199" t="s">
        <v>350</v>
      </c>
      <c r="E199">
        <v>2008</v>
      </c>
      <c r="F199" t="s">
        <v>508</v>
      </c>
      <c r="G199" t="s">
        <v>513</v>
      </c>
      <c r="H199" s="13">
        <v>57</v>
      </c>
      <c r="I199" s="13">
        <v>-169</v>
      </c>
      <c r="J199" s="13">
        <v>1975</v>
      </c>
      <c r="K199" s="13">
        <v>2005</v>
      </c>
      <c r="L199" s="13">
        <f t="shared" si="6"/>
        <v>31</v>
      </c>
      <c r="M199" t="s">
        <v>369</v>
      </c>
      <c r="N199" t="s">
        <v>380</v>
      </c>
      <c r="O199" t="s">
        <v>380</v>
      </c>
      <c r="P199" t="s">
        <v>488</v>
      </c>
      <c r="Q199" t="s">
        <v>91</v>
      </c>
      <c r="V199">
        <v>0.01</v>
      </c>
      <c r="W199" t="s">
        <v>24</v>
      </c>
      <c r="X199" t="s">
        <v>3</v>
      </c>
      <c r="Y199" t="s">
        <v>523</v>
      </c>
      <c r="Z199" s="4" t="str">
        <f t="shared" si="7"/>
        <v>Y</v>
      </c>
    </row>
    <row r="200" spans="1:29" x14ac:dyDescent="0.2">
      <c r="A200">
        <v>362</v>
      </c>
      <c r="B200" t="s">
        <v>367</v>
      </c>
      <c r="C200" t="s">
        <v>350</v>
      </c>
      <c r="E200">
        <v>2008</v>
      </c>
      <c r="F200" t="s">
        <v>508</v>
      </c>
      <c r="G200" t="s">
        <v>513</v>
      </c>
      <c r="H200" s="13">
        <v>57</v>
      </c>
      <c r="I200" s="13">
        <v>-169</v>
      </c>
      <c r="J200" s="13">
        <v>1975</v>
      </c>
      <c r="K200" s="13">
        <v>2005</v>
      </c>
      <c r="L200" s="13">
        <f t="shared" si="6"/>
        <v>31</v>
      </c>
      <c r="M200" t="s">
        <v>369</v>
      </c>
      <c r="N200" t="s">
        <v>380</v>
      </c>
      <c r="O200" t="s">
        <v>380</v>
      </c>
      <c r="P200" t="s">
        <v>488</v>
      </c>
      <c r="Q200" t="s">
        <v>91</v>
      </c>
      <c r="V200">
        <v>4.7</v>
      </c>
      <c r="W200" t="s">
        <v>24</v>
      </c>
      <c r="X200" t="s">
        <v>3</v>
      </c>
      <c r="Y200" t="s">
        <v>523</v>
      </c>
      <c r="Z200" s="4" t="str">
        <f t="shared" si="7"/>
        <v>Y</v>
      </c>
    </row>
    <row r="201" spans="1:29" x14ac:dyDescent="0.2">
      <c r="A201">
        <v>198</v>
      </c>
      <c r="B201" t="s">
        <v>366</v>
      </c>
      <c r="C201" t="s">
        <v>131</v>
      </c>
      <c r="E201">
        <v>2009</v>
      </c>
      <c r="F201" t="s">
        <v>132</v>
      </c>
      <c r="G201" t="s">
        <v>513</v>
      </c>
      <c r="H201" s="13">
        <v>56.183300000000003</v>
      </c>
      <c r="I201" s="13">
        <v>-2.5667</v>
      </c>
      <c r="J201" s="13">
        <v>1971</v>
      </c>
      <c r="K201" s="13">
        <v>2006</v>
      </c>
      <c r="L201" s="13">
        <f t="shared" si="6"/>
        <v>36</v>
      </c>
      <c r="N201" t="s">
        <v>380</v>
      </c>
      <c r="O201" t="s">
        <v>380</v>
      </c>
      <c r="P201" t="s">
        <v>133</v>
      </c>
      <c r="V201">
        <f>-0.079*10</f>
        <v>-0.79</v>
      </c>
      <c r="W201" t="s">
        <v>3</v>
      </c>
      <c r="X201" s="2" t="s">
        <v>3</v>
      </c>
      <c r="Y201" t="s">
        <v>366</v>
      </c>
      <c r="Z201" s="4" t="str">
        <f t="shared" si="7"/>
        <v>Y</v>
      </c>
      <c r="AC201" t="s">
        <v>144</v>
      </c>
    </row>
    <row r="202" spans="1:29" x14ac:dyDescent="0.2">
      <c r="A202">
        <v>173</v>
      </c>
      <c r="B202" t="s">
        <v>366</v>
      </c>
      <c r="C202" t="s">
        <v>117</v>
      </c>
      <c r="E202">
        <v>2009</v>
      </c>
      <c r="F202" t="s">
        <v>113</v>
      </c>
      <c r="G202" t="s">
        <v>513</v>
      </c>
      <c r="H202" s="13">
        <v>62.468200000000003</v>
      </c>
      <c r="I202" s="13">
        <v>-83.104200000000006</v>
      </c>
      <c r="J202" s="13">
        <v>1988</v>
      </c>
      <c r="K202" s="13">
        <v>2007</v>
      </c>
      <c r="L202" s="13">
        <f t="shared" si="6"/>
        <v>20</v>
      </c>
      <c r="N202" t="s">
        <v>380</v>
      </c>
      <c r="O202" t="s">
        <v>380</v>
      </c>
      <c r="P202" t="s">
        <v>116</v>
      </c>
      <c r="Q202" t="s">
        <v>91</v>
      </c>
      <c r="V202">
        <f>-5/(L202/10)</f>
        <v>-2.5</v>
      </c>
      <c r="W202" t="s">
        <v>3</v>
      </c>
      <c r="X202" s="2" t="s">
        <v>3</v>
      </c>
      <c r="Y202" t="s">
        <v>366</v>
      </c>
      <c r="Z202" s="4" t="str">
        <f t="shared" si="7"/>
        <v>Y</v>
      </c>
      <c r="AC202" t="s">
        <v>118</v>
      </c>
    </row>
    <row r="203" spans="1:29" x14ac:dyDescent="0.2">
      <c r="A203">
        <v>199</v>
      </c>
      <c r="B203" t="s">
        <v>366</v>
      </c>
      <c r="C203" t="s">
        <v>131</v>
      </c>
      <c r="E203">
        <v>2009</v>
      </c>
      <c r="F203" t="s">
        <v>132</v>
      </c>
      <c r="G203" t="s">
        <v>513</v>
      </c>
      <c r="H203" s="13">
        <v>56.183300000000003</v>
      </c>
      <c r="I203" s="13">
        <v>-2.5667</v>
      </c>
      <c r="J203" s="13">
        <v>1971</v>
      </c>
      <c r="K203" s="13">
        <v>2006</v>
      </c>
      <c r="L203" s="13">
        <f t="shared" si="6"/>
        <v>36</v>
      </c>
      <c r="N203" t="s">
        <v>380</v>
      </c>
      <c r="O203" t="s">
        <v>380</v>
      </c>
      <c r="P203" t="s">
        <v>134</v>
      </c>
      <c r="V203">
        <f>-0.84*10</f>
        <v>-8.4</v>
      </c>
      <c r="W203" t="s">
        <v>3</v>
      </c>
      <c r="X203" s="2" t="s">
        <v>3</v>
      </c>
      <c r="Y203" t="s">
        <v>366</v>
      </c>
      <c r="Z203" s="4" t="str">
        <f t="shared" si="7"/>
        <v>Y</v>
      </c>
      <c r="AC203" t="s">
        <v>144</v>
      </c>
    </row>
    <row r="204" spans="1:29" x14ac:dyDescent="0.2">
      <c r="A204">
        <v>200</v>
      </c>
      <c r="B204" t="s">
        <v>366</v>
      </c>
      <c r="C204" t="s">
        <v>131</v>
      </c>
      <c r="E204">
        <v>2009</v>
      </c>
      <c r="F204" t="s">
        <v>132</v>
      </c>
      <c r="G204" t="s">
        <v>513</v>
      </c>
      <c r="H204" s="13">
        <v>56.183300000000003</v>
      </c>
      <c r="I204" s="13">
        <v>-2.5667</v>
      </c>
      <c r="J204" s="13">
        <v>1971</v>
      </c>
      <c r="K204" s="13">
        <v>2006</v>
      </c>
      <c r="L204" s="13">
        <f t="shared" si="6"/>
        <v>36</v>
      </c>
      <c r="N204" t="s">
        <v>380</v>
      </c>
      <c r="O204" t="s">
        <v>380</v>
      </c>
      <c r="P204" t="s">
        <v>135</v>
      </c>
      <c r="V204">
        <v>-0.12</v>
      </c>
      <c r="W204" t="s">
        <v>3</v>
      </c>
      <c r="X204" s="2" t="s">
        <v>3</v>
      </c>
      <c r="Y204" t="s">
        <v>366</v>
      </c>
      <c r="Z204" s="4" t="str">
        <f t="shared" si="7"/>
        <v>Y</v>
      </c>
      <c r="AC204" t="s">
        <v>144</v>
      </c>
    </row>
    <row r="205" spans="1:29" x14ac:dyDescent="0.2">
      <c r="A205">
        <v>201</v>
      </c>
      <c r="B205" t="s">
        <v>366</v>
      </c>
      <c r="C205" t="s">
        <v>131</v>
      </c>
      <c r="E205">
        <v>2009</v>
      </c>
      <c r="F205" t="s">
        <v>132</v>
      </c>
      <c r="G205" t="s">
        <v>513</v>
      </c>
      <c r="H205" s="13">
        <v>56.183300000000003</v>
      </c>
      <c r="I205" s="13">
        <v>-2.5667</v>
      </c>
      <c r="J205" s="13">
        <v>1971</v>
      </c>
      <c r="K205" s="13">
        <v>2006</v>
      </c>
      <c r="L205" s="13">
        <f t="shared" ref="L205:L268" si="8">K205-J205+1</f>
        <v>36</v>
      </c>
      <c r="N205" t="s">
        <v>380</v>
      </c>
      <c r="O205" t="s">
        <v>380</v>
      </c>
      <c r="P205" t="s">
        <v>136</v>
      </c>
      <c r="V205">
        <f>0.69</f>
        <v>0.69</v>
      </c>
      <c r="W205" t="s">
        <v>24</v>
      </c>
      <c r="X205" s="2" t="s">
        <v>3</v>
      </c>
      <c r="Y205" t="s">
        <v>366</v>
      </c>
      <c r="Z205" s="4" t="str">
        <f t="shared" si="7"/>
        <v>Y</v>
      </c>
      <c r="AC205" t="s">
        <v>144</v>
      </c>
    </row>
    <row r="206" spans="1:29" x14ac:dyDescent="0.2">
      <c r="A206">
        <v>215</v>
      </c>
      <c r="B206" t="s">
        <v>366</v>
      </c>
      <c r="C206" t="s">
        <v>364</v>
      </c>
      <c r="E206">
        <v>1996</v>
      </c>
      <c r="F206" t="s">
        <v>103</v>
      </c>
      <c r="G206" t="s">
        <v>513</v>
      </c>
      <c r="H206" s="13">
        <v>54.19</v>
      </c>
      <c r="I206" s="13">
        <v>7.9</v>
      </c>
      <c r="J206" s="13">
        <v>1974</v>
      </c>
      <c r="K206" s="13">
        <v>1994</v>
      </c>
      <c r="L206" s="13">
        <f t="shared" si="8"/>
        <v>21</v>
      </c>
      <c r="M206" t="s">
        <v>369</v>
      </c>
      <c r="N206" t="s">
        <v>299</v>
      </c>
      <c r="O206" t="s">
        <v>532</v>
      </c>
      <c r="Q206" t="s">
        <v>531</v>
      </c>
      <c r="R206" s="3"/>
      <c r="S206" s="3"/>
      <c r="T206" s="3"/>
      <c r="U206" s="3"/>
      <c r="V206" t="s">
        <v>165</v>
      </c>
      <c r="W206" t="s">
        <v>3</v>
      </c>
      <c r="X206" t="s">
        <v>3</v>
      </c>
      <c r="Y206" t="s">
        <v>366</v>
      </c>
      <c r="Z206" s="4" t="str">
        <f t="shared" si="7"/>
        <v>Y</v>
      </c>
      <c r="AC206" t="s">
        <v>562</v>
      </c>
    </row>
    <row r="207" spans="1:29" s="24" customFormat="1" x14ac:dyDescent="0.2">
      <c r="A207" s="24">
        <v>216</v>
      </c>
      <c r="B207" s="24" t="s">
        <v>366</v>
      </c>
      <c r="C207" s="24" t="s">
        <v>364</v>
      </c>
      <c r="E207" s="24">
        <v>1996</v>
      </c>
      <c r="F207" s="24" t="s">
        <v>103</v>
      </c>
      <c r="G207" s="24" t="s">
        <v>513</v>
      </c>
      <c r="H207" s="26">
        <v>54.19</v>
      </c>
      <c r="I207" s="26">
        <v>7.9</v>
      </c>
      <c r="J207" s="26">
        <v>1974</v>
      </c>
      <c r="K207" s="26">
        <v>1994</v>
      </c>
      <c r="L207" s="26">
        <f t="shared" si="8"/>
        <v>21</v>
      </c>
      <c r="M207" s="24" t="s">
        <v>369</v>
      </c>
      <c r="N207" s="24" t="s">
        <v>538</v>
      </c>
      <c r="O207" s="24" t="s">
        <v>1328</v>
      </c>
      <c r="Q207" s="24" t="s">
        <v>533</v>
      </c>
      <c r="R207" s="32"/>
      <c r="S207" s="32"/>
      <c r="T207" s="32"/>
      <c r="U207" s="32"/>
      <c r="V207" s="24" t="s">
        <v>165</v>
      </c>
      <c r="W207" s="24" t="s">
        <v>3</v>
      </c>
      <c r="X207" s="24" t="s">
        <v>3</v>
      </c>
      <c r="Y207" s="24" t="s">
        <v>366</v>
      </c>
      <c r="Z207" s="4" t="str">
        <f t="shared" si="7"/>
        <v>Y</v>
      </c>
      <c r="AC207" s="24" t="s">
        <v>562</v>
      </c>
    </row>
    <row r="208" spans="1:29" s="24" customFormat="1" x14ac:dyDescent="0.2">
      <c r="A208" s="24">
        <v>217</v>
      </c>
      <c r="B208" s="24" t="s">
        <v>366</v>
      </c>
      <c r="C208" s="24" t="s">
        <v>364</v>
      </c>
      <c r="E208" s="24">
        <v>1996</v>
      </c>
      <c r="F208" s="24" t="s">
        <v>103</v>
      </c>
      <c r="G208" s="24" t="s">
        <v>513</v>
      </c>
      <c r="H208" s="26">
        <v>54.19</v>
      </c>
      <c r="I208" s="26">
        <v>7.9</v>
      </c>
      <c r="J208" s="26">
        <v>1974</v>
      </c>
      <c r="K208" s="26">
        <v>1994</v>
      </c>
      <c r="L208" s="26">
        <f t="shared" si="8"/>
        <v>21</v>
      </c>
      <c r="M208" s="24" t="s">
        <v>369</v>
      </c>
      <c r="N208" s="24" t="s">
        <v>538</v>
      </c>
      <c r="O208" s="24" t="s">
        <v>538</v>
      </c>
      <c r="Q208" s="24" t="s">
        <v>534</v>
      </c>
      <c r="R208" s="32"/>
      <c r="S208" s="32"/>
      <c r="T208" s="32"/>
      <c r="U208" s="32"/>
      <c r="V208" s="24" t="s">
        <v>165</v>
      </c>
      <c r="W208" s="24" t="s">
        <v>24</v>
      </c>
      <c r="X208" s="24" t="s">
        <v>3</v>
      </c>
      <c r="Y208" s="24" t="s">
        <v>366</v>
      </c>
      <c r="Z208" s="4" t="str">
        <f t="shared" si="7"/>
        <v>Y</v>
      </c>
      <c r="AC208" s="24" t="s">
        <v>562</v>
      </c>
    </row>
    <row r="209" spans="1:29" s="24" customFormat="1" x14ac:dyDescent="0.2">
      <c r="A209" s="24">
        <v>218</v>
      </c>
      <c r="B209" s="24" t="s">
        <v>366</v>
      </c>
      <c r="C209" s="24" t="s">
        <v>364</v>
      </c>
      <c r="E209" s="24">
        <v>1996</v>
      </c>
      <c r="F209" s="24" t="s">
        <v>103</v>
      </c>
      <c r="G209" s="24" t="s">
        <v>513</v>
      </c>
      <c r="H209" s="26">
        <v>54.19</v>
      </c>
      <c r="I209" s="26">
        <v>7.9</v>
      </c>
      <c r="J209" s="26">
        <v>1974</v>
      </c>
      <c r="K209" s="26">
        <v>1994</v>
      </c>
      <c r="L209" s="26">
        <f t="shared" si="8"/>
        <v>21</v>
      </c>
      <c r="M209" s="24" t="s">
        <v>369</v>
      </c>
      <c r="N209" s="24" t="s">
        <v>538</v>
      </c>
      <c r="O209" s="24" t="s">
        <v>538</v>
      </c>
      <c r="Q209" s="24" t="s">
        <v>535</v>
      </c>
      <c r="R209" s="32"/>
      <c r="S209" s="32"/>
      <c r="T209" s="32"/>
      <c r="U209" s="32"/>
      <c r="V209" s="24" t="s">
        <v>165</v>
      </c>
      <c r="W209" s="24" t="s">
        <v>3</v>
      </c>
      <c r="X209" s="24" t="s">
        <v>3</v>
      </c>
      <c r="Y209" s="24" t="s">
        <v>366</v>
      </c>
      <c r="Z209" s="4" t="str">
        <f t="shared" si="7"/>
        <v>Y</v>
      </c>
      <c r="AC209" s="24" t="s">
        <v>562</v>
      </c>
    </row>
    <row r="210" spans="1:29" s="24" customFormat="1" x14ac:dyDescent="0.2">
      <c r="A210" s="24">
        <v>219</v>
      </c>
      <c r="B210" s="24" t="s">
        <v>366</v>
      </c>
      <c r="C210" s="24" t="s">
        <v>364</v>
      </c>
      <c r="E210" s="24">
        <v>1996</v>
      </c>
      <c r="F210" s="24" t="s">
        <v>103</v>
      </c>
      <c r="G210" s="24" t="s">
        <v>513</v>
      </c>
      <c r="H210" s="26">
        <v>54.19</v>
      </c>
      <c r="I210" s="26">
        <v>7.9</v>
      </c>
      <c r="J210" s="26">
        <v>1974</v>
      </c>
      <c r="K210" s="26">
        <v>1994</v>
      </c>
      <c r="L210" s="26">
        <f t="shared" si="8"/>
        <v>21</v>
      </c>
      <c r="M210" s="24" t="s">
        <v>369</v>
      </c>
      <c r="N210" s="24" t="s">
        <v>538</v>
      </c>
      <c r="O210" s="24" t="s">
        <v>538</v>
      </c>
      <c r="Q210" s="24" t="s">
        <v>536</v>
      </c>
      <c r="R210" s="32"/>
      <c r="S210" s="32"/>
      <c r="T210" s="32"/>
      <c r="U210" s="32"/>
      <c r="V210" s="24" t="s">
        <v>165</v>
      </c>
      <c r="W210" s="24" t="s">
        <v>3</v>
      </c>
      <c r="X210" s="24" t="s">
        <v>3</v>
      </c>
      <c r="Y210" s="24" t="s">
        <v>366</v>
      </c>
      <c r="Z210" s="4" t="str">
        <f t="shared" si="7"/>
        <v>Y</v>
      </c>
      <c r="AC210" s="24" t="s">
        <v>562</v>
      </c>
    </row>
    <row r="211" spans="1:29" s="24" customFormat="1" x14ac:dyDescent="0.2">
      <c r="A211" s="24">
        <v>220</v>
      </c>
      <c r="B211" s="24" t="s">
        <v>366</v>
      </c>
      <c r="C211" s="24" t="s">
        <v>364</v>
      </c>
      <c r="E211" s="24">
        <v>1996</v>
      </c>
      <c r="F211" s="24" t="s">
        <v>103</v>
      </c>
      <c r="G211" s="24" t="s">
        <v>513</v>
      </c>
      <c r="H211" s="26">
        <v>54.19</v>
      </c>
      <c r="I211" s="26">
        <v>7.9</v>
      </c>
      <c r="J211" s="26">
        <v>1974</v>
      </c>
      <c r="K211" s="26">
        <v>1994</v>
      </c>
      <c r="L211" s="26">
        <f t="shared" si="8"/>
        <v>21</v>
      </c>
      <c r="M211" s="24" t="s">
        <v>369</v>
      </c>
      <c r="N211" s="24" t="s">
        <v>538</v>
      </c>
      <c r="O211" s="24" t="s">
        <v>538</v>
      </c>
      <c r="P211" s="24" t="s">
        <v>383</v>
      </c>
      <c r="Q211" s="24" t="s">
        <v>537</v>
      </c>
      <c r="R211" s="32"/>
      <c r="S211" s="32"/>
      <c r="T211" s="32"/>
      <c r="U211" s="32"/>
      <c r="V211" s="24" t="s">
        <v>165</v>
      </c>
      <c r="W211" s="24" t="s">
        <v>164</v>
      </c>
      <c r="X211" s="24" t="s">
        <v>3</v>
      </c>
      <c r="Y211" s="24" t="s">
        <v>366</v>
      </c>
      <c r="Z211" s="4" t="str">
        <f t="shared" si="7"/>
        <v>Y</v>
      </c>
      <c r="AC211" s="24" t="s">
        <v>562</v>
      </c>
    </row>
    <row r="212" spans="1:29" s="24" customFormat="1" x14ac:dyDescent="0.2">
      <c r="A212" s="24">
        <v>221</v>
      </c>
      <c r="B212" s="24" t="s">
        <v>366</v>
      </c>
      <c r="C212" s="24" t="s">
        <v>364</v>
      </c>
      <c r="E212" s="24">
        <v>1996</v>
      </c>
      <c r="F212" s="24" t="s">
        <v>103</v>
      </c>
      <c r="G212" s="24" t="s">
        <v>513</v>
      </c>
      <c r="H212" s="26">
        <v>54.19</v>
      </c>
      <c r="I212" s="26">
        <v>7.9</v>
      </c>
      <c r="J212" s="26">
        <v>1974</v>
      </c>
      <c r="K212" s="26">
        <v>1994</v>
      </c>
      <c r="L212" s="26">
        <f t="shared" si="8"/>
        <v>21</v>
      </c>
      <c r="M212" s="24" t="s">
        <v>369</v>
      </c>
      <c r="N212" s="24" t="s">
        <v>538</v>
      </c>
      <c r="O212" s="24" t="s">
        <v>1328</v>
      </c>
      <c r="Q212" s="24" t="s">
        <v>539</v>
      </c>
      <c r="R212" s="32"/>
      <c r="S212" s="32"/>
      <c r="T212" s="32"/>
      <c r="U212" s="32"/>
      <c r="V212" s="24" t="s">
        <v>165</v>
      </c>
      <c r="W212" s="24" t="s">
        <v>3</v>
      </c>
      <c r="X212" s="24" t="s">
        <v>3</v>
      </c>
      <c r="Y212" s="24" t="s">
        <v>366</v>
      </c>
      <c r="Z212" s="4" t="str">
        <f t="shared" si="7"/>
        <v>Y</v>
      </c>
      <c r="AC212" s="24" t="s">
        <v>562</v>
      </c>
    </row>
    <row r="213" spans="1:29" s="24" customFormat="1" x14ac:dyDescent="0.2">
      <c r="A213" s="24">
        <v>187</v>
      </c>
      <c r="B213" s="24" t="s">
        <v>366</v>
      </c>
      <c r="C213" s="24" t="s">
        <v>973</v>
      </c>
      <c r="E213" s="24">
        <v>2011</v>
      </c>
      <c r="F213" s="24" t="s">
        <v>859</v>
      </c>
      <c r="G213" s="24" t="s">
        <v>513</v>
      </c>
      <c r="H213" s="26">
        <v>51</v>
      </c>
      <c r="I213" s="26">
        <v>-13.5</v>
      </c>
      <c r="J213" s="26">
        <v>1958</v>
      </c>
      <c r="K213" s="26">
        <v>2008</v>
      </c>
      <c r="L213" s="26">
        <f t="shared" si="8"/>
        <v>51</v>
      </c>
      <c r="N213" s="24" t="s">
        <v>52</v>
      </c>
      <c r="O213" s="24" t="s">
        <v>484</v>
      </c>
      <c r="P213" s="24" t="s">
        <v>165</v>
      </c>
      <c r="Q213" s="24" t="s">
        <v>119</v>
      </c>
      <c r="R213" s="24" t="s">
        <v>864</v>
      </c>
      <c r="V213" s="24">
        <f>-(5.4-4.9)*30.25/(L213/10)</f>
        <v>-2.965686274509804</v>
      </c>
      <c r="W213" s="24" t="s">
        <v>3</v>
      </c>
      <c r="X213" s="30" t="s">
        <v>3</v>
      </c>
      <c r="Y213" s="24" t="s">
        <v>366</v>
      </c>
      <c r="Z213" s="4" t="str">
        <f t="shared" si="7"/>
        <v>Y</v>
      </c>
      <c r="AC213" s="24" t="s">
        <v>865</v>
      </c>
    </row>
    <row r="214" spans="1:29" s="24" customFormat="1" x14ac:dyDescent="0.2">
      <c r="A214" s="24">
        <v>188</v>
      </c>
      <c r="B214" s="24" t="s">
        <v>366</v>
      </c>
      <c r="C214" s="24" t="s">
        <v>973</v>
      </c>
      <c r="E214" s="24">
        <v>2011</v>
      </c>
      <c r="F214" s="24" t="s">
        <v>860</v>
      </c>
      <c r="G214" s="24" t="s">
        <v>513</v>
      </c>
      <c r="H214" s="26">
        <v>41</v>
      </c>
      <c r="I214" s="26">
        <v>-15</v>
      </c>
      <c r="J214" s="26">
        <v>1958</v>
      </c>
      <c r="K214" s="26">
        <v>2008</v>
      </c>
      <c r="L214" s="26">
        <f t="shared" si="8"/>
        <v>51</v>
      </c>
      <c r="N214" s="24" t="s">
        <v>52</v>
      </c>
      <c r="O214" s="24" t="s">
        <v>484</v>
      </c>
      <c r="P214" s="24" t="s">
        <v>165</v>
      </c>
      <c r="Q214" s="24" t="s">
        <v>119</v>
      </c>
      <c r="R214" s="24" t="s">
        <v>864</v>
      </c>
      <c r="V214" s="24">
        <f>-(4.9-4.8)*30.25/(L214/10)</f>
        <v>-0.59313725490196401</v>
      </c>
      <c r="W214" s="24" t="s">
        <v>3</v>
      </c>
      <c r="X214" s="30" t="s">
        <v>3</v>
      </c>
      <c r="Y214" s="24" t="s">
        <v>366</v>
      </c>
      <c r="Z214" s="4" t="str">
        <f t="shared" si="7"/>
        <v>Y</v>
      </c>
      <c r="AC214" s="24" t="s">
        <v>865</v>
      </c>
    </row>
    <row r="215" spans="1:29" s="24" customFormat="1" x14ac:dyDescent="0.2">
      <c r="A215" s="24">
        <v>189</v>
      </c>
      <c r="B215" s="24" t="s">
        <v>366</v>
      </c>
      <c r="C215" s="24" t="s">
        <v>973</v>
      </c>
      <c r="E215" s="24">
        <v>2011</v>
      </c>
      <c r="F215" s="24" t="s">
        <v>861</v>
      </c>
      <c r="G215" s="24" t="s">
        <v>513</v>
      </c>
      <c r="H215" s="26">
        <v>45</v>
      </c>
      <c r="I215" s="26">
        <v>-20</v>
      </c>
      <c r="J215" s="26">
        <v>1958</v>
      </c>
      <c r="K215" s="26">
        <v>2008</v>
      </c>
      <c r="L215" s="26">
        <f t="shared" si="8"/>
        <v>51</v>
      </c>
      <c r="N215" s="24" t="s">
        <v>52</v>
      </c>
      <c r="O215" s="24" t="s">
        <v>484</v>
      </c>
      <c r="P215" s="24" t="s">
        <v>165</v>
      </c>
      <c r="Q215" s="24" t="s">
        <v>119</v>
      </c>
      <c r="R215" s="24" t="s">
        <v>864</v>
      </c>
      <c r="V215" s="24">
        <f>-(4.85-4.8)*30.25/(L215/10)</f>
        <v>-0.29656862745097934</v>
      </c>
      <c r="W215" s="24" t="s">
        <v>3</v>
      </c>
      <c r="X215" s="30" t="s">
        <v>3</v>
      </c>
      <c r="Y215" s="24" t="s">
        <v>366</v>
      </c>
      <c r="Z215" s="4" t="str">
        <f t="shared" si="7"/>
        <v>Y</v>
      </c>
      <c r="AC215" s="24" t="s">
        <v>865</v>
      </c>
    </row>
    <row r="216" spans="1:29" s="24" customFormat="1" x14ac:dyDescent="0.2">
      <c r="A216" s="24">
        <v>190</v>
      </c>
      <c r="B216" s="24" t="s">
        <v>366</v>
      </c>
      <c r="C216" s="24" t="s">
        <v>973</v>
      </c>
      <c r="E216" s="24">
        <v>2011</v>
      </c>
      <c r="F216" s="24" t="s">
        <v>862</v>
      </c>
      <c r="G216" s="24" t="s">
        <v>513</v>
      </c>
      <c r="H216" s="26">
        <v>55</v>
      </c>
      <c r="I216" s="26">
        <v>-18.5</v>
      </c>
      <c r="J216" s="26">
        <v>1958</v>
      </c>
      <c r="K216" s="26">
        <v>2008</v>
      </c>
      <c r="L216" s="26">
        <f t="shared" si="8"/>
        <v>51</v>
      </c>
      <c r="N216" s="24" t="s">
        <v>52</v>
      </c>
      <c r="O216" s="24" t="s">
        <v>484</v>
      </c>
      <c r="P216" s="24" t="s">
        <v>165</v>
      </c>
      <c r="Q216" s="24" t="s">
        <v>119</v>
      </c>
      <c r="R216" s="24" t="s">
        <v>864</v>
      </c>
      <c r="V216" s="24">
        <f>(5.7-5.6)*30.25/(L216/10)</f>
        <v>0.59313725490196401</v>
      </c>
      <c r="W216" s="24" t="s">
        <v>24</v>
      </c>
      <c r="X216" s="30" t="s">
        <v>3</v>
      </c>
      <c r="Y216" s="24" t="s">
        <v>366</v>
      </c>
      <c r="Z216" s="4" t="str">
        <f t="shared" si="7"/>
        <v>Y</v>
      </c>
      <c r="AC216" s="24" t="s">
        <v>865</v>
      </c>
    </row>
    <row r="217" spans="1:29" s="24" customFormat="1" x14ac:dyDescent="0.2">
      <c r="A217" s="24">
        <v>191</v>
      </c>
      <c r="B217" s="24" t="s">
        <v>366</v>
      </c>
      <c r="C217" s="24" t="s">
        <v>973</v>
      </c>
      <c r="E217" s="24">
        <v>2011</v>
      </c>
      <c r="F217" s="24" t="s">
        <v>863</v>
      </c>
      <c r="G217" s="24" t="s">
        <v>513</v>
      </c>
      <c r="H217" s="26">
        <v>60</v>
      </c>
      <c r="I217" s="26">
        <v>-10</v>
      </c>
      <c r="J217" s="26">
        <v>1958</v>
      </c>
      <c r="K217" s="26">
        <v>2008</v>
      </c>
      <c r="L217" s="26">
        <f t="shared" si="8"/>
        <v>51</v>
      </c>
      <c r="N217" s="24" t="s">
        <v>52</v>
      </c>
      <c r="O217" s="24" t="s">
        <v>484</v>
      </c>
      <c r="P217" s="24" t="s">
        <v>165</v>
      </c>
      <c r="Q217" s="24" t="s">
        <v>119</v>
      </c>
      <c r="R217" s="24" t="s">
        <v>864</v>
      </c>
      <c r="V217" s="24">
        <f>-(5.9-5.4)*30.25/(L217/10)</f>
        <v>-2.965686274509804</v>
      </c>
      <c r="W217" s="24" t="s">
        <v>3</v>
      </c>
      <c r="X217" s="30" t="s">
        <v>3</v>
      </c>
      <c r="Y217" s="24" t="s">
        <v>366</v>
      </c>
      <c r="Z217" s="4" t="str">
        <f t="shared" si="7"/>
        <v>Y</v>
      </c>
      <c r="AC217" s="24" t="s">
        <v>865</v>
      </c>
    </row>
    <row r="218" spans="1:29" s="24" customFormat="1" x14ac:dyDescent="0.2">
      <c r="A218" s="24">
        <v>227</v>
      </c>
      <c r="B218" s="24" t="s">
        <v>366</v>
      </c>
      <c r="C218" s="24" t="s">
        <v>364</v>
      </c>
      <c r="E218" s="24">
        <v>1996</v>
      </c>
      <c r="F218" s="24" t="s">
        <v>103</v>
      </c>
      <c r="G218" s="24" t="s">
        <v>513</v>
      </c>
      <c r="H218" s="26">
        <v>54.19</v>
      </c>
      <c r="I218" s="26">
        <v>7.9</v>
      </c>
      <c r="J218" s="26">
        <v>1974</v>
      </c>
      <c r="K218" s="26">
        <v>1994</v>
      </c>
      <c r="L218" s="26">
        <f t="shared" si="8"/>
        <v>21</v>
      </c>
      <c r="M218" s="24" t="s">
        <v>369</v>
      </c>
      <c r="N218" s="29" t="s">
        <v>538</v>
      </c>
      <c r="O218" s="24" t="s">
        <v>1328</v>
      </c>
      <c r="P218" s="29" t="s">
        <v>538</v>
      </c>
      <c r="Q218" s="24" t="s">
        <v>542</v>
      </c>
      <c r="R218" s="32"/>
      <c r="S218" s="32"/>
      <c r="T218" s="32"/>
      <c r="U218" s="32"/>
      <c r="V218" s="24" t="s">
        <v>165</v>
      </c>
      <c r="W218" s="24" t="s">
        <v>3</v>
      </c>
      <c r="X218" s="24" t="s">
        <v>3</v>
      </c>
      <c r="Y218" s="24" t="s">
        <v>366</v>
      </c>
      <c r="Z218" s="4" t="str">
        <f t="shared" si="7"/>
        <v>Y</v>
      </c>
      <c r="AC218" s="24" t="s">
        <v>562</v>
      </c>
    </row>
    <row r="219" spans="1:29" s="24" customFormat="1" x14ac:dyDescent="0.2">
      <c r="A219" s="24">
        <v>228</v>
      </c>
      <c r="B219" s="24" t="s">
        <v>366</v>
      </c>
      <c r="C219" s="24" t="s">
        <v>364</v>
      </c>
      <c r="E219" s="24">
        <v>1996</v>
      </c>
      <c r="F219" s="24" t="s">
        <v>103</v>
      </c>
      <c r="G219" s="24" t="s">
        <v>513</v>
      </c>
      <c r="H219" s="26">
        <v>54.19</v>
      </c>
      <c r="I219" s="26">
        <v>7.9</v>
      </c>
      <c r="J219" s="26">
        <v>1974</v>
      </c>
      <c r="K219" s="26">
        <v>1994</v>
      </c>
      <c r="L219" s="26">
        <f t="shared" si="8"/>
        <v>21</v>
      </c>
      <c r="M219" s="24" t="s">
        <v>369</v>
      </c>
      <c r="N219" s="29" t="s">
        <v>538</v>
      </c>
      <c r="O219" s="24" t="s">
        <v>1328</v>
      </c>
      <c r="P219" s="29" t="s">
        <v>538</v>
      </c>
      <c r="Q219" s="24" t="s">
        <v>543</v>
      </c>
      <c r="R219" s="32"/>
      <c r="S219" s="32"/>
      <c r="T219" s="32"/>
      <c r="U219" s="32"/>
      <c r="V219" s="24" t="s">
        <v>165</v>
      </c>
      <c r="W219" s="24" t="s">
        <v>3</v>
      </c>
      <c r="X219" s="24" t="s">
        <v>3</v>
      </c>
      <c r="Y219" s="24" t="s">
        <v>366</v>
      </c>
      <c r="Z219" s="4" t="str">
        <f t="shared" si="7"/>
        <v>Y</v>
      </c>
      <c r="AC219" s="24" t="s">
        <v>562</v>
      </c>
    </row>
    <row r="220" spans="1:29" s="24" customFormat="1" x14ac:dyDescent="0.2">
      <c r="A220" s="24">
        <v>229</v>
      </c>
      <c r="B220" s="24" t="s">
        <v>366</v>
      </c>
      <c r="C220" s="24" t="s">
        <v>364</v>
      </c>
      <c r="E220" s="24">
        <v>1996</v>
      </c>
      <c r="F220" s="24" t="s">
        <v>103</v>
      </c>
      <c r="G220" s="24" t="s">
        <v>513</v>
      </c>
      <c r="H220" s="26">
        <v>54.19</v>
      </c>
      <c r="I220" s="26">
        <v>7.9</v>
      </c>
      <c r="J220" s="26">
        <v>1974</v>
      </c>
      <c r="K220" s="26">
        <v>1994</v>
      </c>
      <c r="L220" s="26">
        <f t="shared" si="8"/>
        <v>21</v>
      </c>
      <c r="M220" s="24" t="s">
        <v>369</v>
      </c>
      <c r="N220" s="29" t="s">
        <v>538</v>
      </c>
      <c r="O220" s="24" t="s">
        <v>1328</v>
      </c>
      <c r="Q220" s="24" t="s">
        <v>544</v>
      </c>
      <c r="R220" s="32"/>
      <c r="S220" s="32"/>
      <c r="T220" s="32"/>
      <c r="U220" s="32"/>
      <c r="V220" s="24" t="s">
        <v>165</v>
      </c>
      <c r="W220" s="24" t="s">
        <v>24</v>
      </c>
      <c r="X220" s="24" t="s">
        <v>3</v>
      </c>
      <c r="Y220" s="24" t="s">
        <v>366</v>
      </c>
      <c r="Z220" s="4" t="str">
        <f t="shared" si="7"/>
        <v>Y</v>
      </c>
      <c r="AC220" s="24" t="s">
        <v>562</v>
      </c>
    </row>
    <row r="221" spans="1:29" s="24" customFormat="1" x14ac:dyDescent="0.2">
      <c r="A221" s="24">
        <v>230</v>
      </c>
      <c r="B221" s="24" t="s">
        <v>366</v>
      </c>
      <c r="C221" s="24" t="s">
        <v>364</v>
      </c>
      <c r="E221" s="24">
        <v>1996</v>
      </c>
      <c r="F221" s="24" t="s">
        <v>103</v>
      </c>
      <c r="G221" s="24" t="s">
        <v>513</v>
      </c>
      <c r="H221" s="26">
        <v>54.19</v>
      </c>
      <c r="I221" s="26">
        <v>7.9</v>
      </c>
      <c r="J221" s="26">
        <v>1974</v>
      </c>
      <c r="K221" s="26">
        <v>1994</v>
      </c>
      <c r="L221" s="26">
        <f t="shared" si="8"/>
        <v>21</v>
      </c>
      <c r="M221" s="24" t="s">
        <v>369</v>
      </c>
      <c r="N221" s="29" t="s">
        <v>538</v>
      </c>
      <c r="O221" s="24" t="s">
        <v>1328</v>
      </c>
      <c r="Q221" s="24" t="s">
        <v>545</v>
      </c>
      <c r="R221" s="32"/>
      <c r="S221" s="32"/>
      <c r="T221" s="32"/>
      <c r="U221" s="32"/>
      <c r="V221" s="24" t="s">
        <v>165</v>
      </c>
      <c r="W221" s="24" t="s">
        <v>3</v>
      </c>
      <c r="X221" s="24" t="s">
        <v>3</v>
      </c>
      <c r="Y221" s="24" t="s">
        <v>366</v>
      </c>
      <c r="Z221" s="4" t="str">
        <f t="shared" si="7"/>
        <v>Y</v>
      </c>
      <c r="AC221" s="24" t="s">
        <v>562</v>
      </c>
    </row>
    <row r="222" spans="1:29" s="24" customFormat="1" x14ac:dyDescent="0.2">
      <c r="A222" s="24">
        <v>231</v>
      </c>
      <c r="B222" s="24" t="s">
        <v>366</v>
      </c>
      <c r="C222" s="24" t="s">
        <v>364</v>
      </c>
      <c r="E222" s="24">
        <v>1996</v>
      </c>
      <c r="F222" s="24" t="s">
        <v>103</v>
      </c>
      <c r="G222" s="24" t="s">
        <v>513</v>
      </c>
      <c r="H222" s="26">
        <v>54.19</v>
      </c>
      <c r="I222" s="26">
        <v>7.9</v>
      </c>
      <c r="J222" s="26">
        <v>1974</v>
      </c>
      <c r="K222" s="26">
        <v>1994</v>
      </c>
      <c r="L222" s="26">
        <f t="shared" si="8"/>
        <v>21</v>
      </c>
      <c r="M222" s="24" t="s">
        <v>369</v>
      </c>
      <c r="N222" s="29" t="s">
        <v>538</v>
      </c>
      <c r="O222" s="24" t="s">
        <v>1328</v>
      </c>
      <c r="Q222" s="24" t="s">
        <v>546</v>
      </c>
      <c r="R222" s="32"/>
      <c r="S222" s="32"/>
      <c r="T222" s="32"/>
      <c r="U222" s="32"/>
      <c r="V222" s="24" t="s">
        <v>165</v>
      </c>
      <c r="W222" s="24" t="s">
        <v>3</v>
      </c>
      <c r="X222" s="24" t="s">
        <v>3</v>
      </c>
      <c r="Y222" s="24" t="s">
        <v>366</v>
      </c>
      <c r="Z222" s="4" t="str">
        <f t="shared" si="7"/>
        <v>Y</v>
      </c>
      <c r="AC222" s="24" t="s">
        <v>562</v>
      </c>
    </row>
    <row r="223" spans="1:29" s="24" customFormat="1" x14ac:dyDescent="0.2">
      <c r="A223" s="24">
        <v>232</v>
      </c>
      <c r="B223" s="24" t="s">
        <v>366</v>
      </c>
      <c r="C223" s="24" t="s">
        <v>364</v>
      </c>
      <c r="E223" s="24">
        <v>1996</v>
      </c>
      <c r="F223" s="24" t="s">
        <v>103</v>
      </c>
      <c r="G223" s="24" t="s">
        <v>513</v>
      </c>
      <c r="H223" s="26">
        <v>54.19</v>
      </c>
      <c r="I223" s="26">
        <v>7.9</v>
      </c>
      <c r="J223" s="26">
        <v>1974</v>
      </c>
      <c r="K223" s="26">
        <v>1994</v>
      </c>
      <c r="L223" s="26">
        <f t="shared" si="8"/>
        <v>21</v>
      </c>
      <c r="M223" s="24" t="s">
        <v>369</v>
      </c>
      <c r="N223" s="29" t="s">
        <v>538</v>
      </c>
      <c r="O223" s="24" t="s">
        <v>1328</v>
      </c>
      <c r="P223" s="29" t="s">
        <v>538</v>
      </c>
      <c r="Q223" s="24" t="s">
        <v>547</v>
      </c>
      <c r="R223" s="32"/>
      <c r="S223" s="32"/>
      <c r="T223" s="32"/>
      <c r="U223" s="32"/>
      <c r="V223" s="24" t="s">
        <v>165</v>
      </c>
      <c r="W223" s="24" t="s">
        <v>3</v>
      </c>
      <c r="X223" s="24" t="s">
        <v>3</v>
      </c>
      <c r="Y223" s="24" t="s">
        <v>366</v>
      </c>
      <c r="Z223" s="4" t="str">
        <f t="shared" si="7"/>
        <v>Y</v>
      </c>
      <c r="AC223" s="24" t="s">
        <v>562</v>
      </c>
    </row>
    <row r="224" spans="1:29" s="24" customFormat="1" x14ac:dyDescent="0.2">
      <c r="A224" s="24">
        <v>192</v>
      </c>
      <c r="B224" s="24" t="s">
        <v>366</v>
      </c>
      <c r="C224" s="24" t="s">
        <v>973</v>
      </c>
      <c r="E224" s="24">
        <v>2011</v>
      </c>
      <c r="F224" s="24" t="s">
        <v>121</v>
      </c>
      <c r="G224" s="24" t="s">
        <v>513</v>
      </c>
      <c r="H224" s="26">
        <v>56.388946666666669</v>
      </c>
      <c r="I224" s="26">
        <v>-8.3386316666666662</v>
      </c>
      <c r="J224" s="26">
        <v>1958</v>
      </c>
      <c r="K224" s="26">
        <v>2008</v>
      </c>
      <c r="L224" s="26">
        <f t="shared" si="8"/>
        <v>51</v>
      </c>
      <c r="N224" s="24" t="s">
        <v>52</v>
      </c>
      <c r="O224" s="24" t="s">
        <v>484</v>
      </c>
      <c r="P224" s="24" t="s">
        <v>165</v>
      </c>
      <c r="Q224" s="24" t="s">
        <v>119</v>
      </c>
      <c r="R224" s="24" t="s">
        <v>864</v>
      </c>
      <c r="V224" s="24">
        <f>-(6.4-6.2)*30.25/(L224/10)</f>
        <v>-1.1862745098039227</v>
      </c>
      <c r="W224" s="24" t="s">
        <v>3</v>
      </c>
      <c r="X224" s="30" t="s">
        <v>3</v>
      </c>
      <c r="Y224" s="24" t="s">
        <v>366</v>
      </c>
      <c r="Z224" s="4" t="str">
        <f t="shared" si="7"/>
        <v>Y</v>
      </c>
      <c r="AC224" s="24" t="s">
        <v>865</v>
      </c>
    </row>
    <row r="225" spans="1:92" s="24" customFormat="1" x14ac:dyDescent="0.2">
      <c r="A225" s="24">
        <v>236</v>
      </c>
      <c r="B225" s="24" t="s">
        <v>366</v>
      </c>
      <c r="C225" s="24" t="s">
        <v>364</v>
      </c>
      <c r="E225" s="24">
        <v>1996</v>
      </c>
      <c r="F225" s="24" t="s">
        <v>103</v>
      </c>
      <c r="G225" s="24" t="s">
        <v>513</v>
      </c>
      <c r="H225" s="26">
        <v>54.19</v>
      </c>
      <c r="I225" s="26">
        <v>7.9</v>
      </c>
      <c r="J225" s="26">
        <v>1974</v>
      </c>
      <c r="K225" s="26">
        <v>1994</v>
      </c>
      <c r="L225" s="26">
        <f t="shared" si="8"/>
        <v>21</v>
      </c>
      <c r="M225" s="24" t="s">
        <v>369</v>
      </c>
      <c r="N225" s="24" t="s">
        <v>538</v>
      </c>
      <c r="O225" s="24" t="s">
        <v>1328</v>
      </c>
      <c r="Q225" s="24" t="s">
        <v>551</v>
      </c>
      <c r="R225" s="32"/>
      <c r="S225" s="32"/>
      <c r="T225" s="32"/>
      <c r="U225" s="32"/>
      <c r="V225" s="24" t="s">
        <v>165</v>
      </c>
      <c r="W225" s="24" t="s">
        <v>3</v>
      </c>
      <c r="X225" s="24" t="s">
        <v>3</v>
      </c>
      <c r="Y225" s="24" t="s">
        <v>366</v>
      </c>
      <c r="Z225" s="4" t="str">
        <f t="shared" si="7"/>
        <v>Y</v>
      </c>
      <c r="AC225" s="24" t="s">
        <v>562</v>
      </c>
    </row>
    <row r="226" spans="1:92" s="24" customFormat="1" x14ac:dyDescent="0.2">
      <c r="A226" s="24">
        <v>237</v>
      </c>
      <c r="B226" s="24" t="s">
        <v>366</v>
      </c>
      <c r="C226" s="24" t="s">
        <v>364</v>
      </c>
      <c r="E226" s="24">
        <v>1996</v>
      </c>
      <c r="F226" s="24" t="s">
        <v>103</v>
      </c>
      <c r="G226" s="24" t="s">
        <v>513</v>
      </c>
      <c r="H226" s="26">
        <v>54.19</v>
      </c>
      <c r="I226" s="26">
        <v>7.9</v>
      </c>
      <c r="J226" s="26">
        <v>1974</v>
      </c>
      <c r="K226" s="26">
        <v>1994</v>
      </c>
      <c r="L226" s="26">
        <f t="shared" si="8"/>
        <v>21</v>
      </c>
      <c r="M226" s="24" t="s">
        <v>369</v>
      </c>
      <c r="N226" s="24" t="s">
        <v>538</v>
      </c>
      <c r="O226" s="24" t="s">
        <v>1328</v>
      </c>
      <c r="P226" s="24" t="s">
        <v>538</v>
      </c>
      <c r="Q226" s="24" t="s">
        <v>552</v>
      </c>
      <c r="R226" s="32"/>
      <c r="S226" s="32"/>
      <c r="T226" s="32"/>
      <c r="U226" s="32"/>
      <c r="V226" s="24" t="s">
        <v>165</v>
      </c>
      <c r="W226" s="24" t="s">
        <v>3</v>
      </c>
      <c r="X226" s="24" t="s">
        <v>3</v>
      </c>
      <c r="Y226" s="24" t="s">
        <v>366</v>
      </c>
      <c r="Z226" s="4" t="str">
        <f t="shared" si="7"/>
        <v>Y</v>
      </c>
      <c r="AC226" s="24" t="s">
        <v>562</v>
      </c>
    </row>
    <row r="227" spans="1:92" s="24" customFormat="1" x14ac:dyDescent="0.2">
      <c r="A227" s="24">
        <v>238</v>
      </c>
      <c r="B227" s="24" t="s">
        <v>366</v>
      </c>
      <c r="C227" s="24" t="s">
        <v>364</v>
      </c>
      <c r="E227" s="24">
        <v>1996</v>
      </c>
      <c r="F227" s="24" t="s">
        <v>103</v>
      </c>
      <c r="G227" s="24" t="s">
        <v>513</v>
      </c>
      <c r="H227" s="26">
        <v>54.19</v>
      </c>
      <c r="I227" s="26">
        <v>7.9</v>
      </c>
      <c r="J227" s="26">
        <v>1974</v>
      </c>
      <c r="K227" s="26">
        <v>1994</v>
      </c>
      <c r="L227" s="26">
        <f t="shared" si="8"/>
        <v>21</v>
      </c>
      <c r="M227" s="24" t="s">
        <v>369</v>
      </c>
      <c r="N227" s="24" t="s">
        <v>538</v>
      </c>
      <c r="O227" s="24" t="s">
        <v>1328</v>
      </c>
      <c r="P227" s="24" t="s">
        <v>538</v>
      </c>
      <c r="Q227" s="24" t="s">
        <v>553</v>
      </c>
      <c r="R227" s="32"/>
      <c r="S227" s="32"/>
      <c r="T227" s="32"/>
      <c r="U227" s="32"/>
      <c r="V227" s="24" t="s">
        <v>165</v>
      </c>
      <c r="W227" s="24" t="s">
        <v>3</v>
      </c>
      <c r="X227" s="24" t="s">
        <v>3</v>
      </c>
      <c r="Y227" s="24" t="s">
        <v>366</v>
      </c>
      <c r="Z227" s="4" t="str">
        <f t="shared" si="7"/>
        <v>Y</v>
      </c>
      <c r="AC227" s="24" t="s">
        <v>562</v>
      </c>
    </row>
    <row r="228" spans="1:92" s="24" customFormat="1" x14ac:dyDescent="0.2">
      <c r="A228" s="24">
        <v>239</v>
      </c>
      <c r="B228" s="24" t="s">
        <v>366</v>
      </c>
      <c r="C228" s="24" t="s">
        <v>364</v>
      </c>
      <c r="E228" s="24">
        <v>1996</v>
      </c>
      <c r="F228" s="24" t="s">
        <v>103</v>
      </c>
      <c r="G228" s="24" t="s">
        <v>513</v>
      </c>
      <c r="H228" s="26">
        <v>54.19</v>
      </c>
      <c r="I228" s="26">
        <v>7.9</v>
      </c>
      <c r="J228" s="26">
        <v>1974</v>
      </c>
      <c r="K228" s="26">
        <v>1994</v>
      </c>
      <c r="L228" s="26">
        <f t="shared" si="8"/>
        <v>21</v>
      </c>
      <c r="M228" s="24" t="s">
        <v>369</v>
      </c>
      <c r="N228" s="24" t="s">
        <v>538</v>
      </c>
      <c r="O228" s="24" t="s">
        <v>424</v>
      </c>
      <c r="P228" s="24" t="s">
        <v>538</v>
      </c>
      <c r="Q228" s="24" t="s">
        <v>554</v>
      </c>
      <c r="V228" s="24" t="s">
        <v>165</v>
      </c>
      <c r="W228" s="24" t="s">
        <v>3</v>
      </c>
      <c r="X228" s="24" t="s">
        <v>3</v>
      </c>
      <c r="Y228" s="24" t="s">
        <v>366</v>
      </c>
      <c r="Z228" s="4" t="str">
        <f t="shared" si="7"/>
        <v>Y</v>
      </c>
      <c r="AC228" s="24" t="s">
        <v>562</v>
      </c>
    </row>
    <row r="229" spans="1:92" s="24" customFormat="1" x14ac:dyDescent="0.2">
      <c r="A229" s="24">
        <v>240</v>
      </c>
      <c r="B229" s="24" t="s">
        <v>366</v>
      </c>
      <c r="C229" s="24" t="s">
        <v>364</v>
      </c>
      <c r="E229" s="24">
        <v>1996</v>
      </c>
      <c r="F229" s="24" t="s">
        <v>103</v>
      </c>
      <c r="G229" s="24" t="s">
        <v>513</v>
      </c>
      <c r="H229" s="26">
        <v>54.19</v>
      </c>
      <c r="I229" s="26">
        <v>7.9</v>
      </c>
      <c r="J229" s="26">
        <v>1974</v>
      </c>
      <c r="K229" s="26">
        <v>1994</v>
      </c>
      <c r="L229" s="26">
        <f t="shared" si="8"/>
        <v>21</v>
      </c>
      <c r="M229" s="24" t="s">
        <v>369</v>
      </c>
      <c r="N229" s="24" t="s">
        <v>538</v>
      </c>
      <c r="O229" s="24" t="s">
        <v>424</v>
      </c>
      <c r="P229" s="24" t="s">
        <v>538</v>
      </c>
      <c r="Q229" s="24" t="s">
        <v>555</v>
      </c>
      <c r="V229" s="24" t="s">
        <v>165</v>
      </c>
      <c r="W229" s="24" t="s">
        <v>3</v>
      </c>
      <c r="X229" s="24" t="s">
        <v>3</v>
      </c>
      <c r="Y229" s="24" t="s">
        <v>366</v>
      </c>
      <c r="Z229" s="4" t="str">
        <f t="shared" si="7"/>
        <v>Y</v>
      </c>
      <c r="AC229" s="24" t="s">
        <v>562</v>
      </c>
    </row>
    <row r="230" spans="1:92" s="24" customFormat="1" x14ac:dyDescent="0.2">
      <c r="A230" s="24">
        <v>241</v>
      </c>
      <c r="B230" s="24" t="s">
        <v>366</v>
      </c>
      <c r="C230" s="24" t="s">
        <v>364</v>
      </c>
      <c r="E230" s="24">
        <v>1996</v>
      </c>
      <c r="F230" s="24" t="s">
        <v>103</v>
      </c>
      <c r="G230" s="24" t="s">
        <v>513</v>
      </c>
      <c r="H230" s="26">
        <v>54.19</v>
      </c>
      <c r="I230" s="26">
        <v>7.9</v>
      </c>
      <c r="J230" s="26">
        <v>1974</v>
      </c>
      <c r="K230" s="26">
        <v>1994</v>
      </c>
      <c r="L230" s="26">
        <f t="shared" si="8"/>
        <v>21</v>
      </c>
      <c r="M230" s="24" t="s">
        <v>369</v>
      </c>
      <c r="N230" s="24" t="s">
        <v>538</v>
      </c>
      <c r="O230" s="24" t="s">
        <v>1328</v>
      </c>
      <c r="P230" s="24" t="s">
        <v>538</v>
      </c>
      <c r="Q230" s="24" t="s">
        <v>556</v>
      </c>
      <c r="R230" s="32"/>
      <c r="S230" s="32"/>
      <c r="T230" s="32"/>
      <c r="U230" s="32"/>
      <c r="V230" s="24" t="s">
        <v>165</v>
      </c>
      <c r="W230" s="24" t="s">
        <v>3</v>
      </c>
      <c r="X230" s="24" t="s">
        <v>3</v>
      </c>
      <c r="Y230" s="24" t="s">
        <v>366</v>
      </c>
      <c r="Z230" s="4" t="str">
        <f t="shared" si="7"/>
        <v>Y</v>
      </c>
      <c r="AC230" s="24" t="s">
        <v>562</v>
      </c>
    </row>
    <row r="231" spans="1:92" s="24" customFormat="1" x14ac:dyDescent="0.2">
      <c r="A231" s="24">
        <v>242</v>
      </c>
      <c r="B231" s="24" t="s">
        <v>366</v>
      </c>
      <c r="C231" s="24" t="s">
        <v>364</v>
      </c>
      <c r="E231" s="24">
        <v>1996</v>
      </c>
      <c r="F231" s="24" t="s">
        <v>103</v>
      </c>
      <c r="G231" s="24" t="s">
        <v>513</v>
      </c>
      <c r="H231" s="26">
        <v>54.19</v>
      </c>
      <c r="I231" s="26">
        <v>7.9</v>
      </c>
      <c r="J231" s="26">
        <v>1974</v>
      </c>
      <c r="K231" s="26">
        <v>1994</v>
      </c>
      <c r="L231" s="26">
        <f t="shared" si="8"/>
        <v>21</v>
      </c>
      <c r="M231" s="24" t="s">
        <v>369</v>
      </c>
      <c r="N231" s="24" t="s">
        <v>538</v>
      </c>
      <c r="O231" s="24" t="s">
        <v>1328</v>
      </c>
      <c r="P231" s="24" t="s">
        <v>538</v>
      </c>
      <c r="Q231" s="24" t="s">
        <v>557</v>
      </c>
      <c r="R231" s="32"/>
      <c r="S231" s="32"/>
      <c r="T231" s="32"/>
      <c r="U231" s="32"/>
      <c r="V231" s="24" t="s">
        <v>165</v>
      </c>
      <c r="W231" s="24" t="s">
        <v>3</v>
      </c>
      <c r="X231" s="24" t="s">
        <v>3</v>
      </c>
      <c r="Y231" s="24" t="s">
        <v>366</v>
      </c>
      <c r="Z231" s="4" t="str">
        <f t="shared" si="7"/>
        <v>Y</v>
      </c>
      <c r="AC231" s="24" t="s">
        <v>562</v>
      </c>
    </row>
    <row r="232" spans="1:92" s="24" customFormat="1" x14ac:dyDescent="0.2">
      <c r="A232" s="24">
        <v>244</v>
      </c>
      <c r="B232" s="24" t="s">
        <v>366</v>
      </c>
      <c r="C232" s="24" t="s">
        <v>364</v>
      </c>
      <c r="E232" s="24">
        <v>1996</v>
      </c>
      <c r="F232" s="24" t="s">
        <v>103</v>
      </c>
      <c r="G232" s="24" t="s">
        <v>513</v>
      </c>
      <c r="H232" s="26">
        <v>54.19</v>
      </c>
      <c r="I232" s="26">
        <v>7.9</v>
      </c>
      <c r="J232" s="26">
        <v>1974</v>
      </c>
      <c r="K232" s="26">
        <v>1994</v>
      </c>
      <c r="L232" s="26">
        <f t="shared" si="8"/>
        <v>21</v>
      </c>
      <c r="M232" s="24" t="s">
        <v>369</v>
      </c>
      <c r="N232" s="24" t="s">
        <v>538</v>
      </c>
      <c r="O232" s="24" t="s">
        <v>538</v>
      </c>
      <c r="P232" s="24" t="s">
        <v>538</v>
      </c>
      <c r="Q232" s="24" t="s">
        <v>559</v>
      </c>
      <c r="R232" s="32"/>
      <c r="S232" s="32"/>
      <c r="T232" s="32"/>
      <c r="U232" s="32"/>
      <c r="V232" s="24" t="s">
        <v>165</v>
      </c>
      <c r="W232" s="24" t="s">
        <v>24</v>
      </c>
      <c r="X232" s="24" t="s">
        <v>3</v>
      </c>
      <c r="Y232" s="24" t="s">
        <v>366</v>
      </c>
      <c r="Z232" s="4" t="str">
        <f t="shared" si="7"/>
        <v>Y</v>
      </c>
      <c r="AC232" s="24" t="s">
        <v>562</v>
      </c>
    </row>
    <row r="233" spans="1:92" s="24" customFormat="1" x14ac:dyDescent="0.2">
      <c r="A233" s="24">
        <v>222</v>
      </c>
      <c r="B233" s="24" t="s">
        <v>366</v>
      </c>
      <c r="C233" s="24" t="s">
        <v>364</v>
      </c>
      <c r="E233" s="24">
        <v>1996</v>
      </c>
      <c r="F233" s="24" t="s">
        <v>103</v>
      </c>
      <c r="G233" s="24" t="s">
        <v>513</v>
      </c>
      <c r="H233" s="26">
        <v>54.19</v>
      </c>
      <c r="I233" s="26">
        <v>7.9</v>
      </c>
      <c r="J233" s="26">
        <v>1974</v>
      </c>
      <c r="K233" s="26">
        <v>1994</v>
      </c>
      <c r="L233" s="26">
        <f t="shared" si="8"/>
        <v>21</v>
      </c>
      <c r="M233" s="24" t="s">
        <v>369</v>
      </c>
      <c r="N233" s="24" t="s">
        <v>52</v>
      </c>
      <c r="O233" s="24" t="s">
        <v>1328</v>
      </c>
      <c r="Q233" s="24" t="s">
        <v>446</v>
      </c>
      <c r="R233" s="32"/>
      <c r="S233" s="32"/>
      <c r="T233" s="32"/>
      <c r="U233" s="32"/>
      <c r="V233" s="24" t="s">
        <v>165</v>
      </c>
      <c r="W233" s="24" t="s">
        <v>3</v>
      </c>
      <c r="X233" s="24" t="s">
        <v>3</v>
      </c>
      <c r="Y233" s="24" t="s">
        <v>366</v>
      </c>
      <c r="Z233" s="4" t="str">
        <f t="shared" si="7"/>
        <v>Y</v>
      </c>
      <c r="AC233" s="24" t="s">
        <v>562</v>
      </c>
    </row>
    <row r="234" spans="1:92" s="24" customFormat="1" x14ac:dyDescent="0.2">
      <c r="A234" s="24">
        <v>223</v>
      </c>
      <c r="B234" s="24" t="s">
        <v>366</v>
      </c>
      <c r="C234" s="24" t="s">
        <v>364</v>
      </c>
      <c r="E234" s="24">
        <v>1996</v>
      </c>
      <c r="F234" s="24" t="s">
        <v>103</v>
      </c>
      <c r="G234" s="24" t="s">
        <v>513</v>
      </c>
      <c r="H234" s="26">
        <v>54.19</v>
      </c>
      <c r="I234" s="26">
        <v>7.9</v>
      </c>
      <c r="J234" s="26">
        <v>1974</v>
      </c>
      <c r="K234" s="26">
        <v>1994</v>
      </c>
      <c r="L234" s="26">
        <f t="shared" si="8"/>
        <v>21</v>
      </c>
      <c r="M234" s="24" t="s">
        <v>369</v>
      </c>
      <c r="N234" s="24" t="s">
        <v>52</v>
      </c>
      <c r="O234" s="24" t="s">
        <v>1328</v>
      </c>
      <c r="Q234" s="24" t="s">
        <v>430</v>
      </c>
      <c r="R234" s="32"/>
      <c r="S234" s="32"/>
      <c r="T234" s="32"/>
      <c r="U234" s="32"/>
      <c r="V234" s="24" t="s">
        <v>165</v>
      </c>
      <c r="W234" s="24" t="s">
        <v>3</v>
      </c>
      <c r="X234" s="24" t="s">
        <v>3</v>
      </c>
      <c r="Y234" s="24" t="s">
        <v>366</v>
      </c>
      <c r="Z234" s="4" t="str">
        <f t="shared" si="7"/>
        <v>Y</v>
      </c>
      <c r="AC234" s="24" t="s">
        <v>562</v>
      </c>
    </row>
    <row r="235" spans="1:92" s="24" customFormat="1" x14ac:dyDescent="0.2">
      <c r="A235" s="24">
        <v>224</v>
      </c>
      <c r="B235" s="24" t="s">
        <v>366</v>
      </c>
      <c r="C235" s="24" t="s">
        <v>364</v>
      </c>
      <c r="E235" s="24">
        <v>1996</v>
      </c>
      <c r="F235" s="24" t="s">
        <v>103</v>
      </c>
      <c r="G235" s="24" t="s">
        <v>513</v>
      </c>
      <c r="H235" s="26">
        <v>54.19</v>
      </c>
      <c r="I235" s="26">
        <v>7.9</v>
      </c>
      <c r="J235" s="26">
        <v>1974</v>
      </c>
      <c r="K235" s="26">
        <v>1994</v>
      </c>
      <c r="L235" s="26">
        <f t="shared" si="8"/>
        <v>21</v>
      </c>
      <c r="M235" s="24" t="s">
        <v>369</v>
      </c>
      <c r="N235" s="24" t="s">
        <v>52</v>
      </c>
      <c r="O235" s="24" t="s">
        <v>484</v>
      </c>
      <c r="Q235" s="24" t="s">
        <v>540</v>
      </c>
      <c r="R235" s="32"/>
      <c r="S235" s="32"/>
      <c r="T235" s="32"/>
      <c r="U235" s="32"/>
      <c r="V235" s="24" t="s">
        <v>165</v>
      </c>
      <c r="W235" s="24" t="s">
        <v>3</v>
      </c>
      <c r="X235" s="24" t="s">
        <v>3</v>
      </c>
      <c r="Y235" s="24" t="s">
        <v>366</v>
      </c>
      <c r="Z235" s="4" t="str">
        <f t="shared" si="7"/>
        <v>Y</v>
      </c>
      <c r="AC235" s="24" t="s">
        <v>562</v>
      </c>
    </row>
    <row r="236" spans="1:92" s="24" customFormat="1" x14ac:dyDescent="0.2">
      <c r="A236" s="24">
        <v>225</v>
      </c>
      <c r="B236" s="24" t="s">
        <v>366</v>
      </c>
      <c r="C236" s="24" t="s">
        <v>364</v>
      </c>
      <c r="E236" s="24">
        <v>1996</v>
      </c>
      <c r="F236" s="24" t="s">
        <v>103</v>
      </c>
      <c r="G236" s="24" t="s">
        <v>513</v>
      </c>
      <c r="H236" s="26">
        <v>54.19</v>
      </c>
      <c r="I236" s="26">
        <v>7.9</v>
      </c>
      <c r="J236" s="26">
        <v>1974</v>
      </c>
      <c r="K236" s="26">
        <v>1994</v>
      </c>
      <c r="L236" s="26">
        <f t="shared" si="8"/>
        <v>21</v>
      </c>
      <c r="M236" s="24" t="s">
        <v>369</v>
      </c>
      <c r="N236" s="24" t="s">
        <v>52</v>
      </c>
      <c r="O236" s="24" t="s">
        <v>484</v>
      </c>
      <c r="Q236" s="24" t="s">
        <v>541</v>
      </c>
      <c r="R236" s="32"/>
      <c r="S236" s="32"/>
      <c r="T236" s="32"/>
      <c r="U236" s="32"/>
      <c r="V236" s="24" t="s">
        <v>165</v>
      </c>
      <c r="W236" s="24" t="s">
        <v>3</v>
      </c>
      <c r="X236" s="24" t="s">
        <v>3</v>
      </c>
      <c r="Y236" s="24" t="s">
        <v>366</v>
      </c>
      <c r="Z236" s="4" t="str">
        <f t="shared" si="7"/>
        <v>Y</v>
      </c>
      <c r="AC236" s="24" t="s">
        <v>562</v>
      </c>
    </row>
    <row r="237" spans="1:92" s="24" customFormat="1" x14ac:dyDescent="0.2">
      <c r="A237" s="24">
        <v>226</v>
      </c>
      <c r="B237" s="24" t="s">
        <v>366</v>
      </c>
      <c r="C237" s="24" t="s">
        <v>364</v>
      </c>
      <c r="E237" s="24">
        <v>1996</v>
      </c>
      <c r="F237" s="24" t="s">
        <v>103</v>
      </c>
      <c r="G237" s="24" t="s">
        <v>513</v>
      </c>
      <c r="H237" s="26">
        <v>54.19</v>
      </c>
      <c r="I237" s="26">
        <v>7.9</v>
      </c>
      <c r="J237" s="26">
        <v>1974</v>
      </c>
      <c r="K237" s="26">
        <v>1994</v>
      </c>
      <c r="L237" s="26">
        <f t="shared" si="8"/>
        <v>21</v>
      </c>
      <c r="M237" s="24" t="s">
        <v>369</v>
      </c>
      <c r="N237" s="24" t="s">
        <v>52</v>
      </c>
      <c r="O237" s="24" t="s">
        <v>484</v>
      </c>
      <c r="Q237" s="24" t="s">
        <v>434</v>
      </c>
      <c r="R237" s="32"/>
      <c r="S237" s="32"/>
      <c r="T237" s="32"/>
      <c r="U237" s="32"/>
      <c r="V237" s="24" t="s">
        <v>165</v>
      </c>
      <c r="W237" s="24" t="s">
        <v>3</v>
      </c>
      <c r="X237" s="24" t="s">
        <v>3</v>
      </c>
      <c r="Y237" s="24" t="s">
        <v>366</v>
      </c>
      <c r="Z237" s="4" t="str">
        <f t="shared" si="7"/>
        <v>Y</v>
      </c>
      <c r="AC237" s="24" t="s">
        <v>562</v>
      </c>
    </row>
    <row r="238" spans="1:92" s="24" customFormat="1" x14ac:dyDescent="0.2">
      <c r="A238"/>
      <c r="B238" t="s">
        <v>366</v>
      </c>
      <c r="C238" t="s">
        <v>55</v>
      </c>
      <c r="D238"/>
      <c r="E238">
        <v>2016</v>
      </c>
      <c r="F238" t="s">
        <v>54</v>
      </c>
      <c r="G238" t="s">
        <v>513</v>
      </c>
      <c r="H238" s="14">
        <v>58.25</v>
      </c>
      <c r="I238" s="13">
        <v>11.35</v>
      </c>
      <c r="J238" s="13">
        <v>1971</v>
      </c>
      <c r="K238" s="13">
        <v>2006</v>
      </c>
      <c r="L238" s="13">
        <f t="shared" si="8"/>
        <v>36</v>
      </c>
      <c r="M238" t="s">
        <v>371</v>
      </c>
      <c r="N238" t="s">
        <v>379</v>
      </c>
      <c r="O238" t="s">
        <v>297</v>
      </c>
      <c r="P238" t="s">
        <v>56</v>
      </c>
      <c r="Q238" t="s">
        <v>57</v>
      </c>
      <c r="R238" t="s">
        <v>1109</v>
      </c>
      <c r="S238" s="17" t="s">
        <v>1120</v>
      </c>
      <c r="T238">
        <v>258</v>
      </c>
      <c r="U238" s="10" t="s">
        <v>900</v>
      </c>
      <c r="V238">
        <f>19.3/3.6</f>
        <v>5.3611111111111116</v>
      </c>
      <c r="W238" t="s">
        <v>3</v>
      </c>
      <c r="X238" t="s">
        <v>3</v>
      </c>
      <c r="Y238" t="s">
        <v>366</v>
      </c>
      <c r="Z238" s="4" t="str">
        <f t="shared" si="7"/>
        <v>Y</v>
      </c>
      <c r="AA238" t="s">
        <v>1121</v>
      </c>
      <c r="AB238" t="s">
        <v>1179</v>
      </c>
      <c r="AC238" t="s">
        <v>1108</v>
      </c>
      <c r="AD238" t="s">
        <v>1100</v>
      </c>
      <c r="AE238" s="15" t="s">
        <v>1153</v>
      </c>
      <c r="AF238" s="15" t="s">
        <v>3</v>
      </c>
      <c r="AG238" t="s">
        <v>1100</v>
      </c>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row>
    <row r="239" spans="1:92" s="24" customFormat="1" x14ac:dyDescent="0.2">
      <c r="A239"/>
      <c r="B239" t="s">
        <v>366</v>
      </c>
      <c r="C239" t="s">
        <v>55</v>
      </c>
      <c r="D239"/>
      <c r="E239">
        <v>2016</v>
      </c>
      <c r="F239" t="s">
        <v>54</v>
      </c>
      <c r="G239" t="s">
        <v>513</v>
      </c>
      <c r="H239" s="14">
        <v>58.25</v>
      </c>
      <c r="I239" s="13">
        <v>11.35</v>
      </c>
      <c r="J239" s="13">
        <v>1971</v>
      </c>
      <c r="K239" s="13">
        <v>2006</v>
      </c>
      <c r="L239" s="13">
        <f t="shared" si="8"/>
        <v>36</v>
      </c>
      <c r="M239" t="s">
        <v>371</v>
      </c>
      <c r="N239" t="s">
        <v>379</v>
      </c>
      <c r="O239" t="s">
        <v>297</v>
      </c>
      <c r="P239" t="s">
        <v>56</v>
      </c>
      <c r="Q239" t="s">
        <v>57</v>
      </c>
      <c r="R239" t="s">
        <v>1109</v>
      </c>
      <c r="S239" s="17" t="s">
        <v>620</v>
      </c>
      <c r="T239" t="s">
        <v>165</v>
      </c>
      <c r="U239" s="10" t="s">
        <v>165</v>
      </c>
      <c r="V239">
        <f>(101-57)/3.6</f>
        <v>12.222222222222221</v>
      </c>
      <c r="W239" t="s">
        <v>3</v>
      </c>
      <c r="X239" t="s">
        <v>3</v>
      </c>
      <c r="Y239" t="s">
        <v>366</v>
      </c>
      <c r="Z239" s="4" t="str">
        <f t="shared" si="7"/>
        <v>Y</v>
      </c>
      <c r="AA239" t="s">
        <v>1121</v>
      </c>
      <c r="AB239" t="s">
        <v>1180</v>
      </c>
      <c r="AC239" t="s">
        <v>1110</v>
      </c>
      <c r="AD239" t="s">
        <v>1100</v>
      </c>
      <c r="AE239" s="15" t="s">
        <v>1153</v>
      </c>
      <c r="AF239" s="15" t="s">
        <v>3</v>
      </c>
      <c r="AG239" t="s">
        <v>1100</v>
      </c>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row>
    <row r="240" spans="1:92" s="24" customFormat="1" x14ac:dyDescent="0.2">
      <c r="A240">
        <v>202</v>
      </c>
      <c r="B240" t="s">
        <v>366</v>
      </c>
      <c r="C240" t="s">
        <v>131</v>
      </c>
      <c r="D240"/>
      <c r="E240">
        <v>2009</v>
      </c>
      <c r="F240" t="s">
        <v>132</v>
      </c>
      <c r="G240" t="s">
        <v>513</v>
      </c>
      <c r="H240" s="13">
        <v>56.183300000000003</v>
      </c>
      <c r="I240" s="13">
        <v>-2.5667</v>
      </c>
      <c r="J240" s="13">
        <v>1971</v>
      </c>
      <c r="K240" s="13">
        <v>2006</v>
      </c>
      <c r="L240" s="13">
        <f t="shared" si="8"/>
        <v>36</v>
      </c>
      <c r="M240"/>
      <c r="N240" t="s">
        <v>380</v>
      </c>
      <c r="O240" t="s">
        <v>380</v>
      </c>
      <c r="P240" t="s">
        <v>137</v>
      </c>
      <c r="Q240"/>
      <c r="R240"/>
      <c r="S240"/>
      <c r="T240"/>
      <c r="U240"/>
      <c r="V240">
        <f>0.28*10</f>
        <v>2.8000000000000003</v>
      </c>
      <c r="W240" t="s">
        <v>24</v>
      </c>
      <c r="X240" s="2" t="s">
        <v>3</v>
      </c>
      <c r="Y240" t="s">
        <v>366</v>
      </c>
      <c r="Z240" s="4" t="str">
        <f t="shared" si="7"/>
        <v>Y</v>
      </c>
      <c r="AA240"/>
      <c r="AB240"/>
      <c r="AC240" t="s">
        <v>144</v>
      </c>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row>
    <row r="241" spans="1:92" s="24" customFormat="1" x14ac:dyDescent="0.2">
      <c r="A241">
        <v>203</v>
      </c>
      <c r="B241" t="s">
        <v>366</v>
      </c>
      <c r="C241" t="s">
        <v>131</v>
      </c>
      <c r="D241"/>
      <c r="E241">
        <v>2009</v>
      </c>
      <c r="F241" t="s">
        <v>132</v>
      </c>
      <c r="G241" t="s">
        <v>513</v>
      </c>
      <c r="H241" s="13">
        <v>56.183300000000003</v>
      </c>
      <c r="I241" s="13">
        <v>-2.5667</v>
      </c>
      <c r="J241" s="13">
        <v>1971</v>
      </c>
      <c r="K241" s="13">
        <v>2006</v>
      </c>
      <c r="L241" s="13">
        <f t="shared" si="8"/>
        <v>36</v>
      </c>
      <c r="M241"/>
      <c r="N241" t="s">
        <v>380</v>
      </c>
      <c r="O241" t="s">
        <v>380</v>
      </c>
      <c r="P241" t="s">
        <v>138</v>
      </c>
      <c r="Q241"/>
      <c r="R241"/>
      <c r="S241"/>
      <c r="T241"/>
      <c r="U241"/>
      <c r="V241">
        <f>0.0062*10</f>
        <v>6.2E-2</v>
      </c>
      <c r="W241" t="s">
        <v>24</v>
      </c>
      <c r="X241" s="2" t="s">
        <v>3</v>
      </c>
      <c r="Y241" t="s">
        <v>366</v>
      </c>
      <c r="Z241" s="4" t="str">
        <f t="shared" si="7"/>
        <v>Y</v>
      </c>
      <c r="AA241"/>
      <c r="AB241"/>
      <c r="AC241" t="s">
        <v>144</v>
      </c>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row>
    <row r="242" spans="1:92" x14ac:dyDescent="0.2">
      <c r="B242" t="s">
        <v>366</v>
      </c>
      <c r="C242" t="s">
        <v>945</v>
      </c>
      <c r="E242">
        <v>2012</v>
      </c>
      <c r="F242" t="s">
        <v>103</v>
      </c>
      <c r="G242" t="s">
        <v>513</v>
      </c>
      <c r="H242" s="13">
        <v>56.5</v>
      </c>
      <c r="I242" s="13">
        <v>-1.5</v>
      </c>
      <c r="J242" s="13">
        <v>1983</v>
      </c>
      <c r="K242" s="13">
        <v>2006</v>
      </c>
      <c r="L242" s="13">
        <f t="shared" si="8"/>
        <v>24</v>
      </c>
      <c r="M242" t="s">
        <v>369</v>
      </c>
      <c r="N242" t="s">
        <v>299</v>
      </c>
      <c r="O242" t="s">
        <v>299</v>
      </c>
      <c r="P242" t="s">
        <v>299</v>
      </c>
      <c r="Q242" t="s">
        <v>960</v>
      </c>
      <c r="R242" t="s">
        <v>864</v>
      </c>
      <c r="V242">
        <v>-5.7583409685132496</v>
      </c>
      <c r="W242" t="s">
        <v>3</v>
      </c>
      <c r="X242" t="s">
        <v>3</v>
      </c>
      <c r="Y242" t="s">
        <v>366</v>
      </c>
      <c r="Z242" s="4" t="str">
        <f t="shared" si="7"/>
        <v>Y</v>
      </c>
      <c r="AC242" t="s">
        <v>961</v>
      </c>
    </row>
    <row r="243" spans="1:92" s="24" customFormat="1" x14ac:dyDescent="0.2">
      <c r="A243" s="24">
        <v>233</v>
      </c>
      <c r="B243" s="24" t="s">
        <v>366</v>
      </c>
      <c r="C243" s="24" t="s">
        <v>364</v>
      </c>
      <c r="E243" s="24">
        <v>1996</v>
      </c>
      <c r="F243" s="24" t="s">
        <v>103</v>
      </c>
      <c r="G243" s="24" t="s">
        <v>513</v>
      </c>
      <c r="H243" s="26">
        <v>54.19</v>
      </c>
      <c r="I243" s="26">
        <v>7.9</v>
      </c>
      <c r="J243" s="26">
        <v>1974</v>
      </c>
      <c r="K243" s="26">
        <v>1994</v>
      </c>
      <c r="L243" s="26">
        <f t="shared" si="8"/>
        <v>21</v>
      </c>
      <c r="M243" s="24" t="s">
        <v>369</v>
      </c>
      <c r="N243" s="24" t="s">
        <v>52</v>
      </c>
      <c r="O243" s="24" t="s">
        <v>1328</v>
      </c>
      <c r="Q243" s="24" t="s">
        <v>548</v>
      </c>
      <c r="R243" s="32"/>
      <c r="S243" s="32"/>
      <c r="T243" s="32"/>
      <c r="U243" s="32"/>
      <c r="V243" s="24" t="s">
        <v>165</v>
      </c>
      <c r="W243" s="24" t="s">
        <v>3</v>
      </c>
      <c r="X243" s="24" t="s">
        <v>3</v>
      </c>
      <c r="Y243" s="24" t="s">
        <v>366</v>
      </c>
      <c r="Z243" s="4" t="str">
        <f t="shared" si="7"/>
        <v>Y</v>
      </c>
      <c r="AC243" s="24" t="s">
        <v>562</v>
      </c>
    </row>
    <row r="244" spans="1:92" x14ac:dyDescent="0.2">
      <c r="A244" s="24">
        <v>234</v>
      </c>
      <c r="B244" s="24" t="s">
        <v>366</v>
      </c>
      <c r="C244" s="24" t="s">
        <v>364</v>
      </c>
      <c r="D244" s="24"/>
      <c r="E244" s="24">
        <v>1996</v>
      </c>
      <c r="F244" s="24" t="s">
        <v>103</v>
      </c>
      <c r="G244" s="24" t="s">
        <v>513</v>
      </c>
      <c r="H244" s="26">
        <v>54.19</v>
      </c>
      <c r="I244" s="26">
        <v>7.9</v>
      </c>
      <c r="J244" s="26">
        <v>1974</v>
      </c>
      <c r="K244" s="26">
        <v>1994</v>
      </c>
      <c r="L244" s="26">
        <f t="shared" si="8"/>
        <v>21</v>
      </c>
      <c r="M244" s="24" t="s">
        <v>369</v>
      </c>
      <c r="N244" s="24" t="s">
        <v>52</v>
      </c>
      <c r="O244" s="24" t="s">
        <v>1328</v>
      </c>
      <c r="P244" s="24"/>
      <c r="Q244" s="24" t="s">
        <v>549</v>
      </c>
      <c r="R244" s="32"/>
      <c r="S244" s="32"/>
      <c r="T244" s="32"/>
      <c r="U244" s="32"/>
      <c r="V244" s="24" t="s">
        <v>165</v>
      </c>
      <c r="W244" s="24" t="s">
        <v>24</v>
      </c>
      <c r="X244" s="24" t="s">
        <v>3</v>
      </c>
      <c r="Y244" s="24" t="s">
        <v>366</v>
      </c>
      <c r="Z244" s="4" t="str">
        <f t="shared" si="7"/>
        <v>Y</v>
      </c>
      <c r="AA244" s="24"/>
      <c r="AB244" s="24"/>
      <c r="AC244" s="24" t="s">
        <v>562</v>
      </c>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row>
    <row r="245" spans="1:92" x14ac:dyDescent="0.2">
      <c r="A245" s="24">
        <v>235</v>
      </c>
      <c r="B245" s="24" t="s">
        <v>366</v>
      </c>
      <c r="C245" s="24" t="s">
        <v>364</v>
      </c>
      <c r="D245" s="24"/>
      <c r="E245" s="24">
        <v>1996</v>
      </c>
      <c r="F245" s="24" t="s">
        <v>103</v>
      </c>
      <c r="G245" s="24" t="s">
        <v>513</v>
      </c>
      <c r="H245" s="26">
        <v>54.19</v>
      </c>
      <c r="I245" s="26">
        <v>7.9</v>
      </c>
      <c r="J245" s="26">
        <v>1974</v>
      </c>
      <c r="K245" s="26">
        <v>1994</v>
      </c>
      <c r="L245" s="26">
        <f t="shared" si="8"/>
        <v>21</v>
      </c>
      <c r="M245" s="24" t="s">
        <v>369</v>
      </c>
      <c r="N245" s="24" t="s">
        <v>52</v>
      </c>
      <c r="O245" s="24" t="s">
        <v>1328</v>
      </c>
      <c r="P245" s="24"/>
      <c r="Q245" s="24" t="s">
        <v>550</v>
      </c>
      <c r="R245" s="32"/>
      <c r="S245" s="32"/>
      <c r="T245" s="32"/>
      <c r="U245" s="32"/>
      <c r="V245" s="24" t="s">
        <v>165</v>
      </c>
      <c r="W245" s="24" t="s">
        <v>3</v>
      </c>
      <c r="X245" s="24" t="s">
        <v>3</v>
      </c>
      <c r="Y245" s="24" t="s">
        <v>366</v>
      </c>
      <c r="Z245" s="4" t="str">
        <f t="shared" si="7"/>
        <v>Y</v>
      </c>
      <c r="AA245" s="24"/>
      <c r="AB245" s="24"/>
      <c r="AC245" s="24" t="s">
        <v>562</v>
      </c>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row>
    <row r="246" spans="1:92" x14ac:dyDescent="0.2">
      <c r="A246" s="24">
        <v>243</v>
      </c>
      <c r="B246" s="24" t="s">
        <v>366</v>
      </c>
      <c r="C246" s="24" t="s">
        <v>364</v>
      </c>
      <c r="D246" s="24"/>
      <c r="E246" s="24">
        <v>1996</v>
      </c>
      <c r="F246" s="24" t="s">
        <v>103</v>
      </c>
      <c r="G246" s="24" t="s">
        <v>513</v>
      </c>
      <c r="H246" s="26">
        <v>54.19</v>
      </c>
      <c r="I246" s="26">
        <v>7.9</v>
      </c>
      <c r="J246" s="26">
        <v>1974</v>
      </c>
      <c r="K246" s="26">
        <v>1994</v>
      </c>
      <c r="L246" s="26">
        <f t="shared" si="8"/>
        <v>21</v>
      </c>
      <c r="M246" s="24" t="s">
        <v>369</v>
      </c>
      <c r="N246" s="24" t="s">
        <v>52</v>
      </c>
      <c r="O246" s="24" t="s">
        <v>538</v>
      </c>
      <c r="P246" s="24"/>
      <c r="Q246" s="24" t="s">
        <v>558</v>
      </c>
      <c r="R246" s="32"/>
      <c r="S246" s="32"/>
      <c r="T246" s="32"/>
      <c r="U246" s="32"/>
      <c r="V246" s="24" t="s">
        <v>165</v>
      </c>
      <c r="W246" s="24" t="s">
        <v>24</v>
      </c>
      <c r="X246" s="24" t="s">
        <v>3</v>
      </c>
      <c r="Y246" s="24" t="s">
        <v>366</v>
      </c>
      <c r="Z246" s="4" t="str">
        <f t="shared" si="7"/>
        <v>Y</v>
      </c>
      <c r="AA246" s="24"/>
      <c r="AB246" s="24"/>
      <c r="AC246" s="24" t="s">
        <v>562</v>
      </c>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row>
    <row r="247" spans="1:92" x14ac:dyDescent="0.2">
      <c r="A247" s="24">
        <v>245</v>
      </c>
      <c r="B247" s="24" t="s">
        <v>366</v>
      </c>
      <c r="C247" s="24" t="s">
        <v>364</v>
      </c>
      <c r="D247" s="24"/>
      <c r="E247" s="24">
        <v>1996</v>
      </c>
      <c r="F247" s="24" t="s">
        <v>103</v>
      </c>
      <c r="G247" s="24" t="s">
        <v>513</v>
      </c>
      <c r="H247" s="26">
        <v>54.19</v>
      </c>
      <c r="I247" s="26">
        <v>7.9</v>
      </c>
      <c r="J247" s="26">
        <v>1974</v>
      </c>
      <c r="K247" s="26">
        <v>1994</v>
      </c>
      <c r="L247" s="26">
        <f t="shared" si="8"/>
        <v>21</v>
      </c>
      <c r="M247" s="24" t="s">
        <v>369</v>
      </c>
      <c r="N247" s="24" t="s">
        <v>52</v>
      </c>
      <c r="O247" s="24" t="s">
        <v>538</v>
      </c>
      <c r="P247" s="24"/>
      <c r="Q247" s="24" t="s">
        <v>560</v>
      </c>
      <c r="R247" s="32"/>
      <c r="S247" s="32"/>
      <c r="T247" s="32"/>
      <c r="U247" s="32"/>
      <c r="V247" s="24" t="s">
        <v>165</v>
      </c>
      <c r="W247" s="24" t="s">
        <v>24</v>
      </c>
      <c r="X247" s="24" t="s">
        <v>3</v>
      </c>
      <c r="Y247" s="24" t="s">
        <v>366</v>
      </c>
      <c r="Z247" s="4" t="str">
        <f t="shared" si="7"/>
        <v>Y</v>
      </c>
      <c r="AA247" s="24"/>
      <c r="AB247" s="24"/>
      <c r="AC247" s="24" t="s">
        <v>562</v>
      </c>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row>
    <row r="248" spans="1:92" x14ac:dyDescent="0.2">
      <c r="B248" t="s">
        <v>366</v>
      </c>
      <c r="C248" t="s">
        <v>945</v>
      </c>
      <c r="E248">
        <v>2012</v>
      </c>
      <c r="F248" t="s">
        <v>103</v>
      </c>
      <c r="G248" t="s">
        <v>513</v>
      </c>
      <c r="H248" s="13">
        <v>56.5</v>
      </c>
      <c r="I248" s="13">
        <v>-1.5</v>
      </c>
      <c r="J248" s="13">
        <v>1983</v>
      </c>
      <c r="K248" s="13">
        <v>2006</v>
      </c>
      <c r="L248" s="13">
        <f t="shared" si="8"/>
        <v>24</v>
      </c>
      <c r="M248" t="s">
        <v>369</v>
      </c>
      <c r="N248" t="s">
        <v>51</v>
      </c>
      <c r="O248" t="s">
        <v>51</v>
      </c>
      <c r="P248" t="s">
        <v>51</v>
      </c>
      <c r="Q248" t="s">
        <v>949</v>
      </c>
      <c r="R248" t="s">
        <v>939</v>
      </c>
      <c r="V248">
        <v>2.5830000000000002</v>
      </c>
      <c r="W248" t="s">
        <v>24</v>
      </c>
      <c r="X248" t="s">
        <v>3</v>
      </c>
      <c r="Y248" t="s">
        <v>366</v>
      </c>
      <c r="Z248" s="4" t="str">
        <f t="shared" si="7"/>
        <v>Y</v>
      </c>
      <c r="AC248" t="s">
        <v>957</v>
      </c>
    </row>
    <row r="249" spans="1:92" x14ac:dyDescent="0.2">
      <c r="A249">
        <v>204</v>
      </c>
      <c r="B249" t="s">
        <v>366</v>
      </c>
      <c r="C249" t="s">
        <v>131</v>
      </c>
      <c r="E249">
        <v>2009</v>
      </c>
      <c r="F249" t="s">
        <v>132</v>
      </c>
      <c r="G249" t="s">
        <v>513</v>
      </c>
      <c r="H249" s="13">
        <v>56.183300000000003</v>
      </c>
      <c r="I249" s="13">
        <v>-2.5667</v>
      </c>
      <c r="J249" s="13">
        <v>1971</v>
      </c>
      <c r="K249" s="13">
        <v>2006</v>
      </c>
      <c r="L249" s="13">
        <f t="shared" si="8"/>
        <v>36</v>
      </c>
      <c r="N249" t="s">
        <v>380</v>
      </c>
      <c r="O249" t="s">
        <v>380</v>
      </c>
      <c r="P249" t="s">
        <v>139</v>
      </c>
      <c r="V249">
        <f>0.25*10</f>
        <v>2.5</v>
      </c>
      <c r="W249" t="s">
        <v>24</v>
      </c>
      <c r="X249" s="2" t="s">
        <v>3</v>
      </c>
      <c r="Y249" t="s">
        <v>366</v>
      </c>
      <c r="Z249" s="4" t="str">
        <f t="shared" si="7"/>
        <v>Y</v>
      </c>
      <c r="AC249" t="s">
        <v>144</v>
      </c>
    </row>
    <row r="250" spans="1:92" x14ac:dyDescent="0.2">
      <c r="A250">
        <v>205</v>
      </c>
      <c r="B250" t="s">
        <v>366</v>
      </c>
      <c r="C250" t="s">
        <v>131</v>
      </c>
      <c r="E250">
        <v>2009</v>
      </c>
      <c r="F250" t="s">
        <v>140</v>
      </c>
      <c r="G250" t="s">
        <v>513</v>
      </c>
      <c r="H250" s="13">
        <v>55.639899999999997</v>
      </c>
      <c r="I250" s="13">
        <v>-1.603</v>
      </c>
      <c r="J250" s="13">
        <v>1971</v>
      </c>
      <c r="K250" s="13">
        <v>2006</v>
      </c>
      <c r="L250" s="13">
        <f t="shared" si="8"/>
        <v>36</v>
      </c>
      <c r="N250" t="s">
        <v>380</v>
      </c>
      <c r="O250" t="s">
        <v>380</v>
      </c>
      <c r="P250" t="s">
        <v>133</v>
      </c>
      <c r="V250">
        <f>0.11*10</f>
        <v>1.1000000000000001</v>
      </c>
      <c r="W250" t="s">
        <v>24</v>
      </c>
      <c r="X250" s="2" t="s">
        <v>3</v>
      </c>
      <c r="Y250" t="s">
        <v>366</v>
      </c>
      <c r="Z250" s="4" t="str">
        <f t="shared" si="7"/>
        <v>Y</v>
      </c>
      <c r="AC250" t="s">
        <v>144</v>
      </c>
    </row>
    <row r="251" spans="1:92" s="4" customFormat="1" x14ac:dyDescent="0.2">
      <c r="A251">
        <v>206</v>
      </c>
      <c r="B251" t="s">
        <v>366</v>
      </c>
      <c r="C251" t="s">
        <v>131</v>
      </c>
      <c r="D251"/>
      <c r="E251">
        <v>2009</v>
      </c>
      <c r="F251" t="s">
        <v>132</v>
      </c>
      <c r="G251" t="s">
        <v>513</v>
      </c>
      <c r="H251" s="13">
        <v>56.183300000000003</v>
      </c>
      <c r="I251" s="13">
        <v>-2.5667</v>
      </c>
      <c r="J251" s="13">
        <v>1971</v>
      </c>
      <c r="K251" s="13">
        <v>2006</v>
      </c>
      <c r="L251" s="13">
        <f t="shared" si="8"/>
        <v>36</v>
      </c>
      <c r="M251"/>
      <c r="N251" t="s">
        <v>380</v>
      </c>
      <c r="O251" t="s">
        <v>380</v>
      </c>
      <c r="P251" t="s">
        <v>134</v>
      </c>
      <c r="Q251"/>
      <c r="R251"/>
      <c r="S251"/>
      <c r="T251"/>
      <c r="U251"/>
      <c r="V251">
        <f>0.099*10</f>
        <v>0.99</v>
      </c>
      <c r="W251" t="s">
        <v>24</v>
      </c>
      <c r="X251" s="2" t="s">
        <v>3</v>
      </c>
      <c r="Y251" t="s">
        <v>366</v>
      </c>
      <c r="Z251" s="4" t="str">
        <f t="shared" si="7"/>
        <v>Y</v>
      </c>
      <c r="AA251"/>
      <c r="AB251"/>
      <c r="AC251" t="s">
        <v>144</v>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row>
    <row r="252" spans="1:92" x14ac:dyDescent="0.2">
      <c r="A252">
        <v>207</v>
      </c>
      <c r="B252" t="s">
        <v>366</v>
      </c>
      <c r="C252" t="s">
        <v>131</v>
      </c>
      <c r="E252">
        <v>2009</v>
      </c>
      <c r="F252" t="s">
        <v>132</v>
      </c>
      <c r="G252" t="s">
        <v>513</v>
      </c>
      <c r="H252" s="13">
        <v>56.183300000000003</v>
      </c>
      <c r="I252" s="13">
        <v>-2.5667</v>
      </c>
      <c r="J252" s="13">
        <v>1971</v>
      </c>
      <c r="K252" s="13">
        <v>2006</v>
      </c>
      <c r="L252" s="13">
        <f t="shared" si="8"/>
        <v>36</v>
      </c>
      <c r="N252" t="s">
        <v>380</v>
      </c>
      <c r="O252" t="s">
        <v>380</v>
      </c>
      <c r="P252" t="s">
        <v>135</v>
      </c>
      <c r="V252">
        <f>0.05*10</f>
        <v>0.5</v>
      </c>
      <c r="W252" t="s">
        <v>24</v>
      </c>
      <c r="X252" s="2" t="s">
        <v>3</v>
      </c>
      <c r="Y252" t="s">
        <v>366</v>
      </c>
      <c r="Z252" s="4" t="str">
        <f t="shared" si="7"/>
        <v>Y</v>
      </c>
      <c r="AC252" t="s">
        <v>144</v>
      </c>
    </row>
    <row r="253" spans="1:92" x14ac:dyDescent="0.2">
      <c r="A253">
        <v>208</v>
      </c>
      <c r="B253" t="s">
        <v>366</v>
      </c>
      <c r="C253" t="s">
        <v>131</v>
      </c>
      <c r="E253">
        <v>2009</v>
      </c>
      <c r="F253" t="s">
        <v>132</v>
      </c>
      <c r="G253" t="s">
        <v>513</v>
      </c>
      <c r="H253" s="13">
        <v>56.183300000000003</v>
      </c>
      <c r="I253" s="13">
        <v>-2.5667</v>
      </c>
      <c r="J253" s="13">
        <v>1971</v>
      </c>
      <c r="K253" s="13">
        <v>2006</v>
      </c>
      <c r="L253" s="13">
        <f t="shared" si="8"/>
        <v>36</v>
      </c>
      <c r="N253" t="s">
        <v>380</v>
      </c>
      <c r="O253" t="s">
        <v>380</v>
      </c>
      <c r="P253" t="s">
        <v>136</v>
      </c>
      <c r="V253">
        <f>0.67*10</f>
        <v>6.7</v>
      </c>
      <c r="W253" t="s">
        <v>24</v>
      </c>
      <c r="X253" s="2" t="s">
        <v>3</v>
      </c>
      <c r="Y253" t="s">
        <v>366</v>
      </c>
      <c r="Z253" s="4" t="str">
        <f t="shared" si="7"/>
        <v>Y</v>
      </c>
      <c r="AC253" t="s">
        <v>144</v>
      </c>
    </row>
    <row r="254" spans="1:92" x14ac:dyDescent="0.2">
      <c r="B254" t="s">
        <v>366</v>
      </c>
      <c r="C254" t="s">
        <v>934</v>
      </c>
      <c r="E254">
        <v>2020</v>
      </c>
      <c r="F254" t="s">
        <v>938</v>
      </c>
      <c r="G254" t="s">
        <v>513</v>
      </c>
      <c r="H254" s="13">
        <v>25.166666666666668</v>
      </c>
      <c r="I254" s="13">
        <v>-80.833333333333329</v>
      </c>
      <c r="J254" s="13">
        <v>1978</v>
      </c>
      <c r="K254" s="13">
        <v>2016</v>
      </c>
      <c r="L254" s="13">
        <f t="shared" si="8"/>
        <v>39</v>
      </c>
      <c r="M254" t="s">
        <v>369</v>
      </c>
      <c r="N254" t="s">
        <v>970</v>
      </c>
      <c r="O254" t="s">
        <v>929</v>
      </c>
      <c r="P254" t="s">
        <v>935</v>
      </c>
      <c r="Q254" t="s">
        <v>936</v>
      </c>
      <c r="R254" t="s">
        <v>939</v>
      </c>
      <c r="S254" t="s">
        <v>1076</v>
      </c>
      <c r="T254">
        <v>218</v>
      </c>
      <c r="U254" t="s">
        <v>1068</v>
      </c>
      <c r="V254">
        <v>-7.8140000000000001</v>
      </c>
      <c r="W254" t="s">
        <v>3</v>
      </c>
      <c r="X254" t="s">
        <v>3</v>
      </c>
      <c r="Y254" t="s">
        <v>366</v>
      </c>
      <c r="Z254" s="4" t="str">
        <f t="shared" si="7"/>
        <v>Y</v>
      </c>
      <c r="AA254" t="s">
        <v>1121</v>
      </c>
      <c r="AB254" t="s">
        <v>1162</v>
      </c>
      <c r="AC254" t="s">
        <v>941</v>
      </c>
      <c r="AD254" t="s">
        <v>1100</v>
      </c>
      <c r="AE254" s="15" t="s">
        <v>1153</v>
      </c>
      <c r="AF254" s="15" t="s">
        <v>3</v>
      </c>
      <c r="AG254" t="s">
        <v>1100</v>
      </c>
    </row>
    <row r="255" spans="1:92" x14ac:dyDescent="0.2">
      <c r="B255" t="s">
        <v>366</v>
      </c>
      <c r="C255" t="s">
        <v>934</v>
      </c>
      <c r="E255">
        <v>2020</v>
      </c>
      <c r="F255" t="s">
        <v>937</v>
      </c>
      <c r="G255" t="s">
        <v>513</v>
      </c>
      <c r="H255" s="13">
        <v>25.435300000000002</v>
      </c>
      <c r="I255" s="13">
        <v>-80.331299999999999</v>
      </c>
      <c r="J255" s="13">
        <v>1983</v>
      </c>
      <c r="K255" s="13">
        <v>2016</v>
      </c>
      <c r="L255" s="13">
        <f t="shared" si="8"/>
        <v>34</v>
      </c>
      <c r="M255" t="s">
        <v>369</v>
      </c>
      <c r="N255" t="s">
        <v>970</v>
      </c>
      <c r="O255" t="s">
        <v>929</v>
      </c>
      <c r="P255" t="s">
        <v>935</v>
      </c>
      <c r="Q255" t="s">
        <v>936</v>
      </c>
      <c r="R255" t="s">
        <v>939</v>
      </c>
      <c r="S255" t="s">
        <v>1076</v>
      </c>
      <c r="T255">
        <v>205</v>
      </c>
      <c r="U255" t="s">
        <v>1068</v>
      </c>
      <c r="V255">
        <v>-3.7810000000000001</v>
      </c>
      <c r="W255" t="s">
        <v>3</v>
      </c>
      <c r="X255" t="s">
        <v>3</v>
      </c>
      <c r="Y255" t="s">
        <v>366</v>
      </c>
      <c r="Z255" s="4" t="str">
        <f t="shared" si="7"/>
        <v>Y</v>
      </c>
      <c r="AA255" t="s">
        <v>1121</v>
      </c>
      <c r="AB255" t="s">
        <v>1162</v>
      </c>
      <c r="AC255" t="s">
        <v>940</v>
      </c>
      <c r="AD255" t="s">
        <v>1100</v>
      </c>
      <c r="AE255" s="15" t="s">
        <v>1153</v>
      </c>
      <c r="AF255" s="15" t="s">
        <v>24</v>
      </c>
      <c r="AG255" t="s">
        <v>1100</v>
      </c>
    </row>
    <row r="256" spans="1:92" x14ac:dyDescent="0.2">
      <c r="B256" t="s">
        <v>366</v>
      </c>
      <c r="C256" t="s">
        <v>882</v>
      </c>
      <c r="E256">
        <v>2019</v>
      </c>
      <c r="F256" t="s">
        <v>16</v>
      </c>
      <c r="G256" t="s">
        <v>513</v>
      </c>
      <c r="H256" s="13">
        <v>55</v>
      </c>
      <c r="I256" s="13">
        <v>5</v>
      </c>
      <c r="J256" s="13">
        <v>1958</v>
      </c>
      <c r="K256" s="13">
        <v>2016</v>
      </c>
      <c r="L256" s="13">
        <f t="shared" si="8"/>
        <v>59</v>
      </c>
      <c r="M256" t="s">
        <v>369</v>
      </c>
      <c r="N256" t="s">
        <v>299</v>
      </c>
      <c r="O256" t="s">
        <v>532</v>
      </c>
      <c r="Q256" t="s">
        <v>409</v>
      </c>
      <c r="R256" t="s">
        <v>864</v>
      </c>
      <c r="S256" t="s">
        <v>1076</v>
      </c>
      <c r="T256">
        <v>231.92708333333334</v>
      </c>
      <c r="U256" t="s">
        <v>1068</v>
      </c>
      <c r="V256">
        <v>-5.6959322033898303</v>
      </c>
      <c r="W256" t="s">
        <v>3</v>
      </c>
      <c r="X256" t="s">
        <v>3</v>
      </c>
      <c r="Y256" t="s">
        <v>366</v>
      </c>
      <c r="Z256" s="4" t="str">
        <f t="shared" si="7"/>
        <v>Y</v>
      </c>
      <c r="AA256" t="s">
        <v>1123</v>
      </c>
      <c r="AB256" t="s">
        <v>1122</v>
      </c>
      <c r="AC256" t="s">
        <v>1124</v>
      </c>
      <c r="AD256" t="s">
        <v>1100</v>
      </c>
      <c r="AE256" t="s">
        <v>1153</v>
      </c>
      <c r="AF256" t="s">
        <v>3</v>
      </c>
      <c r="AG256" t="s">
        <v>1100</v>
      </c>
    </row>
    <row r="257" spans="1:92" x14ac:dyDescent="0.2">
      <c r="B257" t="s">
        <v>366</v>
      </c>
      <c r="C257" t="s">
        <v>882</v>
      </c>
      <c r="E257">
        <v>2019</v>
      </c>
      <c r="F257" t="s">
        <v>16</v>
      </c>
      <c r="G257" t="s">
        <v>513</v>
      </c>
      <c r="H257" s="13">
        <v>55</v>
      </c>
      <c r="I257" s="13">
        <v>5</v>
      </c>
      <c r="J257" s="13">
        <v>1958</v>
      </c>
      <c r="K257" s="13">
        <v>2016</v>
      </c>
      <c r="L257" s="13">
        <f t="shared" si="8"/>
        <v>59</v>
      </c>
      <c r="M257" t="s">
        <v>369</v>
      </c>
      <c r="N257" t="s">
        <v>299</v>
      </c>
      <c r="O257" t="s">
        <v>532</v>
      </c>
      <c r="Q257" t="s">
        <v>396</v>
      </c>
      <c r="R257" t="s">
        <v>864</v>
      </c>
      <c r="S257" t="s">
        <v>1076</v>
      </c>
      <c r="T257">
        <v>224.99208333333334</v>
      </c>
      <c r="U257" t="s">
        <v>1068</v>
      </c>
      <c r="V257">
        <v>-6.9032203389830507</v>
      </c>
      <c r="W257" t="s">
        <v>3</v>
      </c>
      <c r="X257" t="s">
        <v>3</v>
      </c>
      <c r="Y257" t="s">
        <v>366</v>
      </c>
      <c r="Z257" s="4" t="str">
        <f t="shared" si="7"/>
        <v>Y</v>
      </c>
      <c r="AA257" t="s">
        <v>1123</v>
      </c>
      <c r="AB257" t="s">
        <v>1122</v>
      </c>
      <c r="AC257" t="s">
        <v>1124</v>
      </c>
      <c r="AD257" t="s">
        <v>1100</v>
      </c>
      <c r="AE257" t="s">
        <v>1153</v>
      </c>
      <c r="AF257" t="s">
        <v>3</v>
      </c>
      <c r="AG257" t="s">
        <v>1100</v>
      </c>
    </row>
    <row r="258" spans="1:92" x14ac:dyDescent="0.2">
      <c r="B258" t="s">
        <v>366</v>
      </c>
      <c r="C258" t="s">
        <v>882</v>
      </c>
      <c r="E258">
        <v>2019</v>
      </c>
      <c r="F258" t="s">
        <v>16</v>
      </c>
      <c r="G258" t="s">
        <v>513</v>
      </c>
      <c r="H258" s="13">
        <v>55</v>
      </c>
      <c r="I258" s="13">
        <v>5</v>
      </c>
      <c r="J258" s="13">
        <v>1958</v>
      </c>
      <c r="K258" s="13">
        <v>2016</v>
      </c>
      <c r="L258" s="13">
        <f t="shared" si="8"/>
        <v>59</v>
      </c>
      <c r="M258" t="s">
        <v>369</v>
      </c>
      <c r="N258" t="s">
        <v>299</v>
      </c>
      <c r="O258" t="s">
        <v>532</v>
      </c>
      <c r="Q258" t="s">
        <v>417</v>
      </c>
      <c r="R258" t="s">
        <v>864</v>
      </c>
      <c r="S258" t="s">
        <v>1076</v>
      </c>
      <c r="T258">
        <v>225.78291666666667</v>
      </c>
      <c r="U258" t="s">
        <v>1068</v>
      </c>
      <c r="V258">
        <v>-6.0020338983050845</v>
      </c>
      <c r="W258" t="s">
        <v>3</v>
      </c>
      <c r="X258" t="s">
        <v>3</v>
      </c>
      <c r="Y258" t="s">
        <v>366</v>
      </c>
      <c r="Z258" s="4" t="str">
        <f t="shared" ref="Z258:Z321" si="9">IF(L258&gt;=19,"Y","N")</f>
        <v>Y</v>
      </c>
      <c r="AA258" t="s">
        <v>1123</v>
      </c>
      <c r="AB258" t="s">
        <v>1122</v>
      </c>
      <c r="AC258" t="s">
        <v>1124</v>
      </c>
      <c r="AD258" t="s">
        <v>1100</v>
      </c>
      <c r="AE258" t="s">
        <v>1153</v>
      </c>
      <c r="AF258" t="s">
        <v>3</v>
      </c>
      <c r="AG258" t="s">
        <v>1100</v>
      </c>
    </row>
    <row r="259" spans="1:92" x14ac:dyDescent="0.2">
      <c r="B259" t="s">
        <v>366</v>
      </c>
      <c r="C259" t="s">
        <v>882</v>
      </c>
      <c r="E259">
        <v>2019</v>
      </c>
      <c r="F259" t="s">
        <v>16</v>
      </c>
      <c r="G259" t="s">
        <v>513</v>
      </c>
      <c r="H259" s="13">
        <v>55</v>
      </c>
      <c r="I259" s="13">
        <v>5</v>
      </c>
      <c r="J259" s="13">
        <v>1958</v>
      </c>
      <c r="K259" s="13">
        <v>2016</v>
      </c>
      <c r="L259" s="13">
        <f t="shared" si="8"/>
        <v>59</v>
      </c>
      <c r="M259" t="s">
        <v>369</v>
      </c>
      <c r="N259" t="s">
        <v>299</v>
      </c>
      <c r="O259" t="s">
        <v>532</v>
      </c>
      <c r="Q259" t="s">
        <v>420</v>
      </c>
      <c r="R259" t="s">
        <v>864</v>
      </c>
      <c r="S259" t="s">
        <v>1076</v>
      </c>
      <c r="T259">
        <v>216.93166666666667</v>
      </c>
      <c r="U259" t="s">
        <v>1068</v>
      </c>
      <c r="V259">
        <v>-4.9667796610169486</v>
      </c>
      <c r="W259" t="s">
        <v>3</v>
      </c>
      <c r="X259" t="s">
        <v>3</v>
      </c>
      <c r="Y259" t="s">
        <v>366</v>
      </c>
      <c r="Z259" s="4" t="str">
        <f t="shared" si="9"/>
        <v>Y</v>
      </c>
      <c r="AA259" t="s">
        <v>1123</v>
      </c>
      <c r="AB259" t="s">
        <v>1122</v>
      </c>
      <c r="AC259" t="s">
        <v>1124</v>
      </c>
      <c r="AD259" t="s">
        <v>1100</v>
      </c>
      <c r="AE259" t="s">
        <v>1153</v>
      </c>
      <c r="AF259" t="s">
        <v>3</v>
      </c>
      <c r="AG259" t="s">
        <v>1100</v>
      </c>
    </row>
    <row r="260" spans="1:92" x14ac:dyDescent="0.2">
      <c r="B260" t="s">
        <v>366</v>
      </c>
      <c r="C260" t="s">
        <v>882</v>
      </c>
      <c r="E260">
        <v>2019</v>
      </c>
      <c r="F260" t="s">
        <v>16</v>
      </c>
      <c r="G260" t="s">
        <v>513</v>
      </c>
      <c r="H260" s="13">
        <v>55</v>
      </c>
      <c r="I260" s="13">
        <v>5</v>
      </c>
      <c r="J260" s="13">
        <v>1958</v>
      </c>
      <c r="K260" s="13">
        <v>2016</v>
      </c>
      <c r="L260" s="13">
        <f t="shared" si="8"/>
        <v>59</v>
      </c>
      <c r="M260" t="s">
        <v>369</v>
      </c>
      <c r="N260" t="s">
        <v>299</v>
      </c>
      <c r="O260" t="s">
        <v>532</v>
      </c>
      <c r="Q260" t="s">
        <v>438</v>
      </c>
      <c r="R260" t="s">
        <v>864</v>
      </c>
      <c r="S260" t="s">
        <v>1076</v>
      </c>
      <c r="T260">
        <v>190.22583333333333</v>
      </c>
      <c r="U260" t="s">
        <v>1068</v>
      </c>
      <c r="V260">
        <v>-3.2905084745762716</v>
      </c>
      <c r="W260" t="s">
        <v>3</v>
      </c>
      <c r="X260" t="s">
        <v>3</v>
      </c>
      <c r="Y260" t="s">
        <v>366</v>
      </c>
      <c r="Z260" s="4" t="str">
        <f t="shared" si="9"/>
        <v>Y</v>
      </c>
      <c r="AA260" t="s">
        <v>1123</v>
      </c>
      <c r="AB260" t="s">
        <v>1122</v>
      </c>
      <c r="AC260" t="s">
        <v>1124</v>
      </c>
      <c r="AD260" t="s">
        <v>1100</v>
      </c>
      <c r="AE260" t="s">
        <v>1153</v>
      </c>
      <c r="AF260" t="s">
        <v>3</v>
      </c>
      <c r="AG260" t="s">
        <v>1100</v>
      </c>
    </row>
    <row r="261" spans="1:92" x14ac:dyDescent="0.2">
      <c r="B261" t="s">
        <v>366</v>
      </c>
      <c r="C261" t="s">
        <v>882</v>
      </c>
      <c r="E261">
        <v>2019</v>
      </c>
      <c r="F261" t="s">
        <v>16</v>
      </c>
      <c r="G261" t="s">
        <v>513</v>
      </c>
      <c r="H261" s="13">
        <v>55</v>
      </c>
      <c r="I261" s="13">
        <v>5</v>
      </c>
      <c r="J261" s="13">
        <v>1958</v>
      </c>
      <c r="K261" s="13">
        <v>2016</v>
      </c>
      <c r="L261" s="13">
        <f t="shared" si="8"/>
        <v>59</v>
      </c>
      <c r="M261" t="s">
        <v>369</v>
      </c>
      <c r="N261" t="s">
        <v>299</v>
      </c>
      <c r="O261" t="s">
        <v>532</v>
      </c>
      <c r="Q261" t="s">
        <v>395</v>
      </c>
      <c r="R261" t="s">
        <v>864</v>
      </c>
      <c r="S261" t="s">
        <v>1076</v>
      </c>
      <c r="T261">
        <v>248.23041666666666</v>
      </c>
      <c r="U261" t="s">
        <v>900</v>
      </c>
      <c r="V261">
        <v>-8.9700000000000006</v>
      </c>
      <c r="W261" t="s">
        <v>3</v>
      </c>
      <c r="X261" t="s">
        <v>3</v>
      </c>
      <c r="Y261" t="s">
        <v>366</v>
      </c>
      <c r="Z261" s="4" t="str">
        <f t="shared" si="9"/>
        <v>Y</v>
      </c>
      <c r="AA261" t="s">
        <v>1123</v>
      </c>
      <c r="AB261" t="s">
        <v>1122</v>
      </c>
      <c r="AC261" t="s">
        <v>1124</v>
      </c>
      <c r="AD261" t="s">
        <v>1100</v>
      </c>
      <c r="AE261" t="s">
        <v>1153</v>
      </c>
      <c r="AF261" t="s">
        <v>3</v>
      </c>
      <c r="AG261" t="s">
        <v>1100</v>
      </c>
    </row>
    <row r="262" spans="1:92" x14ac:dyDescent="0.2">
      <c r="B262" t="s">
        <v>366</v>
      </c>
      <c r="C262" t="s">
        <v>882</v>
      </c>
      <c r="E262">
        <v>2019</v>
      </c>
      <c r="F262" t="s">
        <v>16</v>
      </c>
      <c r="G262" t="s">
        <v>513</v>
      </c>
      <c r="H262" s="13">
        <v>55</v>
      </c>
      <c r="I262" s="13">
        <v>5</v>
      </c>
      <c r="J262" s="13">
        <v>1958</v>
      </c>
      <c r="K262" s="13">
        <v>2016</v>
      </c>
      <c r="L262" s="13">
        <f t="shared" si="8"/>
        <v>59</v>
      </c>
      <c r="M262" t="s">
        <v>369</v>
      </c>
      <c r="N262" t="s">
        <v>299</v>
      </c>
      <c r="O262" t="s">
        <v>532</v>
      </c>
      <c r="Q262" t="s">
        <v>408</v>
      </c>
      <c r="R262" t="s">
        <v>864</v>
      </c>
      <c r="S262" t="s">
        <v>1076</v>
      </c>
      <c r="T262">
        <v>225.87416666666667</v>
      </c>
      <c r="U262" t="s">
        <v>1068</v>
      </c>
      <c r="V262">
        <v>-8.3528813559322028</v>
      </c>
      <c r="W262" t="s">
        <v>3</v>
      </c>
      <c r="X262" t="s">
        <v>3</v>
      </c>
      <c r="Y262" t="s">
        <v>366</v>
      </c>
      <c r="Z262" s="4" t="str">
        <f t="shared" si="9"/>
        <v>Y</v>
      </c>
      <c r="AA262" t="s">
        <v>1123</v>
      </c>
      <c r="AB262" t="s">
        <v>1122</v>
      </c>
      <c r="AC262" t="s">
        <v>1124</v>
      </c>
      <c r="AD262" t="s">
        <v>1100</v>
      </c>
      <c r="AE262" t="s">
        <v>1153</v>
      </c>
      <c r="AF262" t="s">
        <v>3</v>
      </c>
      <c r="AG262" t="s">
        <v>1100</v>
      </c>
    </row>
    <row r="263" spans="1:92" x14ac:dyDescent="0.2">
      <c r="B263" t="s">
        <v>366</v>
      </c>
      <c r="C263" t="s">
        <v>882</v>
      </c>
      <c r="E263">
        <v>2019</v>
      </c>
      <c r="F263" t="s">
        <v>16</v>
      </c>
      <c r="G263" t="s">
        <v>513</v>
      </c>
      <c r="H263" s="13">
        <v>55</v>
      </c>
      <c r="I263" s="13">
        <v>5</v>
      </c>
      <c r="J263" s="13">
        <v>1958</v>
      </c>
      <c r="K263" s="13">
        <v>2016</v>
      </c>
      <c r="L263" s="13">
        <f t="shared" si="8"/>
        <v>59</v>
      </c>
      <c r="M263" t="s">
        <v>369</v>
      </c>
      <c r="N263" t="s">
        <v>299</v>
      </c>
      <c r="O263" t="s">
        <v>532</v>
      </c>
      <c r="Q263" t="s">
        <v>413</v>
      </c>
      <c r="R263" t="s">
        <v>864</v>
      </c>
      <c r="S263" t="s">
        <v>1076</v>
      </c>
      <c r="T263">
        <v>213.06875000000002</v>
      </c>
      <c r="U263" t="s">
        <v>1068</v>
      </c>
      <c r="V263">
        <v>-4.0864406779661016</v>
      </c>
      <c r="W263" t="s">
        <v>3</v>
      </c>
      <c r="X263" t="s">
        <v>3</v>
      </c>
      <c r="Y263" t="s">
        <v>366</v>
      </c>
      <c r="Z263" s="4" t="str">
        <f t="shared" si="9"/>
        <v>Y</v>
      </c>
      <c r="AA263" t="s">
        <v>1123</v>
      </c>
      <c r="AB263" t="s">
        <v>1122</v>
      </c>
      <c r="AC263" t="s">
        <v>1124</v>
      </c>
      <c r="AD263" t="s">
        <v>1100</v>
      </c>
      <c r="AE263" t="s">
        <v>1153</v>
      </c>
      <c r="AF263" t="s">
        <v>3</v>
      </c>
      <c r="AG263" t="s">
        <v>1100</v>
      </c>
    </row>
    <row r="264" spans="1:92" x14ac:dyDescent="0.2">
      <c r="B264" t="s">
        <v>366</v>
      </c>
      <c r="C264" t="s">
        <v>882</v>
      </c>
      <c r="E264">
        <v>2019</v>
      </c>
      <c r="F264" t="s">
        <v>16</v>
      </c>
      <c r="G264" t="s">
        <v>513</v>
      </c>
      <c r="H264" s="13">
        <v>55</v>
      </c>
      <c r="I264" s="13">
        <v>5</v>
      </c>
      <c r="J264" s="13">
        <v>1958</v>
      </c>
      <c r="K264" s="13">
        <v>2016</v>
      </c>
      <c r="L264" s="13">
        <f t="shared" si="8"/>
        <v>59</v>
      </c>
      <c r="M264" t="s">
        <v>369</v>
      </c>
      <c r="N264" t="s">
        <v>299</v>
      </c>
      <c r="O264" t="s">
        <v>532</v>
      </c>
      <c r="Q264" t="s">
        <v>407</v>
      </c>
      <c r="R264" t="s">
        <v>864</v>
      </c>
      <c r="S264" t="s">
        <v>1076</v>
      </c>
      <c r="T264">
        <v>234.66458333333333</v>
      </c>
      <c r="U264" t="s">
        <v>1068</v>
      </c>
      <c r="V264">
        <v>-5.2454237288135594</v>
      </c>
      <c r="W264" t="s">
        <v>3</v>
      </c>
      <c r="X264" t="s">
        <v>3</v>
      </c>
      <c r="Y264" t="s">
        <v>366</v>
      </c>
      <c r="Z264" s="4" t="str">
        <f t="shared" si="9"/>
        <v>Y</v>
      </c>
      <c r="AA264" t="s">
        <v>1123</v>
      </c>
      <c r="AB264" t="s">
        <v>1122</v>
      </c>
      <c r="AC264" t="s">
        <v>1124</v>
      </c>
      <c r="AD264" t="s">
        <v>1100</v>
      </c>
      <c r="AE264" t="s">
        <v>1153</v>
      </c>
      <c r="AF264" t="s">
        <v>3</v>
      </c>
      <c r="AG264" t="s">
        <v>1100</v>
      </c>
    </row>
    <row r="265" spans="1:92" x14ac:dyDescent="0.2">
      <c r="B265" t="s">
        <v>366</v>
      </c>
      <c r="C265" t="s">
        <v>882</v>
      </c>
      <c r="E265">
        <v>2019</v>
      </c>
      <c r="F265" t="s">
        <v>16</v>
      </c>
      <c r="G265" t="s">
        <v>513</v>
      </c>
      <c r="H265" s="13">
        <v>55</v>
      </c>
      <c r="I265" s="13">
        <v>5</v>
      </c>
      <c r="J265" s="13">
        <v>1958</v>
      </c>
      <c r="K265" s="13">
        <v>2016</v>
      </c>
      <c r="L265" s="13">
        <f t="shared" si="8"/>
        <v>59</v>
      </c>
      <c r="M265" t="s">
        <v>369</v>
      </c>
      <c r="N265" t="s">
        <v>299</v>
      </c>
      <c r="O265" t="s">
        <v>532</v>
      </c>
      <c r="Q265" t="s">
        <v>410</v>
      </c>
      <c r="R265" t="s">
        <v>864</v>
      </c>
      <c r="S265" t="s">
        <v>1076</v>
      </c>
      <c r="T265">
        <v>206.16416666666666</v>
      </c>
      <c r="U265" t="s">
        <v>1068</v>
      </c>
      <c r="V265">
        <v>-7.65</v>
      </c>
      <c r="W265" t="s">
        <v>3</v>
      </c>
      <c r="X265" t="s">
        <v>3</v>
      </c>
      <c r="Y265" t="s">
        <v>366</v>
      </c>
      <c r="Z265" s="4" t="str">
        <f t="shared" si="9"/>
        <v>Y</v>
      </c>
      <c r="AA265" t="s">
        <v>1123</v>
      </c>
      <c r="AB265" t="s">
        <v>1122</v>
      </c>
      <c r="AC265" t="s">
        <v>1124</v>
      </c>
      <c r="AD265" t="s">
        <v>1100</v>
      </c>
      <c r="AE265" t="s">
        <v>1153</v>
      </c>
      <c r="AF265" t="s">
        <v>3</v>
      </c>
      <c r="AG265" t="s">
        <v>1100</v>
      </c>
    </row>
    <row r="266" spans="1:92" x14ac:dyDescent="0.2">
      <c r="B266" t="s">
        <v>366</v>
      </c>
      <c r="C266" t="s">
        <v>882</v>
      </c>
      <c r="E266">
        <v>2019</v>
      </c>
      <c r="F266" t="s">
        <v>16</v>
      </c>
      <c r="G266" t="s">
        <v>513</v>
      </c>
      <c r="H266" s="13">
        <v>55</v>
      </c>
      <c r="I266" s="13">
        <v>5</v>
      </c>
      <c r="J266" s="13">
        <v>1958</v>
      </c>
      <c r="K266" s="13">
        <v>2016</v>
      </c>
      <c r="L266" s="13">
        <f t="shared" si="8"/>
        <v>59</v>
      </c>
      <c r="M266" t="s">
        <v>369</v>
      </c>
      <c r="N266" t="s">
        <v>299</v>
      </c>
      <c r="O266" t="s">
        <v>381</v>
      </c>
      <c r="Q266" t="s">
        <v>883</v>
      </c>
      <c r="R266" t="s">
        <v>864</v>
      </c>
      <c r="S266" t="s">
        <v>1076</v>
      </c>
      <c r="T266">
        <v>126.29</v>
      </c>
      <c r="U266" t="s">
        <v>901</v>
      </c>
      <c r="V266">
        <v>-5.2215254237288136</v>
      </c>
      <c r="W266" t="s">
        <v>3</v>
      </c>
      <c r="X266" t="s">
        <v>3</v>
      </c>
      <c r="Y266" t="s">
        <v>366</v>
      </c>
      <c r="Z266" s="4" t="str">
        <f t="shared" si="9"/>
        <v>Y</v>
      </c>
      <c r="AA266" t="s">
        <v>1123</v>
      </c>
      <c r="AB266" t="s">
        <v>1122</v>
      </c>
      <c r="AC266" t="s">
        <v>1124</v>
      </c>
      <c r="AD266" t="s">
        <v>1100</v>
      </c>
      <c r="AE266" t="s">
        <v>1153</v>
      </c>
      <c r="AF266" t="s">
        <v>3</v>
      </c>
      <c r="AG266" t="s">
        <v>1100</v>
      </c>
    </row>
    <row r="267" spans="1:92" x14ac:dyDescent="0.2">
      <c r="B267" t="s">
        <v>366</v>
      </c>
      <c r="C267" t="s">
        <v>882</v>
      </c>
      <c r="E267">
        <v>2019</v>
      </c>
      <c r="F267" t="s">
        <v>16</v>
      </c>
      <c r="G267" t="s">
        <v>513</v>
      </c>
      <c r="H267" s="13">
        <v>55</v>
      </c>
      <c r="I267" s="13">
        <v>5</v>
      </c>
      <c r="J267" s="13">
        <v>1958</v>
      </c>
      <c r="K267" s="13">
        <v>2016</v>
      </c>
      <c r="L267" s="13">
        <f t="shared" si="8"/>
        <v>59</v>
      </c>
      <c r="M267" t="s">
        <v>369</v>
      </c>
      <c r="N267" t="s">
        <v>299</v>
      </c>
      <c r="O267" t="s">
        <v>381</v>
      </c>
      <c r="Q267" t="s">
        <v>884</v>
      </c>
      <c r="R267" t="s">
        <v>864</v>
      </c>
      <c r="S267" t="s">
        <v>1076</v>
      </c>
      <c r="T267">
        <v>246.83125000000001</v>
      </c>
      <c r="U267" t="s">
        <v>900</v>
      </c>
      <c r="V267">
        <v>-3.1820338983050851</v>
      </c>
      <c r="W267" t="s">
        <v>3</v>
      </c>
      <c r="X267" t="s">
        <v>3</v>
      </c>
      <c r="Y267" t="s">
        <v>366</v>
      </c>
      <c r="Z267" s="4" t="str">
        <f t="shared" si="9"/>
        <v>Y</v>
      </c>
      <c r="AA267" t="s">
        <v>1123</v>
      </c>
      <c r="AB267" t="s">
        <v>1122</v>
      </c>
      <c r="AC267" t="s">
        <v>1124</v>
      </c>
      <c r="AD267" t="s">
        <v>1100</v>
      </c>
      <c r="AE267" t="s">
        <v>1153</v>
      </c>
      <c r="AF267" t="s">
        <v>3</v>
      </c>
      <c r="AG267" t="s">
        <v>1100</v>
      </c>
    </row>
    <row r="268" spans="1:92" x14ac:dyDescent="0.2">
      <c r="B268" t="s">
        <v>366</v>
      </c>
      <c r="C268" t="s">
        <v>882</v>
      </c>
      <c r="E268">
        <v>2019</v>
      </c>
      <c r="F268" t="s">
        <v>16</v>
      </c>
      <c r="G268" t="s">
        <v>513</v>
      </c>
      <c r="H268" s="13">
        <v>55</v>
      </c>
      <c r="I268" s="13">
        <v>5</v>
      </c>
      <c r="J268" s="13">
        <v>1958</v>
      </c>
      <c r="K268" s="13">
        <v>2016</v>
      </c>
      <c r="L268" s="13">
        <f t="shared" si="8"/>
        <v>59</v>
      </c>
      <c r="M268" t="s">
        <v>369</v>
      </c>
      <c r="N268" t="s">
        <v>299</v>
      </c>
      <c r="O268" t="s">
        <v>381</v>
      </c>
      <c r="Q268" t="s">
        <v>884</v>
      </c>
      <c r="R268" t="s">
        <v>864</v>
      </c>
      <c r="S268" t="s">
        <v>1076</v>
      </c>
      <c r="T268">
        <v>100.95291666666667</v>
      </c>
      <c r="U268" t="s">
        <v>901</v>
      </c>
      <c r="V268">
        <v>-0.31440677966101693</v>
      </c>
      <c r="W268" t="s">
        <v>3</v>
      </c>
      <c r="X268" t="s">
        <v>3</v>
      </c>
      <c r="Y268" t="s">
        <v>366</v>
      </c>
      <c r="Z268" s="4" t="str">
        <f t="shared" si="9"/>
        <v>Y</v>
      </c>
      <c r="AA268" t="s">
        <v>1123</v>
      </c>
      <c r="AB268" t="s">
        <v>1122</v>
      </c>
      <c r="AC268" t="s">
        <v>1124</v>
      </c>
      <c r="AD268" t="s">
        <v>1100</v>
      </c>
      <c r="AE268" t="s">
        <v>1153</v>
      </c>
      <c r="AF268" t="s">
        <v>3</v>
      </c>
      <c r="AG268" t="s">
        <v>1100</v>
      </c>
    </row>
    <row r="269" spans="1:92" s="24" customFormat="1" x14ac:dyDescent="0.2">
      <c r="A269"/>
      <c r="B269" t="s">
        <v>366</v>
      </c>
      <c r="C269" t="s">
        <v>882</v>
      </c>
      <c r="D269"/>
      <c r="E269">
        <v>2019</v>
      </c>
      <c r="F269" t="s">
        <v>16</v>
      </c>
      <c r="G269" t="s">
        <v>513</v>
      </c>
      <c r="H269" s="13">
        <v>55</v>
      </c>
      <c r="I269" s="13">
        <v>5</v>
      </c>
      <c r="J269" s="13">
        <v>1958</v>
      </c>
      <c r="K269" s="13">
        <v>2016</v>
      </c>
      <c r="L269" s="13">
        <f t="shared" ref="L269:L332" si="10">K269-J269+1</f>
        <v>59</v>
      </c>
      <c r="M269" t="s">
        <v>369</v>
      </c>
      <c r="N269" t="s">
        <v>299</v>
      </c>
      <c r="O269" t="s">
        <v>381</v>
      </c>
      <c r="P269"/>
      <c r="Q269" t="s">
        <v>885</v>
      </c>
      <c r="R269" t="s">
        <v>864</v>
      </c>
      <c r="S269" t="s">
        <v>1076</v>
      </c>
      <c r="T269">
        <v>247.7741666666667</v>
      </c>
      <c r="U269" t="s">
        <v>900</v>
      </c>
      <c r="V269">
        <v>1.9886440677966102</v>
      </c>
      <c r="W269" t="s">
        <v>24</v>
      </c>
      <c r="X269" t="s">
        <v>3</v>
      </c>
      <c r="Y269" t="s">
        <v>366</v>
      </c>
      <c r="Z269" s="4" t="str">
        <f t="shared" si="9"/>
        <v>Y</v>
      </c>
      <c r="AA269" t="s">
        <v>1123</v>
      </c>
      <c r="AB269" t="s">
        <v>1122</v>
      </c>
      <c r="AC269" t="s">
        <v>1124</v>
      </c>
      <c r="AD269" t="s">
        <v>1100</v>
      </c>
      <c r="AE269" t="s">
        <v>1153</v>
      </c>
      <c r="AF269" t="s">
        <v>3</v>
      </c>
      <c r="AG269" t="s">
        <v>1100</v>
      </c>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row>
    <row r="270" spans="1:92" s="24" customFormat="1" x14ac:dyDescent="0.2">
      <c r="A270"/>
      <c r="B270" t="s">
        <v>366</v>
      </c>
      <c r="C270" t="s">
        <v>882</v>
      </c>
      <c r="D270"/>
      <c r="E270">
        <v>2019</v>
      </c>
      <c r="F270" t="s">
        <v>16</v>
      </c>
      <c r="G270" t="s">
        <v>513</v>
      </c>
      <c r="H270" s="13">
        <v>55</v>
      </c>
      <c r="I270" s="13">
        <v>5</v>
      </c>
      <c r="J270" s="13">
        <v>1958</v>
      </c>
      <c r="K270" s="13">
        <v>2016</v>
      </c>
      <c r="L270" s="13">
        <f t="shared" si="10"/>
        <v>59</v>
      </c>
      <c r="M270" t="s">
        <v>369</v>
      </c>
      <c r="N270" t="s">
        <v>299</v>
      </c>
      <c r="O270" t="s">
        <v>381</v>
      </c>
      <c r="P270"/>
      <c r="Q270" t="s">
        <v>885</v>
      </c>
      <c r="R270" t="s">
        <v>864</v>
      </c>
      <c r="S270" t="s">
        <v>1076</v>
      </c>
      <c r="T270">
        <v>101.98708333333333</v>
      </c>
      <c r="U270" t="s">
        <v>901</v>
      </c>
      <c r="V270">
        <v>-2.659491525423729</v>
      </c>
      <c r="W270" t="s">
        <v>3</v>
      </c>
      <c r="X270" t="s">
        <v>3</v>
      </c>
      <c r="Y270" t="s">
        <v>366</v>
      </c>
      <c r="Z270" s="4" t="str">
        <f t="shared" si="9"/>
        <v>Y</v>
      </c>
      <c r="AA270" t="s">
        <v>1123</v>
      </c>
      <c r="AB270" t="s">
        <v>1122</v>
      </c>
      <c r="AC270" t="s">
        <v>1124</v>
      </c>
      <c r="AD270" t="s">
        <v>1100</v>
      </c>
      <c r="AE270" t="s">
        <v>1153</v>
      </c>
      <c r="AF270" t="s">
        <v>3</v>
      </c>
      <c r="AG270" t="s">
        <v>1100</v>
      </c>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row>
    <row r="271" spans="1:92" x14ac:dyDescent="0.2">
      <c r="B271" t="s">
        <v>366</v>
      </c>
      <c r="C271" t="s">
        <v>882</v>
      </c>
      <c r="E271">
        <v>2019</v>
      </c>
      <c r="F271" t="s">
        <v>16</v>
      </c>
      <c r="G271" t="s">
        <v>513</v>
      </c>
      <c r="H271" s="13">
        <v>55</v>
      </c>
      <c r="I271" s="13">
        <v>5</v>
      </c>
      <c r="J271" s="13">
        <v>1958</v>
      </c>
      <c r="K271" s="13">
        <v>2016</v>
      </c>
      <c r="L271" s="13">
        <f t="shared" si="10"/>
        <v>59</v>
      </c>
      <c r="M271" t="s">
        <v>369</v>
      </c>
      <c r="N271" t="s">
        <v>299</v>
      </c>
      <c r="O271" t="s">
        <v>381</v>
      </c>
      <c r="Q271" t="s">
        <v>886</v>
      </c>
      <c r="R271" t="s">
        <v>864</v>
      </c>
      <c r="S271" t="s">
        <v>1076</v>
      </c>
      <c r="T271">
        <v>261.58333333333331</v>
      </c>
      <c r="U271" t="s">
        <v>900</v>
      </c>
      <c r="V271">
        <v>3.5254237288135593E-2</v>
      </c>
      <c r="W271" t="s">
        <v>24</v>
      </c>
      <c r="X271" t="s">
        <v>3</v>
      </c>
      <c r="Y271" t="s">
        <v>366</v>
      </c>
      <c r="Z271" s="4" t="str">
        <f t="shared" si="9"/>
        <v>Y</v>
      </c>
      <c r="AA271" t="s">
        <v>1123</v>
      </c>
      <c r="AB271" t="s">
        <v>1122</v>
      </c>
      <c r="AC271" t="s">
        <v>1124</v>
      </c>
      <c r="AD271" t="s">
        <v>1100</v>
      </c>
      <c r="AE271" t="s">
        <v>1153</v>
      </c>
      <c r="AF271" t="s">
        <v>3</v>
      </c>
      <c r="AG271" t="s">
        <v>1100</v>
      </c>
    </row>
    <row r="272" spans="1:92" x14ac:dyDescent="0.2">
      <c r="B272" t="s">
        <v>366</v>
      </c>
      <c r="C272" t="s">
        <v>882</v>
      </c>
      <c r="E272">
        <v>2019</v>
      </c>
      <c r="F272" t="s">
        <v>16</v>
      </c>
      <c r="G272" t="s">
        <v>513</v>
      </c>
      <c r="H272" s="13">
        <v>55</v>
      </c>
      <c r="I272" s="13">
        <v>5</v>
      </c>
      <c r="J272" s="13">
        <v>1958</v>
      </c>
      <c r="K272" s="13">
        <v>2016</v>
      </c>
      <c r="L272" s="13">
        <f t="shared" si="10"/>
        <v>59</v>
      </c>
      <c r="M272" t="s">
        <v>369</v>
      </c>
      <c r="N272" t="s">
        <v>299</v>
      </c>
      <c r="O272" t="s">
        <v>381</v>
      </c>
      <c r="Q272" t="s">
        <v>886</v>
      </c>
      <c r="R272" t="s">
        <v>864</v>
      </c>
      <c r="S272" t="s">
        <v>1076</v>
      </c>
      <c r="T272">
        <v>91.827916666666681</v>
      </c>
      <c r="U272" t="s">
        <v>901</v>
      </c>
      <c r="V272">
        <v>-1.3918644067796611</v>
      </c>
      <c r="W272" t="s">
        <v>3</v>
      </c>
      <c r="X272" t="s">
        <v>3</v>
      </c>
      <c r="Y272" t="s">
        <v>366</v>
      </c>
      <c r="Z272" s="4" t="str">
        <f t="shared" si="9"/>
        <v>Y</v>
      </c>
      <c r="AA272" t="s">
        <v>1123</v>
      </c>
      <c r="AB272" t="s">
        <v>1122</v>
      </c>
      <c r="AC272" t="s">
        <v>1124</v>
      </c>
      <c r="AD272" t="s">
        <v>1100</v>
      </c>
      <c r="AE272" t="s">
        <v>1153</v>
      </c>
      <c r="AF272" t="s">
        <v>3</v>
      </c>
      <c r="AG272" t="s">
        <v>1100</v>
      </c>
    </row>
    <row r="273" spans="2:33" x14ac:dyDescent="0.2">
      <c r="B273" t="s">
        <v>366</v>
      </c>
      <c r="C273" t="s">
        <v>882</v>
      </c>
      <c r="E273">
        <v>2019</v>
      </c>
      <c r="F273" t="s">
        <v>16</v>
      </c>
      <c r="G273" t="s">
        <v>513</v>
      </c>
      <c r="H273" s="13">
        <v>55</v>
      </c>
      <c r="I273" s="13">
        <v>5</v>
      </c>
      <c r="J273" s="13">
        <v>1958</v>
      </c>
      <c r="K273" s="13">
        <v>2016</v>
      </c>
      <c r="L273" s="13">
        <f t="shared" si="10"/>
        <v>59</v>
      </c>
      <c r="M273" t="s">
        <v>369</v>
      </c>
      <c r="N273" t="s">
        <v>299</v>
      </c>
      <c r="O273" t="s">
        <v>381</v>
      </c>
      <c r="Q273" t="s">
        <v>887</v>
      </c>
      <c r="R273" t="s">
        <v>864</v>
      </c>
      <c r="S273" t="s">
        <v>1076</v>
      </c>
      <c r="T273">
        <v>300.54708333333338</v>
      </c>
      <c r="U273" t="s">
        <v>900</v>
      </c>
      <c r="V273">
        <v>-8.2677966101694924</v>
      </c>
      <c r="W273" t="s">
        <v>3</v>
      </c>
      <c r="X273" t="s">
        <v>3</v>
      </c>
      <c r="Y273" t="s">
        <v>366</v>
      </c>
      <c r="Z273" s="4" t="str">
        <f t="shared" si="9"/>
        <v>Y</v>
      </c>
      <c r="AA273" t="s">
        <v>1123</v>
      </c>
      <c r="AB273" t="s">
        <v>1122</v>
      </c>
      <c r="AC273" t="s">
        <v>1124</v>
      </c>
      <c r="AD273" t="s">
        <v>1100</v>
      </c>
      <c r="AE273" t="s">
        <v>1153</v>
      </c>
      <c r="AF273" t="s">
        <v>3</v>
      </c>
      <c r="AG273" t="s">
        <v>1100</v>
      </c>
    </row>
    <row r="274" spans="2:33" x14ac:dyDescent="0.2">
      <c r="B274" t="s">
        <v>366</v>
      </c>
      <c r="C274" t="s">
        <v>882</v>
      </c>
      <c r="E274">
        <v>2019</v>
      </c>
      <c r="F274" t="s">
        <v>16</v>
      </c>
      <c r="G274" t="s">
        <v>513</v>
      </c>
      <c r="H274" s="13">
        <v>55</v>
      </c>
      <c r="I274" s="13">
        <v>5</v>
      </c>
      <c r="J274" s="13">
        <v>1958</v>
      </c>
      <c r="K274" s="13">
        <v>2016</v>
      </c>
      <c r="L274" s="13">
        <f t="shared" si="10"/>
        <v>59</v>
      </c>
      <c r="M274" t="s">
        <v>369</v>
      </c>
      <c r="N274" t="s">
        <v>299</v>
      </c>
      <c r="O274" t="s">
        <v>381</v>
      </c>
      <c r="Q274" t="s">
        <v>887</v>
      </c>
      <c r="R274" t="s">
        <v>864</v>
      </c>
      <c r="S274" t="s">
        <v>1076</v>
      </c>
      <c r="T274">
        <v>76.497916666666669</v>
      </c>
      <c r="U274" t="s">
        <v>901</v>
      </c>
      <c r="V274">
        <v>2.7627118644067798E-2</v>
      </c>
      <c r="W274" t="s">
        <v>24</v>
      </c>
      <c r="X274" t="s">
        <v>3</v>
      </c>
      <c r="Y274" t="s">
        <v>366</v>
      </c>
      <c r="Z274" s="4" t="str">
        <f t="shared" si="9"/>
        <v>Y</v>
      </c>
      <c r="AA274" t="s">
        <v>1123</v>
      </c>
      <c r="AB274" t="s">
        <v>1122</v>
      </c>
      <c r="AC274" t="s">
        <v>1124</v>
      </c>
      <c r="AD274" t="s">
        <v>1100</v>
      </c>
      <c r="AE274" t="s">
        <v>1153</v>
      </c>
      <c r="AF274" t="s">
        <v>3</v>
      </c>
      <c r="AG274" t="s">
        <v>1100</v>
      </c>
    </row>
    <row r="275" spans="2:33" x14ac:dyDescent="0.2">
      <c r="B275" t="s">
        <v>366</v>
      </c>
      <c r="C275" t="s">
        <v>882</v>
      </c>
      <c r="E275">
        <v>2019</v>
      </c>
      <c r="F275" t="s">
        <v>16</v>
      </c>
      <c r="G275" t="s">
        <v>513</v>
      </c>
      <c r="H275" s="13">
        <v>55</v>
      </c>
      <c r="I275" s="13">
        <v>5</v>
      </c>
      <c r="J275" s="13">
        <v>1958</v>
      </c>
      <c r="K275" s="13">
        <v>2016</v>
      </c>
      <c r="L275" s="13">
        <f t="shared" si="10"/>
        <v>59</v>
      </c>
      <c r="M275" t="s">
        <v>369</v>
      </c>
      <c r="N275" t="s">
        <v>299</v>
      </c>
      <c r="O275" t="s">
        <v>381</v>
      </c>
      <c r="Q275" t="s">
        <v>888</v>
      </c>
      <c r="R275" t="s">
        <v>864</v>
      </c>
      <c r="S275" t="s">
        <v>1076</v>
      </c>
      <c r="T275">
        <v>261.73541666666671</v>
      </c>
      <c r="U275" t="s">
        <v>900</v>
      </c>
      <c r="V275">
        <v>1.432542372881356</v>
      </c>
      <c r="W275" t="s">
        <v>24</v>
      </c>
      <c r="X275" t="s">
        <v>3</v>
      </c>
      <c r="Y275" t="s">
        <v>366</v>
      </c>
      <c r="Z275" s="4" t="str">
        <f t="shared" si="9"/>
        <v>Y</v>
      </c>
      <c r="AA275" t="s">
        <v>1123</v>
      </c>
      <c r="AB275" t="s">
        <v>1122</v>
      </c>
      <c r="AC275" t="s">
        <v>1124</v>
      </c>
      <c r="AD275" t="s">
        <v>1100</v>
      </c>
      <c r="AE275" t="s">
        <v>1153</v>
      </c>
      <c r="AF275" t="s">
        <v>3</v>
      </c>
      <c r="AG275" t="s">
        <v>1100</v>
      </c>
    </row>
    <row r="276" spans="2:33" x14ac:dyDescent="0.2">
      <c r="B276" t="s">
        <v>366</v>
      </c>
      <c r="C276" t="s">
        <v>882</v>
      </c>
      <c r="E276">
        <v>2019</v>
      </c>
      <c r="F276" t="s">
        <v>16</v>
      </c>
      <c r="G276" t="s">
        <v>513</v>
      </c>
      <c r="H276" s="13">
        <v>55</v>
      </c>
      <c r="I276" s="13">
        <v>5</v>
      </c>
      <c r="J276" s="13">
        <v>1958</v>
      </c>
      <c r="K276" s="13">
        <v>2016</v>
      </c>
      <c r="L276" s="13">
        <f t="shared" si="10"/>
        <v>59</v>
      </c>
      <c r="M276" t="s">
        <v>369</v>
      </c>
      <c r="N276" t="s">
        <v>299</v>
      </c>
      <c r="O276" t="s">
        <v>381</v>
      </c>
      <c r="Q276" t="s">
        <v>888</v>
      </c>
      <c r="R276" t="s">
        <v>864</v>
      </c>
      <c r="S276" t="s">
        <v>1076</v>
      </c>
      <c r="T276">
        <v>93.044583333333335</v>
      </c>
      <c r="U276" t="s">
        <v>901</v>
      </c>
      <c r="V276">
        <v>0.33440677966101695</v>
      </c>
      <c r="W276" t="s">
        <v>24</v>
      </c>
      <c r="X276" t="s">
        <v>3</v>
      </c>
      <c r="Y276" t="s">
        <v>366</v>
      </c>
      <c r="Z276" s="4" t="str">
        <f t="shared" si="9"/>
        <v>Y</v>
      </c>
      <c r="AA276" t="s">
        <v>1123</v>
      </c>
      <c r="AB276" t="s">
        <v>1122</v>
      </c>
      <c r="AC276" t="s">
        <v>1124</v>
      </c>
      <c r="AD276" t="s">
        <v>1100</v>
      </c>
      <c r="AE276" t="s">
        <v>1153</v>
      </c>
      <c r="AF276" t="s">
        <v>3</v>
      </c>
      <c r="AG276" t="s">
        <v>1100</v>
      </c>
    </row>
    <row r="277" spans="2:33" x14ac:dyDescent="0.2">
      <c r="B277" t="s">
        <v>366</v>
      </c>
      <c r="C277" t="s">
        <v>882</v>
      </c>
      <c r="E277">
        <v>2019</v>
      </c>
      <c r="F277" t="s">
        <v>16</v>
      </c>
      <c r="G277" t="s">
        <v>513</v>
      </c>
      <c r="H277" s="13">
        <v>55</v>
      </c>
      <c r="I277" s="13">
        <v>5</v>
      </c>
      <c r="J277" s="13">
        <v>1958</v>
      </c>
      <c r="K277" s="13">
        <v>2016</v>
      </c>
      <c r="L277" s="13">
        <f t="shared" si="10"/>
        <v>59</v>
      </c>
      <c r="M277" t="s">
        <v>369</v>
      </c>
      <c r="N277" t="s">
        <v>299</v>
      </c>
      <c r="O277" t="s">
        <v>381</v>
      </c>
      <c r="Q277" t="s">
        <v>415</v>
      </c>
      <c r="R277" t="s">
        <v>864</v>
      </c>
      <c r="S277" t="s">
        <v>1076</v>
      </c>
      <c r="T277">
        <v>121.69708333333335</v>
      </c>
      <c r="U277" t="s">
        <v>901</v>
      </c>
      <c r="V277">
        <v>-3.2688135593220342</v>
      </c>
      <c r="W277" t="s">
        <v>3</v>
      </c>
      <c r="X277" t="s">
        <v>3</v>
      </c>
      <c r="Y277" t="s">
        <v>366</v>
      </c>
      <c r="Z277" s="4" t="str">
        <f t="shared" si="9"/>
        <v>Y</v>
      </c>
      <c r="AA277" t="s">
        <v>1123</v>
      </c>
      <c r="AB277" t="s">
        <v>1122</v>
      </c>
      <c r="AC277" t="s">
        <v>1124</v>
      </c>
      <c r="AD277" t="s">
        <v>1100</v>
      </c>
      <c r="AE277" t="s">
        <v>1153</v>
      </c>
      <c r="AF277" t="s">
        <v>3</v>
      </c>
      <c r="AG277" t="s">
        <v>1100</v>
      </c>
    </row>
    <row r="278" spans="2:33" x14ac:dyDescent="0.2">
      <c r="B278" t="s">
        <v>366</v>
      </c>
      <c r="C278" t="s">
        <v>882</v>
      </c>
      <c r="E278">
        <v>2019</v>
      </c>
      <c r="F278" t="s">
        <v>16</v>
      </c>
      <c r="G278" t="s">
        <v>513</v>
      </c>
      <c r="H278" s="13">
        <v>55</v>
      </c>
      <c r="I278" s="13">
        <v>5</v>
      </c>
      <c r="J278" s="13">
        <v>1958</v>
      </c>
      <c r="K278" s="13">
        <v>2016</v>
      </c>
      <c r="L278" s="13">
        <f t="shared" si="10"/>
        <v>59</v>
      </c>
      <c r="M278" t="s">
        <v>369</v>
      </c>
      <c r="N278" t="s">
        <v>299</v>
      </c>
      <c r="O278" t="s">
        <v>381</v>
      </c>
      <c r="Q278" t="s">
        <v>889</v>
      </c>
      <c r="R278" t="s">
        <v>864</v>
      </c>
      <c r="S278" t="s">
        <v>1076</v>
      </c>
      <c r="T278">
        <v>277.06541666666669</v>
      </c>
      <c r="U278" t="s">
        <v>900</v>
      </c>
      <c r="V278">
        <v>-2.0320338983050847</v>
      </c>
      <c r="W278" t="s">
        <v>3</v>
      </c>
      <c r="X278" t="s">
        <v>3</v>
      </c>
      <c r="Y278" t="s">
        <v>366</v>
      </c>
      <c r="Z278" s="4" t="str">
        <f t="shared" si="9"/>
        <v>Y</v>
      </c>
      <c r="AA278" t="s">
        <v>1123</v>
      </c>
      <c r="AB278" t="s">
        <v>1122</v>
      </c>
      <c r="AC278" t="s">
        <v>1124</v>
      </c>
      <c r="AD278" t="s">
        <v>1100</v>
      </c>
      <c r="AE278" t="s">
        <v>1153</v>
      </c>
      <c r="AF278" t="s">
        <v>3</v>
      </c>
      <c r="AG278" t="s">
        <v>1100</v>
      </c>
    </row>
    <row r="279" spans="2:33" x14ac:dyDescent="0.2">
      <c r="B279" t="s">
        <v>366</v>
      </c>
      <c r="C279" t="s">
        <v>882</v>
      </c>
      <c r="E279">
        <v>2019</v>
      </c>
      <c r="F279" t="s">
        <v>16</v>
      </c>
      <c r="G279" t="s">
        <v>513</v>
      </c>
      <c r="H279" s="13">
        <v>55</v>
      </c>
      <c r="I279" s="13">
        <v>5</v>
      </c>
      <c r="J279" s="13">
        <v>1958</v>
      </c>
      <c r="K279" s="13">
        <v>2016</v>
      </c>
      <c r="L279" s="13">
        <f t="shared" si="10"/>
        <v>59</v>
      </c>
      <c r="M279" t="s">
        <v>369</v>
      </c>
      <c r="N279" t="s">
        <v>299</v>
      </c>
      <c r="O279" t="s">
        <v>381</v>
      </c>
      <c r="Q279" t="s">
        <v>889</v>
      </c>
      <c r="R279" t="s">
        <v>864</v>
      </c>
      <c r="S279" t="s">
        <v>1076</v>
      </c>
      <c r="T279">
        <v>56.544583333333335</v>
      </c>
      <c r="U279" t="s">
        <v>901</v>
      </c>
      <c r="V279">
        <v>2.827796610169492</v>
      </c>
      <c r="W279" t="s">
        <v>24</v>
      </c>
      <c r="X279" t="s">
        <v>3</v>
      </c>
      <c r="Y279" t="s">
        <v>366</v>
      </c>
      <c r="Z279" s="4" t="str">
        <f t="shared" si="9"/>
        <v>Y</v>
      </c>
      <c r="AA279" t="s">
        <v>1123</v>
      </c>
      <c r="AB279" t="s">
        <v>1122</v>
      </c>
      <c r="AC279" t="s">
        <v>1124</v>
      </c>
      <c r="AD279" t="s">
        <v>1100</v>
      </c>
      <c r="AE279" t="s">
        <v>1153</v>
      </c>
      <c r="AF279" t="s">
        <v>3</v>
      </c>
      <c r="AG279" t="s">
        <v>1100</v>
      </c>
    </row>
    <row r="280" spans="2:33" x14ac:dyDescent="0.2">
      <c r="B280" t="s">
        <v>366</v>
      </c>
      <c r="C280" t="s">
        <v>882</v>
      </c>
      <c r="E280">
        <v>2019</v>
      </c>
      <c r="F280" t="s">
        <v>16</v>
      </c>
      <c r="G280" t="s">
        <v>513</v>
      </c>
      <c r="H280" s="13">
        <v>55</v>
      </c>
      <c r="I280" s="13">
        <v>5</v>
      </c>
      <c r="J280" s="13">
        <v>1958</v>
      </c>
      <c r="K280" s="13">
        <v>2016</v>
      </c>
      <c r="L280" s="13">
        <f t="shared" si="10"/>
        <v>59</v>
      </c>
      <c r="M280" t="s">
        <v>369</v>
      </c>
      <c r="N280" t="s">
        <v>299</v>
      </c>
      <c r="O280" t="s">
        <v>381</v>
      </c>
      <c r="Q280" t="s">
        <v>890</v>
      </c>
      <c r="R280" t="s">
        <v>864</v>
      </c>
      <c r="S280" t="s">
        <v>1076</v>
      </c>
      <c r="T280">
        <v>283.17916666666667</v>
      </c>
      <c r="U280" t="s">
        <v>900</v>
      </c>
      <c r="V280">
        <v>0.87796610169491518</v>
      </c>
      <c r="W280" t="s">
        <v>24</v>
      </c>
      <c r="X280" t="s">
        <v>3</v>
      </c>
      <c r="Y280" t="s">
        <v>366</v>
      </c>
      <c r="Z280" s="4" t="str">
        <f t="shared" si="9"/>
        <v>Y</v>
      </c>
      <c r="AA280" t="s">
        <v>1123</v>
      </c>
      <c r="AB280" t="s">
        <v>1122</v>
      </c>
      <c r="AC280" t="s">
        <v>1124</v>
      </c>
      <c r="AD280" t="s">
        <v>1100</v>
      </c>
      <c r="AE280" t="s">
        <v>1153</v>
      </c>
      <c r="AF280" t="s">
        <v>3</v>
      </c>
      <c r="AG280" t="s">
        <v>1100</v>
      </c>
    </row>
    <row r="281" spans="2:33" x14ac:dyDescent="0.2">
      <c r="B281" t="s">
        <v>366</v>
      </c>
      <c r="C281" t="s">
        <v>882</v>
      </c>
      <c r="E281">
        <v>2019</v>
      </c>
      <c r="F281" t="s">
        <v>16</v>
      </c>
      <c r="G281" t="s">
        <v>513</v>
      </c>
      <c r="H281" s="13">
        <v>55</v>
      </c>
      <c r="I281" s="13">
        <v>5</v>
      </c>
      <c r="J281" s="13">
        <v>1958</v>
      </c>
      <c r="K281" s="13">
        <v>2016</v>
      </c>
      <c r="L281" s="13">
        <f t="shared" si="10"/>
        <v>59</v>
      </c>
      <c r="M281" t="s">
        <v>369</v>
      </c>
      <c r="N281" t="s">
        <v>299</v>
      </c>
      <c r="O281" t="s">
        <v>381</v>
      </c>
      <c r="Q281" t="s">
        <v>890</v>
      </c>
      <c r="R281" t="s">
        <v>864</v>
      </c>
      <c r="S281" t="s">
        <v>1076</v>
      </c>
      <c r="T281">
        <v>81.455833333333331</v>
      </c>
      <c r="U281" t="s">
        <v>901</v>
      </c>
      <c r="V281">
        <v>-4.0167796610169493</v>
      </c>
      <c r="W281" t="s">
        <v>3</v>
      </c>
      <c r="X281" t="s">
        <v>3</v>
      </c>
      <c r="Y281" t="s">
        <v>366</v>
      </c>
      <c r="Z281" s="4" t="str">
        <f t="shared" si="9"/>
        <v>Y</v>
      </c>
      <c r="AA281" t="s">
        <v>1123</v>
      </c>
      <c r="AB281" t="s">
        <v>1122</v>
      </c>
      <c r="AC281" t="s">
        <v>1124</v>
      </c>
      <c r="AD281" t="s">
        <v>1100</v>
      </c>
      <c r="AE281" t="s">
        <v>1153</v>
      </c>
      <c r="AF281" t="s">
        <v>3</v>
      </c>
      <c r="AG281" t="s">
        <v>1100</v>
      </c>
    </row>
    <row r="282" spans="2:33" x14ac:dyDescent="0.2">
      <c r="B282" t="s">
        <v>366</v>
      </c>
      <c r="C282" t="s">
        <v>882</v>
      </c>
      <c r="E282">
        <v>2019</v>
      </c>
      <c r="F282" t="s">
        <v>16</v>
      </c>
      <c r="G282" t="s">
        <v>513</v>
      </c>
      <c r="H282" s="13">
        <v>55</v>
      </c>
      <c r="I282" s="13">
        <v>5</v>
      </c>
      <c r="J282" s="13">
        <v>1958</v>
      </c>
      <c r="K282" s="13">
        <v>2016</v>
      </c>
      <c r="L282" s="13">
        <f t="shared" si="10"/>
        <v>59</v>
      </c>
      <c r="M282" t="s">
        <v>369</v>
      </c>
      <c r="N282" t="s">
        <v>299</v>
      </c>
      <c r="O282" t="s">
        <v>381</v>
      </c>
      <c r="Q282" t="s">
        <v>411</v>
      </c>
      <c r="R282" t="s">
        <v>864</v>
      </c>
      <c r="S282" t="s">
        <v>1076</v>
      </c>
      <c r="T282">
        <v>81.455833333333331</v>
      </c>
      <c r="U282" t="s">
        <v>901</v>
      </c>
      <c r="V282">
        <v>-3.4883050847457624</v>
      </c>
      <c r="W282" t="s">
        <v>3</v>
      </c>
      <c r="X282" t="s">
        <v>3</v>
      </c>
      <c r="Y282" t="s">
        <v>366</v>
      </c>
      <c r="Z282" s="4" t="str">
        <f t="shared" si="9"/>
        <v>Y</v>
      </c>
      <c r="AA282" t="s">
        <v>1123</v>
      </c>
      <c r="AB282" t="s">
        <v>1122</v>
      </c>
      <c r="AC282" t="s">
        <v>1124</v>
      </c>
      <c r="AD282" t="s">
        <v>1100</v>
      </c>
      <c r="AE282" t="s">
        <v>1153</v>
      </c>
      <c r="AF282" t="s">
        <v>3</v>
      </c>
      <c r="AG282" t="s">
        <v>1100</v>
      </c>
    </row>
    <row r="283" spans="2:33" x14ac:dyDescent="0.2">
      <c r="B283" t="s">
        <v>366</v>
      </c>
      <c r="C283" t="s">
        <v>882</v>
      </c>
      <c r="E283">
        <v>2019</v>
      </c>
      <c r="F283" t="s">
        <v>16</v>
      </c>
      <c r="G283" t="s">
        <v>513</v>
      </c>
      <c r="H283" s="13">
        <v>55</v>
      </c>
      <c r="I283" s="13">
        <v>5</v>
      </c>
      <c r="J283" s="13">
        <v>1958</v>
      </c>
      <c r="K283" s="13">
        <v>2016</v>
      </c>
      <c r="L283" s="13">
        <f t="shared" si="10"/>
        <v>59</v>
      </c>
      <c r="M283" t="s">
        <v>369</v>
      </c>
      <c r="N283" t="s">
        <v>299</v>
      </c>
      <c r="O283" t="s">
        <v>381</v>
      </c>
      <c r="Q283" t="s">
        <v>433</v>
      </c>
      <c r="R283" t="s">
        <v>864</v>
      </c>
      <c r="S283" t="s">
        <v>1076</v>
      </c>
      <c r="T283">
        <v>256.10833333333335</v>
      </c>
      <c r="U283" t="s">
        <v>900</v>
      </c>
      <c r="V283">
        <v>-1.0262711864406779</v>
      </c>
      <c r="W283" t="s">
        <v>3</v>
      </c>
      <c r="X283" t="s">
        <v>3</v>
      </c>
      <c r="Y283" t="s">
        <v>366</v>
      </c>
      <c r="Z283" s="4" t="str">
        <f t="shared" si="9"/>
        <v>Y</v>
      </c>
      <c r="AA283" t="s">
        <v>1123</v>
      </c>
      <c r="AB283" t="s">
        <v>1122</v>
      </c>
      <c r="AC283" t="s">
        <v>1124</v>
      </c>
      <c r="AD283" t="s">
        <v>1100</v>
      </c>
      <c r="AE283" t="s">
        <v>1153</v>
      </c>
      <c r="AF283" t="s">
        <v>3</v>
      </c>
      <c r="AG283" t="s">
        <v>1100</v>
      </c>
    </row>
    <row r="284" spans="2:33" x14ac:dyDescent="0.2">
      <c r="B284" t="s">
        <v>366</v>
      </c>
      <c r="C284" t="s">
        <v>882</v>
      </c>
      <c r="E284">
        <v>2019</v>
      </c>
      <c r="F284" t="s">
        <v>16</v>
      </c>
      <c r="G284" t="s">
        <v>513</v>
      </c>
      <c r="H284" s="13">
        <v>55</v>
      </c>
      <c r="I284" s="13">
        <v>5</v>
      </c>
      <c r="J284" s="13">
        <v>1958</v>
      </c>
      <c r="K284" s="13">
        <v>2016</v>
      </c>
      <c r="L284" s="13">
        <f t="shared" si="10"/>
        <v>59</v>
      </c>
      <c r="M284" t="s">
        <v>369</v>
      </c>
      <c r="N284" t="s">
        <v>299</v>
      </c>
      <c r="O284" t="s">
        <v>381</v>
      </c>
      <c r="Q284" t="s">
        <v>431</v>
      </c>
      <c r="R284" t="s">
        <v>864</v>
      </c>
      <c r="S284" t="s">
        <v>1076</v>
      </c>
      <c r="T284">
        <v>192.96333333333334</v>
      </c>
      <c r="U284" t="s">
        <v>1068</v>
      </c>
      <c r="V284">
        <v>-1.6677966101694917</v>
      </c>
      <c r="W284" t="s">
        <v>3</v>
      </c>
      <c r="X284" t="s">
        <v>3</v>
      </c>
      <c r="Y284" t="s">
        <v>366</v>
      </c>
      <c r="Z284" s="4" t="str">
        <f t="shared" si="9"/>
        <v>Y</v>
      </c>
      <c r="AA284" t="s">
        <v>1123</v>
      </c>
      <c r="AB284" t="s">
        <v>1122</v>
      </c>
      <c r="AC284" t="s">
        <v>1124</v>
      </c>
      <c r="AD284" t="s">
        <v>1100</v>
      </c>
      <c r="AE284" t="s">
        <v>1153</v>
      </c>
      <c r="AF284" t="s">
        <v>3</v>
      </c>
      <c r="AG284" t="s">
        <v>1100</v>
      </c>
    </row>
    <row r="285" spans="2:33" x14ac:dyDescent="0.2">
      <c r="B285" t="s">
        <v>366</v>
      </c>
      <c r="C285" t="s">
        <v>882</v>
      </c>
      <c r="E285">
        <v>2019</v>
      </c>
      <c r="F285" t="s">
        <v>16</v>
      </c>
      <c r="G285" t="s">
        <v>513</v>
      </c>
      <c r="H285" s="13">
        <v>55</v>
      </c>
      <c r="I285" s="13">
        <v>5</v>
      </c>
      <c r="J285" s="13">
        <v>1958</v>
      </c>
      <c r="K285" s="13">
        <v>2016</v>
      </c>
      <c r="L285" s="13">
        <f t="shared" si="10"/>
        <v>59</v>
      </c>
      <c r="M285" t="s">
        <v>369</v>
      </c>
      <c r="N285" t="s">
        <v>299</v>
      </c>
      <c r="O285" t="s">
        <v>381</v>
      </c>
      <c r="Q285" t="s">
        <v>891</v>
      </c>
      <c r="R285" t="s">
        <v>864</v>
      </c>
      <c r="S285" t="s">
        <v>1076</v>
      </c>
      <c r="T285">
        <v>222.55875</v>
      </c>
      <c r="U285" t="s">
        <v>1068</v>
      </c>
      <c r="V285">
        <v>-6.0222033898305085</v>
      </c>
      <c r="W285" t="s">
        <v>3</v>
      </c>
      <c r="X285" t="s">
        <v>3</v>
      </c>
      <c r="Y285" t="s">
        <v>366</v>
      </c>
      <c r="Z285" s="4" t="str">
        <f t="shared" si="9"/>
        <v>Y</v>
      </c>
      <c r="AA285" t="s">
        <v>1123</v>
      </c>
      <c r="AB285" t="s">
        <v>1122</v>
      </c>
      <c r="AC285" t="s">
        <v>1124</v>
      </c>
      <c r="AD285" t="s">
        <v>1100</v>
      </c>
      <c r="AE285" t="s">
        <v>1153</v>
      </c>
      <c r="AF285" t="s">
        <v>3</v>
      </c>
      <c r="AG285" t="s">
        <v>1100</v>
      </c>
    </row>
    <row r="286" spans="2:33" x14ac:dyDescent="0.2">
      <c r="B286" t="s">
        <v>366</v>
      </c>
      <c r="C286" t="s">
        <v>882</v>
      </c>
      <c r="E286">
        <v>2019</v>
      </c>
      <c r="F286" t="s">
        <v>16</v>
      </c>
      <c r="G286" t="s">
        <v>513</v>
      </c>
      <c r="H286" s="13">
        <v>55</v>
      </c>
      <c r="I286" s="13">
        <v>5</v>
      </c>
      <c r="J286" s="13">
        <v>1958</v>
      </c>
      <c r="K286" s="13">
        <v>2016</v>
      </c>
      <c r="L286" s="13">
        <f t="shared" si="10"/>
        <v>59</v>
      </c>
      <c r="M286" t="s">
        <v>369</v>
      </c>
      <c r="N286" t="s">
        <v>299</v>
      </c>
      <c r="O286" t="s">
        <v>381</v>
      </c>
      <c r="Q286" t="s">
        <v>892</v>
      </c>
      <c r="R286" t="s">
        <v>864</v>
      </c>
      <c r="S286" t="s">
        <v>1076</v>
      </c>
      <c r="T286">
        <v>238.52750000000003</v>
      </c>
      <c r="U286" t="s">
        <v>900</v>
      </c>
      <c r="V286">
        <v>8.1694915254237277E-2</v>
      </c>
      <c r="W286" t="s">
        <v>24</v>
      </c>
      <c r="X286" t="s">
        <v>3</v>
      </c>
      <c r="Y286" t="s">
        <v>366</v>
      </c>
      <c r="Z286" s="4" t="str">
        <f t="shared" si="9"/>
        <v>Y</v>
      </c>
      <c r="AA286" t="s">
        <v>1123</v>
      </c>
      <c r="AB286" t="s">
        <v>1122</v>
      </c>
      <c r="AC286" t="s">
        <v>1124</v>
      </c>
      <c r="AD286" t="s">
        <v>1100</v>
      </c>
      <c r="AE286" t="s">
        <v>1153</v>
      </c>
      <c r="AF286" t="s">
        <v>3</v>
      </c>
      <c r="AG286" t="s">
        <v>1100</v>
      </c>
    </row>
    <row r="287" spans="2:33" x14ac:dyDescent="0.2">
      <c r="B287" t="s">
        <v>366</v>
      </c>
      <c r="C287" t="s">
        <v>882</v>
      </c>
      <c r="E287">
        <v>2019</v>
      </c>
      <c r="F287" t="s">
        <v>16</v>
      </c>
      <c r="G287" t="s">
        <v>513</v>
      </c>
      <c r="H287" s="13">
        <v>55</v>
      </c>
      <c r="I287" s="13">
        <v>5</v>
      </c>
      <c r="J287" s="13">
        <v>1958</v>
      </c>
      <c r="K287" s="13">
        <v>2016</v>
      </c>
      <c r="L287" s="13">
        <f t="shared" si="10"/>
        <v>59</v>
      </c>
      <c r="M287" t="s">
        <v>369</v>
      </c>
      <c r="N287" t="s">
        <v>299</v>
      </c>
      <c r="O287" t="s">
        <v>381</v>
      </c>
      <c r="Q287" t="s">
        <v>892</v>
      </c>
      <c r="R287" t="s">
        <v>864</v>
      </c>
      <c r="S287" t="s">
        <v>1076</v>
      </c>
      <c r="T287">
        <v>92.557916666666671</v>
      </c>
      <c r="U287" t="s">
        <v>901</v>
      </c>
      <c r="V287">
        <v>3.2737288135593223</v>
      </c>
      <c r="W287" t="s">
        <v>24</v>
      </c>
      <c r="X287" t="s">
        <v>3</v>
      </c>
      <c r="Y287" t="s">
        <v>366</v>
      </c>
      <c r="Z287" s="4" t="str">
        <f t="shared" si="9"/>
        <v>Y</v>
      </c>
      <c r="AA287" t="s">
        <v>1123</v>
      </c>
      <c r="AB287" t="s">
        <v>1122</v>
      </c>
      <c r="AC287" t="s">
        <v>1124</v>
      </c>
      <c r="AD287" t="s">
        <v>1100</v>
      </c>
      <c r="AE287" t="s">
        <v>1153</v>
      </c>
      <c r="AF287" t="s">
        <v>3</v>
      </c>
      <c r="AG287" t="s">
        <v>1100</v>
      </c>
    </row>
    <row r="288" spans="2:33" x14ac:dyDescent="0.2">
      <c r="B288" t="s">
        <v>366</v>
      </c>
      <c r="C288" t="s">
        <v>882</v>
      </c>
      <c r="E288">
        <v>2019</v>
      </c>
      <c r="F288" t="s">
        <v>16</v>
      </c>
      <c r="G288" t="s">
        <v>513</v>
      </c>
      <c r="H288" s="13">
        <v>55</v>
      </c>
      <c r="I288" s="13">
        <v>5</v>
      </c>
      <c r="J288" s="13">
        <v>1958</v>
      </c>
      <c r="K288" s="13">
        <v>2016</v>
      </c>
      <c r="L288" s="13">
        <f t="shared" si="10"/>
        <v>59</v>
      </c>
      <c r="M288" t="s">
        <v>369</v>
      </c>
      <c r="N288" t="s">
        <v>299</v>
      </c>
      <c r="O288" t="s">
        <v>381</v>
      </c>
      <c r="Q288" t="s">
        <v>898</v>
      </c>
      <c r="R288" t="s">
        <v>864</v>
      </c>
      <c r="S288" t="s">
        <v>1076</v>
      </c>
      <c r="T288">
        <v>263.28666666666669</v>
      </c>
      <c r="U288" t="s">
        <v>900</v>
      </c>
      <c r="V288">
        <v>-6.5671186440677962</v>
      </c>
      <c r="W288" t="s">
        <v>3</v>
      </c>
      <c r="X288" t="s">
        <v>3</v>
      </c>
      <c r="Y288" t="s">
        <v>366</v>
      </c>
      <c r="Z288" s="4" t="str">
        <f t="shared" si="9"/>
        <v>Y</v>
      </c>
      <c r="AA288" t="s">
        <v>1123</v>
      </c>
      <c r="AB288" t="s">
        <v>1122</v>
      </c>
      <c r="AC288" t="s">
        <v>1124</v>
      </c>
      <c r="AD288" t="s">
        <v>1100</v>
      </c>
      <c r="AE288" t="s">
        <v>1153</v>
      </c>
      <c r="AF288" t="s">
        <v>3</v>
      </c>
      <c r="AG288" t="s">
        <v>1100</v>
      </c>
    </row>
    <row r="289" spans="1:33" x14ac:dyDescent="0.2">
      <c r="B289" t="s">
        <v>366</v>
      </c>
      <c r="C289" t="s">
        <v>882</v>
      </c>
      <c r="E289">
        <v>2019</v>
      </c>
      <c r="F289" t="s">
        <v>16</v>
      </c>
      <c r="G289" t="s">
        <v>513</v>
      </c>
      <c r="H289" s="13">
        <v>55</v>
      </c>
      <c r="I289" s="13">
        <v>5</v>
      </c>
      <c r="J289" s="13">
        <v>1958</v>
      </c>
      <c r="K289" s="13">
        <v>2016</v>
      </c>
      <c r="L289" s="13">
        <f t="shared" si="10"/>
        <v>59</v>
      </c>
      <c r="M289" t="s">
        <v>369</v>
      </c>
      <c r="N289" t="s">
        <v>299</v>
      </c>
      <c r="O289" t="s">
        <v>381</v>
      </c>
      <c r="Q289" t="s">
        <v>898</v>
      </c>
      <c r="R289" t="s">
        <v>864</v>
      </c>
      <c r="S289" t="s">
        <v>1076</v>
      </c>
      <c r="T289">
        <v>95.99499999999999</v>
      </c>
      <c r="U289" t="s">
        <v>901</v>
      </c>
      <c r="V289">
        <v>-0.13779661016949152</v>
      </c>
      <c r="W289" t="s">
        <v>3</v>
      </c>
      <c r="X289" t="s">
        <v>3</v>
      </c>
      <c r="Y289" t="s">
        <v>366</v>
      </c>
      <c r="Z289" s="4" t="str">
        <f t="shared" si="9"/>
        <v>Y</v>
      </c>
      <c r="AA289" t="s">
        <v>1123</v>
      </c>
      <c r="AB289" t="s">
        <v>1122</v>
      </c>
      <c r="AC289" t="s">
        <v>1124</v>
      </c>
      <c r="AD289" t="s">
        <v>1100</v>
      </c>
      <c r="AE289" t="s">
        <v>1153</v>
      </c>
      <c r="AF289" t="s">
        <v>3</v>
      </c>
      <c r="AG289" t="s">
        <v>1100</v>
      </c>
    </row>
    <row r="290" spans="1:33" x14ac:dyDescent="0.2">
      <c r="B290" t="s">
        <v>366</v>
      </c>
      <c r="C290" t="s">
        <v>882</v>
      </c>
      <c r="E290">
        <v>2019</v>
      </c>
      <c r="F290" t="s">
        <v>16</v>
      </c>
      <c r="G290" t="s">
        <v>513</v>
      </c>
      <c r="H290" s="13">
        <v>55</v>
      </c>
      <c r="I290" s="13">
        <v>5</v>
      </c>
      <c r="J290" s="13">
        <v>1958</v>
      </c>
      <c r="K290" s="13">
        <v>2016</v>
      </c>
      <c r="L290" s="13">
        <f t="shared" si="10"/>
        <v>59</v>
      </c>
      <c r="M290" t="s">
        <v>369</v>
      </c>
      <c r="N290" t="s">
        <v>299</v>
      </c>
      <c r="O290" t="s">
        <v>381</v>
      </c>
      <c r="Q290" t="s">
        <v>899</v>
      </c>
      <c r="R290" t="s">
        <v>864</v>
      </c>
      <c r="S290" t="s">
        <v>1076</v>
      </c>
      <c r="T290">
        <v>256.26041666666669</v>
      </c>
      <c r="U290" t="s">
        <v>900</v>
      </c>
      <c r="V290">
        <v>-1.2306779661016949</v>
      </c>
      <c r="W290" t="s">
        <v>3</v>
      </c>
      <c r="X290" t="s">
        <v>3</v>
      </c>
      <c r="Y290" t="s">
        <v>366</v>
      </c>
      <c r="Z290" s="4" t="str">
        <f t="shared" si="9"/>
        <v>Y</v>
      </c>
      <c r="AA290" t="s">
        <v>1123</v>
      </c>
      <c r="AB290" t="s">
        <v>1122</v>
      </c>
      <c r="AC290" t="s">
        <v>1124</v>
      </c>
      <c r="AD290" t="s">
        <v>1100</v>
      </c>
      <c r="AE290" t="s">
        <v>1153</v>
      </c>
      <c r="AF290" t="s">
        <v>3</v>
      </c>
      <c r="AG290" t="s">
        <v>1100</v>
      </c>
    </row>
    <row r="291" spans="1:33" x14ac:dyDescent="0.2">
      <c r="B291" t="s">
        <v>366</v>
      </c>
      <c r="C291" t="s">
        <v>882</v>
      </c>
      <c r="E291">
        <v>2019</v>
      </c>
      <c r="F291" t="s">
        <v>16</v>
      </c>
      <c r="G291" t="s">
        <v>513</v>
      </c>
      <c r="H291" s="13">
        <v>55</v>
      </c>
      <c r="I291" s="13">
        <v>5</v>
      </c>
      <c r="J291" s="13">
        <v>1958</v>
      </c>
      <c r="K291" s="13">
        <v>2016</v>
      </c>
      <c r="L291" s="13">
        <f t="shared" si="10"/>
        <v>59</v>
      </c>
      <c r="M291" t="s">
        <v>369</v>
      </c>
      <c r="N291" t="s">
        <v>299</v>
      </c>
      <c r="O291" t="s">
        <v>381</v>
      </c>
      <c r="Q291" t="s">
        <v>899</v>
      </c>
      <c r="R291" t="s">
        <v>864</v>
      </c>
      <c r="S291" t="s">
        <v>1076</v>
      </c>
      <c r="T291">
        <v>97.242083333333341</v>
      </c>
      <c r="U291" t="s">
        <v>901</v>
      </c>
      <c r="V291">
        <v>-1.6891525423728813</v>
      </c>
      <c r="W291" t="s">
        <v>3</v>
      </c>
      <c r="X291" t="s">
        <v>3</v>
      </c>
      <c r="Y291" t="s">
        <v>366</v>
      </c>
      <c r="Z291" s="4" t="str">
        <f t="shared" si="9"/>
        <v>Y</v>
      </c>
      <c r="AA291" t="s">
        <v>1123</v>
      </c>
      <c r="AB291" t="s">
        <v>1122</v>
      </c>
      <c r="AC291" t="s">
        <v>1124</v>
      </c>
      <c r="AD291" t="s">
        <v>1100</v>
      </c>
      <c r="AE291" t="s">
        <v>1153</v>
      </c>
      <c r="AF291" t="s">
        <v>3</v>
      </c>
      <c r="AG291" t="s">
        <v>1100</v>
      </c>
    </row>
    <row r="292" spans="1:33" x14ac:dyDescent="0.2">
      <c r="B292" t="s">
        <v>366</v>
      </c>
      <c r="C292" t="s">
        <v>882</v>
      </c>
      <c r="E292">
        <v>2019</v>
      </c>
      <c r="F292" t="s">
        <v>16</v>
      </c>
      <c r="G292" t="s">
        <v>513</v>
      </c>
      <c r="H292" s="13">
        <v>55</v>
      </c>
      <c r="I292" s="13">
        <v>5</v>
      </c>
      <c r="J292" s="13">
        <v>1958</v>
      </c>
      <c r="K292" s="13">
        <v>2016</v>
      </c>
      <c r="L292" s="13">
        <f t="shared" si="10"/>
        <v>59</v>
      </c>
      <c r="M292" t="s">
        <v>369</v>
      </c>
      <c r="N292" t="s">
        <v>299</v>
      </c>
      <c r="O292" t="s">
        <v>381</v>
      </c>
      <c r="Q292" t="s">
        <v>893</v>
      </c>
      <c r="R292" t="s">
        <v>864</v>
      </c>
      <c r="S292" t="s">
        <v>1076</v>
      </c>
      <c r="T292">
        <v>147.52083333333331</v>
      </c>
      <c r="U292" t="s">
        <v>901</v>
      </c>
      <c r="V292">
        <v>0.69830508474576269</v>
      </c>
      <c r="W292" t="s">
        <v>3</v>
      </c>
      <c r="X292" t="s">
        <v>3</v>
      </c>
      <c r="Y292" t="s">
        <v>366</v>
      </c>
      <c r="Z292" s="4" t="str">
        <f t="shared" si="9"/>
        <v>Y</v>
      </c>
      <c r="AA292" t="s">
        <v>1123</v>
      </c>
      <c r="AB292" t="s">
        <v>1122</v>
      </c>
      <c r="AC292" t="s">
        <v>1124</v>
      </c>
      <c r="AD292" t="s">
        <v>1100</v>
      </c>
      <c r="AE292" t="s">
        <v>1153</v>
      </c>
      <c r="AF292" t="s">
        <v>3</v>
      </c>
      <c r="AG292" t="s">
        <v>1100</v>
      </c>
    </row>
    <row r="293" spans="1:33" x14ac:dyDescent="0.2">
      <c r="B293" t="s">
        <v>366</v>
      </c>
      <c r="C293" t="s">
        <v>882</v>
      </c>
      <c r="E293">
        <v>2019</v>
      </c>
      <c r="F293" t="s">
        <v>16</v>
      </c>
      <c r="G293" t="s">
        <v>513</v>
      </c>
      <c r="H293" s="13">
        <v>55</v>
      </c>
      <c r="I293" s="13">
        <v>5</v>
      </c>
      <c r="J293" s="13">
        <v>1958</v>
      </c>
      <c r="K293" s="13">
        <v>2016</v>
      </c>
      <c r="L293" s="13">
        <f t="shared" si="10"/>
        <v>59</v>
      </c>
      <c r="M293" t="s">
        <v>369</v>
      </c>
      <c r="N293" t="s">
        <v>299</v>
      </c>
      <c r="O293" t="s">
        <v>381</v>
      </c>
      <c r="Q293" t="s">
        <v>894</v>
      </c>
      <c r="R293" t="s">
        <v>864</v>
      </c>
      <c r="S293" t="s">
        <v>1076</v>
      </c>
      <c r="T293">
        <v>209.93583333333333</v>
      </c>
      <c r="U293" t="s">
        <v>1068</v>
      </c>
      <c r="V293">
        <v>-6.4854237288135597</v>
      </c>
      <c r="W293" t="s">
        <v>3</v>
      </c>
      <c r="X293" t="s">
        <v>3</v>
      </c>
      <c r="Y293" t="s">
        <v>366</v>
      </c>
      <c r="Z293" s="4" t="str">
        <f t="shared" si="9"/>
        <v>Y</v>
      </c>
      <c r="AA293" t="s">
        <v>1123</v>
      </c>
      <c r="AB293" t="s">
        <v>1122</v>
      </c>
      <c r="AC293" t="s">
        <v>1124</v>
      </c>
      <c r="AD293" t="s">
        <v>1100</v>
      </c>
      <c r="AE293" t="s">
        <v>1153</v>
      </c>
      <c r="AF293" t="s">
        <v>3</v>
      </c>
      <c r="AG293" t="s">
        <v>1100</v>
      </c>
    </row>
    <row r="294" spans="1:33" x14ac:dyDescent="0.2">
      <c r="B294" t="s">
        <v>366</v>
      </c>
      <c r="C294" t="s">
        <v>882</v>
      </c>
      <c r="E294">
        <v>2019</v>
      </c>
      <c r="F294" t="s">
        <v>16</v>
      </c>
      <c r="G294" t="s">
        <v>513</v>
      </c>
      <c r="H294" s="13">
        <v>55</v>
      </c>
      <c r="I294" s="13">
        <v>5</v>
      </c>
      <c r="J294" s="13">
        <v>1958</v>
      </c>
      <c r="K294" s="13">
        <v>2016</v>
      </c>
      <c r="L294" s="13">
        <f t="shared" si="10"/>
        <v>59</v>
      </c>
      <c r="M294" t="s">
        <v>369</v>
      </c>
      <c r="N294" t="s">
        <v>299</v>
      </c>
      <c r="O294" t="s">
        <v>381</v>
      </c>
      <c r="Q294" t="s">
        <v>895</v>
      </c>
      <c r="R294" t="s">
        <v>864</v>
      </c>
      <c r="S294" t="s">
        <v>1076</v>
      </c>
      <c r="T294">
        <v>275.11875000000003</v>
      </c>
      <c r="U294" t="s">
        <v>900</v>
      </c>
      <c r="V294">
        <v>-1.6228813559322033</v>
      </c>
      <c r="W294" t="s">
        <v>3</v>
      </c>
      <c r="X294" t="s">
        <v>3</v>
      </c>
      <c r="Y294" t="s">
        <v>366</v>
      </c>
      <c r="Z294" s="4" t="str">
        <f t="shared" si="9"/>
        <v>Y</v>
      </c>
      <c r="AA294" t="s">
        <v>1123</v>
      </c>
      <c r="AB294" t="s">
        <v>1122</v>
      </c>
      <c r="AC294" t="s">
        <v>1124</v>
      </c>
      <c r="AD294" t="s">
        <v>1100</v>
      </c>
      <c r="AE294" t="s">
        <v>1153</v>
      </c>
      <c r="AF294" t="s">
        <v>3</v>
      </c>
      <c r="AG294" t="s">
        <v>1100</v>
      </c>
    </row>
    <row r="295" spans="1:33" x14ac:dyDescent="0.2">
      <c r="B295" t="s">
        <v>366</v>
      </c>
      <c r="C295" t="s">
        <v>882</v>
      </c>
      <c r="E295">
        <v>2019</v>
      </c>
      <c r="F295" t="s">
        <v>16</v>
      </c>
      <c r="G295" t="s">
        <v>513</v>
      </c>
      <c r="H295" s="13">
        <v>55</v>
      </c>
      <c r="I295" s="13">
        <v>5</v>
      </c>
      <c r="J295" s="13">
        <v>1958</v>
      </c>
      <c r="K295" s="13">
        <v>2016</v>
      </c>
      <c r="L295" s="13">
        <f t="shared" si="10"/>
        <v>59</v>
      </c>
      <c r="M295" t="s">
        <v>369</v>
      </c>
      <c r="N295" t="s">
        <v>299</v>
      </c>
      <c r="O295" t="s">
        <v>381</v>
      </c>
      <c r="Q295" t="s">
        <v>895</v>
      </c>
      <c r="R295" t="s">
        <v>864</v>
      </c>
      <c r="S295" t="s">
        <v>1076</v>
      </c>
      <c r="T295">
        <v>97.637500000000003</v>
      </c>
      <c r="U295" t="s">
        <v>901</v>
      </c>
      <c r="V295">
        <v>-2.9877966101694913</v>
      </c>
      <c r="W295" t="s">
        <v>3</v>
      </c>
      <c r="X295" t="s">
        <v>3</v>
      </c>
      <c r="Y295" t="s">
        <v>366</v>
      </c>
      <c r="Z295" s="4" t="str">
        <f t="shared" si="9"/>
        <v>Y</v>
      </c>
      <c r="AA295" t="s">
        <v>1123</v>
      </c>
      <c r="AB295" t="s">
        <v>1122</v>
      </c>
      <c r="AC295" t="s">
        <v>1124</v>
      </c>
      <c r="AD295" t="s">
        <v>1100</v>
      </c>
      <c r="AE295" t="s">
        <v>1153</v>
      </c>
      <c r="AF295" t="s">
        <v>3</v>
      </c>
      <c r="AG295" t="s">
        <v>1100</v>
      </c>
    </row>
    <row r="296" spans="1:33" x14ac:dyDescent="0.2">
      <c r="B296" t="s">
        <v>366</v>
      </c>
      <c r="C296" t="s">
        <v>882</v>
      </c>
      <c r="E296">
        <v>2019</v>
      </c>
      <c r="F296" t="s">
        <v>16</v>
      </c>
      <c r="G296" t="s">
        <v>513</v>
      </c>
      <c r="H296" s="13">
        <v>55</v>
      </c>
      <c r="I296" s="13">
        <v>5</v>
      </c>
      <c r="J296" s="13">
        <v>1958</v>
      </c>
      <c r="K296" s="13">
        <v>2016</v>
      </c>
      <c r="L296" s="13">
        <f t="shared" si="10"/>
        <v>59</v>
      </c>
      <c r="M296" t="s">
        <v>369</v>
      </c>
      <c r="N296" t="s">
        <v>299</v>
      </c>
      <c r="O296" t="s">
        <v>381</v>
      </c>
      <c r="Q296" t="s">
        <v>436</v>
      </c>
      <c r="R296" t="s">
        <v>864</v>
      </c>
      <c r="S296" t="s">
        <v>1076</v>
      </c>
      <c r="T296">
        <v>113.14999999999999</v>
      </c>
      <c r="U296" t="s">
        <v>901</v>
      </c>
      <c r="V296">
        <v>-5.0652542372881362</v>
      </c>
      <c r="W296" t="s">
        <v>3</v>
      </c>
      <c r="X296" t="s">
        <v>3</v>
      </c>
      <c r="Y296" t="s">
        <v>366</v>
      </c>
      <c r="Z296" s="4" t="str">
        <f t="shared" si="9"/>
        <v>Y</v>
      </c>
      <c r="AA296" t="s">
        <v>1123</v>
      </c>
      <c r="AB296" t="s">
        <v>1122</v>
      </c>
      <c r="AC296" t="s">
        <v>1124</v>
      </c>
      <c r="AD296" t="s">
        <v>1100</v>
      </c>
      <c r="AE296" t="s">
        <v>1153</v>
      </c>
      <c r="AF296" t="s">
        <v>3</v>
      </c>
      <c r="AG296" t="s">
        <v>1100</v>
      </c>
    </row>
    <row r="297" spans="1:33" x14ac:dyDescent="0.2">
      <c r="B297" t="s">
        <v>366</v>
      </c>
      <c r="C297" t="s">
        <v>882</v>
      </c>
      <c r="E297">
        <v>2019</v>
      </c>
      <c r="F297" t="s">
        <v>16</v>
      </c>
      <c r="G297" t="s">
        <v>513</v>
      </c>
      <c r="H297" s="13">
        <v>55</v>
      </c>
      <c r="I297" s="13">
        <v>5</v>
      </c>
      <c r="J297" s="13">
        <v>1958</v>
      </c>
      <c r="K297" s="13">
        <v>2016</v>
      </c>
      <c r="L297" s="13">
        <f t="shared" si="10"/>
        <v>59</v>
      </c>
      <c r="M297" t="s">
        <v>369</v>
      </c>
      <c r="N297" t="s">
        <v>299</v>
      </c>
      <c r="O297" t="s">
        <v>381</v>
      </c>
      <c r="Q297" t="s">
        <v>896</v>
      </c>
      <c r="R297" t="s">
        <v>864</v>
      </c>
      <c r="S297" t="s">
        <v>1076</v>
      </c>
      <c r="T297">
        <v>285.27791666666667</v>
      </c>
      <c r="U297" t="s">
        <v>900</v>
      </c>
      <c r="V297">
        <v>-0.6688135593220339</v>
      </c>
      <c r="W297" t="s">
        <v>3</v>
      </c>
      <c r="X297" t="s">
        <v>3</v>
      </c>
      <c r="Y297" t="s">
        <v>366</v>
      </c>
      <c r="Z297" s="4" t="str">
        <f t="shared" si="9"/>
        <v>Y</v>
      </c>
      <c r="AA297" t="s">
        <v>1123</v>
      </c>
      <c r="AB297" t="s">
        <v>1122</v>
      </c>
      <c r="AC297" t="s">
        <v>1124</v>
      </c>
      <c r="AD297" t="s">
        <v>1100</v>
      </c>
      <c r="AE297" t="s">
        <v>1153</v>
      </c>
      <c r="AF297" t="s">
        <v>3</v>
      </c>
      <c r="AG297" t="s">
        <v>1100</v>
      </c>
    </row>
    <row r="298" spans="1:33" x14ac:dyDescent="0.2">
      <c r="B298" t="s">
        <v>366</v>
      </c>
      <c r="C298" t="s">
        <v>882</v>
      </c>
      <c r="E298">
        <v>2019</v>
      </c>
      <c r="F298" t="s">
        <v>16</v>
      </c>
      <c r="G298" t="s">
        <v>513</v>
      </c>
      <c r="H298" s="13">
        <v>55</v>
      </c>
      <c r="I298" s="13">
        <v>5</v>
      </c>
      <c r="J298" s="13">
        <v>1958</v>
      </c>
      <c r="K298" s="13">
        <v>2016</v>
      </c>
      <c r="L298" s="13">
        <f t="shared" si="10"/>
        <v>59</v>
      </c>
      <c r="M298" t="s">
        <v>369</v>
      </c>
      <c r="N298" t="s">
        <v>299</v>
      </c>
      <c r="O298" t="s">
        <v>381</v>
      </c>
      <c r="Q298" t="s">
        <v>896</v>
      </c>
      <c r="R298" t="s">
        <v>864</v>
      </c>
      <c r="S298" t="s">
        <v>1076</v>
      </c>
      <c r="T298">
        <v>70.749166666666667</v>
      </c>
      <c r="U298" t="s">
        <v>901</v>
      </c>
      <c r="V298">
        <v>-1.4901694915254238</v>
      </c>
      <c r="W298" t="s">
        <v>3</v>
      </c>
      <c r="X298" t="s">
        <v>3</v>
      </c>
      <c r="Y298" t="s">
        <v>366</v>
      </c>
      <c r="Z298" s="4" t="str">
        <f t="shared" si="9"/>
        <v>Y</v>
      </c>
      <c r="AA298" t="s">
        <v>1123</v>
      </c>
      <c r="AB298" t="s">
        <v>1122</v>
      </c>
      <c r="AC298" t="s">
        <v>1124</v>
      </c>
      <c r="AD298" t="s">
        <v>1100</v>
      </c>
      <c r="AE298" t="s">
        <v>1153</v>
      </c>
      <c r="AF298" t="s">
        <v>3</v>
      </c>
      <c r="AG298" t="s">
        <v>1100</v>
      </c>
    </row>
    <row r="299" spans="1:33" x14ac:dyDescent="0.2">
      <c r="B299" t="s">
        <v>366</v>
      </c>
      <c r="C299" t="s">
        <v>882</v>
      </c>
      <c r="E299">
        <v>2019</v>
      </c>
      <c r="F299" t="s">
        <v>16</v>
      </c>
      <c r="G299" t="s">
        <v>513</v>
      </c>
      <c r="H299" s="13">
        <v>55</v>
      </c>
      <c r="I299" s="13">
        <v>5</v>
      </c>
      <c r="J299" s="13">
        <v>1958</v>
      </c>
      <c r="K299" s="13">
        <v>2016</v>
      </c>
      <c r="L299" s="13">
        <f t="shared" si="10"/>
        <v>59</v>
      </c>
      <c r="M299" t="s">
        <v>369</v>
      </c>
      <c r="N299" t="s">
        <v>299</v>
      </c>
      <c r="O299" t="s">
        <v>381</v>
      </c>
      <c r="Q299" t="s">
        <v>897</v>
      </c>
      <c r="R299" t="s">
        <v>864</v>
      </c>
      <c r="S299" t="s">
        <v>1076</v>
      </c>
      <c r="T299">
        <v>105.63708333333334</v>
      </c>
      <c r="U299" t="s">
        <v>901</v>
      </c>
      <c r="V299">
        <v>0.13966101694915253</v>
      </c>
      <c r="W299" t="s">
        <v>24</v>
      </c>
      <c r="X299" t="s">
        <v>3</v>
      </c>
      <c r="Y299" t="s">
        <v>366</v>
      </c>
      <c r="Z299" s="4" t="str">
        <f t="shared" si="9"/>
        <v>Y</v>
      </c>
      <c r="AA299" t="s">
        <v>1123</v>
      </c>
      <c r="AB299" t="s">
        <v>1122</v>
      </c>
      <c r="AC299" t="s">
        <v>1124</v>
      </c>
      <c r="AD299" t="s">
        <v>1100</v>
      </c>
      <c r="AE299" t="s">
        <v>1153</v>
      </c>
      <c r="AF299" t="s">
        <v>3</v>
      </c>
      <c r="AG299" t="s">
        <v>1100</v>
      </c>
    </row>
    <row r="300" spans="1:33" x14ac:dyDescent="0.2">
      <c r="B300" t="s">
        <v>366</v>
      </c>
      <c r="C300" t="s">
        <v>882</v>
      </c>
      <c r="E300">
        <v>2019</v>
      </c>
      <c r="F300" t="s">
        <v>16</v>
      </c>
      <c r="G300" t="s">
        <v>513</v>
      </c>
      <c r="H300" s="13">
        <v>55</v>
      </c>
      <c r="I300" s="13">
        <v>5</v>
      </c>
      <c r="J300" s="13">
        <v>1958</v>
      </c>
      <c r="K300" s="13">
        <v>2016</v>
      </c>
      <c r="L300" s="13">
        <f t="shared" si="10"/>
        <v>59</v>
      </c>
      <c r="M300" t="s">
        <v>369</v>
      </c>
      <c r="N300" t="s">
        <v>299</v>
      </c>
      <c r="O300" t="s">
        <v>381</v>
      </c>
      <c r="Q300" t="s">
        <v>405</v>
      </c>
      <c r="R300" t="s">
        <v>864</v>
      </c>
      <c r="S300" t="s">
        <v>1076</v>
      </c>
      <c r="T300">
        <v>157.95374999999999</v>
      </c>
      <c r="U300" t="s">
        <v>1068</v>
      </c>
      <c r="V300">
        <v>3.3132203389830508</v>
      </c>
      <c r="W300" s="5" t="s">
        <v>24</v>
      </c>
      <c r="X300" t="s">
        <v>3</v>
      </c>
      <c r="Y300" t="s">
        <v>366</v>
      </c>
      <c r="Z300" s="4" t="str">
        <f t="shared" si="9"/>
        <v>Y</v>
      </c>
      <c r="AA300" t="s">
        <v>1123</v>
      </c>
      <c r="AB300" t="s">
        <v>1122</v>
      </c>
      <c r="AC300" t="s">
        <v>1124</v>
      </c>
      <c r="AD300" t="s">
        <v>1100</v>
      </c>
      <c r="AE300" t="s">
        <v>1153</v>
      </c>
      <c r="AF300" t="s">
        <v>3</v>
      </c>
      <c r="AG300" t="s">
        <v>1100</v>
      </c>
    </row>
    <row r="301" spans="1:33" x14ac:dyDescent="0.2">
      <c r="B301" t="s">
        <v>366</v>
      </c>
      <c r="C301" t="s">
        <v>903</v>
      </c>
      <c r="E301">
        <v>2019</v>
      </c>
      <c r="F301" t="s">
        <v>904</v>
      </c>
      <c r="G301" t="s">
        <v>513</v>
      </c>
      <c r="H301" s="13">
        <v>46</v>
      </c>
      <c r="I301" s="13">
        <v>-14</v>
      </c>
      <c r="J301" s="13">
        <v>1981</v>
      </c>
      <c r="K301" s="13">
        <v>2017</v>
      </c>
      <c r="L301" s="13">
        <f t="shared" si="10"/>
        <v>37</v>
      </c>
      <c r="M301" t="s">
        <v>369</v>
      </c>
      <c r="N301" t="s">
        <v>51</v>
      </c>
      <c r="O301" t="s">
        <v>905</v>
      </c>
      <c r="P301" t="s">
        <v>906</v>
      </c>
      <c r="Q301" t="s">
        <v>391</v>
      </c>
      <c r="R301" t="s">
        <v>931</v>
      </c>
      <c r="S301" t="s">
        <v>1076</v>
      </c>
      <c r="T301" t="s">
        <v>165</v>
      </c>
      <c r="U301" t="s">
        <v>1068</v>
      </c>
      <c r="V301">
        <v>-2.2999999999999998</v>
      </c>
      <c r="W301" t="s">
        <v>3</v>
      </c>
      <c r="X301" t="s">
        <v>3</v>
      </c>
      <c r="Y301" t="s">
        <v>366</v>
      </c>
      <c r="Z301" s="4" t="str">
        <f t="shared" si="9"/>
        <v>Y</v>
      </c>
      <c r="AA301" t="s">
        <v>1121</v>
      </c>
      <c r="AB301" t="s">
        <v>1134</v>
      </c>
      <c r="AC301" t="s">
        <v>902</v>
      </c>
      <c r="AD301" t="s">
        <v>1100</v>
      </c>
      <c r="AE301" t="s">
        <v>1154</v>
      </c>
      <c r="AF301" t="s">
        <v>3</v>
      </c>
      <c r="AG301" t="s">
        <v>1100</v>
      </c>
    </row>
    <row r="302" spans="1:33" x14ac:dyDescent="0.2">
      <c r="A302">
        <v>209</v>
      </c>
      <c r="B302" t="s">
        <v>366</v>
      </c>
      <c r="C302" t="s">
        <v>131</v>
      </c>
      <c r="E302">
        <v>2009</v>
      </c>
      <c r="F302" t="s">
        <v>132</v>
      </c>
      <c r="G302" t="s">
        <v>513</v>
      </c>
      <c r="H302" s="13">
        <v>56.183300000000003</v>
      </c>
      <c r="I302" s="13">
        <v>-2.5667</v>
      </c>
      <c r="J302" s="13">
        <v>1971</v>
      </c>
      <c r="K302" s="13">
        <v>2006</v>
      </c>
      <c r="L302" s="13">
        <f t="shared" si="10"/>
        <v>36</v>
      </c>
      <c r="N302" t="s">
        <v>380</v>
      </c>
      <c r="O302" t="s">
        <v>380</v>
      </c>
      <c r="P302" t="s">
        <v>141</v>
      </c>
      <c r="V302">
        <f>-0.018*10</f>
        <v>-0.18</v>
      </c>
      <c r="W302" t="s">
        <v>3</v>
      </c>
      <c r="X302" s="2" t="s">
        <v>3</v>
      </c>
      <c r="Y302" t="s">
        <v>366</v>
      </c>
      <c r="Z302" s="4" t="str">
        <f t="shared" si="9"/>
        <v>Y</v>
      </c>
      <c r="AC302" t="s">
        <v>144</v>
      </c>
    </row>
    <row r="303" spans="1:33" x14ac:dyDescent="0.2">
      <c r="A303">
        <v>210</v>
      </c>
      <c r="B303" t="s">
        <v>366</v>
      </c>
      <c r="C303" t="s">
        <v>131</v>
      </c>
      <c r="E303">
        <v>2009</v>
      </c>
      <c r="F303" t="s">
        <v>132</v>
      </c>
      <c r="G303" t="s">
        <v>513</v>
      </c>
      <c r="H303" s="13">
        <v>56.183300000000003</v>
      </c>
      <c r="I303" s="13">
        <v>-2.5667</v>
      </c>
      <c r="J303" s="13">
        <v>1971</v>
      </c>
      <c r="K303" s="13">
        <v>2006</v>
      </c>
      <c r="L303" s="13">
        <f t="shared" si="10"/>
        <v>36</v>
      </c>
      <c r="N303" t="s">
        <v>380</v>
      </c>
      <c r="O303" t="s">
        <v>380</v>
      </c>
      <c r="P303" t="s">
        <v>142</v>
      </c>
      <c r="V303">
        <f>-0.045*10</f>
        <v>-0.44999999999999996</v>
      </c>
      <c r="W303" t="s">
        <v>3</v>
      </c>
      <c r="X303" s="2" t="s">
        <v>3</v>
      </c>
      <c r="Y303" t="s">
        <v>366</v>
      </c>
      <c r="Z303" s="4" t="str">
        <f t="shared" si="9"/>
        <v>Y</v>
      </c>
      <c r="AC303" t="s">
        <v>144</v>
      </c>
    </row>
    <row r="304" spans="1:33" x14ac:dyDescent="0.2">
      <c r="A304">
        <v>211</v>
      </c>
      <c r="B304" t="s">
        <v>366</v>
      </c>
      <c r="C304" t="s">
        <v>131</v>
      </c>
      <c r="E304">
        <v>2009</v>
      </c>
      <c r="F304" t="s">
        <v>132</v>
      </c>
      <c r="G304" t="s">
        <v>513</v>
      </c>
      <c r="H304" s="13">
        <v>56.183300000000003</v>
      </c>
      <c r="I304" s="13">
        <v>-2.5667</v>
      </c>
      <c r="J304" s="13">
        <v>1971</v>
      </c>
      <c r="K304" s="13">
        <v>2006</v>
      </c>
      <c r="L304" s="13">
        <f t="shared" si="10"/>
        <v>36</v>
      </c>
      <c r="N304" t="s">
        <v>380</v>
      </c>
      <c r="O304" t="s">
        <v>380</v>
      </c>
      <c r="P304" t="s">
        <v>143</v>
      </c>
      <c r="V304">
        <f>-0.19*10</f>
        <v>-1.9</v>
      </c>
      <c r="W304" t="s">
        <v>3</v>
      </c>
      <c r="X304" s="2" t="s">
        <v>3</v>
      </c>
      <c r="Y304" t="s">
        <v>366</v>
      </c>
      <c r="Z304" s="4" t="str">
        <f t="shared" si="9"/>
        <v>Y</v>
      </c>
      <c r="AC304" t="s">
        <v>144</v>
      </c>
    </row>
    <row r="305" spans="1:34" x14ac:dyDescent="0.2">
      <c r="A305">
        <v>212</v>
      </c>
      <c r="B305" t="s">
        <v>366</v>
      </c>
      <c r="C305" t="s">
        <v>131</v>
      </c>
      <c r="E305">
        <v>2009</v>
      </c>
      <c r="F305" t="s">
        <v>132</v>
      </c>
      <c r="G305" t="s">
        <v>513</v>
      </c>
      <c r="H305" s="13">
        <v>56.183300000000003</v>
      </c>
      <c r="I305" s="13">
        <v>-2.5667</v>
      </c>
      <c r="J305" s="13">
        <v>1971</v>
      </c>
      <c r="K305" s="13">
        <v>2006</v>
      </c>
      <c r="L305" s="13">
        <f t="shared" si="10"/>
        <v>36</v>
      </c>
      <c r="N305" t="s">
        <v>380</v>
      </c>
      <c r="O305" t="s">
        <v>380</v>
      </c>
      <c r="P305" t="s">
        <v>137</v>
      </c>
      <c r="V305">
        <f>-0.27*10</f>
        <v>-2.7</v>
      </c>
      <c r="W305" t="s">
        <v>3</v>
      </c>
      <c r="X305" s="2" t="s">
        <v>3</v>
      </c>
      <c r="Y305" t="s">
        <v>366</v>
      </c>
      <c r="Z305" s="4" t="str">
        <f t="shared" si="9"/>
        <v>Y</v>
      </c>
      <c r="AC305" t="s">
        <v>144</v>
      </c>
    </row>
    <row r="306" spans="1:34" x14ac:dyDescent="0.2">
      <c r="A306">
        <v>213</v>
      </c>
      <c r="B306" t="s">
        <v>366</v>
      </c>
      <c r="C306" t="s">
        <v>131</v>
      </c>
      <c r="E306">
        <v>2009</v>
      </c>
      <c r="F306" t="s">
        <v>132</v>
      </c>
      <c r="G306" t="s">
        <v>513</v>
      </c>
      <c r="H306" s="13">
        <v>56.183300000000003</v>
      </c>
      <c r="I306" s="13">
        <v>-2.5667</v>
      </c>
      <c r="J306" s="13">
        <v>1971</v>
      </c>
      <c r="K306" s="13">
        <v>2006</v>
      </c>
      <c r="L306" s="13">
        <f t="shared" si="10"/>
        <v>36</v>
      </c>
      <c r="N306" t="s">
        <v>380</v>
      </c>
      <c r="O306" t="s">
        <v>380</v>
      </c>
      <c r="P306" t="s">
        <v>138</v>
      </c>
      <c r="V306">
        <f>-0.16*10</f>
        <v>-1.6</v>
      </c>
      <c r="W306" t="s">
        <v>3</v>
      </c>
      <c r="X306" s="2" t="s">
        <v>3</v>
      </c>
      <c r="Y306" t="s">
        <v>366</v>
      </c>
      <c r="Z306" s="4" t="str">
        <f t="shared" si="9"/>
        <v>Y</v>
      </c>
      <c r="AC306" t="s">
        <v>144</v>
      </c>
    </row>
    <row r="307" spans="1:34" x14ac:dyDescent="0.2">
      <c r="A307">
        <v>214</v>
      </c>
      <c r="B307" t="s">
        <v>366</v>
      </c>
      <c r="C307" t="s">
        <v>131</v>
      </c>
      <c r="E307">
        <v>2009</v>
      </c>
      <c r="F307" t="s">
        <v>132</v>
      </c>
      <c r="G307" t="s">
        <v>513</v>
      </c>
      <c r="H307" s="13">
        <v>56.183300000000003</v>
      </c>
      <c r="I307" s="13">
        <v>-2.5667</v>
      </c>
      <c r="J307" s="13">
        <v>1971</v>
      </c>
      <c r="K307" s="13">
        <v>2006</v>
      </c>
      <c r="L307" s="13">
        <f t="shared" si="10"/>
        <v>36</v>
      </c>
      <c r="N307" t="s">
        <v>380</v>
      </c>
      <c r="O307" t="s">
        <v>380</v>
      </c>
      <c r="P307" t="s">
        <v>139</v>
      </c>
      <c r="V307">
        <f>-0.15*10</f>
        <v>-1.5</v>
      </c>
      <c r="W307" t="s">
        <v>3</v>
      </c>
      <c r="X307" s="2" t="s">
        <v>3</v>
      </c>
      <c r="Y307" t="s">
        <v>366</v>
      </c>
      <c r="Z307" s="4" t="str">
        <f t="shared" si="9"/>
        <v>Y</v>
      </c>
      <c r="AC307" t="s">
        <v>144</v>
      </c>
    </row>
    <row r="308" spans="1:34" x14ac:dyDescent="0.2">
      <c r="A308">
        <v>417</v>
      </c>
      <c r="B308" t="s">
        <v>367</v>
      </c>
      <c r="C308" t="s">
        <v>362</v>
      </c>
      <c r="E308">
        <v>2009</v>
      </c>
      <c r="F308" t="s">
        <v>103</v>
      </c>
      <c r="G308" t="s">
        <v>513</v>
      </c>
      <c r="H308" s="13">
        <v>56.18</v>
      </c>
      <c r="I308" s="13">
        <v>-2.57</v>
      </c>
      <c r="J308" s="13">
        <v>1982</v>
      </c>
      <c r="K308" s="13">
        <v>2006</v>
      </c>
      <c r="L308" s="13">
        <f t="shared" si="10"/>
        <v>25</v>
      </c>
      <c r="M308" t="s">
        <v>369</v>
      </c>
      <c r="N308" t="s">
        <v>380</v>
      </c>
      <c r="O308" t="s">
        <v>380</v>
      </c>
      <c r="P308" t="s">
        <v>165</v>
      </c>
      <c r="Q308" t="s">
        <v>165</v>
      </c>
      <c r="V308" t="s">
        <v>165</v>
      </c>
      <c r="W308" t="s">
        <v>24</v>
      </c>
      <c r="X308" t="s">
        <v>3</v>
      </c>
      <c r="Y308" t="s">
        <v>523</v>
      </c>
      <c r="Z308" s="4" t="str">
        <f t="shared" si="9"/>
        <v>Y</v>
      </c>
      <c r="AH308">
        <v>1</v>
      </c>
    </row>
    <row r="309" spans="1:34" x14ac:dyDescent="0.2">
      <c r="A309">
        <v>364</v>
      </c>
      <c r="B309" t="s">
        <v>367</v>
      </c>
      <c r="C309" t="s">
        <v>352</v>
      </c>
      <c r="E309">
        <v>2009</v>
      </c>
      <c r="F309" t="s">
        <v>509</v>
      </c>
      <c r="G309" t="s">
        <v>514</v>
      </c>
      <c r="H309" s="13">
        <v>-38.5</v>
      </c>
      <c r="I309" s="13">
        <v>145.16</v>
      </c>
      <c r="J309" s="13">
        <v>1968</v>
      </c>
      <c r="K309" s="13">
        <v>2007</v>
      </c>
      <c r="L309" s="13">
        <f t="shared" si="10"/>
        <v>40</v>
      </c>
      <c r="M309" t="s">
        <v>369</v>
      </c>
      <c r="N309" t="s">
        <v>380</v>
      </c>
      <c r="O309" t="s">
        <v>380</v>
      </c>
      <c r="P309" t="s">
        <v>305</v>
      </c>
      <c r="Q309" t="s">
        <v>80</v>
      </c>
      <c r="V309">
        <v>6.5</v>
      </c>
      <c r="W309" t="s">
        <v>24</v>
      </c>
      <c r="X309" t="s">
        <v>3</v>
      </c>
      <c r="Y309" t="s">
        <v>523</v>
      </c>
      <c r="Z309" s="4" t="str">
        <f t="shared" si="9"/>
        <v>Y</v>
      </c>
    </row>
    <row r="310" spans="1:34" x14ac:dyDescent="0.2">
      <c r="A310">
        <v>403</v>
      </c>
      <c r="B310" t="s">
        <v>367</v>
      </c>
      <c r="C310" t="s">
        <v>357</v>
      </c>
      <c r="E310">
        <v>2009</v>
      </c>
      <c r="F310" t="s">
        <v>511</v>
      </c>
      <c r="G310" t="s">
        <v>513</v>
      </c>
      <c r="H310" s="13">
        <v>77</v>
      </c>
      <c r="I310" s="13">
        <v>15.55</v>
      </c>
      <c r="J310" s="13">
        <v>1963</v>
      </c>
      <c r="K310" s="13">
        <v>2008</v>
      </c>
      <c r="L310" s="13">
        <f t="shared" si="10"/>
        <v>46</v>
      </c>
      <c r="M310" t="s">
        <v>370</v>
      </c>
      <c r="N310" t="s">
        <v>380</v>
      </c>
      <c r="O310" t="s">
        <v>380</v>
      </c>
      <c r="P310" t="s">
        <v>497</v>
      </c>
      <c r="Q310" t="s">
        <v>96</v>
      </c>
      <c r="V310">
        <v>-0.97826086999999995</v>
      </c>
      <c r="W310" t="s">
        <v>3</v>
      </c>
      <c r="X310" t="s">
        <v>3</v>
      </c>
      <c r="Y310" t="s">
        <v>523</v>
      </c>
      <c r="Z310" s="4" t="str">
        <f t="shared" si="9"/>
        <v>Y</v>
      </c>
      <c r="AC310" t="s">
        <v>868</v>
      </c>
    </row>
    <row r="311" spans="1:34" x14ac:dyDescent="0.2">
      <c r="A311">
        <v>404</v>
      </c>
      <c r="B311" t="s">
        <v>367</v>
      </c>
      <c r="C311" t="s">
        <v>357</v>
      </c>
      <c r="E311">
        <v>2009</v>
      </c>
      <c r="F311" t="s">
        <v>511</v>
      </c>
      <c r="G311" t="s">
        <v>513</v>
      </c>
      <c r="H311" s="13">
        <v>78.900000000000006</v>
      </c>
      <c r="I311" s="13">
        <v>12.22</v>
      </c>
      <c r="J311" s="13">
        <v>1970</v>
      </c>
      <c r="K311" s="13">
        <v>2008</v>
      </c>
      <c r="L311" s="13">
        <f t="shared" si="10"/>
        <v>39</v>
      </c>
      <c r="M311" t="s">
        <v>370</v>
      </c>
      <c r="N311" t="s">
        <v>380</v>
      </c>
      <c r="O311" t="s">
        <v>380</v>
      </c>
      <c r="P311" t="s">
        <v>136</v>
      </c>
      <c r="Q311" t="s">
        <v>87</v>
      </c>
      <c r="V311">
        <v>1.3</v>
      </c>
      <c r="W311" t="s">
        <v>24</v>
      </c>
      <c r="X311" t="s">
        <v>3</v>
      </c>
      <c r="Y311" t="s">
        <v>523</v>
      </c>
      <c r="Z311" s="4" t="str">
        <f t="shared" si="9"/>
        <v>Y</v>
      </c>
      <c r="AC311" t="s">
        <v>869</v>
      </c>
    </row>
    <row r="312" spans="1:34" x14ac:dyDescent="0.2">
      <c r="A312">
        <v>408</v>
      </c>
      <c r="B312" t="s">
        <v>367</v>
      </c>
      <c r="C312" t="s">
        <v>359</v>
      </c>
      <c r="E312">
        <v>2009</v>
      </c>
      <c r="F312" t="s">
        <v>506</v>
      </c>
      <c r="G312" t="s">
        <v>513</v>
      </c>
      <c r="H312" s="13">
        <v>37.700000000000003</v>
      </c>
      <c r="I312" s="13">
        <v>-123</v>
      </c>
      <c r="J312" s="13">
        <v>1988</v>
      </c>
      <c r="K312" s="13">
        <v>2006</v>
      </c>
      <c r="L312" s="13">
        <f t="shared" si="10"/>
        <v>19</v>
      </c>
      <c r="M312" t="s">
        <v>369</v>
      </c>
      <c r="N312" t="s">
        <v>380</v>
      </c>
      <c r="O312" t="s">
        <v>380</v>
      </c>
      <c r="P312" t="s">
        <v>472</v>
      </c>
      <c r="Q312" t="s">
        <v>94</v>
      </c>
      <c r="V312">
        <v>4</v>
      </c>
      <c r="W312" t="s">
        <v>24</v>
      </c>
      <c r="X312" t="s">
        <v>3</v>
      </c>
      <c r="Y312" t="s">
        <v>523</v>
      </c>
      <c r="Z312" s="4" t="str">
        <f t="shared" si="9"/>
        <v>Y</v>
      </c>
    </row>
    <row r="313" spans="1:34" x14ac:dyDescent="0.2">
      <c r="A313">
        <v>409</v>
      </c>
      <c r="B313" t="s">
        <v>367</v>
      </c>
      <c r="C313" t="s">
        <v>359</v>
      </c>
      <c r="E313">
        <v>2009</v>
      </c>
      <c r="F313" t="s">
        <v>506</v>
      </c>
      <c r="G313" t="s">
        <v>513</v>
      </c>
      <c r="H313" s="13">
        <v>37.700000000000003</v>
      </c>
      <c r="I313" s="13">
        <v>-123</v>
      </c>
      <c r="J313" s="13">
        <v>1988</v>
      </c>
      <c r="K313" s="13">
        <v>2006</v>
      </c>
      <c r="L313" s="13">
        <f t="shared" si="10"/>
        <v>19</v>
      </c>
      <c r="M313" t="s">
        <v>369</v>
      </c>
      <c r="N313" t="s">
        <v>380</v>
      </c>
      <c r="O313" t="s">
        <v>380</v>
      </c>
      <c r="P313" t="s">
        <v>472</v>
      </c>
      <c r="Q313" t="s">
        <v>94</v>
      </c>
      <c r="V313" t="s">
        <v>165</v>
      </c>
      <c r="W313" t="s">
        <v>164</v>
      </c>
      <c r="X313" t="s">
        <v>3</v>
      </c>
      <c r="Y313" t="s">
        <v>523</v>
      </c>
      <c r="Z313" s="4" t="str">
        <f t="shared" si="9"/>
        <v>Y</v>
      </c>
      <c r="AH313">
        <v>1</v>
      </c>
    </row>
    <row r="314" spans="1:34" x14ac:dyDescent="0.2">
      <c r="A314">
        <v>410</v>
      </c>
      <c r="B314" t="s">
        <v>367</v>
      </c>
      <c r="C314" t="s">
        <v>359</v>
      </c>
      <c r="E314">
        <v>2009</v>
      </c>
      <c r="F314" t="s">
        <v>506</v>
      </c>
      <c r="G314" t="s">
        <v>513</v>
      </c>
      <c r="H314" s="13">
        <v>37.700000000000003</v>
      </c>
      <c r="I314" s="13">
        <v>-123</v>
      </c>
      <c r="J314" s="13">
        <v>1988</v>
      </c>
      <c r="K314" s="13">
        <v>2006</v>
      </c>
      <c r="L314" s="13">
        <f t="shared" si="10"/>
        <v>19</v>
      </c>
      <c r="M314" t="s">
        <v>369</v>
      </c>
      <c r="N314" t="s">
        <v>380</v>
      </c>
      <c r="O314" t="s">
        <v>380</v>
      </c>
      <c r="P314" t="s">
        <v>498</v>
      </c>
      <c r="Q314" t="s">
        <v>93</v>
      </c>
      <c r="V314">
        <v>-2.4</v>
      </c>
      <c r="W314" t="s">
        <v>3</v>
      </c>
      <c r="X314" t="s">
        <v>3</v>
      </c>
      <c r="Y314" t="s">
        <v>523</v>
      </c>
      <c r="Z314" s="4" t="str">
        <f t="shared" si="9"/>
        <v>Y</v>
      </c>
    </row>
    <row r="315" spans="1:34" x14ac:dyDescent="0.2">
      <c r="A315">
        <v>411</v>
      </c>
      <c r="B315" t="s">
        <v>367</v>
      </c>
      <c r="C315" t="s">
        <v>359</v>
      </c>
      <c r="E315">
        <v>2009</v>
      </c>
      <c r="F315" t="s">
        <v>506</v>
      </c>
      <c r="G315" t="s">
        <v>513</v>
      </c>
      <c r="H315" s="13">
        <v>37.700000000000003</v>
      </c>
      <c r="I315" s="13">
        <v>-123</v>
      </c>
      <c r="J315" s="13">
        <v>1988</v>
      </c>
      <c r="K315" s="13">
        <v>2006</v>
      </c>
      <c r="L315" s="13">
        <f t="shared" si="10"/>
        <v>19</v>
      </c>
      <c r="M315" t="s">
        <v>369</v>
      </c>
      <c r="N315" t="s">
        <v>380</v>
      </c>
      <c r="O315" t="s">
        <v>380</v>
      </c>
      <c r="P315" t="s">
        <v>498</v>
      </c>
      <c r="Q315" t="s">
        <v>93</v>
      </c>
      <c r="V315" t="s">
        <v>165</v>
      </c>
      <c r="W315" t="s">
        <v>164</v>
      </c>
      <c r="X315" t="s">
        <v>3</v>
      </c>
      <c r="Y315" t="s">
        <v>523</v>
      </c>
      <c r="Z315" s="4" t="str">
        <f t="shared" si="9"/>
        <v>Y</v>
      </c>
      <c r="AH315">
        <v>1</v>
      </c>
    </row>
    <row r="316" spans="1:34" x14ac:dyDescent="0.2">
      <c r="A316">
        <v>412</v>
      </c>
      <c r="B316" t="s">
        <v>367</v>
      </c>
      <c r="C316" t="s">
        <v>360</v>
      </c>
      <c r="E316">
        <v>2009</v>
      </c>
      <c r="F316" t="s">
        <v>506</v>
      </c>
      <c r="G316" t="s">
        <v>513</v>
      </c>
      <c r="H316" s="13">
        <v>37.700000000000003</v>
      </c>
      <c r="I316" s="13">
        <v>-123</v>
      </c>
      <c r="J316" s="13">
        <v>1972</v>
      </c>
      <c r="K316" s="13">
        <v>2006</v>
      </c>
      <c r="L316" s="13">
        <f t="shared" si="10"/>
        <v>35</v>
      </c>
      <c r="M316" t="s">
        <v>369</v>
      </c>
      <c r="N316" t="s">
        <v>380</v>
      </c>
      <c r="O316" t="s">
        <v>380</v>
      </c>
      <c r="P316" t="s">
        <v>472</v>
      </c>
      <c r="Q316" t="s">
        <v>94</v>
      </c>
      <c r="V316" t="s">
        <v>165</v>
      </c>
      <c r="W316" t="s">
        <v>3</v>
      </c>
      <c r="X316" t="s">
        <v>3</v>
      </c>
      <c r="Y316" t="s">
        <v>523</v>
      </c>
      <c r="Z316" s="4" t="str">
        <f t="shared" si="9"/>
        <v>Y</v>
      </c>
      <c r="AH316">
        <v>1</v>
      </c>
    </row>
    <row r="317" spans="1:34" x14ac:dyDescent="0.2">
      <c r="A317">
        <v>413</v>
      </c>
      <c r="B317" t="s">
        <v>367</v>
      </c>
      <c r="C317" t="s">
        <v>360</v>
      </c>
      <c r="E317">
        <v>2009</v>
      </c>
      <c r="F317" t="s">
        <v>506</v>
      </c>
      <c r="G317" t="s">
        <v>513</v>
      </c>
      <c r="H317" s="13">
        <v>37.700000000000003</v>
      </c>
      <c r="I317" s="13">
        <v>-123</v>
      </c>
      <c r="J317" s="13">
        <v>1972</v>
      </c>
      <c r="K317" s="13">
        <v>2006</v>
      </c>
      <c r="L317" s="13">
        <f t="shared" si="10"/>
        <v>35</v>
      </c>
      <c r="M317" t="s">
        <v>369</v>
      </c>
      <c r="N317" t="s">
        <v>380</v>
      </c>
      <c r="O317" t="s">
        <v>380</v>
      </c>
      <c r="P317" t="s">
        <v>472</v>
      </c>
      <c r="Q317" t="s">
        <v>94</v>
      </c>
      <c r="V317" t="s">
        <v>165</v>
      </c>
      <c r="W317" t="s">
        <v>3</v>
      </c>
      <c r="X317" t="s">
        <v>3</v>
      </c>
      <c r="Y317" t="s">
        <v>523</v>
      </c>
      <c r="Z317" s="4" t="str">
        <f t="shared" si="9"/>
        <v>Y</v>
      </c>
      <c r="AH317">
        <v>1</v>
      </c>
    </row>
    <row r="318" spans="1:34" x14ac:dyDescent="0.2">
      <c r="A318">
        <v>414</v>
      </c>
      <c r="B318" t="s">
        <v>367</v>
      </c>
      <c r="C318" t="s">
        <v>360</v>
      </c>
      <c r="E318">
        <v>2009</v>
      </c>
      <c r="F318" t="s">
        <v>506</v>
      </c>
      <c r="G318" t="s">
        <v>513</v>
      </c>
      <c r="H318" s="13">
        <v>37.700000000000003</v>
      </c>
      <c r="I318" s="13">
        <v>-123</v>
      </c>
      <c r="J318" s="13">
        <v>1973</v>
      </c>
      <c r="K318" s="13">
        <v>2007</v>
      </c>
      <c r="L318" s="13">
        <f t="shared" si="10"/>
        <v>35</v>
      </c>
      <c r="M318" t="s">
        <v>369</v>
      </c>
      <c r="N318" t="s">
        <v>380</v>
      </c>
      <c r="O318" t="s">
        <v>380</v>
      </c>
      <c r="P318" t="s">
        <v>498</v>
      </c>
      <c r="Q318" t="s">
        <v>93</v>
      </c>
      <c r="V318" t="s">
        <v>165</v>
      </c>
      <c r="W318" t="s">
        <v>3</v>
      </c>
      <c r="X318" t="s">
        <v>3</v>
      </c>
      <c r="Y318" t="s">
        <v>523</v>
      </c>
      <c r="Z318" s="4" t="str">
        <f t="shared" si="9"/>
        <v>Y</v>
      </c>
      <c r="AH318">
        <v>1</v>
      </c>
    </row>
    <row r="319" spans="1:34" x14ac:dyDescent="0.2">
      <c r="A319">
        <v>415</v>
      </c>
      <c r="B319" t="s">
        <v>367</v>
      </c>
      <c r="C319" t="s">
        <v>360</v>
      </c>
      <c r="E319">
        <v>2009</v>
      </c>
      <c r="F319" t="s">
        <v>506</v>
      </c>
      <c r="G319" t="s">
        <v>513</v>
      </c>
      <c r="H319" s="13">
        <v>37.700000000000003</v>
      </c>
      <c r="I319" s="13">
        <v>-123</v>
      </c>
      <c r="J319" s="13">
        <v>1973</v>
      </c>
      <c r="K319" s="13">
        <v>2007</v>
      </c>
      <c r="L319" s="13">
        <f t="shared" si="10"/>
        <v>35</v>
      </c>
      <c r="M319" t="s">
        <v>369</v>
      </c>
      <c r="N319" t="s">
        <v>380</v>
      </c>
      <c r="O319" t="s">
        <v>380</v>
      </c>
      <c r="P319" t="s">
        <v>498</v>
      </c>
      <c r="Q319" t="s">
        <v>93</v>
      </c>
      <c r="V319" t="s">
        <v>165</v>
      </c>
      <c r="W319" t="s">
        <v>3</v>
      </c>
      <c r="X319" t="s">
        <v>3</v>
      </c>
      <c r="Y319" t="s">
        <v>523</v>
      </c>
      <c r="Z319" s="4" t="str">
        <f t="shared" si="9"/>
        <v>Y</v>
      </c>
      <c r="AH319">
        <v>1</v>
      </c>
    </row>
    <row r="320" spans="1:34" x14ac:dyDescent="0.2">
      <c r="A320">
        <v>416</v>
      </c>
      <c r="B320" t="s">
        <v>367</v>
      </c>
      <c r="C320" t="s">
        <v>361</v>
      </c>
      <c r="E320">
        <v>2009</v>
      </c>
      <c r="F320" t="s">
        <v>15</v>
      </c>
      <c r="G320" t="s">
        <v>513</v>
      </c>
      <c r="H320" s="13">
        <v>51.67</v>
      </c>
      <c r="I320" s="13">
        <v>-5.25</v>
      </c>
      <c r="J320" s="13">
        <v>1973</v>
      </c>
      <c r="K320" s="13">
        <v>2008</v>
      </c>
      <c r="L320" s="13">
        <f t="shared" si="10"/>
        <v>36</v>
      </c>
      <c r="M320" t="s">
        <v>369</v>
      </c>
      <c r="N320" t="s">
        <v>380</v>
      </c>
      <c r="O320" t="s">
        <v>380</v>
      </c>
      <c r="P320" t="s">
        <v>137</v>
      </c>
      <c r="Q320" t="s">
        <v>93</v>
      </c>
      <c r="V320">
        <v>-1.7391304350000001</v>
      </c>
      <c r="W320" t="s">
        <v>3</v>
      </c>
      <c r="X320" t="s">
        <v>3</v>
      </c>
      <c r="Y320" t="s">
        <v>523</v>
      </c>
      <c r="Z320" s="4" t="str">
        <f t="shared" si="9"/>
        <v>Y</v>
      </c>
    </row>
    <row r="321" spans="1:92" x14ac:dyDescent="0.2">
      <c r="A321">
        <v>418</v>
      </c>
      <c r="B321" t="s">
        <v>367</v>
      </c>
      <c r="C321" t="s">
        <v>362</v>
      </c>
      <c r="E321">
        <v>2009</v>
      </c>
      <c r="F321" t="s">
        <v>103</v>
      </c>
      <c r="G321" t="s">
        <v>513</v>
      </c>
      <c r="H321" s="13">
        <v>55.62</v>
      </c>
      <c r="I321" s="13">
        <v>-1.63</v>
      </c>
      <c r="J321" s="13">
        <v>1979</v>
      </c>
      <c r="K321" s="13">
        <v>2006</v>
      </c>
      <c r="L321" s="13">
        <f t="shared" si="10"/>
        <v>28</v>
      </c>
      <c r="M321" t="s">
        <v>369</v>
      </c>
      <c r="N321" t="s">
        <v>380</v>
      </c>
      <c r="O321" t="s">
        <v>380</v>
      </c>
      <c r="P321" t="s">
        <v>165</v>
      </c>
      <c r="Q321" t="s">
        <v>165</v>
      </c>
      <c r="V321" t="s">
        <v>165</v>
      </c>
      <c r="W321" t="s">
        <v>24</v>
      </c>
      <c r="X321" t="s">
        <v>3</v>
      </c>
      <c r="Y321" t="s">
        <v>523</v>
      </c>
      <c r="Z321" s="4" t="str">
        <f t="shared" si="9"/>
        <v>Y</v>
      </c>
      <c r="AH321">
        <v>1</v>
      </c>
    </row>
    <row r="322" spans="1:92" x14ac:dyDescent="0.2">
      <c r="A322">
        <v>419</v>
      </c>
      <c r="B322" t="s">
        <v>367</v>
      </c>
      <c r="C322" t="s">
        <v>362</v>
      </c>
      <c r="E322">
        <v>2009</v>
      </c>
      <c r="F322" t="s">
        <v>103</v>
      </c>
      <c r="G322" t="s">
        <v>513</v>
      </c>
      <c r="H322" s="13">
        <v>55.62</v>
      </c>
      <c r="I322" s="13">
        <v>-1.63</v>
      </c>
      <c r="J322" s="13">
        <v>1976</v>
      </c>
      <c r="K322" s="13">
        <v>2006</v>
      </c>
      <c r="L322" s="13">
        <f t="shared" si="10"/>
        <v>31</v>
      </c>
      <c r="M322" t="s">
        <v>369</v>
      </c>
      <c r="N322" t="s">
        <v>380</v>
      </c>
      <c r="O322" t="s">
        <v>380</v>
      </c>
      <c r="P322" t="s">
        <v>165</v>
      </c>
      <c r="Q322" t="s">
        <v>165</v>
      </c>
      <c r="V322" t="s">
        <v>165</v>
      </c>
      <c r="W322" t="s">
        <v>3</v>
      </c>
      <c r="X322" t="s">
        <v>3</v>
      </c>
      <c r="Y322" t="s">
        <v>523</v>
      </c>
      <c r="Z322" s="4" t="str">
        <f t="shared" ref="Z322:Z385" si="11">IF(L322&gt;=19,"Y","N")</f>
        <v>Y</v>
      </c>
      <c r="AH322">
        <v>1</v>
      </c>
    </row>
    <row r="323" spans="1:92" x14ac:dyDescent="0.2">
      <c r="A323">
        <v>420</v>
      </c>
      <c r="B323" t="s">
        <v>367</v>
      </c>
      <c r="C323" t="s">
        <v>362</v>
      </c>
      <c r="E323">
        <v>2009</v>
      </c>
      <c r="F323" t="s">
        <v>103</v>
      </c>
      <c r="G323" t="s">
        <v>513</v>
      </c>
      <c r="H323" s="13">
        <v>56.18</v>
      </c>
      <c r="I323" s="13">
        <v>-2.57</v>
      </c>
      <c r="J323" s="13">
        <v>1981</v>
      </c>
      <c r="K323" s="13">
        <v>2006</v>
      </c>
      <c r="L323" s="13">
        <f t="shared" si="10"/>
        <v>26</v>
      </c>
      <c r="M323" t="s">
        <v>369</v>
      </c>
      <c r="N323" t="s">
        <v>380</v>
      </c>
      <c r="O323" t="s">
        <v>380</v>
      </c>
      <c r="P323" t="s">
        <v>136</v>
      </c>
      <c r="Q323" t="s">
        <v>87</v>
      </c>
      <c r="V323">
        <v>6.9</v>
      </c>
      <c r="W323" t="s">
        <v>24</v>
      </c>
      <c r="X323" t="s">
        <v>3</v>
      </c>
      <c r="Y323" t="s">
        <v>523</v>
      </c>
      <c r="Z323" s="4" t="str">
        <f t="shared" si="11"/>
        <v>Y</v>
      </c>
    </row>
    <row r="324" spans="1:92" x14ac:dyDescent="0.2">
      <c r="A324">
        <v>421</v>
      </c>
      <c r="B324" t="s">
        <v>367</v>
      </c>
      <c r="C324" t="s">
        <v>362</v>
      </c>
      <c r="E324">
        <v>2009</v>
      </c>
      <c r="F324" t="s">
        <v>103</v>
      </c>
      <c r="G324" t="s">
        <v>513</v>
      </c>
      <c r="H324" s="13">
        <v>56.18</v>
      </c>
      <c r="I324" s="13">
        <v>-2.57</v>
      </c>
      <c r="J324" s="13">
        <v>1982</v>
      </c>
      <c r="K324" s="13">
        <v>2006</v>
      </c>
      <c r="L324" s="13">
        <f t="shared" si="10"/>
        <v>25</v>
      </c>
      <c r="M324" t="s">
        <v>370</v>
      </c>
      <c r="N324" t="s">
        <v>380</v>
      </c>
      <c r="O324" t="s">
        <v>380</v>
      </c>
      <c r="P324" t="s">
        <v>137</v>
      </c>
      <c r="Q324" t="s">
        <v>93</v>
      </c>
      <c r="V324">
        <v>2.8</v>
      </c>
      <c r="W324" t="s">
        <v>24</v>
      </c>
      <c r="X324" t="s">
        <v>3</v>
      </c>
      <c r="Y324" t="s">
        <v>523</v>
      </c>
      <c r="Z324" s="4" t="str">
        <f t="shared" si="11"/>
        <v>Y</v>
      </c>
    </row>
    <row r="325" spans="1:92" x14ac:dyDescent="0.2">
      <c r="A325">
        <v>422</v>
      </c>
      <c r="B325" t="s">
        <v>367</v>
      </c>
      <c r="C325" t="s">
        <v>362</v>
      </c>
      <c r="E325">
        <v>2009</v>
      </c>
      <c r="F325" t="s">
        <v>103</v>
      </c>
      <c r="G325" t="s">
        <v>513</v>
      </c>
      <c r="H325" s="13">
        <v>56.18</v>
      </c>
      <c r="I325" s="13">
        <v>-2.57</v>
      </c>
      <c r="J325" s="13">
        <v>1972</v>
      </c>
      <c r="K325" s="13">
        <v>2006</v>
      </c>
      <c r="L325" s="13">
        <f t="shared" si="10"/>
        <v>35</v>
      </c>
      <c r="M325" t="s">
        <v>370</v>
      </c>
      <c r="N325" t="s">
        <v>380</v>
      </c>
      <c r="O325" t="s">
        <v>380</v>
      </c>
      <c r="P325" t="s">
        <v>138</v>
      </c>
      <c r="Q325" t="s">
        <v>454</v>
      </c>
      <c r="V325">
        <v>6.2E-2</v>
      </c>
      <c r="W325" t="s">
        <v>24</v>
      </c>
      <c r="X325" t="s">
        <v>3</v>
      </c>
      <c r="Y325" t="s">
        <v>523</v>
      </c>
      <c r="Z325" s="4" t="str">
        <f t="shared" si="11"/>
        <v>Y</v>
      </c>
    </row>
    <row r="326" spans="1:92" x14ac:dyDescent="0.2">
      <c r="A326">
        <v>423</v>
      </c>
      <c r="B326" t="s">
        <v>367</v>
      </c>
      <c r="C326" t="s">
        <v>362</v>
      </c>
      <c r="E326">
        <v>2009</v>
      </c>
      <c r="F326" t="s">
        <v>103</v>
      </c>
      <c r="G326" t="s">
        <v>513</v>
      </c>
      <c r="H326" s="13">
        <v>56.18</v>
      </c>
      <c r="I326" s="13">
        <v>-2.57</v>
      </c>
      <c r="J326" s="13">
        <v>1974</v>
      </c>
      <c r="K326" s="13">
        <v>2006</v>
      </c>
      <c r="L326" s="13">
        <f t="shared" si="10"/>
        <v>33</v>
      </c>
      <c r="M326" t="s">
        <v>369</v>
      </c>
      <c r="N326" t="s">
        <v>380</v>
      </c>
      <c r="O326" t="s">
        <v>380</v>
      </c>
      <c r="P326" t="s">
        <v>139</v>
      </c>
      <c r="Q326" t="s">
        <v>455</v>
      </c>
      <c r="V326">
        <v>2.5</v>
      </c>
      <c r="W326" t="s">
        <v>24</v>
      </c>
      <c r="X326" t="s">
        <v>3</v>
      </c>
      <c r="Y326" t="s">
        <v>523</v>
      </c>
      <c r="Z326" s="4" t="str">
        <f t="shared" si="11"/>
        <v>Y</v>
      </c>
    </row>
    <row r="327" spans="1:92" x14ac:dyDescent="0.2">
      <c r="A327">
        <v>424</v>
      </c>
      <c r="B327" t="s">
        <v>367</v>
      </c>
      <c r="C327" t="s">
        <v>362</v>
      </c>
      <c r="E327">
        <v>2009</v>
      </c>
      <c r="F327" t="s">
        <v>103</v>
      </c>
      <c r="G327" t="s">
        <v>513</v>
      </c>
      <c r="H327" s="13">
        <v>56.18</v>
      </c>
      <c r="I327" s="13">
        <v>-2.57</v>
      </c>
      <c r="J327" s="13">
        <v>1971</v>
      </c>
      <c r="K327" s="13">
        <v>2006</v>
      </c>
      <c r="L327" s="13">
        <f t="shared" si="10"/>
        <v>36</v>
      </c>
      <c r="M327" t="s">
        <v>369</v>
      </c>
      <c r="N327" t="s">
        <v>380</v>
      </c>
      <c r="O327" t="s">
        <v>380</v>
      </c>
      <c r="P327" t="s">
        <v>134</v>
      </c>
      <c r="Q327" t="s">
        <v>92</v>
      </c>
      <c r="V327">
        <v>-8.4</v>
      </c>
      <c r="W327" t="s">
        <v>3</v>
      </c>
      <c r="X327" t="s">
        <v>3</v>
      </c>
      <c r="Y327" t="s">
        <v>523</v>
      </c>
      <c r="Z327" s="4" t="str">
        <f t="shared" si="11"/>
        <v>Y</v>
      </c>
    </row>
    <row r="328" spans="1:92" x14ac:dyDescent="0.2">
      <c r="A328">
        <v>425</v>
      </c>
      <c r="B328" t="s">
        <v>367</v>
      </c>
      <c r="C328" t="s">
        <v>362</v>
      </c>
      <c r="E328">
        <v>2009</v>
      </c>
      <c r="F328" t="s">
        <v>103</v>
      </c>
      <c r="G328" t="s">
        <v>513</v>
      </c>
      <c r="H328" s="13">
        <v>56.18</v>
      </c>
      <c r="I328" s="13">
        <v>-2.57</v>
      </c>
      <c r="J328" s="13">
        <v>1983</v>
      </c>
      <c r="K328" s="13">
        <v>2006</v>
      </c>
      <c r="L328" s="13">
        <f t="shared" si="10"/>
        <v>24</v>
      </c>
      <c r="M328" t="s">
        <v>369</v>
      </c>
      <c r="N328" t="s">
        <v>380</v>
      </c>
      <c r="O328" t="s">
        <v>380</v>
      </c>
      <c r="P328" t="s">
        <v>133</v>
      </c>
      <c r="Q328" t="s">
        <v>456</v>
      </c>
      <c r="V328">
        <v>-0.79</v>
      </c>
      <c r="W328" t="s">
        <v>3</v>
      </c>
      <c r="X328" t="s">
        <v>3</v>
      </c>
      <c r="Y328" t="s">
        <v>523</v>
      </c>
      <c r="Z328" s="4" t="str">
        <f t="shared" si="11"/>
        <v>Y</v>
      </c>
    </row>
    <row r="329" spans="1:92" x14ac:dyDescent="0.2">
      <c r="A329">
        <v>426</v>
      </c>
      <c r="B329" t="s">
        <v>367</v>
      </c>
      <c r="C329" t="s">
        <v>362</v>
      </c>
      <c r="E329">
        <v>2009</v>
      </c>
      <c r="F329" t="s">
        <v>103</v>
      </c>
      <c r="G329" t="s">
        <v>513</v>
      </c>
      <c r="H329" s="13">
        <v>56.18</v>
      </c>
      <c r="I329" s="13">
        <v>-2.57</v>
      </c>
      <c r="J329" s="13">
        <v>1979</v>
      </c>
      <c r="K329" s="13">
        <v>2006</v>
      </c>
      <c r="L329" s="13">
        <f t="shared" si="10"/>
        <v>28</v>
      </c>
      <c r="M329" t="s">
        <v>369</v>
      </c>
      <c r="N329" t="s">
        <v>380</v>
      </c>
      <c r="O329" t="s">
        <v>380</v>
      </c>
      <c r="P329" t="s">
        <v>135</v>
      </c>
      <c r="Q329" t="s">
        <v>421</v>
      </c>
      <c r="V329">
        <v>-1.2</v>
      </c>
      <c r="W329" t="s">
        <v>3</v>
      </c>
      <c r="X329" t="s">
        <v>3</v>
      </c>
      <c r="Y329" t="s">
        <v>523</v>
      </c>
      <c r="Z329" s="4" t="str">
        <f t="shared" si="11"/>
        <v>Y</v>
      </c>
    </row>
    <row r="330" spans="1:92" s="24" customFormat="1" x14ac:dyDescent="0.2">
      <c r="A330">
        <v>427</v>
      </c>
      <c r="B330" t="s">
        <v>367</v>
      </c>
      <c r="C330" t="s">
        <v>362</v>
      </c>
      <c r="D330"/>
      <c r="E330">
        <v>2009</v>
      </c>
      <c r="F330" t="s">
        <v>103</v>
      </c>
      <c r="G330" t="s">
        <v>513</v>
      </c>
      <c r="H330" s="13">
        <v>55.62</v>
      </c>
      <c r="I330" s="13">
        <v>-1.63</v>
      </c>
      <c r="J330" s="13">
        <v>1971</v>
      </c>
      <c r="K330" s="13">
        <v>2006</v>
      </c>
      <c r="L330" s="13">
        <f t="shared" si="10"/>
        <v>36</v>
      </c>
      <c r="M330" t="s">
        <v>369</v>
      </c>
      <c r="N330" t="s">
        <v>380</v>
      </c>
      <c r="O330" t="s">
        <v>380</v>
      </c>
      <c r="P330" t="s">
        <v>134</v>
      </c>
      <c r="Q330" t="s">
        <v>92</v>
      </c>
      <c r="R330"/>
      <c r="S330"/>
      <c r="T330"/>
      <c r="U330"/>
      <c r="V330">
        <v>0.99</v>
      </c>
      <c r="W330" t="s">
        <v>24</v>
      </c>
      <c r="X330" t="s">
        <v>3</v>
      </c>
      <c r="Y330" t="s">
        <v>523</v>
      </c>
      <c r="Z330" s="4" t="str">
        <f t="shared" si="11"/>
        <v>Y</v>
      </c>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row>
    <row r="331" spans="1:92" x14ac:dyDescent="0.2">
      <c r="A331" s="24">
        <v>246</v>
      </c>
      <c r="B331" s="24" t="s">
        <v>366</v>
      </c>
      <c r="C331" s="24" t="s">
        <v>364</v>
      </c>
      <c r="D331" s="24"/>
      <c r="E331" s="24">
        <v>1996</v>
      </c>
      <c r="F331" s="24" t="s">
        <v>103</v>
      </c>
      <c r="G331" s="24" t="s">
        <v>513</v>
      </c>
      <c r="H331" s="26">
        <v>54.19</v>
      </c>
      <c r="I331" s="26">
        <v>7.9</v>
      </c>
      <c r="J331" s="26">
        <v>1974</v>
      </c>
      <c r="K331" s="26">
        <v>1994</v>
      </c>
      <c r="L331" s="26">
        <f t="shared" si="10"/>
        <v>21</v>
      </c>
      <c r="M331" s="24" t="s">
        <v>369</v>
      </c>
      <c r="N331" s="24" t="s">
        <v>52</v>
      </c>
      <c r="O331" s="24" t="s">
        <v>1328</v>
      </c>
      <c r="P331" s="24"/>
      <c r="Q331" s="24" t="s">
        <v>561</v>
      </c>
      <c r="R331" s="32"/>
      <c r="S331" s="32"/>
      <c r="T331" s="32"/>
      <c r="U331" s="32"/>
      <c r="V331" s="24" t="s">
        <v>165</v>
      </c>
      <c r="W331" s="24" t="s">
        <v>3</v>
      </c>
      <c r="X331" s="24" t="s">
        <v>3</v>
      </c>
      <c r="Y331" s="24" t="s">
        <v>366</v>
      </c>
      <c r="Z331" s="4" t="str">
        <f t="shared" si="11"/>
        <v>Y</v>
      </c>
      <c r="AA331" s="24"/>
      <c r="AB331" s="24"/>
      <c r="AC331" s="24" t="s">
        <v>562</v>
      </c>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row>
    <row r="332" spans="1:92" x14ac:dyDescent="0.2">
      <c r="A332" s="24"/>
      <c r="B332" s="24" t="s">
        <v>366</v>
      </c>
      <c r="C332" s="24" t="s">
        <v>1077</v>
      </c>
      <c r="D332" s="24"/>
      <c r="E332" s="24">
        <v>2020</v>
      </c>
      <c r="F332" s="24" t="s">
        <v>907</v>
      </c>
      <c r="G332" s="24" t="s">
        <v>513</v>
      </c>
      <c r="H332" s="26">
        <v>47.5</v>
      </c>
      <c r="I332" s="26">
        <v>-63</v>
      </c>
      <c r="J332" s="26">
        <v>1982</v>
      </c>
      <c r="K332" s="26">
        <v>2012</v>
      </c>
      <c r="L332" s="26">
        <f t="shared" si="10"/>
        <v>31</v>
      </c>
      <c r="M332" s="24" t="s">
        <v>369</v>
      </c>
      <c r="N332" s="24" t="s">
        <v>538</v>
      </c>
      <c r="O332" s="24" t="s">
        <v>1328</v>
      </c>
      <c r="P332" s="24" t="s">
        <v>910</v>
      </c>
      <c r="Q332" s="24" t="s">
        <v>908</v>
      </c>
      <c r="R332" s="24" t="s">
        <v>838</v>
      </c>
      <c r="S332" s="24" t="s">
        <v>1076</v>
      </c>
      <c r="T332" s="24" t="s">
        <v>165</v>
      </c>
      <c r="U332" s="24" t="s">
        <v>1068</v>
      </c>
      <c r="V332" s="24" t="s">
        <v>165</v>
      </c>
      <c r="W332" s="24" t="s">
        <v>3</v>
      </c>
      <c r="X332" s="24" t="s">
        <v>3</v>
      </c>
      <c r="Y332" s="24" t="s">
        <v>366</v>
      </c>
      <c r="Z332" s="4" t="str">
        <f t="shared" si="11"/>
        <v>Y</v>
      </c>
      <c r="AA332" s="24" t="s">
        <v>1135</v>
      </c>
      <c r="AB332" s="24" t="s">
        <v>1136</v>
      </c>
      <c r="AC332" s="24" t="s">
        <v>913</v>
      </c>
      <c r="AD332" s="24" t="s">
        <v>1100</v>
      </c>
      <c r="AE332" s="24" t="s">
        <v>1154</v>
      </c>
      <c r="AF332" s="24" t="s">
        <v>3</v>
      </c>
      <c r="AG332" s="24" t="s">
        <v>1100</v>
      </c>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row>
    <row r="333" spans="1:92" x14ac:dyDescent="0.2">
      <c r="A333" s="24"/>
      <c r="B333" s="24" t="s">
        <v>366</v>
      </c>
      <c r="C333" s="24" t="s">
        <v>1077</v>
      </c>
      <c r="D333" s="24"/>
      <c r="E333" s="24">
        <v>2020</v>
      </c>
      <c r="F333" s="24" t="s">
        <v>907</v>
      </c>
      <c r="G333" s="24" t="s">
        <v>513</v>
      </c>
      <c r="H333" s="26">
        <v>47.5</v>
      </c>
      <c r="I333" s="26">
        <v>-63</v>
      </c>
      <c r="J333" s="26">
        <v>1982</v>
      </c>
      <c r="K333" s="26">
        <v>2012</v>
      </c>
      <c r="L333" s="26">
        <f t="shared" ref="L333:L396" si="12">K333-J333+1</f>
        <v>31</v>
      </c>
      <c r="M333" s="24" t="s">
        <v>369</v>
      </c>
      <c r="N333" s="24" t="s">
        <v>538</v>
      </c>
      <c r="O333" s="24" t="s">
        <v>1328</v>
      </c>
      <c r="P333" s="24" t="s">
        <v>911</v>
      </c>
      <c r="Q333" s="24" t="s">
        <v>909</v>
      </c>
      <c r="R333" s="24" t="s">
        <v>838</v>
      </c>
      <c r="S333" s="24" t="s">
        <v>1076</v>
      </c>
      <c r="T333" s="24" t="s">
        <v>165</v>
      </c>
      <c r="U333" s="24" t="s">
        <v>1068</v>
      </c>
      <c r="V333" s="24" t="s">
        <v>165</v>
      </c>
      <c r="W333" s="24" t="s">
        <v>3</v>
      </c>
      <c r="X333" s="24" t="s">
        <v>3</v>
      </c>
      <c r="Y333" s="24" t="s">
        <v>366</v>
      </c>
      <c r="Z333" s="4" t="str">
        <f t="shared" si="11"/>
        <v>Y</v>
      </c>
      <c r="AA333" s="24" t="s">
        <v>1135</v>
      </c>
      <c r="AB333" s="24" t="s">
        <v>1136</v>
      </c>
      <c r="AC333" s="24" t="s">
        <v>913</v>
      </c>
      <c r="AD333" s="24" t="s">
        <v>1100</v>
      </c>
      <c r="AE333" s="24" t="s">
        <v>1154</v>
      </c>
      <c r="AF333" s="24" t="s">
        <v>3</v>
      </c>
      <c r="AG333" s="24" t="s">
        <v>1100</v>
      </c>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row>
    <row r="334" spans="1:92" x14ac:dyDescent="0.2">
      <c r="A334">
        <v>428</v>
      </c>
      <c r="B334" t="s">
        <v>367</v>
      </c>
      <c r="C334" t="s">
        <v>362</v>
      </c>
      <c r="E334">
        <v>2009</v>
      </c>
      <c r="F334" t="s">
        <v>103</v>
      </c>
      <c r="G334" t="s">
        <v>513</v>
      </c>
      <c r="H334" s="13">
        <v>55.62</v>
      </c>
      <c r="I334" s="13">
        <v>-1.63</v>
      </c>
      <c r="J334" s="13">
        <v>1971</v>
      </c>
      <c r="K334" s="13">
        <v>2006</v>
      </c>
      <c r="L334" s="13">
        <f t="shared" si="12"/>
        <v>36</v>
      </c>
      <c r="M334" t="s">
        <v>369</v>
      </c>
      <c r="N334" t="s">
        <v>380</v>
      </c>
      <c r="O334" t="s">
        <v>380</v>
      </c>
      <c r="P334" t="s">
        <v>133</v>
      </c>
      <c r="Q334" t="s">
        <v>456</v>
      </c>
      <c r="V334">
        <v>1.1000000000000001</v>
      </c>
      <c r="W334" t="s">
        <v>24</v>
      </c>
      <c r="X334" t="s">
        <v>3</v>
      </c>
      <c r="Y334" t="s">
        <v>523</v>
      </c>
      <c r="Z334" s="4" t="str">
        <f t="shared" si="11"/>
        <v>Y</v>
      </c>
    </row>
    <row r="335" spans="1:92" x14ac:dyDescent="0.2">
      <c r="A335">
        <v>429</v>
      </c>
      <c r="B335" t="s">
        <v>367</v>
      </c>
      <c r="C335" t="s">
        <v>362</v>
      </c>
      <c r="E335">
        <v>2009</v>
      </c>
      <c r="F335" t="s">
        <v>103</v>
      </c>
      <c r="G335" t="s">
        <v>513</v>
      </c>
      <c r="H335" s="13">
        <v>55.62</v>
      </c>
      <c r="I335" s="13">
        <v>-1.63</v>
      </c>
      <c r="J335" s="13">
        <v>1971</v>
      </c>
      <c r="K335" s="13">
        <v>2006</v>
      </c>
      <c r="L335" s="13">
        <f t="shared" si="12"/>
        <v>36</v>
      </c>
      <c r="M335" t="s">
        <v>369</v>
      </c>
      <c r="N335" t="s">
        <v>380</v>
      </c>
      <c r="O335" t="s">
        <v>380</v>
      </c>
      <c r="P335" t="s">
        <v>136</v>
      </c>
      <c r="Q335" t="s">
        <v>87</v>
      </c>
      <c r="V335">
        <v>6.7</v>
      </c>
      <c r="W335" t="s">
        <v>24</v>
      </c>
      <c r="X335" t="s">
        <v>3</v>
      </c>
      <c r="Y335" t="s">
        <v>523</v>
      </c>
      <c r="Z335" s="4" t="str">
        <f t="shared" si="11"/>
        <v>Y</v>
      </c>
    </row>
    <row r="336" spans="1:92" s="24" customFormat="1" x14ac:dyDescent="0.2">
      <c r="A336"/>
      <c r="B336" t="s">
        <v>366</v>
      </c>
      <c r="C336" t="s">
        <v>962</v>
      </c>
      <c r="D336"/>
      <c r="E336">
        <v>2019</v>
      </c>
      <c r="F336" t="s">
        <v>963</v>
      </c>
      <c r="G336" t="s">
        <v>514</v>
      </c>
      <c r="H336" s="13">
        <v>-29.858699999999999</v>
      </c>
      <c r="I336" s="13">
        <v>31.021799999999999</v>
      </c>
      <c r="J336" s="13">
        <v>1947</v>
      </c>
      <c r="K336" s="13">
        <v>2012</v>
      </c>
      <c r="L336" s="13">
        <f t="shared" si="12"/>
        <v>66</v>
      </c>
      <c r="M336" t="s">
        <v>369</v>
      </c>
      <c r="N336" t="s">
        <v>51</v>
      </c>
      <c r="O336" t="s">
        <v>964</v>
      </c>
      <c r="P336" t="s">
        <v>965</v>
      </c>
      <c r="Q336" t="s">
        <v>209</v>
      </c>
      <c r="R336" t="s">
        <v>853</v>
      </c>
      <c r="S336" t="s">
        <v>1076</v>
      </c>
      <c r="T336">
        <v>161</v>
      </c>
      <c r="U336" t="s">
        <v>1069</v>
      </c>
      <c r="V336">
        <v>1.3</v>
      </c>
      <c r="W336" t="s">
        <v>24</v>
      </c>
      <c r="X336" t="s">
        <v>3</v>
      </c>
      <c r="Y336" t="s">
        <v>366</v>
      </c>
      <c r="Z336" s="4" t="str">
        <f t="shared" si="11"/>
        <v>Y</v>
      </c>
      <c r="AA336" t="s">
        <v>1142</v>
      </c>
      <c r="AB336" t="s">
        <v>1141</v>
      </c>
      <c r="AC336" t="s">
        <v>1140</v>
      </c>
      <c r="AD336" t="s">
        <v>1100</v>
      </c>
      <c r="AE336" t="s">
        <v>1157</v>
      </c>
      <c r="AF336" t="s">
        <v>3</v>
      </c>
      <c r="AG336" t="s">
        <v>1100</v>
      </c>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row>
    <row r="337" spans="1:92" x14ac:dyDescent="0.2">
      <c r="B337" t="s">
        <v>366</v>
      </c>
      <c r="C337" t="s">
        <v>993</v>
      </c>
      <c r="E337">
        <v>2019</v>
      </c>
      <c r="F337" t="s">
        <v>503</v>
      </c>
      <c r="G337" t="s">
        <v>513</v>
      </c>
      <c r="H337" s="13">
        <f>58+48/60</f>
        <v>58.8</v>
      </c>
      <c r="I337" s="13">
        <f>17+38/60</f>
        <v>17.633333333333333</v>
      </c>
      <c r="J337" s="13">
        <v>1977</v>
      </c>
      <c r="K337" s="13">
        <v>2011</v>
      </c>
      <c r="L337" s="13">
        <f t="shared" si="12"/>
        <v>35</v>
      </c>
      <c r="M337" t="s">
        <v>369</v>
      </c>
      <c r="N337" t="s">
        <v>299</v>
      </c>
      <c r="O337" t="s">
        <v>381</v>
      </c>
      <c r="P337" t="s">
        <v>381</v>
      </c>
      <c r="Q337" t="s">
        <v>381</v>
      </c>
      <c r="R337" t="s">
        <v>864</v>
      </c>
      <c r="S337" t="s">
        <v>1076</v>
      </c>
      <c r="T337">
        <v>108</v>
      </c>
      <c r="U337" t="s">
        <v>901</v>
      </c>
      <c r="V337">
        <f>-0.468*10</f>
        <v>-4.6800000000000006</v>
      </c>
      <c r="W337" t="s">
        <v>3</v>
      </c>
      <c r="X337" t="s">
        <v>3</v>
      </c>
      <c r="Y337" t="s">
        <v>366</v>
      </c>
      <c r="Z337" s="4" t="str">
        <f t="shared" si="11"/>
        <v>Y</v>
      </c>
      <c r="AA337" t="s">
        <v>1148</v>
      </c>
      <c r="AB337" t="s">
        <v>1149</v>
      </c>
      <c r="AC337" t="s">
        <v>994</v>
      </c>
      <c r="AE337" t="s">
        <v>1153</v>
      </c>
      <c r="AF337" t="s">
        <v>3</v>
      </c>
      <c r="AG337" t="s">
        <v>1100</v>
      </c>
      <c r="CD337">
        <v>198.539325842696</v>
      </c>
    </row>
    <row r="338" spans="1:92" s="24" customFormat="1" x14ac:dyDescent="0.2">
      <c r="A338"/>
      <c r="B338" t="s">
        <v>366</v>
      </c>
      <c r="C338" t="s">
        <v>993</v>
      </c>
      <c r="D338"/>
      <c r="E338">
        <v>2019</v>
      </c>
      <c r="F338" t="s">
        <v>503</v>
      </c>
      <c r="G338" t="s">
        <v>513</v>
      </c>
      <c r="H338" s="13">
        <f>58+48/60</f>
        <v>58.8</v>
      </c>
      <c r="I338" s="13">
        <f>17+38/60</f>
        <v>17.633333333333333</v>
      </c>
      <c r="J338" s="13">
        <v>1977</v>
      </c>
      <c r="K338" s="13">
        <v>2011</v>
      </c>
      <c r="L338" s="13">
        <f t="shared" si="12"/>
        <v>35</v>
      </c>
      <c r="M338" t="s">
        <v>369</v>
      </c>
      <c r="N338" t="s">
        <v>299</v>
      </c>
      <c r="O338" t="s">
        <v>375</v>
      </c>
      <c r="P338" t="s">
        <v>375</v>
      </c>
      <c r="Q338" t="s">
        <v>375</v>
      </c>
      <c r="R338" t="s">
        <v>864</v>
      </c>
      <c r="S338" t="s">
        <v>1076</v>
      </c>
      <c r="T338">
        <v>124</v>
      </c>
      <c r="U338" t="s">
        <v>901</v>
      </c>
      <c r="V338">
        <f>-0.436*10</f>
        <v>-4.3600000000000003</v>
      </c>
      <c r="W338" t="s">
        <v>3</v>
      </c>
      <c r="X338" t="s">
        <v>3</v>
      </c>
      <c r="Y338" t="s">
        <v>366</v>
      </c>
      <c r="Z338" s="4" t="str">
        <f t="shared" si="11"/>
        <v>Y</v>
      </c>
      <c r="AA338" t="s">
        <v>1148</v>
      </c>
      <c r="AB338" t="s">
        <v>1149</v>
      </c>
      <c r="AC338" t="s">
        <v>995</v>
      </c>
      <c r="AD338"/>
      <c r="AE338" t="s">
        <v>1153</v>
      </c>
      <c r="AF338" t="s">
        <v>3</v>
      </c>
      <c r="AG338" t="s">
        <v>1100</v>
      </c>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v>200.112359550561</v>
      </c>
      <c r="CE338"/>
      <c r="CF338"/>
      <c r="CG338"/>
      <c r="CH338"/>
      <c r="CI338"/>
      <c r="CJ338"/>
      <c r="CK338"/>
      <c r="CL338"/>
      <c r="CM338"/>
      <c r="CN338"/>
    </row>
    <row r="339" spans="1:92" x14ac:dyDescent="0.2">
      <c r="B339" t="s">
        <v>366</v>
      </c>
      <c r="C339" t="s">
        <v>993</v>
      </c>
      <c r="E339">
        <v>2019</v>
      </c>
      <c r="F339" t="s">
        <v>503</v>
      </c>
      <c r="G339" t="s">
        <v>513</v>
      </c>
      <c r="H339" s="13">
        <f>58+35.9/60</f>
        <v>58.598333333333336</v>
      </c>
      <c r="I339" s="13">
        <f>18+14.21/60</f>
        <v>18.236833333333333</v>
      </c>
      <c r="J339" s="13">
        <v>1990</v>
      </c>
      <c r="K339" s="13">
        <v>2011</v>
      </c>
      <c r="L339" s="13">
        <f t="shared" si="12"/>
        <v>22</v>
      </c>
      <c r="M339" t="s">
        <v>369</v>
      </c>
      <c r="N339" t="s">
        <v>299</v>
      </c>
      <c r="O339" t="s">
        <v>381</v>
      </c>
      <c r="P339" t="s">
        <v>381</v>
      </c>
      <c r="Q339" t="s">
        <v>381</v>
      </c>
      <c r="R339" t="s">
        <v>864</v>
      </c>
      <c r="S339" t="s">
        <v>1076</v>
      </c>
      <c r="T339">
        <v>106</v>
      </c>
      <c r="U339" t="s">
        <v>901</v>
      </c>
      <c r="V339">
        <f>-0.578*10</f>
        <v>-5.7799999999999994</v>
      </c>
      <c r="W339" t="s">
        <v>3</v>
      </c>
      <c r="X339" t="s">
        <v>3</v>
      </c>
      <c r="Y339" t="s">
        <v>366</v>
      </c>
      <c r="Z339" s="4" t="str">
        <f t="shared" si="11"/>
        <v>Y</v>
      </c>
      <c r="AA339" t="s">
        <v>1148</v>
      </c>
      <c r="AB339" t="s">
        <v>1149</v>
      </c>
      <c r="AC339" t="s">
        <v>996</v>
      </c>
      <c r="AE339" t="s">
        <v>1153</v>
      </c>
      <c r="AF339" t="s">
        <v>24</v>
      </c>
      <c r="AG339" t="s">
        <v>1100</v>
      </c>
      <c r="CD339">
        <v>213.08988764044901</v>
      </c>
    </row>
    <row r="340" spans="1:92" x14ac:dyDescent="0.2">
      <c r="B340" t="s">
        <v>366</v>
      </c>
      <c r="C340" t="s">
        <v>993</v>
      </c>
      <c r="E340">
        <v>2019</v>
      </c>
      <c r="F340" t="s">
        <v>503</v>
      </c>
      <c r="G340" t="s">
        <v>513</v>
      </c>
      <c r="H340" s="13">
        <f>58+35.9/60</f>
        <v>58.598333333333336</v>
      </c>
      <c r="I340" s="13">
        <f>18+14.21/60</f>
        <v>18.236833333333333</v>
      </c>
      <c r="J340" s="13">
        <v>1990</v>
      </c>
      <c r="K340" s="13">
        <v>2011</v>
      </c>
      <c r="L340" s="13">
        <f t="shared" si="12"/>
        <v>22</v>
      </c>
      <c r="M340" t="s">
        <v>369</v>
      </c>
      <c r="N340" t="s">
        <v>299</v>
      </c>
      <c r="O340" t="s">
        <v>375</v>
      </c>
      <c r="P340" t="s">
        <v>375</v>
      </c>
      <c r="Q340" t="s">
        <v>375</v>
      </c>
      <c r="R340" t="s">
        <v>864</v>
      </c>
      <c r="S340" t="s">
        <v>1076</v>
      </c>
      <c r="T340">
        <v>125</v>
      </c>
      <c r="U340" t="s">
        <v>901</v>
      </c>
      <c r="V340">
        <f>-0.316*10</f>
        <v>-3.16</v>
      </c>
      <c r="W340" t="s">
        <v>3</v>
      </c>
      <c r="X340" t="s">
        <v>3</v>
      </c>
      <c r="Y340" t="s">
        <v>366</v>
      </c>
      <c r="Z340" s="4" t="str">
        <f t="shared" si="11"/>
        <v>Y</v>
      </c>
      <c r="AA340" t="s">
        <v>1148</v>
      </c>
      <c r="AB340" t="s">
        <v>1149</v>
      </c>
      <c r="AC340" t="s">
        <v>1073</v>
      </c>
      <c r="AE340" t="s">
        <v>1153</v>
      </c>
      <c r="AF340" t="s">
        <v>24</v>
      </c>
      <c r="AG340" t="s">
        <v>1100</v>
      </c>
      <c r="CD340">
        <v>206.40449438202199</v>
      </c>
    </row>
    <row r="341" spans="1:92" x14ac:dyDescent="0.2">
      <c r="B341" t="s">
        <v>366</v>
      </c>
      <c r="C341" s="6" t="s">
        <v>942</v>
      </c>
      <c r="D341" s="6"/>
      <c r="E341">
        <v>2019</v>
      </c>
      <c r="F341" t="s">
        <v>943</v>
      </c>
      <c r="G341" t="s">
        <v>513</v>
      </c>
      <c r="H341" s="13">
        <v>35</v>
      </c>
      <c r="I341" s="13">
        <v>141</v>
      </c>
      <c r="J341" s="13">
        <v>1978</v>
      </c>
      <c r="K341" s="13">
        <v>2017</v>
      </c>
      <c r="L341" s="13">
        <f t="shared" si="12"/>
        <v>40</v>
      </c>
      <c r="M341" t="s">
        <v>369</v>
      </c>
      <c r="N341" t="s">
        <v>51</v>
      </c>
      <c r="O341" t="s">
        <v>51</v>
      </c>
      <c r="P341" t="s">
        <v>944</v>
      </c>
      <c r="Q341" t="s">
        <v>236</v>
      </c>
      <c r="R341" t="s">
        <v>838</v>
      </c>
      <c r="S341" t="s">
        <v>1076</v>
      </c>
      <c r="T341">
        <v>105</v>
      </c>
      <c r="U341" t="s">
        <v>901</v>
      </c>
      <c r="V341">
        <f>0.004*30.25*10</f>
        <v>1.21</v>
      </c>
      <c r="W341" t="s">
        <v>24</v>
      </c>
      <c r="X341" t="s">
        <v>3</v>
      </c>
      <c r="Y341" t="s">
        <v>366</v>
      </c>
      <c r="Z341" s="4" t="str">
        <f t="shared" si="11"/>
        <v>Y</v>
      </c>
      <c r="AA341" t="s">
        <v>1121</v>
      </c>
      <c r="AB341" t="s">
        <v>1159</v>
      </c>
      <c r="AC341" t="s">
        <v>1093</v>
      </c>
      <c r="AD341" s="15" t="s">
        <v>1100</v>
      </c>
      <c r="AE341" s="15" t="s">
        <v>1153</v>
      </c>
      <c r="AF341" s="15" t="s">
        <v>3</v>
      </c>
      <c r="AG341" t="s">
        <v>1100</v>
      </c>
    </row>
    <row r="342" spans="1:92" x14ac:dyDescent="0.2">
      <c r="B342" t="s">
        <v>366</v>
      </c>
      <c r="C342" s="6" t="s">
        <v>942</v>
      </c>
      <c r="D342" s="6"/>
      <c r="E342">
        <v>2019</v>
      </c>
      <c r="F342" t="s">
        <v>943</v>
      </c>
      <c r="G342" t="s">
        <v>513</v>
      </c>
      <c r="H342" s="13">
        <v>35</v>
      </c>
      <c r="I342" s="13">
        <v>141</v>
      </c>
      <c r="J342" s="13">
        <v>1978</v>
      </c>
      <c r="K342" s="13">
        <v>2017</v>
      </c>
      <c r="L342" s="13">
        <f t="shared" si="12"/>
        <v>40</v>
      </c>
      <c r="M342" t="s">
        <v>369</v>
      </c>
      <c r="N342" t="s">
        <v>51</v>
      </c>
      <c r="O342" t="s">
        <v>51</v>
      </c>
      <c r="P342" t="s">
        <v>944</v>
      </c>
      <c r="Q342" t="s">
        <v>236</v>
      </c>
      <c r="R342" t="s">
        <v>838</v>
      </c>
      <c r="S342" t="s">
        <v>1120</v>
      </c>
      <c r="T342">
        <v>105</v>
      </c>
      <c r="U342" t="s">
        <v>900</v>
      </c>
      <c r="V342">
        <f>0.024*30.25*10</f>
        <v>7.26</v>
      </c>
      <c r="W342" t="s">
        <v>24</v>
      </c>
      <c r="X342" t="s">
        <v>3</v>
      </c>
      <c r="Y342" t="s">
        <v>366</v>
      </c>
      <c r="Z342" s="4" t="str">
        <f t="shared" si="11"/>
        <v>Y</v>
      </c>
      <c r="AA342" t="s">
        <v>1121</v>
      </c>
      <c r="AB342" t="s">
        <v>1160</v>
      </c>
      <c r="AC342" t="s">
        <v>1094</v>
      </c>
      <c r="AD342" s="15" t="s">
        <v>1100</v>
      </c>
      <c r="AE342" s="15" t="s">
        <v>1153</v>
      </c>
      <c r="AF342" s="15" t="s">
        <v>3</v>
      </c>
      <c r="AG342" t="s">
        <v>1100</v>
      </c>
    </row>
    <row r="343" spans="1:92" s="24" customFormat="1" x14ac:dyDescent="0.2">
      <c r="A343"/>
      <c r="B343" t="s">
        <v>366</v>
      </c>
      <c r="C343" s="6" t="s">
        <v>942</v>
      </c>
      <c r="D343" s="6"/>
      <c r="E343">
        <v>2019</v>
      </c>
      <c r="F343" t="s">
        <v>943</v>
      </c>
      <c r="G343" t="s">
        <v>513</v>
      </c>
      <c r="H343" s="13">
        <v>35</v>
      </c>
      <c r="I343" s="13">
        <v>141</v>
      </c>
      <c r="J343" s="13">
        <v>1978</v>
      </c>
      <c r="K343" s="13">
        <v>2017</v>
      </c>
      <c r="L343" s="13">
        <f t="shared" si="12"/>
        <v>40</v>
      </c>
      <c r="M343" t="s">
        <v>369</v>
      </c>
      <c r="N343" t="s">
        <v>51</v>
      </c>
      <c r="O343" t="s">
        <v>51</v>
      </c>
      <c r="P343" t="s">
        <v>944</v>
      </c>
      <c r="Q343" t="s">
        <v>236</v>
      </c>
      <c r="R343" t="s">
        <v>838</v>
      </c>
      <c r="S343" t="s">
        <v>620</v>
      </c>
      <c r="T343" t="s">
        <v>165</v>
      </c>
      <c r="U343" t="s">
        <v>901</v>
      </c>
      <c r="V343">
        <f>30.25*((0.02*2017-38)-(0.02*1978-38))</f>
        <v>23.595000000000034</v>
      </c>
      <c r="W343" t="s">
        <v>165</v>
      </c>
      <c r="X343" t="s">
        <v>3</v>
      </c>
      <c r="Y343" t="s">
        <v>366</v>
      </c>
      <c r="Z343" s="4" t="str">
        <f t="shared" si="11"/>
        <v>Y</v>
      </c>
      <c r="AA343" t="s">
        <v>1121</v>
      </c>
      <c r="AB343" t="s">
        <v>1161</v>
      </c>
      <c r="AC343" t="s">
        <v>1092</v>
      </c>
      <c r="AD343" s="15" t="s">
        <v>1100</v>
      </c>
      <c r="AE343" s="15" t="s">
        <v>1153</v>
      </c>
      <c r="AF343" s="15" t="s">
        <v>3</v>
      </c>
      <c r="AG343" t="s">
        <v>1100</v>
      </c>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row>
    <row r="344" spans="1:92" x14ac:dyDescent="0.2">
      <c r="B344" t="s">
        <v>366</v>
      </c>
      <c r="C344" t="s">
        <v>925</v>
      </c>
      <c r="E344">
        <v>2019</v>
      </c>
      <c r="F344" t="s">
        <v>926</v>
      </c>
      <c r="G344" t="s">
        <v>514</v>
      </c>
      <c r="H344" s="13">
        <v>-12.5746</v>
      </c>
      <c r="I344" s="13">
        <v>-38.005000000000003</v>
      </c>
      <c r="J344" s="13">
        <v>1989</v>
      </c>
      <c r="K344" s="13">
        <v>2014</v>
      </c>
      <c r="L344" s="13">
        <f t="shared" si="12"/>
        <v>26</v>
      </c>
      <c r="M344" t="s">
        <v>369</v>
      </c>
      <c r="N344" t="s">
        <v>970</v>
      </c>
      <c r="O344" t="s">
        <v>378</v>
      </c>
      <c r="P344" t="s">
        <v>927</v>
      </c>
      <c r="Q344" t="s">
        <v>928</v>
      </c>
      <c r="R344" t="s">
        <v>923</v>
      </c>
      <c r="S344" t="s">
        <v>620</v>
      </c>
      <c r="T344" t="s">
        <v>165</v>
      </c>
      <c r="U344" t="s">
        <v>165</v>
      </c>
      <c r="V344">
        <v>31.1</v>
      </c>
      <c r="W344" t="s">
        <v>165</v>
      </c>
      <c r="X344" t="s">
        <v>24</v>
      </c>
      <c r="Y344" t="s">
        <v>366</v>
      </c>
      <c r="Z344" s="4" t="str">
        <f t="shared" si="11"/>
        <v>Y</v>
      </c>
      <c r="AA344" t="s">
        <v>1138</v>
      </c>
      <c r="AB344" t="s">
        <v>1139</v>
      </c>
      <c r="AC344" t="s">
        <v>1079</v>
      </c>
      <c r="AD344" t="s">
        <v>1100</v>
      </c>
      <c r="AE344" t="s">
        <v>1155</v>
      </c>
      <c r="AF344" t="s">
        <v>3</v>
      </c>
      <c r="AG344" t="s">
        <v>1100</v>
      </c>
    </row>
    <row r="345" spans="1:92" x14ac:dyDescent="0.2">
      <c r="B345" t="s">
        <v>366</v>
      </c>
      <c r="C345" t="s">
        <v>925</v>
      </c>
      <c r="E345">
        <v>2019</v>
      </c>
      <c r="F345" t="s">
        <v>926</v>
      </c>
      <c r="G345" t="s">
        <v>514</v>
      </c>
      <c r="H345" s="13">
        <v>-12.5746</v>
      </c>
      <c r="I345" s="13">
        <v>-38.005000000000003</v>
      </c>
      <c r="J345" s="13">
        <v>1989</v>
      </c>
      <c r="K345" s="13">
        <v>2014</v>
      </c>
      <c r="L345" s="13">
        <f t="shared" si="12"/>
        <v>26</v>
      </c>
      <c r="M345" t="s">
        <v>369</v>
      </c>
      <c r="N345" t="s">
        <v>970</v>
      </c>
      <c r="O345" t="s">
        <v>378</v>
      </c>
      <c r="P345" t="s">
        <v>927</v>
      </c>
      <c r="Q345" t="s">
        <v>928</v>
      </c>
      <c r="R345" t="s">
        <v>924</v>
      </c>
      <c r="S345" t="s">
        <v>1076</v>
      </c>
      <c r="T345">
        <v>250</v>
      </c>
      <c r="U345" t="s">
        <v>900</v>
      </c>
      <c r="V345">
        <v>-2.2000000000000002</v>
      </c>
      <c r="W345" t="s">
        <v>3</v>
      </c>
      <c r="X345" t="s">
        <v>3</v>
      </c>
      <c r="Y345" t="s">
        <v>366</v>
      </c>
      <c r="Z345" s="4" t="str">
        <f t="shared" si="11"/>
        <v>Y</v>
      </c>
      <c r="AA345" t="s">
        <v>1121</v>
      </c>
      <c r="AB345" t="s">
        <v>1137</v>
      </c>
      <c r="AC345" t="s">
        <v>1078</v>
      </c>
      <c r="AD345" t="s">
        <v>1100</v>
      </c>
      <c r="AE345" t="s">
        <v>1155</v>
      </c>
      <c r="AF345" t="s">
        <v>3</v>
      </c>
      <c r="AG345" t="s">
        <v>1100</v>
      </c>
    </row>
    <row r="346" spans="1:92" x14ac:dyDescent="0.2">
      <c r="B346" t="s">
        <v>366</v>
      </c>
      <c r="C346" t="s">
        <v>109</v>
      </c>
      <c r="E346">
        <v>2013</v>
      </c>
      <c r="F346" t="s">
        <v>840</v>
      </c>
      <c r="G346" t="s">
        <v>513</v>
      </c>
      <c r="H346" s="13">
        <v>43</v>
      </c>
      <c r="I346" s="13">
        <v>-51</v>
      </c>
      <c r="J346" s="13">
        <v>1975</v>
      </c>
      <c r="K346" s="13">
        <v>2009</v>
      </c>
      <c r="L346" s="13">
        <f t="shared" si="12"/>
        <v>35</v>
      </c>
      <c r="N346" t="s">
        <v>51</v>
      </c>
      <c r="O346" t="s">
        <v>51</v>
      </c>
      <c r="P346" t="s">
        <v>866</v>
      </c>
      <c r="Q346" t="s">
        <v>13</v>
      </c>
      <c r="R346" t="s">
        <v>838</v>
      </c>
      <c r="V346">
        <v>6.35</v>
      </c>
      <c r="W346" t="s">
        <v>24</v>
      </c>
      <c r="X346" s="2" t="s">
        <v>3</v>
      </c>
      <c r="Y346" t="s">
        <v>366</v>
      </c>
      <c r="Z346" s="4" t="str">
        <f t="shared" si="11"/>
        <v>Y</v>
      </c>
      <c r="AC346" t="s">
        <v>842</v>
      </c>
    </row>
    <row r="347" spans="1:92" x14ac:dyDescent="0.2">
      <c r="B347" t="s">
        <v>366</v>
      </c>
      <c r="C347" t="s">
        <v>715</v>
      </c>
      <c r="E347">
        <v>2014</v>
      </c>
      <c r="F347" t="s">
        <v>645</v>
      </c>
      <c r="G347" t="s">
        <v>513</v>
      </c>
      <c r="H347" s="13">
        <v>55.333333333333336</v>
      </c>
      <c r="I347" s="13">
        <v>-1.5666666666666667</v>
      </c>
      <c r="J347" s="13">
        <v>1985</v>
      </c>
      <c r="K347" s="13">
        <v>1994</v>
      </c>
      <c r="L347" s="13">
        <f t="shared" si="12"/>
        <v>10</v>
      </c>
      <c r="N347" t="s">
        <v>51</v>
      </c>
      <c r="O347" t="s">
        <v>51</v>
      </c>
      <c r="P347" t="s">
        <v>130</v>
      </c>
      <c r="Q347" t="s">
        <v>50</v>
      </c>
      <c r="R347" t="s">
        <v>843</v>
      </c>
      <c r="V347" t="s">
        <v>165</v>
      </c>
      <c r="W347" t="s">
        <v>3</v>
      </c>
      <c r="X347" t="s">
        <v>3</v>
      </c>
      <c r="Y347" t="s">
        <v>366</v>
      </c>
      <c r="Z347" s="4" t="str">
        <f t="shared" si="11"/>
        <v>N</v>
      </c>
      <c r="AC347" t="s">
        <v>784</v>
      </c>
    </row>
    <row r="348" spans="1:92" x14ac:dyDescent="0.2">
      <c r="B348" t="s">
        <v>366</v>
      </c>
      <c r="C348" t="s">
        <v>716</v>
      </c>
      <c r="E348">
        <v>2014</v>
      </c>
      <c r="F348" t="s">
        <v>646</v>
      </c>
      <c r="G348" t="s">
        <v>513</v>
      </c>
      <c r="H348" s="13">
        <v>50.9</v>
      </c>
      <c r="I348" s="13">
        <v>-1.4333333333333333</v>
      </c>
      <c r="J348" s="13">
        <v>1992</v>
      </c>
      <c r="K348" s="13">
        <v>1998</v>
      </c>
      <c r="L348" s="13">
        <f t="shared" si="12"/>
        <v>7</v>
      </c>
      <c r="N348" t="s">
        <v>51</v>
      </c>
      <c r="O348" t="s">
        <v>51</v>
      </c>
      <c r="P348" t="s">
        <v>130</v>
      </c>
      <c r="Q348" t="s">
        <v>50</v>
      </c>
      <c r="R348" t="s">
        <v>843</v>
      </c>
      <c r="V348" t="s">
        <v>165</v>
      </c>
      <c r="W348" t="s">
        <v>3</v>
      </c>
      <c r="X348" t="s">
        <v>3</v>
      </c>
      <c r="Y348" t="s">
        <v>366</v>
      </c>
      <c r="Z348" s="4" t="str">
        <f t="shared" si="11"/>
        <v>N</v>
      </c>
      <c r="AC348" t="s">
        <v>785</v>
      </c>
    </row>
    <row r="349" spans="1:92" x14ac:dyDescent="0.2">
      <c r="B349" t="s">
        <v>366</v>
      </c>
      <c r="C349" t="s">
        <v>717</v>
      </c>
      <c r="E349">
        <v>2014</v>
      </c>
      <c r="F349" t="s">
        <v>647</v>
      </c>
      <c r="G349" t="s">
        <v>513</v>
      </c>
      <c r="H349" s="13">
        <v>50.35</v>
      </c>
      <c r="I349" s="13">
        <v>-4.166666666666667</v>
      </c>
      <c r="J349" s="13">
        <v>2002</v>
      </c>
      <c r="K349" s="13">
        <v>2010</v>
      </c>
      <c r="L349" s="13">
        <f t="shared" si="12"/>
        <v>9</v>
      </c>
      <c r="N349" t="s">
        <v>51</v>
      </c>
      <c r="O349" t="s">
        <v>51</v>
      </c>
      <c r="P349" t="s">
        <v>130</v>
      </c>
      <c r="Q349" t="s">
        <v>50</v>
      </c>
      <c r="R349" t="s">
        <v>843</v>
      </c>
      <c r="V349" t="s">
        <v>165</v>
      </c>
      <c r="W349" t="s">
        <v>3</v>
      </c>
      <c r="X349" t="s">
        <v>3</v>
      </c>
      <c r="Y349" t="s">
        <v>366</v>
      </c>
      <c r="Z349" s="4" t="str">
        <f t="shared" si="11"/>
        <v>N</v>
      </c>
      <c r="AC349" t="s">
        <v>786</v>
      </c>
    </row>
    <row r="350" spans="1:92" x14ac:dyDescent="0.2">
      <c r="B350" t="s">
        <v>366</v>
      </c>
      <c r="C350" t="s">
        <v>718</v>
      </c>
      <c r="E350">
        <v>2014</v>
      </c>
      <c r="F350" t="s">
        <v>648</v>
      </c>
      <c r="G350" t="s">
        <v>513</v>
      </c>
      <c r="H350" s="13">
        <v>55.016666666666666</v>
      </c>
      <c r="I350" s="13">
        <v>-1.4166666666666667</v>
      </c>
      <c r="J350" s="13">
        <v>2004</v>
      </c>
      <c r="K350" s="13">
        <v>2010</v>
      </c>
      <c r="L350" s="13">
        <f t="shared" si="12"/>
        <v>7</v>
      </c>
      <c r="N350" t="s">
        <v>51</v>
      </c>
      <c r="O350" t="s">
        <v>51</v>
      </c>
      <c r="P350" t="s">
        <v>130</v>
      </c>
      <c r="Q350" t="s">
        <v>50</v>
      </c>
      <c r="R350" t="s">
        <v>843</v>
      </c>
      <c r="V350" t="s">
        <v>165</v>
      </c>
      <c r="W350" t="s">
        <v>3</v>
      </c>
      <c r="X350" t="s">
        <v>3</v>
      </c>
      <c r="Y350" t="s">
        <v>366</v>
      </c>
      <c r="Z350" s="4" t="str">
        <f t="shared" si="11"/>
        <v>N</v>
      </c>
      <c r="AC350" t="s">
        <v>787</v>
      </c>
    </row>
    <row r="351" spans="1:92" x14ac:dyDescent="0.2">
      <c r="B351" t="s">
        <v>366</v>
      </c>
      <c r="C351" t="s">
        <v>719</v>
      </c>
      <c r="E351">
        <v>2014</v>
      </c>
      <c r="F351" t="s">
        <v>649</v>
      </c>
      <c r="G351" t="s">
        <v>513</v>
      </c>
      <c r="H351" s="13">
        <v>54.466666666666669</v>
      </c>
      <c r="I351" s="13">
        <v>-0.6166666666666667</v>
      </c>
      <c r="J351" s="13">
        <v>1981</v>
      </c>
      <c r="K351" s="13">
        <v>2008</v>
      </c>
      <c r="L351" s="13">
        <f t="shared" si="12"/>
        <v>28</v>
      </c>
      <c r="N351" t="s">
        <v>51</v>
      </c>
      <c r="O351" t="s">
        <v>51</v>
      </c>
      <c r="P351" t="s">
        <v>130</v>
      </c>
      <c r="Q351" t="s">
        <v>50</v>
      </c>
      <c r="R351" t="s">
        <v>843</v>
      </c>
      <c r="V351" t="s">
        <v>165</v>
      </c>
      <c r="W351" t="s">
        <v>3</v>
      </c>
      <c r="X351" t="s">
        <v>3</v>
      </c>
      <c r="Y351" t="s">
        <v>366</v>
      </c>
      <c r="Z351" s="4" t="str">
        <f t="shared" si="11"/>
        <v>Y</v>
      </c>
      <c r="AC351" t="s">
        <v>788</v>
      </c>
    </row>
    <row r="352" spans="1:92" x14ac:dyDescent="0.2">
      <c r="B352" t="s">
        <v>366</v>
      </c>
      <c r="C352" t="s">
        <v>720</v>
      </c>
      <c r="E352">
        <v>2014</v>
      </c>
      <c r="F352" t="s">
        <v>650</v>
      </c>
      <c r="G352" t="s">
        <v>513</v>
      </c>
      <c r="H352" s="13">
        <v>53.333333333333336</v>
      </c>
      <c r="I352" s="13">
        <v>-3.2166666666666668</v>
      </c>
      <c r="J352" s="13">
        <v>2000</v>
      </c>
      <c r="K352" s="13">
        <v>2010</v>
      </c>
      <c r="L352" s="13">
        <f t="shared" si="12"/>
        <v>11</v>
      </c>
      <c r="N352" t="s">
        <v>51</v>
      </c>
      <c r="O352" t="s">
        <v>51</v>
      </c>
      <c r="P352" t="s">
        <v>130</v>
      </c>
      <c r="Q352" t="s">
        <v>50</v>
      </c>
      <c r="R352" t="s">
        <v>843</v>
      </c>
      <c r="V352" t="s">
        <v>165</v>
      </c>
      <c r="W352" t="s">
        <v>3</v>
      </c>
      <c r="X352" t="s">
        <v>3</v>
      </c>
      <c r="Y352" t="s">
        <v>366</v>
      </c>
      <c r="Z352" s="4" t="str">
        <f t="shared" si="11"/>
        <v>N</v>
      </c>
      <c r="AC352" t="s">
        <v>789</v>
      </c>
    </row>
    <row r="353" spans="1:92" x14ac:dyDescent="0.2">
      <c r="B353" t="s">
        <v>366</v>
      </c>
      <c r="C353" t="s">
        <v>721</v>
      </c>
      <c r="E353">
        <v>2014</v>
      </c>
      <c r="F353" t="s">
        <v>651</v>
      </c>
      <c r="G353" t="s">
        <v>513</v>
      </c>
      <c r="H353" s="13">
        <v>52.95</v>
      </c>
      <c r="I353" s="13">
        <v>-3.0166666666666666</v>
      </c>
      <c r="J353" s="13">
        <v>2004</v>
      </c>
      <c r="K353" s="13">
        <v>2010</v>
      </c>
      <c r="L353" s="13">
        <f t="shared" si="12"/>
        <v>7</v>
      </c>
      <c r="N353" t="s">
        <v>51</v>
      </c>
      <c r="O353" t="s">
        <v>51</v>
      </c>
      <c r="P353" t="s">
        <v>130</v>
      </c>
      <c r="Q353" t="s">
        <v>50</v>
      </c>
      <c r="R353" t="s">
        <v>843</v>
      </c>
      <c r="V353" t="s">
        <v>165</v>
      </c>
      <c r="W353" t="s">
        <v>3</v>
      </c>
      <c r="X353" t="s">
        <v>3</v>
      </c>
      <c r="Y353" t="s">
        <v>366</v>
      </c>
      <c r="Z353" s="4" t="str">
        <f t="shared" si="11"/>
        <v>N</v>
      </c>
      <c r="AC353" t="s">
        <v>790</v>
      </c>
    </row>
    <row r="354" spans="1:92" x14ac:dyDescent="0.2">
      <c r="B354" t="s">
        <v>366</v>
      </c>
      <c r="C354" t="s">
        <v>722</v>
      </c>
      <c r="E354">
        <v>2014</v>
      </c>
      <c r="F354" t="s">
        <v>654</v>
      </c>
      <c r="G354" t="s">
        <v>513</v>
      </c>
      <c r="H354" s="13">
        <v>48.633333333333333</v>
      </c>
      <c r="I354" s="13">
        <v>-1.3666666666666667</v>
      </c>
      <c r="J354" s="13">
        <v>1985</v>
      </c>
      <c r="K354" s="13">
        <v>2010</v>
      </c>
      <c r="L354" s="13">
        <f t="shared" si="12"/>
        <v>26</v>
      </c>
      <c r="N354" t="s">
        <v>51</v>
      </c>
      <c r="O354" t="s">
        <v>51</v>
      </c>
      <c r="P354" t="s">
        <v>130</v>
      </c>
      <c r="Q354" t="s">
        <v>50</v>
      </c>
      <c r="R354" t="s">
        <v>843</v>
      </c>
      <c r="V354" t="s">
        <v>165</v>
      </c>
      <c r="W354" t="s">
        <v>3</v>
      </c>
      <c r="X354" t="s">
        <v>3</v>
      </c>
      <c r="Y354" t="s">
        <v>366</v>
      </c>
      <c r="Z354" s="4" t="str">
        <f t="shared" si="11"/>
        <v>Y</v>
      </c>
      <c r="AC354" t="s">
        <v>791</v>
      </c>
    </row>
    <row r="355" spans="1:92" x14ac:dyDescent="0.2">
      <c r="B355" t="s">
        <v>366</v>
      </c>
      <c r="C355" t="s">
        <v>723</v>
      </c>
      <c r="E355">
        <v>2014</v>
      </c>
      <c r="F355" t="s">
        <v>652</v>
      </c>
      <c r="G355" t="s">
        <v>513</v>
      </c>
      <c r="H355" s="13">
        <v>47.75</v>
      </c>
      <c r="I355" s="13">
        <v>-3.35</v>
      </c>
      <c r="J355" s="13">
        <v>1995</v>
      </c>
      <c r="K355" s="13">
        <v>2010</v>
      </c>
      <c r="L355" s="13">
        <f t="shared" si="12"/>
        <v>16</v>
      </c>
      <c r="N355" t="s">
        <v>51</v>
      </c>
      <c r="O355" t="s">
        <v>51</v>
      </c>
      <c r="P355" t="s">
        <v>130</v>
      </c>
      <c r="Q355" t="s">
        <v>50</v>
      </c>
      <c r="R355" t="s">
        <v>843</v>
      </c>
      <c r="V355" t="s">
        <v>165</v>
      </c>
      <c r="W355" t="s">
        <v>3</v>
      </c>
      <c r="X355" t="s">
        <v>3</v>
      </c>
      <c r="Y355" t="s">
        <v>366</v>
      </c>
      <c r="Z355" s="4" t="str">
        <f t="shared" si="11"/>
        <v>N</v>
      </c>
      <c r="AC355" t="s">
        <v>792</v>
      </c>
    </row>
    <row r="356" spans="1:92" s="24" customFormat="1" x14ac:dyDescent="0.2">
      <c r="A356"/>
      <c r="B356" t="s">
        <v>366</v>
      </c>
      <c r="C356" t="s">
        <v>724</v>
      </c>
      <c r="D356"/>
      <c r="E356">
        <v>2014</v>
      </c>
      <c r="F356" t="s">
        <v>653</v>
      </c>
      <c r="G356" t="s">
        <v>513</v>
      </c>
      <c r="H356" s="13">
        <v>42.666666666666664</v>
      </c>
      <c r="I356" s="13">
        <v>-8.7333333333333325</v>
      </c>
      <c r="J356" s="13">
        <v>1999</v>
      </c>
      <c r="K356" s="13">
        <v>2009</v>
      </c>
      <c r="L356" s="13">
        <f t="shared" si="12"/>
        <v>11</v>
      </c>
      <c r="M356"/>
      <c r="N356" t="s">
        <v>51</v>
      </c>
      <c r="O356" t="s">
        <v>51</v>
      </c>
      <c r="P356" t="s">
        <v>130</v>
      </c>
      <c r="Q356" t="s">
        <v>50</v>
      </c>
      <c r="R356" t="s">
        <v>843</v>
      </c>
      <c r="S356"/>
      <c r="T356"/>
      <c r="U356"/>
      <c r="V356" t="s">
        <v>165</v>
      </c>
      <c r="W356" t="s">
        <v>3</v>
      </c>
      <c r="X356" t="s">
        <v>3</v>
      </c>
      <c r="Y356" t="s">
        <v>366</v>
      </c>
      <c r="Z356" s="4" t="str">
        <f t="shared" si="11"/>
        <v>N</v>
      </c>
      <c r="AA356"/>
      <c r="AB356"/>
      <c r="AC356" t="s">
        <v>793</v>
      </c>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row>
    <row r="357" spans="1:92" s="24" customFormat="1" x14ac:dyDescent="0.2">
      <c r="A357"/>
      <c r="B357" t="s">
        <v>366</v>
      </c>
      <c r="C357" t="s">
        <v>725</v>
      </c>
      <c r="D357"/>
      <c r="E357">
        <v>2014</v>
      </c>
      <c r="F357" t="s">
        <v>655</v>
      </c>
      <c r="G357" t="s">
        <v>513</v>
      </c>
      <c r="H357" s="13">
        <v>41.95</v>
      </c>
      <c r="I357" s="13">
        <v>-8.75</v>
      </c>
      <c r="J357" s="13">
        <v>2000</v>
      </c>
      <c r="K357" s="13">
        <v>2009</v>
      </c>
      <c r="L357" s="13">
        <f t="shared" si="12"/>
        <v>10</v>
      </c>
      <c r="M357"/>
      <c r="N357" t="s">
        <v>51</v>
      </c>
      <c r="O357" t="s">
        <v>51</v>
      </c>
      <c r="P357" t="s">
        <v>130</v>
      </c>
      <c r="Q357" t="s">
        <v>50</v>
      </c>
      <c r="R357" t="s">
        <v>843</v>
      </c>
      <c r="S357"/>
      <c r="T357"/>
      <c r="U357"/>
      <c r="V357" t="s">
        <v>165</v>
      </c>
      <c r="W357" t="s">
        <v>3</v>
      </c>
      <c r="X357" t="s">
        <v>3</v>
      </c>
      <c r="Y357" t="s">
        <v>366</v>
      </c>
      <c r="Z357" s="4" t="str">
        <f t="shared" si="11"/>
        <v>N</v>
      </c>
      <c r="AA357"/>
      <c r="AB357"/>
      <c r="AC357" t="s">
        <v>794</v>
      </c>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row>
    <row r="358" spans="1:92" s="24" customFormat="1" x14ac:dyDescent="0.2">
      <c r="A358"/>
      <c r="B358" t="s">
        <v>366</v>
      </c>
      <c r="C358" t="s">
        <v>726</v>
      </c>
      <c r="D358"/>
      <c r="E358">
        <v>2014</v>
      </c>
      <c r="F358" t="s">
        <v>656</v>
      </c>
      <c r="G358" t="s">
        <v>513</v>
      </c>
      <c r="H358" s="13">
        <v>66.266666666666666</v>
      </c>
      <c r="I358" s="13">
        <v>36.93333333333333</v>
      </c>
      <c r="J358" s="13">
        <v>1988</v>
      </c>
      <c r="K358" s="13">
        <v>1995</v>
      </c>
      <c r="L358" s="13">
        <f t="shared" si="12"/>
        <v>8</v>
      </c>
      <c r="M358"/>
      <c r="N358" t="s">
        <v>51</v>
      </c>
      <c r="O358" t="s">
        <v>51</v>
      </c>
      <c r="P358" t="s">
        <v>130</v>
      </c>
      <c r="Q358" t="s">
        <v>50</v>
      </c>
      <c r="R358" t="s">
        <v>843</v>
      </c>
      <c r="S358"/>
      <c r="T358"/>
      <c r="U358"/>
      <c r="V358" t="s">
        <v>165</v>
      </c>
      <c r="W358" t="s">
        <v>3</v>
      </c>
      <c r="X358" t="s">
        <v>3</v>
      </c>
      <c r="Y358" t="s">
        <v>366</v>
      </c>
      <c r="Z358" s="4" t="str">
        <f t="shared" si="11"/>
        <v>N</v>
      </c>
      <c r="AA358"/>
      <c r="AB358"/>
      <c r="AC358" t="s">
        <v>795</v>
      </c>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row>
    <row r="359" spans="1:92" s="24" customFormat="1" x14ac:dyDescent="0.2">
      <c r="A359"/>
      <c r="B359" t="s">
        <v>366</v>
      </c>
      <c r="C359" t="s">
        <v>727</v>
      </c>
      <c r="D359"/>
      <c r="E359">
        <v>2014</v>
      </c>
      <c r="F359" t="s">
        <v>657</v>
      </c>
      <c r="G359" t="s">
        <v>513</v>
      </c>
      <c r="H359" s="13">
        <v>65.61666666666666</v>
      </c>
      <c r="I359" s="13">
        <v>25.05</v>
      </c>
      <c r="J359" s="13">
        <v>1972</v>
      </c>
      <c r="K359" s="13">
        <v>1999</v>
      </c>
      <c r="L359" s="13">
        <f t="shared" si="12"/>
        <v>28</v>
      </c>
      <c r="M359"/>
      <c r="N359" t="s">
        <v>51</v>
      </c>
      <c r="O359" t="s">
        <v>51</v>
      </c>
      <c r="P359" t="s">
        <v>130</v>
      </c>
      <c r="Q359" t="s">
        <v>50</v>
      </c>
      <c r="R359" t="s">
        <v>843</v>
      </c>
      <c r="S359"/>
      <c r="T359"/>
      <c r="U359"/>
      <c r="V359" t="s">
        <v>165</v>
      </c>
      <c r="W359" t="s">
        <v>3</v>
      </c>
      <c r="X359" t="s">
        <v>3</v>
      </c>
      <c r="Y359" t="s">
        <v>366</v>
      </c>
      <c r="Z359" s="4" t="str">
        <f t="shared" si="11"/>
        <v>Y</v>
      </c>
      <c r="AA359"/>
      <c r="AB359"/>
      <c r="AC359" t="s">
        <v>796</v>
      </c>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row>
    <row r="360" spans="1:92" s="24" customFormat="1" x14ac:dyDescent="0.2">
      <c r="A360"/>
      <c r="B360" t="s">
        <v>366</v>
      </c>
      <c r="C360" t="s">
        <v>728</v>
      </c>
      <c r="D360"/>
      <c r="E360">
        <v>2014</v>
      </c>
      <c r="F360" t="s">
        <v>658</v>
      </c>
      <c r="G360" t="s">
        <v>513</v>
      </c>
      <c r="H360" s="13">
        <v>65.816666666666663</v>
      </c>
      <c r="I360" s="13">
        <v>24.15</v>
      </c>
      <c r="J360" s="13">
        <v>1991</v>
      </c>
      <c r="K360" s="13">
        <v>2009</v>
      </c>
      <c r="L360" s="13">
        <f t="shared" si="12"/>
        <v>19</v>
      </c>
      <c r="M360"/>
      <c r="N360" t="s">
        <v>51</v>
      </c>
      <c r="O360" t="s">
        <v>51</v>
      </c>
      <c r="P360" t="s">
        <v>130</v>
      </c>
      <c r="Q360" t="s">
        <v>50</v>
      </c>
      <c r="R360" t="s">
        <v>843</v>
      </c>
      <c r="S360"/>
      <c r="T360"/>
      <c r="U360"/>
      <c r="V360" t="s">
        <v>165</v>
      </c>
      <c r="W360" t="s">
        <v>3</v>
      </c>
      <c r="X360" t="s">
        <v>3</v>
      </c>
      <c r="Y360" t="s">
        <v>366</v>
      </c>
      <c r="Z360" s="4" t="str">
        <f t="shared" si="11"/>
        <v>Y</v>
      </c>
      <c r="AA360"/>
      <c r="AB360"/>
      <c r="AC360" t="s">
        <v>797</v>
      </c>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row>
    <row r="361" spans="1:92" s="24" customFormat="1" x14ac:dyDescent="0.2">
      <c r="A361"/>
      <c r="B361" t="s">
        <v>366</v>
      </c>
      <c r="C361" t="s">
        <v>729</v>
      </c>
      <c r="D361"/>
      <c r="E361">
        <v>2014</v>
      </c>
      <c r="F361" t="s">
        <v>659</v>
      </c>
      <c r="G361" t="s">
        <v>513</v>
      </c>
      <c r="H361" s="13">
        <v>69.916666666666671</v>
      </c>
      <c r="I361" s="13">
        <v>28.033333333333335</v>
      </c>
      <c r="J361" s="13">
        <v>1989</v>
      </c>
      <c r="K361" s="13">
        <v>1995</v>
      </c>
      <c r="L361" s="13">
        <f t="shared" si="12"/>
        <v>7</v>
      </c>
      <c r="M361"/>
      <c r="N361" t="s">
        <v>51</v>
      </c>
      <c r="O361" t="s">
        <v>51</v>
      </c>
      <c r="P361" t="s">
        <v>130</v>
      </c>
      <c r="Q361" t="s">
        <v>50</v>
      </c>
      <c r="R361" t="s">
        <v>843</v>
      </c>
      <c r="S361"/>
      <c r="T361"/>
      <c r="U361"/>
      <c r="V361" t="s">
        <v>165</v>
      </c>
      <c r="W361" t="s">
        <v>3</v>
      </c>
      <c r="X361" t="s">
        <v>3</v>
      </c>
      <c r="Y361" t="s">
        <v>366</v>
      </c>
      <c r="Z361" s="4" t="str">
        <f t="shared" si="11"/>
        <v>N</v>
      </c>
      <c r="AA361"/>
      <c r="AB361"/>
      <c r="AC361" t="s">
        <v>798</v>
      </c>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row>
    <row r="362" spans="1:92" s="24" customFormat="1" x14ac:dyDescent="0.2">
      <c r="A362"/>
      <c r="B362" t="s">
        <v>366</v>
      </c>
      <c r="C362" t="s">
        <v>730</v>
      </c>
      <c r="D362"/>
      <c r="E362">
        <v>2014</v>
      </c>
      <c r="F362" t="s">
        <v>660</v>
      </c>
      <c r="G362" t="s">
        <v>513</v>
      </c>
      <c r="H362" s="13">
        <v>69.983333333333334</v>
      </c>
      <c r="I362" s="13">
        <v>27.95</v>
      </c>
      <c r="J362" s="13">
        <v>1990</v>
      </c>
      <c r="K362" s="13">
        <v>1995</v>
      </c>
      <c r="L362" s="13">
        <f t="shared" si="12"/>
        <v>6</v>
      </c>
      <c r="M362"/>
      <c r="N362" t="s">
        <v>51</v>
      </c>
      <c r="O362" t="s">
        <v>51</v>
      </c>
      <c r="P362" t="s">
        <v>130</v>
      </c>
      <c r="Q362" t="s">
        <v>50</v>
      </c>
      <c r="R362" t="s">
        <v>843</v>
      </c>
      <c r="S362"/>
      <c r="T362"/>
      <c r="U362"/>
      <c r="V362" t="s">
        <v>165</v>
      </c>
      <c r="W362" t="s">
        <v>3</v>
      </c>
      <c r="X362" t="s">
        <v>3</v>
      </c>
      <c r="Y362" t="s">
        <v>366</v>
      </c>
      <c r="Z362" s="4" t="str">
        <f t="shared" si="11"/>
        <v>N</v>
      </c>
      <c r="AA362"/>
      <c r="AB362"/>
      <c r="AC362" t="s">
        <v>799</v>
      </c>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row>
    <row r="363" spans="1:92" x14ac:dyDescent="0.2">
      <c r="B363" t="s">
        <v>366</v>
      </c>
      <c r="C363" t="s">
        <v>731</v>
      </c>
      <c r="E363">
        <v>2014</v>
      </c>
      <c r="F363" t="s">
        <v>661</v>
      </c>
      <c r="G363" t="s">
        <v>513</v>
      </c>
      <c r="H363" s="13">
        <v>69.733333333333334</v>
      </c>
      <c r="I363" s="13">
        <v>26.983333333333334</v>
      </c>
      <c r="J363" s="13">
        <v>1989</v>
      </c>
      <c r="K363" s="13">
        <v>1994</v>
      </c>
      <c r="L363" s="13">
        <f t="shared" si="12"/>
        <v>6</v>
      </c>
      <c r="N363" t="s">
        <v>51</v>
      </c>
      <c r="O363" t="s">
        <v>51</v>
      </c>
      <c r="P363" t="s">
        <v>130</v>
      </c>
      <c r="Q363" t="s">
        <v>50</v>
      </c>
      <c r="R363" t="s">
        <v>843</v>
      </c>
      <c r="V363" t="s">
        <v>165</v>
      </c>
      <c r="W363" t="s">
        <v>3</v>
      </c>
      <c r="X363" t="s">
        <v>3</v>
      </c>
      <c r="Y363" t="s">
        <v>366</v>
      </c>
      <c r="Z363" s="4" t="str">
        <f t="shared" si="11"/>
        <v>N</v>
      </c>
      <c r="AC363" t="s">
        <v>800</v>
      </c>
    </row>
    <row r="364" spans="1:92" s="24" customFormat="1" x14ac:dyDescent="0.2">
      <c r="A364"/>
      <c r="B364" t="s">
        <v>366</v>
      </c>
      <c r="C364" t="s">
        <v>732</v>
      </c>
      <c r="D364"/>
      <c r="E364">
        <v>2014</v>
      </c>
      <c r="F364" t="s">
        <v>662</v>
      </c>
      <c r="G364" t="s">
        <v>513</v>
      </c>
      <c r="H364" s="13">
        <v>69.75</v>
      </c>
      <c r="I364" s="13">
        <v>26.933333333333334</v>
      </c>
      <c r="J364" s="13">
        <v>1989</v>
      </c>
      <c r="K364" s="13">
        <v>1995</v>
      </c>
      <c r="L364" s="13">
        <f t="shared" si="12"/>
        <v>7</v>
      </c>
      <c r="M364"/>
      <c r="N364" t="s">
        <v>51</v>
      </c>
      <c r="O364" t="s">
        <v>51</v>
      </c>
      <c r="P364" t="s">
        <v>130</v>
      </c>
      <c r="Q364" t="s">
        <v>50</v>
      </c>
      <c r="R364" t="s">
        <v>843</v>
      </c>
      <c r="S364"/>
      <c r="T364"/>
      <c r="U364"/>
      <c r="V364" t="s">
        <v>165</v>
      </c>
      <c r="W364" t="s">
        <v>3</v>
      </c>
      <c r="X364" t="s">
        <v>3</v>
      </c>
      <c r="Y364" t="s">
        <v>366</v>
      </c>
      <c r="Z364" s="4" t="str">
        <f t="shared" si="11"/>
        <v>N</v>
      </c>
      <c r="AA364"/>
      <c r="AB364"/>
      <c r="AC364" t="s">
        <v>801</v>
      </c>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row>
    <row r="365" spans="1:92" s="24" customFormat="1" x14ac:dyDescent="0.2">
      <c r="A365"/>
      <c r="B365" t="s">
        <v>366</v>
      </c>
      <c r="C365" t="s">
        <v>733</v>
      </c>
      <c r="D365"/>
      <c r="E365">
        <v>2014</v>
      </c>
      <c r="F365" t="s">
        <v>663</v>
      </c>
      <c r="G365" t="s">
        <v>513</v>
      </c>
      <c r="H365" s="13">
        <v>69.933333333333337</v>
      </c>
      <c r="I365" s="13">
        <v>26.716666666666665</v>
      </c>
      <c r="J365" s="13">
        <v>1991</v>
      </c>
      <c r="K365" s="13">
        <v>1994</v>
      </c>
      <c r="L365" s="13">
        <f t="shared" si="12"/>
        <v>4</v>
      </c>
      <c r="M365"/>
      <c r="N365" t="s">
        <v>51</v>
      </c>
      <c r="O365" t="s">
        <v>51</v>
      </c>
      <c r="P365" t="s">
        <v>130</v>
      </c>
      <c r="Q365" t="s">
        <v>50</v>
      </c>
      <c r="R365" t="s">
        <v>843</v>
      </c>
      <c r="S365"/>
      <c r="T365"/>
      <c r="U365"/>
      <c r="V365" t="s">
        <v>165</v>
      </c>
      <c r="W365" t="s">
        <v>3</v>
      </c>
      <c r="X365" t="s">
        <v>3</v>
      </c>
      <c r="Y365" t="s">
        <v>366</v>
      </c>
      <c r="Z365" s="4" t="str">
        <f t="shared" si="11"/>
        <v>N</v>
      </c>
      <c r="AA365"/>
      <c r="AB365"/>
      <c r="AC365" t="s">
        <v>802</v>
      </c>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row>
    <row r="366" spans="1:92" x14ac:dyDescent="0.2">
      <c r="B366" t="s">
        <v>366</v>
      </c>
      <c r="C366" t="s">
        <v>734</v>
      </c>
      <c r="E366">
        <v>2014</v>
      </c>
      <c r="F366" t="s">
        <v>664</v>
      </c>
      <c r="G366" t="s">
        <v>513</v>
      </c>
      <c r="H366" s="13">
        <v>69.36666666666666</v>
      </c>
      <c r="I366" s="13">
        <v>25.833333333333332</v>
      </c>
      <c r="J366" s="13">
        <v>1989</v>
      </c>
      <c r="K366" s="13">
        <v>1994</v>
      </c>
      <c r="L366" s="13">
        <f t="shared" si="12"/>
        <v>6</v>
      </c>
      <c r="N366" t="s">
        <v>51</v>
      </c>
      <c r="O366" t="s">
        <v>51</v>
      </c>
      <c r="P366" t="s">
        <v>130</v>
      </c>
      <c r="Q366" t="s">
        <v>50</v>
      </c>
      <c r="R366" t="s">
        <v>843</v>
      </c>
      <c r="V366" t="s">
        <v>165</v>
      </c>
      <c r="W366" t="s">
        <v>3</v>
      </c>
      <c r="X366" t="s">
        <v>3</v>
      </c>
      <c r="Y366" t="s">
        <v>366</v>
      </c>
      <c r="Z366" s="4" t="str">
        <f t="shared" si="11"/>
        <v>N</v>
      </c>
      <c r="AC366" t="s">
        <v>803</v>
      </c>
    </row>
    <row r="367" spans="1:92" s="24" customFormat="1" x14ac:dyDescent="0.2">
      <c r="A367"/>
      <c r="B367" t="s">
        <v>366</v>
      </c>
      <c r="C367" t="s">
        <v>735</v>
      </c>
      <c r="D367"/>
      <c r="E367">
        <v>2014</v>
      </c>
      <c r="F367" t="s">
        <v>665</v>
      </c>
      <c r="G367" t="s">
        <v>513</v>
      </c>
      <c r="H367" s="13">
        <v>69.900000000000006</v>
      </c>
      <c r="I367" s="13">
        <v>27.05</v>
      </c>
      <c r="J367" s="13">
        <v>2002</v>
      </c>
      <c r="K367" s="13">
        <v>2004</v>
      </c>
      <c r="L367" s="13">
        <f t="shared" si="12"/>
        <v>3</v>
      </c>
      <c r="M367"/>
      <c r="N367" t="s">
        <v>51</v>
      </c>
      <c r="O367" t="s">
        <v>51</v>
      </c>
      <c r="P367" t="s">
        <v>130</v>
      </c>
      <c r="Q367" t="s">
        <v>50</v>
      </c>
      <c r="R367" t="s">
        <v>843</v>
      </c>
      <c r="S367"/>
      <c r="T367"/>
      <c r="U367"/>
      <c r="V367" t="s">
        <v>165</v>
      </c>
      <c r="W367" t="s">
        <v>3</v>
      </c>
      <c r="X367" t="s">
        <v>3</v>
      </c>
      <c r="Y367" t="s">
        <v>366</v>
      </c>
      <c r="Z367" s="4" t="str">
        <f t="shared" si="11"/>
        <v>N</v>
      </c>
      <c r="AA367"/>
      <c r="AB367"/>
      <c r="AC367" t="s">
        <v>804</v>
      </c>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row>
    <row r="368" spans="1:92" x14ac:dyDescent="0.2">
      <c r="B368" t="s">
        <v>366</v>
      </c>
      <c r="C368" t="s">
        <v>736</v>
      </c>
      <c r="E368">
        <v>2014</v>
      </c>
      <c r="F368" t="s">
        <v>666</v>
      </c>
      <c r="G368" t="s">
        <v>513</v>
      </c>
      <c r="H368" s="13">
        <v>70.033333333333331</v>
      </c>
      <c r="I368" s="13">
        <v>22.966666666666665</v>
      </c>
      <c r="J368" s="13">
        <v>1988</v>
      </c>
      <c r="K368" s="13">
        <v>2010</v>
      </c>
      <c r="L368" s="13">
        <f t="shared" si="12"/>
        <v>23</v>
      </c>
      <c r="N368" t="s">
        <v>51</v>
      </c>
      <c r="O368" t="s">
        <v>51</v>
      </c>
      <c r="P368" t="s">
        <v>130</v>
      </c>
      <c r="Q368" t="s">
        <v>50</v>
      </c>
      <c r="R368" t="s">
        <v>843</v>
      </c>
      <c r="V368" t="s">
        <v>165</v>
      </c>
      <c r="W368" t="s">
        <v>3</v>
      </c>
      <c r="X368" t="s">
        <v>3</v>
      </c>
      <c r="Y368" t="s">
        <v>366</v>
      </c>
      <c r="Z368" s="4" t="str">
        <f t="shared" si="11"/>
        <v>Y</v>
      </c>
      <c r="AC368" t="s">
        <v>805</v>
      </c>
    </row>
    <row r="369" spans="1:92" s="24" customFormat="1" x14ac:dyDescent="0.2">
      <c r="A369"/>
      <c r="B369" t="s">
        <v>366</v>
      </c>
      <c r="C369" t="s">
        <v>737</v>
      </c>
      <c r="D369"/>
      <c r="E369">
        <v>2014</v>
      </c>
      <c r="F369" t="s">
        <v>667</v>
      </c>
      <c r="G369" t="s">
        <v>513</v>
      </c>
      <c r="H369" s="13">
        <v>69.966666666666669</v>
      </c>
      <c r="I369" s="13">
        <v>23.383333333333333</v>
      </c>
      <c r="J369" s="13">
        <v>1989</v>
      </c>
      <c r="K369" s="13">
        <v>2006</v>
      </c>
      <c r="L369" s="13">
        <f t="shared" si="12"/>
        <v>18</v>
      </c>
      <c r="M369"/>
      <c r="N369" t="s">
        <v>51</v>
      </c>
      <c r="O369" t="s">
        <v>51</v>
      </c>
      <c r="P369" t="s">
        <v>130</v>
      </c>
      <c r="Q369" t="s">
        <v>50</v>
      </c>
      <c r="R369" t="s">
        <v>843</v>
      </c>
      <c r="S369"/>
      <c r="T369"/>
      <c r="U369"/>
      <c r="V369" t="s">
        <v>165</v>
      </c>
      <c r="W369" t="s">
        <v>3</v>
      </c>
      <c r="X369" t="s">
        <v>3</v>
      </c>
      <c r="Y369" t="s">
        <v>366</v>
      </c>
      <c r="Z369" s="4" t="str">
        <f t="shared" si="11"/>
        <v>N</v>
      </c>
      <c r="AA369"/>
      <c r="AB369"/>
      <c r="AC369" t="s">
        <v>806</v>
      </c>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row>
    <row r="370" spans="1:92" s="24" customFormat="1" x14ac:dyDescent="0.2">
      <c r="A370"/>
      <c r="B370" t="s">
        <v>366</v>
      </c>
      <c r="C370" t="s">
        <v>738</v>
      </c>
      <c r="D370"/>
      <c r="E370">
        <v>2014</v>
      </c>
      <c r="F370" t="s">
        <v>668</v>
      </c>
      <c r="G370" t="s">
        <v>513</v>
      </c>
      <c r="H370" s="13">
        <v>69.05</v>
      </c>
      <c r="I370" s="13">
        <v>15.866666666666667</v>
      </c>
      <c r="J370" s="13">
        <v>2006</v>
      </c>
      <c r="K370" s="13">
        <v>2009</v>
      </c>
      <c r="L370" s="13">
        <f t="shared" si="12"/>
        <v>4</v>
      </c>
      <c r="M370"/>
      <c r="N370" t="s">
        <v>51</v>
      </c>
      <c r="O370" t="s">
        <v>51</v>
      </c>
      <c r="P370" t="s">
        <v>130</v>
      </c>
      <c r="Q370" t="s">
        <v>50</v>
      </c>
      <c r="R370" t="s">
        <v>843</v>
      </c>
      <c r="S370"/>
      <c r="T370"/>
      <c r="U370"/>
      <c r="V370" t="s">
        <v>165</v>
      </c>
      <c r="W370" t="s">
        <v>3</v>
      </c>
      <c r="X370" t="s">
        <v>3</v>
      </c>
      <c r="Y370" t="s">
        <v>366</v>
      </c>
      <c r="Z370" s="4" t="str">
        <f t="shared" si="11"/>
        <v>N</v>
      </c>
      <c r="AA370"/>
      <c r="AB370"/>
      <c r="AC370" t="s">
        <v>807</v>
      </c>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row>
    <row r="371" spans="1:92" x14ac:dyDescent="0.2">
      <c r="B371" t="s">
        <v>366</v>
      </c>
      <c r="C371" t="s">
        <v>739</v>
      </c>
      <c r="E371">
        <v>2014</v>
      </c>
      <c r="F371" t="s">
        <v>669</v>
      </c>
      <c r="G371" t="s">
        <v>513</v>
      </c>
      <c r="H371" s="13">
        <v>68.25</v>
      </c>
      <c r="I371" s="13">
        <v>17.399999999999999</v>
      </c>
      <c r="J371" s="13">
        <v>2004</v>
      </c>
      <c r="K371" s="13">
        <v>2008</v>
      </c>
      <c r="L371" s="13">
        <f t="shared" si="12"/>
        <v>5</v>
      </c>
      <c r="N371" t="s">
        <v>51</v>
      </c>
      <c r="O371" t="s">
        <v>51</v>
      </c>
      <c r="P371" t="s">
        <v>130</v>
      </c>
      <c r="Q371" t="s">
        <v>50</v>
      </c>
      <c r="R371" t="s">
        <v>843</v>
      </c>
      <c r="V371" t="s">
        <v>165</v>
      </c>
      <c r="W371" t="s">
        <v>3</v>
      </c>
      <c r="X371" t="s">
        <v>3</v>
      </c>
      <c r="Y371" t="s">
        <v>366</v>
      </c>
      <c r="Z371" s="4" t="str">
        <f t="shared" si="11"/>
        <v>N</v>
      </c>
      <c r="AC371" t="s">
        <v>808</v>
      </c>
    </row>
    <row r="372" spans="1:92" s="24" customFormat="1" x14ac:dyDescent="0.2">
      <c r="A372"/>
      <c r="B372" t="s">
        <v>366</v>
      </c>
      <c r="C372" t="s">
        <v>740</v>
      </c>
      <c r="D372"/>
      <c r="E372">
        <v>2014</v>
      </c>
      <c r="F372" t="s">
        <v>670</v>
      </c>
      <c r="G372" t="s">
        <v>513</v>
      </c>
      <c r="H372" s="13">
        <v>67.099999999999994</v>
      </c>
      <c r="I372" s="13">
        <v>15.433333333333334</v>
      </c>
      <c r="J372" s="13">
        <v>1990</v>
      </c>
      <c r="K372" s="13">
        <v>1994</v>
      </c>
      <c r="L372" s="13">
        <f t="shared" si="12"/>
        <v>5</v>
      </c>
      <c r="M372"/>
      <c r="N372" t="s">
        <v>51</v>
      </c>
      <c r="O372" t="s">
        <v>51</v>
      </c>
      <c r="P372" t="s">
        <v>130</v>
      </c>
      <c r="Q372" t="s">
        <v>50</v>
      </c>
      <c r="R372" t="s">
        <v>843</v>
      </c>
      <c r="S372"/>
      <c r="T372"/>
      <c r="U372"/>
      <c r="V372" t="s">
        <v>165</v>
      </c>
      <c r="W372" t="s">
        <v>3</v>
      </c>
      <c r="X372" t="s">
        <v>3</v>
      </c>
      <c r="Y372" t="s">
        <v>366</v>
      </c>
      <c r="Z372" s="4" t="str">
        <f t="shared" si="11"/>
        <v>N</v>
      </c>
      <c r="AA372"/>
      <c r="AB372"/>
      <c r="AC372" t="s">
        <v>809</v>
      </c>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row>
    <row r="373" spans="1:92" x14ac:dyDescent="0.2">
      <c r="B373" t="s">
        <v>366</v>
      </c>
      <c r="C373" t="s">
        <v>741</v>
      </c>
      <c r="E373">
        <v>2014</v>
      </c>
      <c r="F373" t="s">
        <v>671</v>
      </c>
      <c r="G373" t="s">
        <v>513</v>
      </c>
      <c r="H373" s="13">
        <v>65.13333333333334</v>
      </c>
      <c r="I373" s="13">
        <v>12.583333333333334</v>
      </c>
      <c r="J373" s="13">
        <v>2006</v>
      </c>
      <c r="K373" s="13">
        <v>2008</v>
      </c>
      <c r="L373" s="13">
        <f t="shared" si="12"/>
        <v>3</v>
      </c>
      <c r="N373" t="s">
        <v>51</v>
      </c>
      <c r="O373" t="s">
        <v>51</v>
      </c>
      <c r="P373" t="s">
        <v>130</v>
      </c>
      <c r="Q373" t="s">
        <v>50</v>
      </c>
      <c r="R373" t="s">
        <v>843</v>
      </c>
      <c r="V373" t="s">
        <v>165</v>
      </c>
      <c r="W373" t="s">
        <v>3</v>
      </c>
      <c r="X373" t="s">
        <v>3</v>
      </c>
      <c r="Y373" t="s">
        <v>366</v>
      </c>
      <c r="Z373" s="4" t="str">
        <f t="shared" si="11"/>
        <v>N</v>
      </c>
      <c r="AC373" t="s">
        <v>810</v>
      </c>
    </row>
    <row r="374" spans="1:92" s="24" customFormat="1" x14ac:dyDescent="0.2">
      <c r="A374"/>
      <c r="B374" t="s">
        <v>366</v>
      </c>
      <c r="C374" t="s">
        <v>742</v>
      </c>
      <c r="D374"/>
      <c r="E374">
        <v>2014</v>
      </c>
      <c r="F374" t="s">
        <v>672</v>
      </c>
      <c r="G374" t="s">
        <v>513</v>
      </c>
      <c r="H374" s="13">
        <v>63.45</v>
      </c>
      <c r="I374" s="13">
        <v>10.9</v>
      </c>
      <c r="J374" s="13">
        <v>1991</v>
      </c>
      <c r="K374" s="13">
        <v>2005</v>
      </c>
      <c r="L374" s="13">
        <f t="shared" si="12"/>
        <v>15</v>
      </c>
      <c r="M374"/>
      <c r="N374" t="s">
        <v>51</v>
      </c>
      <c r="O374" t="s">
        <v>51</v>
      </c>
      <c r="P374" t="s">
        <v>130</v>
      </c>
      <c r="Q374" t="s">
        <v>50</v>
      </c>
      <c r="R374" t="s">
        <v>843</v>
      </c>
      <c r="S374"/>
      <c r="T374"/>
      <c r="U374"/>
      <c r="V374" t="s">
        <v>165</v>
      </c>
      <c r="W374" t="s">
        <v>3</v>
      </c>
      <c r="X374" t="s">
        <v>3</v>
      </c>
      <c r="Y374" t="s">
        <v>366</v>
      </c>
      <c r="Z374" s="4" t="str">
        <f t="shared" si="11"/>
        <v>N</v>
      </c>
      <c r="AA374"/>
      <c r="AB374"/>
      <c r="AC374" t="s">
        <v>811</v>
      </c>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row>
    <row r="375" spans="1:92" s="24" customFormat="1" x14ac:dyDescent="0.2">
      <c r="A375"/>
      <c r="B375" t="s">
        <v>366</v>
      </c>
      <c r="C375" t="s">
        <v>743</v>
      </c>
      <c r="D375"/>
      <c r="E375">
        <v>2014</v>
      </c>
      <c r="F375" t="s">
        <v>673</v>
      </c>
      <c r="G375" t="s">
        <v>513</v>
      </c>
      <c r="H375" s="13">
        <v>63.31666666666667</v>
      </c>
      <c r="I375" s="13">
        <v>9.8333333333333339</v>
      </c>
      <c r="J375" s="13">
        <v>1983</v>
      </c>
      <c r="K375" s="13">
        <v>2009</v>
      </c>
      <c r="L375" s="13">
        <f t="shared" si="12"/>
        <v>27</v>
      </c>
      <c r="M375"/>
      <c r="N375" t="s">
        <v>51</v>
      </c>
      <c r="O375" t="s">
        <v>51</v>
      </c>
      <c r="P375" t="s">
        <v>130</v>
      </c>
      <c r="Q375" t="s">
        <v>50</v>
      </c>
      <c r="R375" t="s">
        <v>843</v>
      </c>
      <c r="S375"/>
      <c r="T375"/>
      <c r="U375"/>
      <c r="V375" t="s">
        <v>165</v>
      </c>
      <c r="W375" t="s">
        <v>3</v>
      </c>
      <c r="X375" t="s">
        <v>3</v>
      </c>
      <c r="Y375" t="s">
        <v>366</v>
      </c>
      <c r="Z375" s="4" t="str">
        <f t="shared" si="11"/>
        <v>Y</v>
      </c>
      <c r="AA375"/>
      <c r="AB375"/>
      <c r="AC375" t="s">
        <v>812</v>
      </c>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row>
    <row r="376" spans="1:92" x14ac:dyDescent="0.2">
      <c r="B376" t="s">
        <v>366</v>
      </c>
      <c r="C376" t="s">
        <v>744</v>
      </c>
      <c r="E376">
        <v>2014</v>
      </c>
      <c r="F376" t="s">
        <v>674</v>
      </c>
      <c r="G376" t="s">
        <v>513</v>
      </c>
      <c r="H376" s="13">
        <v>62.85</v>
      </c>
      <c r="I376" s="13">
        <v>8.5500000000000007</v>
      </c>
      <c r="J376" s="13">
        <v>2005</v>
      </c>
      <c r="K376" s="13">
        <v>2009</v>
      </c>
      <c r="L376" s="13">
        <f t="shared" si="12"/>
        <v>5</v>
      </c>
      <c r="N376" t="s">
        <v>51</v>
      </c>
      <c r="O376" t="s">
        <v>51</v>
      </c>
      <c r="P376" t="s">
        <v>130</v>
      </c>
      <c r="Q376" t="s">
        <v>50</v>
      </c>
      <c r="R376" t="s">
        <v>843</v>
      </c>
      <c r="V376" t="s">
        <v>165</v>
      </c>
      <c r="W376" t="s">
        <v>3</v>
      </c>
      <c r="X376" t="s">
        <v>3</v>
      </c>
      <c r="Y376" t="s">
        <v>366</v>
      </c>
      <c r="Z376" s="4" t="str">
        <f t="shared" si="11"/>
        <v>N</v>
      </c>
      <c r="AC376" t="s">
        <v>813</v>
      </c>
    </row>
    <row r="377" spans="1:92" s="24" customFormat="1" x14ac:dyDescent="0.2">
      <c r="A377"/>
      <c r="B377" t="s">
        <v>366</v>
      </c>
      <c r="C377" t="s">
        <v>745</v>
      </c>
      <c r="D377"/>
      <c r="E377">
        <v>2014</v>
      </c>
      <c r="F377" t="s">
        <v>675</v>
      </c>
      <c r="G377" t="s">
        <v>513</v>
      </c>
      <c r="H377" s="13">
        <v>62.68333333333333</v>
      </c>
      <c r="I377" s="13">
        <v>8.1333333333333329</v>
      </c>
      <c r="J377" s="13">
        <v>2001</v>
      </c>
      <c r="K377" s="13">
        <v>2010</v>
      </c>
      <c r="L377" s="13">
        <f t="shared" si="12"/>
        <v>10</v>
      </c>
      <c r="M377"/>
      <c r="N377" t="s">
        <v>51</v>
      </c>
      <c r="O377" t="s">
        <v>51</v>
      </c>
      <c r="P377" t="s">
        <v>130</v>
      </c>
      <c r="Q377" t="s">
        <v>50</v>
      </c>
      <c r="R377" t="s">
        <v>843</v>
      </c>
      <c r="S377"/>
      <c r="T377"/>
      <c r="U377"/>
      <c r="V377" t="s">
        <v>165</v>
      </c>
      <c r="W377" t="s">
        <v>3</v>
      </c>
      <c r="X377" t="s">
        <v>3</v>
      </c>
      <c r="Y377" t="s">
        <v>366</v>
      </c>
      <c r="Z377" s="4" t="str">
        <f t="shared" si="11"/>
        <v>N</v>
      </c>
      <c r="AA377"/>
      <c r="AB377"/>
      <c r="AC377" t="s">
        <v>814</v>
      </c>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row>
    <row r="378" spans="1:92" s="24" customFormat="1" x14ac:dyDescent="0.2">
      <c r="A378"/>
      <c r="B378" t="s">
        <v>366</v>
      </c>
      <c r="C378" t="s">
        <v>746</v>
      </c>
      <c r="D378"/>
      <c r="E378">
        <v>2014</v>
      </c>
      <c r="F378" t="s">
        <v>676</v>
      </c>
      <c r="G378" t="s">
        <v>513</v>
      </c>
      <c r="H378" s="13">
        <v>62.966666666666669</v>
      </c>
      <c r="I378" s="13">
        <v>7.083333333333333</v>
      </c>
      <c r="J378" s="13">
        <v>2004</v>
      </c>
      <c r="K378" s="13">
        <v>2009</v>
      </c>
      <c r="L378" s="13">
        <f t="shared" si="12"/>
        <v>6</v>
      </c>
      <c r="M378"/>
      <c r="N378" t="s">
        <v>51</v>
      </c>
      <c r="O378" t="s">
        <v>51</v>
      </c>
      <c r="P378" t="s">
        <v>130</v>
      </c>
      <c r="Q378" t="s">
        <v>50</v>
      </c>
      <c r="R378" t="s">
        <v>843</v>
      </c>
      <c r="S378"/>
      <c r="T378"/>
      <c r="U378"/>
      <c r="V378" t="s">
        <v>165</v>
      </c>
      <c r="W378" t="s">
        <v>3</v>
      </c>
      <c r="X378" t="s">
        <v>3</v>
      </c>
      <c r="Y378" t="s">
        <v>366</v>
      </c>
      <c r="Z378" s="4" t="str">
        <f t="shared" si="11"/>
        <v>N</v>
      </c>
      <c r="AA378"/>
      <c r="AB378"/>
      <c r="AC378" t="s">
        <v>815</v>
      </c>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row>
    <row r="379" spans="1:92" s="24" customFormat="1" x14ac:dyDescent="0.2">
      <c r="A379"/>
      <c r="B379" t="s">
        <v>366</v>
      </c>
      <c r="C379" t="s">
        <v>747</v>
      </c>
      <c r="D379"/>
      <c r="E379">
        <v>2014</v>
      </c>
      <c r="F379" t="s">
        <v>677</v>
      </c>
      <c r="G379" t="s">
        <v>513</v>
      </c>
      <c r="H379" s="13">
        <v>60.9</v>
      </c>
      <c r="I379" s="13">
        <v>7.1833333333333336</v>
      </c>
      <c r="J379" s="13">
        <v>2001</v>
      </c>
      <c r="K379" s="13">
        <v>2006</v>
      </c>
      <c r="L379" s="13">
        <f t="shared" si="12"/>
        <v>6</v>
      </c>
      <c r="M379"/>
      <c r="N379" t="s">
        <v>51</v>
      </c>
      <c r="O379" t="s">
        <v>51</v>
      </c>
      <c r="P379" t="s">
        <v>130</v>
      </c>
      <c r="Q379" t="s">
        <v>50</v>
      </c>
      <c r="R379" t="s">
        <v>843</v>
      </c>
      <c r="S379"/>
      <c r="T379"/>
      <c r="U379"/>
      <c r="V379" t="s">
        <v>165</v>
      </c>
      <c r="W379" t="s">
        <v>3</v>
      </c>
      <c r="X379" t="s">
        <v>3</v>
      </c>
      <c r="Y379" t="s">
        <v>366</v>
      </c>
      <c r="Z379" s="4" t="str">
        <f t="shared" si="11"/>
        <v>N</v>
      </c>
      <c r="AA379"/>
      <c r="AB379"/>
      <c r="AC379" t="s">
        <v>816</v>
      </c>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row>
    <row r="380" spans="1:92" s="24" customFormat="1" x14ac:dyDescent="0.2">
      <c r="A380"/>
      <c r="B380" t="s">
        <v>366</v>
      </c>
      <c r="C380" t="s">
        <v>748</v>
      </c>
      <c r="D380"/>
      <c r="E380">
        <v>2014</v>
      </c>
      <c r="F380" t="s">
        <v>678</v>
      </c>
      <c r="G380" t="s">
        <v>513</v>
      </c>
      <c r="H380" s="13">
        <v>60.866666666666667</v>
      </c>
      <c r="I380" s="13">
        <v>7.1166666666666663</v>
      </c>
      <c r="J380" s="13">
        <v>2002</v>
      </c>
      <c r="K380" s="13">
        <v>2006</v>
      </c>
      <c r="L380" s="13">
        <f t="shared" si="12"/>
        <v>5</v>
      </c>
      <c r="M380"/>
      <c r="N380" t="s">
        <v>51</v>
      </c>
      <c r="O380" t="s">
        <v>51</v>
      </c>
      <c r="P380" t="s">
        <v>130</v>
      </c>
      <c r="Q380" t="s">
        <v>50</v>
      </c>
      <c r="R380" t="s">
        <v>843</v>
      </c>
      <c r="S380"/>
      <c r="T380"/>
      <c r="U380"/>
      <c r="V380" t="s">
        <v>165</v>
      </c>
      <c r="W380" t="s">
        <v>3</v>
      </c>
      <c r="X380" t="s">
        <v>3</v>
      </c>
      <c r="Y380" t="s">
        <v>366</v>
      </c>
      <c r="Z380" s="4" t="str">
        <f t="shared" si="11"/>
        <v>N</v>
      </c>
      <c r="AA380"/>
      <c r="AB380"/>
      <c r="AC380" t="s">
        <v>817</v>
      </c>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row>
    <row r="381" spans="1:92" x14ac:dyDescent="0.2">
      <c r="B381" t="s">
        <v>366</v>
      </c>
      <c r="C381" t="s">
        <v>749</v>
      </c>
      <c r="E381">
        <v>2014</v>
      </c>
      <c r="F381" t="s">
        <v>679</v>
      </c>
      <c r="G381" t="s">
        <v>513</v>
      </c>
      <c r="H381" s="13">
        <v>60.633333333333333</v>
      </c>
      <c r="I381" s="13">
        <v>5.95</v>
      </c>
      <c r="J381" s="13">
        <v>2001</v>
      </c>
      <c r="K381" s="13">
        <v>2007</v>
      </c>
      <c r="L381" s="13">
        <f t="shared" si="12"/>
        <v>7</v>
      </c>
      <c r="N381" t="s">
        <v>51</v>
      </c>
      <c r="O381" t="s">
        <v>51</v>
      </c>
      <c r="P381" t="s">
        <v>130</v>
      </c>
      <c r="Q381" t="s">
        <v>50</v>
      </c>
      <c r="R381" t="s">
        <v>843</v>
      </c>
      <c r="V381" t="s">
        <v>165</v>
      </c>
      <c r="W381" t="s">
        <v>3</v>
      </c>
      <c r="X381" t="s">
        <v>3</v>
      </c>
      <c r="Y381" t="s">
        <v>366</v>
      </c>
      <c r="Z381" s="4" t="str">
        <f t="shared" si="11"/>
        <v>N</v>
      </c>
      <c r="AC381" t="s">
        <v>818</v>
      </c>
    </row>
    <row r="382" spans="1:92" s="24" customFormat="1" x14ac:dyDescent="0.2">
      <c r="A382"/>
      <c r="B382" t="s">
        <v>366</v>
      </c>
      <c r="C382" t="s">
        <v>750</v>
      </c>
      <c r="D382"/>
      <c r="E382">
        <v>2014</v>
      </c>
      <c r="F382" t="s">
        <v>680</v>
      </c>
      <c r="G382" t="s">
        <v>513</v>
      </c>
      <c r="H382" s="13">
        <v>59.966666666666669</v>
      </c>
      <c r="I382" s="13">
        <v>6</v>
      </c>
      <c r="J382" s="13">
        <v>2001</v>
      </c>
      <c r="K382" s="13">
        <v>2010</v>
      </c>
      <c r="L382" s="13">
        <f t="shared" si="12"/>
        <v>10</v>
      </c>
      <c r="M382"/>
      <c r="N382" t="s">
        <v>51</v>
      </c>
      <c r="O382" t="s">
        <v>51</v>
      </c>
      <c r="P382" t="s">
        <v>130</v>
      </c>
      <c r="Q382" t="s">
        <v>50</v>
      </c>
      <c r="R382" t="s">
        <v>843</v>
      </c>
      <c r="S382"/>
      <c r="T382"/>
      <c r="U382"/>
      <c r="V382" t="s">
        <v>165</v>
      </c>
      <c r="W382" t="s">
        <v>3</v>
      </c>
      <c r="X382" t="s">
        <v>3</v>
      </c>
      <c r="Y382" t="s">
        <v>366</v>
      </c>
      <c r="Z382" s="4" t="str">
        <f t="shared" si="11"/>
        <v>N</v>
      </c>
      <c r="AA382"/>
      <c r="AB382"/>
      <c r="AC382" t="s">
        <v>819</v>
      </c>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row>
    <row r="383" spans="1:92" s="24" customFormat="1" x14ac:dyDescent="0.2">
      <c r="A383"/>
      <c r="B383" t="s">
        <v>366</v>
      </c>
      <c r="C383" t="s">
        <v>751</v>
      </c>
      <c r="D383"/>
      <c r="E383">
        <v>2014</v>
      </c>
      <c r="F383" t="s">
        <v>681</v>
      </c>
      <c r="G383" t="s">
        <v>513</v>
      </c>
      <c r="H383" s="13">
        <v>59.483333333333334</v>
      </c>
      <c r="I383" s="13">
        <v>6.25</v>
      </c>
      <c r="J383" s="13">
        <v>1995</v>
      </c>
      <c r="K383" s="13">
        <v>2010</v>
      </c>
      <c r="L383" s="13">
        <f t="shared" si="12"/>
        <v>16</v>
      </c>
      <c r="M383"/>
      <c r="N383" t="s">
        <v>51</v>
      </c>
      <c r="O383" t="s">
        <v>51</v>
      </c>
      <c r="P383" t="s">
        <v>130</v>
      </c>
      <c r="Q383" t="s">
        <v>50</v>
      </c>
      <c r="R383" t="s">
        <v>843</v>
      </c>
      <c r="S383"/>
      <c r="T383"/>
      <c r="U383"/>
      <c r="V383" t="s">
        <v>165</v>
      </c>
      <c r="W383" t="s">
        <v>3</v>
      </c>
      <c r="X383" t="s">
        <v>3</v>
      </c>
      <c r="Y383" t="s">
        <v>366</v>
      </c>
      <c r="Z383" s="4" t="str">
        <f t="shared" si="11"/>
        <v>N</v>
      </c>
      <c r="AA383"/>
      <c r="AB383"/>
      <c r="AC383" t="s">
        <v>820</v>
      </c>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row>
    <row r="384" spans="1:92" s="24" customFormat="1" x14ac:dyDescent="0.2">
      <c r="A384"/>
      <c r="B384" t="s">
        <v>366</v>
      </c>
      <c r="C384" t="s">
        <v>752</v>
      </c>
      <c r="D384"/>
      <c r="E384">
        <v>2014</v>
      </c>
      <c r="F384" t="s">
        <v>682</v>
      </c>
      <c r="G384" t="s">
        <v>513</v>
      </c>
      <c r="H384" s="13">
        <v>58.833333333333336</v>
      </c>
      <c r="I384" s="13">
        <v>5.9666666666666668</v>
      </c>
      <c r="J384" s="13">
        <v>1976</v>
      </c>
      <c r="K384" s="13">
        <v>2009</v>
      </c>
      <c r="L384" s="13">
        <f t="shared" si="12"/>
        <v>34</v>
      </c>
      <c r="M384"/>
      <c r="N384" t="s">
        <v>51</v>
      </c>
      <c r="O384" t="s">
        <v>51</v>
      </c>
      <c r="P384" t="s">
        <v>130</v>
      </c>
      <c r="Q384" t="s">
        <v>50</v>
      </c>
      <c r="R384" t="s">
        <v>843</v>
      </c>
      <c r="S384"/>
      <c r="T384"/>
      <c r="U384"/>
      <c r="V384" t="s">
        <v>165</v>
      </c>
      <c r="W384" t="s">
        <v>3</v>
      </c>
      <c r="X384" t="s">
        <v>3</v>
      </c>
      <c r="Y384" t="s">
        <v>366</v>
      </c>
      <c r="Z384" s="4" t="str">
        <f t="shared" si="11"/>
        <v>Y</v>
      </c>
      <c r="AA384"/>
      <c r="AB384"/>
      <c r="AC384" t="s">
        <v>821</v>
      </c>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row>
    <row r="385" spans="1:92" s="24" customFormat="1" x14ac:dyDescent="0.2">
      <c r="A385"/>
      <c r="B385" t="s">
        <v>366</v>
      </c>
      <c r="C385" t="s">
        <v>753</v>
      </c>
      <c r="D385"/>
      <c r="E385">
        <v>2014</v>
      </c>
      <c r="F385" t="s">
        <v>683</v>
      </c>
      <c r="G385" t="s">
        <v>513</v>
      </c>
      <c r="H385" s="13">
        <v>58.016666666666666</v>
      </c>
      <c r="I385" s="13">
        <v>7.45</v>
      </c>
      <c r="J385" s="13">
        <v>2001</v>
      </c>
      <c r="K385" s="13">
        <v>2007</v>
      </c>
      <c r="L385" s="13">
        <f t="shared" si="12"/>
        <v>7</v>
      </c>
      <c r="M385"/>
      <c r="N385" t="s">
        <v>51</v>
      </c>
      <c r="O385" t="s">
        <v>51</v>
      </c>
      <c r="P385" t="s">
        <v>130</v>
      </c>
      <c r="Q385" t="s">
        <v>50</v>
      </c>
      <c r="R385" t="s">
        <v>843</v>
      </c>
      <c r="S385"/>
      <c r="T385"/>
      <c r="U385"/>
      <c r="V385" t="s">
        <v>165</v>
      </c>
      <c r="W385" t="s">
        <v>3</v>
      </c>
      <c r="X385" t="s">
        <v>3</v>
      </c>
      <c r="Y385" t="s">
        <v>366</v>
      </c>
      <c r="Z385" s="4" t="str">
        <f t="shared" si="11"/>
        <v>N</v>
      </c>
      <c r="AA385"/>
      <c r="AB385"/>
      <c r="AC385" t="s">
        <v>822</v>
      </c>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row>
    <row r="386" spans="1:92" s="24" customFormat="1" x14ac:dyDescent="0.2">
      <c r="A386"/>
      <c r="B386" t="s">
        <v>366</v>
      </c>
      <c r="C386" t="s">
        <v>754</v>
      </c>
      <c r="D386"/>
      <c r="E386">
        <v>2014</v>
      </c>
      <c r="F386" t="s">
        <v>684</v>
      </c>
      <c r="G386" t="s">
        <v>513</v>
      </c>
      <c r="H386" s="13">
        <v>58.2</v>
      </c>
      <c r="I386" s="13">
        <v>8.0833333333333339</v>
      </c>
      <c r="J386" s="13">
        <v>2004</v>
      </c>
      <c r="K386" s="13">
        <v>2010</v>
      </c>
      <c r="L386" s="13">
        <f t="shared" si="12"/>
        <v>7</v>
      </c>
      <c r="M386"/>
      <c r="N386" t="s">
        <v>51</v>
      </c>
      <c r="O386" t="s">
        <v>51</v>
      </c>
      <c r="P386" t="s">
        <v>130</v>
      </c>
      <c r="Q386" t="s">
        <v>50</v>
      </c>
      <c r="R386" t="s">
        <v>843</v>
      </c>
      <c r="S386"/>
      <c r="T386"/>
      <c r="U386"/>
      <c r="V386" t="s">
        <v>165</v>
      </c>
      <c r="W386" t="s">
        <v>3</v>
      </c>
      <c r="X386" t="s">
        <v>3</v>
      </c>
      <c r="Y386" t="s">
        <v>366</v>
      </c>
      <c r="Z386" s="4" t="str">
        <f t="shared" ref="Z386:Z449" si="13">IF(L386&gt;=19,"Y","N")</f>
        <v>N</v>
      </c>
      <c r="AA386"/>
      <c r="AB386"/>
      <c r="AC386" t="s">
        <v>823</v>
      </c>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row>
    <row r="387" spans="1:92" s="24" customFormat="1" x14ac:dyDescent="0.2">
      <c r="A387"/>
      <c r="B387" t="s">
        <v>366</v>
      </c>
      <c r="C387" t="s">
        <v>755</v>
      </c>
      <c r="D387"/>
      <c r="E387">
        <v>2014</v>
      </c>
      <c r="F387" t="s">
        <v>685</v>
      </c>
      <c r="G387" t="s">
        <v>513</v>
      </c>
      <c r="H387" s="13">
        <v>58.68333333333333</v>
      </c>
      <c r="I387" s="13">
        <v>9.0666666666666664</v>
      </c>
      <c r="J387" s="13">
        <v>2005</v>
      </c>
      <c r="K387" s="13">
        <v>2010</v>
      </c>
      <c r="L387" s="13">
        <f t="shared" si="12"/>
        <v>6</v>
      </c>
      <c r="M387"/>
      <c r="N387" t="s">
        <v>51</v>
      </c>
      <c r="O387" t="s">
        <v>51</v>
      </c>
      <c r="P387" t="s">
        <v>130</v>
      </c>
      <c r="Q387" t="s">
        <v>50</v>
      </c>
      <c r="R387" t="s">
        <v>843</v>
      </c>
      <c r="S387"/>
      <c r="T387"/>
      <c r="U387"/>
      <c r="V387" t="s">
        <v>165</v>
      </c>
      <c r="W387" t="s">
        <v>3</v>
      </c>
      <c r="X387" t="s">
        <v>3</v>
      </c>
      <c r="Y387" t="s">
        <v>366</v>
      </c>
      <c r="Z387" s="4" t="str">
        <f t="shared" si="13"/>
        <v>N</v>
      </c>
      <c r="AA387"/>
      <c r="AB387"/>
      <c r="AC387" t="s">
        <v>824</v>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row>
    <row r="388" spans="1:92" x14ac:dyDescent="0.2">
      <c r="B388" t="s">
        <v>366</v>
      </c>
      <c r="C388" t="s">
        <v>756</v>
      </c>
      <c r="E388">
        <v>2014</v>
      </c>
      <c r="F388" t="s">
        <v>686</v>
      </c>
      <c r="G388" t="s">
        <v>513</v>
      </c>
      <c r="H388" s="13">
        <v>63.8</v>
      </c>
      <c r="I388" s="13">
        <v>20.566666666666666</v>
      </c>
      <c r="J388" s="13">
        <v>2005</v>
      </c>
      <c r="K388" s="13">
        <v>2010</v>
      </c>
      <c r="L388" s="13">
        <f t="shared" si="12"/>
        <v>6</v>
      </c>
      <c r="N388" t="s">
        <v>51</v>
      </c>
      <c r="O388" t="s">
        <v>51</v>
      </c>
      <c r="P388" t="s">
        <v>130</v>
      </c>
      <c r="Q388" t="s">
        <v>50</v>
      </c>
      <c r="R388" t="s">
        <v>843</v>
      </c>
      <c r="V388" t="s">
        <v>165</v>
      </c>
      <c r="W388" t="s">
        <v>3</v>
      </c>
      <c r="X388" t="s">
        <v>3</v>
      </c>
      <c r="Y388" t="s">
        <v>366</v>
      </c>
      <c r="Z388" s="4" t="str">
        <f t="shared" si="13"/>
        <v>N</v>
      </c>
      <c r="AC388" t="s">
        <v>825</v>
      </c>
    </row>
    <row r="389" spans="1:92" x14ac:dyDescent="0.2">
      <c r="B389" t="s">
        <v>366</v>
      </c>
      <c r="C389" t="s">
        <v>757</v>
      </c>
      <c r="E389">
        <v>2014</v>
      </c>
      <c r="F389" t="s">
        <v>687</v>
      </c>
      <c r="G389" t="s">
        <v>513</v>
      </c>
      <c r="H389" s="13">
        <v>64.083333333333329</v>
      </c>
      <c r="I389" s="13">
        <v>20.933333333333334</v>
      </c>
      <c r="J389" s="13">
        <v>1961</v>
      </c>
      <c r="K389" s="13">
        <v>1965</v>
      </c>
      <c r="L389" s="13">
        <f t="shared" si="12"/>
        <v>5</v>
      </c>
      <c r="N389" t="s">
        <v>51</v>
      </c>
      <c r="O389" t="s">
        <v>51</v>
      </c>
      <c r="P389" t="s">
        <v>130</v>
      </c>
      <c r="Q389" t="s">
        <v>50</v>
      </c>
      <c r="R389" t="s">
        <v>843</v>
      </c>
      <c r="V389" t="s">
        <v>165</v>
      </c>
      <c r="W389" t="s">
        <v>3</v>
      </c>
      <c r="X389" t="s">
        <v>3</v>
      </c>
      <c r="Y389" t="s">
        <v>366</v>
      </c>
      <c r="Z389" s="4" t="str">
        <f t="shared" si="13"/>
        <v>N</v>
      </c>
      <c r="AC389" t="s">
        <v>826</v>
      </c>
    </row>
    <row r="390" spans="1:92" x14ac:dyDescent="0.2">
      <c r="B390" t="s">
        <v>366</v>
      </c>
      <c r="C390" t="s">
        <v>758</v>
      </c>
      <c r="E390">
        <v>2014</v>
      </c>
      <c r="F390" t="s">
        <v>688</v>
      </c>
      <c r="G390" t="s">
        <v>513</v>
      </c>
      <c r="H390" s="13">
        <v>56.31666666666667</v>
      </c>
      <c r="I390" s="13">
        <v>14.716666666666667</v>
      </c>
      <c r="J390" s="13">
        <v>1963</v>
      </c>
      <c r="K390" s="13">
        <v>1966</v>
      </c>
      <c r="L390" s="13">
        <f t="shared" si="12"/>
        <v>4</v>
      </c>
      <c r="N390" t="s">
        <v>51</v>
      </c>
      <c r="O390" t="s">
        <v>51</v>
      </c>
      <c r="P390" t="s">
        <v>130</v>
      </c>
      <c r="Q390" t="s">
        <v>50</v>
      </c>
      <c r="R390" t="s">
        <v>843</v>
      </c>
      <c r="V390" t="s">
        <v>165</v>
      </c>
      <c r="W390" t="s">
        <v>3</v>
      </c>
      <c r="X390" t="s">
        <v>3</v>
      </c>
      <c r="Y390" t="s">
        <v>366</v>
      </c>
      <c r="Z390" s="4" t="str">
        <f t="shared" si="13"/>
        <v>N</v>
      </c>
      <c r="AC390" t="s">
        <v>827</v>
      </c>
    </row>
    <row r="391" spans="1:92" x14ac:dyDescent="0.2">
      <c r="B391" t="s">
        <v>366</v>
      </c>
      <c r="C391" t="s">
        <v>759</v>
      </c>
      <c r="E391">
        <v>2014</v>
      </c>
      <c r="F391" t="s">
        <v>689</v>
      </c>
      <c r="G391" t="s">
        <v>513</v>
      </c>
      <c r="H391" s="13">
        <v>56.3</v>
      </c>
      <c r="I391" s="13">
        <v>14.716666666666667</v>
      </c>
      <c r="J391" s="13">
        <v>1963</v>
      </c>
      <c r="K391" s="13">
        <v>1966</v>
      </c>
      <c r="L391" s="13">
        <f t="shared" si="12"/>
        <v>4</v>
      </c>
      <c r="N391" t="s">
        <v>51</v>
      </c>
      <c r="O391" t="s">
        <v>51</v>
      </c>
      <c r="P391" t="s">
        <v>130</v>
      </c>
      <c r="Q391" t="s">
        <v>50</v>
      </c>
      <c r="R391" t="s">
        <v>843</v>
      </c>
      <c r="V391" t="s">
        <v>165</v>
      </c>
      <c r="W391" t="s">
        <v>3</v>
      </c>
      <c r="X391" t="s">
        <v>3</v>
      </c>
      <c r="Y391" t="s">
        <v>366</v>
      </c>
      <c r="Z391" s="4" t="str">
        <f t="shared" si="13"/>
        <v>N</v>
      </c>
      <c r="AC391" t="s">
        <v>828</v>
      </c>
    </row>
    <row r="392" spans="1:92" s="24" customFormat="1" x14ac:dyDescent="0.2">
      <c r="A392"/>
      <c r="B392" t="s">
        <v>366</v>
      </c>
      <c r="C392" t="s">
        <v>760</v>
      </c>
      <c r="D392"/>
      <c r="E392">
        <v>2014</v>
      </c>
      <c r="F392" t="s">
        <v>690</v>
      </c>
      <c r="G392" t="s">
        <v>513</v>
      </c>
      <c r="H392" s="13">
        <v>56.25</v>
      </c>
      <c r="I392" s="13">
        <v>14.766666666666667</v>
      </c>
      <c r="J392" s="13">
        <v>1963</v>
      </c>
      <c r="K392" s="13">
        <v>1966</v>
      </c>
      <c r="L392" s="13">
        <f t="shared" si="12"/>
        <v>4</v>
      </c>
      <c r="M392"/>
      <c r="N392" t="s">
        <v>51</v>
      </c>
      <c r="O392" t="s">
        <v>51</v>
      </c>
      <c r="P392" t="s">
        <v>130</v>
      </c>
      <c r="Q392" t="s">
        <v>50</v>
      </c>
      <c r="R392" t="s">
        <v>843</v>
      </c>
      <c r="S392"/>
      <c r="T392"/>
      <c r="U392"/>
      <c r="V392" t="s">
        <v>165</v>
      </c>
      <c r="W392" t="s">
        <v>3</v>
      </c>
      <c r="X392" t="s">
        <v>3</v>
      </c>
      <c r="Y392" t="s">
        <v>366</v>
      </c>
      <c r="Z392" s="4" t="str">
        <f t="shared" si="13"/>
        <v>N</v>
      </c>
      <c r="AA392"/>
      <c r="AB392"/>
      <c r="AC392" t="s">
        <v>829</v>
      </c>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row>
    <row r="393" spans="1:92" x14ac:dyDescent="0.2">
      <c r="B393" t="s">
        <v>366</v>
      </c>
      <c r="C393" t="s">
        <v>691</v>
      </c>
      <c r="E393">
        <v>2014</v>
      </c>
      <c r="F393" t="s">
        <v>621</v>
      </c>
      <c r="G393" t="s">
        <v>513</v>
      </c>
      <c r="H393" s="13">
        <v>49.283333333333331</v>
      </c>
      <c r="I393" s="13">
        <v>-54.93333333333333</v>
      </c>
      <c r="J393" s="13">
        <v>1993</v>
      </c>
      <c r="K393" s="13">
        <v>2010</v>
      </c>
      <c r="L393" s="13">
        <f t="shared" si="12"/>
        <v>18</v>
      </c>
      <c r="N393" t="s">
        <v>51</v>
      </c>
      <c r="O393" t="s">
        <v>51</v>
      </c>
      <c r="P393" t="s">
        <v>130</v>
      </c>
      <c r="Q393" t="s">
        <v>50</v>
      </c>
      <c r="R393" t="s">
        <v>843</v>
      </c>
      <c r="V393" t="s">
        <v>165</v>
      </c>
      <c r="W393" t="s">
        <v>3</v>
      </c>
      <c r="X393" t="s">
        <v>3</v>
      </c>
      <c r="Y393" t="s">
        <v>366</v>
      </c>
      <c r="Z393" s="4" t="str">
        <f t="shared" si="13"/>
        <v>N</v>
      </c>
      <c r="AC393" t="s">
        <v>761</v>
      </c>
    </row>
    <row r="394" spans="1:92" x14ac:dyDescent="0.2">
      <c r="B394" t="s">
        <v>366</v>
      </c>
      <c r="C394" t="s">
        <v>692</v>
      </c>
      <c r="E394">
        <v>2014</v>
      </c>
      <c r="F394" t="s">
        <v>622</v>
      </c>
      <c r="G394" t="s">
        <v>513</v>
      </c>
      <c r="H394" s="13">
        <v>46.766666666666666</v>
      </c>
      <c r="I394" s="13">
        <v>-53.35</v>
      </c>
      <c r="J394" s="13">
        <v>1986</v>
      </c>
      <c r="K394" s="13">
        <v>2010</v>
      </c>
      <c r="L394" s="13">
        <f t="shared" si="12"/>
        <v>25</v>
      </c>
      <c r="N394" t="s">
        <v>51</v>
      </c>
      <c r="O394" t="s">
        <v>51</v>
      </c>
      <c r="P394" t="s">
        <v>130</v>
      </c>
      <c r="Q394" t="s">
        <v>50</v>
      </c>
      <c r="R394" t="s">
        <v>843</v>
      </c>
      <c r="V394" t="s">
        <v>165</v>
      </c>
      <c r="W394" t="s">
        <v>3</v>
      </c>
      <c r="X394" t="s">
        <v>3</v>
      </c>
      <c r="Y394" t="s">
        <v>366</v>
      </c>
      <c r="Z394" s="4" t="str">
        <f t="shared" si="13"/>
        <v>Y</v>
      </c>
      <c r="AC394" t="s">
        <v>762</v>
      </c>
    </row>
    <row r="395" spans="1:92" s="24" customFormat="1" x14ac:dyDescent="0.2">
      <c r="A395"/>
      <c r="B395" t="s">
        <v>366</v>
      </c>
      <c r="C395" t="s">
        <v>693</v>
      </c>
      <c r="D395"/>
      <c r="E395">
        <v>2014</v>
      </c>
      <c r="F395" t="s">
        <v>623</v>
      </c>
      <c r="G395" t="s">
        <v>513</v>
      </c>
      <c r="H395" s="13">
        <v>47.216666666666669</v>
      </c>
      <c r="I395" s="13">
        <v>-53.583333333333336</v>
      </c>
      <c r="J395" s="13">
        <v>1990</v>
      </c>
      <c r="K395" s="13">
        <v>2010</v>
      </c>
      <c r="L395" s="13">
        <f t="shared" si="12"/>
        <v>21</v>
      </c>
      <c r="M395"/>
      <c r="N395" t="s">
        <v>51</v>
      </c>
      <c r="O395" t="s">
        <v>51</v>
      </c>
      <c r="P395" t="s">
        <v>130</v>
      </c>
      <c r="Q395" t="s">
        <v>50</v>
      </c>
      <c r="R395" t="s">
        <v>843</v>
      </c>
      <c r="S395"/>
      <c r="T395"/>
      <c r="U395"/>
      <c r="V395" t="s">
        <v>165</v>
      </c>
      <c r="W395" t="s">
        <v>3</v>
      </c>
      <c r="X395" t="s">
        <v>3</v>
      </c>
      <c r="Y395" t="s">
        <v>366</v>
      </c>
      <c r="Z395" s="4" t="str">
        <f t="shared" si="13"/>
        <v>Y</v>
      </c>
      <c r="AA395"/>
      <c r="AB395"/>
      <c r="AC395" t="s">
        <v>763</v>
      </c>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row>
    <row r="396" spans="1:92" s="24" customFormat="1" x14ac:dyDescent="0.2">
      <c r="A396"/>
      <c r="B396" t="s">
        <v>366</v>
      </c>
      <c r="C396" t="s">
        <v>694</v>
      </c>
      <c r="D396"/>
      <c r="E396">
        <v>2014</v>
      </c>
      <c r="F396" t="s">
        <v>624</v>
      </c>
      <c r="G396" t="s">
        <v>513</v>
      </c>
      <c r="H396" s="13">
        <v>47.916666666666664</v>
      </c>
      <c r="I396" s="13">
        <v>-55.68333333333333</v>
      </c>
      <c r="J396" s="13">
        <v>1987</v>
      </c>
      <c r="K396" s="13">
        <v>2010</v>
      </c>
      <c r="L396" s="13">
        <f t="shared" si="12"/>
        <v>24</v>
      </c>
      <c r="M396"/>
      <c r="N396" t="s">
        <v>51</v>
      </c>
      <c r="O396" t="s">
        <v>51</v>
      </c>
      <c r="P396" t="s">
        <v>130</v>
      </c>
      <c r="Q396" t="s">
        <v>50</v>
      </c>
      <c r="R396" t="s">
        <v>843</v>
      </c>
      <c r="S396"/>
      <c r="T396"/>
      <c r="U396"/>
      <c r="V396" t="s">
        <v>165</v>
      </c>
      <c r="W396" t="s">
        <v>3</v>
      </c>
      <c r="X396" t="s">
        <v>3</v>
      </c>
      <c r="Y396" t="s">
        <v>366</v>
      </c>
      <c r="Z396" s="4" t="str">
        <f t="shared" si="13"/>
        <v>Y</v>
      </c>
      <c r="AA396"/>
      <c r="AB396"/>
      <c r="AC396" t="s">
        <v>764</v>
      </c>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row>
    <row r="397" spans="1:92" s="24" customFormat="1" x14ac:dyDescent="0.2">
      <c r="A397"/>
      <c r="B397" t="s">
        <v>366</v>
      </c>
      <c r="C397" t="s">
        <v>695</v>
      </c>
      <c r="D397"/>
      <c r="E397">
        <v>2014</v>
      </c>
      <c r="F397" t="s">
        <v>625</v>
      </c>
      <c r="G397" t="s">
        <v>513</v>
      </c>
      <c r="H397" s="13">
        <v>48.2</v>
      </c>
      <c r="I397" s="13">
        <v>-58.9</v>
      </c>
      <c r="J397" s="13">
        <v>1980</v>
      </c>
      <c r="K397" s="13">
        <v>2010</v>
      </c>
      <c r="L397" s="13">
        <f t="shared" ref="L397:L460" si="14">K397-J397+1</f>
        <v>31</v>
      </c>
      <c r="M397"/>
      <c r="N397" t="s">
        <v>51</v>
      </c>
      <c r="O397" t="s">
        <v>51</v>
      </c>
      <c r="P397" t="s">
        <v>130</v>
      </c>
      <c r="Q397" t="s">
        <v>50</v>
      </c>
      <c r="R397" t="s">
        <v>843</v>
      </c>
      <c r="S397"/>
      <c r="T397"/>
      <c r="U397"/>
      <c r="V397" t="s">
        <v>165</v>
      </c>
      <c r="W397" t="s">
        <v>3</v>
      </c>
      <c r="X397" t="s">
        <v>3</v>
      </c>
      <c r="Y397" t="s">
        <v>366</v>
      </c>
      <c r="Z397" s="4" t="str">
        <f t="shared" si="13"/>
        <v>Y</v>
      </c>
      <c r="AA397"/>
      <c r="AB397"/>
      <c r="AC397" t="s">
        <v>765</v>
      </c>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row>
    <row r="398" spans="1:92" x14ac:dyDescent="0.2">
      <c r="B398" t="s">
        <v>366</v>
      </c>
      <c r="C398" t="s">
        <v>696</v>
      </c>
      <c r="E398">
        <v>2014</v>
      </c>
      <c r="F398" t="s">
        <v>626</v>
      </c>
      <c r="G398" t="s">
        <v>513</v>
      </c>
      <c r="H398" s="13">
        <v>51.18333333333333</v>
      </c>
      <c r="I398" s="13">
        <v>-56.766666666666666</v>
      </c>
      <c r="J398" s="13">
        <v>1972</v>
      </c>
      <c r="K398" s="13">
        <v>2010</v>
      </c>
      <c r="L398" s="13">
        <f t="shared" si="14"/>
        <v>39</v>
      </c>
      <c r="N398" t="s">
        <v>51</v>
      </c>
      <c r="O398" t="s">
        <v>51</v>
      </c>
      <c r="P398" t="s">
        <v>130</v>
      </c>
      <c r="Q398" t="s">
        <v>50</v>
      </c>
      <c r="R398" t="s">
        <v>843</v>
      </c>
      <c r="V398" t="s">
        <v>165</v>
      </c>
      <c r="W398" t="s">
        <v>3</v>
      </c>
      <c r="X398" t="s">
        <v>3</v>
      </c>
      <c r="Y398" t="s">
        <v>366</v>
      </c>
      <c r="Z398" s="4" t="str">
        <f t="shared" si="13"/>
        <v>Y</v>
      </c>
      <c r="AC398" t="s">
        <v>766</v>
      </c>
    </row>
    <row r="399" spans="1:92" x14ac:dyDescent="0.2">
      <c r="B399" t="s">
        <v>366</v>
      </c>
      <c r="C399" t="s">
        <v>697</v>
      </c>
      <c r="E399">
        <v>2014</v>
      </c>
      <c r="F399" t="s">
        <v>627</v>
      </c>
      <c r="G399" t="s">
        <v>513</v>
      </c>
      <c r="H399" s="13">
        <v>53.56666666666667</v>
      </c>
      <c r="I399" s="13">
        <v>-56.35</v>
      </c>
      <c r="J399" s="13">
        <v>1970</v>
      </c>
      <c r="K399" s="13">
        <v>2008</v>
      </c>
      <c r="L399" s="13">
        <f t="shared" si="14"/>
        <v>39</v>
      </c>
      <c r="N399" t="s">
        <v>51</v>
      </c>
      <c r="O399" t="s">
        <v>51</v>
      </c>
      <c r="P399" t="s">
        <v>130</v>
      </c>
      <c r="Q399" t="s">
        <v>50</v>
      </c>
      <c r="R399" t="s">
        <v>843</v>
      </c>
      <c r="V399" t="s">
        <v>165</v>
      </c>
      <c r="W399" t="s">
        <v>3</v>
      </c>
      <c r="X399" t="s">
        <v>3</v>
      </c>
      <c r="Y399" t="s">
        <v>366</v>
      </c>
      <c r="Z399" s="4" t="str">
        <f t="shared" si="13"/>
        <v>Y</v>
      </c>
      <c r="AC399" t="s">
        <v>767</v>
      </c>
    </row>
    <row r="400" spans="1:92" x14ac:dyDescent="0.2">
      <c r="B400" t="s">
        <v>366</v>
      </c>
      <c r="C400" t="s">
        <v>698</v>
      </c>
      <c r="E400">
        <v>2014</v>
      </c>
      <c r="F400" t="s">
        <v>629</v>
      </c>
      <c r="G400" t="s">
        <v>513</v>
      </c>
      <c r="H400" s="13">
        <v>49.416666666666664</v>
      </c>
      <c r="I400" s="13">
        <v>-67.3</v>
      </c>
      <c r="J400" s="13">
        <v>1984</v>
      </c>
      <c r="K400" s="13">
        <v>2010</v>
      </c>
      <c r="L400" s="13">
        <f t="shared" si="14"/>
        <v>27</v>
      </c>
      <c r="N400" t="s">
        <v>51</v>
      </c>
      <c r="O400" t="s">
        <v>51</v>
      </c>
      <c r="P400" t="s">
        <v>130</v>
      </c>
      <c r="Q400" t="s">
        <v>50</v>
      </c>
      <c r="R400" t="s">
        <v>843</v>
      </c>
      <c r="V400" t="s">
        <v>165</v>
      </c>
      <c r="W400" t="s">
        <v>3</v>
      </c>
      <c r="X400" t="s">
        <v>3</v>
      </c>
      <c r="Y400" t="s">
        <v>366</v>
      </c>
      <c r="Z400" s="4" t="str">
        <f t="shared" si="13"/>
        <v>Y</v>
      </c>
      <c r="AC400" t="s">
        <v>768</v>
      </c>
    </row>
    <row r="401" spans="2:29" x14ac:dyDescent="0.2">
      <c r="B401" t="s">
        <v>366</v>
      </c>
      <c r="C401" t="s">
        <v>699</v>
      </c>
      <c r="E401">
        <v>2014</v>
      </c>
      <c r="F401" t="s">
        <v>628</v>
      </c>
      <c r="G401" t="s">
        <v>513</v>
      </c>
      <c r="H401" s="13">
        <v>48.766666666666666</v>
      </c>
      <c r="I401" s="13">
        <v>-64.433333333333337</v>
      </c>
      <c r="J401" s="13">
        <v>1989</v>
      </c>
      <c r="K401" s="13">
        <v>2010</v>
      </c>
      <c r="L401" s="13">
        <f t="shared" si="14"/>
        <v>22</v>
      </c>
      <c r="N401" t="s">
        <v>51</v>
      </c>
      <c r="O401" t="s">
        <v>51</v>
      </c>
      <c r="P401" t="s">
        <v>130</v>
      </c>
      <c r="Q401" t="s">
        <v>50</v>
      </c>
      <c r="R401" t="s">
        <v>843</v>
      </c>
      <c r="V401" t="s">
        <v>165</v>
      </c>
      <c r="W401" t="s">
        <v>3</v>
      </c>
      <c r="X401" t="s">
        <v>3</v>
      </c>
      <c r="Y401" t="s">
        <v>366</v>
      </c>
      <c r="Z401" s="4" t="str">
        <f t="shared" si="13"/>
        <v>Y</v>
      </c>
      <c r="AC401" t="s">
        <v>769</v>
      </c>
    </row>
    <row r="402" spans="2:29" x14ac:dyDescent="0.2">
      <c r="B402" t="s">
        <v>366</v>
      </c>
      <c r="C402" t="s">
        <v>700</v>
      </c>
      <c r="E402">
        <v>2014</v>
      </c>
      <c r="F402" t="s">
        <v>630</v>
      </c>
      <c r="G402" t="s">
        <v>513</v>
      </c>
      <c r="H402" s="13">
        <v>44.116666666666667</v>
      </c>
      <c r="I402" s="13">
        <v>-69.61666666666666</v>
      </c>
      <c r="J402" s="13">
        <v>2001</v>
      </c>
      <c r="K402" s="13">
        <v>2009</v>
      </c>
      <c r="L402" s="13">
        <f t="shared" si="14"/>
        <v>9</v>
      </c>
      <c r="N402" t="s">
        <v>51</v>
      </c>
      <c r="O402" t="s">
        <v>51</v>
      </c>
      <c r="P402" t="s">
        <v>130</v>
      </c>
      <c r="Q402" t="s">
        <v>50</v>
      </c>
      <c r="R402" t="s">
        <v>843</v>
      </c>
      <c r="V402" t="s">
        <v>165</v>
      </c>
      <c r="W402" t="s">
        <v>3</v>
      </c>
      <c r="X402" t="s">
        <v>3</v>
      </c>
      <c r="Y402" t="s">
        <v>366</v>
      </c>
      <c r="Z402" s="4" t="str">
        <f t="shared" si="13"/>
        <v>N</v>
      </c>
      <c r="AC402" t="s">
        <v>770</v>
      </c>
    </row>
    <row r="403" spans="2:29" x14ac:dyDescent="0.2">
      <c r="B403" t="s">
        <v>366</v>
      </c>
      <c r="C403" t="s">
        <v>701</v>
      </c>
      <c r="E403">
        <v>2014</v>
      </c>
      <c r="F403" t="s">
        <v>631</v>
      </c>
      <c r="G403" t="s">
        <v>513</v>
      </c>
      <c r="H403" s="13">
        <v>44.633333333333333</v>
      </c>
      <c r="I403" s="13">
        <v>-67.95</v>
      </c>
      <c r="J403" s="13">
        <v>1996</v>
      </c>
      <c r="K403" s="13">
        <v>2009</v>
      </c>
      <c r="L403" s="13">
        <f t="shared" si="14"/>
        <v>14</v>
      </c>
      <c r="N403" t="s">
        <v>51</v>
      </c>
      <c r="O403" t="s">
        <v>51</v>
      </c>
      <c r="P403" t="s">
        <v>130</v>
      </c>
      <c r="Q403" t="s">
        <v>50</v>
      </c>
      <c r="R403" t="s">
        <v>843</v>
      </c>
      <c r="V403" t="s">
        <v>165</v>
      </c>
      <c r="W403" t="s">
        <v>3</v>
      </c>
      <c r="X403" t="s">
        <v>3</v>
      </c>
      <c r="Y403" t="s">
        <v>366</v>
      </c>
      <c r="Z403" s="4" t="str">
        <f t="shared" si="13"/>
        <v>N</v>
      </c>
      <c r="AC403" t="s">
        <v>771</v>
      </c>
    </row>
    <row r="404" spans="2:29" x14ac:dyDescent="0.2">
      <c r="B404" t="s">
        <v>366</v>
      </c>
      <c r="C404" t="s">
        <v>702</v>
      </c>
      <c r="E404">
        <v>2014</v>
      </c>
      <c r="F404" t="s">
        <v>632</v>
      </c>
      <c r="G404" t="s">
        <v>513</v>
      </c>
      <c r="H404" s="13">
        <v>44.81666666666667</v>
      </c>
      <c r="I404" s="13">
        <v>-68.05</v>
      </c>
      <c r="J404" s="13">
        <v>2000</v>
      </c>
      <c r="K404" s="13">
        <v>2002</v>
      </c>
      <c r="L404" s="13">
        <f t="shared" si="14"/>
        <v>3</v>
      </c>
      <c r="N404" t="s">
        <v>51</v>
      </c>
      <c r="O404" t="s">
        <v>51</v>
      </c>
      <c r="P404" t="s">
        <v>130</v>
      </c>
      <c r="Q404" t="s">
        <v>50</v>
      </c>
      <c r="R404" t="s">
        <v>843</v>
      </c>
      <c r="V404" t="s">
        <v>165</v>
      </c>
      <c r="W404" t="s">
        <v>3</v>
      </c>
      <c r="X404" t="s">
        <v>3</v>
      </c>
      <c r="Y404" t="s">
        <v>366</v>
      </c>
      <c r="Z404" s="4" t="str">
        <f t="shared" si="13"/>
        <v>N</v>
      </c>
      <c r="AC404" t="s">
        <v>772</v>
      </c>
    </row>
    <row r="405" spans="2:29" x14ac:dyDescent="0.2">
      <c r="B405" t="s">
        <v>366</v>
      </c>
      <c r="C405" t="s">
        <v>703</v>
      </c>
      <c r="E405">
        <v>2014</v>
      </c>
      <c r="F405" t="s">
        <v>633</v>
      </c>
      <c r="G405" t="s">
        <v>513</v>
      </c>
      <c r="H405" s="13">
        <v>42.6</v>
      </c>
      <c r="I405" s="13">
        <v>-72.55</v>
      </c>
      <c r="J405" s="13">
        <v>1993</v>
      </c>
      <c r="K405" s="13">
        <v>2010</v>
      </c>
      <c r="L405" s="13">
        <f t="shared" si="14"/>
        <v>18</v>
      </c>
      <c r="N405" t="s">
        <v>51</v>
      </c>
      <c r="O405" t="s">
        <v>51</v>
      </c>
      <c r="P405" t="s">
        <v>130</v>
      </c>
      <c r="Q405" t="s">
        <v>50</v>
      </c>
      <c r="R405" t="s">
        <v>843</v>
      </c>
      <c r="V405" t="s">
        <v>165</v>
      </c>
      <c r="W405" t="s">
        <v>3</v>
      </c>
      <c r="X405" t="s">
        <v>3</v>
      </c>
      <c r="Y405" t="s">
        <v>366</v>
      </c>
      <c r="Z405" s="4" t="str">
        <f t="shared" si="13"/>
        <v>N</v>
      </c>
      <c r="AC405" t="s">
        <v>773</v>
      </c>
    </row>
    <row r="406" spans="2:29" x14ac:dyDescent="0.2">
      <c r="B406" t="s">
        <v>366</v>
      </c>
      <c r="C406" t="s">
        <v>704</v>
      </c>
      <c r="E406">
        <v>2014</v>
      </c>
      <c r="F406" t="s">
        <v>634</v>
      </c>
      <c r="G406" t="s">
        <v>513</v>
      </c>
      <c r="H406" s="13">
        <v>42.2</v>
      </c>
      <c r="I406" s="13">
        <v>-72.599999999999994</v>
      </c>
      <c r="J406" s="13">
        <v>1993</v>
      </c>
      <c r="K406" s="13">
        <v>2010</v>
      </c>
      <c r="L406" s="13">
        <f t="shared" si="14"/>
        <v>18</v>
      </c>
      <c r="N406" t="s">
        <v>51</v>
      </c>
      <c r="O406" t="s">
        <v>51</v>
      </c>
      <c r="P406" t="s">
        <v>130</v>
      </c>
      <c r="Q406" t="s">
        <v>50</v>
      </c>
      <c r="R406" t="s">
        <v>843</v>
      </c>
      <c r="V406" t="s">
        <v>165</v>
      </c>
      <c r="W406" t="s">
        <v>3</v>
      </c>
      <c r="X406" t="s">
        <v>3</v>
      </c>
      <c r="Y406" t="s">
        <v>366</v>
      </c>
      <c r="Z406" s="4" t="str">
        <f t="shared" si="13"/>
        <v>N</v>
      </c>
      <c r="AC406" t="s">
        <v>774</v>
      </c>
    </row>
    <row r="407" spans="2:29" x14ac:dyDescent="0.2">
      <c r="B407" t="s">
        <v>366</v>
      </c>
      <c r="C407" t="s">
        <v>705</v>
      </c>
      <c r="E407">
        <v>2014</v>
      </c>
      <c r="F407" t="s">
        <v>635</v>
      </c>
      <c r="G407" t="s">
        <v>513</v>
      </c>
      <c r="H407" s="13">
        <v>41.85</v>
      </c>
      <c r="I407" s="13">
        <v>-72.63333333333334</v>
      </c>
      <c r="J407" s="13">
        <v>2001</v>
      </c>
      <c r="K407" s="13">
        <v>2010</v>
      </c>
      <c r="L407" s="13">
        <f t="shared" si="14"/>
        <v>10</v>
      </c>
      <c r="N407" t="s">
        <v>51</v>
      </c>
      <c r="O407" t="s">
        <v>51</v>
      </c>
      <c r="P407" t="s">
        <v>130</v>
      </c>
      <c r="Q407" t="s">
        <v>50</v>
      </c>
      <c r="R407" t="s">
        <v>843</v>
      </c>
      <c r="V407" t="s">
        <v>165</v>
      </c>
      <c r="W407" t="s">
        <v>3</v>
      </c>
      <c r="X407" t="s">
        <v>3</v>
      </c>
      <c r="Y407" t="s">
        <v>366</v>
      </c>
      <c r="Z407" s="4" t="str">
        <f t="shared" si="13"/>
        <v>N</v>
      </c>
      <c r="AC407" t="s">
        <v>775</v>
      </c>
    </row>
    <row r="408" spans="2:29" x14ac:dyDescent="0.2">
      <c r="B408" t="s">
        <v>366</v>
      </c>
      <c r="C408" t="s">
        <v>706</v>
      </c>
      <c r="E408">
        <v>2014</v>
      </c>
      <c r="F408" t="s">
        <v>636</v>
      </c>
      <c r="G408" t="s">
        <v>513</v>
      </c>
      <c r="H408" s="13">
        <v>42.416666666666664</v>
      </c>
      <c r="I408" s="13">
        <v>-72.650000000000006</v>
      </c>
      <c r="J408" s="13">
        <v>1998</v>
      </c>
      <c r="K408" s="13">
        <v>2003</v>
      </c>
      <c r="L408" s="13">
        <f t="shared" si="14"/>
        <v>6</v>
      </c>
      <c r="N408" t="s">
        <v>51</v>
      </c>
      <c r="O408" t="s">
        <v>51</v>
      </c>
      <c r="P408" t="s">
        <v>130</v>
      </c>
      <c r="Q408" t="s">
        <v>50</v>
      </c>
      <c r="R408" t="s">
        <v>843</v>
      </c>
      <c r="V408" t="s">
        <v>165</v>
      </c>
      <c r="W408" t="s">
        <v>3</v>
      </c>
      <c r="X408" t="s">
        <v>3</v>
      </c>
      <c r="Y408" t="s">
        <v>366</v>
      </c>
      <c r="Z408" s="4" t="str">
        <f t="shared" si="13"/>
        <v>N</v>
      </c>
      <c r="AC408" t="s">
        <v>776</v>
      </c>
    </row>
    <row r="409" spans="2:29" x14ac:dyDescent="0.2">
      <c r="B409" t="s">
        <v>366</v>
      </c>
      <c r="C409" t="s">
        <v>707</v>
      </c>
      <c r="E409">
        <v>2014</v>
      </c>
      <c r="F409" t="s">
        <v>637</v>
      </c>
      <c r="G409" t="s">
        <v>513</v>
      </c>
      <c r="H409" s="13">
        <v>64.13333333333334</v>
      </c>
      <c r="I409" s="13">
        <v>-21.833333333333332</v>
      </c>
      <c r="J409" s="13">
        <v>1988</v>
      </c>
      <c r="K409" s="13">
        <v>2008</v>
      </c>
      <c r="L409" s="13">
        <f t="shared" si="14"/>
        <v>21</v>
      </c>
      <c r="N409" t="s">
        <v>51</v>
      </c>
      <c r="O409" t="s">
        <v>51</v>
      </c>
      <c r="P409" t="s">
        <v>130</v>
      </c>
      <c r="Q409" t="s">
        <v>50</v>
      </c>
      <c r="R409" t="s">
        <v>843</v>
      </c>
      <c r="V409" t="s">
        <v>165</v>
      </c>
      <c r="W409" t="s">
        <v>3</v>
      </c>
      <c r="X409" t="s">
        <v>3</v>
      </c>
      <c r="Y409" t="s">
        <v>366</v>
      </c>
      <c r="Z409" s="4" t="str">
        <f t="shared" si="13"/>
        <v>Y</v>
      </c>
      <c r="AC409" t="s">
        <v>777</v>
      </c>
    </row>
    <row r="410" spans="2:29" x14ac:dyDescent="0.2">
      <c r="B410" t="s">
        <v>366</v>
      </c>
      <c r="C410" t="s">
        <v>708</v>
      </c>
      <c r="E410">
        <v>2014</v>
      </c>
      <c r="F410" t="s">
        <v>638</v>
      </c>
      <c r="G410" t="s">
        <v>513</v>
      </c>
      <c r="H410" s="13">
        <v>65.75</v>
      </c>
      <c r="I410" s="13">
        <v>-14.9</v>
      </c>
      <c r="J410" s="13">
        <v>1989</v>
      </c>
      <c r="K410" s="13">
        <v>2008</v>
      </c>
      <c r="L410" s="13">
        <f t="shared" si="14"/>
        <v>20</v>
      </c>
      <c r="N410" t="s">
        <v>51</v>
      </c>
      <c r="O410" t="s">
        <v>51</v>
      </c>
      <c r="P410" t="s">
        <v>130</v>
      </c>
      <c r="Q410" t="s">
        <v>50</v>
      </c>
      <c r="R410" t="s">
        <v>843</v>
      </c>
      <c r="V410" t="s">
        <v>165</v>
      </c>
      <c r="W410" t="s">
        <v>3</v>
      </c>
      <c r="X410" t="s">
        <v>3</v>
      </c>
      <c r="Y410" t="s">
        <v>366</v>
      </c>
      <c r="Z410" s="4" t="str">
        <f t="shared" si="13"/>
        <v>Y</v>
      </c>
      <c r="AC410" t="s">
        <v>778</v>
      </c>
    </row>
    <row r="411" spans="2:29" x14ac:dyDescent="0.2">
      <c r="B411" t="s">
        <v>366</v>
      </c>
      <c r="C411" t="s">
        <v>709</v>
      </c>
      <c r="E411">
        <v>2014</v>
      </c>
      <c r="F411" t="s">
        <v>639</v>
      </c>
      <c r="G411" t="s">
        <v>513</v>
      </c>
      <c r="H411" s="13">
        <v>65.349999999999994</v>
      </c>
      <c r="I411" s="13">
        <v>-20.9</v>
      </c>
      <c r="J411" s="13">
        <v>1987</v>
      </c>
      <c r="K411" s="13">
        <v>1999</v>
      </c>
      <c r="L411" s="13">
        <f t="shared" si="14"/>
        <v>13</v>
      </c>
      <c r="N411" t="s">
        <v>51</v>
      </c>
      <c r="O411" t="s">
        <v>51</v>
      </c>
      <c r="P411" t="s">
        <v>130</v>
      </c>
      <c r="Q411" t="s">
        <v>50</v>
      </c>
      <c r="R411" t="s">
        <v>843</v>
      </c>
      <c r="V411" t="s">
        <v>165</v>
      </c>
      <c r="W411" t="s">
        <v>24</v>
      </c>
      <c r="X411" t="s">
        <v>3</v>
      </c>
      <c r="Y411" t="s">
        <v>366</v>
      </c>
      <c r="Z411" s="4" t="str">
        <f t="shared" si="13"/>
        <v>N</v>
      </c>
      <c r="AC411" t="s">
        <v>830</v>
      </c>
    </row>
    <row r="412" spans="2:29" x14ac:dyDescent="0.2">
      <c r="B412" t="s">
        <v>366</v>
      </c>
      <c r="C412" t="s">
        <v>710</v>
      </c>
      <c r="E412">
        <v>2014</v>
      </c>
      <c r="F412" t="s">
        <v>640</v>
      </c>
      <c r="G412" t="s">
        <v>513</v>
      </c>
      <c r="H412" s="13">
        <v>57.56666666666667</v>
      </c>
      <c r="I412" s="13">
        <v>-4.45</v>
      </c>
      <c r="J412" s="13">
        <v>1998</v>
      </c>
      <c r="K412" s="13">
        <v>2009</v>
      </c>
      <c r="L412" s="13">
        <f t="shared" si="14"/>
        <v>12</v>
      </c>
      <c r="N412" t="s">
        <v>51</v>
      </c>
      <c r="O412" t="s">
        <v>51</v>
      </c>
      <c r="P412" t="s">
        <v>130</v>
      </c>
      <c r="Q412" t="s">
        <v>50</v>
      </c>
      <c r="R412" t="s">
        <v>843</v>
      </c>
      <c r="V412" t="s">
        <v>165</v>
      </c>
      <c r="W412" t="s">
        <v>3</v>
      </c>
      <c r="X412" t="s">
        <v>3</v>
      </c>
      <c r="Y412" t="s">
        <v>366</v>
      </c>
      <c r="Z412" s="4" t="str">
        <f t="shared" si="13"/>
        <v>N</v>
      </c>
      <c r="AC412" t="s">
        <v>779</v>
      </c>
    </row>
    <row r="413" spans="2:29" x14ac:dyDescent="0.2">
      <c r="B413" t="s">
        <v>366</v>
      </c>
      <c r="C413" t="s">
        <v>711</v>
      </c>
      <c r="E413">
        <v>2014</v>
      </c>
      <c r="F413" t="s">
        <v>641</v>
      </c>
      <c r="G413" t="s">
        <v>513</v>
      </c>
      <c r="H413" s="13">
        <v>56.75</v>
      </c>
      <c r="I413" s="13">
        <v>-2.4333333333333336</v>
      </c>
      <c r="J413" s="13">
        <v>1975</v>
      </c>
      <c r="K413" s="13">
        <v>2010</v>
      </c>
      <c r="L413" s="13">
        <f t="shared" si="14"/>
        <v>36</v>
      </c>
      <c r="N413" t="s">
        <v>51</v>
      </c>
      <c r="O413" t="s">
        <v>51</v>
      </c>
      <c r="P413" t="s">
        <v>130</v>
      </c>
      <c r="Q413" t="s">
        <v>50</v>
      </c>
      <c r="R413" t="s">
        <v>843</v>
      </c>
      <c r="V413" t="s">
        <v>165</v>
      </c>
      <c r="W413" t="s">
        <v>3</v>
      </c>
      <c r="X413" t="s">
        <v>3</v>
      </c>
      <c r="Y413" t="s">
        <v>366</v>
      </c>
      <c r="Z413" s="4" t="str">
        <f t="shared" si="13"/>
        <v>Y</v>
      </c>
      <c r="AC413" t="s">
        <v>780</v>
      </c>
    </row>
    <row r="414" spans="2:29" x14ac:dyDescent="0.2">
      <c r="B414" t="s">
        <v>366</v>
      </c>
      <c r="C414" t="s">
        <v>712</v>
      </c>
      <c r="E414">
        <v>2014</v>
      </c>
      <c r="F414" t="s">
        <v>642</v>
      </c>
      <c r="G414" t="s">
        <v>513</v>
      </c>
      <c r="H414" s="13">
        <v>53.883333333333333</v>
      </c>
      <c r="I414" s="13">
        <v>-9.5833333333333339</v>
      </c>
      <c r="J414" s="13">
        <v>1970</v>
      </c>
      <c r="K414" s="13">
        <v>2010</v>
      </c>
      <c r="L414" s="13">
        <f t="shared" si="14"/>
        <v>41</v>
      </c>
      <c r="N414" t="s">
        <v>51</v>
      </c>
      <c r="O414" t="s">
        <v>51</v>
      </c>
      <c r="P414" t="s">
        <v>130</v>
      </c>
      <c r="Q414" t="s">
        <v>50</v>
      </c>
      <c r="R414" t="s">
        <v>843</v>
      </c>
      <c r="V414" t="s">
        <v>165</v>
      </c>
      <c r="W414" t="s">
        <v>3</v>
      </c>
      <c r="X414" t="s">
        <v>3</v>
      </c>
      <c r="Y414" t="s">
        <v>366</v>
      </c>
      <c r="Z414" s="4" t="str">
        <f t="shared" si="13"/>
        <v>Y</v>
      </c>
      <c r="AC414" t="s">
        <v>781</v>
      </c>
    </row>
    <row r="415" spans="2:29" x14ac:dyDescent="0.2">
      <c r="B415" t="s">
        <v>366</v>
      </c>
      <c r="C415" t="s">
        <v>713</v>
      </c>
      <c r="E415">
        <v>2014</v>
      </c>
      <c r="F415" t="s">
        <v>643</v>
      </c>
      <c r="G415" t="s">
        <v>513</v>
      </c>
      <c r="H415" s="13">
        <v>55.216666666666669</v>
      </c>
      <c r="I415" s="13">
        <v>-6.55</v>
      </c>
      <c r="J415" s="13">
        <v>1978</v>
      </c>
      <c r="K415" s="13">
        <v>2010</v>
      </c>
      <c r="L415" s="13">
        <f t="shared" si="14"/>
        <v>33</v>
      </c>
      <c r="N415" t="s">
        <v>51</v>
      </c>
      <c r="O415" t="s">
        <v>51</v>
      </c>
      <c r="P415" t="s">
        <v>130</v>
      </c>
      <c r="Q415" t="s">
        <v>50</v>
      </c>
      <c r="R415" t="s">
        <v>843</v>
      </c>
      <c r="V415" t="s">
        <v>165</v>
      </c>
      <c r="W415" t="s">
        <v>3</v>
      </c>
      <c r="X415" t="s">
        <v>3</v>
      </c>
      <c r="Y415" t="s">
        <v>366</v>
      </c>
      <c r="Z415" s="4" t="str">
        <f t="shared" si="13"/>
        <v>Y</v>
      </c>
      <c r="AC415" t="s">
        <v>782</v>
      </c>
    </row>
    <row r="416" spans="2:29" x14ac:dyDescent="0.2">
      <c r="B416" t="s">
        <v>366</v>
      </c>
      <c r="C416" t="s">
        <v>714</v>
      </c>
      <c r="E416">
        <v>2014</v>
      </c>
      <c r="F416" t="s">
        <v>644</v>
      </c>
      <c r="G416" t="s">
        <v>513</v>
      </c>
      <c r="H416" s="13">
        <v>54.916666666666664</v>
      </c>
      <c r="I416" s="13">
        <v>-1.35</v>
      </c>
      <c r="J416" s="13">
        <v>1985</v>
      </c>
      <c r="K416" s="13">
        <v>1996</v>
      </c>
      <c r="L416" s="13">
        <f t="shared" si="14"/>
        <v>12</v>
      </c>
      <c r="N416" t="s">
        <v>51</v>
      </c>
      <c r="O416" t="s">
        <v>51</v>
      </c>
      <c r="P416" t="s">
        <v>130</v>
      </c>
      <c r="Q416" t="s">
        <v>50</v>
      </c>
      <c r="R416" t="s">
        <v>843</v>
      </c>
      <c r="V416" t="s">
        <v>165</v>
      </c>
      <c r="W416" t="s">
        <v>3</v>
      </c>
      <c r="X416" t="s">
        <v>3</v>
      </c>
      <c r="Y416" t="s">
        <v>366</v>
      </c>
      <c r="Z416" s="4" t="str">
        <f t="shared" si="13"/>
        <v>N</v>
      </c>
      <c r="AC416" t="s">
        <v>783</v>
      </c>
    </row>
    <row r="417" spans="1:92" x14ac:dyDescent="0.2">
      <c r="A417">
        <v>430</v>
      </c>
      <c r="B417" t="s">
        <v>367</v>
      </c>
      <c r="C417" t="s">
        <v>362</v>
      </c>
      <c r="E417">
        <v>2009</v>
      </c>
      <c r="F417" t="s">
        <v>103</v>
      </c>
      <c r="G417" t="s">
        <v>513</v>
      </c>
      <c r="H417" s="13">
        <v>55.62</v>
      </c>
      <c r="I417" s="13">
        <v>-1.63</v>
      </c>
      <c r="J417" s="13">
        <v>1972</v>
      </c>
      <c r="K417" s="13">
        <v>2006</v>
      </c>
      <c r="L417" s="13">
        <f t="shared" si="14"/>
        <v>35</v>
      </c>
      <c r="M417" t="s">
        <v>369</v>
      </c>
      <c r="N417" t="s">
        <v>380</v>
      </c>
      <c r="O417" t="s">
        <v>380</v>
      </c>
      <c r="P417" t="s">
        <v>135</v>
      </c>
      <c r="Q417" t="s">
        <v>421</v>
      </c>
      <c r="V417">
        <v>0.5</v>
      </c>
      <c r="W417" t="s">
        <v>24</v>
      </c>
      <c r="X417" t="s">
        <v>3</v>
      </c>
      <c r="Y417" t="s">
        <v>523</v>
      </c>
      <c r="Z417" s="4" t="str">
        <f t="shared" si="13"/>
        <v>Y</v>
      </c>
    </row>
    <row r="418" spans="1:92" x14ac:dyDescent="0.2">
      <c r="B418" t="s">
        <v>366</v>
      </c>
      <c r="C418" t="s">
        <v>982</v>
      </c>
      <c r="E418">
        <v>2019</v>
      </c>
      <c r="F418" t="s">
        <v>503</v>
      </c>
      <c r="G418" t="s">
        <v>513</v>
      </c>
      <c r="H418" s="13">
        <f t="shared" ref="H418:H444" si="15">54+11.3/60</f>
        <v>54.188333333333333</v>
      </c>
      <c r="I418" s="13">
        <f t="shared" ref="I418:I444" si="16">7+54/60</f>
        <v>7.9</v>
      </c>
      <c r="J418" s="13">
        <v>1962</v>
      </c>
      <c r="K418" s="13">
        <v>2015</v>
      </c>
      <c r="L418" s="13">
        <f t="shared" si="14"/>
        <v>54</v>
      </c>
      <c r="M418" t="s">
        <v>369</v>
      </c>
      <c r="N418" t="s">
        <v>299</v>
      </c>
      <c r="O418" t="s">
        <v>381</v>
      </c>
      <c r="P418" t="s">
        <v>381</v>
      </c>
      <c r="Q418" t="s">
        <v>411</v>
      </c>
      <c r="R418" t="s">
        <v>864</v>
      </c>
      <c r="S418" t="s">
        <v>1076</v>
      </c>
      <c r="T418">
        <v>94.719101123595493</v>
      </c>
      <c r="U418" t="s">
        <v>901</v>
      </c>
      <c r="V418">
        <v>0</v>
      </c>
      <c r="W418" t="s">
        <v>164</v>
      </c>
      <c r="X418" t="s">
        <v>3</v>
      </c>
      <c r="Y418" t="s">
        <v>366</v>
      </c>
      <c r="Z418" s="4" t="str">
        <f t="shared" si="13"/>
        <v>Y</v>
      </c>
      <c r="AA418" t="s">
        <v>1147</v>
      </c>
      <c r="AB418" t="s">
        <v>1146</v>
      </c>
      <c r="AC418" t="s">
        <v>992</v>
      </c>
      <c r="AD418" t="s">
        <v>1100</v>
      </c>
      <c r="AE418" t="s">
        <v>1158</v>
      </c>
      <c r="AF418" t="s">
        <v>3</v>
      </c>
      <c r="AG418" t="s">
        <v>1100</v>
      </c>
    </row>
    <row r="419" spans="1:92" x14ac:dyDescent="0.2">
      <c r="B419" t="s">
        <v>366</v>
      </c>
      <c r="C419" t="s">
        <v>982</v>
      </c>
      <c r="E419">
        <v>2019</v>
      </c>
      <c r="F419" t="s">
        <v>503</v>
      </c>
      <c r="G419" t="s">
        <v>513</v>
      </c>
      <c r="H419" s="13">
        <f t="shared" si="15"/>
        <v>54.188333333333333</v>
      </c>
      <c r="I419" s="13">
        <f t="shared" si="16"/>
        <v>7.9</v>
      </c>
      <c r="J419" s="13">
        <v>1962</v>
      </c>
      <c r="K419" s="13">
        <v>2015</v>
      </c>
      <c r="L419" s="13">
        <f t="shared" si="14"/>
        <v>54</v>
      </c>
      <c r="M419" t="s">
        <v>369</v>
      </c>
      <c r="N419" t="s">
        <v>299</v>
      </c>
      <c r="O419" t="s">
        <v>381</v>
      </c>
      <c r="P419" t="s">
        <v>381</v>
      </c>
      <c r="Q419" t="s">
        <v>436</v>
      </c>
      <c r="R419" t="s">
        <v>864</v>
      </c>
      <c r="S419" t="s">
        <v>1076</v>
      </c>
      <c r="T419">
        <v>113.202247191011</v>
      </c>
      <c r="U419" t="s">
        <v>901</v>
      </c>
      <c r="V419">
        <v>-12.977528089887997</v>
      </c>
      <c r="W419" t="s">
        <v>3</v>
      </c>
      <c r="X419" t="s">
        <v>3</v>
      </c>
      <c r="Y419" t="s">
        <v>366</v>
      </c>
      <c r="Z419" s="4" t="str">
        <f t="shared" si="13"/>
        <v>Y</v>
      </c>
      <c r="AA419" t="s">
        <v>1147</v>
      </c>
      <c r="AB419" t="s">
        <v>1146</v>
      </c>
      <c r="AC419" t="s">
        <v>992</v>
      </c>
      <c r="AD419" t="s">
        <v>1100</v>
      </c>
      <c r="AE419" t="s">
        <v>1158</v>
      </c>
      <c r="AF419" t="s">
        <v>3</v>
      </c>
      <c r="AG419" t="s">
        <v>1100</v>
      </c>
    </row>
    <row r="420" spans="1:92" x14ac:dyDescent="0.2">
      <c r="B420" t="s">
        <v>366</v>
      </c>
      <c r="C420" t="s">
        <v>982</v>
      </c>
      <c r="E420">
        <v>2019</v>
      </c>
      <c r="F420" t="s">
        <v>503</v>
      </c>
      <c r="G420" t="s">
        <v>513</v>
      </c>
      <c r="H420" s="13">
        <f t="shared" si="15"/>
        <v>54.188333333333333</v>
      </c>
      <c r="I420" s="13">
        <f t="shared" si="16"/>
        <v>7.9</v>
      </c>
      <c r="J420" s="13">
        <v>1962</v>
      </c>
      <c r="K420" s="13">
        <v>2015</v>
      </c>
      <c r="L420" s="13">
        <f t="shared" si="14"/>
        <v>54</v>
      </c>
      <c r="M420" t="s">
        <v>369</v>
      </c>
      <c r="N420" t="s">
        <v>299</v>
      </c>
      <c r="O420" t="s">
        <v>381</v>
      </c>
      <c r="P420" t="s">
        <v>381</v>
      </c>
      <c r="Q420" t="s">
        <v>897</v>
      </c>
      <c r="R420" t="s">
        <v>864</v>
      </c>
      <c r="S420" t="s">
        <v>1076</v>
      </c>
      <c r="T420">
        <v>122.640449438202</v>
      </c>
      <c r="U420" t="s">
        <v>901</v>
      </c>
      <c r="V420">
        <v>-11.797752808989003</v>
      </c>
      <c r="W420" t="s">
        <v>3</v>
      </c>
      <c r="X420" t="s">
        <v>3</v>
      </c>
      <c r="Y420" t="s">
        <v>366</v>
      </c>
      <c r="Z420" s="4" t="str">
        <f t="shared" si="13"/>
        <v>Y</v>
      </c>
      <c r="AA420" t="s">
        <v>1147</v>
      </c>
      <c r="AB420" t="s">
        <v>1146</v>
      </c>
      <c r="AC420" t="s">
        <v>992</v>
      </c>
      <c r="AD420" t="s">
        <v>1100</v>
      </c>
      <c r="AE420" t="s">
        <v>1158</v>
      </c>
      <c r="AF420" t="s">
        <v>3</v>
      </c>
      <c r="AG420" t="s">
        <v>1100</v>
      </c>
    </row>
    <row r="421" spans="1:92" x14ac:dyDescent="0.2">
      <c r="B421" t="s">
        <v>366</v>
      </c>
      <c r="C421" t="s">
        <v>982</v>
      </c>
      <c r="E421">
        <v>2019</v>
      </c>
      <c r="F421" t="s">
        <v>503</v>
      </c>
      <c r="G421" t="s">
        <v>513</v>
      </c>
      <c r="H421" s="13">
        <f t="shared" si="15"/>
        <v>54.188333333333333</v>
      </c>
      <c r="I421" s="13">
        <f t="shared" si="16"/>
        <v>7.9</v>
      </c>
      <c r="J421" s="13">
        <v>1962</v>
      </c>
      <c r="K421" s="13">
        <v>2015</v>
      </c>
      <c r="L421" s="13">
        <f t="shared" si="14"/>
        <v>54</v>
      </c>
      <c r="M421" t="s">
        <v>369</v>
      </c>
      <c r="N421" t="s">
        <v>299</v>
      </c>
      <c r="O421" t="s">
        <v>381</v>
      </c>
      <c r="P421" t="s">
        <v>381</v>
      </c>
      <c r="Q421" t="s">
        <v>896</v>
      </c>
      <c r="R421" t="s">
        <v>864</v>
      </c>
      <c r="S421" t="s">
        <v>1076</v>
      </c>
      <c r="T421">
        <v>117.13483146067399</v>
      </c>
      <c r="U421" t="s">
        <v>901</v>
      </c>
      <c r="V421">
        <v>-15.730337078651999</v>
      </c>
      <c r="W421" t="s">
        <v>3</v>
      </c>
      <c r="X421" t="s">
        <v>3</v>
      </c>
      <c r="Y421" t="s">
        <v>366</v>
      </c>
      <c r="Z421" s="4" t="str">
        <f t="shared" si="13"/>
        <v>Y</v>
      </c>
      <c r="AA421" t="s">
        <v>1147</v>
      </c>
      <c r="AB421" t="s">
        <v>1146</v>
      </c>
      <c r="AC421" t="s">
        <v>992</v>
      </c>
      <c r="AD421" t="s">
        <v>1100</v>
      </c>
      <c r="AE421" t="s">
        <v>1158</v>
      </c>
      <c r="AF421" t="s">
        <v>3</v>
      </c>
      <c r="AG421" t="s">
        <v>1100</v>
      </c>
    </row>
    <row r="422" spans="1:92" x14ac:dyDescent="0.2">
      <c r="B422" t="s">
        <v>366</v>
      </c>
      <c r="C422" t="s">
        <v>982</v>
      </c>
      <c r="E422">
        <v>2019</v>
      </c>
      <c r="F422" t="s">
        <v>503</v>
      </c>
      <c r="G422" t="s">
        <v>513</v>
      </c>
      <c r="H422" s="13">
        <f t="shared" si="15"/>
        <v>54.188333333333333</v>
      </c>
      <c r="I422" s="13">
        <f t="shared" si="16"/>
        <v>7.9</v>
      </c>
      <c r="J422" s="13">
        <v>1962</v>
      </c>
      <c r="K422" s="13">
        <v>2015</v>
      </c>
      <c r="L422" s="13">
        <f t="shared" si="14"/>
        <v>54</v>
      </c>
      <c r="M422" t="s">
        <v>369</v>
      </c>
      <c r="N422" t="s">
        <v>299</v>
      </c>
      <c r="O422" t="s">
        <v>381</v>
      </c>
      <c r="P422" t="s">
        <v>381</v>
      </c>
      <c r="Q422" t="s">
        <v>883</v>
      </c>
      <c r="R422" t="s">
        <v>864</v>
      </c>
      <c r="S422" t="s">
        <v>1076</v>
      </c>
      <c r="T422">
        <v>134.831460674157</v>
      </c>
      <c r="U422" t="s">
        <v>901</v>
      </c>
      <c r="V422">
        <v>-19.269662921348001</v>
      </c>
      <c r="W422" t="s">
        <v>3</v>
      </c>
      <c r="X422" t="s">
        <v>3</v>
      </c>
      <c r="Y422" t="s">
        <v>366</v>
      </c>
      <c r="Z422" s="4" t="str">
        <f t="shared" si="13"/>
        <v>Y</v>
      </c>
      <c r="AA422" t="s">
        <v>1147</v>
      </c>
      <c r="AB422" t="s">
        <v>1146</v>
      </c>
      <c r="AC422" t="s">
        <v>992</v>
      </c>
      <c r="AD422" t="s">
        <v>1100</v>
      </c>
      <c r="AE422" t="s">
        <v>1158</v>
      </c>
      <c r="AF422" t="s">
        <v>3</v>
      </c>
      <c r="AG422" t="s">
        <v>1100</v>
      </c>
    </row>
    <row r="423" spans="1:92" x14ac:dyDescent="0.2">
      <c r="B423" t="s">
        <v>366</v>
      </c>
      <c r="C423" t="s">
        <v>982</v>
      </c>
      <c r="E423">
        <v>2019</v>
      </c>
      <c r="F423" t="s">
        <v>503</v>
      </c>
      <c r="G423" t="s">
        <v>513</v>
      </c>
      <c r="H423" s="13">
        <f t="shared" si="15"/>
        <v>54.188333333333333</v>
      </c>
      <c r="I423" s="13">
        <f t="shared" si="16"/>
        <v>7.9</v>
      </c>
      <c r="J423" s="13">
        <v>1962</v>
      </c>
      <c r="K423" s="13">
        <v>2015</v>
      </c>
      <c r="L423" s="13">
        <f t="shared" si="14"/>
        <v>54</v>
      </c>
      <c r="M423" t="s">
        <v>369</v>
      </c>
      <c r="N423" t="s">
        <v>299</v>
      </c>
      <c r="O423" t="s">
        <v>381</v>
      </c>
      <c r="P423" t="s">
        <v>381</v>
      </c>
      <c r="Q423" t="s">
        <v>887</v>
      </c>
      <c r="R423" t="s">
        <v>864</v>
      </c>
      <c r="S423" t="s">
        <v>1076</v>
      </c>
      <c r="T423">
        <v>132.078651685393</v>
      </c>
      <c r="U423" t="s">
        <v>901</v>
      </c>
      <c r="V423">
        <v>-14.943820224719005</v>
      </c>
      <c r="W423" t="s">
        <v>3</v>
      </c>
      <c r="X423" t="s">
        <v>3</v>
      </c>
      <c r="Y423" t="s">
        <v>366</v>
      </c>
      <c r="Z423" s="4" t="str">
        <f t="shared" si="13"/>
        <v>Y</v>
      </c>
      <c r="AA423" t="s">
        <v>1147</v>
      </c>
      <c r="AB423" t="s">
        <v>1146</v>
      </c>
      <c r="AC423" t="s">
        <v>992</v>
      </c>
      <c r="AD423" t="s">
        <v>1100</v>
      </c>
      <c r="AE423" t="s">
        <v>1158</v>
      </c>
      <c r="AF423" t="s">
        <v>3</v>
      </c>
      <c r="AG423" t="s">
        <v>1100</v>
      </c>
    </row>
    <row r="424" spans="1:92" x14ac:dyDescent="0.2">
      <c r="B424" t="s">
        <v>366</v>
      </c>
      <c r="C424" t="s">
        <v>982</v>
      </c>
      <c r="E424">
        <v>2019</v>
      </c>
      <c r="F424" t="s">
        <v>503</v>
      </c>
      <c r="G424" t="s">
        <v>513</v>
      </c>
      <c r="H424" s="13">
        <f t="shared" si="15"/>
        <v>54.188333333333333</v>
      </c>
      <c r="I424" s="13">
        <f t="shared" si="16"/>
        <v>7.9</v>
      </c>
      <c r="J424" s="13">
        <v>1962</v>
      </c>
      <c r="K424" s="13">
        <v>2015</v>
      </c>
      <c r="L424" s="13">
        <f t="shared" si="14"/>
        <v>54</v>
      </c>
      <c r="M424" t="s">
        <v>369</v>
      </c>
      <c r="N424" t="s">
        <v>299</v>
      </c>
      <c r="O424" t="s">
        <v>381</v>
      </c>
      <c r="P424" t="s">
        <v>381</v>
      </c>
      <c r="Q424" t="s">
        <v>983</v>
      </c>
      <c r="R424" t="s">
        <v>864</v>
      </c>
      <c r="S424" t="s">
        <v>1076</v>
      </c>
      <c r="T424">
        <v>128.14606741572999</v>
      </c>
      <c r="U424" t="s">
        <v>901</v>
      </c>
      <c r="V424">
        <v>-5.5056179775279901</v>
      </c>
      <c r="W424" t="s">
        <v>3</v>
      </c>
      <c r="X424" t="s">
        <v>3</v>
      </c>
      <c r="Y424" t="s">
        <v>366</v>
      </c>
      <c r="Z424" s="4" t="str">
        <f t="shared" si="13"/>
        <v>Y</v>
      </c>
      <c r="AA424" t="s">
        <v>1147</v>
      </c>
      <c r="AB424" t="s">
        <v>1146</v>
      </c>
      <c r="AC424" t="s">
        <v>992</v>
      </c>
      <c r="AD424" t="s">
        <v>1100</v>
      </c>
      <c r="AE424" t="s">
        <v>1158</v>
      </c>
      <c r="AF424" t="s">
        <v>3</v>
      </c>
      <c r="AG424" t="s">
        <v>1100</v>
      </c>
    </row>
    <row r="425" spans="1:92" x14ac:dyDescent="0.2">
      <c r="B425" t="s">
        <v>366</v>
      </c>
      <c r="C425" t="s">
        <v>982</v>
      </c>
      <c r="E425">
        <v>2019</v>
      </c>
      <c r="F425" t="s">
        <v>503</v>
      </c>
      <c r="G425" t="s">
        <v>513</v>
      </c>
      <c r="H425" s="13">
        <f t="shared" si="15"/>
        <v>54.188333333333333</v>
      </c>
      <c r="I425" s="13">
        <f t="shared" si="16"/>
        <v>7.9</v>
      </c>
      <c r="J425" s="13">
        <v>1962</v>
      </c>
      <c r="K425" s="13">
        <v>2015</v>
      </c>
      <c r="L425" s="13">
        <f t="shared" si="14"/>
        <v>54</v>
      </c>
      <c r="M425" t="s">
        <v>369</v>
      </c>
      <c r="N425" t="s">
        <v>299</v>
      </c>
      <c r="O425" t="s">
        <v>381</v>
      </c>
      <c r="P425" t="s">
        <v>381</v>
      </c>
      <c r="Q425" t="s">
        <v>984</v>
      </c>
      <c r="R425" t="s">
        <v>864</v>
      </c>
      <c r="S425" t="s">
        <v>1076</v>
      </c>
      <c r="T425">
        <v>156.460674157303</v>
      </c>
      <c r="U425" t="s">
        <v>1068</v>
      </c>
      <c r="V425">
        <v>-4.325842696628996</v>
      </c>
      <c r="W425" t="s">
        <v>3</v>
      </c>
      <c r="X425" t="s">
        <v>3</v>
      </c>
      <c r="Y425" t="s">
        <v>366</v>
      </c>
      <c r="Z425" s="4" t="str">
        <f t="shared" si="13"/>
        <v>Y</v>
      </c>
      <c r="AA425" t="s">
        <v>1147</v>
      </c>
      <c r="AB425" t="s">
        <v>1146</v>
      </c>
      <c r="AC425" t="s">
        <v>992</v>
      </c>
      <c r="AD425" t="s">
        <v>1100</v>
      </c>
      <c r="AE425" t="s">
        <v>1158</v>
      </c>
      <c r="AF425" t="s">
        <v>3</v>
      </c>
      <c r="AG425" t="s">
        <v>1100</v>
      </c>
    </row>
    <row r="426" spans="1:92" x14ac:dyDescent="0.2">
      <c r="B426" t="s">
        <v>366</v>
      </c>
      <c r="C426" t="s">
        <v>982</v>
      </c>
      <c r="E426">
        <v>2019</v>
      </c>
      <c r="F426" t="s">
        <v>503</v>
      </c>
      <c r="G426" t="s">
        <v>513</v>
      </c>
      <c r="H426" s="13">
        <f t="shared" si="15"/>
        <v>54.188333333333333</v>
      </c>
      <c r="I426" s="13">
        <f t="shared" si="16"/>
        <v>7.9</v>
      </c>
      <c r="J426" s="13">
        <v>1962</v>
      </c>
      <c r="K426" s="13">
        <v>2015</v>
      </c>
      <c r="L426" s="13">
        <f t="shared" si="14"/>
        <v>54</v>
      </c>
      <c r="M426" t="s">
        <v>369</v>
      </c>
      <c r="N426" t="s">
        <v>299</v>
      </c>
      <c r="O426" t="s">
        <v>381</v>
      </c>
      <c r="P426" t="s">
        <v>381</v>
      </c>
      <c r="Q426" t="s">
        <v>985</v>
      </c>
      <c r="R426" t="s">
        <v>864</v>
      </c>
      <c r="S426" t="s">
        <v>1076</v>
      </c>
      <c r="T426">
        <v>186.741573033707</v>
      </c>
      <c r="U426" t="s">
        <v>1068</v>
      </c>
      <c r="V426">
        <v>0</v>
      </c>
      <c r="W426" t="s">
        <v>164</v>
      </c>
      <c r="X426" t="s">
        <v>3</v>
      </c>
      <c r="Y426" t="s">
        <v>366</v>
      </c>
      <c r="Z426" s="4" t="str">
        <f t="shared" si="13"/>
        <v>Y</v>
      </c>
      <c r="AA426" t="s">
        <v>1147</v>
      </c>
      <c r="AB426" t="s">
        <v>1146</v>
      </c>
      <c r="AC426" t="s">
        <v>992</v>
      </c>
      <c r="AD426" t="s">
        <v>1100</v>
      </c>
      <c r="AE426" t="s">
        <v>1158</v>
      </c>
      <c r="AF426" t="s">
        <v>3</v>
      </c>
      <c r="AG426" t="s">
        <v>1100</v>
      </c>
    </row>
    <row r="427" spans="1:92" x14ac:dyDescent="0.2">
      <c r="B427" t="s">
        <v>366</v>
      </c>
      <c r="C427" t="s">
        <v>982</v>
      </c>
      <c r="E427">
        <v>2019</v>
      </c>
      <c r="F427" t="s">
        <v>503</v>
      </c>
      <c r="G427" t="s">
        <v>513</v>
      </c>
      <c r="H427" s="13">
        <f t="shared" si="15"/>
        <v>54.188333333333333</v>
      </c>
      <c r="I427" s="13">
        <f t="shared" si="16"/>
        <v>7.9</v>
      </c>
      <c r="J427" s="13">
        <v>1962</v>
      </c>
      <c r="K427" s="13">
        <v>2015</v>
      </c>
      <c r="L427" s="13">
        <f t="shared" si="14"/>
        <v>54</v>
      </c>
      <c r="M427" t="s">
        <v>369</v>
      </c>
      <c r="N427" t="s">
        <v>299</v>
      </c>
      <c r="O427" t="s">
        <v>381</v>
      </c>
      <c r="P427" t="s">
        <v>381</v>
      </c>
      <c r="Q427" t="s">
        <v>990</v>
      </c>
      <c r="R427" t="s">
        <v>864</v>
      </c>
      <c r="S427" t="s">
        <v>1076</v>
      </c>
      <c r="T427">
        <v>187.13483146067401</v>
      </c>
      <c r="U427" t="s">
        <v>1068</v>
      </c>
      <c r="V427">
        <v>-10.224719101124009</v>
      </c>
      <c r="W427" t="s">
        <v>3</v>
      </c>
      <c r="X427" t="s">
        <v>3</v>
      </c>
      <c r="Y427" t="s">
        <v>366</v>
      </c>
      <c r="Z427" s="4" t="str">
        <f t="shared" si="13"/>
        <v>Y</v>
      </c>
      <c r="AA427" t="s">
        <v>1147</v>
      </c>
      <c r="AB427" t="s">
        <v>1146</v>
      </c>
      <c r="AC427" t="s">
        <v>992</v>
      </c>
      <c r="AD427" t="s">
        <v>1100</v>
      </c>
      <c r="AE427" t="s">
        <v>1158</v>
      </c>
      <c r="AF427" t="s">
        <v>3</v>
      </c>
      <c r="AG427" t="s">
        <v>1100</v>
      </c>
    </row>
    <row r="428" spans="1:92" x14ac:dyDescent="0.2">
      <c r="B428" t="s">
        <v>366</v>
      </c>
      <c r="C428" t="s">
        <v>982</v>
      </c>
      <c r="E428">
        <v>2019</v>
      </c>
      <c r="F428" t="s">
        <v>503</v>
      </c>
      <c r="G428" t="s">
        <v>513</v>
      </c>
      <c r="H428" s="13">
        <f t="shared" si="15"/>
        <v>54.188333333333333</v>
      </c>
      <c r="I428" s="13">
        <f t="shared" si="16"/>
        <v>7.9</v>
      </c>
      <c r="J428" s="13">
        <v>1962</v>
      </c>
      <c r="K428" s="13">
        <v>2015</v>
      </c>
      <c r="L428" s="13">
        <f t="shared" si="14"/>
        <v>54</v>
      </c>
      <c r="M428" t="s">
        <v>369</v>
      </c>
      <c r="N428" t="s">
        <v>299</v>
      </c>
      <c r="O428" t="s">
        <v>532</v>
      </c>
      <c r="P428" t="s">
        <v>532</v>
      </c>
      <c r="Q428" t="s">
        <v>531</v>
      </c>
      <c r="R428" t="s">
        <v>864</v>
      </c>
      <c r="S428" t="s">
        <v>1076</v>
      </c>
      <c r="T428">
        <v>198.539325842696</v>
      </c>
      <c r="U428" t="s">
        <v>1068</v>
      </c>
      <c r="V428">
        <v>-4.325842696628996</v>
      </c>
      <c r="W428" t="s">
        <v>3</v>
      </c>
      <c r="X428" t="s">
        <v>3</v>
      </c>
      <c r="Y428" t="s">
        <v>366</v>
      </c>
      <c r="Z428" s="4" t="str">
        <f t="shared" si="13"/>
        <v>Y</v>
      </c>
      <c r="AA428" t="s">
        <v>1147</v>
      </c>
      <c r="AB428" t="s">
        <v>1146</v>
      </c>
      <c r="AC428" t="s">
        <v>992</v>
      </c>
      <c r="AD428" t="s">
        <v>1100</v>
      </c>
      <c r="AE428" t="s">
        <v>1158</v>
      </c>
      <c r="AF428" t="s">
        <v>3</v>
      </c>
      <c r="AG428" t="s">
        <v>1100</v>
      </c>
    </row>
    <row r="429" spans="1:92" x14ac:dyDescent="0.2">
      <c r="B429" t="s">
        <v>366</v>
      </c>
      <c r="C429" t="s">
        <v>982</v>
      </c>
      <c r="E429">
        <v>2019</v>
      </c>
      <c r="F429" t="s">
        <v>503</v>
      </c>
      <c r="G429" t="s">
        <v>513</v>
      </c>
      <c r="H429" s="13">
        <f t="shared" si="15"/>
        <v>54.188333333333333</v>
      </c>
      <c r="I429" s="13">
        <f t="shared" si="16"/>
        <v>7.9</v>
      </c>
      <c r="J429" s="13">
        <v>1962</v>
      </c>
      <c r="K429" s="13">
        <v>2015</v>
      </c>
      <c r="L429" s="13">
        <f t="shared" si="14"/>
        <v>54</v>
      </c>
      <c r="M429" t="s">
        <v>369</v>
      </c>
      <c r="N429" t="s">
        <v>299</v>
      </c>
      <c r="O429" t="s">
        <v>381</v>
      </c>
      <c r="P429" t="s">
        <v>381</v>
      </c>
      <c r="Q429" t="s">
        <v>991</v>
      </c>
      <c r="R429" t="s">
        <v>864</v>
      </c>
      <c r="S429" t="s">
        <v>1076</v>
      </c>
      <c r="T429">
        <v>200.112359550561</v>
      </c>
      <c r="U429" t="s">
        <v>1068</v>
      </c>
      <c r="V429">
        <v>-11.797752808988008</v>
      </c>
      <c r="W429" t="s">
        <v>3</v>
      </c>
      <c r="X429" t="s">
        <v>3</v>
      </c>
      <c r="Y429" t="s">
        <v>366</v>
      </c>
      <c r="Z429" s="4" t="str">
        <f t="shared" si="13"/>
        <v>Y</v>
      </c>
      <c r="AA429" t="s">
        <v>1147</v>
      </c>
      <c r="AB429" t="s">
        <v>1146</v>
      </c>
      <c r="AC429" t="s">
        <v>992</v>
      </c>
      <c r="AD429" t="s">
        <v>1100</v>
      </c>
      <c r="AE429" t="s">
        <v>1158</v>
      </c>
      <c r="AF429" t="s">
        <v>3</v>
      </c>
      <c r="AG429" t="s">
        <v>1100</v>
      </c>
    </row>
    <row r="430" spans="1:92" x14ac:dyDescent="0.2">
      <c r="B430" t="s">
        <v>366</v>
      </c>
      <c r="C430" t="s">
        <v>982</v>
      </c>
      <c r="E430">
        <v>2019</v>
      </c>
      <c r="F430" t="s">
        <v>503</v>
      </c>
      <c r="G430" t="s">
        <v>513</v>
      </c>
      <c r="H430" s="13">
        <f t="shared" si="15"/>
        <v>54.188333333333333</v>
      </c>
      <c r="I430" s="13">
        <f t="shared" si="16"/>
        <v>7.9</v>
      </c>
      <c r="J430" s="13">
        <v>1962</v>
      </c>
      <c r="K430" s="13">
        <v>2015</v>
      </c>
      <c r="L430" s="13">
        <f t="shared" si="14"/>
        <v>54</v>
      </c>
      <c r="M430" t="s">
        <v>369</v>
      </c>
      <c r="N430" t="s">
        <v>299</v>
      </c>
      <c r="O430" t="s">
        <v>381</v>
      </c>
      <c r="P430" t="s">
        <v>381</v>
      </c>
      <c r="Q430" t="s">
        <v>986</v>
      </c>
      <c r="R430" t="s">
        <v>864</v>
      </c>
      <c r="S430" t="s">
        <v>1076</v>
      </c>
      <c r="T430">
        <v>213.08988764044901</v>
      </c>
      <c r="U430" t="s">
        <v>1068</v>
      </c>
      <c r="V430">
        <v>-28.314606741573016</v>
      </c>
      <c r="W430" t="s">
        <v>3</v>
      </c>
      <c r="X430" t="s">
        <v>3</v>
      </c>
      <c r="Y430" t="s">
        <v>366</v>
      </c>
      <c r="Z430" s="4" t="str">
        <f t="shared" si="13"/>
        <v>Y</v>
      </c>
      <c r="AA430" t="s">
        <v>1147</v>
      </c>
      <c r="AB430" t="s">
        <v>1146</v>
      </c>
      <c r="AC430" t="s">
        <v>992</v>
      </c>
      <c r="AD430" t="s">
        <v>1100</v>
      </c>
      <c r="AE430" t="s">
        <v>1158</v>
      </c>
      <c r="AF430" t="s">
        <v>3</v>
      </c>
      <c r="AG430" t="s">
        <v>1100</v>
      </c>
      <c r="AM430">
        <v>94.719101123595493</v>
      </c>
      <c r="AN430">
        <v>0.99756554307116097</v>
      </c>
      <c r="AO430">
        <v>113.202247191011</v>
      </c>
      <c r="AP430">
        <v>1.9969101123595501</v>
      </c>
      <c r="AQ430">
        <v>122.640449438202</v>
      </c>
      <c r="AR430">
        <v>2.9397088866189902</v>
      </c>
      <c r="AS430">
        <v>117.13483146067399</v>
      </c>
      <c r="AT430">
        <v>3.9458035410282601</v>
      </c>
      <c r="AU430">
        <v>134.831460674157</v>
      </c>
      <c r="AV430">
        <v>4.9453694245828999</v>
      </c>
      <c r="AW430">
        <v>132.078651685393</v>
      </c>
      <c r="AX430">
        <v>6.00978038815117</v>
      </c>
      <c r="AY430">
        <v>128.14606741572999</v>
      </c>
      <c r="AZ430">
        <v>7.0154324140279201</v>
      </c>
      <c r="BA430">
        <v>156.460674157303</v>
      </c>
      <c r="BB430">
        <v>7.95291964589717</v>
      </c>
      <c r="BC430">
        <v>186.741573033707</v>
      </c>
      <c r="BD430">
        <v>8.9489445011916899</v>
      </c>
      <c r="BE430">
        <v>187.13483146067401</v>
      </c>
      <c r="BF430">
        <v>9.9533792986040108</v>
      </c>
      <c r="BG430">
        <v>198.539325842696</v>
      </c>
      <c r="BH430">
        <v>10.9547156962887</v>
      </c>
      <c r="BI430">
        <v>200.112359550561</v>
      </c>
      <c r="BJ430">
        <v>11.9588185223016</v>
      </c>
      <c r="BK430">
        <v>213.08988764044901</v>
      </c>
      <c r="BL430">
        <v>12.959712291453799</v>
      </c>
      <c r="BM430">
        <v>206.40449438202199</v>
      </c>
      <c r="BN430">
        <v>13.9661389172625</v>
      </c>
      <c r="BO430">
        <v>207.19101123595499</v>
      </c>
      <c r="BP430">
        <v>14.9704630575417</v>
      </c>
      <c r="BQ430">
        <v>233.93258426966199</v>
      </c>
      <c r="BR430">
        <v>15.9083929179434</v>
      </c>
      <c r="BS430">
        <v>219.38202247191001</v>
      </c>
      <c r="BT430">
        <v>16.9170326864147</v>
      </c>
      <c r="BU430">
        <v>211.51685393258401</v>
      </c>
      <c r="BV430">
        <v>17.923791283622698</v>
      </c>
      <c r="BW430">
        <v>228.82022471910099</v>
      </c>
      <c r="BX430">
        <v>18.982558733401401</v>
      </c>
      <c r="BY430">
        <v>232.752808988764</v>
      </c>
      <c r="BZ430">
        <v>19.985997616615499</v>
      </c>
      <c r="CA430">
        <v>208.370786516853</v>
      </c>
      <c r="CB430">
        <v>20.9383129043241</v>
      </c>
      <c r="CC430">
        <v>229.60674157303299</v>
      </c>
      <c r="CD430">
        <v>21.936882873680599</v>
      </c>
      <c r="CE430">
        <v>236.29213483146</v>
      </c>
      <c r="CF430">
        <v>22.939547156962799</v>
      </c>
      <c r="CG430">
        <v>238.25842696629201</v>
      </c>
      <c r="CH430">
        <v>23.9435393258426</v>
      </c>
      <c r="CI430">
        <v>239.831460674157</v>
      </c>
      <c r="CJ430">
        <v>24.9476421518556</v>
      </c>
      <c r="CK430">
        <v>244.94382022471899</v>
      </c>
      <c r="CL430">
        <v>25.950749063670401</v>
      </c>
      <c r="CM430">
        <v>257.13483146067398</v>
      </c>
      <c r="CN430">
        <v>27.0109550561797</v>
      </c>
    </row>
    <row r="431" spans="1:92" s="24" customFormat="1" x14ac:dyDescent="0.2">
      <c r="A431"/>
      <c r="B431" t="s">
        <v>366</v>
      </c>
      <c r="C431" t="s">
        <v>982</v>
      </c>
      <c r="D431"/>
      <c r="E431">
        <v>2019</v>
      </c>
      <c r="F431" t="s">
        <v>503</v>
      </c>
      <c r="G431" t="s">
        <v>513</v>
      </c>
      <c r="H431" s="13">
        <f t="shared" si="15"/>
        <v>54.188333333333333</v>
      </c>
      <c r="I431" s="13">
        <f t="shared" si="16"/>
        <v>7.9</v>
      </c>
      <c r="J431" s="13">
        <v>1962</v>
      </c>
      <c r="K431" s="13">
        <v>2015</v>
      </c>
      <c r="L431" s="13">
        <f t="shared" si="14"/>
        <v>54</v>
      </c>
      <c r="M431" t="s">
        <v>369</v>
      </c>
      <c r="N431" t="s">
        <v>299</v>
      </c>
      <c r="O431" t="s">
        <v>381</v>
      </c>
      <c r="P431" t="s">
        <v>381</v>
      </c>
      <c r="Q431" t="s">
        <v>894</v>
      </c>
      <c r="R431" t="s">
        <v>864</v>
      </c>
      <c r="S431" t="s">
        <v>1076</v>
      </c>
      <c r="T431">
        <v>206.40449438202199</v>
      </c>
      <c r="U431" t="s">
        <v>1068</v>
      </c>
      <c r="V431">
        <v>-15.730337078651985</v>
      </c>
      <c r="W431" t="s">
        <v>3</v>
      </c>
      <c r="X431" t="s">
        <v>3</v>
      </c>
      <c r="Y431" t="s">
        <v>366</v>
      </c>
      <c r="Z431" s="4" t="str">
        <f t="shared" si="13"/>
        <v>Y</v>
      </c>
      <c r="AA431" t="s">
        <v>1147</v>
      </c>
      <c r="AB431" t="s">
        <v>1146</v>
      </c>
      <c r="AC431" t="s">
        <v>992</v>
      </c>
      <c r="AD431" t="s">
        <v>1100</v>
      </c>
      <c r="AE431" t="s">
        <v>1158</v>
      </c>
      <c r="AF431" t="s">
        <v>3</v>
      </c>
      <c r="AG431" t="s">
        <v>1100</v>
      </c>
      <c r="AH431"/>
      <c r="AI431"/>
      <c r="AJ431"/>
      <c r="AK431"/>
      <c r="AL431"/>
      <c r="AM431">
        <v>94.719101123595493</v>
      </c>
      <c r="AN431">
        <v>0.99756554307116097</v>
      </c>
      <c r="AO431">
        <v>100.224719101123</v>
      </c>
      <c r="AP431">
        <v>2.0005617977528098</v>
      </c>
      <c r="AQ431">
        <v>110.84269662921299</v>
      </c>
      <c r="AR431">
        <v>2.9430286006128599</v>
      </c>
      <c r="AS431">
        <v>101.40449438202199</v>
      </c>
      <c r="AT431">
        <v>3.9502298263534201</v>
      </c>
      <c r="AU431">
        <v>115.561797752809</v>
      </c>
      <c r="AV431">
        <v>4.9507916241062304</v>
      </c>
      <c r="AW431">
        <v>117.13483146067399</v>
      </c>
      <c r="AX431">
        <v>5.9548944501191601</v>
      </c>
      <c r="AY431">
        <v>122.640449438202</v>
      </c>
      <c r="AZ431">
        <v>7.01698161389172</v>
      </c>
      <c r="BA431">
        <v>152.13483146067401</v>
      </c>
      <c r="BB431">
        <v>7.9541368743615903</v>
      </c>
      <c r="BC431">
        <v>186.741573033707</v>
      </c>
      <c r="BD431">
        <v>8.9489445011916899</v>
      </c>
      <c r="BE431">
        <v>176.91011235955</v>
      </c>
      <c r="BF431">
        <v>9.9562563840653695</v>
      </c>
      <c r="BG431">
        <v>194.21348314606701</v>
      </c>
      <c r="BH431">
        <v>10.9559329247531</v>
      </c>
      <c r="BI431">
        <v>188.31460674157299</v>
      </c>
      <c r="BJ431">
        <v>11.9621382362955</v>
      </c>
      <c r="BK431">
        <v>184.77528089887599</v>
      </c>
      <c r="BL431">
        <v>12.9676796050391</v>
      </c>
      <c r="BM431">
        <v>190.67415730337001</v>
      </c>
      <c r="BN431">
        <v>13.970565202587601</v>
      </c>
      <c r="BO431">
        <v>197.752808988764</v>
      </c>
      <c r="BP431">
        <v>14.9731188287368</v>
      </c>
      <c r="BQ431">
        <v>205.617977528089</v>
      </c>
      <c r="BR431">
        <v>15.975451140619599</v>
      </c>
      <c r="BS431">
        <v>215.05617977527999</v>
      </c>
      <c r="BT431">
        <v>16.918249914879102</v>
      </c>
      <c r="BU431">
        <v>218.988764044943</v>
      </c>
      <c r="BV431">
        <v>17.9216887980932</v>
      </c>
      <c r="BW431">
        <v>214.662921348314</v>
      </c>
      <c r="BX431">
        <v>18.927451481103098</v>
      </c>
      <c r="BY431">
        <v>224.494382022471</v>
      </c>
      <c r="BZ431">
        <v>19.988321416411299</v>
      </c>
      <c r="CA431">
        <v>225.280898876404</v>
      </c>
      <c r="CB431">
        <v>20.9335546475995</v>
      </c>
      <c r="CC431">
        <v>241.79775280898801</v>
      </c>
      <c r="CD431">
        <v>21.9334525025536</v>
      </c>
      <c r="CE431">
        <v>240.617977528089</v>
      </c>
      <c r="CF431">
        <v>22.938329928498401</v>
      </c>
      <c r="CG431">
        <v>229.60674157303299</v>
      </c>
      <c r="CH431">
        <v>23.9459737827715</v>
      </c>
      <c r="CI431">
        <v>244.94382022471899</v>
      </c>
      <c r="CJ431">
        <v>24.9462036091249</v>
      </c>
      <c r="CK431">
        <v>256.34831460674098</v>
      </c>
      <c r="CL431">
        <v>25.9475400068096</v>
      </c>
      <c r="CM431">
        <v>280.33707865168498</v>
      </c>
      <c r="CN431">
        <v>26.945335376234201</v>
      </c>
    </row>
    <row r="432" spans="1:92" s="24" customFormat="1" x14ac:dyDescent="0.2">
      <c r="A432"/>
      <c r="B432" t="s">
        <v>366</v>
      </c>
      <c r="C432" t="s">
        <v>982</v>
      </c>
      <c r="D432"/>
      <c r="E432">
        <v>2019</v>
      </c>
      <c r="F432" t="s">
        <v>503</v>
      </c>
      <c r="G432" t="s">
        <v>513</v>
      </c>
      <c r="H432" s="13">
        <f t="shared" si="15"/>
        <v>54.188333333333333</v>
      </c>
      <c r="I432" s="13">
        <f t="shared" si="16"/>
        <v>7.9</v>
      </c>
      <c r="J432" s="13">
        <v>1962</v>
      </c>
      <c r="K432" s="13">
        <v>2015</v>
      </c>
      <c r="L432" s="13">
        <f t="shared" si="14"/>
        <v>54</v>
      </c>
      <c r="M432" t="s">
        <v>369</v>
      </c>
      <c r="N432" t="s">
        <v>299</v>
      </c>
      <c r="O432" t="s">
        <v>532</v>
      </c>
      <c r="P432" t="s">
        <v>532</v>
      </c>
      <c r="Q432" t="s">
        <v>396</v>
      </c>
      <c r="R432" t="s">
        <v>864</v>
      </c>
      <c r="S432" t="s">
        <v>1076</v>
      </c>
      <c r="T432">
        <v>207.19101123595499</v>
      </c>
      <c r="U432" t="s">
        <v>1068</v>
      </c>
      <c r="V432">
        <v>-9.4382022471909863</v>
      </c>
      <c r="W432" t="s">
        <v>3</v>
      </c>
      <c r="X432" t="s">
        <v>3</v>
      </c>
      <c r="Y432" t="s">
        <v>366</v>
      </c>
      <c r="Z432" s="4" t="str">
        <f t="shared" si="13"/>
        <v>Y</v>
      </c>
      <c r="AA432" t="s">
        <v>1147</v>
      </c>
      <c r="AB432" t="s">
        <v>1146</v>
      </c>
      <c r="AC432" t="s">
        <v>992</v>
      </c>
      <c r="AD432" t="s">
        <v>1100</v>
      </c>
      <c r="AE432" t="s">
        <v>1158</v>
      </c>
      <c r="AF432" t="s">
        <v>3</v>
      </c>
      <c r="AG432" t="s">
        <v>1100</v>
      </c>
      <c r="AH432"/>
      <c r="AI432"/>
      <c r="AJ432"/>
      <c r="AK432"/>
      <c r="AL432"/>
      <c r="AM432">
        <f t="shared" ref="AM432:BR432" si="17">AM431-AM430</f>
        <v>0</v>
      </c>
      <c r="AN432">
        <f t="shared" si="17"/>
        <v>0</v>
      </c>
      <c r="AO432">
        <f t="shared" si="17"/>
        <v>-12.977528089887997</v>
      </c>
      <c r="AP432">
        <f t="shared" si="17"/>
        <v>3.6516853932597737E-3</v>
      </c>
      <c r="AQ432">
        <f t="shared" si="17"/>
        <v>-11.797752808989003</v>
      </c>
      <c r="AR432">
        <f t="shared" si="17"/>
        <v>3.3197139938696552E-3</v>
      </c>
      <c r="AS432">
        <f t="shared" si="17"/>
        <v>-15.730337078651999</v>
      </c>
      <c r="AT432">
        <f t="shared" si="17"/>
        <v>4.4262853251599843E-3</v>
      </c>
      <c r="AU432">
        <f t="shared" si="17"/>
        <v>-19.269662921348001</v>
      </c>
      <c r="AV432">
        <f t="shared" si="17"/>
        <v>5.422199523330562E-3</v>
      </c>
      <c r="AW432">
        <f t="shared" si="17"/>
        <v>-14.943820224719005</v>
      </c>
      <c r="AX432">
        <f t="shared" si="17"/>
        <v>-5.4885938032009918E-2</v>
      </c>
      <c r="AY432">
        <f t="shared" si="17"/>
        <v>-5.5056179775279901</v>
      </c>
      <c r="AZ432">
        <f t="shared" si="17"/>
        <v>1.5491998637999771E-3</v>
      </c>
      <c r="BA432">
        <f t="shared" si="17"/>
        <v>-4.325842696628996</v>
      </c>
      <c r="BB432">
        <f t="shared" si="17"/>
        <v>1.2172284644202946E-3</v>
      </c>
      <c r="BC432">
        <f t="shared" si="17"/>
        <v>0</v>
      </c>
      <c r="BD432">
        <f t="shared" si="17"/>
        <v>0</v>
      </c>
      <c r="BE432">
        <f t="shared" si="17"/>
        <v>-10.224719101124009</v>
      </c>
      <c r="BF432">
        <f t="shared" si="17"/>
        <v>2.8770854613586749E-3</v>
      </c>
      <c r="BG432">
        <f t="shared" si="17"/>
        <v>-4.325842696628996</v>
      </c>
      <c r="BH432">
        <f t="shared" si="17"/>
        <v>1.2172284643998665E-3</v>
      </c>
      <c r="BI432">
        <f t="shared" si="17"/>
        <v>-11.797752808988008</v>
      </c>
      <c r="BJ432">
        <f t="shared" si="17"/>
        <v>3.3197139938998532E-3</v>
      </c>
      <c r="BK432">
        <f t="shared" si="17"/>
        <v>-28.314606741573016</v>
      </c>
      <c r="BL432">
        <f t="shared" si="17"/>
        <v>7.9673135853006727E-3</v>
      </c>
      <c r="BM432">
        <f t="shared" si="17"/>
        <v>-15.730337078651985</v>
      </c>
      <c r="BN432">
        <f t="shared" si="17"/>
        <v>4.4262853251009204E-3</v>
      </c>
      <c r="BO432">
        <f t="shared" si="17"/>
        <v>-9.4382022471909863</v>
      </c>
      <c r="BP432">
        <f t="shared" si="17"/>
        <v>2.6557711950996321E-3</v>
      </c>
      <c r="BQ432">
        <f t="shared" si="17"/>
        <v>-28.314606741572987</v>
      </c>
      <c r="BR432">
        <f t="shared" si="17"/>
        <v>6.7058222676198653E-2</v>
      </c>
      <c r="BS432">
        <f t="shared" ref="BS432:CN432" si="18">BS431-BS430</f>
        <v>-4.3258426966300192</v>
      </c>
      <c r="BT432">
        <f t="shared" si="18"/>
        <v>1.2172284644016429E-3</v>
      </c>
      <c r="BU432">
        <f t="shared" si="18"/>
        <v>7.4719101123589837</v>
      </c>
      <c r="BV432">
        <f t="shared" si="18"/>
        <v>-2.1024855294982103E-3</v>
      </c>
      <c r="BW432">
        <f t="shared" si="18"/>
        <v>-14.157303370786991</v>
      </c>
      <c r="BX432">
        <f t="shared" si="18"/>
        <v>-5.5107252298302711E-2</v>
      </c>
      <c r="BY432">
        <f t="shared" si="18"/>
        <v>-8.2584269662930012</v>
      </c>
      <c r="BZ432">
        <f t="shared" si="18"/>
        <v>2.3237997957998857E-3</v>
      </c>
      <c r="CA432">
        <f t="shared" si="18"/>
        <v>16.910112359550993</v>
      </c>
      <c r="CB432">
        <f t="shared" si="18"/>
        <v>-4.7582567245996188E-3</v>
      </c>
      <c r="CC432">
        <f t="shared" si="18"/>
        <v>12.191011235955017</v>
      </c>
      <c r="CD432">
        <f t="shared" si="18"/>
        <v>-3.4303711269991766E-3</v>
      </c>
      <c r="CE432">
        <f t="shared" si="18"/>
        <v>4.325842696628996</v>
      </c>
      <c r="CF432">
        <f t="shared" si="18"/>
        <v>-1.2172284643980902E-3</v>
      </c>
      <c r="CG432">
        <f t="shared" si="18"/>
        <v>-8.6516853932590152</v>
      </c>
      <c r="CH432">
        <f t="shared" si="18"/>
        <v>2.4344569288992091E-3</v>
      </c>
      <c r="CI432">
        <f t="shared" si="18"/>
        <v>5.1123595505619903</v>
      </c>
      <c r="CJ432">
        <f t="shared" si="18"/>
        <v>-1.4385427306997656E-3</v>
      </c>
      <c r="CK432">
        <f t="shared" si="18"/>
        <v>11.404494382021994</v>
      </c>
      <c r="CL432">
        <f t="shared" si="18"/>
        <v>-3.2090568608005299E-3</v>
      </c>
      <c r="CM432">
        <f t="shared" si="18"/>
        <v>23.202247191010997</v>
      </c>
      <c r="CN432">
        <f t="shared" si="18"/>
        <v>-6.5619679945498888E-2</v>
      </c>
    </row>
    <row r="433" spans="1:92" x14ac:dyDescent="0.2">
      <c r="B433" t="s">
        <v>366</v>
      </c>
      <c r="C433" t="s">
        <v>982</v>
      </c>
      <c r="E433">
        <v>2019</v>
      </c>
      <c r="F433" t="s">
        <v>503</v>
      </c>
      <c r="G433" t="s">
        <v>513</v>
      </c>
      <c r="H433" s="13">
        <f t="shared" si="15"/>
        <v>54.188333333333333</v>
      </c>
      <c r="I433" s="13">
        <f t="shared" si="16"/>
        <v>7.9</v>
      </c>
      <c r="J433" s="13">
        <v>1962</v>
      </c>
      <c r="K433" s="13">
        <v>2015</v>
      </c>
      <c r="L433" s="13">
        <f t="shared" si="14"/>
        <v>54</v>
      </c>
      <c r="M433" t="s">
        <v>369</v>
      </c>
      <c r="N433" t="s">
        <v>299</v>
      </c>
      <c r="O433" t="s">
        <v>381</v>
      </c>
      <c r="P433" t="s">
        <v>381</v>
      </c>
      <c r="Q433" t="s">
        <v>987</v>
      </c>
      <c r="R433" t="s">
        <v>864</v>
      </c>
      <c r="S433" t="s">
        <v>1076</v>
      </c>
      <c r="T433">
        <v>233.93258426966199</v>
      </c>
      <c r="U433" t="s">
        <v>1068</v>
      </c>
      <c r="V433">
        <v>-28.314606741572987</v>
      </c>
      <c r="W433" t="s">
        <v>3</v>
      </c>
      <c r="X433" t="s">
        <v>3</v>
      </c>
      <c r="Y433" t="s">
        <v>366</v>
      </c>
      <c r="Z433" s="4" t="str">
        <f t="shared" si="13"/>
        <v>Y</v>
      </c>
      <c r="AA433" t="s">
        <v>1147</v>
      </c>
      <c r="AB433" t="s">
        <v>1146</v>
      </c>
      <c r="AC433" t="s">
        <v>992</v>
      </c>
      <c r="AD433" t="s">
        <v>1100</v>
      </c>
      <c r="AE433" t="s">
        <v>1158</v>
      </c>
      <c r="AF433" t="s">
        <v>3</v>
      </c>
      <c r="AG433" t="s">
        <v>1100</v>
      </c>
    </row>
    <row r="434" spans="1:92" x14ac:dyDescent="0.2">
      <c r="B434" t="s">
        <v>366</v>
      </c>
      <c r="C434" t="s">
        <v>982</v>
      </c>
      <c r="E434">
        <v>2019</v>
      </c>
      <c r="F434" t="s">
        <v>503</v>
      </c>
      <c r="G434" t="s">
        <v>513</v>
      </c>
      <c r="H434" s="13">
        <f t="shared" si="15"/>
        <v>54.188333333333333</v>
      </c>
      <c r="I434" s="13">
        <f t="shared" si="16"/>
        <v>7.9</v>
      </c>
      <c r="J434" s="13">
        <v>1962</v>
      </c>
      <c r="K434" s="13">
        <v>2015</v>
      </c>
      <c r="L434" s="13">
        <f t="shared" si="14"/>
        <v>54</v>
      </c>
      <c r="M434" t="s">
        <v>369</v>
      </c>
      <c r="N434" t="s">
        <v>299</v>
      </c>
      <c r="O434" t="s">
        <v>381</v>
      </c>
      <c r="P434" t="s">
        <v>381</v>
      </c>
      <c r="Q434" t="s">
        <v>988</v>
      </c>
      <c r="R434" t="s">
        <v>864</v>
      </c>
      <c r="S434" t="s">
        <v>1076</v>
      </c>
      <c r="T434">
        <v>219.38202247191001</v>
      </c>
      <c r="U434" t="s">
        <v>1068</v>
      </c>
      <c r="V434">
        <v>-4.3258426966300192</v>
      </c>
      <c r="W434" t="s">
        <v>3</v>
      </c>
      <c r="X434" t="s">
        <v>3</v>
      </c>
      <c r="Y434" t="s">
        <v>366</v>
      </c>
      <c r="Z434" s="4" t="str">
        <f t="shared" si="13"/>
        <v>Y</v>
      </c>
      <c r="AA434" t="s">
        <v>1147</v>
      </c>
      <c r="AB434" t="s">
        <v>1146</v>
      </c>
      <c r="AC434" t="s">
        <v>992</v>
      </c>
      <c r="AD434" t="s">
        <v>1100</v>
      </c>
      <c r="AE434" t="s">
        <v>1158</v>
      </c>
      <c r="AF434" t="s">
        <v>3</v>
      </c>
      <c r="AG434" t="s">
        <v>1100</v>
      </c>
    </row>
    <row r="435" spans="1:92" x14ac:dyDescent="0.2">
      <c r="B435" t="s">
        <v>366</v>
      </c>
      <c r="C435" t="s">
        <v>982</v>
      </c>
      <c r="E435">
        <v>2019</v>
      </c>
      <c r="F435" t="s">
        <v>503</v>
      </c>
      <c r="G435" t="s">
        <v>513</v>
      </c>
      <c r="H435" s="13">
        <f t="shared" si="15"/>
        <v>54.188333333333333</v>
      </c>
      <c r="I435" s="13">
        <f t="shared" si="16"/>
        <v>7.9</v>
      </c>
      <c r="J435" s="13">
        <v>1962</v>
      </c>
      <c r="K435" s="13">
        <v>2015</v>
      </c>
      <c r="L435" s="13">
        <f t="shared" si="14"/>
        <v>54</v>
      </c>
      <c r="M435" t="s">
        <v>369</v>
      </c>
      <c r="N435" t="s">
        <v>299</v>
      </c>
      <c r="O435" t="s">
        <v>381</v>
      </c>
      <c r="P435" t="s">
        <v>381</v>
      </c>
      <c r="Q435" t="s">
        <v>436</v>
      </c>
      <c r="R435" t="s">
        <v>864</v>
      </c>
      <c r="S435" t="s">
        <v>1076</v>
      </c>
      <c r="T435">
        <v>211.51685393258401</v>
      </c>
      <c r="U435" t="s">
        <v>1068</v>
      </c>
      <c r="V435">
        <v>7.4719101123589837</v>
      </c>
      <c r="W435" t="s">
        <v>24</v>
      </c>
      <c r="X435" t="s">
        <v>3</v>
      </c>
      <c r="Y435" t="s">
        <v>366</v>
      </c>
      <c r="Z435" s="4" t="str">
        <f t="shared" si="13"/>
        <v>Y</v>
      </c>
      <c r="AA435" t="s">
        <v>1147</v>
      </c>
      <c r="AB435" t="s">
        <v>1146</v>
      </c>
      <c r="AC435" t="s">
        <v>992</v>
      </c>
      <c r="AD435" t="s">
        <v>1100</v>
      </c>
      <c r="AE435" t="s">
        <v>1158</v>
      </c>
      <c r="AF435" t="s">
        <v>3</v>
      </c>
      <c r="AG435" t="s">
        <v>1100</v>
      </c>
      <c r="CD435">
        <v>94.719101123595493</v>
      </c>
    </row>
    <row r="436" spans="1:92" x14ac:dyDescent="0.2">
      <c r="B436" t="s">
        <v>366</v>
      </c>
      <c r="C436" t="s">
        <v>982</v>
      </c>
      <c r="E436">
        <v>2019</v>
      </c>
      <c r="F436" t="s">
        <v>503</v>
      </c>
      <c r="G436" t="s">
        <v>513</v>
      </c>
      <c r="H436" s="13">
        <f t="shared" si="15"/>
        <v>54.188333333333333</v>
      </c>
      <c r="I436" s="13">
        <f t="shared" si="16"/>
        <v>7.9</v>
      </c>
      <c r="J436" s="13">
        <v>1962</v>
      </c>
      <c r="K436" s="13">
        <v>2015</v>
      </c>
      <c r="L436" s="13">
        <f t="shared" si="14"/>
        <v>54</v>
      </c>
      <c r="M436" t="s">
        <v>369</v>
      </c>
      <c r="N436" t="s">
        <v>299</v>
      </c>
      <c r="O436" t="s">
        <v>381</v>
      </c>
      <c r="P436" t="s">
        <v>381</v>
      </c>
      <c r="Q436" t="s">
        <v>983</v>
      </c>
      <c r="R436" t="s">
        <v>864</v>
      </c>
      <c r="S436" t="s">
        <v>1076</v>
      </c>
      <c r="T436">
        <v>228.82022471910099</v>
      </c>
      <c r="U436" t="s">
        <v>1068</v>
      </c>
      <c r="V436">
        <v>-14.157303370786991</v>
      </c>
      <c r="W436" t="s">
        <v>3</v>
      </c>
      <c r="X436" t="s">
        <v>3</v>
      </c>
      <c r="Y436" t="s">
        <v>366</v>
      </c>
      <c r="Z436" s="4" t="str">
        <f t="shared" si="13"/>
        <v>Y</v>
      </c>
      <c r="AA436" t="s">
        <v>1147</v>
      </c>
      <c r="AB436" t="s">
        <v>1146</v>
      </c>
      <c r="AC436" t="s">
        <v>992</v>
      </c>
      <c r="AD436" t="s">
        <v>1100</v>
      </c>
      <c r="AE436" t="s">
        <v>1158</v>
      </c>
      <c r="AF436" t="s">
        <v>3</v>
      </c>
      <c r="AG436" t="s">
        <v>1100</v>
      </c>
      <c r="CD436">
        <v>113.202247191011</v>
      </c>
    </row>
    <row r="437" spans="1:92" x14ac:dyDescent="0.2">
      <c r="B437" t="s">
        <v>366</v>
      </c>
      <c r="C437" t="s">
        <v>982</v>
      </c>
      <c r="E437">
        <v>2019</v>
      </c>
      <c r="F437" t="s">
        <v>503</v>
      </c>
      <c r="G437" t="s">
        <v>513</v>
      </c>
      <c r="H437" s="13">
        <f t="shared" si="15"/>
        <v>54.188333333333333</v>
      </c>
      <c r="I437" s="13">
        <f t="shared" si="16"/>
        <v>7.9</v>
      </c>
      <c r="J437" s="13">
        <v>1962</v>
      </c>
      <c r="K437" s="13">
        <v>2015</v>
      </c>
      <c r="L437" s="13">
        <f t="shared" si="14"/>
        <v>54</v>
      </c>
      <c r="M437" t="s">
        <v>369</v>
      </c>
      <c r="N437" t="s">
        <v>299</v>
      </c>
      <c r="O437" t="s">
        <v>381</v>
      </c>
      <c r="P437" t="s">
        <v>381</v>
      </c>
      <c r="Q437" t="s">
        <v>897</v>
      </c>
      <c r="R437" t="s">
        <v>864</v>
      </c>
      <c r="S437" t="s">
        <v>1076</v>
      </c>
      <c r="T437">
        <v>232.752808988764</v>
      </c>
      <c r="U437" t="s">
        <v>1068</v>
      </c>
      <c r="V437">
        <v>-8.2584269662930012</v>
      </c>
      <c r="W437" t="s">
        <v>3</v>
      </c>
      <c r="X437" t="s">
        <v>3</v>
      </c>
      <c r="Y437" t="s">
        <v>366</v>
      </c>
      <c r="Z437" s="4" t="str">
        <f t="shared" si="13"/>
        <v>Y</v>
      </c>
      <c r="AA437" t="s">
        <v>1147</v>
      </c>
      <c r="AB437" t="s">
        <v>1146</v>
      </c>
      <c r="AC437" t="s">
        <v>992</v>
      </c>
      <c r="AD437" t="s">
        <v>1100</v>
      </c>
      <c r="AE437" t="s">
        <v>1158</v>
      </c>
      <c r="AF437" t="s">
        <v>3</v>
      </c>
      <c r="AG437" t="s">
        <v>1100</v>
      </c>
      <c r="CD437">
        <v>122.640449438202</v>
      </c>
    </row>
    <row r="438" spans="1:92" s="24" customFormat="1" x14ac:dyDescent="0.2">
      <c r="A438"/>
      <c r="B438" t="s">
        <v>366</v>
      </c>
      <c r="C438" t="s">
        <v>982</v>
      </c>
      <c r="D438"/>
      <c r="E438">
        <v>2019</v>
      </c>
      <c r="F438" t="s">
        <v>503</v>
      </c>
      <c r="G438" t="s">
        <v>513</v>
      </c>
      <c r="H438" s="13">
        <f t="shared" si="15"/>
        <v>54.188333333333333</v>
      </c>
      <c r="I438" s="13">
        <f t="shared" si="16"/>
        <v>7.9</v>
      </c>
      <c r="J438" s="13">
        <v>1962</v>
      </c>
      <c r="K438" s="13">
        <v>2015</v>
      </c>
      <c r="L438" s="13">
        <f t="shared" si="14"/>
        <v>54</v>
      </c>
      <c r="M438" t="s">
        <v>369</v>
      </c>
      <c r="N438" t="s">
        <v>299</v>
      </c>
      <c r="O438" t="s">
        <v>381</v>
      </c>
      <c r="P438" t="s">
        <v>381</v>
      </c>
      <c r="Q438" t="s">
        <v>888</v>
      </c>
      <c r="R438" t="s">
        <v>864</v>
      </c>
      <c r="S438" t="s">
        <v>1076</v>
      </c>
      <c r="T438">
        <v>208.370786516853</v>
      </c>
      <c r="U438" t="s">
        <v>1068</v>
      </c>
      <c r="V438">
        <v>16.910112359550993</v>
      </c>
      <c r="W438" t="s">
        <v>24</v>
      </c>
      <c r="X438" t="s">
        <v>3</v>
      </c>
      <c r="Y438" t="s">
        <v>366</v>
      </c>
      <c r="Z438" s="4" t="str">
        <f t="shared" si="13"/>
        <v>Y</v>
      </c>
      <c r="AA438" t="s">
        <v>1147</v>
      </c>
      <c r="AB438" t="s">
        <v>1146</v>
      </c>
      <c r="AC438" t="s">
        <v>992</v>
      </c>
      <c r="AD438" t="s">
        <v>1100</v>
      </c>
      <c r="AE438" t="s">
        <v>1158</v>
      </c>
      <c r="AF438" t="s">
        <v>3</v>
      </c>
      <c r="AG438" t="s">
        <v>1100</v>
      </c>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v>117.13483146067399</v>
      </c>
      <c r="CE438"/>
      <c r="CF438"/>
      <c r="CG438"/>
      <c r="CH438"/>
      <c r="CI438"/>
      <c r="CJ438"/>
      <c r="CK438"/>
      <c r="CL438"/>
      <c r="CM438"/>
      <c r="CN438"/>
    </row>
    <row r="439" spans="1:92" s="24" customFormat="1" x14ac:dyDescent="0.2">
      <c r="A439"/>
      <c r="B439" t="s">
        <v>366</v>
      </c>
      <c r="C439" t="s">
        <v>982</v>
      </c>
      <c r="D439"/>
      <c r="E439">
        <v>2019</v>
      </c>
      <c r="F439" t="s">
        <v>503</v>
      </c>
      <c r="G439" t="s">
        <v>513</v>
      </c>
      <c r="H439" s="13">
        <f t="shared" si="15"/>
        <v>54.188333333333333</v>
      </c>
      <c r="I439" s="13">
        <f t="shared" si="16"/>
        <v>7.9</v>
      </c>
      <c r="J439" s="13">
        <v>1962</v>
      </c>
      <c r="K439" s="13">
        <v>2015</v>
      </c>
      <c r="L439" s="13">
        <f t="shared" si="14"/>
        <v>54</v>
      </c>
      <c r="M439" t="s">
        <v>369</v>
      </c>
      <c r="N439" t="s">
        <v>299</v>
      </c>
      <c r="O439" t="s">
        <v>381</v>
      </c>
      <c r="P439" t="s">
        <v>381</v>
      </c>
      <c r="Q439" t="s">
        <v>433</v>
      </c>
      <c r="R439" t="s">
        <v>864</v>
      </c>
      <c r="S439" t="s">
        <v>1076</v>
      </c>
      <c r="T439">
        <v>229.60674157303299</v>
      </c>
      <c r="U439" t="s">
        <v>1068</v>
      </c>
      <c r="V439">
        <v>12.191011235955017</v>
      </c>
      <c r="W439" t="s">
        <v>24</v>
      </c>
      <c r="X439" t="s">
        <v>3</v>
      </c>
      <c r="Y439" t="s">
        <v>366</v>
      </c>
      <c r="Z439" s="4" t="str">
        <f t="shared" si="13"/>
        <v>Y</v>
      </c>
      <c r="AA439" t="s">
        <v>1147</v>
      </c>
      <c r="AB439" t="s">
        <v>1146</v>
      </c>
      <c r="AC439" t="s">
        <v>992</v>
      </c>
      <c r="AD439" t="s">
        <v>1100</v>
      </c>
      <c r="AE439" t="s">
        <v>1158</v>
      </c>
      <c r="AF439" t="s">
        <v>3</v>
      </c>
      <c r="AG439" t="s">
        <v>1100</v>
      </c>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v>134.831460674157</v>
      </c>
      <c r="CE439"/>
      <c r="CF439"/>
      <c r="CG439"/>
      <c r="CH439"/>
      <c r="CI439"/>
      <c r="CJ439"/>
      <c r="CK439"/>
      <c r="CL439"/>
      <c r="CM439"/>
      <c r="CN439"/>
    </row>
    <row r="440" spans="1:92" s="24" customFormat="1" x14ac:dyDescent="0.2">
      <c r="A440"/>
      <c r="B440" t="s">
        <v>366</v>
      </c>
      <c r="C440" t="s">
        <v>982</v>
      </c>
      <c r="D440"/>
      <c r="E440">
        <v>2019</v>
      </c>
      <c r="F440" t="s">
        <v>503</v>
      </c>
      <c r="G440" t="s">
        <v>513</v>
      </c>
      <c r="H440" s="13">
        <f t="shared" si="15"/>
        <v>54.188333333333333</v>
      </c>
      <c r="I440" s="13">
        <f t="shared" si="16"/>
        <v>7.9</v>
      </c>
      <c r="J440" s="13">
        <v>1962</v>
      </c>
      <c r="K440" s="13">
        <v>2015</v>
      </c>
      <c r="L440" s="13">
        <f t="shared" si="14"/>
        <v>54</v>
      </c>
      <c r="M440" t="s">
        <v>369</v>
      </c>
      <c r="N440" t="s">
        <v>299</v>
      </c>
      <c r="O440" t="s">
        <v>532</v>
      </c>
      <c r="P440" t="s">
        <v>532</v>
      </c>
      <c r="Q440" t="s">
        <v>409</v>
      </c>
      <c r="R440" t="s">
        <v>864</v>
      </c>
      <c r="S440" t="s">
        <v>1076</v>
      </c>
      <c r="T440">
        <v>236.29213483146</v>
      </c>
      <c r="U440" t="s">
        <v>1068</v>
      </c>
      <c r="V440">
        <v>4.325842696628996</v>
      </c>
      <c r="W440" t="s">
        <v>24</v>
      </c>
      <c r="X440" t="s">
        <v>3</v>
      </c>
      <c r="Y440" t="s">
        <v>366</v>
      </c>
      <c r="Z440" s="4" t="str">
        <f t="shared" si="13"/>
        <v>Y</v>
      </c>
      <c r="AA440" t="s">
        <v>1147</v>
      </c>
      <c r="AB440" t="s">
        <v>1146</v>
      </c>
      <c r="AC440" t="s">
        <v>992</v>
      </c>
      <c r="AD440" t="s">
        <v>1100</v>
      </c>
      <c r="AE440" t="s">
        <v>1158</v>
      </c>
      <c r="AF440" t="s">
        <v>3</v>
      </c>
      <c r="AG440" t="s">
        <v>1100</v>
      </c>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v>132.078651685393</v>
      </c>
      <c r="CE440"/>
      <c r="CF440"/>
      <c r="CG440"/>
      <c r="CH440"/>
      <c r="CI440"/>
      <c r="CJ440"/>
      <c r="CK440"/>
      <c r="CL440"/>
      <c r="CM440"/>
      <c r="CN440"/>
    </row>
    <row r="441" spans="1:92" s="24" customFormat="1" x14ac:dyDescent="0.2">
      <c r="A441"/>
      <c r="B441" t="s">
        <v>366</v>
      </c>
      <c r="C441" t="s">
        <v>982</v>
      </c>
      <c r="D441"/>
      <c r="E441">
        <v>2019</v>
      </c>
      <c r="F441" t="s">
        <v>503</v>
      </c>
      <c r="G441" t="s">
        <v>513</v>
      </c>
      <c r="H441" s="13">
        <f t="shared" si="15"/>
        <v>54.188333333333333</v>
      </c>
      <c r="I441" s="13">
        <f t="shared" si="16"/>
        <v>7.9</v>
      </c>
      <c r="J441" s="13">
        <v>1962</v>
      </c>
      <c r="K441" s="13">
        <v>2015</v>
      </c>
      <c r="L441" s="13">
        <f t="shared" si="14"/>
        <v>54</v>
      </c>
      <c r="M441" t="s">
        <v>369</v>
      </c>
      <c r="N441" t="s">
        <v>299</v>
      </c>
      <c r="O441" t="s">
        <v>532</v>
      </c>
      <c r="P441" t="s">
        <v>532</v>
      </c>
      <c r="Q441" t="s">
        <v>989</v>
      </c>
      <c r="R441" t="s">
        <v>864</v>
      </c>
      <c r="S441" t="s">
        <v>1076</v>
      </c>
      <c r="T441">
        <v>238.25842696629201</v>
      </c>
      <c r="U441" t="s">
        <v>1068</v>
      </c>
      <c r="V441">
        <v>-8.6516853932590152</v>
      </c>
      <c r="W441" t="s">
        <v>3</v>
      </c>
      <c r="X441" t="s">
        <v>3</v>
      </c>
      <c r="Y441" t="s">
        <v>366</v>
      </c>
      <c r="Z441" s="4" t="str">
        <f t="shared" si="13"/>
        <v>Y</v>
      </c>
      <c r="AA441" t="s">
        <v>1147</v>
      </c>
      <c r="AB441" t="s">
        <v>1146</v>
      </c>
      <c r="AC441" t="s">
        <v>992</v>
      </c>
      <c r="AD441" t="s">
        <v>1100</v>
      </c>
      <c r="AE441" t="s">
        <v>1158</v>
      </c>
      <c r="AF441" t="s">
        <v>3</v>
      </c>
      <c r="AG441" t="s">
        <v>1100</v>
      </c>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v>128.14606741572999</v>
      </c>
      <c r="CE441"/>
      <c r="CF441"/>
      <c r="CG441"/>
      <c r="CH441"/>
      <c r="CI441"/>
      <c r="CJ441"/>
      <c r="CK441"/>
      <c r="CL441"/>
      <c r="CM441"/>
      <c r="CN441"/>
    </row>
    <row r="442" spans="1:92" s="24" customFormat="1" x14ac:dyDescent="0.2">
      <c r="A442"/>
      <c r="B442" t="s">
        <v>366</v>
      </c>
      <c r="C442" t="s">
        <v>982</v>
      </c>
      <c r="D442"/>
      <c r="E442">
        <v>2019</v>
      </c>
      <c r="F442" t="s">
        <v>503</v>
      </c>
      <c r="G442" t="s">
        <v>513</v>
      </c>
      <c r="H442" s="13">
        <f t="shared" si="15"/>
        <v>54.188333333333333</v>
      </c>
      <c r="I442" s="13">
        <f t="shared" si="16"/>
        <v>7.9</v>
      </c>
      <c r="J442" s="13">
        <v>1962</v>
      </c>
      <c r="K442" s="13">
        <v>2015</v>
      </c>
      <c r="L442" s="13">
        <f t="shared" si="14"/>
        <v>54</v>
      </c>
      <c r="M442" t="s">
        <v>369</v>
      </c>
      <c r="N442" t="s">
        <v>299</v>
      </c>
      <c r="O442" t="s">
        <v>381</v>
      </c>
      <c r="P442" t="s">
        <v>381</v>
      </c>
      <c r="Q442" t="s">
        <v>984</v>
      </c>
      <c r="R442" t="s">
        <v>864</v>
      </c>
      <c r="S442" t="s">
        <v>1076</v>
      </c>
      <c r="T442">
        <v>239.831460674157</v>
      </c>
      <c r="U442" t="s">
        <v>1068</v>
      </c>
      <c r="V442">
        <v>5.1123595505619903</v>
      </c>
      <c r="W442" t="s">
        <v>24</v>
      </c>
      <c r="X442" t="s">
        <v>3</v>
      </c>
      <c r="Y442" t="s">
        <v>366</v>
      </c>
      <c r="Z442" s="4" t="str">
        <f t="shared" si="13"/>
        <v>Y</v>
      </c>
      <c r="AA442" t="s">
        <v>1147</v>
      </c>
      <c r="AB442" t="s">
        <v>1146</v>
      </c>
      <c r="AC442" t="s">
        <v>992</v>
      </c>
      <c r="AD442" t="s">
        <v>1100</v>
      </c>
      <c r="AE442" t="s">
        <v>1158</v>
      </c>
      <c r="AF442" t="s">
        <v>3</v>
      </c>
      <c r="AG442" t="s">
        <v>1100</v>
      </c>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v>156.460674157303</v>
      </c>
      <c r="CE442"/>
      <c r="CF442"/>
      <c r="CG442"/>
      <c r="CH442"/>
      <c r="CI442"/>
      <c r="CJ442"/>
      <c r="CK442"/>
      <c r="CL442"/>
      <c r="CM442"/>
      <c r="CN442"/>
    </row>
    <row r="443" spans="1:92" x14ac:dyDescent="0.2">
      <c r="B443" t="s">
        <v>366</v>
      </c>
      <c r="C443" t="s">
        <v>982</v>
      </c>
      <c r="E443">
        <v>2019</v>
      </c>
      <c r="F443" t="s">
        <v>503</v>
      </c>
      <c r="G443" t="s">
        <v>513</v>
      </c>
      <c r="H443" s="13">
        <f t="shared" si="15"/>
        <v>54.188333333333333</v>
      </c>
      <c r="I443" s="13">
        <f t="shared" si="16"/>
        <v>7.9</v>
      </c>
      <c r="J443" s="13">
        <v>1962</v>
      </c>
      <c r="K443" s="13">
        <v>2015</v>
      </c>
      <c r="L443" s="13">
        <f t="shared" si="14"/>
        <v>54</v>
      </c>
      <c r="M443" t="s">
        <v>369</v>
      </c>
      <c r="N443" t="s">
        <v>299</v>
      </c>
      <c r="O443" t="s">
        <v>381</v>
      </c>
      <c r="P443" t="s">
        <v>381</v>
      </c>
      <c r="Q443" t="s">
        <v>887</v>
      </c>
      <c r="R443" t="s">
        <v>864</v>
      </c>
      <c r="S443" t="s">
        <v>1076</v>
      </c>
      <c r="T443">
        <v>244.94382022471899</v>
      </c>
      <c r="U443" t="s">
        <v>900</v>
      </c>
      <c r="V443">
        <v>11.404494382021994</v>
      </c>
      <c r="W443" t="s">
        <v>24</v>
      </c>
      <c r="X443" t="s">
        <v>3</v>
      </c>
      <c r="Y443" t="s">
        <v>366</v>
      </c>
      <c r="Z443" s="4" t="str">
        <f t="shared" si="13"/>
        <v>Y</v>
      </c>
      <c r="AA443" t="s">
        <v>1147</v>
      </c>
      <c r="AB443" t="s">
        <v>1146</v>
      </c>
      <c r="AC443" t="s">
        <v>992</v>
      </c>
      <c r="AD443" t="s">
        <v>1100</v>
      </c>
      <c r="AE443" t="s">
        <v>1158</v>
      </c>
      <c r="AF443" t="s">
        <v>3</v>
      </c>
      <c r="AG443" t="s">
        <v>1100</v>
      </c>
      <c r="CD443">
        <v>186.741573033707</v>
      </c>
    </row>
    <row r="444" spans="1:92" x14ac:dyDescent="0.2">
      <c r="B444" t="s">
        <v>366</v>
      </c>
      <c r="C444" t="s">
        <v>982</v>
      </c>
      <c r="E444">
        <v>2019</v>
      </c>
      <c r="F444" t="s">
        <v>503</v>
      </c>
      <c r="G444" t="s">
        <v>513</v>
      </c>
      <c r="H444" s="13">
        <f t="shared" si="15"/>
        <v>54.188333333333333</v>
      </c>
      <c r="I444" s="13">
        <f t="shared" si="16"/>
        <v>7.9</v>
      </c>
      <c r="J444" s="13">
        <v>1962</v>
      </c>
      <c r="K444" s="13">
        <v>2015</v>
      </c>
      <c r="L444" s="13">
        <f t="shared" si="14"/>
        <v>54</v>
      </c>
      <c r="M444" t="s">
        <v>369</v>
      </c>
      <c r="N444" t="s">
        <v>299</v>
      </c>
      <c r="O444" t="s">
        <v>381</v>
      </c>
      <c r="P444" t="s">
        <v>381</v>
      </c>
      <c r="Q444" t="s">
        <v>896</v>
      </c>
      <c r="R444" t="s">
        <v>864</v>
      </c>
      <c r="S444" t="s">
        <v>1076</v>
      </c>
      <c r="T444">
        <v>257.13483146067398</v>
      </c>
      <c r="U444" t="s">
        <v>900</v>
      </c>
      <c r="V444">
        <v>23.202247191010997</v>
      </c>
      <c r="W444" t="s">
        <v>24</v>
      </c>
      <c r="X444" t="s">
        <v>3</v>
      </c>
      <c r="Y444" t="s">
        <v>366</v>
      </c>
      <c r="Z444" s="4" t="str">
        <f t="shared" si="13"/>
        <v>Y</v>
      </c>
      <c r="AA444" t="s">
        <v>1147</v>
      </c>
      <c r="AB444" t="s">
        <v>1146</v>
      </c>
      <c r="AC444" t="s">
        <v>992</v>
      </c>
      <c r="AD444" t="s">
        <v>1100</v>
      </c>
      <c r="AE444" t="s">
        <v>1158</v>
      </c>
      <c r="AF444" t="s">
        <v>3</v>
      </c>
      <c r="AG444" t="s">
        <v>1100</v>
      </c>
      <c r="CD444">
        <v>187.13483146067401</v>
      </c>
    </row>
    <row r="445" spans="1:92" x14ac:dyDescent="0.2">
      <c r="B445" t="s">
        <v>366</v>
      </c>
      <c r="C445" t="s">
        <v>1250</v>
      </c>
      <c r="E445">
        <v>2017</v>
      </c>
      <c r="F445" t="s">
        <v>77</v>
      </c>
      <c r="G445" t="s">
        <v>513</v>
      </c>
      <c r="H445" s="14">
        <v>53.578699999999998</v>
      </c>
      <c r="I445" s="13">
        <v>6.9494999999999996</v>
      </c>
      <c r="J445" s="13">
        <v>1960</v>
      </c>
      <c r="K445" s="13">
        <v>2013</v>
      </c>
      <c r="L445" s="13">
        <f t="shared" si="14"/>
        <v>54</v>
      </c>
      <c r="M445" t="s">
        <v>369</v>
      </c>
      <c r="N445" t="s">
        <v>51</v>
      </c>
      <c r="O445" t="s">
        <v>51</v>
      </c>
      <c r="P445" t="s">
        <v>51</v>
      </c>
      <c r="Q445" t="s">
        <v>581</v>
      </c>
      <c r="R445" t="s">
        <v>864</v>
      </c>
      <c r="S445" s="17" t="s">
        <v>1076</v>
      </c>
      <c r="T445">
        <v>190</v>
      </c>
      <c r="U445" t="s">
        <v>1068</v>
      </c>
      <c r="V445" s="7" t="s">
        <v>165</v>
      </c>
      <c r="W445" t="s">
        <v>3</v>
      </c>
      <c r="X445" t="s">
        <v>3</v>
      </c>
      <c r="Y445" t="s">
        <v>366</v>
      </c>
      <c r="Z445" s="4" t="str">
        <f t="shared" si="13"/>
        <v>Y</v>
      </c>
      <c r="AA445" t="s">
        <v>1176</v>
      </c>
      <c r="AB445" t="s">
        <v>1177</v>
      </c>
      <c r="AC445" t="s">
        <v>1106</v>
      </c>
      <c r="AD445" s="15" t="s">
        <v>1100</v>
      </c>
      <c r="AE445" s="15" t="s">
        <v>1158</v>
      </c>
      <c r="AF445" s="15" t="s">
        <v>3</v>
      </c>
      <c r="AG445" t="s">
        <v>1100</v>
      </c>
    </row>
    <row r="446" spans="1:92" x14ac:dyDescent="0.2">
      <c r="B446" t="s">
        <v>366</v>
      </c>
      <c r="C446" t="s">
        <v>1250</v>
      </c>
      <c r="E446">
        <v>2017</v>
      </c>
      <c r="F446" t="s">
        <v>77</v>
      </c>
      <c r="G446" t="s">
        <v>513</v>
      </c>
      <c r="H446" s="14">
        <v>53.578699999999998</v>
      </c>
      <c r="I446" s="13">
        <v>6.9494999999999996</v>
      </c>
      <c r="J446" s="13">
        <v>1960</v>
      </c>
      <c r="K446" s="13">
        <v>2013</v>
      </c>
      <c r="L446" s="13">
        <f t="shared" si="14"/>
        <v>54</v>
      </c>
      <c r="M446" t="s">
        <v>369</v>
      </c>
      <c r="N446" t="s">
        <v>51</v>
      </c>
      <c r="O446" t="s">
        <v>51</v>
      </c>
      <c r="P446" t="s">
        <v>51</v>
      </c>
      <c r="Q446" s="10" t="s">
        <v>598</v>
      </c>
      <c r="R446" t="s">
        <v>864</v>
      </c>
      <c r="S446" s="17" t="s">
        <v>1076</v>
      </c>
      <c r="T446" s="10">
        <v>200</v>
      </c>
      <c r="U446" t="s">
        <v>1068</v>
      </c>
      <c r="V446" s="7" t="s">
        <v>165</v>
      </c>
      <c r="W446" t="s">
        <v>3</v>
      </c>
      <c r="X446" t="s">
        <v>3</v>
      </c>
      <c r="Y446" t="s">
        <v>366</v>
      </c>
      <c r="Z446" s="4" t="str">
        <f t="shared" si="13"/>
        <v>Y</v>
      </c>
      <c r="AA446" t="s">
        <v>1176</v>
      </c>
      <c r="AB446" t="s">
        <v>1177</v>
      </c>
      <c r="AC446" t="s">
        <v>1105</v>
      </c>
      <c r="AD446" s="15" t="s">
        <v>1100</v>
      </c>
      <c r="AE446" s="15" t="s">
        <v>1158</v>
      </c>
      <c r="AF446" s="15" t="s">
        <v>3</v>
      </c>
      <c r="AG446" t="s">
        <v>1100</v>
      </c>
    </row>
    <row r="447" spans="1:92" x14ac:dyDescent="0.2">
      <c r="B447" t="s">
        <v>366</v>
      </c>
      <c r="C447" t="s">
        <v>1250</v>
      </c>
      <c r="E447">
        <v>2017</v>
      </c>
      <c r="F447" t="s">
        <v>77</v>
      </c>
      <c r="G447" t="s">
        <v>513</v>
      </c>
      <c r="H447" s="14">
        <v>53.578699999999998</v>
      </c>
      <c r="I447" s="13">
        <v>6.9494999999999996</v>
      </c>
      <c r="J447" s="13">
        <v>1960</v>
      </c>
      <c r="K447" s="13">
        <v>2013</v>
      </c>
      <c r="L447" s="13">
        <f t="shared" si="14"/>
        <v>54</v>
      </c>
      <c r="M447" t="s">
        <v>369</v>
      </c>
      <c r="N447" t="s">
        <v>51</v>
      </c>
      <c r="O447" t="s">
        <v>51</v>
      </c>
      <c r="P447" t="s">
        <v>51</v>
      </c>
      <c r="Q447" s="10" t="s">
        <v>597</v>
      </c>
      <c r="R447" t="s">
        <v>864</v>
      </c>
      <c r="S447" s="17" t="s">
        <v>1076</v>
      </c>
      <c r="T447" s="10">
        <v>185</v>
      </c>
      <c r="U447" t="s">
        <v>1068</v>
      </c>
      <c r="V447" s="7" t="s">
        <v>165</v>
      </c>
      <c r="W447" t="s">
        <v>24</v>
      </c>
      <c r="X447" t="s">
        <v>3</v>
      </c>
      <c r="Y447" t="s">
        <v>366</v>
      </c>
      <c r="Z447" s="4" t="str">
        <f t="shared" si="13"/>
        <v>Y</v>
      </c>
      <c r="AA447" t="s">
        <v>1176</v>
      </c>
      <c r="AB447" t="s">
        <v>1177</v>
      </c>
      <c r="AC447" t="s">
        <v>1105</v>
      </c>
      <c r="AD447" s="15" t="s">
        <v>1100</v>
      </c>
      <c r="AE447" s="15" t="s">
        <v>1158</v>
      </c>
      <c r="AF447" s="15" t="s">
        <v>3</v>
      </c>
      <c r="AG447" t="s">
        <v>1100</v>
      </c>
    </row>
    <row r="448" spans="1:92" x14ac:dyDescent="0.2">
      <c r="B448" t="s">
        <v>366</v>
      </c>
      <c r="C448" t="s">
        <v>1250</v>
      </c>
      <c r="E448">
        <v>2017</v>
      </c>
      <c r="F448" t="s">
        <v>77</v>
      </c>
      <c r="G448" t="s">
        <v>513</v>
      </c>
      <c r="H448" s="14">
        <v>53.578699999999998</v>
      </c>
      <c r="I448" s="13">
        <v>6.9494999999999996</v>
      </c>
      <c r="J448" s="13">
        <v>1960</v>
      </c>
      <c r="K448" s="13">
        <v>2013</v>
      </c>
      <c r="L448" s="13">
        <f t="shared" si="14"/>
        <v>54</v>
      </c>
      <c r="M448" t="s">
        <v>369</v>
      </c>
      <c r="N448" t="s">
        <v>51</v>
      </c>
      <c r="O448" t="s">
        <v>51</v>
      </c>
      <c r="P448" t="s">
        <v>51</v>
      </c>
      <c r="Q448" s="10" t="s">
        <v>107</v>
      </c>
      <c r="R448" t="s">
        <v>864</v>
      </c>
      <c r="S448" s="17" t="s">
        <v>1076</v>
      </c>
      <c r="T448" s="10">
        <v>210</v>
      </c>
      <c r="U448" t="s">
        <v>1068</v>
      </c>
      <c r="V448" s="7" t="s">
        <v>165</v>
      </c>
      <c r="W448" t="s">
        <v>3</v>
      </c>
      <c r="X448" t="s">
        <v>3</v>
      </c>
      <c r="Y448" t="s">
        <v>366</v>
      </c>
      <c r="Z448" s="4" t="str">
        <f t="shared" si="13"/>
        <v>Y</v>
      </c>
      <c r="AA448" t="s">
        <v>1176</v>
      </c>
      <c r="AB448" t="s">
        <v>1177</v>
      </c>
      <c r="AC448" t="s">
        <v>1105</v>
      </c>
      <c r="AD448" s="15" t="s">
        <v>1100</v>
      </c>
      <c r="AE448" s="15" t="s">
        <v>1158</v>
      </c>
      <c r="AF448" s="15" t="s">
        <v>3</v>
      </c>
      <c r="AG448" t="s">
        <v>1100</v>
      </c>
    </row>
    <row r="449" spans="2:33" x14ac:dyDescent="0.2">
      <c r="B449" t="s">
        <v>366</v>
      </c>
      <c r="C449" t="s">
        <v>1250</v>
      </c>
      <c r="E449">
        <v>2017</v>
      </c>
      <c r="F449" t="s">
        <v>77</v>
      </c>
      <c r="G449" t="s">
        <v>513</v>
      </c>
      <c r="H449" s="14">
        <v>53.578699999999998</v>
      </c>
      <c r="I449" s="13">
        <v>6.9494999999999996</v>
      </c>
      <c r="J449" s="13">
        <v>1960</v>
      </c>
      <c r="K449" s="13">
        <v>2013</v>
      </c>
      <c r="L449" s="13">
        <f t="shared" si="14"/>
        <v>54</v>
      </c>
      <c r="M449" t="s">
        <v>369</v>
      </c>
      <c r="N449" t="s">
        <v>51</v>
      </c>
      <c r="O449" t="s">
        <v>51</v>
      </c>
      <c r="P449" t="s">
        <v>51</v>
      </c>
      <c r="Q449" s="10" t="s">
        <v>596</v>
      </c>
      <c r="R449" t="s">
        <v>864</v>
      </c>
      <c r="S449" s="17" t="s">
        <v>1076</v>
      </c>
      <c r="T449" s="10">
        <v>200</v>
      </c>
      <c r="U449" t="s">
        <v>1068</v>
      </c>
      <c r="V449" s="7" t="s">
        <v>165</v>
      </c>
      <c r="W449" t="s">
        <v>24</v>
      </c>
      <c r="X449" t="s">
        <v>3</v>
      </c>
      <c r="Y449" t="s">
        <v>366</v>
      </c>
      <c r="Z449" s="4" t="str">
        <f t="shared" si="13"/>
        <v>Y</v>
      </c>
      <c r="AA449" t="s">
        <v>1176</v>
      </c>
      <c r="AB449" t="s">
        <v>1177</v>
      </c>
      <c r="AC449" t="s">
        <v>1105</v>
      </c>
      <c r="AD449" s="15" t="s">
        <v>1100</v>
      </c>
      <c r="AE449" s="15" t="s">
        <v>1158</v>
      </c>
      <c r="AF449" s="15" t="s">
        <v>3</v>
      </c>
      <c r="AG449" t="s">
        <v>1100</v>
      </c>
    </row>
    <row r="450" spans="2:33" x14ac:dyDescent="0.2">
      <c r="B450" t="s">
        <v>366</v>
      </c>
      <c r="C450" t="s">
        <v>1250</v>
      </c>
      <c r="E450">
        <v>2017</v>
      </c>
      <c r="F450" t="s">
        <v>77</v>
      </c>
      <c r="G450" t="s">
        <v>513</v>
      </c>
      <c r="H450" s="14">
        <v>53.578699999999998</v>
      </c>
      <c r="I450" s="13">
        <v>6.9494999999999996</v>
      </c>
      <c r="J450" s="13">
        <v>1960</v>
      </c>
      <c r="K450" s="13">
        <v>2013</v>
      </c>
      <c r="L450" s="13">
        <f t="shared" si="14"/>
        <v>54</v>
      </c>
      <c r="M450" t="s">
        <v>369</v>
      </c>
      <c r="N450" t="s">
        <v>51</v>
      </c>
      <c r="O450" t="s">
        <v>51</v>
      </c>
      <c r="P450" t="s">
        <v>51</v>
      </c>
      <c r="Q450" s="10" t="s">
        <v>595</v>
      </c>
      <c r="R450" t="s">
        <v>864</v>
      </c>
      <c r="S450" s="17" t="s">
        <v>1076</v>
      </c>
      <c r="T450" s="10">
        <v>200</v>
      </c>
      <c r="U450" t="s">
        <v>1068</v>
      </c>
      <c r="V450" s="7" t="s">
        <v>165</v>
      </c>
      <c r="W450" t="s">
        <v>24</v>
      </c>
      <c r="X450" t="s">
        <v>3</v>
      </c>
      <c r="Y450" t="s">
        <v>366</v>
      </c>
      <c r="Z450" s="4" t="str">
        <f t="shared" ref="Z450:Z513" si="19">IF(L450&gt;=19,"Y","N")</f>
        <v>Y</v>
      </c>
      <c r="AA450" t="s">
        <v>1176</v>
      </c>
      <c r="AB450" t="s">
        <v>1177</v>
      </c>
      <c r="AC450" t="s">
        <v>1105</v>
      </c>
      <c r="AD450" s="15" t="s">
        <v>1100</v>
      </c>
      <c r="AE450" s="15" t="s">
        <v>1158</v>
      </c>
      <c r="AF450" s="15" t="s">
        <v>3</v>
      </c>
      <c r="AG450" t="s">
        <v>1100</v>
      </c>
    </row>
    <row r="451" spans="2:33" x14ac:dyDescent="0.2">
      <c r="B451" t="s">
        <v>366</v>
      </c>
      <c r="C451" t="s">
        <v>1250</v>
      </c>
      <c r="E451">
        <v>2017</v>
      </c>
      <c r="F451" t="s">
        <v>77</v>
      </c>
      <c r="G451" t="s">
        <v>513</v>
      </c>
      <c r="H451" s="14">
        <v>53.578699999999998</v>
      </c>
      <c r="I451" s="13">
        <v>6.9494999999999996</v>
      </c>
      <c r="J451" s="13">
        <v>1960</v>
      </c>
      <c r="K451" s="13">
        <v>2013</v>
      </c>
      <c r="L451" s="13">
        <f t="shared" si="14"/>
        <v>54</v>
      </c>
      <c r="M451" t="s">
        <v>369</v>
      </c>
      <c r="N451" t="s">
        <v>51</v>
      </c>
      <c r="O451" t="s">
        <v>51</v>
      </c>
      <c r="P451" t="s">
        <v>51</v>
      </c>
      <c r="Q451" s="10" t="s">
        <v>594</v>
      </c>
      <c r="R451" t="s">
        <v>864</v>
      </c>
      <c r="S451" s="17" t="s">
        <v>1076</v>
      </c>
      <c r="T451" s="10">
        <v>245</v>
      </c>
      <c r="U451" t="s">
        <v>1068</v>
      </c>
      <c r="V451" s="7" t="s">
        <v>165</v>
      </c>
      <c r="W451" t="s">
        <v>3</v>
      </c>
      <c r="X451" t="s">
        <v>3</v>
      </c>
      <c r="Y451" t="s">
        <v>366</v>
      </c>
      <c r="Z451" s="4" t="str">
        <f t="shared" si="19"/>
        <v>Y</v>
      </c>
      <c r="AA451" t="s">
        <v>1176</v>
      </c>
      <c r="AB451" t="s">
        <v>1177</v>
      </c>
      <c r="AC451" t="s">
        <v>1105</v>
      </c>
      <c r="AD451" s="15" t="s">
        <v>1100</v>
      </c>
      <c r="AE451" s="15" t="s">
        <v>1158</v>
      </c>
      <c r="AF451" s="15" t="s">
        <v>3</v>
      </c>
      <c r="AG451" t="s">
        <v>1100</v>
      </c>
    </row>
    <row r="452" spans="2:33" x14ac:dyDescent="0.2">
      <c r="B452" t="s">
        <v>366</v>
      </c>
      <c r="C452" t="s">
        <v>1250</v>
      </c>
      <c r="E452">
        <v>2017</v>
      </c>
      <c r="F452" t="s">
        <v>77</v>
      </c>
      <c r="G452" t="s">
        <v>513</v>
      </c>
      <c r="H452" s="14">
        <v>53.578699999999998</v>
      </c>
      <c r="I452" s="13">
        <v>6.9494999999999996</v>
      </c>
      <c r="J452" s="13">
        <v>1960</v>
      </c>
      <c r="K452" s="13">
        <v>2013</v>
      </c>
      <c r="L452" s="13">
        <f t="shared" si="14"/>
        <v>54</v>
      </c>
      <c r="M452" t="s">
        <v>369</v>
      </c>
      <c r="N452" t="s">
        <v>51</v>
      </c>
      <c r="O452" t="s">
        <v>51</v>
      </c>
      <c r="P452" t="s">
        <v>51</v>
      </c>
      <c r="Q452" s="10" t="s">
        <v>593</v>
      </c>
      <c r="R452" t="s">
        <v>864</v>
      </c>
      <c r="S452" s="17" t="s">
        <v>1076</v>
      </c>
      <c r="T452" s="10">
        <v>190</v>
      </c>
      <c r="U452" t="s">
        <v>1068</v>
      </c>
      <c r="V452" s="7" t="s">
        <v>165</v>
      </c>
      <c r="W452" t="s">
        <v>24</v>
      </c>
      <c r="X452" t="s">
        <v>3</v>
      </c>
      <c r="Y452" t="s">
        <v>366</v>
      </c>
      <c r="Z452" s="4" t="str">
        <f t="shared" si="19"/>
        <v>Y</v>
      </c>
      <c r="AA452" t="s">
        <v>1176</v>
      </c>
      <c r="AB452" t="s">
        <v>1177</v>
      </c>
      <c r="AC452" t="s">
        <v>1105</v>
      </c>
      <c r="AD452" s="15" t="s">
        <v>1100</v>
      </c>
      <c r="AE452" s="15" t="s">
        <v>1158</v>
      </c>
      <c r="AF452" s="15" t="s">
        <v>3</v>
      </c>
      <c r="AG452" t="s">
        <v>1100</v>
      </c>
    </row>
    <row r="453" spans="2:33" x14ac:dyDescent="0.2">
      <c r="B453" t="s">
        <v>366</v>
      </c>
      <c r="C453" t="s">
        <v>1250</v>
      </c>
      <c r="E453">
        <v>2017</v>
      </c>
      <c r="F453" t="s">
        <v>77</v>
      </c>
      <c r="G453" t="s">
        <v>513</v>
      </c>
      <c r="H453" s="14">
        <v>53.578699999999998</v>
      </c>
      <c r="I453" s="13">
        <v>6.9494999999999996</v>
      </c>
      <c r="J453" s="13">
        <v>1960</v>
      </c>
      <c r="K453" s="13">
        <v>2013</v>
      </c>
      <c r="L453" s="13">
        <f t="shared" si="14"/>
        <v>54</v>
      </c>
      <c r="M453" t="s">
        <v>369</v>
      </c>
      <c r="N453" t="s">
        <v>51</v>
      </c>
      <c r="O453" t="s">
        <v>51</v>
      </c>
      <c r="P453" t="s">
        <v>51</v>
      </c>
      <c r="Q453" s="10" t="s">
        <v>592</v>
      </c>
      <c r="R453" t="s">
        <v>864</v>
      </c>
      <c r="S453" s="17" t="s">
        <v>1076</v>
      </c>
      <c r="T453" s="10">
        <v>150</v>
      </c>
      <c r="U453" s="10" t="s">
        <v>901</v>
      </c>
      <c r="V453" s="7" t="s">
        <v>165</v>
      </c>
      <c r="W453" t="s">
        <v>164</v>
      </c>
      <c r="X453" t="s">
        <v>3</v>
      </c>
      <c r="Y453" t="s">
        <v>366</v>
      </c>
      <c r="Z453" s="4" t="str">
        <f t="shared" si="19"/>
        <v>Y</v>
      </c>
      <c r="AA453" t="s">
        <v>1176</v>
      </c>
      <c r="AB453" t="s">
        <v>1177</v>
      </c>
      <c r="AC453" t="s">
        <v>1105</v>
      </c>
      <c r="AD453" s="15" t="s">
        <v>1100</v>
      </c>
      <c r="AE453" s="15" t="s">
        <v>1158</v>
      </c>
      <c r="AF453" s="15" t="s">
        <v>3</v>
      </c>
      <c r="AG453" t="s">
        <v>1100</v>
      </c>
    </row>
    <row r="454" spans="2:33" x14ac:dyDescent="0.2">
      <c r="B454" t="s">
        <v>366</v>
      </c>
      <c r="C454" t="s">
        <v>1250</v>
      </c>
      <c r="E454">
        <v>2017</v>
      </c>
      <c r="F454" t="s">
        <v>77</v>
      </c>
      <c r="G454" t="s">
        <v>513</v>
      </c>
      <c r="H454" s="14">
        <v>53.578699999999998</v>
      </c>
      <c r="I454" s="13">
        <v>6.9494999999999996</v>
      </c>
      <c r="J454" s="13">
        <v>1960</v>
      </c>
      <c r="K454" s="13">
        <v>2013</v>
      </c>
      <c r="L454" s="13">
        <f t="shared" si="14"/>
        <v>54</v>
      </c>
      <c r="M454" t="s">
        <v>369</v>
      </c>
      <c r="N454" t="s">
        <v>51</v>
      </c>
      <c r="O454" t="s">
        <v>51</v>
      </c>
      <c r="P454" t="s">
        <v>51</v>
      </c>
      <c r="Q454" s="10" t="s">
        <v>619</v>
      </c>
      <c r="R454" t="s">
        <v>864</v>
      </c>
      <c r="S454" s="17" t="s">
        <v>1076</v>
      </c>
      <c r="T454" s="10">
        <v>245</v>
      </c>
      <c r="U454" s="10" t="s">
        <v>1068</v>
      </c>
      <c r="V454" s="7" t="s">
        <v>165</v>
      </c>
      <c r="W454" t="s">
        <v>24</v>
      </c>
      <c r="X454" t="s">
        <v>3</v>
      </c>
      <c r="Y454" t="s">
        <v>366</v>
      </c>
      <c r="Z454" s="4" t="str">
        <f t="shared" si="19"/>
        <v>Y</v>
      </c>
      <c r="AA454" t="s">
        <v>1176</v>
      </c>
      <c r="AB454" t="s">
        <v>1177</v>
      </c>
      <c r="AC454" t="s">
        <v>1105</v>
      </c>
      <c r="AD454" s="15" t="s">
        <v>1100</v>
      </c>
      <c r="AE454" s="15" t="s">
        <v>1158</v>
      </c>
      <c r="AF454" s="15" t="s">
        <v>3</v>
      </c>
      <c r="AG454" t="s">
        <v>1100</v>
      </c>
    </row>
    <row r="455" spans="2:33" x14ac:dyDescent="0.2">
      <c r="B455" t="s">
        <v>366</v>
      </c>
      <c r="C455" t="s">
        <v>1250</v>
      </c>
      <c r="E455">
        <v>2017</v>
      </c>
      <c r="F455" t="s">
        <v>77</v>
      </c>
      <c r="G455" t="s">
        <v>513</v>
      </c>
      <c r="H455" s="14">
        <v>53.578699999999998</v>
      </c>
      <c r="I455" s="13">
        <v>6.9494999999999996</v>
      </c>
      <c r="J455" s="13">
        <v>1960</v>
      </c>
      <c r="K455" s="13">
        <v>2013</v>
      </c>
      <c r="L455" s="13">
        <f t="shared" si="14"/>
        <v>54</v>
      </c>
      <c r="M455" t="s">
        <v>369</v>
      </c>
      <c r="N455" t="s">
        <v>51</v>
      </c>
      <c r="O455" t="s">
        <v>51</v>
      </c>
      <c r="P455" t="s">
        <v>51</v>
      </c>
      <c r="Q455" s="10" t="s">
        <v>590</v>
      </c>
      <c r="R455" t="s">
        <v>864</v>
      </c>
      <c r="S455" s="17" t="s">
        <v>1076</v>
      </c>
      <c r="T455" s="10">
        <v>200</v>
      </c>
      <c r="U455" s="10" t="s">
        <v>1068</v>
      </c>
      <c r="V455" s="7" t="s">
        <v>165</v>
      </c>
      <c r="W455" t="s">
        <v>3</v>
      </c>
      <c r="X455" t="s">
        <v>3</v>
      </c>
      <c r="Y455" t="s">
        <v>366</v>
      </c>
      <c r="Z455" s="4" t="str">
        <f t="shared" si="19"/>
        <v>Y</v>
      </c>
      <c r="AA455" t="s">
        <v>1176</v>
      </c>
      <c r="AB455" t="s">
        <v>1177</v>
      </c>
      <c r="AC455" t="s">
        <v>1105</v>
      </c>
      <c r="AD455" s="15" t="s">
        <v>1100</v>
      </c>
      <c r="AE455" s="15" t="s">
        <v>1158</v>
      </c>
      <c r="AF455" s="15" t="s">
        <v>3</v>
      </c>
      <c r="AG455" t="s">
        <v>1100</v>
      </c>
    </row>
    <row r="456" spans="2:33" x14ac:dyDescent="0.2">
      <c r="B456" t="s">
        <v>366</v>
      </c>
      <c r="C456" t="s">
        <v>1250</v>
      </c>
      <c r="E456">
        <v>2017</v>
      </c>
      <c r="F456" t="s">
        <v>77</v>
      </c>
      <c r="G456" t="s">
        <v>513</v>
      </c>
      <c r="H456" s="14">
        <v>53.578699999999998</v>
      </c>
      <c r="I456" s="13">
        <v>6.9494999999999996</v>
      </c>
      <c r="J456" s="13">
        <v>1960</v>
      </c>
      <c r="K456" s="13">
        <v>2013</v>
      </c>
      <c r="L456" s="13">
        <f t="shared" si="14"/>
        <v>54</v>
      </c>
      <c r="M456" t="s">
        <v>369</v>
      </c>
      <c r="N456" t="s">
        <v>51</v>
      </c>
      <c r="O456" t="s">
        <v>51</v>
      </c>
      <c r="P456" t="s">
        <v>51</v>
      </c>
      <c r="Q456" s="10" t="s">
        <v>589</v>
      </c>
      <c r="R456" t="s">
        <v>864</v>
      </c>
      <c r="S456" s="17" t="s">
        <v>1076</v>
      </c>
      <c r="T456" s="10">
        <v>240</v>
      </c>
      <c r="U456" s="10" t="s">
        <v>1068</v>
      </c>
      <c r="V456" s="7" t="s">
        <v>165</v>
      </c>
      <c r="W456" t="s">
        <v>24</v>
      </c>
      <c r="X456" t="s">
        <v>3</v>
      </c>
      <c r="Y456" t="s">
        <v>366</v>
      </c>
      <c r="Z456" s="4" t="str">
        <f t="shared" si="19"/>
        <v>Y</v>
      </c>
      <c r="AA456" t="s">
        <v>1176</v>
      </c>
      <c r="AB456" t="s">
        <v>1177</v>
      </c>
      <c r="AC456" t="s">
        <v>1105</v>
      </c>
      <c r="AD456" s="15" t="s">
        <v>1100</v>
      </c>
      <c r="AE456" s="15" t="s">
        <v>1158</v>
      </c>
      <c r="AF456" s="15" t="s">
        <v>3</v>
      </c>
      <c r="AG456" t="s">
        <v>1100</v>
      </c>
    </row>
    <row r="457" spans="2:33" x14ac:dyDescent="0.2">
      <c r="B457" t="s">
        <v>366</v>
      </c>
      <c r="C457" t="s">
        <v>1250</v>
      </c>
      <c r="E457">
        <v>2017</v>
      </c>
      <c r="F457" t="s">
        <v>77</v>
      </c>
      <c r="G457" t="s">
        <v>513</v>
      </c>
      <c r="H457" s="14">
        <v>53.578699999999998</v>
      </c>
      <c r="I457" s="13">
        <v>6.9494999999999996</v>
      </c>
      <c r="J457" s="13">
        <v>1960</v>
      </c>
      <c r="K457" s="13">
        <v>2013</v>
      </c>
      <c r="L457" s="13">
        <f t="shared" si="14"/>
        <v>54</v>
      </c>
      <c r="M457" t="s">
        <v>369</v>
      </c>
      <c r="N457" t="s">
        <v>51</v>
      </c>
      <c r="O457" t="s">
        <v>51</v>
      </c>
      <c r="P457" t="s">
        <v>51</v>
      </c>
      <c r="Q457" s="10" t="s">
        <v>588</v>
      </c>
      <c r="R457" t="s">
        <v>864</v>
      </c>
      <c r="S457" s="17" t="s">
        <v>1076</v>
      </c>
      <c r="T457" s="10">
        <v>230</v>
      </c>
      <c r="U457" s="10" t="s">
        <v>1068</v>
      </c>
      <c r="V457" s="7" t="s">
        <v>165</v>
      </c>
      <c r="W457" t="s">
        <v>3</v>
      </c>
      <c r="X457" t="s">
        <v>3</v>
      </c>
      <c r="Y457" t="s">
        <v>366</v>
      </c>
      <c r="Z457" s="4" t="str">
        <f t="shared" si="19"/>
        <v>Y</v>
      </c>
      <c r="AA457" t="s">
        <v>1176</v>
      </c>
      <c r="AB457" t="s">
        <v>1177</v>
      </c>
      <c r="AC457" t="s">
        <v>1105</v>
      </c>
      <c r="AD457" s="15" t="s">
        <v>1100</v>
      </c>
      <c r="AE457" s="15" t="s">
        <v>1158</v>
      </c>
      <c r="AF457" s="15" t="s">
        <v>3</v>
      </c>
      <c r="AG457" t="s">
        <v>1100</v>
      </c>
    </row>
    <row r="458" spans="2:33" x14ac:dyDescent="0.2">
      <c r="B458" t="s">
        <v>366</v>
      </c>
      <c r="C458" t="s">
        <v>1250</v>
      </c>
      <c r="E458">
        <v>2017</v>
      </c>
      <c r="F458" t="s">
        <v>77</v>
      </c>
      <c r="G458" t="s">
        <v>513</v>
      </c>
      <c r="H458" s="14">
        <v>53.578699999999998</v>
      </c>
      <c r="I458" s="13">
        <v>6.9494999999999996</v>
      </c>
      <c r="J458" s="13">
        <v>1960</v>
      </c>
      <c r="K458" s="13">
        <v>2013</v>
      </c>
      <c r="L458" s="13">
        <f t="shared" si="14"/>
        <v>54</v>
      </c>
      <c r="M458" t="s">
        <v>369</v>
      </c>
      <c r="N458" t="s">
        <v>51</v>
      </c>
      <c r="O458" t="s">
        <v>51</v>
      </c>
      <c r="P458" t="s">
        <v>51</v>
      </c>
      <c r="Q458" s="10" t="s">
        <v>587</v>
      </c>
      <c r="R458" t="s">
        <v>864</v>
      </c>
      <c r="S458" s="17" t="s">
        <v>1076</v>
      </c>
      <c r="T458" s="10">
        <v>180</v>
      </c>
      <c r="U458" s="10" t="s">
        <v>1068</v>
      </c>
      <c r="V458" s="7" t="s">
        <v>165</v>
      </c>
      <c r="W458" t="s">
        <v>24</v>
      </c>
      <c r="X458" t="s">
        <v>3</v>
      </c>
      <c r="Y458" t="s">
        <v>366</v>
      </c>
      <c r="Z458" s="4" t="str">
        <f t="shared" si="19"/>
        <v>Y</v>
      </c>
      <c r="AA458" t="s">
        <v>1176</v>
      </c>
      <c r="AB458" t="s">
        <v>1177</v>
      </c>
      <c r="AC458" t="s">
        <v>1105</v>
      </c>
      <c r="AD458" s="15" t="s">
        <v>1100</v>
      </c>
      <c r="AE458" s="15" t="s">
        <v>1158</v>
      </c>
      <c r="AF458" s="15" t="s">
        <v>3</v>
      </c>
      <c r="AG458" t="s">
        <v>1100</v>
      </c>
    </row>
    <row r="459" spans="2:33" x14ac:dyDescent="0.2">
      <c r="B459" t="s">
        <v>366</v>
      </c>
      <c r="C459" t="s">
        <v>1250</v>
      </c>
      <c r="E459">
        <v>2017</v>
      </c>
      <c r="F459" t="s">
        <v>77</v>
      </c>
      <c r="G459" t="s">
        <v>513</v>
      </c>
      <c r="H459" s="14">
        <v>53.578699999999998</v>
      </c>
      <c r="I459" s="13">
        <v>6.9494999999999996</v>
      </c>
      <c r="J459" s="13">
        <v>1960</v>
      </c>
      <c r="K459" s="13">
        <v>2013</v>
      </c>
      <c r="L459" s="13">
        <f t="shared" si="14"/>
        <v>54</v>
      </c>
      <c r="M459" t="s">
        <v>369</v>
      </c>
      <c r="N459" t="s">
        <v>51</v>
      </c>
      <c r="O459" t="s">
        <v>51</v>
      </c>
      <c r="P459" t="s">
        <v>51</v>
      </c>
      <c r="Q459" s="10" t="s">
        <v>13</v>
      </c>
      <c r="R459" t="s">
        <v>864</v>
      </c>
      <c r="S459" s="17" t="s">
        <v>1076</v>
      </c>
      <c r="T459" s="10">
        <v>190</v>
      </c>
      <c r="U459" s="10" t="s">
        <v>1068</v>
      </c>
      <c r="V459" s="7" t="s">
        <v>165</v>
      </c>
      <c r="W459" t="s">
        <v>3</v>
      </c>
      <c r="X459" t="s">
        <v>3</v>
      </c>
      <c r="Y459" t="s">
        <v>366</v>
      </c>
      <c r="Z459" s="4" t="str">
        <f t="shared" si="19"/>
        <v>Y</v>
      </c>
      <c r="AA459" t="s">
        <v>1176</v>
      </c>
      <c r="AB459" t="s">
        <v>1177</v>
      </c>
      <c r="AC459" t="s">
        <v>1105</v>
      </c>
      <c r="AD459" s="15" t="s">
        <v>1100</v>
      </c>
      <c r="AE459" s="15" t="s">
        <v>1158</v>
      </c>
      <c r="AF459" s="15" t="s">
        <v>3</v>
      </c>
      <c r="AG459" t="s">
        <v>1100</v>
      </c>
    </row>
    <row r="460" spans="2:33" x14ac:dyDescent="0.2">
      <c r="B460" t="s">
        <v>366</v>
      </c>
      <c r="C460" t="s">
        <v>1250</v>
      </c>
      <c r="E460">
        <v>2017</v>
      </c>
      <c r="F460" t="s">
        <v>77</v>
      </c>
      <c r="G460" t="s">
        <v>513</v>
      </c>
      <c r="H460" s="14">
        <v>53.578699999999998</v>
      </c>
      <c r="I460" s="13">
        <v>6.9494999999999996</v>
      </c>
      <c r="J460" s="13">
        <v>1960</v>
      </c>
      <c r="K460" s="13">
        <v>2013</v>
      </c>
      <c r="L460" s="13">
        <f t="shared" si="14"/>
        <v>54</v>
      </c>
      <c r="M460" t="s">
        <v>369</v>
      </c>
      <c r="N460" t="s">
        <v>51</v>
      </c>
      <c r="O460" t="s">
        <v>51</v>
      </c>
      <c r="P460" t="s">
        <v>51</v>
      </c>
      <c r="Q460" s="10" t="s">
        <v>586</v>
      </c>
      <c r="R460" t="s">
        <v>864</v>
      </c>
      <c r="S460" s="17" t="s">
        <v>1076</v>
      </c>
      <c r="T460" s="10">
        <v>215</v>
      </c>
      <c r="U460" s="10" t="s">
        <v>1068</v>
      </c>
      <c r="V460" s="7" t="s">
        <v>165</v>
      </c>
      <c r="W460" t="s">
        <v>24</v>
      </c>
      <c r="X460" t="s">
        <v>3</v>
      </c>
      <c r="Y460" t="s">
        <v>366</v>
      </c>
      <c r="Z460" s="4" t="str">
        <f t="shared" si="19"/>
        <v>Y</v>
      </c>
      <c r="AA460" t="s">
        <v>1176</v>
      </c>
      <c r="AB460" t="s">
        <v>1177</v>
      </c>
      <c r="AC460" t="s">
        <v>1105</v>
      </c>
      <c r="AD460" s="15" t="s">
        <v>1100</v>
      </c>
      <c r="AE460" s="15" t="s">
        <v>1158</v>
      </c>
      <c r="AF460" s="15" t="s">
        <v>3</v>
      </c>
      <c r="AG460" t="s">
        <v>1100</v>
      </c>
    </row>
    <row r="461" spans="2:33" x14ac:dyDescent="0.2">
      <c r="B461" t="s">
        <v>366</v>
      </c>
      <c r="C461" t="s">
        <v>1250</v>
      </c>
      <c r="E461">
        <v>2017</v>
      </c>
      <c r="F461" t="s">
        <v>77</v>
      </c>
      <c r="G461" t="s">
        <v>513</v>
      </c>
      <c r="H461" s="14">
        <v>53.578699999999998</v>
      </c>
      <c r="I461" s="13">
        <v>6.9494999999999996</v>
      </c>
      <c r="J461" s="13">
        <v>1960</v>
      </c>
      <c r="K461" s="13">
        <v>2013</v>
      </c>
      <c r="L461" s="13">
        <f t="shared" ref="L461:L524" si="20">K461-J461+1</f>
        <v>54</v>
      </c>
      <c r="M461" t="s">
        <v>369</v>
      </c>
      <c r="N461" t="s">
        <v>51</v>
      </c>
      <c r="O461" t="s">
        <v>51</v>
      </c>
      <c r="P461" t="s">
        <v>51</v>
      </c>
      <c r="Q461" s="10" t="s">
        <v>585</v>
      </c>
      <c r="R461" t="s">
        <v>864</v>
      </c>
      <c r="S461" s="17" t="s">
        <v>1076</v>
      </c>
      <c r="T461" s="10">
        <v>240</v>
      </c>
      <c r="U461" s="10" t="s">
        <v>1068</v>
      </c>
      <c r="V461" s="7" t="s">
        <v>165</v>
      </c>
      <c r="W461" t="s">
        <v>3</v>
      </c>
      <c r="X461" t="s">
        <v>3</v>
      </c>
      <c r="Y461" t="s">
        <v>366</v>
      </c>
      <c r="Z461" s="4" t="str">
        <f t="shared" si="19"/>
        <v>Y</v>
      </c>
      <c r="AA461" t="s">
        <v>1176</v>
      </c>
      <c r="AB461" t="s">
        <v>1177</v>
      </c>
      <c r="AC461" t="s">
        <v>1105</v>
      </c>
      <c r="AD461" s="15" t="s">
        <v>1100</v>
      </c>
      <c r="AE461" s="15" t="s">
        <v>1158</v>
      </c>
      <c r="AF461" s="15" t="s">
        <v>3</v>
      </c>
      <c r="AG461" t="s">
        <v>1100</v>
      </c>
    </row>
    <row r="462" spans="2:33" x14ac:dyDescent="0.2">
      <c r="B462" t="s">
        <v>366</v>
      </c>
      <c r="C462" t="s">
        <v>1250</v>
      </c>
      <c r="E462">
        <v>2017</v>
      </c>
      <c r="F462" t="s">
        <v>77</v>
      </c>
      <c r="G462" t="s">
        <v>513</v>
      </c>
      <c r="H462" s="14">
        <v>53.578699999999998</v>
      </c>
      <c r="I462" s="13">
        <v>6.9494999999999996</v>
      </c>
      <c r="J462" s="13">
        <v>1960</v>
      </c>
      <c r="K462" s="13">
        <v>2013</v>
      </c>
      <c r="L462" s="13">
        <f t="shared" si="20"/>
        <v>54</v>
      </c>
      <c r="M462" t="s">
        <v>369</v>
      </c>
      <c r="N462" t="s">
        <v>51</v>
      </c>
      <c r="O462" t="s">
        <v>51</v>
      </c>
      <c r="P462" t="s">
        <v>51</v>
      </c>
      <c r="Q462" s="10" t="s">
        <v>584</v>
      </c>
      <c r="R462" t="s">
        <v>864</v>
      </c>
      <c r="S462" s="17" t="s">
        <v>1076</v>
      </c>
      <c r="T462" s="10">
        <v>270</v>
      </c>
      <c r="U462" s="10" t="s">
        <v>1068</v>
      </c>
      <c r="V462" s="7" t="s">
        <v>165</v>
      </c>
      <c r="W462" t="s">
        <v>164</v>
      </c>
      <c r="X462" t="s">
        <v>3</v>
      </c>
      <c r="Y462" t="s">
        <v>366</v>
      </c>
      <c r="Z462" s="4" t="str">
        <f t="shared" si="19"/>
        <v>Y</v>
      </c>
      <c r="AA462" t="s">
        <v>1176</v>
      </c>
      <c r="AB462" t="s">
        <v>1177</v>
      </c>
      <c r="AC462" t="s">
        <v>1105</v>
      </c>
      <c r="AD462" s="15" t="s">
        <v>1100</v>
      </c>
      <c r="AE462" s="15" t="s">
        <v>1158</v>
      </c>
      <c r="AF462" s="15" t="s">
        <v>3</v>
      </c>
      <c r="AG462" t="s">
        <v>1100</v>
      </c>
    </row>
    <row r="463" spans="2:33" x14ac:dyDescent="0.2">
      <c r="B463" t="s">
        <v>366</v>
      </c>
      <c r="C463" t="s">
        <v>1250</v>
      </c>
      <c r="E463">
        <v>2017</v>
      </c>
      <c r="F463" t="s">
        <v>77</v>
      </c>
      <c r="G463" t="s">
        <v>513</v>
      </c>
      <c r="H463" s="14">
        <v>53.578699999999998</v>
      </c>
      <c r="I463" s="13">
        <v>6.9494999999999996</v>
      </c>
      <c r="J463" s="13">
        <v>1960</v>
      </c>
      <c r="K463" s="13">
        <v>2013</v>
      </c>
      <c r="L463" s="13">
        <f t="shared" si="20"/>
        <v>54</v>
      </c>
      <c r="M463" t="s">
        <v>369</v>
      </c>
      <c r="N463" t="s">
        <v>51</v>
      </c>
      <c r="O463" t="s">
        <v>51</v>
      </c>
      <c r="P463" t="s">
        <v>51</v>
      </c>
      <c r="Q463" s="10" t="s">
        <v>583</v>
      </c>
      <c r="R463" t="s">
        <v>864</v>
      </c>
      <c r="S463" s="17" t="s">
        <v>1076</v>
      </c>
      <c r="T463" s="10">
        <v>170</v>
      </c>
      <c r="U463" s="10" t="s">
        <v>1068</v>
      </c>
      <c r="V463" s="7" t="s">
        <v>165</v>
      </c>
      <c r="W463" t="s">
        <v>3</v>
      </c>
      <c r="X463" t="s">
        <v>3</v>
      </c>
      <c r="Y463" t="s">
        <v>366</v>
      </c>
      <c r="Z463" s="4" t="str">
        <f t="shared" si="19"/>
        <v>Y</v>
      </c>
      <c r="AA463" t="s">
        <v>1176</v>
      </c>
      <c r="AB463" t="s">
        <v>1177</v>
      </c>
      <c r="AC463" t="s">
        <v>1105</v>
      </c>
      <c r="AD463" s="15" t="s">
        <v>1100</v>
      </c>
      <c r="AE463" s="15" t="s">
        <v>1158</v>
      </c>
      <c r="AF463" s="15" t="s">
        <v>3</v>
      </c>
      <c r="AG463" t="s">
        <v>1100</v>
      </c>
    </row>
    <row r="464" spans="2:33" x14ac:dyDescent="0.2">
      <c r="B464" t="s">
        <v>366</v>
      </c>
      <c r="C464" t="s">
        <v>1250</v>
      </c>
      <c r="E464">
        <v>2017</v>
      </c>
      <c r="F464" t="s">
        <v>77</v>
      </c>
      <c r="G464" t="s">
        <v>513</v>
      </c>
      <c r="H464" s="14">
        <v>53.578699999999998</v>
      </c>
      <c r="I464" s="13">
        <v>6.9494999999999996</v>
      </c>
      <c r="J464" s="13">
        <v>1960</v>
      </c>
      <c r="K464" s="13">
        <v>2013</v>
      </c>
      <c r="L464" s="13">
        <f t="shared" si="20"/>
        <v>54</v>
      </c>
      <c r="M464" t="s">
        <v>369</v>
      </c>
      <c r="N464" t="s">
        <v>51</v>
      </c>
      <c r="O464" t="s">
        <v>51</v>
      </c>
      <c r="P464" t="s">
        <v>51</v>
      </c>
      <c r="Q464" s="10" t="s">
        <v>582</v>
      </c>
      <c r="R464" t="s">
        <v>864</v>
      </c>
      <c r="S464" s="17" t="s">
        <v>1076</v>
      </c>
      <c r="T464" s="10">
        <v>140</v>
      </c>
      <c r="U464" s="10" t="s">
        <v>901</v>
      </c>
      <c r="V464" s="7" t="s">
        <v>165</v>
      </c>
      <c r="W464" t="s">
        <v>3</v>
      </c>
      <c r="X464" t="s">
        <v>3</v>
      </c>
      <c r="Y464" t="s">
        <v>366</v>
      </c>
      <c r="Z464" s="4" t="str">
        <f t="shared" si="19"/>
        <v>Y</v>
      </c>
      <c r="AA464" t="s">
        <v>1176</v>
      </c>
      <c r="AB464" t="s">
        <v>1177</v>
      </c>
      <c r="AC464" t="s">
        <v>1105</v>
      </c>
      <c r="AD464" s="15" t="s">
        <v>1100</v>
      </c>
      <c r="AE464" s="15" t="s">
        <v>1158</v>
      </c>
      <c r="AF464" s="15" t="s">
        <v>3</v>
      </c>
      <c r="AG464" t="s">
        <v>1100</v>
      </c>
    </row>
    <row r="465" spans="2:33" x14ac:dyDescent="0.2">
      <c r="B465" t="s">
        <v>366</v>
      </c>
      <c r="C465" t="s">
        <v>1250</v>
      </c>
      <c r="E465">
        <v>2017</v>
      </c>
      <c r="F465" t="s">
        <v>77</v>
      </c>
      <c r="G465" t="s">
        <v>513</v>
      </c>
      <c r="H465" s="14">
        <v>53.578699999999998</v>
      </c>
      <c r="I465" s="13">
        <v>6.9494999999999996</v>
      </c>
      <c r="J465" s="13">
        <v>1960</v>
      </c>
      <c r="K465" s="13">
        <v>2013</v>
      </c>
      <c r="L465" s="13">
        <f t="shared" si="20"/>
        <v>54</v>
      </c>
      <c r="M465" t="s">
        <v>369</v>
      </c>
      <c r="N465" t="s">
        <v>51</v>
      </c>
      <c r="O465" t="s">
        <v>51</v>
      </c>
      <c r="P465" t="s">
        <v>51</v>
      </c>
      <c r="Q465" s="10" t="s">
        <v>601</v>
      </c>
      <c r="R465" t="s">
        <v>864</v>
      </c>
      <c r="S465" s="17" t="s">
        <v>1076</v>
      </c>
      <c r="T465" s="10">
        <v>140</v>
      </c>
      <c r="U465" s="10" t="s">
        <v>901</v>
      </c>
      <c r="V465" s="7" t="s">
        <v>165</v>
      </c>
      <c r="W465" t="s">
        <v>3</v>
      </c>
      <c r="X465" t="s">
        <v>3</v>
      </c>
      <c r="Y465" t="s">
        <v>366</v>
      </c>
      <c r="Z465" s="4" t="str">
        <f t="shared" si="19"/>
        <v>Y</v>
      </c>
      <c r="AA465" t="s">
        <v>1176</v>
      </c>
      <c r="AB465" t="s">
        <v>1177</v>
      </c>
      <c r="AC465" t="s">
        <v>1105</v>
      </c>
      <c r="AD465" s="15" t="s">
        <v>1100</v>
      </c>
      <c r="AE465" s="15" t="s">
        <v>1158</v>
      </c>
      <c r="AF465" s="15" t="s">
        <v>3</v>
      </c>
      <c r="AG465" t="s">
        <v>1100</v>
      </c>
    </row>
    <row r="466" spans="2:33" x14ac:dyDescent="0.2">
      <c r="B466" t="s">
        <v>366</v>
      </c>
      <c r="C466" t="s">
        <v>1250</v>
      </c>
      <c r="E466">
        <v>2017</v>
      </c>
      <c r="F466" t="s">
        <v>77</v>
      </c>
      <c r="G466" t="s">
        <v>513</v>
      </c>
      <c r="H466" s="14">
        <v>53.578699999999998</v>
      </c>
      <c r="I466" s="13">
        <v>6.9494999999999996</v>
      </c>
      <c r="J466" s="13">
        <v>1960</v>
      </c>
      <c r="K466" s="13">
        <v>2013</v>
      </c>
      <c r="L466" s="13">
        <f t="shared" si="20"/>
        <v>54</v>
      </c>
      <c r="M466" t="s">
        <v>369</v>
      </c>
      <c r="N466" t="s">
        <v>51</v>
      </c>
      <c r="O466" t="s">
        <v>51</v>
      </c>
      <c r="P466" t="s">
        <v>51</v>
      </c>
      <c r="Q466" s="10" t="s">
        <v>600</v>
      </c>
      <c r="R466" t="s">
        <v>864</v>
      </c>
      <c r="S466" s="17" t="s">
        <v>1076</v>
      </c>
      <c r="T466" s="10">
        <v>250</v>
      </c>
      <c r="U466" s="10" t="s">
        <v>900</v>
      </c>
      <c r="V466" s="7" t="s">
        <v>165</v>
      </c>
      <c r="W466" t="s">
        <v>24</v>
      </c>
      <c r="X466" t="s">
        <v>3</v>
      </c>
      <c r="Y466" t="s">
        <v>366</v>
      </c>
      <c r="Z466" s="4" t="str">
        <f t="shared" si="19"/>
        <v>Y</v>
      </c>
      <c r="AA466" t="s">
        <v>1176</v>
      </c>
      <c r="AB466" t="s">
        <v>1177</v>
      </c>
      <c r="AC466" t="s">
        <v>1105</v>
      </c>
      <c r="AD466" s="15" t="s">
        <v>1100</v>
      </c>
      <c r="AE466" s="15" t="s">
        <v>1158</v>
      </c>
      <c r="AF466" s="15" t="s">
        <v>3</v>
      </c>
      <c r="AG466" t="s">
        <v>1100</v>
      </c>
    </row>
    <row r="467" spans="2:33" x14ac:dyDescent="0.2">
      <c r="B467" t="s">
        <v>366</v>
      </c>
      <c r="C467" t="s">
        <v>1250</v>
      </c>
      <c r="E467">
        <v>2017</v>
      </c>
      <c r="F467" t="s">
        <v>77</v>
      </c>
      <c r="G467" t="s">
        <v>513</v>
      </c>
      <c r="H467" s="14">
        <v>53.578699999999998</v>
      </c>
      <c r="I467" s="13">
        <v>6.9494999999999996</v>
      </c>
      <c r="J467" s="13">
        <v>1960</v>
      </c>
      <c r="K467" s="13">
        <v>2013</v>
      </c>
      <c r="L467" s="13">
        <f t="shared" si="20"/>
        <v>54</v>
      </c>
      <c r="M467" t="s">
        <v>369</v>
      </c>
      <c r="N467" t="s">
        <v>51</v>
      </c>
      <c r="O467" t="s">
        <v>51</v>
      </c>
      <c r="P467" t="s">
        <v>51</v>
      </c>
      <c r="Q467" s="10" t="s">
        <v>599</v>
      </c>
      <c r="R467" t="s">
        <v>864</v>
      </c>
      <c r="S467" s="17" t="s">
        <v>1076</v>
      </c>
      <c r="T467" s="10">
        <v>185</v>
      </c>
      <c r="U467" s="10" t="s">
        <v>1068</v>
      </c>
      <c r="V467" s="7" t="s">
        <v>165</v>
      </c>
      <c r="W467" t="s">
        <v>24</v>
      </c>
      <c r="X467" t="s">
        <v>3</v>
      </c>
      <c r="Y467" t="s">
        <v>366</v>
      </c>
      <c r="Z467" s="4" t="str">
        <f t="shared" si="19"/>
        <v>Y</v>
      </c>
      <c r="AA467" t="s">
        <v>1176</v>
      </c>
      <c r="AB467" t="s">
        <v>1177</v>
      </c>
      <c r="AC467" t="s">
        <v>1105</v>
      </c>
      <c r="AD467" s="15" t="s">
        <v>1100</v>
      </c>
      <c r="AE467" s="15" t="s">
        <v>1158</v>
      </c>
      <c r="AF467" s="15" t="s">
        <v>3</v>
      </c>
      <c r="AG467" t="s">
        <v>1100</v>
      </c>
    </row>
    <row r="468" spans="2:33" x14ac:dyDescent="0.2">
      <c r="B468" t="s">
        <v>366</v>
      </c>
      <c r="C468" t="s">
        <v>1250</v>
      </c>
      <c r="E468">
        <v>2017</v>
      </c>
      <c r="F468" t="s">
        <v>77</v>
      </c>
      <c r="G468" t="s">
        <v>513</v>
      </c>
      <c r="H468" s="14">
        <v>53.578699999999998</v>
      </c>
      <c r="I468" s="13">
        <v>6.9494999999999996</v>
      </c>
      <c r="J468" s="13">
        <v>1960</v>
      </c>
      <c r="K468" s="13">
        <v>2013</v>
      </c>
      <c r="L468" s="13">
        <f t="shared" si="20"/>
        <v>54</v>
      </c>
      <c r="M468" t="s">
        <v>369</v>
      </c>
      <c r="N468" t="s">
        <v>51</v>
      </c>
      <c r="O468" t="s">
        <v>51</v>
      </c>
      <c r="P468" t="s">
        <v>51</v>
      </c>
      <c r="Q468" s="10" t="s">
        <v>591</v>
      </c>
      <c r="R468" t="s">
        <v>864</v>
      </c>
      <c r="S468" s="17" t="s">
        <v>1076</v>
      </c>
      <c r="T468" s="10">
        <v>190</v>
      </c>
      <c r="U468" s="10" t="s">
        <v>1068</v>
      </c>
      <c r="V468" s="7" t="s">
        <v>165</v>
      </c>
      <c r="W468" t="s">
        <v>3</v>
      </c>
      <c r="X468" t="s">
        <v>3</v>
      </c>
      <c r="Y468" t="s">
        <v>366</v>
      </c>
      <c r="Z468" s="4" t="str">
        <f t="shared" si="19"/>
        <v>Y</v>
      </c>
      <c r="AA468" t="s">
        <v>1176</v>
      </c>
      <c r="AB468" t="s">
        <v>1177</v>
      </c>
      <c r="AC468" t="s">
        <v>1105</v>
      </c>
      <c r="AD468" s="15" t="s">
        <v>1100</v>
      </c>
      <c r="AE468" s="15" t="s">
        <v>1158</v>
      </c>
      <c r="AF468" s="15" t="s">
        <v>3</v>
      </c>
      <c r="AG468" t="s">
        <v>1100</v>
      </c>
    </row>
    <row r="469" spans="2:33" x14ac:dyDescent="0.2">
      <c r="B469" t="s">
        <v>366</v>
      </c>
      <c r="C469" t="s">
        <v>1250</v>
      </c>
      <c r="E469">
        <v>2017</v>
      </c>
      <c r="F469" t="s">
        <v>77</v>
      </c>
      <c r="G469" t="s">
        <v>513</v>
      </c>
      <c r="H469" s="14">
        <v>53.578699999999998</v>
      </c>
      <c r="I469" s="13">
        <v>6.9494999999999996</v>
      </c>
      <c r="J469" s="13">
        <v>1960</v>
      </c>
      <c r="K469" s="13">
        <v>2013</v>
      </c>
      <c r="L469" s="13">
        <f t="shared" si="20"/>
        <v>54</v>
      </c>
      <c r="M469" t="s">
        <v>369</v>
      </c>
      <c r="N469" t="s">
        <v>51</v>
      </c>
      <c r="O469" t="s">
        <v>51</v>
      </c>
      <c r="P469" t="s">
        <v>51</v>
      </c>
      <c r="Q469" s="10" t="s">
        <v>618</v>
      </c>
      <c r="R469" t="s">
        <v>864</v>
      </c>
      <c r="S469" s="17" t="s">
        <v>1076</v>
      </c>
      <c r="T469" s="10">
        <v>190</v>
      </c>
      <c r="U469" s="10" t="s">
        <v>1068</v>
      </c>
      <c r="V469" s="7" t="s">
        <v>165</v>
      </c>
      <c r="W469" t="s">
        <v>3</v>
      </c>
      <c r="X469" t="s">
        <v>3</v>
      </c>
      <c r="Y469" t="s">
        <v>366</v>
      </c>
      <c r="Z469" s="4" t="str">
        <f t="shared" si="19"/>
        <v>Y</v>
      </c>
      <c r="AA469" t="s">
        <v>1176</v>
      </c>
      <c r="AB469" t="s">
        <v>1177</v>
      </c>
      <c r="AC469" t="s">
        <v>1105</v>
      </c>
      <c r="AD469" s="15" t="s">
        <v>1100</v>
      </c>
      <c r="AE469" s="15" t="s">
        <v>1158</v>
      </c>
      <c r="AF469" s="15" t="s">
        <v>3</v>
      </c>
      <c r="AG469" t="s">
        <v>1100</v>
      </c>
    </row>
    <row r="470" spans="2:33" x14ac:dyDescent="0.2">
      <c r="B470" t="s">
        <v>366</v>
      </c>
      <c r="C470" t="s">
        <v>1250</v>
      </c>
      <c r="E470">
        <v>2017</v>
      </c>
      <c r="F470" t="s">
        <v>77</v>
      </c>
      <c r="G470" t="s">
        <v>513</v>
      </c>
      <c r="H470" s="14">
        <v>53.578699999999998</v>
      </c>
      <c r="I470" s="13">
        <v>6.9494999999999996</v>
      </c>
      <c r="J470" s="13">
        <v>1960</v>
      </c>
      <c r="K470" s="13">
        <v>2013</v>
      </c>
      <c r="L470" s="13">
        <f t="shared" si="20"/>
        <v>54</v>
      </c>
      <c r="M470" t="s">
        <v>369</v>
      </c>
      <c r="N470" t="s">
        <v>51</v>
      </c>
      <c r="O470" t="s">
        <v>51</v>
      </c>
      <c r="P470" t="s">
        <v>51</v>
      </c>
      <c r="Q470" s="10" t="s">
        <v>617</v>
      </c>
      <c r="R470" t="s">
        <v>864</v>
      </c>
      <c r="S470" s="17" t="s">
        <v>1076</v>
      </c>
      <c r="T470" s="10">
        <v>200</v>
      </c>
      <c r="U470" s="10" t="s">
        <v>1068</v>
      </c>
      <c r="V470" s="7" t="s">
        <v>165</v>
      </c>
      <c r="W470" t="s">
        <v>164</v>
      </c>
      <c r="X470" t="s">
        <v>3</v>
      </c>
      <c r="Y470" t="s">
        <v>366</v>
      </c>
      <c r="Z470" s="4" t="str">
        <f t="shared" si="19"/>
        <v>Y</v>
      </c>
      <c r="AA470" t="s">
        <v>1176</v>
      </c>
      <c r="AB470" t="s">
        <v>1177</v>
      </c>
      <c r="AC470" t="s">
        <v>1105</v>
      </c>
      <c r="AD470" s="15" t="s">
        <v>1100</v>
      </c>
      <c r="AE470" s="15" t="s">
        <v>1158</v>
      </c>
      <c r="AF470" s="15" t="s">
        <v>3</v>
      </c>
      <c r="AG470" t="s">
        <v>1100</v>
      </c>
    </row>
    <row r="471" spans="2:33" x14ac:dyDescent="0.2">
      <c r="B471" t="s">
        <v>366</v>
      </c>
      <c r="C471" t="s">
        <v>1250</v>
      </c>
      <c r="E471">
        <v>2017</v>
      </c>
      <c r="F471" t="s">
        <v>77</v>
      </c>
      <c r="G471" t="s">
        <v>513</v>
      </c>
      <c r="H471" s="14">
        <v>53.578699999999998</v>
      </c>
      <c r="I471" s="13">
        <v>6.9494999999999996</v>
      </c>
      <c r="J471" s="13">
        <v>1960</v>
      </c>
      <c r="K471" s="13">
        <v>2013</v>
      </c>
      <c r="L471" s="13">
        <f t="shared" si="20"/>
        <v>54</v>
      </c>
      <c r="M471" t="s">
        <v>369</v>
      </c>
      <c r="N471" t="s">
        <v>51</v>
      </c>
      <c r="O471" t="s">
        <v>51</v>
      </c>
      <c r="P471" t="s">
        <v>51</v>
      </c>
      <c r="Q471" s="10" t="s">
        <v>616</v>
      </c>
      <c r="R471" t="s">
        <v>864</v>
      </c>
      <c r="S471" s="17" t="s">
        <v>1076</v>
      </c>
      <c r="T471" s="10">
        <v>140</v>
      </c>
      <c r="U471" s="10" t="s">
        <v>901</v>
      </c>
      <c r="V471" s="7" t="s">
        <v>165</v>
      </c>
      <c r="W471" t="s">
        <v>3</v>
      </c>
      <c r="X471" t="s">
        <v>3</v>
      </c>
      <c r="Y471" t="s">
        <v>366</v>
      </c>
      <c r="Z471" s="4" t="str">
        <f t="shared" si="19"/>
        <v>Y</v>
      </c>
      <c r="AA471" t="s">
        <v>1176</v>
      </c>
      <c r="AB471" t="s">
        <v>1177</v>
      </c>
      <c r="AC471" t="s">
        <v>1105</v>
      </c>
      <c r="AD471" s="15" t="s">
        <v>1100</v>
      </c>
      <c r="AE471" s="15" t="s">
        <v>1158</v>
      </c>
      <c r="AF471" s="15" t="s">
        <v>3</v>
      </c>
      <c r="AG471" t="s">
        <v>1100</v>
      </c>
    </row>
    <row r="472" spans="2:33" x14ac:dyDescent="0.2">
      <c r="B472" t="s">
        <v>366</v>
      </c>
      <c r="C472" t="s">
        <v>1250</v>
      </c>
      <c r="E472">
        <v>2017</v>
      </c>
      <c r="F472" t="s">
        <v>77</v>
      </c>
      <c r="G472" t="s">
        <v>513</v>
      </c>
      <c r="H472" s="14">
        <v>53.578699999999998</v>
      </c>
      <c r="I472" s="13">
        <v>6.9494999999999996</v>
      </c>
      <c r="J472" s="13">
        <v>1960</v>
      </c>
      <c r="K472" s="13">
        <v>2013</v>
      </c>
      <c r="L472" s="13">
        <f t="shared" si="20"/>
        <v>54</v>
      </c>
      <c r="M472" t="s">
        <v>369</v>
      </c>
      <c r="N472" t="s">
        <v>51</v>
      </c>
      <c r="O472" t="s">
        <v>51</v>
      </c>
      <c r="P472" t="s">
        <v>51</v>
      </c>
      <c r="Q472" s="10" t="s">
        <v>615</v>
      </c>
      <c r="R472" t="s">
        <v>864</v>
      </c>
      <c r="S472" s="17" t="s">
        <v>1076</v>
      </c>
      <c r="T472" s="10">
        <v>200</v>
      </c>
      <c r="U472" s="10" t="s">
        <v>1068</v>
      </c>
      <c r="V472" s="7" t="s">
        <v>165</v>
      </c>
      <c r="W472" t="s">
        <v>24</v>
      </c>
      <c r="X472" t="s">
        <v>3</v>
      </c>
      <c r="Y472" t="s">
        <v>366</v>
      </c>
      <c r="Z472" s="4" t="str">
        <f t="shared" si="19"/>
        <v>Y</v>
      </c>
      <c r="AA472" t="s">
        <v>1176</v>
      </c>
      <c r="AB472" t="s">
        <v>1177</v>
      </c>
      <c r="AC472" t="s">
        <v>1105</v>
      </c>
      <c r="AD472" s="15" t="s">
        <v>1100</v>
      </c>
      <c r="AE472" s="15" t="s">
        <v>1158</v>
      </c>
      <c r="AF472" s="15" t="s">
        <v>3</v>
      </c>
      <c r="AG472" t="s">
        <v>1100</v>
      </c>
    </row>
    <row r="473" spans="2:33" x14ac:dyDescent="0.2">
      <c r="B473" t="s">
        <v>366</v>
      </c>
      <c r="C473" t="s">
        <v>1250</v>
      </c>
      <c r="E473">
        <v>2017</v>
      </c>
      <c r="F473" t="s">
        <v>77</v>
      </c>
      <c r="G473" t="s">
        <v>513</v>
      </c>
      <c r="H473" s="14">
        <v>53.578699999999998</v>
      </c>
      <c r="I473" s="13">
        <v>6.9494999999999996</v>
      </c>
      <c r="J473" s="13">
        <v>1960</v>
      </c>
      <c r="K473" s="13">
        <v>2013</v>
      </c>
      <c r="L473" s="13">
        <f t="shared" si="20"/>
        <v>54</v>
      </c>
      <c r="M473" t="s">
        <v>369</v>
      </c>
      <c r="N473" t="s">
        <v>51</v>
      </c>
      <c r="O473" t="s">
        <v>51</v>
      </c>
      <c r="P473" t="s">
        <v>51</v>
      </c>
      <c r="Q473" s="10" t="s">
        <v>20</v>
      </c>
      <c r="R473" t="s">
        <v>864</v>
      </c>
      <c r="S473" s="17" t="s">
        <v>1076</v>
      </c>
      <c r="T473" s="10">
        <v>200</v>
      </c>
      <c r="U473" s="10" t="s">
        <v>1068</v>
      </c>
      <c r="V473" s="7" t="s">
        <v>165</v>
      </c>
      <c r="W473" t="s">
        <v>3</v>
      </c>
      <c r="X473" t="s">
        <v>3</v>
      </c>
      <c r="Y473" t="s">
        <v>366</v>
      </c>
      <c r="Z473" s="4" t="str">
        <f t="shared" si="19"/>
        <v>Y</v>
      </c>
      <c r="AA473" t="s">
        <v>1176</v>
      </c>
      <c r="AB473" t="s">
        <v>1177</v>
      </c>
      <c r="AC473" t="s">
        <v>1105</v>
      </c>
      <c r="AD473" s="15" t="s">
        <v>1100</v>
      </c>
      <c r="AE473" s="15" t="s">
        <v>1158</v>
      </c>
      <c r="AF473" s="15" t="s">
        <v>3</v>
      </c>
      <c r="AG473" t="s">
        <v>1100</v>
      </c>
    </row>
    <row r="474" spans="2:33" x14ac:dyDescent="0.2">
      <c r="B474" t="s">
        <v>366</v>
      </c>
      <c r="C474" t="s">
        <v>1250</v>
      </c>
      <c r="E474">
        <v>2017</v>
      </c>
      <c r="F474" t="s">
        <v>77</v>
      </c>
      <c r="G474" t="s">
        <v>513</v>
      </c>
      <c r="H474" s="14">
        <v>53.578699999999998</v>
      </c>
      <c r="I474" s="13">
        <v>6.9494999999999996</v>
      </c>
      <c r="J474" s="13">
        <v>1960</v>
      </c>
      <c r="K474" s="13">
        <v>2013</v>
      </c>
      <c r="L474" s="13">
        <f t="shared" si="20"/>
        <v>54</v>
      </c>
      <c r="M474" t="s">
        <v>369</v>
      </c>
      <c r="N474" t="s">
        <v>51</v>
      </c>
      <c r="O474" t="s">
        <v>51</v>
      </c>
      <c r="P474" t="s">
        <v>51</v>
      </c>
      <c r="Q474" s="10" t="s">
        <v>614</v>
      </c>
      <c r="R474" t="s">
        <v>864</v>
      </c>
      <c r="S474" s="17" t="s">
        <v>1076</v>
      </c>
      <c r="T474" s="10">
        <v>200</v>
      </c>
      <c r="U474" s="10" t="s">
        <v>1068</v>
      </c>
      <c r="V474" s="7" t="s">
        <v>165</v>
      </c>
      <c r="W474" t="s">
        <v>24</v>
      </c>
      <c r="X474" t="s">
        <v>3</v>
      </c>
      <c r="Y474" t="s">
        <v>366</v>
      </c>
      <c r="Z474" s="4" t="str">
        <f t="shared" si="19"/>
        <v>Y</v>
      </c>
      <c r="AA474" t="s">
        <v>1176</v>
      </c>
      <c r="AB474" t="s">
        <v>1177</v>
      </c>
      <c r="AC474" t="s">
        <v>1105</v>
      </c>
      <c r="AD474" s="15" t="s">
        <v>1100</v>
      </c>
      <c r="AE474" s="15" t="s">
        <v>1158</v>
      </c>
      <c r="AF474" s="15" t="s">
        <v>3</v>
      </c>
      <c r="AG474" t="s">
        <v>1100</v>
      </c>
    </row>
    <row r="475" spans="2:33" x14ac:dyDescent="0.2">
      <c r="B475" t="s">
        <v>366</v>
      </c>
      <c r="C475" t="s">
        <v>1250</v>
      </c>
      <c r="E475">
        <v>2017</v>
      </c>
      <c r="F475" t="s">
        <v>77</v>
      </c>
      <c r="G475" t="s">
        <v>513</v>
      </c>
      <c r="H475" s="14">
        <v>53.578699999999998</v>
      </c>
      <c r="I475" s="13">
        <v>6.9494999999999996</v>
      </c>
      <c r="J475" s="13">
        <v>1960</v>
      </c>
      <c r="K475" s="13">
        <v>2013</v>
      </c>
      <c r="L475" s="13">
        <f t="shared" si="20"/>
        <v>54</v>
      </c>
      <c r="M475" t="s">
        <v>369</v>
      </c>
      <c r="N475" t="s">
        <v>51</v>
      </c>
      <c r="O475" t="s">
        <v>51</v>
      </c>
      <c r="P475" t="s">
        <v>51</v>
      </c>
      <c r="Q475" s="10" t="s">
        <v>613</v>
      </c>
      <c r="R475" t="s">
        <v>864</v>
      </c>
      <c r="S475" s="17" t="s">
        <v>1076</v>
      </c>
      <c r="T475" s="10">
        <v>190</v>
      </c>
      <c r="U475" s="10" t="s">
        <v>1068</v>
      </c>
      <c r="V475" s="7" t="s">
        <v>165</v>
      </c>
      <c r="W475" t="s">
        <v>24</v>
      </c>
      <c r="X475" t="s">
        <v>3</v>
      </c>
      <c r="Y475" t="s">
        <v>366</v>
      </c>
      <c r="Z475" s="4" t="str">
        <f t="shared" si="19"/>
        <v>Y</v>
      </c>
      <c r="AA475" t="s">
        <v>1176</v>
      </c>
      <c r="AB475" t="s">
        <v>1177</v>
      </c>
      <c r="AC475" t="s">
        <v>1105</v>
      </c>
      <c r="AD475" s="15" t="s">
        <v>1100</v>
      </c>
      <c r="AE475" s="15" t="s">
        <v>1158</v>
      </c>
      <c r="AF475" s="15" t="s">
        <v>3</v>
      </c>
      <c r="AG475" t="s">
        <v>1100</v>
      </c>
    </row>
    <row r="476" spans="2:33" x14ac:dyDescent="0.2">
      <c r="B476" t="s">
        <v>366</v>
      </c>
      <c r="C476" t="s">
        <v>1250</v>
      </c>
      <c r="E476">
        <v>2017</v>
      </c>
      <c r="F476" t="s">
        <v>77</v>
      </c>
      <c r="G476" t="s">
        <v>513</v>
      </c>
      <c r="H476" s="14">
        <v>53.578699999999998</v>
      </c>
      <c r="I476" s="13">
        <v>6.9494999999999996</v>
      </c>
      <c r="J476" s="13">
        <v>1960</v>
      </c>
      <c r="K476" s="13">
        <v>2013</v>
      </c>
      <c r="L476" s="13">
        <f t="shared" si="20"/>
        <v>54</v>
      </c>
      <c r="M476" t="s">
        <v>369</v>
      </c>
      <c r="N476" t="s">
        <v>51</v>
      </c>
      <c r="O476" t="s">
        <v>51</v>
      </c>
      <c r="P476" t="s">
        <v>51</v>
      </c>
      <c r="Q476" s="10" t="s">
        <v>612</v>
      </c>
      <c r="R476" t="s">
        <v>864</v>
      </c>
      <c r="S476" s="17" t="s">
        <v>1076</v>
      </c>
      <c r="T476" s="10">
        <v>245</v>
      </c>
      <c r="U476" s="10" t="s">
        <v>900</v>
      </c>
      <c r="V476" s="7" t="s">
        <v>165</v>
      </c>
      <c r="W476" t="s">
        <v>24</v>
      </c>
      <c r="X476" t="s">
        <v>3</v>
      </c>
      <c r="Y476" t="s">
        <v>366</v>
      </c>
      <c r="Z476" s="4" t="str">
        <f t="shared" si="19"/>
        <v>Y</v>
      </c>
      <c r="AA476" t="s">
        <v>1176</v>
      </c>
      <c r="AB476" t="s">
        <v>1177</v>
      </c>
      <c r="AC476" t="s">
        <v>1105</v>
      </c>
      <c r="AD476" s="15" t="s">
        <v>1100</v>
      </c>
      <c r="AE476" s="15" t="s">
        <v>1158</v>
      </c>
      <c r="AF476" s="15" t="s">
        <v>3</v>
      </c>
      <c r="AG476" t="s">
        <v>1100</v>
      </c>
    </row>
    <row r="477" spans="2:33" x14ac:dyDescent="0.2">
      <c r="B477" t="s">
        <v>366</v>
      </c>
      <c r="C477" t="s">
        <v>1250</v>
      </c>
      <c r="E477">
        <v>2017</v>
      </c>
      <c r="F477" t="s">
        <v>77</v>
      </c>
      <c r="G477" t="s">
        <v>513</v>
      </c>
      <c r="H477" s="14">
        <v>53.578699999999998</v>
      </c>
      <c r="I477" s="13">
        <v>6.9494999999999996</v>
      </c>
      <c r="J477" s="13">
        <v>1960</v>
      </c>
      <c r="K477" s="13">
        <v>2013</v>
      </c>
      <c r="L477" s="13">
        <f t="shared" si="20"/>
        <v>54</v>
      </c>
      <c r="M477" t="s">
        <v>369</v>
      </c>
      <c r="N477" t="s">
        <v>51</v>
      </c>
      <c r="O477" t="s">
        <v>51</v>
      </c>
      <c r="P477" t="s">
        <v>51</v>
      </c>
      <c r="Q477" s="10" t="s">
        <v>611</v>
      </c>
      <c r="R477" t="s">
        <v>864</v>
      </c>
      <c r="S477" s="17" t="s">
        <v>1076</v>
      </c>
      <c r="T477" s="10">
        <v>265</v>
      </c>
      <c r="U477" s="10" t="s">
        <v>900</v>
      </c>
      <c r="V477" s="7" t="s">
        <v>165</v>
      </c>
      <c r="W477" t="s">
        <v>164</v>
      </c>
      <c r="X477" t="s">
        <v>3</v>
      </c>
      <c r="Y477" t="s">
        <v>366</v>
      </c>
      <c r="Z477" s="4" t="str">
        <f t="shared" si="19"/>
        <v>Y</v>
      </c>
      <c r="AA477" t="s">
        <v>1176</v>
      </c>
      <c r="AB477" t="s">
        <v>1177</v>
      </c>
      <c r="AC477" t="s">
        <v>1105</v>
      </c>
      <c r="AD477" s="15" t="s">
        <v>1100</v>
      </c>
      <c r="AE477" s="15" t="s">
        <v>1158</v>
      </c>
      <c r="AF477" s="15" t="s">
        <v>3</v>
      </c>
      <c r="AG477" t="s">
        <v>1100</v>
      </c>
    </row>
    <row r="478" spans="2:33" x14ac:dyDescent="0.2">
      <c r="B478" t="s">
        <v>366</v>
      </c>
      <c r="C478" t="s">
        <v>1250</v>
      </c>
      <c r="E478">
        <v>2017</v>
      </c>
      <c r="F478" t="s">
        <v>77</v>
      </c>
      <c r="G478" t="s">
        <v>513</v>
      </c>
      <c r="H478" s="14">
        <v>53.578699999999998</v>
      </c>
      <c r="I478" s="13">
        <v>6.9494999999999996</v>
      </c>
      <c r="J478" s="13">
        <v>1960</v>
      </c>
      <c r="K478" s="13">
        <v>2013</v>
      </c>
      <c r="L478" s="13">
        <f t="shared" si="20"/>
        <v>54</v>
      </c>
      <c r="M478" t="s">
        <v>369</v>
      </c>
      <c r="N478" t="s">
        <v>51</v>
      </c>
      <c r="O478" t="s">
        <v>51</v>
      </c>
      <c r="P478" t="s">
        <v>51</v>
      </c>
      <c r="Q478" s="10" t="s">
        <v>610</v>
      </c>
      <c r="R478" t="s">
        <v>864</v>
      </c>
      <c r="S478" s="17" t="s">
        <v>1076</v>
      </c>
      <c r="T478" s="10">
        <v>210</v>
      </c>
      <c r="U478" s="10" t="s">
        <v>1068</v>
      </c>
      <c r="V478" s="7" t="s">
        <v>165</v>
      </c>
      <c r="W478" t="s">
        <v>24</v>
      </c>
      <c r="X478" t="s">
        <v>3</v>
      </c>
      <c r="Y478" t="s">
        <v>366</v>
      </c>
      <c r="Z478" s="4" t="str">
        <f t="shared" si="19"/>
        <v>Y</v>
      </c>
      <c r="AA478" t="s">
        <v>1176</v>
      </c>
      <c r="AB478" t="s">
        <v>1177</v>
      </c>
      <c r="AC478" t="s">
        <v>1105</v>
      </c>
      <c r="AD478" s="15" t="s">
        <v>1100</v>
      </c>
      <c r="AE478" s="15" t="s">
        <v>1158</v>
      </c>
      <c r="AF478" s="15" t="s">
        <v>3</v>
      </c>
      <c r="AG478" t="s">
        <v>1100</v>
      </c>
    </row>
    <row r="479" spans="2:33" x14ac:dyDescent="0.2">
      <c r="B479" t="s">
        <v>366</v>
      </c>
      <c r="C479" t="s">
        <v>1250</v>
      </c>
      <c r="E479">
        <v>2017</v>
      </c>
      <c r="F479" t="s">
        <v>77</v>
      </c>
      <c r="G479" t="s">
        <v>513</v>
      </c>
      <c r="H479" s="14">
        <v>53.578699999999998</v>
      </c>
      <c r="I479" s="13">
        <v>6.9494999999999996</v>
      </c>
      <c r="J479" s="13">
        <v>1960</v>
      </c>
      <c r="K479" s="13">
        <v>2013</v>
      </c>
      <c r="L479" s="13">
        <f t="shared" si="20"/>
        <v>54</v>
      </c>
      <c r="M479" t="s">
        <v>369</v>
      </c>
      <c r="N479" t="s">
        <v>51</v>
      </c>
      <c r="O479" t="s">
        <v>51</v>
      </c>
      <c r="P479" t="s">
        <v>51</v>
      </c>
      <c r="Q479" s="10" t="s">
        <v>609</v>
      </c>
      <c r="R479" t="s">
        <v>864</v>
      </c>
      <c r="S479" s="17" t="s">
        <v>1076</v>
      </c>
      <c r="T479" s="10">
        <v>155</v>
      </c>
      <c r="U479" s="10" t="s">
        <v>1068</v>
      </c>
      <c r="V479" s="7" t="s">
        <v>165</v>
      </c>
      <c r="W479" t="s">
        <v>24</v>
      </c>
      <c r="X479" t="s">
        <v>3</v>
      </c>
      <c r="Y479" t="s">
        <v>366</v>
      </c>
      <c r="Z479" s="4" t="str">
        <f t="shared" si="19"/>
        <v>Y</v>
      </c>
      <c r="AA479" t="s">
        <v>1176</v>
      </c>
      <c r="AB479" t="s">
        <v>1177</v>
      </c>
      <c r="AC479" t="s">
        <v>1105</v>
      </c>
      <c r="AD479" s="15" t="s">
        <v>1100</v>
      </c>
      <c r="AE479" s="15" t="s">
        <v>1158</v>
      </c>
      <c r="AF479" s="15" t="s">
        <v>3</v>
      </c>
      <c r="AG479" t="s">
        <v>1100</v>
      </c>
    </row>
    <row r="480" spans="2:33" x14ac:dyDescent="0.2">
      <c r="B480" t="s">
        <v>366</v>
      </c>
      <c r="C480" t="s">
        <v>1250</v>
      </c>
      <c r="E480">
        <v>2017</v>
      </c>
      <c r="F480" t="s">
        <v>77</v>
      </c>
      <c r="G480" t="s">
        <v>513</v>
      </c>
      <c r="H480" s="14">
        <v>53.578699999999998</v>
      </c>
      <c r="I480" s="13">
        <v>6.9494999999999996</v>
      </c>
      <c r="J480" s="13">
        <v>1960</v>
      </c>
      <c r="K480" s="13">
        <v>2013</v>
      </c>
      <c r="L480" s="13">
        <f t="shared" si="20"/>
        <v>54</v>
      </c>
      <c r="M480" t="s">
        <v>369</v>
      </c>
      <c r="N480" t="s">
        <v>51</v>
      </c>
      <c r="O480" t="s">
        <v>51</v>
      </c>
      <c r="P480" t="s">
        <v>51</v>
      </c>
      <c r="Q480" s="10" t="s">
        <v>608</v>
      </c>
      <c r="R480" t="s">
        <v>864</v>
      </c>
      <c r="S480" s="17" t="s">
        <v>1076</v>
      </c>
      <c r="T480" s="10">
        <v>180</v>
      </c>
      <c r="U480" s="10" t="s">
        <v>1068</v>
      </c>
      <c r="V480" s="7" t="s">
        <v>165</v>
      </c>
      <c r="W480" t="s">
        <v>24</v>
      </c>
      <c r="X480" t="s">
        <v>3</v>
      </c>
      <c r="Y480" t="s">
        <v>366</v>
      </c>
      <c r="Z480" s="4" t="str">
        <f t="shared" si="19"/>
        <v>Y</v>
      </c>
      <c r="AA480" t="s">
        <v>1176</v>
      </c>
      <c r="AB480" t="s">
        <v>1177</v>
      </c>
      <c r="AC480" t="s">
        <v>1105</v>
      </c>
      <c r="AD480" s="15" t="s">
        <v>1100</v>
      </c>
      <c r="AE480" s="15" t="s">
        <v>1158</v>
      </c>
      <c r="AF480" s="15" t="s">
        <v>3</v>
      </c>
      <c r="AG480" t="s">
        <v>1100</v>
      </c>
    </row>
    <row r="481" spans="1:92" x14ac:dyDescent="0.2">
      <c r="B481" t="s">
        <v>366</v>
      </c>
      <c r="C481" t="s">
        <v>1250</v>
      </c>
      <c r="E481">
        <v>2017</v>
      </c>
      <c r="F481" t="s">
        <v>77</v>
      </c>
      <c r="G481" t="s">
        <v>513</v>
      </c>
      <c r="H481" s="14">
        <v>53.578699999999998</v>
      </c>
      <c r="I481" s="13">
        <v>6.9494999999999996</v>
      </c>
      <c r="J481" s="13">
        <v>1960</v>
      </c>
      <c r="K481" s="13">
        <v>2013</v>
      </c>
      <c r="L481" s="13">
        <f t="shared" si="20"/>
        <v>54</v>
      </c>
      <c r="M481" t="s">
        <v>369</v>
      </c>
      <c r="N481" t="s">
        <v>51</v>
      </c>
      <c r="O481" t="s">
        <v>51</v>
      </c>
      <c r="P481" t="s">
        <v>51</v>
      </c>
      <c r="Q481" s="10" t="s">
        <v>607</v>
      </c>
      <c r="R481" t="s">
        <v>864</v>
      </c>
      <c r="S481" s="17" t="s">
        <v>1076</v>
      </c>
      <c r="T481" s="10">
        <v>155</v>
      </c>
      <c r="U481" s="10" t="s">
        <v>1068</v>
      </c>
      <c r="V481" s="7" t="s">
        <v>165</v>
      </c>
      <c r="W481" t="s">
        <v>164</v>
      </c>
      <c r="X481" t="s">
        <v>3</v>
      </c>
      <c r="Y481" t="s">
        <v>366</v>
      </c>
      <c r="Z481" s="4" t="str">
        <f t="shared" si="19"/>
        <v>Y</v>
      </c>
      <c r="AA481" t="s">
        <v>1176</v>
      </c>
      <c r="AB481" t="s">
        <v>1177</v>
      </c>
      <c r="AC481" t="s">
        <v>1105</v>
      </c>
      <c r="AD481" s="15" t="s">
        <v>1100</v>
      </c>
      <c r="AE481" s="15" t="s">
        <v>1158</v>
      </c>
      <c r="AF481" s="15" t="s">
        <v>3</v>
      </c>
      <c r="AG481" t="s">
        <v>1100</v>
      </c>
    </row>
    <row r="482" spans="1:92" x14ac:dyDescent="0.2">
      <c r="B482" t="s">
        <v>366</v>
      </c>
      <c r="C482" t="s">
        <v>1250</v>
      </c>
      <c r="E482">
        <v>2017</v>
      </c>
      <c r="F482" t="s">
        <v>77</v>
      </c>
      <c r="G482" t="s">
        <v>513</v>
      </c>
      <c r="H482" s="14">
        <v>53.578699999999998</v>
      </c>
      <c r="I482" s="13">
        <v>6.9494999999999996</v>
      </c>
      <c r="J482" s="13">
        <v>1960</v>
      </c>
      <c r="K482" s="13">
        <v>2013</v>
      </c>
      <c r="L482" s="13">
        <f t="shared" si="20"/>
        <v>54</v>
      </c>
      <c r="M482" t="s">
        <v>369</v>
      </c>
      <c r="N482" t="s">
        <v>51</v>
      </c>
      <c r="O482" t="s">
        <v>51</v>
      </c>
      <c r="P482" t="s">
        <v>51</v>
      </c>
      <c r="Q482" s="10" t="s">
        <v>606</v>
      </c>
      <c r="R482" t="s">
        <v>864</v>
      </c>
      <c r="S482" s="17" t="s">
        <v>1076</v>
      </c>
      <c r="T482" s="10">
        <v>150</v>
      </c>
      <c r="U482" s="10" t="s">
        <v>1068</v>
      </c>
      <c r="V482" s="7" t="s">
        <v>165</v>
      </c>
      <c r="W482" t="s">
        <v>3</v>
      </c>
      <c r="X482" t="s">
        <v>3</v>
      </c>
      <c r="Y482" t="s">
        <v>366</v>
      </c>
      <c r="Z482" s="4" t="str">
        <f t="shared" si="19"/>
        <v>Y</v>
      </c>
      <c r="AA482" t="s">
        <v>1176</v>
      </c>
      <c r="AB482" t="s">
        <v>1177</v>
      </c>
      <c r="AC482" t="s">
        <v>1105</v>
      </c>
      <c r="AD482" s="15" t="s">
        <v>1100</v>
      </c>
      <c r="AE482" s="15" t="s">
        <v>1158</v>
      </c>
      <c r="AF482" s="15" t="s">
        <v>3</v>
      </c>
      <c r="AG482" t="s">
        <v>1100</v>
      </c>
    </row>
    <row r="483" spans="1:92" x14ac:dyDescent="0.2">
      <c r="B483" t="s">
        <v>366</v>
      </c>
      <c r="C483" t="s">
        <v>1250</v>
      </c>
      <c r="E483">
        <v>2017</v>
      </c>
      <c r="F483" t="s">
        <v>77</v>
      </c>
      <c r="G483" t="s">
        <v>513</v>
      </c>
      <c r="H483" s="14">
        <v>53.578699999999998</v>
      </c>
      <c r="I483" s="13">
        <v>6.9494999999999996</v>
      </c>
      <c r="J483" s="13">
        <v>1960</v>
      </c>
      <c r="K483" s="13">
        <v>2013</v>
      </c>
      <c r="L483" s="13">
        <f t="shared" si="20"/>
        <v>54</v>
      </c>
      <c r="M483" t="s">
        <v>369</v>
      </c>
      <c r="N483" t="s">
        <v>51</v>
      </c>
      <c r="O483" t="s">
        <v>51</v>
      </c>
      <c r="P483" t="s">
        <v>51</v>
      </c>
      <c r="Q483" s="10" t="s">
        <v>605</v>
      </c>
      <c r="R483" t="s">
        <v>864</v>
      </c>
      <c r="S483" s="17" t="s">
        <v>1076</v>
      </c>
      <c r="T483" s="10">
        <v>150</v>
      </c>
      <c r="U483" s="10" t="s">
        <v>1068</v>
      </c>
      <c r="V483" s="7" t="s">
        <v>165</v>
      </c>
      <c r="W483" t="s">
        <v>3</v>
      </c>
      <c r="X483" t="s">
        <v>3</v>
      </c>
      <c r="Y483" t="s">
        <v>366</v>
      </c>
      <c r="Z483" s="4" t="str">
        <f t="shared" si="19"/>
        <v>Y</v>
      </c>
      <c r="AA483" t="s">
        <v>1176</v>
      </c>
      <c r="AB483" t="s">
        <v>1177</v>
      </c>
      <c r="AC483" t="s">
        <v>1105</v>
      </c>
      <c r="AD483" s="15" t="s">
        <v>1100</v>
      </c>
      <c r="AE483" s="15" t="s">
        <v>1158</v>
      </c>
      <c r="AF483" s="15" t="s">
        <v>3</v>
      </c>
      <c r="AG483" t="s">
        <v>1100</v>
      </c>
    </row>
    <row r="484" spans="1:92" x14ac:dyDescent="0.2">
      <c r="B484" t="s">
        <v>366</v>
      </c>
      <c r="C484" t="s">
        <v>1250</v>
      </c>
      <c r="E484">
        <v>2017</v>
      </c>
      <c r="F484" t="s">
        <v>77</v>
      </c>
      <c r="G484" t="s">
        <v>513</v>
      </c>
      <c r="H484" s="14">
        <v>53.578699999999998</v>
      </c>
      <c r="I484" s="13">
        <v>6.9494999999999996</v>
      </c>
      <c r="J484" s="13">
        <v>1960</v>
      </c>
      <c r="K484" s="13">
        <v>2013</v>
      </c>
      <c r="L484" s="13">
        <f t="shared" si="20"/>
        <v>54</v>
      </c>
      <c r="M484" t="s">
        <v>369</v>
      </c>
      <c r="N484" t="s">
        <v>51</v>
      </c>
      <c r="O484" t="s">
        <v>51</v>
      </c>
      <c r="P484" t="s">
        <v>51</v>
      </c>
      <c r="Q484" s="10" t="s">
        <v>604</v>
      </c>
      <c r="R484" t="s">
        <v>864</v>
      </c>
      <c r="S484" s="17" t="s">
        <v>1076</v>
      </c>
      <c r="T484" s="10">
        <v>180</v>
      </c>
      <c r="U484" s="10" t="s">
        <v>1068</v>
      </c>
      <c r="V484" s="7" t="s">
        <v>165</v>
      </c>
      <c r="W484" t="s">
        <v>24</v>
      </c>
      <c r="X484" t="s">
        <v>3</v>
      </c>
      <c r="Y484" t="s">
        <v>366</v>
      </c>
      <c r="Z484" s="4" t="str">
        <f t="shared" si="19"/>
        <v>Y</v>
      </c>
      <c r="AA484" t="s">
        <v>1176</v>
      </c>
      <c r="AB484" t="s">
        <v>1177</v>
      </c>
      <c r="AC484" t="s">
        <v>1105</v>
      </c>
      <c r="AD484" s="15" t="s">
        <v>1100</v>
      </c>
      <c r="AE484" s="15" t="s">
        <v>1158</v>
      </c>
      <c r="AF484" s="15" t="s">
        <v>3</v>
      </c>
      <c r="AG484" t="s">
        <v>1100</v>
      </c>
    </row>
    <row r="485" spans="1:92" x14ac:dyDescent="0.2">
      <c r="B485" t="s">
        <v>366</v>
      </c>
      <c r="C485" t="s">
        <v>1250</v>
      </c>
      <c r="E485">
        <v>2017</v>
      </c>
      <c r="F485" t="s">
        <v>77</v>
      </c>
      <c r="G485" t="s">
        <v>513</v>
      </c>
      <c r="H485" s="14">
        <v>53.578699999999998</v>
      </c>
      <c r="I485" s="13">
        <v>6.9494999999999996</v>
      </c>
      <c r="J485" s="13">
        <v>1960</v>
      </c>
      <c r="K485" s="13">
        <v>2013</v>
      </c>
      <c r="L485" s="13">
        <f t="shared" si="20"/>
        <v>54</v>
      </c>
      <c r="M485" t="s">
        <v>369</v>
      </c>
      <c r="N485" t="s">
        <v>51</v>
      </c>
      <c r="O485" t="s">
        <v>51</v>
      </c>
      <c r="P485" t="s">
        <v>51</v>
      </c>
      <c r="Q485" s="10" t="s">
        <v>603</v>
      </c>
      <c r="R485" t="s">
        <v>864</v>
      </c>
      <c r="S485" s="17" t="s">
        <v>1076</v>
      </c>
      <c r="T485" s="10">
        <v>125</v>
      </c>
      <c r="U485" s="10" t="s">
        <v>901</v>
      </c>
      <c r="V485" s="7" t="s">
        <v>165</v>
      </c>
      <c r="W485" t="s">
        <v>24</v>
      </c>
      <c r="X485" t="s">
        <v>3</v>
      </c>
      <c r="Y485" t="s">
        <v>366</v>
      </c>
      <c r="Z485" s="4" t="str">
        <f t="shared" si="19"/>
        <v>Y</v>
      </c>
      <c r="AA485" t="s">
        <v>1176</v>
      </c>
      <c r="AB485" t="s">
        <v>1177</v>
      </c>
      <c r="AC485" t="s">
        <v>1105</v>
      </c>
      <c r="AD485" s="15" t="s">
        <v>1100</v>
      </c>
      <c r="AE485" s="15" t="s">
        <v>1158</v>
      </c>
      <c r="AF485" s="15" t="s">
        <v>3</v>
      </c>
      <c r="AG485" t="s">
        <v>1100</v>
      </c>
    </row>
    <row r="486" spans="1:92" x14ac:dyDescent="0.2">
      <c r="B486" t="s">
        <v>366</v>
      </c>
      <c r="C486" t="s">
        <v>1250</v>
      </c>
      <c r="E486">
        <v>2017</v>
      </c>
      <c r="F486" t="s">
        <v>77</v>
      </c>
      <c r="G486" t="s">
        <v>513</v>
      </c>
      <c r="H486" s="14">
        <v>53.578699999999998</v>
      </c>
      <c r="I486" s="13">
        <v>6.9494999999999996</v>
      </c>
      <c r="J486" s="13">
        <v>1960</v>
      </c>
      <c r="K486" s="13">
        <v>2013</v>
      </c>
      <c r="L486" s="13">
        <f t="shared" si="20"/>
        <v>54</v>
      </c>
      <c r="M486" t="s">
        <v>369</v>
      </c>
      <c r="N486" t="s">
        <v>51</v>
      </c>
      <c r="O486" t="s">
        <v>51</v>
      </c>
      <c r="P486" t="s">
        <v>51</v>
      </c>
      <c r="Q486" s="10" t="s">
        <v>602</v>
      </c>
      <c r="R486" t="s">
        <v>864</v>
      </c>
      <c r="S486" s="17" t="s">
        <v>1076</v>
      </c>
      <c r="T486" s="10">
        <v>210</v>
      </c>
      <c r="U486" s="10" t="s">
        <v>1068</v>
      </c>
      <c r="V486" s="7" t="s">
        <v>165</v>
      </c>
      <c r="W486" t="s">
        <v>164</v>
      </c>
      <c r="X486" t="s">
        <v>3</v>
      </c>
      <c r="Y486" t="s">
        <v>366</v>
      </c>
      <c r="Z486" s="4" t="str">
        <f t="shared" si="19"/>
        <v>Y</v>
      </c>
      <c r="AA486" t="s">
        <v>1176</v>
      </c>
      <c r="AB486" t="s">
        <v>1177</v>
      </c>
      <c r="AC486" t="s">
        <v>1105</v>
      </c>
      <c r="AD486" s="15" t="s">
        <v>1100</v>
      </c>
      <c r="AE486" s="15" t="s">
        <v>1158</v>
      </c>
      <c r="AF486" s="15" t="s">
        <v>3</v>
      </c>
      <c r="AG486" t="s">
        <v>1100</v>
      </c>
    </row>
    <row r="487" spans="1:92" x14ac:dyDescent="0.2">
      <c r="B487" t="s">
        <v>366</v>
      </c>
      <c r="C487" t="s">
        <v>981</v>
      </c>
      <c r="E487">
        <v>2019</v>
      </c>
      <c r="F487" t="s">
        <v>503</v>
      </c>
      <c r="G487" t="s">
        <v>513</v>
      </c>
      <c r="H487" s="13">
        <f>54+8.76/60</f>
        <v>54.146000000000001</v>
      </c>
      <c r="I487" s="13">
        <f>11+51/60</f>
        <v>11.85</v>
      </c>
      <c r="J487" s="13">
        <v>1989</v>
      </c>
      <c r="K487" s="13">
        <v>2017</v>
      </c>
      <c r="L487" s="13">
        <f t="shared" si="20"/>
        <v>29</v>
      </c>
      <c r="M487" t="s">
        <v>369</v>
      </c>
      <c r="N487" t="s">
        <v>299</v>
      </c>
      <c r="O487" t="s">
        <v>123</v>
      </c>
      <c r="P487" t="s">
        <v>123</v>
      </c>
      <c r="Q487" t="s">
        <v>123</v>
      </c>
      <c r="R487" t="s">
        <v>864</v>
      </c>
      <c r="S487" t="s">
        <v>1076</v>
      </c>
      <c r="T487">
        <v>92.5</v>
      </c>
      <c r="U487" t="s">
        <v>901</v>
      </c>
      <c r="V487">
        <f>-1.43*10</f>
        <v>-14.299999999999999</v>
      </c>
      <c r="W487" t="s">
        <v>3</v>
      </c>
      <c r="X487" t="s">
        <v>3</v>
      </c>
      <c r="Y487" t="s">
        <v>366</v>
      </c>
      <c r="Z487" s="4" t="str">
        <f t="shared" si="19"/>
        <v>Y</v>
      </c>
      <c r="AA487" t="s">
        <v>1144</v>
      </c>
      <c r="AB487" t="s">
        <v>1145</v>
      </c>
      <c r="AC487" t="s">
        <v>980</v>
      </c>
      <c r="AD487" t="s">
        <v>1100</v>
      </c>
      <c r="AE487" t="s">
        <v>1156</v>
      </c>
      <c r="AF487" t="s">
        <v>3</v>
      </c>
      <c r="AG487" t="s">
        <v>1100</v>
      </c>
    </row>
    <row r="488" spans="1:92" x14ac:dyDescent="0.2">
      <c r="B488" t="s">
        <v>366</v>
      </c>
      <c r="C488" t="s">
        <v>981</v>
      </c>
      <c r="E488">
        <v>2019</v>
      </c>
      <c r="F488" t="s">
        <v>503</v>
      </c>
      <c r="G488" t="s">
        <v>513</v>
      </c>
      <c r="H488" s="13">
        <f>54+8.76/60</f>
        <v>54.146000000000001</v>
      </c>
      <c r="I488" s="13">
        <f>11+51/60</f>
        <v>11.85</v>
      </c>
      <c r="J488" s="13">
        <v>1989</v>
      </c>
      <c r="K488" s="13">
        <v>2017</v>
      </c>
      <c r="L488" s="13">
        <f t="shared" si="20"/>
        <v>29</v>
      </c>
      <c r="M488" t="s">
        <v>369</v>
      </c>
      <c r="N488" t="s">
        <v>299</v>
      </c>
      <c r="O488" t="s">
        <v>123</v>
      </c>
      <c r="P488" t="s">
        <v>123</v>
      </c>
      <c r="Q488" t="s">
        <v>123</v>
      </c>
      <c r="R488" t="s">
        <v>864</v>
      </c>
      <c r="S488" t="s">
        <v>1120</v>
      </c>
      <c r="T488">
        <v>260</v>
      </c>
      <c r="U488" t="s">
        <v>900</v>
      </c>
      <c r="V488">
        <v>31</v>
      </c>
      <c r="W488" t="s">
        <v>24</v>
      </c>
      <c r="X488" t="s">
        <v>3</v>
      </c>
      <c r="Y488" t="s">
        <v>366</v>
      </c>
      <c r="Z488" s="4" t="str">
        <f t="shared" si="19"/>
        <v>Y</v>
      </c>
      <c r="AA488" t="s">
        <v>1143</v>
      </c>
      <c r="AB488" t="s">
        <v>1146</v>
      </c>
      <c r="AC488" t="s">
        <v>1081</v>
      </c>
      <c r="AD488" t="s">
        <v>1100</v>
      </c>
      <c r="AE488" t="s">
        <v>1156</v>
      </c>
      <c r="AF488" t="s">
        <v>3</v>
      </c>
      <c r="AG488" t="s">
        <v>1100</v>
      </c>
    </row>
    <row r="489" spans="1:92" x14ac:dyDescent="0.2">
      <c r="B489" t="s">
        <v>366</v>
      </c>
      <c r="C489" t="s">
        <v>981</v>
      </c>
      <c r="E489">
        <v>2019</v>
      </c>
      <c r="F489" t="s">
        <v>503</v>
      </c>
      <c r="G489" t="s">
        <v>513</v>
      </c>
      <c r="H489" s="13">
        <f>54+8.76/60</f>
        <v>54.146000000000001</v>
      </c>
      <c r="I489" s="13">
        <f>11+51/60</f>
        <v>11.85</v>
      </c>
      <c r="J489" s="13">
        <v>1989</v>
      </c>
      <c r="K489" s="13">
        <v>2017</v>
      </c>
      <c r="L489" s="13">
        <f t="shared" si="20"/>
        <v>29</v>
      </c>
      <c r="M489" t="s">
        <v>369</v>
      </c>
      <c r="N489" t="s">
        <v>299</v>
      </c>
      <c r="O489" t="s">
        <v>123</v>
      </c>
      <c r="P489" t="s">
        <v>123</v>
      </c>
      <c r="Q489" t="s">
        <v>123</v>
      </c>
      <c r="R489" t="s">
        <v>620</v>
      </c>
      <c r="S489" t="s">
        <v>620</v>
      </c>
      <c r="T489" t="s">
        <v>165</v>
      </c>
      <c r="U489" t="s">
        <v>165</v>
      </c>
      <c r="V489">
        <v>45</v>
      </c>
      <c r="W489" t="s">
        <v>165</v>
      </c>
      <c r="X489" t="s">
        <v>3</v>
      </c>
      <c r="Y489" t="s">
        <v>366</v>
      </c>
      <c r="Z489" s="4" t="str">
        <f t="shared" si="19"/>
        <v>Y</v>
      </c>
      <c r="AA489" t="s">
        <v>1143</v>
      </c>
      <c r="AB489" t="s">
        <v>1146</v>
      </c>
      <c r="AC489" t="s">
        <v>1080</v>
      </c>
      <c r="AD489" t="s">
        <v>1100</v>
      </c>
      <c r="AE489" t="s">
        <v>1156</v>
      </c>
      <c r="AF489" t="s">
        <v>3</v>
      </c>
      <c r="AG489" t="s">
        <v>1100</v>
      </c>
    </row>
    <row r="490" spans="1:92" x14ac:dyDescent="0.2">
      <c r="A490">
        <v>431</v>
      </c>
      <c r="B490" t="s">
        <v>367</v>
      </c>
      <c r="C490" t="s">
        <v>362</v>
      </c>
      <c r="E490">
        <v>2009</v>
      </c>
      <c r="F490" t="s">
        <v>103</v>
      </c>
      <c r="G490" t="s">
        <v>513</v>
      </c>
      <c r="H490" s="13">
        <v>55.62</v>
      </c>
      <c r="I490" s="13">
        <v>-1.63</v>
      </c>
      <c r="J490" s="13">
        <v>1972</v>
      </c>
      <c r="K490" s="13">
        <v>2006</v>
      </c>
      <c r="L490" s="13">
        <f t="shared" si="20"/>
        <v>35</v>
      </c>
      <c r="M490" t="s">
        <v>369</v>
      </c>
      <c r="N490" t="s">
        <v>380</v>
      </c>
      <c r="O490" t="s">
        <v>380</v>
      </c>
      <c r="P490" t="s">
        <v>137</v>
      </c>
      <c r="Q490" t="s">
        <v>93</v>
      </c>
      <c r="V490">
        <v>-2.7</v>
      </c>
      <c r="W490" t="s">
        <v>3</v>
      </c>
      <c r="X490" t="s">
        <v>3</v>
      </c>
      <c r="Y490" t="s">
        <v>523</v>
      </c>
      <c r="Z490" s="4" t="str">
        <f t="shared" si="19"/>
        <v>Y</v>
      </c>
    </row>
    <row r="491" spans="1:92" x14ac:dyDescent="0.2">
      <c r="B491" t="s">
        <v>366</v>
      </c>
      <c r="C491" t="s">
        <v>1210</v>
      </c>
      <c r="E491">
        <v>2021</v>
      </c>
      <c r="F491" t="s">
        <v>503</v>
      </c>
      <c r="G491" t="s">
        <v>513</v>
      </c>
      <c r="H491" s="13">
        <v>62</v>
      </c>
      <c r="I491" s="13">
        <v>23</v>
      </c>
      <c r="J491" s="13">
        <v>1974</v>
      </c>
      <c r="K491" s="13">
        <v>1996</v>
      </c>
      <c r="L491" s="13">
        <f t="shared" si="20"/>
        <v>23</v>
      </c>
      <c r="M491" t="s">
        <v>369</v>
      </c>
      <c r="N491" t="s">
        <v>51</v>
      </c>
      <c r="O491" t="s">
        <v>424</v>
      </c>
      <c r="P491" t="s">
        <v>1203</v>
      </c>
      <c r="Q491" s="19" t="s">
        <v>1204</v>
      </c>
      <c r="R491" t="s">
        <v>1207</v>
      </c>
      <c r="S491" t="s">
        <v>1076</v>
      </c>
      <c r="T491">
        <v>180.02</v>
      </c>
      <c r="U491" t="s">
        <v>1068</v>
      </c>
      <c r="V491">
        <f>-(T491-163.1)/(K491-J491)*10</f>
        <v>-7.6909090909090985</v>
      </c>
      <c r="W491" t="s">
        <v>3</v>
      </c>
      <c r="X491" t="s">
        <v>3</v>
      </c>
      <c r="Y491" t="s">
        <v>366</v>
      </c>
      <c r="Z491" s="4" t="str">
        <f t="shared" si="19"/>
        <v>Y</v>
      </c>
      <c r="AA491" t="s">
        <v>1205</v>
      </c>
      <c r="AC491" t="s">
        <v>1206</v>
      </c>
      <c r="AD491" t="s">
        <v>1100</v>
      </c>
      <c r="AE491" t="s">
        <v>1208</v>
      </c>
      <c r="AF491" t="s">
        <v>3</v>
      </c>
      <c r="AG491" t="s">
        <v>1100</v>
      </c>
    </row>
    <row r="492" spans="1:92" x14ac:dyDescent="0.2">
      <c r="A492" s="24"/>
      <c r="B492" s="24" t="s">
        <v>366</v>
      </c>
      <c r="C492" s="24" t="s">
        <v>1211</v>
      </c>
      <c r="D492" s="24"/>
      <c r="E492" s="24">
        <v>2021</v>
      </c>
      <c r="F492" s="24" t="s">
        <v>15</v>
      </c>
      <c r="G492" s="24" t="s">
        <v>513</v>
      </c>
      <c r="H492" s="26">
        <v>53.75</v>
      </c>
      <c r="I492" s="26">
        <v>-4.75</v>
      </c>
      <c r="J492" s="26">
        <v>1982</v>
      </c>
      <c r="K492" s="26">
        <v>2010</v>
      </c>
      <c r="L492" s="26">
        <f t="shared" si="20"/>
        <v>29</v>
      </c>
      <c r="M492" s="24" t="s">
        <v>371</v>
      </c>
      <c r="N492" s="24" t="s">
        <v>538</v>
      </c>
      <c r="O492" s="24" t="s">
        <v>1328</v>
      </c>
      <c r="P492" s="24" t="s">
        <v>1213</v>
      </c>
      <c r="Q492" s="24" t="s">
        <v>1212</v>
      </c>
      <c r="R492" s="24" t="s">
        <v>1207</v>
      </c>
      <c r="S492" s="24" t="s">
        <v>1076</v>
      </c>
      <c r="T492" s="24">
        <v>121.9</v>
      </c>
      <c r="U492" s="24" t="s">
        <v>901</v>
      </c>
      <c r="V492" s="24">
        <f>-19.1/(2005-1989)*10</f>
        <v>-11.9375</v>
      </c>
      <c r="W492" s="24" t="s">
        <v>3</v>
      </c>
      <c r="X492" s="24" t="s">
        <v>3</v>
      </c>
      <c r="Y492" s="24" t="s">
        <v>366</v>
      </c>
      <c r="Z492" s="4" t="str">
        <f t="shared" si="19"/>
        <v>Y</v>
      </c>
      <c r="AA492" s="24" t="s">
        <v>1121</v>
      </c>
      <c r="AB492" s="24" t="s">
        <v>1214</v>
      </c>
      <c r="AC492" s="24" t="s">
        <v>1216</v>
      </c>
      <c r="AD492" s="24" t="s">
        <v>1100</v>
      </c>
      <c r="AE492" s="24" t="s">
        <v>1163</v>
      </c>
      <c r="AF492" s="24" t="s">
        <v>3</v>
      </c>
      <c r="AG492" s="24" t="s">
        <v>1100</v>
      </c>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row>
    <row r="493" spans="1:92" x14ac:dyDescent="0.2">
      <c r="B493" t="s">
        <v>366</v>
      </c>
      <c r="C493" t="s">
        <v>1217</v>
      </c>
      <c r="E493">
        <v>2020</v>
      </c>
      <c r="F493" t="s">
        <v>75</v>
      </c>
      <c r="G493" t="s">
        <v>513</v>
      </c>
      <c r="H493" s="13">
        <v>36</v>
      </c>
      <c r="I493" s="13">
        <v>-76.5</v>
      </c>
      <c r="J493" s="13">
        <v>1973</v>
      </c>
      <c r="K493" s="13">
        <v>2016</v>
      </c>
      <c r="L493" s="13">
        <f t="shared" si="20"/>
        <v>44</v>
      </c>
      <c r="M493" t="s">
        <v>370</v>
      </c>
      <c r="N493" t="s">
        <v>51</v>
      </c>
      <c r="O493" t="s">
        <v>376</v>
      </c>
      <c r="P493" t="s">
        <v>204</v>
      </c>
      <c r="Q493" t="s">
        <v>1220</v>
      </c>
      <c r="R493" t="s">
        <v>1207</v>
      </c>
      <c r="S493" t="s">
        <v>1076</v>
      </c>
      <c r="T493">
        <v>82</v>
      </c>
      <c r="U493" t="s">
        <v>901</v>
      </c>
      <c r="V493">
        <v>-3</v>
      </c>
      <c r="W493" t="s">
        <v>3</v>
      </c>
      <c r="X493" t="s">
        <v>3</v>
      </c>
      <c r="Y493" t="s">
        <v>366</v>
      </c>
      <c r="Z493" s="4" t="str">
        <f t="shared" si="19"/>
        <v>Y</v>
      </c>
      <c r="AA493" t="s">
        <v>1223</v>
      </c>
      <c r="AB493" t="s">
        <v>1221</v>
      </c>
      <c r="AC493" t="s">
        <v>1224</v>
      </c>
      <c r="AD493" t="s">
        <v>1100</v>
      </c>
      <c r="AE493" t="s">
        <v>1222</v>
      </c>
      <c r="AF493" t="s">
        <v>3</v>
      </c>
      <c r="AG493" t="s">
        <v>1100</v>
      </c>
    </row>
    <row r="494" spans="1:92" x14ac:dyDescent="0.2">
      <c r="B494" t="s">
        <v>366</v>
      </c>
      <c r="C494" t="s">
        <v>1217</v>
      </c>
      <c r="E494">
        <v>2020</v>
      </c>
      <c r="F494" t="s">
        <v>75</v>
      </c>
      <c r="G494" t="s">
        <v>513</v>
      </c>
      <c r="H494" s="13">
        <v>36</v>
      </c>
      <c r="I494" s="13">
        <v>-76.5</v>
      </c>
      <c r="J494" s="13">
        <v>1973</v>
      </c>
      <c r="K494" s="13">
        <v>2016</v>
      </c>
      <c r="L494" s="13">
        <f t="shared" si="20"/>
        <v>44</v>
      </c>
      <c r="M494" t="s">
        <v>370</v>
      </c>
      <c r="N494" t="s">
        <v>51</v>
      </c>
      <c r="O494" t="s">
        <v>376</v>
      </c>
      <c r="P494" t="s">
        <v>1219</v>
      </c>
      <c r="Q494" t="s">
        <v>1218</v>
      </c>
      <c r="R494" t="s">
        <v>1207</v>
      </c>
      <c r="S494" t="s">
        <v>1076</v>
      </c>
      <c r="T494">
        <v>117</v>
      </c>
      <c r="U494" t="s">
        <v>901</v>
      </c>
      <c r="V494">
        <v>-4.33</v>
      </c>
      <c r="W494" t="s">
        <v>3</v>
      </c>
      <c r="X494" t="s">
        <v>3</v>
      </c>
      <c r="Y494" t="s">
        <v>366</v>
      </c>
      <c r="Z494" s="4" t="str">
        <f t="shared" si="19"/>
        <v>Y</v>
      </c>
      <c r="AA494" t="s">
        <v>1223</v>
      </c>
      <c r="AB494" t="s">
        <v>1221</v>
      </c>
      <c r="AC494" t="s">
        <v>1224</v>
      </c>
      <c r="AD494" t="s">
        <v>1100</v>
      </c>
      <c r="AE494" t="s">
        <v>1222</v>
      </c>
      <c r="AF494" t="s">
        <v>3</v>
      </c>
      <c r="AG494" t="s">
        <v>1100</v>
      </c>
    </row>
    <row r="495" spans="1:92" x14ac:dyDescent="0.2">
      <c r="B495" t="s">
        <v>366</v>
      </c>
      <c r="C495" t="s">
        <v>1226</v>
      </c>
      <c r="E495">
        <v>2014</v>
      </c>
      <c r="F495" t="s">
        <v>75</v>
      </c>
      <c r="G495" t="s">
        <v>513</v>
      </c>
      <c r="H495" s="13">
        <v>37.5214</v>
      </c>
      <c r="I495" s="13">
        <v>-76.105000000000004</v>
      </c>
      <c r="J495" s="13">
        <v>1991</v>
      </c>
      <c r="K495" s="13">
        <v>2010</v>
      </c>
      <c r="L495" s="13">
        <f t="shared" si="20"/>
        <v>20</v>
      </c>
      <c r="M495" t="s">
        <v>369</v>
      </c>
      <c r="N495" t="s">
        <v>51</v>
      </c>
      <c r="O495" t="s">
        <v>376</v>
      </c>
      <c r="P495" t="s">
        <v>189</v>
      </c>
      <c r="Q495" t="s">
        <v>1227</v>
      </c>
      <c r="R495" t="s">
        <v>1207</v>
      </c>
      <c r="S495" t="s">
        <v>1076</v>
      </c>
      <c r="T495">
        <v>120</v>
      </c>
      <c r="U495" t="s">
        <v>901</v>
      </c>
      <c r="V495">
        <f>-6/L495*10</f>
        <v>-3</v>
      </c>
      <c r="W495" t="s">
        <v>3</v>
      </c>
      <c r="X495" t="s">
        <v>3</v>
      </c>
      <c r="Y495" t="s">
        <v>366</v>
      </c>
      <c r="Z495" s="4" t="str">
        <f t="shared" si="19"/>
        <v>Y</v>
      </c>
      <c r="AA495" t="s">
        <v>1228</v>
      </c>
      <c r="AB495" t="s">
        <v>1221</v>
      </c>
      <c r="AC495" t="s">
        <v>1225</v>
      </c>
      <c r="AD495" t="s">
        <v>1100</v>
      </c>
      <c r="AE495" t="s">
        <v>1229</v>
      </c>
      <c r="AF495" t="s">
        <v>3</v>
      </c>
      <c r="AG495" t="s">
        <v>1100</v>
      </c>
    </row>
    <row r="496" spans="1:92" ht="404" x14ac:dyDescent="0.2">
      <c r="A496" s="24"/>
      <c r="B496" s="24" t="s">
        <v>366</v>
      </c>
      <c r="C496" s="34" t="s">
        <v>1240</v>
      </c>
      <c r="D496" s="34"/>
      <c r="E496" s="24">
        <v>2020</v>
      </c>
      <c r="F496" s="35" t="s">
        <v>75</v>
      </c>
      <c r="G496" s="24" t="s">
        <v>513</v>
      </c>
      <c r="H496" s="26">
        <v>34.6</v>
      </c>
      <c r="I496" s="26">
        <v>-77.2</v>
      </c>
      <c r="J496" s="26">
        <v>1986</v>
      </c>
      <c r="K496" s="26">
        <v>2013</v>
      </c>
      <c r="L496" s="26">
        <f t="shared" si="20"/>
        <v>28</v>
      </c>
      <c r="M496" s="24" t="s">
        <v>369</v>
      </c>
      <c r="N496" s="24" t="s">
        <v>538</v>
      </c>
      <c r="O496" s="24" t="s">
        <v>424</v>
      </c>
      <c r="P496" s="24" t="s">
        <v>1241</v>
      </c>
      <c r="Q496" s="31" t="s">
        <v>1230</v>
      </c>
      <c r="R496" s="24" t="s">
        <v>838</v>
      </c>
      <c r="S496" s="24" t="s">
        <v>1076</v>
      </c>
      <c r="T496" s="24" t="s">
        <v>165</v>
      </c>
      <c r="U496" s="24" t="s">
        <v>1069</v>
      </c>
      <c r="V496" s="24">
        <f>-0.01*10</f>
        <v>-0.1</v>
      </c>
      <c r="W496" s="24" t="s">
        <v>3</v>
      </c>
      <c r="X496" s="24" t="s">
        <v>3</v>
      </c>
      <c r="Y496" s="24" t="s">
        <v>366</v>
      </c>
      <c r="Z496" s="4" t="str">
        <f t="shared" si="19"/>
        <v>Y</v>
      </c>
      <c r="AA496" s="24" t="s">
        <v>1252</v>
      </c>
      <c r="AB496" s="24" t="s">
        <v>1253</v>
      </c>
      <c r="AC496" s="24" t="s">
        <v>1251</v>
      </c>
      <c r="AD496" s="24" t="s">
        <v>1100</v>
      </c>
      <c r="AE496" s="24" t="s">
        <v>1229</v>
      </c>
      <c r="AF496" s="24" t="s">
        <v>3</v>
      </c>
      <c r="AG496" s="24" t="s">
        <v>1100</v>
      </c>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row>
    <row r="497" spans="1:92" x14ac:dyDescent="0.2">
      <c r="A497" s="24"/>
      <c r="B497" s="24" t="s">
        <v>366</v>
      </c>
      <c r="C497" s="24" t="s">
        <v>1240</v>
      </c>
      <c r="D497" s="24"/>
      <c r="E497" s="24">
        <v>2020</v>
      </c>
      <c r="F497" s="35" t="s">
        <v>75</v>
      </c>
      <c r="G497" s="24" t="s">
        <v>513</v>
      </c>
      <c r="H497" s="26">
        <v>34.6</v>
      </c>
      <c r="I497" s="26">
        <v>-77.2</v>
      </c>
      <c r="J497" s="26">
        <v>1986</v>
      </c>
      <c r="K497" s="26">
        <v>2013</v>
      </c>
      <c r="L497" s="26">
        <f t="shared" si="20"/>
        <v>28</v>
      </c>
      <c r="M497" s="24" t="s">
        <v>369</v>
      </c>
      <c r="N497" s="24" t="s">
        <v>538</v>
      </c>
      <c r="O497" s="24" t="s">
        <v>424</v>
      </c>
      <c r="P497" s="24" t="s">
        <v>1242</v>
      </c>
      <c r="Q497" s="31" t="s">
        <v>1231</v>
      </c>
      <c r="R497" s="24" t="s">
        <v>838</v>
      </c>
      <c r="S497" s="24" t="s">
        <v>1076</v>
      </c>
      <c r="T497" s="24" t="s">
        <v>165</v>
      </c>
      <c r="U497" s="24" t="s">
        <v>1069</v>
      </c>
      <c r="V497" s="24">
        <f>-1.09*10</f>
        <v>-10.9</v>
      </c>
      <c r="W497" s="24" t="s">
        <v>3</v>
      </c>
      <c r="X497" s="24" t="s">
        <v>3</v>
      </c>
      <c r="Y497" s="24" t="s">
        <v>366</v>
      </c>
      <c r="Z497" s="4" t="str">
        <f t="shared" si="19"/>
        <v>Y</v>
      </c>
      <c r="AA497" s="24" t="s">
        <v>1252</v>
      </c>
      <c r="AB497" s="24" t="s">
        <v>1253</v>
      </c>
      <c r="AC497" s="24" t="s">
        <v>1251</v>
      </c>
      <c r="AD497" s="24" t="s">
        <v>1100</v>
      </c>
      <c r="AE497" s="24" t="s">
        <v>1229</v>
      </c>
      <c r="AF497" s="24" t="s">
        <v>3</v>
      </c>
      <c r="AG497" s="24" t="s">
        <v>1100</v>
      </c>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row>
    <row r="498" spans="1:92" x14ac:dyDescent="0.2">
      <c r="A498" s="24"/>
      <c r="B498" s="24" t="s">
        <v>366</v>
      </c>
      <c r="C498" s="24" t="s">
        <v>1240</v>
      </c>
      <c r="D498" s="24"/>
      <c r="E498" s="24">
        <v>2020</v>
      </c>
      <c r="F498" s="35" t="s">
        <v>75</v>
      </c>
      <c r="G498" s="24" t="s">
        <v>513</v>
      </c>
      <c r="H498" s="26">
        <v>34.6</v>
      </c>
      <c r="I498" s="26">
        <v>-77.2</v>
      </c>
      <c r="J498" s="26">
        <v>1986</v>
      </c>
      <c r="K498" s="26">
        <v>2013</v>
      </c>
      <c r="L498" s="26">
        <f t="shared" si="20"/>
        <v>28</v>
      </c>
      <c r="M498" s="24" t="s">
        <v>369</v>
      </c>
      <c r="N498" s="24" t="s">
        <v>538</v>
      </c>
      <c r="O498" s="24" t="s">
        <v>424</v>
      </c>
      <c r="P498" s="24" t="s">
        <v>1243</v>
      </c>
      <c r="Q498" s="31" t="s">
        <v>1232</v>
      </c>
      <c r="R498" s="24" t="s">
        <v>838</v>
      </c>
      <c r="S498" s="24" t="s">
        <v>1076</v>
      </c>
      <c r="T498" s="24" t="s">
        <v>165</v>
      </c>
      <c r="U498" s="24" t="s">
        <v>1069</v>
      </c>
      <c r="V498" s="24">
        <f>-0.15*10</f>
        <v>-1.5</v>
      </c>
      <c r="W498" s="24" t="s">
        <v>3</v>
      </c>
      <c r="X498" s="24" t="s">
        <v>3</v>
      </c>
      <c r="Y498" s="24" t="s">
        <v>366</v>
      </c>
      <c r="Z498" s="4" t="str">
        <f t="shared" si="19"/>
        <v>Y</v>
      </c>
      <c r="AA498" s="24" t="s">
        <v>1252</v>
      </c>
      <c r="AB498" s="24" t="s">
        <v>1253</v>
      </c>
      <c r="AC498" s="24" t="s">
        <v>1251</v>
      </c>
      <c r="AD498" s="24" t="s">
        <v>1100</v>
      </c>
      <c r="AE498" s="24" t="s">
        <v>1229</v>
      </c>
      <c r="AF498" s="24" t="s">
        <v>3</v>
      </c>
      <c r="AG498" s="24" t="s">
        <v>1100</v>
      </c>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row>
    <row r="499" spans="1:92" x14ac:dyDescent="0.2">
      <c r="A499" s="24"/>
      <c r="B499" s="24" t="s">
        <v>366</v>
      </c>
      <c r="C499" s="24" t="s">
        <v>1240</v>
      </c>
      <c r="D499" s="24"/>
      <c r="E499" s="24">
        <v>2020</v>
      </c>
      <c r="F499" s="35" t="s">
        <v>75</v>
      </c>
      <c r="G499" s="24" t="s">
        <v>513</v>
      </c>
      <c r="H499" s="26">
        <v>34.6</v>
      </c>
      <c r="I499" s="26">
        <v>-77.2</v>
      </c>
      <c r="J499" s="26">
        <v>1986</v>
      </c>
      <c r="K499" s="26">
        <v>2013</v>
      </c>
      <c r="L499" s="26">
        <f t="shared" si="20"/>
        <v>28</v>
      </c>
      <c r="M499" s="24" t="s">
        <v>369</v>
      </c>
      <c r="N499" s="24" t="s">
        <v>538</v>
      </c>
      <c r="O499" s="24" t="s">
        <v>424</v>
      </c>
      <c r="P499" s="24" t="s">
        <v>1244</v>
      </c>
      <c r="Q499" s="31" t="s">
        <v>1233</v>
      </c>
      <c r="R499" s="24" t="s">
        <v>838</v>
      </c>
      <c r="S499" s="24" t="s">
        <v>1076</v>
      </c>
      <c r="T499" s="24" t="s">
        <v>165</v>
      </c>
      <c r="U499" s="24" t="s">
        <v>1069</v>
      </c>
      <c r="V499" s="24">
        <f>-0.21*10</f>
        <v>-2.1</v>
      </c>
      <c r="W499" s="24" t="s">
        <v>3</v>
      </c>
      <c r="X499" s="24" t="s">
        <v>3</v>
      </c>
      <c r="Y499" s="24" t="s">
        <v>366</v>
      </c>
      <c r="Z499" s="4" t="str">
        <f t="shared" si="19"/>
        <v>Y</v>
      </c>
      <c r="AA499" s="24" t="s">
        <v>1252</v>
      </c>
      <c r="AB499" s="24" t="s">
        <v>1253</v>
      </c>
      <c r="AC499" s="24" t="s">
        <v>1251</v>
      </c>
      <c r="AD499" s="24" t="s">
        <v>1100</v>
      </c>
      <c r="AE499" s="24" t="s">
        <v>1229</v>
      </c>
      <c r="AF499" s="24" t="s">
        <v>3</v>
      </c>
      <c r="AG499" s="24" t="s">
        <v>1100</v>
      </c>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row>
    <row r="500" spans="1:92" x14ac:dyDescent="0.2">
      <c r="A500" s="24"/>
      <c r="B500" s="24" t="s">
        <v>366</v>
      </c>
      <c r="C500" s="24" t="s">
        <v>1240</v>
      </c>
      <c r="D500" s="24"/>
      <c r="E500" s="24">
        <v>2020</v>
      </c>
      <c r="F500" s="35" t="s">
        <v>75</v>
      </c>
      <c r="G500" s="24" t="s">
        <v>513</v>
      </c>
      <c r="H500" s="26">
        <v>34.6</v>
      </c>
      <c r="I500" s="26">
        <v>-77.2</v>
      </c>
      <c r="J500" s="26">
        <v>1986</v>
      </c>
      <c r="K500" s="26">
        <v>2013</v>
      </c>
      <c r="L500" s="26">
        <f t="shared" si="20"/>
        <v>28</v>
      </c>
      <c r="M500" s="24" t="s">
        <v>369</v>
      </c>
      <c r="N500" s="24" t="s">
        <v>538</v>
      </c>
      <c r="O500" s="24" t="s">
        <v>424</v>
      </c>
      <c r="P500" s="24" t="s">
        <v>1245</v>
      </c>
      <c r="Q500" s="31" t="s">
        <v>1234</v>
      </c>
      <c r="R500" s="24" t="s">
        <v>838</v>
      </c>
      <c r="S500" s="24" t="s">
        <v>1076</v>
      </c>
      <c r="T500" s="24" t="s">
        <v>165</v>
      </c>
      <c r="U500" s="24" t="s">
        <v>1069</v>
      </c>
      <c r="V500" s="24">
        <f>-0.91*10</f>
        <v>-9.1</v>
      </c>
      <c r="W500" s="24" t="s">
        <v>3</v>
      </c>
      <c r="X500" s="24" t="s">
        <v>3</v>
      </c>
      <c r="Y500" s="24" t="s">
        <v>366</v>
      </c>
      <c r="Z500" s="4" t="str">
        <f t="shared" si="19"/>
        <v>Y</v>
      </c>
      <c r="AA500" s="24" t="s">
        <v>1252</v>
      </c>
      <c r="AB500" s="24" t="s">
        <v>1253</v>
      </c>
      <c r="AC500" s="24" t="s">
        <v>1251</v>
      </c>
      <c r="AD500" s="24" t="s">
        <v>1100</v>
      </c>
      <c r="AE500" s="24" t="s">
        <v>1229</v>
      </c>
      <c r="AF500" s="24" t="s">
        <v>3</v>
      </c>
      <c r="AG500" s="24" t="s">
        <v>1100</v>
      </c>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row>
    <row r="501" spans="1:92" x14ac:dyDescent="0.2">
      <c r="A501" s="24"/>
      <c r="B501" s="24" t="s">
        <v>366</v>
      </c>
      <c r="C501" s="24" t="s">
        <v>1240</v>
      </c>
      <c r="D501" s="24"/>
      <c r="E501" s="24">
        <v>2020</v>
      </c>
      <c r="F501" s="35" t="s">
        <v>75</v>
      </c>
      <c r="G501" s="24" t="s">
        <v>513</v>
      </c>
      <c r="H501" s="26">
        <v>34.6</v>
      </c>
      <c r="I501" s="26">
        <v>-77.2</v>
      </c>
      <c r="J501" s="26">
        <v>1986</v>
      </c>
      <c r="K501" s="26">
        <v>2013</v>
      </c>
      <c r="L501" s="26">
        <f t="shared" si="20"/>
        <v>28</v>
      </c>
      <c r="M501" s="24" t="s">
        <v>369</v>
      </c>
      <c r="N501" s="24" t="s">
        <v>538</v>
      </c>
      <c r="O501" s="24" t="s">
        <v>424</v>
      </c>
      <c r="P501" s="36" t="s">
        <v>1246</v>
      </c>
      <c r="Q501" s="31" t="s">
        <v>1235</v>
      </c>
      <c r="R501" s="24" t="s">
        <v>838</v>
      </c>
      <c r="S501" s="24" t="s">
        <v>1076</v>
      </c>
      <c r="T501" s="24" t="s">
        <v>165</v>
      </c>
      <c r="U501" s="24" t="s">
        <v>1069</v>
      </c>
      <c r="V501" s="24">
        <f>-1.45*10</f>
        <v>-14.5</v>
      </c>
      <c r="W501" s="24" t="s">
        <v>3</v>
      </c>
      <c r="X501" s="24" t="s">
        <v>3</v>
      </c>
      <c r="Y501" s="24" t="s">
        <v>366</v>
      </c>
      <c r="Z501" s="4" t="str">
        <f t="shared" si="19"/>
        <v>Y</v>
      </c>
      <c r="AA501" s="24" t="s">
        <v>1252</v>
      </c>
      <c r="AB501" s="24" t="s">
        <v>1253</v>
      </c>
      <c r="AC501" s="24" t="s">
        <v>1251</v>
      </c>
      <c r="AD501" s="24" t="s">
        <v>1100</v>
      </c>
      <c r="AE501" s="24" t="s">
        <v>1229</v>
      </c>
      <c r="AF501" s="24" t="s">
        <v>3</v>
      </c>
      <c r="AG501" s="24" t="s">
        <v>1100</v>
      </c>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row>
    <row r="502" spans="1:92" x14ac:dyDescent="0.2">
      <c r="A502" s="24"/>
      <c r="B502" s="24" t="s">
        <v>366</v>
      </c>
      <c r="C502" s="24" t="s">
        <v>1240</v>
      </c>
      <c r="D502" s="24"/>
      <c r="E502" s="24">
        <v>2020</v>
      </c>
      <c r="F502" s="35" t="s">
        <v>75</v>
      </c>
      <c r="G502" s="24" t="s">
        <v>513</v>
      </c>
      <c r="H502" s="26">
        <v>34.6</v>
      </c>
      <c r="I502" s="26">
        <v>-77.2</v>
      </c>
      <c r="J502" s="26">
        <v>1986</v>
      </c>
      <c r="K502" s="26">
        <v>2013</v>
      </c>
      <c r="L502" s="26">
        <f t="shared" si="20"/>
        <v>28</v>
      </c>
      <c r="M502" s="24" t="s">
        <v>369</v>
      </c>
      <c r="N502" s="24" t="s">
        <v>538</v>
      </c>
      <c r="O502" s="24" t="s">
        <v>424</v>
      </c>
      <c r="P502" s="24" t="s">
        <v>1247</v>
      </c>
      <c r="Q502" s="31" t="s">
        <v>1236</v>
      </c>
      <c r="R502" s="24" t="s">
        <v>838</v>
      </c>
      <c r="S502" s="24" t="s">
        <v>1076</v>
      </c>
      <c r="T502" s="24" t="s">
        <v>165</v>
      </c>
      <c r="U502" s="24" t="s">
        <v>1069</v>
      </c>
      <c r="V502" s="24">
        <f>-1.44*10</f>
        <v>-14.399999999999999</v>
      </c>
      <c r="W502" s="24" t="s">
        <v>3</v>
      </c>
      <c r="X502" s="24" t="s">
        <v>3</v>
      </c>
      <c r="Y502" s="24" t="s">
        <v>366</v>
      </c>
      <c r="Z502" s="4" t="str">
        <f t="shared" si="19"/>
        <v>Y</v>
      </c>
      <c r="AA502" s="24" t="s">
        <v>1252</v>
      </c>
      <c r="AB502" s="24" t="s">
        <v>1253</v>
      </c>
      <c r="AC502" s="24" t="s">
        <v>1251</v>
      </c>
      <c r="AD502" s="24" t="s">
        <v>1100</v>
      </c>
      <c r="AE502" s="24" t="s">
        <v>1229</v>
      </c>
      <c r="AF502" s="24" t="s">
        <v>3</v>
      </c>
      <c r="AG502" s="24" t="s">
        <v>1100</v>
      </c>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row>
    <row r="503" spans="1:92" x14ac:dyDescent="0.2">
      <c r="A503" s="24"/>
      <c r="B503" s="24" t="s">
        <v>366</v>
      </c>
      <c r="C503" s="24" t="s">
        <v>1240</v>
      </c>
      <c r="D503" s="24"/>
      <c r="E503" s="24">
        <v>2020</v>
      </c>
      <c r="F503" s="35" t="s">
        <v>75</v>
      </c>
      <c r="G503" s="24" t="s">
        <v>513</v>
      </c>
      <c r="H503" s="26">
        <v>34.6</v>
      </c>
      <c r="I503" s="26">
        <v>-77.2</v>
      </c>
      <c r="J503" s="26">
        <v>1986</v>
      </c>
      <c r="K503" s="26">
        <v>2013</v>
      </c>
      <c r="L503" s="26">
        <f t="shared" si="20"/>
        <v>28</v>
      </c>
      <c r="M503" s="24" t="s">
        <v>369</v>
      </c>
      <c r="N503" s="24" t="s">
        <v>538</v>
      </c>
      <c r="O503" s="24" t="s">
        <v>424</v>
      </c>
      <c r="P503" s="24" t="s">
        <v>1248</v>
      </c>
      <c r="Q503" s="31" t="s">
        <v>1237</v>
      </c>
      <c r="R503" s="24" t="s">
        <v>838</v>
      </c>
      <c r="S503" s="24" t="s">
        <v>1076</v>
      </c>
      <c r="T503" s="24" t="s">
        <v>165</v>
      </c>
      <c r="U503" s="24" t="s">
        <v>1069</v>
      </c>
      <c r="V503" s="24">
        <f>-1.39*10</f>
        <v>-13.899999999999999</v>
      </c>
      <c r="W503" s="24" t="s">
        <v>3</v>
      </c>
      <c r="X503" s="24" t="s">
        <v>3</v>
      </c>
      <c r="Y503" s="24" t="s">
        <v>366</v>
      </c>
      <c r="Z503" s="4" t="str">
        <f t="shared" si="19"/>
        <v>Y</v>
      </c>
      <c r="AA503" s="24" t="s">
        <v>1252</v>
      </c>
      <c r="AB503" s="24" t="s">
        <v>1253</v>
      </c>
      <c r="AC503" s="24" t="s">
        <v>1251</v>
      </c>
      <c r="AD503" s="24" t="s">
        <v>1100</v>
      </c>
      <c r="AE503" s="24" t="s">
        <v>1229</v>
      </c>
      <c r="AF503" s="24" t="s">
        <v>3</v>
      </c>
      <c r="AG503" s="24" t="s">
        <v>1100</v>
      </c>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row>
    <row r="504" spans="1:92" x14ac:dyDescent="0.2">
      <c r="A504" s="24"/>
      <c r="B504" s="24" t="s">
        <v>366</v>
      </c>
      <c r="C504" s="24" t="s">
        <v>1240</v>
      </c>
      <c r="D504" s="24"/>
      <c r="E504" s="24">
        <v>2020</v>
      </c>
      <c r="F504" s="35" t="s">
        <v>75</v>
      </c>
      <c r="G504" s="24" t="s">
        <v>513</v>
      </c>
      <c r="H504" s="26">
        <v>34.6</v>
      </c>
      <c r="I504" s="26">
        <v>-77.2</v>
      </c>
      <c r="J504" s="26">
        <v>1986</v>
      </c>
      <c r="K504" s="26">
        <v>2013</v>
      </c>
      <c r="L504" s="26">
        <f t="shared" si="20"/>
        <v>28</v>
      </c>
      <c r="M504" s="24" t="s">
        <v>369</v>
      </c>
      <c r="N504" s="24" t="s">
        <v>538</v>
      </c>
      <c r="O504" s="24" t="s">
        <v>424</v>
      </c>
      <c r="P504" s="24" t="s">
        <v>190</v>
      </c>
      <c r="Q504" s="31" t="s">
        <v>1238</v>
      </c>
      <c r="R504" s="24" t="s">
        <v>838</v>
      </c>
      <c r="S504" s="24" t="s">
        <v>1076</v>
      </c>
      <c r="T504" s="24" t="s">
        <v>165</v>
      </c>
      <c r="U504" s="24" t="s">
        <v>1069</v>
      </c>
      <c r="V504" s="24">
        <f>-0.42*10</f>
        <v>-4.2</v>
      </c>
      <c r="W504" s="24" t="s">
        <v>3</v>
      </c>
      <c r="X504" s="24" t="s">
        <v>3</v>
      </c>
      <c r="Y504" s="24" t="s">
        <v>366</v>
      </c>
      <c r="Z504" s="4" t="str">
        <f t="shared" si="19"/>
        <v>Y</v>
      </c>
      <c r="AA504" s="24" t="s">
        <v>1252</v>
      </c>
      <c r="AB504" s="24" t="s">
        <v>1253</v>
      </c>
      <c r="AC504" s="24" t="s">
        <v>1251</v>
      </c>
      <c r="AD504" s="24" t="s">
        <v>1100</v>
      </c>
      <c r="AE504" s="24" t="s">
        <v>1229</v>
      </c>
      <c r="AF504" s="24" t="s">
        <v>3</v>
      </c>
      <c r="AG504" s="24" t="s">
        <v>1100</v>
      </c>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row>
    <row r="505" spans="1:92" x14ac:dyDescent="0.2">
      <c r="A505" s="24"/>
      <c r="B505" s="24" t="s">
        <v>366</v>
      </c>
      <c r="C505" s="24" t="s">
        <v>1240</v>
      </c>
      <c r="D505" s="24"/>
      <c r="E505" s="24">
        <v>2020</v>
      </c>
      <c r="F505" s="35" t="s">
        <v>75</v>
      </c>
      <c r="G505" s="24" t="s">
        <v>513</v>
      </c>
      <c r="H505" s="26">
        <v>34.6</v>
      </c>
      <c r="I505" s="26">
        <v>-77.2</v>
      </c>
      <c r="J505" s="26">
        <v>1986</v>
      </c>
      <c r="K505" s="26">
        <v>2013</v>
      </c>
      <c r="L505" s="26">
        <f t="shared" si="20"/>
        <v>28</v>
      </c>
      <c r="M505" s="24" t="s">
        <v>369</v>
      </c>
      <c r="N505" s="24" t="s">
        <v>538</v>
      </c>
      <c r="O505" s="24" t="s">
        <v>424</v>
      </c>
      <c r="P505" s="24" t="s">
        <v>1249</v>
      </c>
      <c r="Q505" s="31" t="s">
        <v>1239</v>
      </c>
      <c r="R505" s="24" t="s">
        <v>838</v>
      </c>
      <c r="S505" s="24" t="s">
        <v>1076</v>
      </c>
      <c r="T505" s="24" t="s">
        <v>165</v>
      </c>
      <c r="U505" s="24" t="s">
        <v>1069</v>
      </c>
      <c r="V505" s="24">
        <f>-0.28*10</f>
        <v>-2.8000000000000003</v>
      </c>
      <c r="W505" s="24" t="s">
        <v>3</v>
      </c>
      <c r="X505" s="24" t="s">
        <v>3</v>
      </c>
      <c r="Y505" s="24" t="s">
        <v>366</v>
      </c>
      <c r="Z505" s="4" t="str">
        <f t="shared" si="19"/>
        <v>Y</v>
      </c>
      <c r="AA505" s="24" t="s">
        <v>1252</v>
      </c>
      <c r="AB505" s="24" t="s">
        <v>1253</v>
      </c>
      <c r="AC505" s="24" t="s">
        <v>1251</v>
      </c>
      <c r="AD505" s="24" t="s">
        <v>1100</v>
      </c>
      <c r="AE505" s="24" t="s">
        <v>1229</v>
      </c>
      <c r="AF505" s="24" t="s">
        <v>3</v>
      </c>
      <c r="AG505" s="24" t="s">
        <v>1100</v>
      </c>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row>
    <row r="506" spans="1:92" x14ac:dyDescent="0.2">
      <c r="B506" t="s">
        <v>366</v>
      </c>
      <c r="C506" t="s">
        <v>1254</v>
      </c>
      <c r="E506">
        <v>2020</v>
      </c>
      <c r="F506" s="19" t="s">
        <v>907</v>
      </c>
      <c r="G506" t="s">
        <v>513</v>
      </c>
      <c r="H506" s="13">
        <v>44.9</v>
      </c>
      <c r="I506" s="13">
        <v>-66.7</v>
      </c>
      <c r="J506" s="13">
        <v>1988</v>
      </c>
      <c r="K506" s="13">
        <v>2014</v>
      </c>
      <c r="L506" s="13">
        <f t="shared" si="20"/>
        <v>27</v>
      </c>
      <c r="M506" t="s">
        <v>369</v>
      </c>
      <c r="N506" t="s">
        <v>299</v>
      </c>
      <c r="O506" t="s">
        <v>532</v>
      </c>
      <c r="P506" t="s">
        <v>1255</v>
      </c>
      <c r="Q506" t="s">
        <v>1256</v>
      </c>
      <c r="R506" t="s">
        <v>1257</v>
      </c>
      <c r="S506" t="s">
        <v>1076</v>
      </c>
      <c r="T506">
        <v>175</v>
      </c>
      <c r="U506" t="s">
        <v>1068</v>
      </c>
      <c r="V506">
        <f>-0.75*10</f>
        <v>-7.5</v>
      </c>
      <c r="W506" t="s">
        <v>3</v>
      </c>
      <c r="X506" t="s">
        <v>3</v>
      </c>
      <c r="Y506" t="s">
        <v>366</v>
      </c>
      <c r="Z506" s="4" t="str">
        <f t="shared" si="19"/>
        <v>Y</v>
      </c>
      <c r="AA506" t="s">
        <v>1258</v>
      </c>
      <c r="AB506" t="s">
        <v>1259</v>
      </c>
      <c r="AC506" t="s">
        <v>1260</v>
      </c>
      <c r="AD506" t="s">
        <v>1127</v>
      </c>
      <c r="AE506" t="s">
        <v>165</v>
      </c>
      <c r="AF506" t="s">
        <v>3</v>
      </c>
      <c r="AG506" t="s">
        <v>1100</v>
      </c>
    </row>
    <row r="507" spans="1:92" x14ac:dyDescent="0.2">
      <c r="B507" t="s">
        <v>366</v>
      </c>
      <c r="C507" t="s">
        <v>1262</v>
      </c>
      <c r="E507">
        <v>2021</v>
      </c>
      <c r="F507" s="18" t="s">
        <v>1261</v>
      </c>
      <c r="G507" t="s">
        <v>513</v>
      </c>
      <c r="H507" s="13">
        <v>41.5</v>
      </c>
      <c r="I507" s="13">
        <v>-71.400000000000006</v>
      </c>
      <c r="J507" s="13">
        <v>1959</v>
      </c>
      <c r="K507" s="13">
        <v>2016</v>
      </c>
      <c r="L507" s="13">
        <f t="shared" si="20"/>
        <v>58</v>
      </c>
      <c r="M507" t="s">
        <v>371</v>
      </c>
      <c r="N507" t="s">
        <v>51</v>
      </c>
      <c r="O507" t="s">
        <v>376</v>
      </c>
      <c r="P507" s="22" t="s">
        <v>180</v>
      </c>
      <c r="Q507" s="22" t="s">
        <v>1269</v>
      </c>
      <c r="R507" t="s">
        <v>1257</v>
      </c>
      <c r="S507" t="s">
        <v>1076</v>
      </c>
      <c r="T507" t="s">
        <v>165</v>
      </c>
      <c r="U507" t="s">
        <v>1069</v>
      </c>
      <c r="V507">
        <f>29.2/L507*10</f>
        <v>5.0344827586206895</v>
      </c>
      <c r="W507" t="s">
        <v>24</v>
      </c>
      <c r="X507" t="s">
        <v>3</v>
      </c>
      <c r="Y507" t="s">
        <v>366</v>
      </c>
      <c r="Z507" s="4" t="str">
        <f t="shared" si="19"/>
        <v>Y</v>
      </c>
      <c r="AA507" t="s">
        <v>1215</v>
      </c>
      <c r="AB507" t="s">
        <v>1279</v>
      </c>
      <c r="AC507" t="s">
        <v>1280</v>
      </c>
      <c r="AD507" t="s">
        <v>1100</v>
      </c>
      <c r="AE507" t="s">
        <v>1281</v>
      </c>
      <c r="AF507" t="s">
        <v>3</v>
      </c>
      <c r="AG507" t="s">
        <v>1100</v>
      </c>
    </row>
    <row r="508" spans="1:92" x14ac:dyDescent="0.2">
      <c r="B508" t="s">
        <v>366</v>
      </c>
      <c r="C508" t="s">
        <v>1262</v>
      </c>
      <c r="E508">
        <v>2021</v>
      </c>
      <c r="F508" s="18" t="s">
        <v>1261</v>
      </c>
      <c r="G508" t="s">
        <v>513</v>
      </c>
      <c r="H508" s="13">
        <v>41.5</v>
      </c>
      <c r="I508" s="13">
        <v>-71.400000000000006</v>
      </c>
      <c r="J508" s="13">
        <v>1959</v>
      </c>
      <c r="K508" s="13">
        <v>2016</v>
      </c>
      <c r="L508" s="13">
        <f t="shared" si="20"/>
        <v>58</v>
      </c>
      <c r="M508" t="s">
        <v>371</v>
      </c>
      <c r="N508" t="s">
        <v>51</v>
      </c>
      <c r="O508" t="s">
        <v>376</v>
      </c>
      <c r="P508" s="22" t="s">
        <v>181</v>
      </c>
      <c r="Q508" s="22" t="s">
        <v>1270</v>
      </c>
      <c r="R508" t="s">
        <v>1257</v>
      </c>
      <c r="S508" t="s">
        <v>1076</v>
      </c>
      <c r="T508" t="s">
        <v>165</v>
      </c>
      <c r="U508" t="s">
        <v>1069</v>
      </c>
      <c r="V508">
        <f>56.7/L508*10</f>
        <v>9.7758620689655178</v>
      </c>
      <c r="W508" t="s">
        <v>24</v>
      </c>
      <c r="X508" t="s">
        <v>3</v>
      </c>
      <c r="Y508" t="s">
        <v>366</v>
      </c>
      <c r="Z508" s="4" t="str">
        <f t="shared" si="19"/>
        <v>Y</v>
      </c>
      <c r="AA508" t="s">
        <v>1215</v>
      </c>
      <c r="AB508" t="s">
        <v>1279</v>
      </c>
      <c r="AC508" t="s">
        <v>1280</v>
      </c>
      <c r="AD508" t="s">
        <v>1100</v>
      </c>
      <c r="AE508" t="s">
        <v>1281</v>
      </c>
      <c r="AF508" t="s">
        <v>3</v>
      </c>
      <c r="AG508" t="s">
        <v>1100</v>
      </c>
    </row>
    <row r="509" spans="1:92" x14ac:dyDescent="0.2">
      <c r="B509" t="s">
        <v>366</v>
      </c>
      <c r="C509" t="s">
        <v>1262</v>
      </c>
      <c r="E509">
        <v>2021</v>
      </c>
      <c r="F509" s="18" t="s">
        <v>1261</v>
      </c>
      <c r="G509" t="s">
        <v>513</v>
      </c>
      <c r="H509" s="13">
        <v>41.5</v>
      </c>
      <c r="I509" s="13">
        <v>-71.400000000000006</v>
      </c>
      <c r="J509" s="13">
        <v>1959</v>
      </c>
      <c r="K509" s="13">
        <v>2016</v>
      </c>
      <c r="L509" s="13">
        <f t="shared" si="20"/>
        <v>58</v>
      </c>
      <c r="M509" t="s">
        <v>371</v>
      </c>
      <c r="N509" t="s">
        <v>51</v>
      </c>
      <c r="O509" t="s">
        <v>376</v>
      </c>
      <c r="P509" s="22" t="s">
        <v>206</v>
      </c>
      <c r="Q509" s="22" t="s">
        <v>585</v>
      </c>
      <c r="R509" t="s">
        <v>1257</v>
      </c>
      <c r="S509" t="s">
        <v>1076</v>
      </c>
      <c r="T509" t="s">
        <v>165</v>
      </c>
      <c r="U509" t="s">
        <v>1069</v>
      </c>
      <c r="V509">
        <f>0/L509*10</f>
        <v>0</v>
      </c>
      <c r="W509" t="s">
        <v>164</v>
      </c>
      <c r="X509" t="s">
        <v>3</v>
      </c>
      <c r="Y509" t="s">
        <v>366</v>
      </c>
      <c r="Z509" s="4" t="str">
        <f t="shared" si="19"/>
        <v>Y</v>
      </c>
      <c r="AA509" t="s">
        <v>1215</v>
      </c>
      <c r="AB509" t="s">
        <v>1279</v>
      </c>
      <c r="AC509" t="s">
        <v>1280</v>
      </c>
      <c r="AD509" t="s">
        <v>1100</v>
      </c>
      <c r="AE509" t="s">
        <v>1281</v>
      </c>
      <c r="AF509" t="s">
        <v>3</v>
      </c>
      <c r="AG509" t="s">
        <v>1100</v>
      </c>
    </row>
    <row r="510" spans="1:92" x14ac:dyDescent="0.2">
      <c r="B510" t="s">
        <v>366</v>
      </c>
      <c r="C510" t="s">
        <v>1262</v>
      </c>
      <c r="E510">
        <v>2021</v>
      </c>
      <c r="F510" s="18" t="s">
        <v>1261</v>
      </c>
      <c r="G510" t="s">
        <v>513</v>
      </c>
      <c r="H510" s="13">
        <v>41.5</v>
      </c>
      <c r="I510" s="13">
        <v>-71.400000000000006</v>
      </c>
      <c r="J510" s="13">
        <v>1959</v>
      </c>
      <c r="K510" s="13">
        <v>2016</v>
      </c>
      <c r="L510" s="13">
        <f t="shared" si="20"/>
        <v>58</v>
      </c>
      <c r="M510" t="s">
        <v>371</v>
      </c>
      <c r="N510" t="s">
        <v>51</v>
      </c>
      <c r="O510" t="s">
        <v>376</v>
      </c>
      <c r="P510" s="22" t="s">
        <v>1263</v>
      </c>
      <c r="Q510" s="22" t="s">
        <v>1271</v>
      </c>
      <c r="R510" t="s">
        <v>1257</v>
      </c>
      <c r="S510" t="s">
        <v>1076</v>
      </c>
      <c r="T510" t="s">
        <v>165</v>
      </c>
      <c r="U510" t="s">
        <v>1069</v>
      </c>
      <c r="V510">
        <f>51.4/L510*10</f>
        <v>8.862068965517242</v>
      </c>
      <c r="W510" t="s">
        <v>24</v>
      </c>
      <c r="X510" t="s">
        <v>3</v>
      </c>
      <c r="Y510" t="s">
        <v>366</v>
      </c>
      <c r="Z510" s="4" t="str">
        <f t="shared" si="19"/>
        <v>Y</v>
      </c>
      <c r="AA510" t="s">
        <v>1215</v>
      </c>
      <c r="AB510" t="s">
        <v>1279</v>
      </c>
      <c r="AC510" t="s">
        <v>1280</v>
      </c>
      <c r="AD510" t="s">
        <v>1100</v>
      </c>
      <c r="AE510" t="s">
        <v>1281</v>
      </c>
      <c r="AF510" t="s">
        <v>3</v>
      </c>
      <c r="AG510" t="s">
        <v>1100</v>
      </c>
    </row>
    <row r="511" spans="1:92" x14ac:dyDescent="0.2">
      <c r="B511" t="s">
        <v>366</v>
      </c>
      <c r="C511" t="s">
        <v>1262</v>
      </c>
      <c r="E511">
        <v>2021</v>
      </c>
      <c r="F511" s="18" t="s">
        <v>1261</v>
      </c>
      <c r="G511" t="s">
        <v>513</v>
      </c>
      <c r="H511" s="13">
        <v>41.5</v>
      </c>
      <c r="I511" s="13">
        <v>-71.400000000000006</v>
      </c>
      <c r="J511" s="13">
        <v>1959</v>
      </c>
      <c r="K511" s="13">
        <v>2016</v>
      </c>
      <c r="L511" s="13">
        <f t="shared" si="20"/>
        <v>58</v>
      </c>
      <c r="M511" t="s">
        <v>371</v>
      </c>
      <c r="N511" t="s">
        <v>51</v>
      </c>
      <c r="O511" t="s">
        <v>376</v>
      </c>
      <c r="P511" s="22" t="s">
        <v>1264</v>
      </c>
      <c r="Q511" s="22" t="s">
        <v>1272</v>
      </c>
      <c r="R511" t="s">
        <v>1257</v>
      </c>
      <c r="S511" t="s">
        <v>1076</v>
      </c>
      <c r="T511" t="s">
        <v>165</v>
      </c>
      <c r="U511" t="s">
        <v>1068</v>
      </c>
      <c r="V511">
        <f>0/L511*10</f>
        <v>0</v>
      </c>
      <c r="W511" t="s">
        <v>164</v>
      </c>
      <c r="X511" t="s">
        <v>3</v>
      </c>
      <c r="Y511" t="s">
        <v>366</v>
      </c>
      <c r="Z511" s="4" t="str">
        <f t="shared" si="19"/>
        <v>Y</v>
      </c>
      <c r="AA511" t="s">
        <v>1215</v>
      </c>
      <c r="AB511" t="s">
        <v>1279</v>
      </c>
      <c r="AC511" t="s">
        <v>1280</v>
      </c>
      <c r="AD511" t="s">
        <v>1100</v>
      </c>
      <c r="AE511" t="s">
        <v>1281</v>
      </c>
      <c r="AF511" t="s">
        <v>3</v>
      </c>
      <c r="AG511" t="s">
        <v>1100</v>
      </c>
    </row>
    <row r="512" spans="1:92" x14ac:dyDescent="0.2">
      <c r="B512" t="s">
        <v>366</v>
      </c>
      <c r="C512" t="s">
        <v>1262</v>
      </c>
      <c r="E512">
        <v>2021</v>
      </c>
      <c r="F512" s="18" t="s">
        <v>1261</v>
      </c>
      <c r="G512" t="s">
        <v>513</v>
      </c>
      <c r="H512" s="13">
        <v>41.5</v>
      </c>
      <c r="I512" s="13">
        <v>-71.400000000000006</v>
      </c>
      <c r="J512" s="13">
        <v>1959</v>
      </c>
      <c r="K512" s="13">
        <v>2016</v>
      </c>
      <c r="L512" s="13">
        <f t="shared" si="20"/>
        <v>58</v>
      </c>
      <c r="M512" t="s">
        <v>371</v>
      </c>
      <c r="N512" t="s">
        <v>51</v>
      </c>
      <c r="O512" t="s">
        <v>376</v>
      </c>
      <c r="P512" s="22" t="s">
        <v>1265</v>
      </c>
      <c r="Q512" s="22" t="s">
        <v>1273</v>
      </c>
      <c r="R512" t="s">
        <v>1257</v>
      </c>
      <c r="S512" t="s">
        <v>1076</v>
      </c>
      <c r="T512" t="s">
        <v>165</v>
      </c>
      <c r="U512" t="s">
        <v>1068</v>
      </c>
      <c r="V512">
        <f>0/L512*10</f>
        <v>0</v>
      </c>
      <c r="W512" t="s">
        <v>164</v>
      </c>
      <c r="X512" t="s">
        <v>3</v>
      </c>
      <c r="Y512" t="s">
        <v>366</v>
      </c>
      <c r="Z512" s="4" t="str">
        <f t="shared" si="19"/>
        <v>Y</v>
      </c>
      <c r="AA512" t="s">
        <v>1215</v>
      </c>
      <c r="AB512" t="s">
        <v>1279</v>
      </c>
      <c r="AC512" t="s">
        <v>1280</v>
      </c>
      <c r="AD512" t="s">
        <v>1100</v>
      </c>
      <c r="AE512" t="s">
        <v>1281</v>
      </c>
      <c r="AF512" t="s">
        <v>3</v>
      </c>
      <c r="AG512" t="s">
        <v>1100</v>
      </c>
    </row>
    <row r="513" spans="1:92" x14ac:dyDescent="0.2">
      <c r="B513" t="s">
        <v>366</v>
      </c>
      <c r="C513" t="s">
        <v>1262</v>
      </c>
      <c r="E513">
        <v>2021</v>
      </c>
      <c r="F513" s="18" t="s">
        <v>1261</v>
      </c>
      <c r="G513" t="s">
        <v>513</v>
      </c>
      <c r="H513" s="13">
        <v>41.5</v>
      </c>
      <c r="I513" s="13">
        <v>-71.400000000000006</v>
      </c>
      <c r="J513" s="13">
        <v>1959</v>
      </c>
      <c r="K513" s="13">
        <v>2016</v>
      </c>
      <c r="L513" s="13">
        <f t="shared" si="20"/>
        <v>58</v>
      </c>
      <c r="M513" t="s">
        <v>371</v>
      </c>
      <c r="N513" t="s">
        <v>51</v>
      </c>
      <c r="O513" t="s">
        <v>376</v>
      </c>
      <c r="P513" s="22" t="s">
        <v>175</v>
      </c>
      <c r="Q513" s="22" t="s">
        <v>1274</v>
      </c>
      <c r="R513" t="s">
        <v>1257</v>
      </c>
      <c r="S513" t="s">
        <v>1076</v>
      </c>
      <c r="T513" t="s">
        <v>165</v>
      </c>
      <c r="U513" t="s">
        <v>1068</v>
      </c>
      <c r="V513">
        <f>-18.2/L513*10</f>
        <v>-3.137931034482758</v>
      </c>
      <c r="W513" t="s">
        <v>3</v>
      </c>
      <c r="X513" t="s">
        <v>3</v>
      </c>
      <c r="Y513" t="s">
        <v>366</v>
      </c>
      <c r="Z513" s="4" t="str">
        <f t="shared" si="19"/>
        <v>Y</v>
      </c>
      <c r="AA513" t="s">
        <v>1215</v>
      </c>
      <c r="AB513" t="s">
        <v>1279</v>
      </c>
      <c r="AC513" t="s">
        <v>1280</v>
      </c>
      <c r="AD513" t="s">
        <v>1100</v>
      </c>
      <c r="AE513" t="s">
        <v>1281</v>
      </c>
      <c r="AF513" t="s">
        <v>3</v>
      </c>
      <c r="AG513" t="s">
        <v>1100</v>
      </c>
    </row>
    <row r="514" spans="1:92" x14ac:dyDescent="0.2">
      <c r="B514" t="s">
        <v>366</v>
      </c>
      <c r="C514" t="s">
        <v>1262</v>
      </c>
      <c r="E514">
        <v>2021</v>
      </c>
      <c r="F514" s="18" t="s">
        <v>1261</v>
      </c>
      <c r="G514" t="s">
        <v>513</v>
      </c>
      <c r="H514" s="13">
        <v>41.5</v>
      </c>
      <c r="I514" s="13">
        <v>-71.400000000000006</v>
      </c>
      <c r="J514" s="13">
        <v>1959</v>
      </c>
      <c r="K514" s="13">
        <v>2016</v>
      </c>
      <c r="L514" s="13">
        <f t="shared" si="20"/>
        <v>58</v>
      </c>
      <c r="M514" t="s">
        <v>371</v>
      </c>
      <c r="N514" t="s">
        <v>51</v>
      </c>
      <c r="O514" t="s">
        <v>376</v>
      </c>
      <c r="P514" s="22" t="s">
        <v>1266</v>
      </c>
      <c r="Q514" s="22" t="s">
        <v>1275</v>
      </c>
      <c r="R514" t="s">
        <v>1257</v>
      </c>
      <c r="S514" t="s">
        <v>1076</v>
      </c>
      <c r="T514" t="s">
        <v>165</v>
      </c>
      <c r="U514" t="s">
        <v>1068</v>
      </c>
      <c r="V514">
        <f>-12.2/L514*10</f>
        <v>-2.1034482758620685</v>
      </c>
      <c r="W514" t="s">
        <v>3</v>
      </c>
      <c r="X514" t="s">
        <v>3</v>
      </c>
      <c r="Y514" t="s">
        <v>366</v>
      </c>
      <c r="Z514" s="4" t="str">
        <f t="shared" ref="Z514:Z577" si="21">IF(L514&gt;=19,"Y","N")</f>
        <v>Y</v>
      </c>
      <c r="AA514" t="s">
        <v>1215</v>
      </c>
      <c r="AB514" t="s">
        <v>1279</v>
      </c>
      <c r="AC514" t="s">
        <v>1280</v>
      </c>
      <c r="AD514" t="s">
        <v>1100</v>
      </c>
      <c r="AE514" t="s">
        <v>1281</v>
      </c>
      <c r="AF514" t="s">
        <v>3</v>
      </c>
      <c r="AG514" t="s">
        <v>1100</v>
      </c>
    </row>
    <row r="515" spans="1:92" x14ac:dyDescent="0.2">
      <c r="B515" t="s">
        <v>366</v>
      </c>
      <c r="C515" t="s">
        <v>1262</v>
      </c>
      <c r="E515">
        <v>2021</v>
      </c>
      <c r="F515" s="18" t="s">
        <v>1261</v>
      </c>
      <c r="G515" t="s">
        <v>513</v>
      </c>
      <c r="H515" s="13">
        <v>41.5</v>
      </c>
      <c r="I515" s="13">
        <v>-71.400000000000006</v>
      </c>
      <c r="J515" s="13">
        <v>1959</v>
      </c>
      <c r="K515" s="13">
        <v>2016</v>
      </c>
      <c r="L515" s="13">
        <f t="shared" si="20"/>
        <v>58</v>
      </c>
      <c r="M515" t="s">
        <v>371</v>
      </c>
      <c r="N515" t="s">
        <v>51</v>
      </c>
      <c r="O515" t="s">
        <v>376</v>
      </c>
      <c r="P515" s="22" t="s">
        <v>1267</v>
      </c>
      <c r="Q515" s="22" t="s">
        <v>1276</v>
      </c>
      <c r="R515" t="s">
        <v>1257</v>
      </c>
      <c r="S515" t="s">
        <v>1076</v>
      </c>
      <c r="T515" t="s">
        <v>165</v>
      </c>
      <c r="U515" t="s">
        <v>1068</v>
      </c>
      <c r="V515">
        <f>-36.9/L515*10</f>
        <v>-6.3620689655172411</v>
      </c>
      <c r="W515" t="s">
        <v>3</v>
      </c>
      <c r="X515" t="s">
        <v>3</v>
      </c>
      <c r="Y515" t="s">
        <v>366</v>
      </c>
      <c r="Z515" s="4" t="str">
        <f t="shared" si="21"/>
        <v>Y</v>
      </c>
      <c r="AA515" t="s">
        <v>1215</v>
      </c>
      <c r="AB515" t="s">
        <v>1279</v>
      </c>
      <c r="AC515" t="s">
        <v>1280</v>
      </c>
      <c r="AD515" t="s">
        <v>1100</v>
      </c>
      <c r="AE515" t="s">
        <v>1281</v>
      </c>
      <c r="AF515" t="s">
        <v>3</v>
      </c>
      <c r="AG515" t="s">
        <v>1100</v>
      </c>
    </row>
    <row r="516" spans="1:92" x14ac:dyDescent="0.2">
      <c r="B516" t="s">
        <v>366</v>
      </c>
      <c r="C516" t="s">
        <v>1262</v>
      </c>
      <c r="E516">
        <v>2021</v>
      </c>
      <c r="F516" s="18" t="s">
        <v>1261</v>
      </c>
      <c r="G516" t="s">
        <v>513</v>
      </c>
      <c r="H516" s="13">
        <v>41.5</v>
      </c>
      <c r="I516" s="13">
        <v>-71.400000000000006</v>
      </c>
      <c r="J516" s="13">
        <v>1959</v>
      </c>
      <c r="K516" s="13">
        <v>2016</v>
      </c>
      <c r="L516" s="13">
        <f t="shared" si="20"/>
        <v>58</v>
      </c>
      <c r="M516" t="s">
        <v>371</v>
      </c>
      <c r="N516" t="s">
        <v>51</v>
      </c>
      <c r="O516" t="s">
        <v>376</v>
      </c>
      <c r="P516" s="22" t="s">
        <v>190</v>
      </c>
      <c r="Q516" s="22" t="s">
        <v>1238</v>
      </c>
      <c r="R516" t="s">
        <v>1257</v>
      </c>
      <c r="S516" t="s">
        <v>1076</v>
      </c>
      <c r="T516" t="s">
        <v>165</v>
      </c>
      <c r="U516" t="s">
        <v>1068</v>
      </c>
      <c r="V516">
        <f>-35.6/L516*10</f>
        <v>-6.1379310344827589</v>
      </c>
      <c r="W516" t="s">
        <v>3</v>
      </c>
      <c r="X516" t="s">
        <v>3</v>
      </c>
      <c r="Y516" t="s">
        <v>366</v>
      </c>
      <c r="Z516" s="4" t="str">
        <f t="shared" si="21"/>
        <v>Y</v>
      </c>
      <c r="AA516" t="s">
        <v>1215</v>
      </c>
      <c r="AB516" t="s">
        <v>1279</v>
      </c>
      <c r="AC516" t="s">
        <v>1280</v>
      </c>
      <c r="AD516" t="s">
        <v>1100</v>
      </c>
      <c r="AE516" t="s">
        <v>1281</v>
      </c>
      <c r="AF516" t="s">
        <v>3</v>
      </c>
      <c r="AG516" t="s">
        <v>1100</v>
      </c>
    </row>
    <row r="517" spans="1:92" x14ac:dyDescent="0.2">
      <c r="B517" t="s">
        <v>366</v>
      </c>
      <c r="C517" t="s">
        <v>1262</v>
      </c>
      <c r="E517">
        <v>2021</v>
      </c>
      <c r="F517" s="18" t="s">
        <v>1261</v>
      </c>
      <c r="G517" t="s">
        <v>513</v>
      </c>
      <c r="H517" s="13">
        <v>41.5</v>
      </c>
      <c r="I517" s="13">
        <v>-71.400000000000006</v>
      </c>
      <c r="J517" s="13">
        <v>1959</v>
      </c>
      <c r="K517" s="13">
        <v>2016</v>
      </c>
      <c r="L517" s="13">
        <f t="shared" si="20"/>
        <v>58</v>
      </c>
      <c r="M517" t="s">
        <v>371</v>
      </c>
      <c r="N517" t="s">
        <v>51</v>
      </c>
      <c r="O517" t="s">
        <v>376</v>
      </c>
      <c r="P517" s="22" t="s">
        <v>1268</v>
      </c>
      <c r="Q517" s="22" t="s">
        <v>1277</v>
      </c>
      <c r="R517" t="s">
        <v>1257</v>
      </c>
      <c r="S517" t="s">
        <v>1076</v>
      </c>
      <c r="T517" t="s">
        <v>165</v>
      </c>
      <c r="U517" t="s">
        <v>1068</v>
      </c>
      <c r="V517">
        <f>-44.9/L517*10</f>
        <v>-7.7413793103448274</v>
      </c>
      <c r="W517" t="s">
        <v>3</v>
      </c>
      <c r="X517" t="s">
        <v>3</v>
      </c>
      <c r="Y517" t="s">
        <v>366</v>
      </c>
      <c r="Z517" s="4" t="str">
        <f t="shared" si="21"/>
        <v>Y</v>
      </c>
      <c r="AA517" t="s">
        <v>1215</v>
      </c>
      <c r="AB517" t="s">
        <v>1279</v>
      </c>
      <c r="AC517" t="s">
        <v>1280</v>
      </c>
      <c r="AD517" t="s">
        <v>1100</v>
      </c>
      <c r="AE517" t="s">
        <v>1281</v>
      </c>
      <c r="AF517" t="s">
        <v>3</v>
      </c>
      <c r="AG517" t="s">
        <v>1100</v>
      </c>
    </row>
    <row r="518" spans="1:92" x14ac:dyDescent="0.2">
      <c r="B518" t="s">
        <v>366</v>
      </c>
      <c r="C518" t="s">
        <v>1262</v>
      </c>
      <c r="E518">
        <v>2021</v>
      </c>
      <c r="F518" s="18" t="s">
        <v>1261</v>
      </c>
      <c r="G518" t="s">
        <v>513</v>
      </c>
      <c r="H518" s="13">
        <v>41.5</v>
      </c>
      <c r="I518" s="13">
        <v>-71.400000000000006</v>
      </c>
      <c r="J518" s="13">
        <v>1959</v>
      </c>
      <c r="K518" s="13">
        <v>2016</v>
      </c>
      <c r="L518" s="13">
        <f t="shared" si="20"/>
        <v>58</v>
      </c>
      <c r="M518" t="s">
        <v>371</v>
      </c>
      <c r="N518" t="s">
        <v>51</v>
      </c>
      <c r="O518" t="s">
        <v>376</v>
      </c>
      <c r="P518" s="22" t="s">
        <v>202</v>
      </c>
      <c r="Q518" s="22" t="s">
        <v>1278</v>
      </c>
      <c r="R518" t="s">
        <v>1257</v>
      </c>
      <c r="S518" t="s">
        <v>1076</v>
      </c>
      <c r="T518" t="s">
        <v>165</v>
      </c>
      <c r="U518" t="s">
        <v>1068</v>
      </c>
      <c r="V518">
        <f>-16.7/L518*10</f>
        <v>-2.8793103448275859</v>
      </c>
      <c r="W518" t="s">
        <v>3</v>
      </c>
      <c r="X518" t="s">
        <v>3</v>
      </c>
      <c r="Y518" t="s">
        <v>366</v>
      </c>
      <c r="Z518" s="4" t="str">
        <f t="shared" si="21"/>
        <v>Y</v>
      </c>
      <c r="AA518" t="s">
        <v>1215</v>
      </c>
      <c r="AB518" t="s">
        <v>1279</v>
      </c>
      <c r="AC518" t="s">
        <v>1280</v>
      </c>
      <c r="AD518" t="s">
        <v>1100</v>
      </c>
      <c r="AE518" t="s">
        <v>1281</v>
      </c>
      <c r="AF518" t="s">
        <v>3</v>
      </c>
      <c r="AG518" t="s">
        <v>1100</v>
      </c>
    </row>
    <row r="519" spans="1:92" x14ac:dyDescent="0.2">
      <c r="B519" t="s">
        <v>366</v>
      </c>
      <c r="C519" t="s">
        <v>1296</v>
      </c>
      <c r="E519">
        <v>2015</v>
      </c>
      <c r="F519" t="s">
        <v>10</v>
      </c>
      <c r="G519" t="s">
        <v>513</v>
      </c>
      <c r="H519" s="13">
        <v>58.38</v>
      </c>
      <c r="I519" s="13">
        <v>-134.63999999999999</v>
      </c>
      <c r="J519" s="13">
        <v>1981</v>
      </c>
      <c r="K519" s="13">
        <v>2010</v>
      </c>
      <c r="L519" s="13">
        <f t="shared" si="20"/>
        <v>30</v>
      </c>
      <c r="M519" t="s">
        <v>369</v>
      </c>
      <c r="N519" t="s">
        <v>51</v>
      </c>
      <c r="O519" t="s">
        <v>376</v>
      </c>
      <c r="P519" s="22" t="s">
        <v>5</v>
      </c>
      <c r="Q519" t="s">
        <v>922</v>
      </c>
      <c r="R519" t="s">
        <v>1097</v>
      </c>
      <c r="S519" t="s">
        <v>1076</v>
      </c>
      <c r="T519" t="s">
        <v>165</v>
      </c>
      <c r="U519" t="s">
        <v>165</v>
      </c>
      <c r="V519">
        <f>-0.46*30.25/L519*10</f>
        <v>-4.6383333333333336</v>
      </c>
      <c r="W519" t="s">
        <v>3</v>
      </c>
      <c r="X519" t="s">
        <v>3</v>
      </c>
      <c r="Y519" t="s">
        <v>366</v>
      </c>
      <c r="Z519" s="4" t="str">
        <f t="shared" si="21"/>
        <v>Y</v>
      </c>
      <c r="AA519" t="s">
        <v>1298</v>
      </c>
      <c r="AB519" t="s">
        <v>1299</v>
      </c>
      <c r="AC519" s="5" t="s">
        <v>1300</v>
      </c>
      <c r="AD519" t="s">
        <v>1100</v>
      </c>
      <c r="AE519" t="s">
        <v>1229</v>
      </c>
      <c r="AF519" t="s">
        <v>3</v>
      </c>
      <c r="AG519" t="s">
        <v>1100</v>
      </c>
    </row>
    <row r="520" spans="1:92" x14ac:dyDescent="0.2">
      <c r="B520" t="s">
        <v>366</v>
      </c>
      <c r="C520" t="s">
        <v>1296</v>
      </c>
      <c r="E520">
        <v>2015</v>
      </c>
      <c r="F520" t="s">
        <v>10</v>
      </c>
      <c r="G520" t="s">
        <v>513</v>
      </c>
      <c r="H520" s="13">
        <v>58.38</v>
      </c>
      <c r="I520" s="13">
        <v>-134.63999999999999</v>
      </c>
      <c r="J520" s="13">
        <v>1981</v>
      </c>
      <c r="K520" s="13">
        <v>2010</v>
      </c>
      <c r="L520" s="13">
        <f t="shared" si="20"/>
        <v>30</v>
      </c>
      <c r="M520" t="s">
        <v>369</v>
      </c>
      <c r="N520" t="s">
        <v>51</v>
      </c>
      <c r="O520" t="s">
        <v>376</v>
      </c>
      <c r="P520" s="22" t="s">
        <v>30</v>
      </c>
      <c r="Q520" t="s">
        <v>31</v>
      </c>
      <c r="R520" t="s">
        <v>1097</v>
      </c>
      <c r="S520" t="s">
        <v>1076</v>
      </c>
      <c r="T520" t="s">
        <v>165</v>
      </c>
      <c r="U520" t="s">
        <v>165</v>
      </c>
      <c r="V520">
        <f>-0.14*30.25/L520*10</f>
        <v>-1.4116666666666668</v>
      </c>
      <c r="W520" t="s">
        <v>3</v>
      </c>
      <c r="X520" t="s">
        <v>3</v>
      </c>
      <c r="Y520" t="s">
        <v>366</v>
      </c>
      <c r="Z520" s="4" t="str">
        <f t="shared" si="21"/>
        <v>Y</v>
      </c>
      <c r="AA520" t="s">
        <v>1298</v>
      </c>
      <c r="AB520" t="s">
        <v>1299</v>
      </c>
      <c r="AC520" s="5" t="s">
        <v>1297</v>
      </c>
      <c r="AD520" t="s">
        <v>1100</v>
      </c>
      <c r="AE520" t="s">
        <v>1229</v>
      </c>
      <c r="AF520" t="s">
        <v>3</v>
      </c>
      <c r="AG520" t="s">
        <v>1100</v>
      </c>
    </row>
    <row r="521" spans="1:92" x14ac:dyDescent="0.2">
      <c r="B521" t="s">
        <v>366</v>
      </c>
      <c r="C521" t="s">
        <v>1296</v>
      </c>
      <c r="E521">
        <v>2015</v>
      </c>
      <c r="F521" t="s">
        <v>10</v>
      </c>
      <c r="G521" t="s">
        <v>513</v>
      </c>
      <c r="H521" s="13">
        <v>58.38</v>
      </c>
      <c r="I521" s="13">
        <v>-134.63999999999999</v>
      </c>
      <c r="J521" s="13">
        <v>1981</v>
      </c>
      <c r="K521" s="13">
        <v>2010</v>
      </c>
      <c r="L521" s="13">
        <f t="shared" si="20"/>
        <v>30</v>
      </c>
      <c r="M521" t="s">
        <v>369</v>
      </c>
      <c r="N521" t="s">
        <v>51</v>
      </c>
      <c r="O521" t="s">
        <v>376</v>
      </c>
      <c r="P521" s="22" t="s">
        <v>1292</v>
      </c>
      <c r="Q521" t="s">
        <v>1294</v>
      </c>
      <c r="R521" t="s">
        <v>1097</v>
      </c>
      <c r="S521" t="s">
        <v>1076</v>
      </c>
      <c r="T521" t="s">
        <v>165</v>
      </c>
      <c r="U521" t="s">
        <v>1068</v>
      </c>
      <c r="V521">
        <f>0.16*30.25/L521*10</f>
        <v>1.6133333333333333</v>
      </c>
      <c r="W521" t="s">
        <v>24</v>
      </c>
      <c r="X521" t="s">
        <v>3</v>
      </c>
      <c r="Y521" t="s">
        <v>366</v>
      </c>
      <c r="Z521" s="4" t="str">
        <f t="shared" si="21"/>
        <v>Y</v>
      </c>
      <c r="AA521" t="s">
        <v>1298</v>
      </c>
      <c r="AB521" t="s">
        <v>1299</v>
      </c>
      <c r="AC521" s="5" t="s">
        <v>1300</v>
      </c>
      <c r="AD521" t="s">
        <v>1100</v>
      </c>
      <c r="AE521" t="s">
        <v>1229</v>
      </c>
      <c r="AF521" t="s">
        <v>3</v>
      </c>
      <c r="AG521" t="s">
        <v>1100</v>
      </c>
    </row>
    <row r="522" spans="1:92" x14ac:dyDescent="0.2">
      <c r="B522" t="s">
        <v>366</v>
      </c>
      <c r="C522" t="s">
        <v>1296</v>
      </c>
      <c r="E522">
        <v>2015</v>
      </c>
      <c r="F522" t="s">
        <v>10</v>
      </c>
      <c r="G522" t="s">
        <v>513</v>
      </c>
      <c r="H522" s="13">
        <v>58.38</v>
      </c>
      <c r="I522" s="13">
        <v>-134.63999999999999</v>
      </c>
      <c r="J522" s="13">
        <v>1981</v>
      </c>
      <c r="K522" s="13">
        <v>2010</v>
      </c>
      <c r="L522" s="13">
        <f t="shared" si="20"/>
        <v>30</v>
      </c>
      <c r="M522" t="s">
        <v>369</v>
      </c>
      <c r="N522" t="s">
        <v>51</v>
      </c>
      <c r="O522" t="s">
        <v>376</v>
      </c>
      <c r="P522" s="22" t="s">
        <v>4</v>
      </c>
      <c r="Q522" t="s">
        <v>921</v>
      </c>
      <c r="R522" t="s">
        <v>1097</v>
      </c>
      <c r="S522" t="s">
        <v>1076</v>
      </c>
      <c r="T522" t="s">
        <v>165</v>
      </c>
      <c r="U522" t="s">
        <v>165</v>
      </c>
      <c r="V522">
        <f>-0.39*30.25/L522*10</f>
        <v>-3.9325000000000006</v>
      </c>
      <c r="W522" t="s">
        <v>3</v>
      </c>
      <c r="X522" t="s">
        <v>3</v>
      </c>
      <c r="Y522" t="s">
        <v>366</v>
      </c>
      <c r="Z522" s="4" t="str">
        <f t="shared" si="21"/>
        <v>Y</v>
      </c>
      <c r="AA522" t="s">
        <v>1298</v>
      </c>
      <c r="AB522" t="s">
        <v>1299</v>
      </c>
      <c r="AC522" s="5" t="s">
        <v>1297</v>
      </c>
      <c r="AD522" t="s">
        <v>1100</v>
      </c>
      <c r="AE522" t="s">
        <v>1229</v>
      </c>
      <c r="AF522" t="s">
        <v>3</v>
      </c>
      <c r="AG522" t="s">
        <v>1100</v>
      </c>
    </row>
    <row r="523" spans="1:92" x14ac:dyDescent="0.2">
      <c r="B523" t="s">
        <v>366</v>
      </c>
      <c r="C523" t="s">
        <v>1296</v>
      </c>
      <c r="E523">
        <v>2015</v>
      </c>
      <c r="F523" t="s">
        <v>10</v>
      </c>
      <c r="G523" t="s">
        <v>513</v>
      </c>
      <c r="H523" s="13">
        <v>58.38</v>
      </c>
      <c r="I523" s="13">
        <v>-134.63999999999999</v>
      </c>
      <c r="J523" s="13">
        <v>1981</v>
      </c>
      <c r="K523" s="13">
        <v>2010</v>
      </c>
      <c r="L523" s="13">
        <f t="shared" si="20"/>
        <v>30</v>
      </c>
      <c r="M523" t="s">
        <v>369</v>
      </c>
      <c r="N523" t="s">
        <v>51</v>
      </c>
      <c r="O523" t="s">
        <v>376</v>
      </c>
      <c r="P523" s="22" t="s">
        <v>1293</v>
      </c>
      <c r="Q523" t="s">
        <v>1295</v>
      </c>
      <c r="R523" t="s">
        <v>1097</v>
      </c>
      <c r="S523" t="s">
        <v>1076</v>
      </c>
      <c r="T523" t="s">
        <v>165</v>
      </c>
      <c r="U523" t="s">
        <v>165</v>
      </c>
      <c r="V523">
        <f>0.08*30.25/L523*10</f>
        <v>0.80666666666666664</v>
      </c>
      <c r="W523" t="s">
        <v>24</v>
      </c>
      <c r="X523" t="s">
        <v>3</v>
      </c>
      <c r="Y523" t="s">
        <v>366</v>
      </c>
      <c r="Z523" s="4" t="str">
        <f t="shared" si="21"/>
        <v>Y</v>
      </c>
      <c r="AA523" t="s">
        <v>1298</v>
      </c>
      <c r="AB523" t="s">
        <v>1299</v>
      </c>
      <c r="AC523" s="5" t="s">
        <v>1297</v>
      </c>
      <c r="AD523" t="s">
        <v>1100</v>
      </c>
      <c r="AE523" t="s">
        <v>1229</v>
      </c>
      <c r="AF523" t="s">
        <v>3</v>
      </c>
      <c r="AG523" t="s">
        <v>1100</v>
      </c>
    </row>
    <row r="524" spans="1:92" x14ac:dyDescent="0.2">
      <c r="A524">
        <v>432</v>
      </c>
      <c r="B524" t="s">
        <v>367</v>
      </c>
      <c r="C524" t="s">
        <v>362</v>
      </c>
      <c r="E524">
        <v>2009</v>
      </c>
      <c r="F524" t="s">
        <v>103</v>
      </c>
      <c r="G524" t="s">
        <v>513</v>
      </c>
      <c r="H524" s="13">
        <v>55.62</v>
      </c>
      <c r="I524" s="13">
        <v>-1.63</v>
      </c>
      <c r="J524" s="13">
        <v>1972</v>
      </c>
      <c r="K524" s="13">
        <v>2006</v>
      </c>
      <c r="L524" s="13">
        <f t="shared" si="20"/>
        <v>35</v>
      </c>
      <c r="M524" t="s">
        <v>370</v>
      </c>
      <c r="N524" t="s">
        <v>380</v>
      </c>
      <c r="O524" t="s">
        <v>380</v>
      </c>
      <c r="P524" t="s">
        <v>138</v>
      </c>
      <c r="Q524" t="s">
        <v>454</v>
      </c>
      <c r="V524">
        <v>-1.6</v>
      </c>
      <c r="W524" t="s">
        <v>3</v>
      </c>
      <c r="X524" t="s">
        <v>3</v>
      </c>
      <c r="Y524" t="s">
        <v>523</v>
      </c>
      <c r="Z524" s="4" t="str">
        <f t="shared" si="21"/>
        <v>Y</v>
      </c>
    </row>
    <row r="525" spans="1:92" x14ac:dyDescent="0.2">
      <c r="B525" t="s">
        <v>366</v>
      </c>
      <c r="C525" t="s">
        <v>1314</v>
      </c>
      <c r="E525">
        <v>2011</v>
      </c>
      <c r="F525" t="s">
        <v>1315</v>
      </c>
      <c r="G525" t="s">
        <v>513</v>
      </c>
      <c r="H525" s="13">
        <v>46.24</v>
      </c>
      <c r="I525" s="13">
        <v>-124</v>
      </c>
      <c r="J525" s="13">
        <v>1936</v>
      </c>
      <c r="K525" s="13">
        <v>2010</v>
      </c>
      <c r="L525" s="13">
        <f t="shared" ref="L525:L527" si="22">K525-J525+1</f>
        <v>75</v>
      </c>
      <c r="M525" t="s">
        <v>369</v>
      </c>
      <c r="N525" t="s">
        <v>51</v>
      </c>
      <c r="O525" t="s">
        <v>376</v>
      </c>
      <c r="P525" s="22" t="s">
        <v>1292</v>
      </c>
      <c r="Q525" t="s">
        <v>1294</v>
      </c>
      <c r="R525" t="s">
        <v>853</v>
      </c>
      <c r="S525" t="s">
        <v>1076</v>
      </c>
      <c r="T525">
        <f>6*30.25+6</f>
        <v>187.5</v>
      </c>
      <c r="U525" t="s">
        <v>1068</v>
      </c>
      <c r="V525">
        <f>-10.3/L525*10</f>
        <v>-1.3733333333333333</v>
      </c>
      <c r="W525" t="s">
        <v>3</v>
      </c>
      <c r="X525" t="s">
        <v>3</v>
      </c>
      <c r="Y525" t="s">
        <v>366</v>
      </c>
      <c r="Z525" s="4" t="str">
        <f t="shared" si="21"/>
        <v>Y</v>
      </c>
      <c r="AA525" t="s">
        <v>1317</v>
      </c>
      <c r="AB525" t="s">
        <v>1200</v>
      </c>
      <c r="AC525" s="5" t="s">
        <v>1316</v>
      </c>
      <c r="AD525" t="s">
        <v>1100</v>
      </c>
      <c r="AE525" t="s">
        <v>1318</v>
      </c>
      <c r="AF525" t="s">
        <v>3</v>
      </c>
      <c r="AG525" t="s">
        <v>1100</v>
      </c>
    </row>
    <row r="526" spans="1:92" s="24" customFormat="1" x14ac:dyDescent="0.2">
      <c r="A526"/>
      <c r="B526" t="s">
        <v>366</v>
      </c>
      <c r="C526" t="s">
        <v>1319</v>
      </c>
      <c r="D526"/>
      <c r="E526">
        <v>2020</v>
      </c>
      <c r="F526" t="s">
        <v>1320</v>
      </c>
      <c r="G526" t="s">
        <v>513</v>
      </c>
      <c r="H526" s="13">
        <v>43.117600000000003</v>
      </c>
      <c r="I526" s="13">
        <v>-72.431799999999996</v>
      </c>
      <c r="J526" s="13">
        <v>1981</v>
      </c>
      <c r="K526" s="13">
        <v>2011</v>
      </c>
      <c r="L526" s="13">
        <f t="shared" si="22"/>
        <v>31</v>
      </c>
      <c r="M526" t="s">
        <v>369</v>
      </c>
      <c r="N526" t="s">
        <v>51</v>
      </c>
      <c r="O526" t="s">
        <v>376</v>
      </c>
      <c r="P526" s="22" t="s">
        <v>205</v>
      </c>
      <c r="Q526" s="21" t="s">
        <v>1321</v>
      </c>
      <c r="R526" t="s">
        <v>931</v>
      </c>
      <c r="S526" t="s">
        <v>1076</v>
      </c>
      <c r="T526">
        <v>122</v>
      </c>
      <c r="U526" t="s">
        <v>901</v>
      </c>
      <c r="V526">
        <f>-0.4*10</f>
        <v>-4</v>
      </c>
      <c r="W526" t="s">
        <v>3</v>
      </c>
      <c r="X526" t="s">
        <v>3</v>
      </c>
      <c r="Y526" t="s">
        <v>366</v>
      </c>
      <c r="Z526" s="4" t="str">
        <f t="shared" si="21"/>
        <v>Y</v>
      </c>
      <c r="AA526" t="s">
        <v>1322</v>
      </c>
      <c r="AB526" t="s">
        <v>1200</v>
      </c>
      <c r="AC526" s="5" t="s">
        <v>1323</v>
      </c>
      <c r="AD526" t="s">
        <v>1100</v>
      </c>
      <c r="AE526" t="s">
        <v>1229</v>
      </c>
      <c r="AF526" t="s">
        <v>3</v>
      </c>
      <c r="AG526" t="s">
        <v>1100</v>
      </c>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row>
    <row r="527" spans="1:92" s="24" customFormat="1" x14ac:dyDescent="0.2">
      <c r="A527"/>
      <c r="B527" t="s">
        <v>366</v>
      </c>
      <c r="C527" t="s">
        <v>1319</v>
      </c>
      <c r="D527"/>
      <c r="E527">
        <v>2020</v>
      </c>
      <c r="F527" t="s">
        <v>1320</v>
      </c>
      <c r="G527" t="s">
        <v>513</v>
      </c>
      <c r="H527" s="13">
        <v>43.27</v>
      </c>
      <c r="I527" s="13">
        <v>-70.98</v>
      </c>
      <c r="J527" s="13">
        <v>1979</v>
      </c>
      <c r="K527" s="13">
        <v>2016</v>
      </c>
      <c r="L527" s="13">
        <f t="shared" si="22"/>
        <v>38</v>
      </c>
      <c r="M527" t="s">
        <v>369</v>
      </c>
      <c r="N527" t="s">
        <v>51</v>
      </c>
      <c r="O527" t="s">
        <v>376</v>
      </c>
      <c r="P527" s="22" t="s">
        <v>1325</v>
      </c>
      <c r="Q527" t="s">
        <v>1326</v>
      </c>
      <c r="R527" t="s">
        <v>931</v>
      </c>
      <c r="S527" t="s">
        <v>1076</v>
      </c>
      <c r="T527">
        <v>124</v>
      </c>
      <c r="U527" t="s">
        <v>901</v>
      </c>
      <c r="V527">
        <f>-0.35*10</f>
        <v>-3.5</v>
      </c>
      <c r="W527" t="s">
        <v>3</v>
      </c>
      <c r="X527" t="s">
        <v>3</v>
      </c>
      <c r="Y527" t="s">
        <v>366</v>
      </c>
      <c r="Z527" s="4" t="str">
        <f t="shared" si="21"/>
        <v>Y</v>
      </c>
      <c r="AA527" t="s">
        <v>1322</v>
      </c>
      <c r="AB527" t="s">
        <v>1200</v>
      </c>
      <c r="AC527" s="5" t="s">
        <v>1324</v>
      </c>
      <c r="AD527" t="s">
        <v>1100</v>
      </c>
      <c r="AE527" t="s">
        <v>1229</v>
      </c>
      <c r="AF527" t="s">
        <v>3</v>
      </c>
      <c r="AG527" t="s">
        <v>1100</v>
      </c>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row>
    <row r="528" spans="1:92" s="24" customFormat="1" x14ac:dyDescent="0.2">
      <c r="A528"/>
      <c r="B528" t="s">
        <v>366</v>
      </c>
      <c r="C528" t="s">
        <v>1327</v>
      </c>
      <c r="D528"/>
      <c r="E528">
        <v>2021</v>
      </c>
      <c r="F528"/>
      <c r="G528"/>
      <c r="H528" s="13"/>
      <c r="I528" s="13"/>
      <c r="J528" s="13"/>
      <c r="K528" s="13"/>
      <c r="L528" s="13"/>
      <c r="M528"/>
      <c r="N528" t="s">
        <v>51</v>
      </c>
      <c r="O528" t="s">
        <v>376</v>
      </c>
      <c r="P528" t="s">
        <v>4</v>
      </c>
      <c r="Q528" t="s">
        <v>921</v>
      </c>
      <c r="R528" t="s">
        <v>931</v>
      </c>
      <c r="S528" t="s">
        <v>1076</v>
      </c>
      <c r="T528"/>
      <c r="U528"/>
      <c r="V528"/>
      <c r="W528"/>
      <c r="X528" t="s">
        <v>24</v>
      </c>
      <c r="Y528"/>
      <c r="Z528" s="4" t="str">
        <f t="shared" si="21"/>
        <v>N</v>
      </c>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row>
    <row r="529" spans="1:92" x14ac:dyDescent="0.2">
      <c r="A529" s="24">
        <v>247</v>
      </c>
      <c r="B529" s="24" t="s">
        <v>367</v>
      </c>
      <c r="C529" s="24" t="s">
        <v>331</v>
      </c>
      <c r="D529" s="24"/>
      <c r="E529" s="24">
        <v>2010</v>
      </c>
      <c r="F529" s="24" t="s">
        <v>103</v>
      </c>
      <c r="G529" s="24" t="s">
        <v>513</v>
      </c>
      <c r="H529" s="26">
        <v>54.18</v>
      </c>
      <c r="I529" s="26">
        <v>7.9</v>
      </c>
      <c r="J529" s="26">
        <v>1975</v>
      </c>
      <c r="K529" s="26">
        <v>2004</v>
      </c>
      <c r="L529" s="26">
        <f t="shared" ref="L529:L560" si="23">K529-J529+1</f>
        <v>30</v>
      </c>
      <c r="M529" s="24" t="s">
        <v>369</v>
      </c>
      <c r="N529" s="24" t="s">
        <v>52</v>
      </c>
      <c r="O529" s="24" t="s">
        <v>484</v>
      </c>
      <c r="P529" s="24" t="s">
        <v>373</v>
      </c>
      <c r="Q529" s="24" t="s">
        <v>530</v>
      </c>
      <c r="R529" s="24"/>
      <c r="S529" s="24"/>
      <c r="T529" s="24"/>
      <c r="U529" s="24"/>
      <c r="V529" s="24">
        <f>-7/(L529/10)</f>
        <v>-2.3333333333333335</v>
      </c>
      <c r="W529" s="24" t="s">
        <v>164</v>
      </c>
      <c r="X529" s="30" t="s">
        <v>3</v>
      </c>
      <c r="Y529" s="24" t="s">
        <v>366</v>
      </c>
      <c r="Z529" s="4" t="str">
        <f t="shared" si="21"/>
        <v>Y</v>
      </c>
      <c r="AA529" s="24"/>
      <c r="AB529" s="24"/>
      <c r="AC529" s="24" t="s">
        <v>529</v>
      </c>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row>
    <row r="530" spans="1:92" x14ac:dyDescent="0.2">
      <c r="A530" s="24">
        <v>248</v>
      </c>
      <c r="B530" s="24" t="s">
        <v>367</v>
      </c>
      <c r="C530" s="24" t="s">
        <v>331</v>
      </c>
      <c r="D530" s="24"/>
      <c r="E530" s="24">
        <v>2010</v>
      </c>
      <c r="F530" s="24" t="s">
        <v>103</v>
      </c>
      <c r="G530" s="24" t="s">
        <v>513</v>
      </c>
      <c r="H530" s="26">
        <v>54.18</v>
      </c>
      <c r="I530" s="26">
        <v>7.9</v>
      </c>
      <c r="J530" s="26">
        <v>1975</v>
      </c>
      <c r="K530" s="26">
        <v>2004</v>
      </c>
      <c r="L530" s="26">
        <f t="shared" si="23"/>
        <v>30</v>
      </c>
      <c r="M530" s="24" t="s">
        <v>369</v>
      </c>
      <c r="N530" s="24" t="s">
        <v>52</v>
      </c>
      <c r="O530" s="24" t="s">
        <v>1328</v>
      </c>
      <c r="P530" s="24" t="s">
        <v>374</v>
      </c>
      <c r="Q530" s="24" t="s">
        <v>385</v>
      </c>
      <c r="R530" s="24"/>
      <c r="S530" s="24"/>
      <c r="T530" s="24"/>
      <c r="U530" s="24"/>
      <c r="V530" s="24">
        <v>-9.33</v>
      </c>
      <c r="W530" s="24" t="s">
        <v>3</v>
      </c>
      <c r="X530" s="24" t="s">
        <v>3</v>
      </c>
      <c r="Y530" s="24" t="s">
        <v>518</v>
      </c>
      <c r="Z530" s="4" t="str">
        <f t="shared" si="21"/>
        <v>Y</v>
      </c>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c r="CM530" s="24"/>
      <c r="CN530" s="24"/>
    </row>
    <row r="531" spans="1:92" x14ac:dyDescent="0.2">
      <c r="A531" s="24">
        <v>249</v>
      </c>
      <c r="B531" s="24" t="s">
        <v>367</v>
      </c>
      <c r="C531" s="24" t="s">
        <v>331</v>
      </c>
      <c r="D531" s="24"/>
      <c r="E531" s="24">
        <v>2010</v>
      </c>
      <c r="F531" s="24" t="s">
        <v>103</v>
      </c>
      <c r="G531" s="24" t="s">
        <v>513</v>
      </c>
      <c r="H531" s="26">
        <v>54.18</v>
      </c>
      <c r="I531" s="26">
        <v>7.9</v>
      </c>
      <c r="J531" s="26">
        <v>1975</v>
      </c>
      <c r="K531" s="26">
        <v>2004</v>
      </c>
      <c r="L531" s="26">
        <f t="shared" si="23"/>
        <v>30</v>
      </c>
      <c r="M531" s="24" t="s">
        <v>369</v>
      </c>
      <c r="N531" s="24" t="s">
        <v>52</v>
      </c>
      <c r="O531" s="24" t="s">
        <v>1328</v>
      </c>
      <c r="P531" s="24" t="s">
        <v>374</v>
      </c>
      <c r="Q531" s="24" t="s">
        <v>525</v>
      </c>
      <c r="R531" s="24"/>
      <c r="S531" s="24"/>
      <c r="T531" s="24"/>
      <c r="U531" s="24"/>
      <c r="V531" s="24">
        <v>-14</v>
      </c>
      <c r="W531" s="24" t="s">
        <v>3</v>
      </c>
      <c r="X531" s="24" t="s">
        <v>3</v>
      </c>
      <c r="Y531" s="24" t="s">
        <v>518</v>
      </c>
      <c r="Z531" s="4" t="str">
        <f t="shared" si="21"/>
        <v>Y</v>
      </c>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row>
    <row r="532" spans="1:92" x14ac:dyDescent="0.2">
      <c r="A532" s="24">
        <v>250</v>
      </c>
      <c r="B532" s="24" t="s">
        <v>367</v>
      </c>
      <c r="C532" s="24" t="s">
        <v>331</v>
      </c>
      <c r="D532" s="24"/>
      <c r="E532" s="24">
        <v>2010</v>
      </c>
      <c r="F532" s="24" t="s">
        <v>103</v>
      </c>
      <c r="G532" s="24" t="s">
        <v>513</v>
      </c>
      <c r="H532" s="26">
        <v>54.18</v>
      </c>
      <c r="I532" s="26">
        <v>7.9</v>
      </c>
      <c r="J532" s="26">
        <v>1975</v>
      </c>
      <c r="K532" s="26">
        <v>2004</v>
      </c>
      <c r="L532" s="26">
        <f t="shared" si="23"/>
        <v>30</v>
      </c>
      <c r="M532" s="24" t="s">
        <v>369</v>
      </c>
      <c r="N532" s="24" t="s">
        <v>52</v>
      </c>
      <c r="O532" s="24" t="s">
        <v>1328</v>
      </c>
      <c r="P532" s="24" t="s">
        <v>374</v>
      </c>
      <c r="Q532" s="24" t="s">
        <v>525</v>
      </c>
      <c r="R532" s="24"/>
      <c r="S532" s="24"/>
      <c r="T532" s="24"/>
      <c r="U532" s="24"/>
      <c r="V532" s="24">
        <v>-14</v>
      </c>
      <c r="W532" s="24" t="s">
        <v>3</v>
      </c>
      <c r="X532" s="24" t="s">
        <v>3</v>
      </c>
      <c r="Y532" s="24" t="s">
        <v>518</v>
      </c>
      <c r="Z532" s="4" t="str">
        <f t="shared" si="21"/>
        <v>Y</v>
      </c>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c r="CM532" s="24"/>
      <c r="CN532" s="24"/>
    </row>
    <row r="533" spans="1:92" x14ac:dyDescent="0.2">
      <c r="A533" s="24">
        <v>278</v>
      </c>
      <c r="B533" s="24" t="s">
        <v>367</v>
      </c>
      <c r="C533" s="24" t="s">
        <v>341</v>
      </c>
      <c r="D533" s="24"/>
      <c r="E533" s="24">
        <v>2006</v>
      </c>
      <c r="F533" s="24" t="s">
        <v>504</v>
      </c>
      <c r="G533" s="24" t="s">
        <v>513</v>
      </c>
      <c r="H533" s="26">
        <v>41.5</v>
      </c>
      <c r="I533" s="26">
        <v>-71.349999999999994</v>
      </c>
      <c r="J533" s="26">
        <v>1951</v>
      </c>
      <c r="K533" s="26">
        <v>2003</v>
      </c>
      <c r="L533" s="26">
        <f t="shared" si="23"/>
        <v>53</v>
      </c>
      <c r="M533" s="24" t="s">
        <v>370</v>
      </c>
      <c r="N533" s="24" t="s">
        <v>52</v>
      </c>
      <c r="O533" s="24" t="s">
        <v>484</v>
      </c>
      <c r="P533" s="24" t="s">
        <v>373</v>
      </c>
      <c r="Q533" s="24" t="s">
        <v>392</v>
      </c>
      <c r="R533" s="24"/>
      <c r="S533" s="24"/>
      <c r="T533" s="24"/>
      <c r="U533" s="24"/>
      <c r="V533" s="24">
        <v>0</v>
      </c>
      <c r="W533" s="24" t="s">
        <v>3</v>
      </c>
      <c r="X533" s="24" t="s">
        <v>3</v>
      </c>
      <c r="Y533" s="24" t="s">
        <v>518</v>
      </c>
      <c r="Z533" s="4" t="str">
        <f t="shared" si="21"/>
        <v>Y</v>
      </c>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row>
    <row r="534" spans="1:92" x14ac:dyDescent="0.2">
      <c r="A534" s="24">
        <v>279</v>
      </c>
      <c r="B534" s="24" t="s">
        <v>367</v>
      </c>
      <c r="C534" s="24" t="s">
        <v>341</v>
      </c>
      <c r="D534" s="24"/>
      <c r="E534" s="24">
        <v>2006</v>
      </c>
      <c r="F534" s="24" t="s">
        <v>504</v>
      </c>
      <c r="G534" s="24" t="s">
        <v>513</v>
      </c>
      <c r="H534" s="26">
        <v>41.5</v>
      </c>
      <c r="I534" s="26">
        <v>-71.349999999999994</v>
      </c>
      <c r="J534" s="26">
        <v>1951</v>
      </c>
      <c r="K534" s="26">
        <v>2003</v>
      </c>
      <c r="L534" s="26">
        <f t="shared" si="23"/>
        <v>53</v>
      </c>
      <c r="M534" s="24" t="s">
        <v>370</v>
      </c>
      <c r="N534" s="24" t="s">
        <v>52</v>
      </c>
      <c r="O534" s="24" t="s">
        <v>1328</v>
      </c>
      <c r="P534" s="24" t="s">
        <v>165</v>
      </c>
      <c r="Q534" s="24" t="s">
        <v>393</v>
      </c>
      <c r="R534" s="24"/>
      <c r="S534" s="24"/>
      <c r="T534" s="24"/>
      <c r="U534" s="24"/>
      <c r="V534" s="24">
        <v>-11.13</v>
      </c>
      <c r="W534" s="24" t="s">
        <v>3</v>
      </c>
      <c r="X534" s="24" t="s">
        <v>3</v>
      </c>
      <c r="Y534" s="24" t="s">
        <v>518</v>
      </c>
      <c r="Z534" s="4" t="str">
        <f t="shared" si="21"/>
        <v>Y</v>
      </c>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c r="CM534" s="24"/>
      <c r="CN534" s="24"/>
    </row>
    <row r="535" spans="1:92" x14ac:dyDescent="0.2">
      <c r="A535" s="24">
        <v>252</v>
      </c>
      <c r="B535" s="24" t="s">
        <v>367</v>
      </c>
      <c r="C535" s="24" t="s">
        <v>333</v>
      </c>
      <c r="D535" s="24"/>
      <c r="E535" s="24">
        <v>2005</v>
      </c>
      <c r="F535" s="24" t="s">
        <v>502</v>
      </c>
      <c r="G535" s="24" t="s">
        <v>513</v>
      </c>
      <c r="H535" s="26">
        <v>56</v>
      </c>
      <c r="I535" s="26">
        <v>3</v>
      </c>
      <c r="J535" s="26">
        <v>1958</v>
      </c>
      <c r="K535" s="26">
        <v>2005</v>
      </c>
      <c r="L535" s="26">
        <f t="shared" si="23"/>
        <v>48</v>
      </c>
      <c r="M535" s="24" t="s">
        <v>369</v>
      </c>
      <c r="N535" s="24" t="s">
        <v>52</v>
      </c>
      <c r="O535" s="24" t="s">
        <v>484</v>
      </c>
      <c r="P535" s="24" t="s">
        <v>373</v>
      </c>
      <c r="Q535" s="24" t="s">
        <v>165</v>
      </c>
      <c r="R535" s="24"/>
      <c r="S535" s="24"/>
      <c r="T535" s="24"/>
      <c r="U535" s="24"/>
      <c r="V535" s="24" t="s">
        <v>165</v>
      </c>
      <c r="W535" s="24" t="s">
        <v>3</v>
      </c>
      <c r="X535" s="24" t="s">
        <v>3</v>
      </c>
      <c r="Y535" s="24" t="s">
        <v>518</v>
      </c>
      <c r="Z535" s="4" t="str">
        <f t="shared" si="21"/>
        <v>Y</v>
      </c>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row>
    <row r="536" spans="1:92" x14ac:dyDescent="0.2">
      <c r="A536" s="24">
        <v>340</v>
      </c>
      <c r="B536" s="24" t="s">
        <v>367</v>
      </c>
      <c r="C536" s="24" t="s">
        <v>346</v>
      </c>
      <c r="D536" s="24"/>
      <c r="E536" s="24">
        <v>2004</v>
      </c>
      <c r="F536" s="24" t="s">
        <v>103</v>
      </c>
      <c r="G536" s="24" t="s">
        <v>513</v>
      </c>
      <c r="H536" s="26">
        <v>55</v>
      </c>
      <c r="I536" s="26">
        <v>5</v>
      </c>
      <c r="J536" s="26">
        <v>1958</v>
      </c>
      <c r="K536" s="26">
        <v>2002</v>
      </c>
      <c r="L536" s="26">
        <f t="shared" si="23"/>
        <v>45</v>
      </c>
      <c r="M536" s="24" t="s">
        <v>369</v>
      </c>
      <c r="N536" s="24" t="s">
        <v>52</v>
      </c>
      <c r="O536" s="24" t="s">
        <v>1328</v>
      </c>
      <c r="P536" s="24" t="s">
        <v>165</v>
      </c>
      <c r="Q536" s="24" t="s">
        <v>406</v>
      </c>
      <c r="R536" s="24"/>
      <c r="S536" s="24"/>
      <c r="T536" s="24"/>
      <c r="U536" s="24"/>
      <c r="V536" s="24">
        <v>-6.6810718329999998</v>
      </c>
      <c r="W536" s="24" t="s">
        <v>3</v>
      </c>
      <c r="X536" s="24" t="s">
        <v>3</v>
      </c>
      <c r="Y536" s="24" t="s">
        <v>522</v>
      </c>
      <c r="Z536" s="4" t="str">
        <f t="shared" si="21"/>
        <v>Y</v>
      </c>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c r="CM536" s="24"/>
      <c r="CN536" s="24"/>
    </row>
    <row r="537" spans="1:92" x14ac:dyDescent="0.2">
      <c r="A537" s="24">
        <v>346</v>
      </c>
      <c r="B537" s="24" t="s">
        <v>367</v>
      </c>
      <c r="C537" s="24" t="s">
        <v>346</v>
      </c>
      <c r="D537" s="24"/>
      <c r="E537" s="24">
        <v>2004</v>
      </c>
      <c r="F537" s="24" t="s">
        <v>103</v>
      </c>
      <c r="G537" s="24" t="s">
        <v>513</v>
      </c>
      <c r="H537" s="26">
        <v>55</v>
      </c>
      <c r="I537" s="26">
        <v>5</v>
      </c>
      <c r="J537" s="26">
        <v>1958</v>
      </c>
      <c r="K537" s="26">
        <v>2002</v>
      </c>
      <c r="L537" s="26">
        <f t="shared" si="23"/>
        <v>45</v>
      </c>
      <c r="M537" s="24" t="s">
        <v>369</v>
      </c>
      <c r="N537" s="24" t="s">
        <v>52</v>
      </c>
      <c r="O537" s="24" t="s">
        <v>484</v>
      </c>
      <c r="P537" s="24" t="s">
        <v>484</v>
      </c>
      <c r="Q537" s="24" t="s">
        <v>412</v>
      </c>
      <c r="R537" s="24"/>
      <c r="S537" s="24"/>
      <c r="T537" s="24"/>
      <c r="U537" s="24"/>
      <c r="V537" s="24">
        <v>-5.7319899999999997</v>
      </c>
      <c r="W537" s="24" t="s">
        <v>3</v>
      </c>
      <c r="X537" s="24" t="s">
        <v>3</v>
      </c>
      <c r="Y537" s="24" t="s">
        <v>522</v>
      </c>
      <c r="Z537" s="4" t="str">
        <f t="shared" si="21"/>
        <v>Y</v>
      </c>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row>
    <row r="538" spans="1:92" x14ac:dyDescent="0.2">
      <c r="A538">
        <v>251</v>
      </c>
      <c r="B538" t="s">
        <v>367</v>
      </c>
      <c r="C538" t="s">
        <v>332</v>
      </c>
      <c r="E538">
        <v>2009</v>
      </c>
      <c r="F538" t="s">
        <v>501</v>
      </c>
      <c r="G538" t="s">
        <v>513</v>
      </c>
      <c r="H538" s="13">
        <v>41</v>
      </c>
      <c r="I538" s="13">
        <v>-14</v>
      </c>
      <c r="J538" s="13">
        <v>1908</v>
      </c>
      <c r="K538" s="13">
        <v>2005</v>
      </c>
      <c r="L538" s="13">
        <f t="shared" si="23"/>
        <v>98</v>
      </c>
      <c r="M538" t="s">
        <v>370</v>
      </c>
      <c r="N538" t="s">
        <v>299</v>
      </c>
      <c r="O538" t="s">
        <v>375</v>
      </c>
      <c r="P538" t="s">
        <v>165</v>
      </c>
      <c r="Q538" t="s">
        <v>165</v>
      </c>
      <c r="V538" t="s">
        <v>165</v>
      </c>
      <c r="W538" t="s">
        <v>3</v>
      </c>
      <c r="X538" t="s">
        <v>3</v>
      </c>
      <c r="Y538" t="s">
        <v>518</v>
      </c>
      <c r="Z538" s="4" t="str">
        <f t="shared" si="21"/>
        <v>Y</v>
      </c>
    </row>
    <row r="539" spans="1:92" x14ac:dyDescent="0.2">
      <c r="A539" s="24">
        <v>348</v>
      </c>
      <c r="B539" s="24" t="s">
        <v>367</v>
      </c>
      <c r="C539" s="24" t="s">
        <v>346</v>
      </c>
      <c r="D539" s="24"/>
      <c r="E539" s="24">
        <v>2004</v>
      </c>
      <c r="F539" s="24" t="s">
        <v>103</v>
      </c>
      <c r="G539" s="24" t="s">
        <v>513</v>
      </c>
      <c r="H539" s="26">
        <v>55</v>
      </c>
      <c r="I539" s="26">
        <v>5</v>
      </c>
      <c r="J539" s="26">
        <v>1958</v>
      </c>
      <c r="K539" s="26">
        <v>2002</v>
      </c>
      <c r="L539" s="26">
        <f t="shared" si="23"/>
        <v>45</v>
      </c>
      <c r="M539" s="24" t="s">
        <v>369</v>
      </c>
      <c r="N539" s="24" t="s">
        <v>52</v>
      </c>
      <c r="O539" s="24" t="s">
        <v>484</v>
      </c>
      <c r="P539" s="24" t="s">
        <v>484</v>
      </c>
      <c r="Q539" s="24" t="s">
        <v>414</v>
      </c>
      <c r="R539" s="24"/>
      <c r="S539" s="24"/>
      <c r="T539" s="24"/>
      <c r="U539" s="24"/>
      <c r="V539" s="24">
        <v>-4.9787362780000004</v>
      </c>
      <c r="W539" s="24" t="s">
        <v>3</v>
      </c>
      <c r="X539" s="24" t="s">
        <v>3</v>
      </c>
      <c r="Y539" s="24" t="s">
        <v>522</v>
      </c>
      <c r="Z539" s="4" t="str">
        <f t="shared" si="21"/>
        <v>Y</v>
      </c>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row>
    <row r="540" spans="1:92" x14ac:dyDescent="0.2">
      <c r="A540">
        <v>253</v>
      </c>
      <c r="B540" t="s">
        <v>367</v>
      </c>
      <c r="C540" t="s">
        <v>334</v>
      </c>
      <c r="E540">
        <v>2006</v>
      </c>
      <c r="F540" t="s">
        <v>503</v>
      </c>
      <c r="G540" t="s">
        <v>513</v>
      </c>
      <c r="H540" s="13">
        <v>58.2</v>
      </c>
      <c r="I540" s="13">
        <v>24.3</v>
      </c>
      <c r="J540" s="13">
        <v>1951</v>
      </c>
      <c r="K540" s="13">
        <v>1998</v>
      </c>
      <c r="L540" s="13">
        <f t="shared" si="23"/>
        <v>48</v>
      </c>
      <c r="M540" t="s">
        <v>370</v>
      </c>
      <c r="N540" t="s">
        <v>51</v>
      </c>
      <c r="O540" t="s">
        <v>376</v>
      </c>
      <c r="P540" t="s">
        <v>462</v>
      </c>
      <c r="Q540" t="s">
        <v>386</v>
      </c>
      <c r="V540">
        <v>-0.05</v>
      </c>
      <c r="W540" t="s">
        <v>3</v>
      </c>
      <c r="X540" t="s">
        <v>3</v>
      </c>
      <c r="Y540" t="s">
        <v>518</v>
      </c>
      <c r="Z540" s="4" t="str">
        <f t="shared" si="21"/>
        <v>Y</v>
      </c>
    </row>
    <row r="541" spans="1:92" x14ac:dyDescent="0.2">
      <c r="A541">
        <v>254</v>
      </c>
      <c r="B541" t="s">
        <v>367</v>
      </c>
      <c r="C541" t="s">
        <v>334</v>
      </c>
      <c r="E541">
        <v>2006</v>
      </c>
      <c r="F541" t="s">
        <v>503</v>
      </c>
      <c r="G541" t="s">
        <v>513</v>
      </c>
      <c r="H541" s="13">
        <v>58.2</v>
      </c>
      <c r="I541" s="13">
        <v>24.3</v>
      </c>
      <c r="J541" s="13">
        <v>1951</v>
      </c>
      <c r="K541" s="13">
        <v>1998</v>
      </c>
      <c r="L541" s="13">
        <f t="shared" si="23"/>
        <v>48</v>
      </c>
      <c r="M541" t="s">
        <v>370</v>
      </c>
      <c r="N541" t="s">
        <v>51</v>
      </c>
      <c r="O541" t="s">
        <v>376</v>
      </c>
      <c r="P541" t="s">
        <v>462</v>
      </c>
      <c r="Q541" t="s">
        <v>387</v>
      </c>
      <c r="V541">
        <v>-0.11</v>
      </c>
      <c r="W541" t="s">
        <v>3</v>
      </c>
      <c r="X541" t="s">
        <v>3</v>
      </c>
      <c r="Y541" t="s">
        <v>518</v>
      </c>
      <c r="Z541" s="4" t="str">
        <f t="shared" si="21"/>
        <v>Y</v>
      </c>
    </row>
    <row r="542" spans="1:92" x14ac:dyDescent="0.2">
      <c r="A542">
        <v>255</v>
      </c>
      <c r="B542" t="s">
        <v>367</v>
      </c>
      <c r="C542" t="s">
        <v>335</v>
      </c>
      <c r="E542">
        <v>2003</v>
      </c>
      <c r="F542" t="s">
        <v>103</v>
      </c>
      <c r="G542" t="s">
        <v>513</v>
      </c>
      <c r="H542" s="13">
        <v>53</v>
      </c>
      <c r="I542" s="13">
        <v>4.8</v>
      </c>
      <c r="J542" s="13">
        <v>1973</v>
      </c>
      <c r="K542" s="13">
        <v>2001</v>
      </c>
      <c r="L542" s="13">
        <f t="shared" si="23"/>
        <v>29</v>
      </c>
      <c r="M542" t="s">
        <v>369</v>
      </c>
      <c r="N542" t="s">
        <v>1329</v>
      </c>
      <c r="O542" t="s">
        <v>377</v>
      </c>
      <c r="P542" t="s">
        <v>463</v>
      </c>
      <c r="Q542" t="s">
        <v>388</v>
      </c>
      <c r="V542">
        <f>-0.44*10</f>
        <v>-4.4000000000000004</v>
      </c>
      <c r="W542" t="s">
        <v>3</v>
      </c>
      <c r="X542" t="s">
        <v>3</v>
      </c>
      <c r="Y542" t="s">
        <v>519</v>
      </c>
      <c r="Z542" s="4" t="str">
        <f t="shared" si="21"/>
        <v>Y</v>
      </c>
      <c r="AC542" t="s">
        <v>567</v>
      </c>
    </row>
    <row r="543" spans="1:92" x14ac:dyDescent="0.2">
      <c r="A543">
        <v>256</v>
      </c>
      <c r="B543" t="s">
        <v>367</v>
      </c>
      <c r="C543" t="s">
        <v>368</v>
      </c>
      <c r="E543">
        <v>2008</v>
      </c>
      <c r="F543" t="s">
        <v>501</v>
      </c>
      <c r="G543" t="s">
        <v>513</v>
      </c>
      <c r="H543" s="13">
        <v>37.729999999999997</v>
      </c>
      <c r="I543" s="13">
        <v>20.89</v>
      </c>
      <c r="J543" s="13">
        <v>1984</v>
      </c>
      <c r="K543" s="13">
        <v>2002</v>
      </c>
      <c r="L543" s="13">
        <f t="shared" si="23"/>
        <v>19</v>
      </c>
      <c r="M543" t="s">
        <v>369</v>
      </c>
      <c r="N543" t="s">
        <v>970</v>
      </c>
      <c r="O543" t="s">
        <v>378</v>
      </c>
      <c r="P543" t="s">
        <v>464</v>
      </c>
      <c r="Q543" t="s">
        <v>41</v>
      </c>
      <c r="V543">
        <v>-14.21</v>
      </c>
      <c r="W543" t="s">
        <v>3</v>
      </c>
      <c r="X543" t="s">
        <v>3</v>
      </c>
      <c r="Y543" t="s">
        <v>520</v>
      </c>
      <c r="Z543" s="4" t="str">
        <f t="shared" si="21"/>
        <v>Y</v>
      </c>
    </row>
    <row r="544" spans="1:92" x14ac:dyDescent="0.2">
      <c r="A544">
        <v>257</v>
      </c>
      <c r="B544" t="s">
        <v>367</v>
      </c>
      <c r="C544" t="s">
        <v>368</v>
      </c>
      <c r="E544">
        <v>2008</v>
      </c>
      <c r="F544" t="s">
        <v>501</v>
      </c>
      <c r="G544" t="s">
        <v>513</v>
      </c>
      <c r="H544" s="13">
        <v>37.729999999999997</v>
      </c>
      <c r="I544" s="13">
        <v>20.89</v>
      </c>
      <c r="J544" s="13">
        <v>1984</v>
      </c>
      <c r="K544" s="13">
        <v>2002</v>
      </c>
      <c r="L544" s="13">
        <f t="shared" si="23"/>
        <v>19</v>
      </c>
      <c r="M544" t="s">
        <v>369</v>
      </c>
      <c r="N544" t="s">
        <v>970</v>
      </c>
      <c r="O544" t="s">
        <v>378</v>
      </c>
      <c r="P544" t="s">
        <v>464</v>
      </c>
      <c r="Q544" t="s">
        <v>41</v>
      </c>
      <c r="V544">
        <v>-8.9499999999999993</v>
      </c>
      <c r="W544" t="s">
        <v>3</v>
      </c>
      <c r="X544" t="s">
        <v>3</v>
      </c>
      <c r="Y544" t="s">
        <v>520</v>
      </c>
      <c r="Z544" s="4" t="str">
        <f t="shared" si="21"/>
        <v>Y</v>
      </c>
    </row>
    <row r="545" spans="1:29" x14ac:dyDescent="0.2">
      <c r="A545">
        <v>258</v>
      </c>
      <c r="B545" t="s">
        <v>367</v>
      </c>
      <c r="C545" t="s">
        <v>368</v>
      </c>
      <c r="E545">
        <v>2008</v>
      </c>
      <c r="F545" t="s">
        <v>501</v>
      </c>
      <c r="G545" t="s">
        <v>513</v>
      </c>
      <c r="H545" s="13">
        <v>37.729999999999997</v>
      </c>
      <c r="I545" s="13">
        <v>20.89</v>
      </c>
      <c r="J545" s="13">
        <v>1984</v>
      </c>
      <c r="K545" s="13">
        <v>2002</v>
      </c>
      <c r="L545" s="13">
        <f t="shared" si="23"/>
        <v>19</v>
      </c>
      <c r="M545" t="s">
        <v>369</v>
      </c>
      <c r="N545" t="s">
        <v>970</v>
      </c>
      <c r="O545" t="s">
        <v>378</v>
      </c>
      <c r="P545" t="s">
        <v>464</v>
      </c>
      <c r="Q545" t="s">
        <v>41</v>
      </c>
      <c r="V545">
        <v>0</v>
      </c>
      <c r="W545" t="s">
        <v>164</v>
      </c>
      <c r="X545" t="s">
        <v>3</v>
      </c>
      <c r="Y545" t="s">
        <v>520</v>
      </c>
      <c r="Z545" s="4" t="str">
        <f t="shared" si="21"/>
        <v>Y</v>
      </c>
    </row>
    <row r="546" spans="1:29" x14ac:dyDescent="0.2">
      <c r="A546">
        <v>259</v>
      </c>
      <c r="B546" t="s">
        <v>367</v>
      </c>
      <c r="C546" t="s">
        <v>368</v>
      </c>
      <c r="E546">
        <v>2008</v>
      </c>
      <c r="F546" t="s">
        <v>501</v>
      </c>
      <c r="G546" t="s">
        <v>513</v>
      </c>
      <c r="H546" s="13">
        <v>37.729999999999997</v>
      </c>
      <c r="I546" s="13">
        <v>20.89</v>
      </c>
      <c r="J546" s="13">
        <v>1984</v>
      </c>
      <c r="K546" s="13">
        <v>2002</v>
      </c>
      <c r="L546" s="13">
        <f t="shared" si="23"/>
        <v>19</v>
      </c>
      <c r="M546" t="s">
        <v>369</v>
      </c>
      <c r="N546" t="s">
        <v>970</v>
      </c>
      <c r="O546" t="s">
        <v>378</v>
      </c>
      <c r="P546" t="s">
        <v>464</v>
      </c>
      <c r="Q546" t="s">
        <v>41</v>
      </c>
      <c r="V546" t="s">
        <v>165</v>
      </c>
      <c r="W546" t="s">
        <v>3</v>
      </c>
      <c r="X546" t="s">
        <v>3</v>
      </c>
      <c r="Y546" t="s">
        <v>520</v>
      </c>
      <c r="Z546" s="4" t="str">
        <f t="shared" si="21"/>
        <v>Y</v>
      </c>
    </row>
    <row r="547" spans="1:29" x14ac:dyDescent="0.2">
      <c r="A547">
        <v>260</v>
      </c>
      <c r="B547" t="s">
        <v>367</v>
      </c>
      <c r="C547" t="s">
        <v>368</v>
      </c>
      <c r="E547">
        <v>2008</v>
      </c>
      <c r="F547" t="s">
        <v>501</v>
      </c>
      <c r="G547" t="s">
        <v>513</v>
      </c>
      <c r="H547" s="13">
        <v>37.729999999999997</v>
      </c>
      <c r="I547" s="13">
        <v>20.89</v>
      </c>
      <c r="J547" s="13">
        <v>1984</v>
      </c>
      <c r="K547" s="13">
        <v>2002</v>
      </c>
      <c r="L547" s="13">
        <f t="shared" si="23"/>
        <v>19</v>
      </c>
      <c r="M547" t="s">
        <v>369</v>
      </c>
      <c r="N547" t="s">
        <v>970</v>
      </c>
      <c r="O547" t="s">
        <v>378</v>
      </c>
      <c r="P547" t="s">
        <v>464</v>
      </c>
      <c r="Q547" t="s">
        <v>41</v>
      </c>
      <c r="V547" t="s">
        <v>165</v>
      </c>
      <c r="W547" t="s">
        <v>3</v>
      </c>
      <c r="X547" t="s">
        <v>3</v>
      </c>
      <c r="Y547" t="s">
        <v>520</v>
      </c>
      <c r="Z547" s="4" t="str">
        <f t="shared" si="21"/>
        <v>Y</v>
      </c>
    </row>
    <row r="548" spans="1:29" x14ac:dyDescent="0.2">
      <c r="A548">
        <v>261</v>
      </c>
      <c r="B548" t="s">
        <v>367</v>
      </c>
      <c r="C548" t="s">
        <v>368</v>
      </c>
      <c r="E548">
        <v>2008</v>
      </c>
      <c r="F548" t="s">
        <v>501</v>
      </c>
      <c r="G548" t="s">
        <v>513</v>
      </c>
      <c r="H548" s="13">
        <v>37.729999999999997</v>
      </c>
      <c r="I548" s="13">
        <v>20.89</v>
      </c>
      <c r="J548" s="13">
        <v>1984</v>
      </c>
      <c r="K548" s="13">
        <v>2002</v>
      </c>
      <c r="L548" s="13">
        <f t="shared" si="23"/>
        <v>19</v>
      </c>
      <c r="M548" t="s">
        <v>369</v>
      </c>
      <c r="N548" t="s">
        <v>970</v>
      </c>
      <c r="O548" t="s">
        <v>378</v>
      </c>
      <c r="P548" t="s">
        <v>464</v>
      </c>
      <c r="Q548" t="s">
        <v>41</v>
      </c>
      <c r="V548" t="s">
        <v>165</v>
      </c>
      <c r="W548" t="s">
        <v>164</v>
      </c>
      <c r="X548" t="s">
        <v>3</v>
      </c>
      <c r="Y548" t="s">
        <v>520</v>
      </c>
      <c r="Z548" s="4" t="str">
        <f t="shared" si="21"/>
        <v>Y</v>
      </c>
    </row>
    <row r="549" spans="1:29" x14ac:dyDescent="0.2">
      <c r="A549">
        <v>262</v>
      </c>
      <c r="B549" t="s">
        <v>367</v>
      </c>
      <c r="C549" t="s">
        <v>336</v>
      </c>
      <c r="E549">
        <v>2007</v>
      </c>
      <c r="F549" t="s">
        <v>504</v>
      </c>
      <c r="G549" t="s">
        <v>513</v>
      </c>
      <c r="H549" s="13">
        <v>33.83</v>
      </c>
      <c r="I549" s="13">
        <v>-77.95</v>
      </c>
      <c r="J549" s="13">
        <v>1983</v>
      </c>
      <c r="K549" s="13">
        <v>2005</v>
      </c>
      <c r="L549" s="13">
        <f t="shared" si="23"/>
        <v>23</v>
      </c>
      <c r="M549" t="s">
        <v>369</v>
      </c>
      <c r="N549" t="s">
        <v>970</v>
      </c>
      <c r="O549" t="s">
        <v>378</v>
      </c>
      <c r="P549" t="s">
        <v>464</v>
      </c>
      <c r="Q549" t="s">
        <v>41</v>
      </c>
      <c r="V549">
        <v>0</v>
      </c>
      <c r="W549" t="s">
        <v>3</v>
      </c>
      <c r="X549" t="s">
        <v>3</v>
      </c>
      <c r="Y549" t="s">
        <v>520</v>
      </c>
      <c r="Z549" s="4" t="str">
        <f t="shared" si="21"/>
        <v>Y</v>
      </c>
    </row>
    <row r="550" spans="1:29" x14ac:dyDescent="0.2">
      <c r="A550">
        <v>263</v>
      </c>
      <c r="B550" t="s">
        <v>367</v>
      </c>
      <c r="C550" t="s">
        <v>336</v>
      </c>
      <c r="E550">
        <v>2007</v>
      </c>
      <c r="F550" t="s">
        <v>504</v>
      </c>
      <c r="G550" t="s">
        <v>513</v>
      </c>
      <c r="H550" s="13">
        <v>33.83</v>
      </c>
      <c r="I550" s="13">
        <v>-77.95</v>
      </c>
      <c r="J550" s="13">
        <v>1983</v>
      </c>
      <c r="K550" s="13">
        <v>2005</v>
      </c>
      <c r="L550" s="13">
        <f t="shared" si="23"/>
        <v>23</v>
      </c>
      <c r="M550" t="s">
        <v>369</v>
      </c>
      <c r="N550" t="s">
        <v>970</v>
      </c>
      <c r="O550" t="s">
        <v>378</v>
      </c>
      <c r="P550" t="s">
        <v>464</v>
      </c>
      <c r="Q550" t="s">
        <v>41</v>
      </c>
      <c r="V550">
        <v>0</v>
      </c>
      <c r="W550" t="s">
        <v>3</v>
      </c>
      <c r="X550" t="s">
        <v>3</v>
      </c>
      <c r="Y550" t="s">
        <v>520</v>
      </c>
      <c r="Z550" s="4" t="str">
        <f t="shared" si="21"/>
        <v>Y</v>
      </c>
    </row>
    <row r="551" spans="1:29" x14ac:dyDescent="0.2">
      <c r="A551">
        <v>264</v>
      </c>
      <c r="B551" t="s">
        <v>367</v>
      </c>
      <c r="C551" t="s">
        <v>336</v>
      </c>
      <c r="E551">
        <v>2007</v>
      </c>
      <c r="F551" t="s">
        <v>504</v>
      </c>
      <c r="G551" t="s">
        <v>513</v>
      </c>
      <c r="H551" s="13">
        <v>33.83</v>
      </c>
      <c r="I551" s="13">
        <v>-77.95</v>
      </c>
      <c r="J551" s="13">
        <v>1983</v>
      </c>
      <c r="K551" s="13">
        <v>2005</v>
      </c>
      <c r="L551" s="13">
        <f t="shared" si="23"/>
        <v>23</v>
      </c>
      <c r="M551" t="s">
        <v>369</v>
      </c>
      <c r="N551" t="s">
        <v>970</v>
      </c>
      <c r="O551" t="s">
        <v>378</v>
      </c>
      <c r="P551" t="s">
        <v>464</v>
      </c>
      <c r="Q551" t="s">
        <v>41</v>
      </c>
      <c r="V551" t="s">
        <v>165</v>
      </c>
      <c r="W551" t="s">
        <v>164</v>
      </c>
      <c r="X551" t="s">
        <v>3</v>
      </c>
      <c r="Y551" t="s">
        <v>520</v>
      </c>
      <c r="Z551" s="4" t="str">
        <f t="shared" si="21"/>
        <v>Y</v>
      </c>
    </row>
    <row r="552" spans="1:29" x14ac:dyDescent="0.2">
      <c r="A552">
        <v>265</v>
      </c>
      <c r="B552" t="s">
        <v>367</v>
      </c>
      <c r="C552" t="s">
        <v>336</v>
      </c>
      <c r="E552">
        <v>2007</v>
      </c>
      <c r="F552" t="s">
        <v>504</v>
      </c>
      <c r="G552" t="s">
        <v>513</v>
      </c>
      <c r="H552" s="13">
        <v>33.83</v>
      </c>
      <c r="I552" s="13">
        <v>-77.95</v>
      </c>
      <c r="J552" s="13">
        <v>1983</v>
      </c>
      <c r="K552" s="13">
        <v>2005</v>
      </c>
      <c r="L552" s="13">
        <f t="shared" si="23"/>
        <v>23</v>
      </c>
      <c r="M552" t="s">
        <v>369</v>
      </c>
      <c r="N552" t="s">
        <v>970</v>
      </c>
      <c r="O552" t="s">
        <v>378</v>
      </c>
      <c r="P552" t="s">
        <v>464</v>
      </c>
      <c r="Q552" t="s">
        <v>41</v>
      </c>
      <c r="V552" t="s">
        <v>165</v>
      </c>
      <c r="W552" t="s">
        <v>164</v>
      </c>
      <c r="X552" t="s">
        <v>3</v>
      </c>
      <c r="Y552" t="s">
        <v>520</v>
      </c>
      <c r="Z552" s="4" t="str">
        <f t="shared" si="21"/>
        <v>Y</v>
      </c>
    </row>
    <row r="553" spans="1:29" x14ac:dyDescent="0.2">
      <c r="A553">
        <v>266</v>
      </c>
      <c r="B553" t="s">
        <v>367</v>
      </c>
      <c r="C553" t="s">
        <v>336</v>
      </c>
      <c r="E553">
        <v>2007</v>
      </c>
      <c r="F553" t="s">
        <v>504</v>
      </c>
      <c r="G553" t="s">
        <v>513</v>
      </c>
      <c r="H553" s="13">
        <v>33.83</v>
      </c>
      <c r="I553" s="13">
        <v>-77.95</v>
      </c>
      <c r="J553" s="13">
        <v>1983</v>
      </c>
      <c r="K553" s="13">
        <v>2005</v>
      </c>
      <c r="L553" s="13">
        <f t="shared" si="23"/>
        <v>23</v>
      </c>
      <c r="M553" t="s">
        <v>369</v>
      </c>
      <c r="N553" t="s">
        <v>970</v>
      </c>
      <c r="O553" t="s">
        <v>378</v>
      </c>
      <c r="P553" t="s">
        <v>464</v>
      </c>
      <c r="Q553" t="s">
        <v>41</v>
      </c>
      <c r="V553" t="s">
        <v>165</v>
      </c>
      <c r="W553" t="s">
        <v>164</v>
      </c>
      <c r="X553" t="s">
        <v>3</v>
      </c>
      <c r="Y553" t="s">
        <v>520</v>
      </c>
      <c r="Z553" s="4" t="str">
        <f t="shared" si="21"/>
        <v>Y</v>
      </c>
    </row>
    <row r="554" spans="1:29" x14ac:dyDescent="0.2">
      <c r="A554">
        <v>267</v>
      </c>
      <c r="B554" t="s">
        <v>367</v>
      </c>
      <c r="C554" t="s">
        <v>337</v>
      </c>
      <c r="E554">
        <v>2006</v>
      </c>
      <c r="F554" t="s">
        <v>504</v>
      </c>
      <c r="G554" t="s">
        <v>513</v>
      </c>
      <c r="H554" s="13">
        <v>28.76</v>
      </c>
      <c r="I554" s="13">
        <v>-80.78</v>
      </c>
      <c r="J554" s="13">
        <v>1989</v>
      </c>
      <c r="K554" s="13">
        <v>2003</v>
      </c>
      <c r="L554" s="13">
        <f t="shared" si="23"/>
        <v>15</v>
      </c>
      <c r="M554" t="s">
        <v>369</v>
      </c>
      <c r="N554" t="s">
        <v>970</v>
      </c>
      <c r="O554" t="s">
        <v>378</v>
      </c>
      <c r="P554" t="s">
        <v>464</v>
      </c>
      <c r="Q554" t="s">
        <v>41</v>
      </c>
      <c r="V554">
        <v>-41.3</v>
      </c>
      <c r="W554" t="s">
        <v>3</v>
      </c>
      <c r="X554" t="s">
        <v>3</v>
      </c>
      <c r="Y554" t="s">
        <v>520</v>
      </c>
      <c r="Z554" s="4" t="str">
        <f t="shared" si="21"/>
        <v>N</v>
      </c>
    </row>
    <row r="555" spans="1:29" x14ac:dyDescent="0.2">
      <c r="A555">
        <v>268</v>
      </c>
      <c r="B555" t="s">
        <v>367</v>
      </c>
      <c r="C555" t="s">
        <v>337</v>
      </c>
      <c r="E555">
        <v>2006</v>
      </c>
      <c r="F555" t="s">
        <v>504</v>
      </c>
      <c r="G555" t="s">
        <v>513</v>
      </c>
      <c r="H555" s="13">
        <v>28.76</v>
      </c>
      <c r="I555" s="13">
        <v>-80.78</v>
      </c>
      <c r="J555" s="13">
        <v>1989</v>
      </c>
      <c r="K555" s="13">
        <v>2003</v>
      </c>
      <c r="L555" s="13">
        <f t="shared" si="23"/>
        <v>15</v>
      </c>
      <c r="M555" t="s">
        <v>369</v>
      </c>
      <c r="N555" t="s">
        <v>970</v>
      </c>
      <c r="O555" t="s">
        <v>378</v>
      </c>
      <c r="P555" t="s">
        <v>464</v>
      </c>
      <c r="Q555" t="s">
        <v>41</v>
      </c>
      <c r="V555">
        <v>-5</v>
      </c>
      <c r="W555" t="s">
        <v>3</v>
      </c>
      <c r="X555" t="s">
        <v>3</v>
      </c>
      <c r="Y555" t="s">
        <v>520</v>
      </c>
      <c r="Z555" s="4" t="str">
        <f t="shared" si="21"/>
        <v>N</v>
      </c>
    </row>
    <row r="556" spans="1:29" x14ac:dyDescent="0.2">
      <c r="A556">
        <v>269</v>
      </c>
      <c r="B556" t="s">
        <v>367</v>
      </c>
      <c r="C556" t="s">
        <v>337</v>
      </c>
      <c r="E556">
        <v>2006</v>
      </c>
      <c r="F556" t="s">
        <v>504</v>
      </c>
      <c r="G556" t="s">
        <v>513</v>
      </c>
      <c r="H556" s="13">
        <v>28.76</v>
      </c>
      <c r="I556" s="13">
        <v>-80.78</v>
      </c>
      <c r="J556" s="13">
        <v>1989</v>
      </c>
      <c r="K556" s="13">
        <v>2003</v>
      </c>
      <c r="L556" s="13">
        <f t="shared" si="23"/>
        <v>15</v>
      </c>
      <c r="M556" t="s">
        <v>369</v>
      </c>
      <c r="N556" t="s">
        <v>970</v>
      </c>
      <c r="O556" t="s">
        <v>378</v>
      </c>
      <c r="P556" t="s">
        <v>464</v>
      </c>
      <c r="Q556" t="s">
        <v>41</v>
      </c>
      <c r="V556">
        <v>0</v>
      </c>
      <c r="W556" t="s">
        <v>3</v>
      </c>
      <c r="X556" t="s">
        <v>3</v>
      </c>
      <c r="Y556" t="s">
        <v>520</v>
      </c>
      <c r="Z556" s="4" t="str">
        <f t="shared" si="21"/>
        <v>N</v>
      </c>
    </row>
    <row r="557" spans="1:29" x14ac:dyDescent="0.2">
      <c r="A557">
        <v>270</v>
      </c>
      <c r="B557" t="s">
        <v>367</v>
      </c>
      <c r="C557" t="s">
        <v>338</v>
      </c>
      <c r="E557">
        <v>2004</v>
      </c>
      <c r="F557" t="s">
        <v>504</v>
      </c>
      <c r="G557" t="s">
        <v>513</v>
      </c>
      <c r="H557" s="13">
        <v>28.05</v>
      </c>
      <c r="I557" s="13">
        <v>-80.03</v>
      </c>
      <c r="J557" s="13">
        <v>1989</v>
      </c>
      <c r="K557" s="13">
        <v>2003</v>
      </c>
      <c r="L557" s="13">
        <f t="shared" si="23"/>
        <v>15</v>
      </c>
      <c r="M557" t="s">
        <v>369</v>
      </c>
      <c r="N557" t="s">
        <v>970</v>
      </c>
      <c r="O557" t="s">
        <v>378</v>
      </c>
      <c r="P557" t="s">
        <v>465</v>
      </c>
      <c r="Q557" t="s">
        <v>41</v>
      </c>
      <c r="V557">
        <v>-6.7</v>
      </c>
      <c r="W557" t="s">
        <v>3</v>
      </c>
      <c r="X557" t="s">
        <v>3</v>
      </c>
      <c r="Y557" t="s">
        <v>518</v>
      </c>
      <c r="Z557" s="4" t="str">
        <f t="shared" si="21"/>
        <v>N</v>
      </c>
    </row>
    <row r="558" spans="1:29" x14ac:dyDescent="0.2">
      <c r="A558">
        <v>271</v>
      </c>
      <c r="B558" t="s">
        <v>367</v>
      </c>
      <c r="C558" t="s">
        <v>339</v>
      </c>
      <c r="E558">
        <v>2009</v>
      </c>
      <c r="F558" t="s">
        <v>103</v>
      </c>
      <c r="G558" t="s">
        <v>513</v>
      </c>
      <c r="H558" s="13">
        <v>53</v>
      </c>
      <c r="I558" s="13">
        <v>6</v>
      </c>
      <c r="J558" s="13">
        <v>1969</v>
      </c>
      <c r="K558" s="13">
        <v>2007</v>
      </c>
      <c r="L558" s="13">
        <f t="shared" si="23"/>
        <v>39</v>
      </c>
      <c r="M558" t="s">
        <v>369</v>
      </c>
      <c r="N558" t="s">
        <v>379</v>
      </c>
      <c r="O558" t="s">
        <v>379</v>
      </c>
      <c r="P558" t="s">
        <v>466</v>
      </c>
      <c r="Q558" t="s">
        <v>389</v>
      </c>
      <c r="V558">
        <f>-21/(L558/10)</f>
        <v>-5.384615384615385</v>
      </c>
      <c r="W558" t="s">
        <v>3</v>
      </c>
      <c r="X558" t="s">
        <v>3</v>
      </c>
      <c r="Y558" t="s">
        <v>519</v>
      </c>
      <c r="Z558" s="4" t="str">
        <f t="shared" si="21"/>
        <v>Y</v>
      </c>
      <c r="AC558" t="s">
        <v>568</v>
      </c>
    </row>
    <row r="559" spans="1:29" x14ac:dyDescent="0.2">
      <c r="A559">
        <v>272</v>
      </c>
      <c r="B559" t="s">
        <v>367</v>
      </c>
      <c r="C559" s="4" t="s">
        <v>340</v>
      </c>
      <c r="D559" s="4"/>
      <c r="E559">
        <v>2010</v>
      </c>
      <c r="F559" t="s">
        <v>502</v>
      </c>
      <c r="G559" t="s">
        <v>513</v>
      </c>
      <c r="H559" s="13">
        <v>46</v>
      </c>
      <c r="I559" s="13">
        <v>-13</v>
      </c>
      <c r="J559" s="13">
        <v>1981</v>
      </c>
      <c r="K559" s="13">
        <v>2005</v>
      </c>
      <c r="L559" s="13">
        <f t="shared" si="23"/>
        <v>25</v>
      </c>
      <c r="M559" t="s">
        <v>371</v>
      </c>
      <c r="N559" t="s">
        <v>51</v>
      </c>
      <c r="O559" t="s">
        <v>376</v>
      </c>
      <c r="P559" t="s">
        <v>467</v>
      </c>
      <c r="Q559" t="s">
        <v>390</v>
      </c>
      <c r="V559">
        <v>-0.4</v>
      </c>
      <c r="W559" t="s">
        <v>3</v>
      </c>
      <c r="X559" t="s">
        <v>3</v>
      </c>
      <c r="Y559" t="s">
        <v>518</v>
      </c>
      <c r="Z559" s="4" t="str">
        <f t="shared" si="21"/>
        <v>Y</v>
      </c>
    </row>
    <row r="560" spans="1:29" x14ac:dyDescent="0.2">
      <c r="A560">
        <v>273</v>
      </c>
      <c r="B560" t="s">
        <v>367</v>
      </c>
      <c r="C560" s="4" t="s">
        <v>340</v>
      </c>
      <c r="D560" s="4"/>
      <c r="E560">
        <v>2010</v>
      </c>
      <c r="F560" t="s">
        <v>502</v>
      </c>
      <c r="G560" t="s">
        <v>513</v>
      </c>
      <c r="H560" s="13">
        <v>46</v>
      </c>
      <c r="I560" s="13">
        <v>-13</v>
      </c>
      <c r="J560" s="13">
        <v>1967</v>
      </c>
      <c r="K560" s="13">
        <v>2005</v>
      </c>
      <c r="L560" s="13">
        <f t="shared" si="23"/>
        <v>39</v>
      </c>
      <c r="M560" t="s">
        <v>371</v>
      </c>
      <c r="N560" t="s">
        <v>51</v>
      </c>
      <c r="O560" t="s">
        <v>376</v>
      </c>
      <c r="P560" t="s">
        <v>468</v>
      </c>
      <c r="Q560" t="s">
        <v>391</v>
      </c>
      <c r="V560">
        <v>-2</v>
      </c>
      <c r="W560" t="s">
        <v>3</v>
      </c>
      <c r="X560" t="s">
        <v>3</v>
      </c>
      <c r="Y560" t="s">
        <v>518</v>
      </c>
      <c r="Z560" s="4" t="str">
        <f t="shared" si="21"/>
        <v>Y</v>
      </c>
    </row>
    <row r="561" spans="1:92" x14ac:dyDescent="0.2">
      <c r="A561">
        <v>274</v>
      </c>
      <c r="B561" t="s">
        <v>367</v>
      </c>
      <c r="C561" s="4" t="s">
        <v>340</v>
      </c>
      <c r="D561" s="4"/>
      <c r="E561">
        <v>2010</v>
      </c>
      <c r="F561" t="s">
        <v>502</v>
      </c>
      <c r="G561" t="s">
        <v>513</v>
      </c>
      <c r="H561" s="13">
        <v>46</v>
      </c>
      <c r="I561" s="13">
        <v>-13</v>
      </c>
      <c r="J561" s="13">
        <v>1967</v>
      </c>
      <c r="K561" s="13">
        <v>2005</v>
      </c>
      <c r="L561" s="13">
        <f t="shared" ref="L561:L592" si="24">K561-J561+1</f>
        <v>39</v>
      </c>
      <c r="M561" t="s">
        <v>371</v>
      </c>
      <c r="N561" t="s">
        <v>51</v>
      </c>
      <c r="O561" t="s">
        <v>376</v>
      </c>
      <c r="P561" t="s">
        <v>468</v>
      </c>
      <c r="Q561" t="s">
        <v>391</v>
      </c>
      <c r="V561">
        <v>-4</v>
      </c>
      <c r="W561" t="s">
        <v>3</v>
      </c>
      <c r="X561" t="s">
        <v>3</v>
      </c>
      <c r="Y561" t="s">
        <v>518</v>
      </c>
      <c r="Z561" s="4" t="str">
        <f t="shared" si="21"/>
        <v>Y</v>
      </c>
    </row>
    <row r="562" spans="1:92" x14ac:dyDescent="0.2">
      <c r="A562">
        <v>275</v>
      </c>
      <c r="B562" t="s">
        <v>367</v>
      </c>
      <c r="C562" s="4" t="s">
        <v>340</v>
      </c>
      <c r="D562" s="4"/>
      <c r="E562">
        <v>2010</v>
      </c>
      <c r="F562" t="s">
        <v>502</v>
      </c>
      <c r="G562" t="s">
        <v>513</v>
      </c>
      <c r="H562" s="13">
        <v>46</v>
      </c>
      <c r="I562" s="13">
        <v>-13</v>
      </c>
      <c r="J562" s="13">
        <v>1981</v>
      </c>
      <c r="K562" s="13">
        <v>2005</v>
      </c>
      <c r="L562" s="13">
        <f t="shared" si="24"/>
        <v>25</v>
      </c>
      <c r="M562" t="s">
        <v>371</v>
      </c>
      <c r="N562" t="s">
        <v>51</v>
      </c>
      <c r="O562" t="s">
        <v>376</v>
      </c>
      <c r="P562" t="s">
        <v>467</v>
      </c>
      <c r="Q562" t="s">
        <v>390</v>
      </c>
      <c r="V562">
        <v>-5.6</v>
      </c>
      <c r="W562" t="s">
        <v>3</v>
      </c>
      <c r="X562" t="s">
        <v>3</v>
      </c>
      <c r="Y562" t="s">
        <v>518</v>
      </c>
      <c r="Z562" s="4" t="str">
        <f t="shared" si="21"/>
        <v>Y</v>
      </c>
    </row>
    <row r="563" spans="1:92" x14ac:dyDescent="0.2">
      <c r="A563">
        <v>276</v>
      </c>
      <c r="B563" t="s">
        <v>367</v>
      </c>
      <c r="C563" s="4" t="s">
        <v>340</v>
      </c>
      <c r="D563" s="4"/>
      <c r="E563">
        <v>2010</v>
      </c>
      <c r="F563" t="s">
        <v>502</v>
      </c>
      <c r="G563" t="s">
        <v>513</v>
      </c>
      <c r="H563" s="13">
        <v>46</v>
      </c>
      <c r="I563" s="13">
        <v>-13</v>
      </c>
      <c r="J563" s="13">
        <v>1967</v>
      </c>
      <c r="K563" s="13">
        <v>1992</v>
      </c>
      <c r="L563" s="13">
        <f t="shared" si="24"/>
        <v>26</v>
      </c>
      <c r="M563" t="s">
        <v>371</v>
      </c>
      <c r="N563" t="s">
        <v>51</v>
      </c>
      <c r="O563" t="s">
        <v>376</v>
      </c>
      <c r="P563" t="s">
        <v>468</v>
      </c>
      <c r="Q563" t="s">
        <v>391</v>
      </c>
      <c r="V563">
        <v>0</v>
      </c>
      <c r="W563" t="s">
        <v>164</v>
      </c>
      <c r="X563" t="s">
        <v>3</v>
      </c>
      <c r="Y563" t="s">
        <v>521</v>
      </c>
      <c r="Z563" s="4" t="str">
        <f t="shared" si="21"/>
        <v>Y</v>
      </c>
    </row>
    <row r="564" spans="1:92" x14ac:dyDescent="0.2">
      <c r="A564">
        <v>277</v>
      </c>
      <c r="B564" t="s">
        <v>367</v>
      </c>
      <c r="C564" s="4" t="s">
        <v>340</v>
      </c>
      <c r="D564" s="4"/>
      <c r="E564">
        <v>2010</v>
      </c>
      <c r="F564" t="s">
        <v>502</v>
      </c>
      <c r="G564" t="s">
        <v>513</v>
      </c>
      <c r="H564" s="13">
        <v>46</v>
      </c>
      <c r="I564" s="13">
        <v>-13</v>
      </c>
      <c r="J564" s="13">
        <v>1986</v>
      </c>
      <c r="K564" s="13">
        <v>2005</v>
      </c>
      <c r="L564" s="13">
        <f t="shared" si="24"/>
        <v>20</v>
      </c>
      <c r="M564" t="s">
        <v>371</v>
      </c>
      <c r="N564" t="s">
        <v>51</v>
      </c>
      <c r="O564" t="s">
        <v>376</v>
      </c>
      <c r="P564" t="s">
        <v>467</v>
      </c>
      <c r="Q564" t="s">
        <v>390</v>
      </c>
      <c r="V564">
        <v>-24</v>
      </c>
      <c r="W564" t="s">
        <v>3</v>
      </c>
      <c r="X564" t="s">
        <v>3</v>
      </c>
      <c r="Y564" t="s">
        <v>518</v>
      </c>
      <c r="Z564" s="4" t="str">
        <f t="shared" si="21"/>
        <v>Y</v>
      </c>
    </row>
    <row r="565" spans="1:92" x14ac:dyDescent="0.2">
      <c r="A565" s="24">
        <v>353</v>
      </c>
      <c r="B565" s="24" t="s">
        <v>367</v>
      </c>
      <c r="C565" s="24" t="s">
        <v>346</v>
      </c>
      <c r="D565" s="24"/>
      <c r="E565" s="24">
        <v>2004</v>
      </c>
      <c r="F565" s="24" t="s">
        <v>103</v>
      </c>
      <c r="G565" s="24" t="s">
        <v>513</v>
      </c>
      <c r="H565" s="26">
        <v>55</v>
      </c>
      <c r="I565" s="26">
        <v>5</v>
      </c>
      <c r="J565" s="26">
        <v>1958</v>
      </c>
      <c r="K565" s="26">
        <v>2002</v>
      </c>
      <c r="L565" s="26">
        <f t="shared" si="24"/>
        <v>45</v>
      </c>
      <c r="M565" s="24" t="s">
        <v>369</v>
      </c>
      <c r="N565" s="24" t="s">
        <v>52</v>
      </c>
      <c r="O565" s="24" t="s">
        <v>484</v>
      </c>
      <c r="P565" s="24" t="s">
        <v>484</v>
      </c>
      <c r="Q565" s="24" t="s">
        <v>419</v>
      </c>
      <c r="R565" s="24"/>
      <c r="S565" s="24"/>
      <c r="T565" s="24"/>
      <c r="U565" s="24"/>
      <c r="V565" s="24">
        <v>-3.5302630000000002</v>
      </c>
      <c r="W565" s="24" t="s">
        <v>3</v>
      </c>
      <c r="X565" s="24" t="s">
        <v>3</v>
      </c>
      <c r="Y565" s="24" t="s">
        <v>522</v>
      </c>
      <c r="Z565" s="4" t="str">
        <f t="shared" si="21"/>
        <v>Y</v>
      </c>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row>
    <row r="566" spans="1:92" x14ac:dyDescent="0.2">
      <c r="A566" s="24">
        <v>369</v>
      </c>
      <c r="B566" s="24" t="s">
        <v>367</v>
      </c>
      <c r="C566" s="24" t="s">
        <v>346</v>
      </c>
      <c r="D566" s="24"/>
      <c r="E566" s="24">
        <v>2004</v>
      </c>
      <c r="F566" s="24" t="s">
        <v>103</v>
      </c>
      <c r="G566" s="24" t="s">
        <v>513</v>
      </c>
      <c r="H566" s="26">
        <v>55</v>
      </c>
      <c r="I566" s="26">
        <v>5</v>
      </c>
      <c r="J566" s="26">
        <v>1958</v>
      </c>
      <c r="K566" s="26">
        <v>2002</v>
      </c>
      <c r="L566" s="26">
        <f t="shared" si="24"/>
        <v>45</v>
      </c>
      <c r="M566" s="24" t="s">
        <v>369</v>
      </c>
      <c r="N566" s="24" t="s">
        <v>52</v>
      </c>
      <c r="O566" s="24" t="s">
        <v>484</v>
      </c>
      <c r="P566" s="24" t="s">
        <v>484</v>
      </c>
      <c r="Q566" s="24" t="s">
        <v>425</v>
      </c>
      <c r="R566" s="24"/>
      <c r="S566" s="24"/>
      <c r="T566" s="24"/>
      <c r="U566" s="24"/>
      <c r="V566" s="24">
        <v>-3.1332497780000002</v>
      </c>
      <c r="W566" s="24" t="s">
        <v>3</v>
      </c>
      <c r="X566" s="24" t="s">
        <v>3</v>
      </c>
      <c r="Y566" s="24" t="s">
        <v>522</v>
      </c>
      <c r="Z566" s="4" t="str">
        <f t="shared" si="21"/>
        <v>Y</v>
      </c>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c r="CM566" s="24"/>
      <c r="CN566" s="24"/>
    </row>
    <row r="567" spans="1:92" x14ac:dyDescent="0.2">
      <c r="A567">
        <v>280</v>
      </c>
      <c r="B567" t="s">
        <v>367</v>
      </c>
      <c r="C567" t="s">
        <v>569</v>
      </c>
      <c r="E567">
        <v>2011</v>
      </c>
      <c r="F567" t="s">
        <v>502</v>
      </c>
      <c r="G567" t="s">
        <v>513</v>
      </c>
      <c r="H567" s="13">
        <v>50.58</v>
      </c>
      <c r="I567" s="13">
        <v>-4.32</v>
      </c>
      <c r="J567" s="13">
        <v>1946</v>
      </c>
      <c r="K567" s="13">
        <v>2007</v>
      </c>
      <c r="L567" s="13">
        <f t="shared" si="24"/>
        <v>62</v>
      </c>
      <c r="M567" t="s">
        <v>371</v>
      </c>
      <c r="N567" t="s">
        <v>379</v>
      </c>
      <c r="O567" t="s">
        <v>379</v>
      </c>
      <c r="P567" t="s">
        <v>469</v>
      </c>
      <c r="Q567" t="s">
        <v>61</v>
      </c>
      <c r="V567">
        <v>-10.199999999999999</v>
      </c>
      <c r="W567" t="s">
        <v>3</v>
      </c>
      <c r="X567" t="s">
        <v>3</v>
      </c>
      <c r="Y567" t="s">
        <v>519</v>
      </c>
      <c r="Z567" s="4" t="str">
        <f t="shared" si="21"/>
        <v>Y</v>
      </c>
      <c r="AC567" t="s">
        <v>570</v>
      </c>
    </row>
    <row r="568" spans="1:92" x14ac:dyDescent="0.2">
      <c r="A568">
        <v>281</v>
      </c>
      <c r="B568" t="s">
        <v>367</v>
      </c>
      <c r="C568" t="s">
        <v>569</v>
      </c>
      <c r="E568">
        <v>2011</v>
      </c>
      <c r="F568" t="s">
        <v>502</v>
      </c>
      <c r="G568" t="s">
        <v>513</v>
      </c>
      <c r="H568" s="13">
        <v>50.58</v>
      </c>
      <c r="I568" s="13">
        <v>-4.32</v>
      </c>
      <c r="J568" s="13">
        <v>1946</v>
      </c>
      <c r="K568" s="13">
        <v>2007</v>
      </c>
      <c r="L568" s="13">
        <f t="shared" si="24"/>
        <v>62</v>
      </c>
      <c r="M568" t="s">
        <v>371</v>
      </c>
      <c r="N568" t="s">
        <v>379</v>
      </c>
      <c r="O568" t="s">
        <v>379</v>
      </c>
      <c r="P568" t="s">
        <v>470</v>
      </c>
      <c r="Q568" t="s">
        <v>62</v>
      </c>
      <c r="V568">
        <v>3.3</v>
      </c>
      <c r="W568" t="s">
        <v>24</v>
      </c>
      <c r="X568" t="s">
        <v>3</v>
      </c>
      <c r="Y568" t="s">
        <v>519</v>
      </c>
      <c r="Z568" s="4" t="str">
        <f t="shared" si="21"/>
        <v>Y</v>
      </c>
      <c r="AC568" t="s">
        <v>570</v>
      </c>
    </row>
    <row r="569" spans="1:92" x14ac:dyDescent="0.2">
      <c r="A569">
        <v>283</v>
      </c>
      <c r="B569" t="s">
        <v>367</v>
      </c>
      <c r="C569" t="s">
        <v>343</v>
      </c>
      <c r="E569">
        <v>2004</v>
      </c>
      <c r="F569" t="s">
        <v>504</v>
      </c>
      <c r="G569" t="s">
        <v>513</v>
      </c>
      <c r="H569" s="13">
        <v>41.25</v>
      </c>
      <c r="I569" s="13">
        <v>-72.349999999999994</v>
      </c>
      <c r="J569" s="13">
        <v>1978</v>
      </c>
      <c r="K569" s="13">
        <v>2000</v>
      </c>
      <c r="L569" s="13">
        <f t="shared" si="24"/>
        <v>23</v>
      </c>
      <c r="M569" t="s">
        <v>369</v>
      </c>
      <c r="N569" t="s">
        <v>51</v>
      </c>
      <c r="O569" t="s">
        <v>376</v>
      </c>
      <c r="P569" t="s">
        <v>130</v>
      </c>
      <c r="Q569" t="s">
        <v>50</v>
      </c>
      <c r="V569">
        <v>-0.37</v>
      </c>
      <c r="W569" t="s">
        <v>3</v>
      </c>
      <c r="X569" t="s">
        <v>3</v>
      </c>
      <c r="Y569" s="4" t="s">
        <v>518</v>
      </c>
      <c r="Z569" s="4" t="str">
        <f t="shared" si="21"/>
        <v>Y</v>
      </c>
      <c r="AA569" s="4"/>
      <c r="AB569" s="4"/>
    </row>
    <row r="570" spans="1:92" x14ac:dyDescent="0.2">
      <c r="A570">
        <v>284</v>
      </c>
      <c r="B570" t="s">
        <v>367</v>
      </c>
      <c r="C570" t="s">
        <v>343</v>
      </c>
      <c r="E570">
        <v>2004</v>
      </c>
      <c r="F570" t="s">
        <v>504</v>
      </c>
      <c r="G570" t="s">
        <v>513</v>
      </c>
      <c r="H570" s="13">
        <v>47.17</v>
      </c>
      <c r="I570" s="13">
        <v>-65.03</v>
      </c>
      <c r="J570" s="13">
        <v>1954</v>
      </c>
      <c r="K570" s="13">
        <v>1992</v>
      </c>
      <c r="L570" s="13">
        <f t="shared" si="24"/>
        <v>39</v>
      </c>
      <c r="M570" t="s">
        <v>369</v>
      </c>
      <c r="N570" t="s">
        <v>51</v>
      </c>
      <c r="O570" t="s">
        <v>376</v>
      </c>
      <c r="P570" t="s">
        <v>130</v>
      </c>
      <c r="Q570" t="s">
        <v>50</v>
      </c>
      <c r="V570">
        <v>-0.71</v>
      </c>
      <c r="W570" t="s">
        <v>3</v>
      </c>
      <c r="X570" t="s">
        <v>3</v>
      </c>
      <c r="Y570" s="4" t="s">
        <v>518</v>
      </c>
      <c r="Z570" s="4" t="str">
        <f t="shared" si="21"/>
        <v>Y</v>
      </c>
      <c r="AA570" s="4"/>
      <c r="AB570" s="4"/>
    </row>
    <row r="571" spans="1:92" x14ac:dyDescent="0.2">
      <c r="A571">
        <v>285</v>
      </c>
      <c r="B571" t="s">
        <v>367</v>
      </c>
      <c r="C571" t="s">
        <v>343</v>
      </c>
      <c r="E571">
        <v>2004</v>
      </c>
      <c r="F571" t="s">
        <v>504</v>
      </c>
      <c r="G571" t="s">
        <v>513</v>
      </c>
      <c r="H571" s="13">
        <v>47.17</v>
      </c>
      <c r="I571" s="13">
        <v>-65.03</v>
      </c>
      <c r="J571" s="13">
        <v>1954</v>
      </c>
      <c r="K571" s="13">
        <v>1992</v>
      </c>
      <c r="L571" s="13">
        <f t="shared" si="24"/>
        <v>39</v>
      </c>
      <c r="M571" t="s">
        <v>369</v>
      </c>
      <c r="N571" t="s">
        <v>51</v>
      </c>
      <c r="O571" t="s">
        <v>376</v>
      </c>
      <c r="P571" t="s">
        <v>130</v>
      </c>
      <c r="Q571" t="s">
        <v>50</v>
      </c>
      <c r="V571">
        <v>-2.86</v>
      </c>
      <c r="W571" t="s">
        <v>3</v>
      </c>
      <c r="X571" t="s">
        <v>3</v>
      </c>
      <c r="Y571" s="4" t="s">
        <v>518</v>
      </c>
      <c r="Z571" s="4" t="str">
        <f t="shared" si="21"/>
        <v>Y</v>
      </c>
      <c r="AA571" s="4"/>
      <c r="AB571" s="4"/>
    </row>
    <row r="572" spans="1:92" x14ac:dyDescent="0.2">
      <c r="A572">
        <v>286</v>
      </c>
      <c r="B572" t="s">
        <v>367</v>
      </c>
      <c r="C572" t="s">
        <v>343</v>
      </c>
      <c r="E572">
        <v>2004</v>
      </c>
      <c r="F572" t="s">
        <v>504</v>
      </c>
      <c r="G572" t="s">
        <v>513</v>
      </c>
      <c r="H572" s="13">
        <v>47.17</v>
      </c>
      <c r="I572" s="13">
        <v>-65.03</v>
      </c>
      <c r="J572" s="13">
        <v>1954</v>
      </c>
      <c r="K572" s="13">
        <v>1992</v>
      </c>
      <c r="L572" s="13">
        <f t="shared" si="24"/>
        <v>39</v>
      </c>
      <c r="M572" t="s">
        <v>369</v>
      </c>
      <c r="N572" t="s">
        <v>51</v>
      </c>
      <c r="O572" t="s">
        <v>376</v>
      </c>
      <c r="P572" t="s">
        <v>130</v>
      </c>
      <c r="Q572" t="s">
        <v>50</v>
      </c>
      <c r="V572">
        <v>-3</v>
      </c>
      <c r="W572" t="s">
        <v>3</v>
      </c>
      <c r="X572" t="s">
        <v>3</v>
      </c>
      <c r="Y572" s="4" t="s">
        <v>518</v>
      </c>
      <c r="Z572" s="4" t="str">
        <f t="shared" si="21"/>
        <v>Y</v>
      </c>
      <c r="AA572" s="4"/>
      <c r="AB572" s="4"/>
    </row>
    <row r="573" spans="1:92" x14ac:dyDescent="0.2">
      <c r="A573">
        <v>287</v>
      </c>
      <c r="B573" t="s">
        <v>367</v>
      </c>
      <c r="C573" t="s">
        <v>343</v>
      </c>
      <c r="E573">
        <v>2004</v>
      </c>
      <c r="F573" t="s">
        <v>504</v>
      </c>
      <c r="G573" t="s">
        <v>513</v>
      </c>
      <c r="H573" s="13">
        <v>47.17</v>
      </c>
      <c r="I573" s="13">
        <v>-65.03</v>
      </c>
      <c r="J573" s="13">
        <v>1954</v>
      </c>
      <c r="K573" s="13">
        <v>1992</v>
      </c>
      <c r="L573" s="13">
        <f t="shared" si="24"/>
        <v>39</v>
      </c>
      <c r="M573" t="s">
        <v>369</v>
      </c>
      <c r="N573" t="s">
        <v>51</v>
      </c>
      <c r="O573" t="s">
        <v>376</v>
      </c>
      <c r="P573" t="s">
        <v>130</v>
      </c>
      <c r="Q573" t="s">
        <v>50</v>
      </c>
      <c r="V573">
        <v>-4</v>
      </c>
      <c r="W573" t="s">
        <v>3</v>
      </c>
      <c r="X573" t="s">
        <v>3</v>
      </c>
      <c r="Y573" s="4" t="s">
        <v>518</v>
      </c>
      <c r="Z573" s="4" t="str">
        <f t="shared" si="21"/>
        <v>Y</v>
      </c>
      <c r="AA573" s="4"/>
      <c r="AB573" s="4"/>
    </row>
    <row r="574" spans="1:92" x14ac:dyDescent="0.2">
      <c r="A574">
        <v>288</v>
      </c>
      <c r="B574" t="s">
        <v>367</v>
      </c>
      <c r="C574" t="s">
        <v>343</v>
      </c>
      <c r="E574">
        <v>2004</v>
      </c>
      <c r="F574" t="s">
        <v>504</v>
      </c>
      <c r="G574" t="s">
        <v>513</v>
      </c>
      <c r="H574" s="13">
        <v>44.05</v>
      </c>
      <c r="I574" s="13">
        <v>-68.95</v>
      </c>
      <c r="J574" s="13">
        <v>1978</v>
      </c>
      <c r="K574" s="13">
        <v>2001</v>
      </c>
      <c r="L574" s="13">
        <f t="shared" si="24"/>
        <v>24</v>
      </c>
      <c r="M574" t="s">
        <v>369</v>
      </c>
      <c r="N574" t="s">
        <v>51</v>
      </c>
      <c r="O574" t="s">
        <v>376</v>
      </c>
      <c r="P574" t="s">
        <v>130</v>
      </c>
      <c r="Q574" t="s">
        <v>50</v>
      </c>
      <c r="V574">
        <v>-4</v>
      </c>
      <c r="W574" t="s">
        <v>3</v>
      </c>
      <c r="X574" t="s">
        <v>3</v>
      </c>
      <c r="Y574" s="4" t="s">
        <v>518</v>
      </c>
      <c r="Z574" s="4" t="str">
        <f t="shared" si="21"/>
        <v>Y</v>
      </c>
      <c r="AA574" s="4"/>
      <c r="AB574" s="4"/>
    </row>
    <row r="575" spans="1:92" x14ac:dyDescent="0.2">
      <c r="A575">
        <v>289</v>
      </c>
      <c r="B575" t="s">
        <v>367</v>
      </c>
      <c r="C575" t="s">
        <v>343</v>
      </c>
      <c r="E575">
        <v>2004</v>
      </c>
      <c r="F575" t="s">
        <v>504</v>
      </c>
      <c r="G575" t="s">
        <v>513</v>
      </c>
      <c r="H575" s="13">
        <v>41.25</v>
      </c>
      <c r="I575" s="13">
        <v>-72.349999999999994</v>
      </c>
      <c r="J575" s="13">
        <v>1978</v>
      </c>
      <c r="K575" s="13">
        <v>2000</v>
      </c>
      <c r="L575" s="13">
        <f t="shared" si="24"/>
        <v>23</v>
      </c>
      <c r="M575" t="s">
        <v>369</v>
      </c>
      <c r="N575" t="s">
        <v>51</v>
      </c>
      <c r="O575" t="s">
        <v>376</v>
      </c>
      <c r="P575" t="s">
        <v>130</v>
      </c>
      <c r="Q575" t="s">
        <v>50</v>
      </c>
      <c r="V575">
        <v>-4.4000000000000004</v>
      </c>
      <c r="W575" t="s">
        <v>3</v>
      </c>
      <c r="X575" t="s">
        <v>3</v>
      </c>
      <c r="Y575" s="4" t="s">
        <v>518</v>
      </c>
      <c r="Z575" s="4" t="str">
        <f t="shared" si="21"/>
        <v>Y</v>
      </c>
      <c r="AA575" s="4"/>
      <c r="AB575" s="4"/>
    </row>
    <row r="576" spans="1:92" x14ac:dyDescent="0.2">
      <c r="A576">
        <v>290</v>
      </c>
      <c r="B576" t="s">
        <v>367</v>
      </c>
      <c r="C576" t="s">
        <v>343</v>
      </c>
      <c r="E576">
        <v>2004</v>
      </c>
      <c r="F576" t="s">
        <v>504</v>
      </c>
      <c r="G576" t="s">
        <v>513</v>
      </c>
      <c r="H576" s="13">
        <v>41.25</v>
      </c>
      <c r="I576" s="13">
        <v>-72.349999999999994</v>
      </c>
      <c r="J576" s="13">
        <v>1978</v>
      </c>
      <c r="K576" s="13">
        <v>2000</v>
      </c>
      <c r="L576" s="13">
        <f t="shared" si="24"/>
        <v>23</v>
      </c>
      <c r="M576" t="s">
        <v>369</v>
      </c>
      <c r="N576" t="s">
        <v>51</v>
      </c>
      <c r="O576" t="s">
        <v>376</v>
      </c>
      <c r="P576" t="s">
        <v>130</v>
      </c>
      <c r="Q576" t="s">
        <v>50</v>
      </c>
      <c r="V576">
        <v>-4.5</v>
      </c>
      <c r="W576" t="s">
        <v>3</v>
      </c>
      <c r="X576" t="s">
        <v>3</v>
      </c>
      <c r="Y576" s="4" t="s">
        <v>518</v>
      </c>
      <c r="Z576" s="4" t="str">
        <f t="shared" si="21"/>
        <v>Y</v>
      </c>
      <c r="AA576" s="4"/>
      <c r="AB576" s="4"/>
    </row>
    <row r="577" spans="1:28" x14ac:dyDescent="0.2">
      <c r="A577">
        <v>291</v>
      </c>
      <c r="B577" t="s">
        <v>367</v>
      </c>
      <c r="C577" t="s">
        <v>343</v>
      </c>
      <c r="E577">
        <v>2004</v>
      </c>
      <c r="F577" t="s">
        <v>504</v>
      </c>
      <c r="G577" t="s">
        <v>513</v>
      </c>
      <c r="H577" s="13">
        <v>49.2</v>
      </c>
      <c r="I577" s="13">
        <v>-58.35</v>
      </c>
      <c r="J577" s="13">
        <v>1967</v>
      </c>
      <c r="K577" s="13">
        <v>1999</v>
      </c>
      <c r="L577" s="13">
        <f t="shared" si="24"/>
        <v>33</v>
      </c>
      <c r="M577" t="s">
        <v>369</v>
      </c>
      <c r="N577" t="s">
        <v>51</v>
      </c>
      <c r="O577" t="s">
        <v>376</v>
      </c>
      <c r="P577" t="s">
        <v>130</v>
      </c>
      <c r="Q577" t="s">
        <v>50</v>
      </c>
      <c r="V577">
        <v>-4.7</v>
      </c>
      <c r="W577" t="s">
        <v>3</v>
      </c>
      <c r="X577" t="s">
        <v>3</v>
      </c>
      <c r="Y577" s="4" t="s">
        <v>518</v>
      </c>
      <c r="Z577" s="4" t="str">
        <f t="shared" si="21"/>
        <v>Y</v>
      </c>
      <c r="AA577" s="4"/>
      <c r="AB577" s="4"/>
    </row>
    <row r="578" spans="1:28" x14ac:dyDescent="0.2">
      <c r="A578">
        <v>292</v>
      </c>
      <c r="B578" t="s">
        <v>367</v>
      </c>
      <c r="C578" t="s">
        <v>343</v>
      </c>
      <c r="E578">
        <v>2004</v>
      </c>
      <c r="F578" t="s">
        <v>504</v>
      </c>
      <c r="G578" t="s">
        <v>513</v>
      </c>
      <c r="H578" s="13">
        <v>41.25</v>
      </c>
      <c r="I578" s="13">
        <v>-72.349999999999994</v>
      </c>
      <c r="J578" s="13">
        <v>1978</v>
      </c>
      <c r="K578" s="13">
        <v>2000</v>
      </c>
      <c r="L578" s="13">
        <f t="shared" si="24"/>
        <v>23</v>
      </c>
      <c r="M578" t="s">
        <v>369</v>
      </c>
      <c r="N578" t="s">
        <v>51</v>
      </c>
      <c r="O578" t="s">
        <v>376</v>
      </c>
      <c r="P578" t="s">
        <v>130</v>
      </c>
      <c r="Q578" t="s">
        <v>50</v>
      </c>
      <c r="V578">
        <v>-5</v>
      </c>
      <c r="W578" t="s">
        <v>3</v>
      </c>
      <c r="X578" t="s">
        <v>3</v>
      </c>
      <c r="Y578" s="4" t="s">
        <v>518</v>
      </c>
      <c r="Z578" s="4" t="str">
        <f t="shared" ref="Z578:Z641" si="25">IF(L578&gt;=19,"Y","N")</f>
        <v>Y</v>
      </c>
      <c r="AA578" s="4"/>
      <c r="AB578" s="4"/>
    </row>
    <row r="579" spans="1:28" x14ac:dyDescent="0.2">
      <c r="A579">
        <v>293</v>
      </c>
      <c r="B579" t="s">
        <v>367</v>
      </c>
      <c r="C579" t="s">
        <v>343</v>
      </c>
      <c r="E579">
        <v>2004</v>
      </c>
      <c r="F579" t="s">
        <v>504</v>
      </c>
      <c r="G579" t="s">
        <v>513</v>
      </c>
      <c r="H579" s="13">
        <v>49.2</v>
      </c>
      <c r="I579" s="13">
        <v>-58.35</v>
      </c>
      <c r="J579" s="13">
        <v>1966</v>
      </c>
      <c r="K579" s="13">
        <v>1999</v>
      </c>
      <c r="L579" s="13">
        <f t="shared" si="24"/>
        <v>34</v>
      </c>
      <c r="M579" t="s">
        <v>369</v>
      </c>
      <c r="N579" t="s">
        <v>51</v>
      </c>
      <c r="O579" t="s">
        <v>376</v>
      </c>
      <c r="P579" t="s">
        <v>130</v>
      </c>
      <c r="Q579" t="s">
        <v>50</v>
      </c>
      <c r="V579">
        <v>-5.13</v>
      </c>
      <c r="W579" t="s">
        <v>3</v>
      </c>
      <c r="X579" t="s">
        <v>3</v>
      </c>
      <c r="Y579" s="4" t="s">
        <v>518</v>
      </c>
      <c r="Z579" s="4" t="str">
        <f t="shared" si="25"/>
        <v>Y</v>
      </c>
      <c r="AA579" s="4"/>
      <c r="AB579" s="4"/>
    </row>
    <row r="580" spans="1:28" x14ac:dyDescent="0.2">
      <c r="A580">
        <v>294</v>
      </c>
      <c r="B580" t="s">
        <v>367</v>
      </c>
      <c r="C580" t="s">
        <v>343</v>
      </c>
      <c r="E580">
        <v>2004</v>
      </c>
      <c r="F580" t="s">
        <v>504</v>
      </c>
      <c r="G580" t="s">
        <v>513</v>
      </c>
      <c r="H580" s="13">
        <v>41.25</v>
      </c>
      <c r="I580" s="13">
        <v>-72.349999999999994</v>
      </c>
      <c r="J580" s="13">
        <v>1978</v>
      </c>
      <c r="K580" s="13">
        <v>2000</v>
      </c>
      <c r="L580" s="13">
        <f t="shared" si="24"/>
        <v>23</v>
      </c>
      <c r="M580" t="s">
        <v>369</v>
      </c>
      <c r="N580" t="s">
        <v>51</v>
      </c>
      <c r="O580" t="s">
        <v>376</v>
      </c>
      <c r="P580" t="s">
        <v>130</v>
      </c>
      <c r="Q580" t="s">
        <v>50</v>
      </c>
      <c r="V580">
        <v>-5.34</v>
      </c>
      <c r="W580" t="s">
        <v>3</v>
      </c>
      <c r="X580" t="s">
        <v>3</v>
      </c>
      <c r="Y580" s="4" t="s">
        <v>518</v>
      </c>
      <c r="Z580" s="4" t="str">
        <f t="shared" si="25"/>
        <v>Y</v>
      </c>
      <c r="AA580" s="4"/>
      <c r="AB580" s="4"/>
    </row>
    <row r="581" spans="1:28" x14ac:dyDescent="0.2">
      <c r="A581">
        <v>295</v>
      </c>
      <c r="B581" t="s">
        <v>367</v>
      </c>
      <c r="C581" t="s">
        <v>343</v>
      </c>
      <c r="E581">
        <v>2004</v>
      </c>
      <c r="F581" t="s">
        <v>504</v>
      </c>
      <c r="G581" t="s">
        <v>513</v>
      </c>
      <c r="H581" s="13">
        <v>41.25</v>
      </c>
      <c r="I581" s="13">
        <v>-72.349999999999994</v>
      </c>
      <c r="J581" s="13">
        <v>1978</v>
      </c>
      <c r="K581" s="13">
        <v>2000</v>
      </c>
      <c r="L581" s="13">
        <f t="shared" si="24"/>
        <v>23</v>
      </c>
      <c r="M581" t="s">
        <v>369</v>
      </c>
      <c r="N581" t="s">
        <v>51</v>
      </c>
      <c r="O581" t="s">
        <v>376</v>
      </c>
      <c r="P581" t="s">
        <v>130</v>
      </c>
      <c r="Q581" t="s">
        <v>50</v>
      </c>
      <c r="V581">
        <v>-5.39</v>
      </c>
      <c r="W581" t="s">
        <v>3</v>
      </c>
      <c r="X581" t="s">
        <v>3</v>
      </c>
      <c r="Y581" s="4" t="s">
        <v>518</v>
      </c>
      <c r="Z581" s="4" t="str">
        <f t="shared" si="25"/>
        <v>Y</v>
      </c>
      <c r="AA581" s="4"/>
      <c r="AB581" s="4"/>
    </row>
    <row r="582" spans="1:28" x14ac:dyDescent="0.2">
      <c r="A582">
        <v>296</v>
      </c>
      <c r="B582" t="s">
        <v>367</v>
      </c>
      <c r="C582" t="s">
        <v>343</v>
      </c>
      <c r="E582">
        <v>2004</v>
      </c>
      <c r="F582" t="s">
        <v>504</v>
      </c>
      <c r="G582" t="s">
        <v>513</v>
      </c>
      <c r="H582" s="13">
        <v>41.25</v>
      </c>
      <c r="I582" s="13">
        <v>-72.349999999999994</v>
      </c>
      <c r="J582" s="13">
        <v>1978</v>
      </c>
      <c r="K582" s="13">
        <v>2000</v>
      </c>
      <c r="L582" s="13">
        <f t="shared" si="24"/>
        <v>23</v>
      </c>
      <c r="M582" t="s">
        <v>369</v>
      </c>
      <c r="N582" t="s">
        <v>51</v>
      </c>
      <c r="O582" t="s">
        <v>376</v>
      </c>
      <c r="P582" t="s">
        <v>130</v>
      </c>
      <c r="Q582" t="s">
        <v>50</v>
      </c>
      <c r="V582">
        <v>-5.44</v>
      </c>
      <c r="W582" t="s">
        <v>3</v>
      </c>
      <c r="X582" t="s">
        <v>3</v>
      </c>
      <c r="Y582" s="4" t="s">
        <v>518</v>
      </c>
      <c r="Z582" s="4" t="str">
        <f t="shared" si="25"/>
        <v>Y</v>
      </c>
      <c r="AA582" s="4"/>
      <c r="AB582" s="4"/>
    </row>
    <row r="583" spans="1:28" x14ac:dyDescent="0.2">
      <c r="A583">
        <v>297</v>
      </c>
      <c r="B583" t="s">
        <v>367</v>
      </c>
      <c r="C583" t="s">
        <v>343</v>
      </c>
      <c r="E583">
        <v>2004</v>
      </c>
      <c r="F583" t="s">
        <v>504</v>
      </c>
      <c r="G583" t="s">
        <v>513</v>
      </c>
      <c r="H583" s="13">
        <v>47.17</v>
      </c>
      <c r="I583" s="13">
        <v>-65.03</v>
      </c>
      <c r="J583" s="13">
        <v>1954</v>
      </c>
      <c r="K583" s="13">
        <v>1992</v>
      </c>
      <c r="L583" s="13">
        <f t="shared" si="24"/>
        <v>39</v>
      </c>
      <c r="M583" t="s">
        <v>369</v>
      </c>
      <c r="N583" t="s">
        <v>51</v>
      </c>
      <c r="O583" t="s">
        <v>376</v>
      </c>
      <c r="P583" t="s">
        <v>130</v>
      </c>
      <c r="Q583" t="s">
        <v>50</v>
      </c>
      <c r="V583">
        <v>-6.6</v>
      </c>
      <c r="W583" t="s">
        <v>3</v>
      </c>
      <c r="X583" t="s">
        <v>3</v>
      </c>
      <c r="Y583" s="4" t="s">
        <v>518</v>
      </c>
      <c r="Z583" s="4" t="str">
        <f t="shared" si="25"/>
        <v>Y</v>
      </c>
      <c r="AA583" s="4"/>
      <c r="AB583" s="4"/>
    </row>
    <row r="584" spans="1:28" x14ac:dyDescent="0.2">
      <c r="A584">
        <v>298</v>
      </c>
      <c r="B584" t="s">
        <v>367</v>
      </c>
      <c r="C584" t="s">
        <v>343</v>
      </c>
      <c r="E584">
        <v>2004</v>
      </c>
      <c r="F584" t="s">
        <v>504</v>
      </c>
      <c r="G584" t="s">
        <v>513</v>
      </c>
      <c r="H584" s="13">
        <v>41.25</v>
      </c>
      <c r="I584" s="13">
        <v>-72.349999999999994</v>
      </c>
      <c r="J584" s="13">
        <v>1978</v>
      </c>
      <c r="K584" s="13">
        <v>2000</v>
      </c>
      <c r="L584" s="13">
        <f t="shared" si="24"/>
        <v>23</v>
      </c>
      <c r="M584" t="s">
        <v>369</v>
      </c>
      <c r="N584" t="s">
        <v>51</v>
      </c>
      <c r="O584" t="s">
        <v>376</v>
      </c>
      <c r="P584" t="s">
        <v>130</v>
      </c>
      <c r="Q584" t="s">
        <v>50</v>
      </c>
      <c r="V584">
        <v>-6.8</v>
      </c>
      <c r="W584" t="s">
        <v>3</v>
      </c>
      <c r="X584" t="s">
        <v>3</v>
      </c>
      <c r="Y584" s="4" t="s">
        <v>518</v>
      </c>
      <c r="Z584" s="4" t="str">
        <f t="shared" si="25"/>
        <v>Y</v>
      </c>
      <c r="AA584" s="4"/>
      <c r="AB584" s="4"/>
    </row>
    <row r="585" spans="1:28" x14ac:dyDescent="0.2">
      <c r="A585">
        <v>299</v>
      </c>
      <c r="B585" t="s">
        <v>367</v>
      </c>
      <c r="C585" t="s">
        <v>343</v>
      </c>
      <c r="E585">
        <v>2004</v>
      </c>
      <c r="F585" t="s">
        <v>504</v>
      </c>
      <c r="G585" t="s">
        <v>513</v>
      </c>
      <c r="H585" s="13">
        <v>49.2</v>
      </c>
      <c r="I585" s="13">
        <v>-58.35</v>
      </c>
      <c r="J585" s="13">
        <v>1967</v>
      </c>
      <c r="K585" s="13">
        <v>1999</v>
      </c>
      <c r="L585" s="13">
        <f t="shared" si="24"/>
        <v>33</v>
      </c>
      <c r="M585" t="s">
        <v>369</v>
      </c>
      <c r="N585" t="s">
        <v>51</v>
      </c>
      <c r="O585" t="s">
        <v>376</v>
      </c>
      <c r="P585" t="s">
        <v>130</v>
      </c>
      <c r="Q585" t="s">
        <v>50</v>
      </c>
      <c r="V585">
        <v>-6.9</v>
      </c>
      <c r="W585" t="s">
        <v>3</v>
      </c>
      <c r="X585" t="s">
        <v>3</v>
      </c>
      <c r="Y585" s="4" t="s">
        <v>518</v>
      </c>
      <c r="Z585" s="4" t="str">
        <f t="shared" si="25"/>
        <v>Y</v>
      </c>
      <c r="AA585" s="4"/>
      <c r="AB585" s="4"/>
    </row>
    <row r="586" spans="1:28" x14ac:dyDescent="0.2">
      <c r="A586">
        <v>300</v>
      </c>
      <c r="B586" t="s">
        <v>367</v>
      </c>
      <c r="C586" t="s">
        <v>343</v>
      </c>
      <c r="E586">
        <v>2004</v>
      </c>
      <c r="F586" t="s">
        <v>504</v>
      </c>
      <c r="G586" t="s">
        <v>513</v>
      </c>
      <c r="H586" s="13">
        <v>44.05</v>
      </c>
      <c r="I586" s="13">
        <v>-68.95</v>
      </c>
      <c r="J586" s="13">
        <v>1978</v>
      </c>
      <c r="K586" s="13">
        <v>2001</v>
      </c>
      <c r="L586" s="13">
        <f t="shared" si="24"/>
        <v>24</v>
      </c>
      <c r="M586" t="s">
        <v>369</v>
      </c>
      <c r="N586" t="s">
        <v>51</v>
      </c>
      <c r="O586" t="s">
        <v>376</v>
      </c>
      <c r="P586" t="s">
        <v>130</v>
      </c>
      <c r="Q586" t="s">
        <v>50</v>
      </c>
      <c r="V586">
        <v>-7</v>
      </c>
      <c r="W586" t="s">
        <v>3</v>
      </c>
      <c r="X586" t="s">
        <v>3</v>
      </c>
      <c r="Y586" s="4" t="s">
        <v>518</v>
      </c>
      <c r="Z586" s="4" t="str">
        <f t="shared" si="25"/>
        <v>Y</v>
      </c>
      <c r="AA586" s="4"/>
      <c r="AB586" s="4"/>
    </row>
    <row r="587" spans="1:28" x14ac:dyDescent="0.2">
      <c r="A587">
        <v>301</v>
      </c>
      <c r="B587" t="s">
        <v>367</v>
      </c>
      <c r="C587" t="s">
        <v>343</v>
      </c>
      <c r="E587">
        <v>2004</v>
      </c>
      <c r="F587" t="s">
        <v>504</v>
      </c>
      <c r="G587" t="s">
        <v>513</v>
      </c>
      <c r="H587" s="13">
        <v>44.05</v>
      </c>
      <c r="I587" s="13">
        <v>-68.95</v>
      </c>
      <c r="J587" s="13">
        <v>1978</v>
      </c>
      <c r="K587" s="13">
        <v>2001</v>
      </c>
      <c r="L587" s="13">
        <f t="shared" si="24"/>
        <v>24</v>
      </c>
      <c r="M587" t="s">
        <v>369</v>
      </c>
      <c r="N587" t="s">
        <v>51</v>
      </c>
      <c r="O587" t="s">
        <v>376</v>
      </c>
      <c r="P587" t="s">
        <v>130</v>
      </c>
      <c r="Q587" t="s">
        <v>50</v>
      </c>
      <c r="V587">
        <v>-7.1</v>
      </c>
      <c r="W587" t="s">
        <v>3</v>
      </c>
      <c r="X587" t="s">
        <v>3</v>
      </c>
      <c r="Y587" s="4" t="s">
        <v>518</v>
      </c>
      <c r="Z587" s="4" t="str">
        <f t="shared" si="25"/>
        <v>Y</v>
      </c>
      <c r="AA587" s="4"/>
      <c r="AB587" s="4"/>
    </row>
    <row r="588" spans="1:28" x14ac:dyDescent="0.2">
      <c r="A588">
        <v>302</v>
      </c>
      <c r="B588" t="s">
        <v>367</v>
      </c>
      <c r="C588" t="s">
        <v>343</v>
      </c>
      <c r="E588">
        <v>2004</v>
      </c>
      <c r="F588" t="s">
        <v>504</v>
      </c>
      <c r="G588" t="s">
        <v>513</v>
      </c>
      <c r="H588" s="13">
        <v>44.05</v>
      </c>
      <c r="I588" s="13">
        <v>-68.95</v>
      </c>
      <c r="J588" s="13">
        <v>1978</v>
      </c>
      <c r="K588" s="13">
        <v>2001</v>
      </c>
      <c r="L588" s="13">
        <f t="shared" si="24"/>
        <v>24</v>
      </c>
      <c r="M588" t="s">
        <v>369</v>
      </c>
      <c r="N588" t="s">
        <v>51</v>
      </c>
      <c r="O588" t="s">
        <v>376</v>
      </c>
      <c r="P588" t="s">
        <v>130</v>
      </c>
      <c r="Q588" t="s">
        <v>50</v>
      </c>
      <c r="V588">
        <v>-7.3</v>
      </c>
      <c r="W588" t="s">
        <v>3</v>
      </c>
      <c r="X588" t="s">
        <v>3</v>
      </c>
      <c r="Y588" s="4" t="s">
        <v>518</v>
      </c>
      <c r="Z588" s="4" t="str">
        <f t="shared" si="25"/>
        <v>Y</v>
      </c>
      <c r="AA588" s="4"/>
      <c r="AB588" s="4"/>
    </row>
    <row r="589" spans="1:28" x14ac:dyDescent="0.2">
      <c r="A589">
        <v>303</v>
      </c>
      <c r="B589" t="s">
        <v>367</v>
      </c>
      <c r="C589" t="s">
        <v>343</v>
      </c>
      <c r="E589">
        <v>2004</v>
      </c>
      <c r="F589" t="s">
        <v>504</v>
      </c>
      <c r="G589" t="s">
        <v>513</v>
      </c>
      <c r="H589" s="13">
        <v>49.2</v>
      </c>
      <c r="I589" s="13">
        <v>-58.35</v>
      </c>
      <c r="J589" s="13">
        <v>1967</v>
      </c>
      <c r="K589" s="13">
        <v>1999</v>
      </c>
      <c r="L589" s="13">
        <f t="shared" si="24"/>
        <v>33</v>
      </c>
      <c r="M589" t="s">
        <v>369</v>
      </c>
      <c r="N589" t="s">
        <v>51</v>
      </c>
      <c r="O589" t="s">
        <v>376</v>
      </c>
      <c r="P589" t="s">
        <v>130</v>
      </c>
      <c r="Q589" t="s">
        <v>50</v>
      </c>
      <c r="V589">
        <v>-8.14</v>
      </c>
      <c r="W589" t="s">
        <v>3</v>
      </c>
      <c r="X589" t="s">
        <v>3</v>
      </c>
      <c r="Y589" s="4" t="s">
        <v>518</v>
      </c>
      <c r="Z589" s="4" t="str">
        <f t="shared" si="25"/>
        <v>Y</v>
      </c>
      <c r="AA589" s="4"/>
      <c r="AB589" s="4"/>
    </row>
    <row r="590" spans="1:28" x14ac:dyDescent="0.2">
      <c r="A590">
        <v>304</v>
      </c>
      <c r="B590" t="s">
        <v>367</v>
      </c>
      <c r="C590" t="s">
        <v>343</v>
      </c>
      <c r="E590">
        <v>2004</v>
      </c>
      <c r="F590" t="s">
        <v>504</v>
      </c>
      <c r="G590" t="s">
        <v>513</v>
      </c>
      <c r="H590" s="13">
        <v>41.25</v>
      </c>
      <c r="I590" s="13">
        <v>-72.349999999999994</v>
      </c>
      <c r="J590" s="13">
        <v>1978</v>
      </c>
      <c r="K590" s="13">
        <v>2000</v>
      </c>
      <c r="L590" s="13">
        <f t="shared" si="24"/>
        <v>23</v>
      </c>
      <c r="M590" t="s">
        <v>369</v>
      </c>
      <c r="N590" t="s">
        <v>51</v>
      </c>
      <c r="O590" t="s">
        <v>376</v>
      </c>
      <c r="P590" t="s">
        <v>130</v>
      </c>
      <c r="Q590" t="s">
        <v>50</v>
      </c>
      <c r="V590">
        <v>-8.4</v>
      </c>
      <c r="W590" t="s">
        <v>3</v>
      </c>
      <c r="X590" t="s">
        <v>3</v>
      </c>
      <c r="Y590" s="4" t="s">
        <v>518</v>
      </c>
      <c r="Z590" s="4" t="str">
        <f t="shared" si="25"/>
        <v>Y</v>
      </c>
      <c r="AA590" s="4"/>
      <c r="AB590" s="4"/>
    </row>
    <row r="591" spans="1:28" x14ac:dyDescent="0.2">
      <c r="A591">
        <v>305</v>
      </c>
      <c r="B591" t="s">
        <v>367</v>
      </c>
      <c r="C591" t="s">
        <v>343</v>
      </c>
      <c r="E591">
        <v>2004</v>
      </c>
      <c r="F591" t="s">
        <v>504</v>
      </c>
      <c r="G591" t="s">
        <v>513</v>
      </c>
      <c r="H591" s="13">
        <v>49.2</v>
      </c>
      <c r="I591" s="13">
        <v>-58.35</v>
      </c>
      <c r="J591" s="13">
        <v>1967</v>
      </c>
      <c r="K591" s="13">
        <v>1999</v>
      </c>
      <c r="L591" s="13">
        <f t="shared" si="24"/>
        <v>33</v>
      </c>
      <c r="M591" t="s">
        <v>369</v>
      </c>
      <c r="N591" t="s">
        <v>51</v>
      </c>
      <c r="O591" t="s">
        <v>376</v>
      </c>
      <c r="P591" t="s">
        <v>130</v>
      </c>
      <c r="Q591" t="s">
        <v>50</v>
      </c>
      <c r="V591">
        <v>-8.41</v>
      </c>
      <c r="W591" t="s">
        <v>3</v>
      </c>
      <c r="X591" t="s">
        <v>3</v>
      </c>
      <c r="Y591" s="4" t="s">
        <v>518</v>
      </c>
      <c r="Z591" s="4" t="str">
        <f t="shared" si="25"/>
        <v>Y</v>
      </c>
      <c r="AA591" s="4"/>
      <c r="AB591" s="4"/>
    </row>
    <row r="592" spans="1:28" x14ac:dyDescent="0.2">
      <c r="A592">
        <v>306</v>
      </c>
      <c r="B592" t="s">
        <v>367</v>
      </c>
      <c r="C592" t="s">
        <v>343</v>
      </c>
      <c r="E592">
        <v>2004</v>
      </c>
      <c r="F592" t="s">
        <v>504</v>
      </c>
      <c r="G592" t="s">
        <v>513</v>
      </c>
      <c r="H592" s="13">
        <v>41.25</v>
      </c>
      <c r="I592" s="13">
        <v>-72.349999999999994</v>
      </c>
      <c r="J592" s="13">
        <v>1978</v>
      </c>
      <c r="K592" s="13">
        <v>2000</v>
      </c>
      <c r="L592" s="13">
        <f t="shared" si="24"/>
        <v>23</v>
      </c>
      <c r="M592" t="s">
        <v>369</v>
      </c>
      <c r="N592" t="s">
        <v>51</v>
      </c>
      <c r="O592" t="s">
        <v>376</v>
      </c>
      <c r="P592" t="s">
        <v>130</v>
      </c>
      <c r="Q592" t="s">
        <v>50</v>
      </c>
      <c r="V592">
        <v>-8.8000000000000007</v>
      </c>
      <c r="W592" t="s">
        <v>3</v>
      </c>
      <c r="X592" t="s">
        <v>3</v>
      </c>
      <c r="Y592" s="4" t="s">
        <v>518</v>
      </c>
      <c r="Z592" s="4" t="str">
        <f t="shared" si="25"/>
        <v>Y</v>
      </c>
      <c r="AA592" s="4"/>
      <c r="AB592" s="4"/>
    </row>
    <row r="593" spans="1:28" x14ac:dyDescent="0.2">
      <c r="A593">
        <v>307</v>
      </c>
      <c r="B593" t="s">
        <v>367</v>
      </c>
      <c r="C593" t="s">
        <v>343</v>
      </c>
      <c r="E593">
        <v>2004</v>
      </c>
      <c r="F593" t="s">
        <v>504</v>
      </c>
      <c r="G593" t="s">
        <v>513</v>
      </c>
      <c r="H593" s="13">
        <v>49.2</v>
      </c>
      <c r="I593" s="13">
        <v>-58.35</v>
      </c>
      <c r="J593" s="13">
        <v>1967</v>
      </c>
      <c r="K593" s="13">
        <v>1999</v>
      </c>
      <c r="L593" s="13">
        <f t="shared" ref="L593:L624" si="26">K593-J593+1</f>
        <v>33</v>
      </c>
      <c r="M593" t="s">
        <v>369</v>
      </c>
      <c r="N593" t="s">
        <v>51</v>
      </c>
      <c r="O593" t="s">
        <v>376</v>
      </c>
      <c r="P593" t="s">
        <v>130</v>
      </c>
      <c r="Q593" t="s">
        <v>50</v>
      </c>
      <c r="V593">
        <v>-9.11</v>
      </c>
      <c r="W593" t="s">
        <v>3</v>
      </c>
      <c r="X593" t="s">
        <v>3</v>
      </c>
      <c r="Y593" s="4" t="s">
        <v>518</v>
      </c>
      <c r="Z593" s="4" t="str">
        <f t="shared" si="25"/>
        <v>Y</v>
      </c>
      <c r="AA593" s="4"/>
      <c r="AB593" s="4"/>
    </row>
    <row r="594" spans="1:28" x14ac:dyDescent="0.2">
      <c r="A594">
        <v>308</v>
      </c>
      <c r="B594" t="s">
        <v>367</v>
      </c>
      <c r="C594" t="s">
        <v>343</v>
      </c>
      <c r="E594">
        <v>2004</v>
      </c>
      <c r="F594" t="s">
        <v>504</v>
      </c>
      <c r="G594" t="s">
        <v>513</v>
      </c>
      <c r="H594" s="13">
        <v>44.05</v>
      </c>
      <c r="I594" s="13">
        <v>-68.95</v>
      </c>
      <c r="J594" s="13">
        <v>1978</v>
      </c>
      <c r="K594" s="13">
        <v>2001</v>
      </c>
      <c r="L594" s="13">
        <f t="shared" si="26"/>
        <v>24</v>
      </c>
      <c r="M594" t="s">
        <v>369</v>
      </c>
      <c r="N594" t="s">
        <v>51</v>
      </c>
      <c r="O594" t="s">
        <v>376</v>
      </c>
      <c r="P594" t="s">
        <v>130</v>
      </c>
      <c r="Q594" t="s">
        <v>50</v>
      </c>
      <c r="V594">
        <v>-9.6999999999999993</v>
      </c>
      <c r="W594" t="s">
        <v>3</v>
      </c>
      <c r="X594" t="s">
        <v>3</v>
      </c>
      <c r="Y594" s="4" t="s">
        <v>518</v>
      </c>
      <c r="Z594" s="4" t="str">
        <f t="shared" si="25"/>
        <v>Y</v>
      </c>
      <c r="AA594" s="4"/>
      <c r="AB594" s="4"/>
    </row>
    <row r="595" spans="1:28" x14ac:dyDescent="0.2">
      <c r="A595">
        <v>309</v>
      </c>
      <c r="B595" t="s">
        <v>367</v>
      </c>
      <c r="C595" t="s">
        <v>343</v>
      </c>
      <c r="E595">
        <v>2004</v>
      </c>
      <c r="F595" t="s">
        <v>504</v>
      </c>
      <c r="G595" t="s">
        <v>513</v>
      </c>
      <c r="H595" s="13">
        <v>47.17</v>
      </c>
      <c r="I595" s="13">
        <v>-65.03</v>
      </c>
      <c r="J595" s="13">
        <v>1953</v>
      </c>
      <c r="K595" s="13">
        <v>1992</v>
      </c>
      <c r="L595" s="13">
        <f t="shared" si="26"/>
        <v>40</v>
      </c>
      <c r="M595" t="s">
        <v>369</v>
      </c>
      <c r="N595" t="s">
        <v>51</v>
      </c>
      <c r="O595" t="s">
        <v>376</v>
      </c>
      <c r="P595" t="s">
        <v>130</v>
      </c>
      <c r="Q595" t="s">
        <v>50</v>
      </c>
      <c r="V595">
        <v>-19</v>
      </c>
      <c r="W595" t="s">
        <v>3</v>
      </c>
      <c r="X595" t="s">
        <v>3</v>
      </c>
      <c r="Y595" s="4" t="s">
        <v>518</v>
      </c>
      <c r="Z595" s="4" t="str">
        <f t="shared" si="25"/>
        <v>Y</v>
      </c>
      <c r="AA595" s="4"/>
      <c r="AB595" s="4"/>
    </row>
    <row r="596" spans="1:28" x14ac:dyDescent="0.2">
      <c r="A596">
        <v>310</v>
      </c>
      <c r="B596" t="s">
        <v>367</v>
      </c>
      <c r="C596" t="s">
        <v>343</v>
      </c>
      <c r="E596">
        <v>2004</v>
      </c>
      <c r="F596" t="s">
        <v>504</v>
      </c>
      <c r="G596" t="s">
        <v>513</v>
      </c>
      <c r="H596" s="13">
        <v>47.17</v>
      </c>
      <c r="I596" s="13">
        <v>-65.03</v>
      </c>
      <c r="J596" s="13">
        <v>1954</v>
      </c>
      <c r="K596" s="13">
        <v>1992</v>
      </c>
      <c r="L596" s="13">
        <f t="shared" si="26"/>
        <v>39</v>
      </c>
      <c r="M596" t="s">
        <v>369</v>
      </c>
      <c r="N596" t="s">
        <v>51</v>
      </c>
      <c r="O596" t="s">
        <v>376</v>
      </c>
      <c r="P596" t="s">
        <v>130</v>
      </c>
      <c r="Q596" t="s">
        <v>50</v>
      </c>
      <c r="V596">
        <v>-19.399999999999999</v>
      </c>
      <c r="W596" t="s">
        <v>3</v>
      </c>
      <c r="X596" t="s">
        <v>3</v>
      </c>
      <c r="Y596" s="4" t="s">
        <v>518</v>
      </c>
      <c r="Z596" s="4" t="str">
        <f t="shared" si="25"/>
        <v>Y</v>
      </c>
      <c r="AA596" s="4"/>
      <c r="AB596" s="4"/>
    </row>
    <row r="597" spans="1:28" x14ac:dyDescent="0.2">
      <c r="A597">
        <v>311</v>
      </c>
      <c r="B597" t="s">
        <v>367</v>
      </c>
      <c r="C597" t="s">
        <v>343</v>
      </c>
      <c r="E597">
        <v>2004</v>
      </c>
      <c r="F597" t="s">
        <v>504</v>
      </c>
      <c r="G597" t="s">
        <v>513</v>
      </c>
      <c r="H597" s="13">
        <v>47.17</v>
      </c>
      <c r="I597" s="13">
        <v>-65.03</v>
      </c>
      <c r="J597" s="13">
        <v>1954</v>
      </c>
      <c r="K597" s="13">
        <v>1992</v>
      </c>
      <c r="L597" s="13">
        <f t="shared" si="26"/>
        <v>39</v>
      </c>
      <c r="M597" t="s">
        <v>369</v>
      </c>
      <c r="N597" t="s">
        <v>51</v>
      </c>
      <c r="O597" t="s">
        <v>376</v>
      </c>
      <c r="P597" t="s">
        <v>130</v>
      </c>
      <c r="Q597" t="s">
        <v>50</v>
      </c>
      <c r="V597">
        <v>-21.3</v>
      </c>
      <c r="W597" t="s">
        <v>3</v>
      </c>
      <c r="X597" t="s">
        <v>3</v>
      </c>
      <c r="Y597" s="4" t="s">
        <v>518</v>
      </c>
      <c r="Z597" s="4" t="str">
        <f t="shared" si="25"/>
        <v>Y</v>
      </c>
      <c r="AA597" s="4"/>
      <c r="AB597" s="4"/>
    </row>
    <row r="598" spans="1:28" x14ac:dyDescent="0.2">
      <c r="A598">
        <v>312</v>
      </c>
      <c r="B598" t="s">
        <v>367</v>
      </c>
      <c r="C598" t="s">
        <v>343</v>
      </c>
      <c r="E598">
        <v>2004</v>
      </c>
      <c r="F598" t="s">
        <v>504</v>
      </c>
      <c r="G598" t="s">
        <v>513</v>
      </c>
      <c r="H598" s="13">
        <v>44.05</v>
      </c>
      <c r="I598" s="13">
        <v>-68.95</v>
      </c>
      <c r="J598" s="13">
        <v>1978</v>
      </c>
      <c r="K598" s="13">
        <v>2001</v>
      </c>
      <c r="L598" s="13">
        <f t="shared" si="26"/>
        <v>24</v>
      </c>
      <c r="M598" t="s">
        <v>369</v>
      </c>
      <c r="N598" t="s">
        <v>51</v>
      </c>
      <c r="O598" t="s">
        <v>376</v>
      </c>
      <c r="P598" t="s">
        <v>130</v>
      </c>
      <c r="Q598" t="s">
        <v>50</v>
      </c>
      <c r="V598">
        <v>-28.1</v>
      </c>
      <c r="W598" t="s">
        <v>3</v>
      </c>
      <c r="X598" t="s">
        <v>3</v>
      </c>
      <c r="Y598" s="4" t="s">
        <v>518</v>
      </c>
      <c r="Z598" s="4" t="str">
        <f t="shared" si="25"/>
        <v>Y</v>
      </c>
      <c r="AA598" s="4"/>
      <c r="AB598" s="4"/>
    </row>
    <row r="599" spans="1:28" x14ac:dyDescent="0.2">
      <c r="A599">
        <v>313</v>
      </c>
      <c r="B599" t="s">
        <v>367</v>
      </c>
      <c r="C599" t="s">
        <v>344</v>
      </c>
      <c r="E599">
        <v>2010</v>
      </c>
      <c r="F599" t="s">
        <v>502</v>
      </c>
      <c r="G599" t="s">
        <v>513</v>
      </c>
      <c r="H599" s="13">
        <v>55.2</v>
      </c>
      <c r="I599" s="13">
        <v>-6.53</v>
      </c>
      <c r="J599" s="13">
        <v>1978</v>
      </c>
      <c r="K599" s="13">
        <v>2008</v>
      </c>
      <c r="L599" s="13">
        <f t="shared" si="26"/>
        <v>31</v>
      </c>
      <c r="M599" t="s">
        <v>369</v>
      </c>
      <c r="N599" t="s">
        <v>51</v>
      </c>
      <c r="O599" t="s">
        <v>376</v>
      </c>
      <c r="P599" t="s">
        <v>130</v>
      </c>
      <c r="Q599" t="s">
        <v>50</v>
      </c>
      <c r="V599">
        <v>-3.6</v>
      </c>
      <c r="W599" t="s">
        <v>3</v>
      </c>
      <c r="X599" t="s">
        <v>3</v>
      </c>
      <c r="Y599" s="4" t="s">
        <v>518</v>
      </c>
      <c r="Z599" s="4" t="str">
        <f t="shared" si="25"/>
        <v>Y</v>
      </c>
      <c r="AA599" s="4"/>
      <c r="AB599" s="4"/>
    </row>
    <row r="600" spans="1:28" x14ac:dyDescent="0.2">
      <c r="A600">
        <v>314</v>
      </c>
      <c r="B600" t="s">
        <v>367</v>
      </c>
      <c r="C600" t="s">
        <v>345</v>
      </c>
      <c r="E600">
        <v>2004</v>
      </c>
      <c r="F600" t="s">
        <v>103</v>
      </c>
      <c r="G600" t="s">
        <v>513</v>
      </c>
      <c r="H600" s="13">
        <v>54.18</v>
      </c>
      <c r="I600" s="13">
        <v>7.9</v>
      </c>
      <c r="J600" s="13">
        <v>1962</v>
      </c>
      <c r="K600" s="13">
        <v>2002</v>
      </c>
      <c r="L600" s="13">
        <f t="shared" si="26"/>
        <v>41</v>
      </c>
      <c r="M600" t="s">
        <v>369</v>
      </c>
      <c r="N600" t="s">
        <v>299</v>
      </c>
      <c r="O600" t="s">
        <v>381</v>
      </c>
      <c r="P600" t="s">
        <v>165</v>
      </c>
      <c r="Q600" t="s">
        <v>165</v>
      </c>
      <c r="V600" t="s">
        <v>165</v>
      </c>
      <c r="W600" t="s">
        <v>164</v>
      </c>
      <c r="X600" t="s">
        <v>3</v>
      </c>
      <c r="Y600" t="s">
        <v>518</v>
      </c>
      <c r="Z600" s="4" t="str">
        <f t="shared" si="25"/>
        <v>Y</v>
      </c>
    </row>
    <row r="601" spans="1:28" x14ac:dyDescent="0.2">
      <c r="A601">
        <v>315</v>
      </c>
      <c r="B601" t="s">
        <v>367</v>
      </c>
      <c r="C601" t="s">
        <v>345</v>
      </c>
      <c r="E601">
        <v>2004</v>
      </c>
      <c r="F601" t="s">
        <v>103</v>
      </c>
      <c r="G601" t="s">
        <v>513</v>
      </c>
      <c r="H601" s="13">
        <v>54.18</v>
      </c>
      <c r="I601" s="13">
        <v>7.9</v>
      </c>
      <c r="J601" s="13">
        <v>1962</v>
      </c>
      <c r="K601" s="13">
        <v>2002</v>
      </c>
      <c r="L601" s="13">
        <f t="shared" si="26"/>
        <v>41</v>
      </c>
      <c r="M601" t="s">
        <v>369</v>
      </c>
      <c r="N601" t="s">
        <v>299</v>
      </c>
      <c r="O601" t="s">
        <v>381</v>
      </c>
      <c r="P601" t="s">
        <v>165</v>
      </c>
      <c r="Q601" t="s">
        <v>165</v>
      </c>
      <c r="V601" t="s">
        <v>165</v>
      </c>
      <c r="W601" t="s">
        <v>164</v>
      </c>
      <c r="X601" t="s">
        <v>3</v>
      </c>
      <c r="Y601" t="s">
        <v>518</v>
      </c>
      <c r="Z601" s="4" t="str">
        <f t="shared" si="25"/>
        <v>Y</v>
      </c>
    </row>
    <row r="602" spans="1:28" x14ac:dyDescent="0.2">
      <c r="A602">
        <v>316</v>
      </c>
      <c r="B602" t="s">
        <v>367</v>
      </c>
      <c r="C602" t="s">
        <v>345</v>
      </c>
      <c r="E602">
        <v>2004</v>
      </c>
      <c r="F602" t="s">
        <v>103</v>
      </c>
      <c r="G602" t="s">
        <v>513</v>
      </c>
      <c r="H602" s="13">
        <v>54.18</v>
      </c>
      <c r="I602" s="13">
        <v>7.9</v>
      </c>
      <c r="J602" s="13">
        <v>1962</v>
      </c>
      <c r="K602" s="13">
        <v>2002</v>
      </c>
      <c r="L602" s="13">
        <f t="shared" si="26"/>
        <v>41</v>
      </c>
      <c r="M602" t="s">
        <v>369</v>
      </c>
      <c r="N602" t="s">
        <v>299</v>
      </c>
      <c r="O602" t="s">
        <v>381</v>
      </c>
      <c r="P602" t="s">
        <v>165</v>
      </c>
      <c r="Q602" t="s">
        <v>165</v>
      </c>
      <c r="V602" t="s">
        <v>165</v>
      </c>
      <c r="W602" t="s">
        <v>164</v>
      </c>
      <c r="X602" t="s">
        <v>3</v>
      </c>
      <c r="Y602" t="s">
        <v>518</v>
      </c>
      <c r="Z602" s="4" t="str">
        <f t="shared" si="25"/>
        <v>Y</v>
      </c>
    </row>
    <row r="603" spans="1:28" x14ac:dyDescent="0.2">
      <c r="A603">
        <v>317</v>
      </c>
      <c r="B603" t="s">
        <v>367</v>
      </c>
      <c r="C603" t="s">
        <v>345</v>
      </c>
      <c r="E603">
        <v>2004</v>
      </c>
      <c r="F603" t="s">
        <v>103</v>
      </c>
      <c r="G603" t="s">
        <v>513</v>
      </c>
      <c r="H603" s="13">
        <v>54.18</v>
      </c>
      <c r="I603" s="13">
        <v>7.9</v>
      </c>
      <c r="J603" s="13">
        <v>1962</v>
      </c>
      <c r="K603" s="13">
        <v>2002</v>
      </c>
      <c r="L603" s="13">
        <f t="shared" si="26"/>
        <v>41</v>
      </c>
      <c r="M603" t="s">
        <v>369</v>
      </c>
      <c r="N603" t="s">
        <v>299</v>
      </c>
      <c r="O603" t="s">
        <v>381</v>
      </c>
      <c r="P603" t="s">
        <v>165</v>
      </c>
      <c r="Q603" t="s">
        <v>165</v>
      </c>
      <c r="V603" t="s">
        <v>165</v>
      </c>
      <c r="W603" t="s">
        <v>3</v>
      </c>
      <c r="X603" t="s">
        <v>3</v>
      </c>
      <c r="Y603" t="s">
        <v>518</v>
      </c>
      <c r="Z603" s="4" t="str">
        <f t="shared" si="25"/>
        <v>Y</v>
      </c>
    </row>
    <row r="604" spans="1:28" x14ac:dyDescent="0.2">
      <c r="A604">
        <v>318</v>
      </c>
      <c r="B604" t="s">
        <v>367</v>
      </c>
      <c r="C604" t="s">
        <v>346</v>
      </c>
      <c r="E604">
        <v>2004</v>
      </c>
      <c r="F604" t="s">
        <v>103</v>
      </c>
      <c r="G604" t="s">
        <v>513</v>
      </c>
      <c r="H604" s="13">
        <v>55</v>
      </c>
      <c r="I604" s="13">
        <v>5</v>
      </c>
      <c r="J604" s="13">
        <v>1958</v>
      </c>
      <c r="K604" s="13">
        <v>2002</v>
      </c>
      <c r="L604" s="13">
        <f t="shared" si="26"/>
        <v>45</v>
      </c>
      <c r="M604" t="s">
        <v>369</v>
      </c>
      <c r="N604" t="s">
        <v>299</v>
      </c>
      <c r="O604" t="s">
        <v>375</v>
      </c>
      <c r="P604" t="s">
        <v>165</v>
      </c>
      <c r="Q604" t="s">
        <v>395</v>
      </c>
      <c r="V604">
        <v>-8.6045324440000002</v>
      </c>
      <c r="W604" t="s">
        <v>3</v>
      </c>
      <c r="X604" t="s">
        <v>3</v>
      </c>
      <c r="Y604" t="s">
        <v>522</v>
      </c>
      <c r="Z604" s="4" t="str">
        <f t="shared" si="25"/>
        <v>Y</v>
      </c>
    </row>
    <row r="605" spans="1:28" x14ac:dyDescent="0.2">
      <c r="A605">
        <v>319</v>
      </c>
      <c r="B605" t="s">
        <v>367</v>
      </c>
      <c r="C605" t="s">
        <v>346</v>
      </c>
      <c r="E605">
        <v>2004</v>
      </c>
      <c r="F605" t="s">
        <v>103</v>
      </c>
      <c r="G605" t="s">
        <v>513</v>
      </c>
      <c r="H605" s="13">
        <v>55</v>
      </c>
      <c r="I605" s="13">
        <v>5</v>
      </c>
      <c r="J605" s="13">
        <v>1958</v>
      </c>
      <c r="K605" s="13">
        <v>2002</v>
      </c>
      <c r="L605" s="13">
        <f t="shared" si="26"/>
        <v>45</v>
      </c>
      <c r="M605" t="s">
        <v>369</v>
      </c>
      <c r="N605" t="s">
        <v>299</v>
      </c>
      <c r="O605" t="s">
        <v>375</v>
      </c>
      <c r="P605" t="s">
        <v>165</v>
      </c>
      <c r="Q605" t="s">
        <v>396</v>
      </c>
      <c r="V605">
        <v>-8.3322182779999991</v>
      </c>
      <c r="W605" t="s">
        <v>3</v>
      </c>
      <c r="X605" t="s">
        <v>3</v>
      </c>
      <c r="Y605" t="s">
        <v>522</v>
      </c>
      <c r="Z605" s="4" t="str">
        <f t="shared" si="25"/>
        <v>Y</v>
      </c>
    </row>
    <row r="606" spans="1:28" x14ac:dyDescent="0.2">
      <c r="A606">
        <v>320</v>
      </c>
      <c r="B606" t="s">
        <v>367</v>
      </c>
      <c r="C606" t="s">
        <v>346</v>
      </c>
      <c r="E606">
        <v>2004</v>
      </c>
      <c r="F606" t="s">
        <v>103</v>
      </c>
      <c r="G606" t="s">
        <v>513</v>
      </c>
      <c r="H606" s="13">
        <v>55</v>
      </c>
      <c r="I606" s="13">
        <v>5</v>
      </c>
      <c r="J606" s="13">
        <v>1958</v>
      </c>
      <c r="K606" s="13">
        <v>2002</v>
      </c>
      <c r="L606" s="13">
        <f t="shared" si="26"/>
        <v>45</v>
      </c>
      <c r="M606" t="s">
        <v>369</v>
      </c>
      <c r="N606" t="s">
        <v>299</v>
      </c>
      <c r="O606" t="s">
        <v>381</v>
      </c>
      <c r="P606" t="s">
        <v>165</v>
      </c>
      <c r="Q606" t="s">
        <v>397</v>
      </c>
      <c r="V606">
        <v>-7.5405727220000003</v>
      </c>
      <c r="W606" t="s">
        <v>3</v>
      </c>
      <c r="X606" t="s">
        <v>3</v>
      </c>
      <c r="Y606" t="s">
        <v>522</v>
      </c>
      <c r="Z606" s="4" t="str">
        <f t="shared" si="25"/>
        <v>Y</v>
      </c>
    </row>
    <row r="607" spans="1:28" x14ac:dyDescent="0.2">
      <c r="A607">
        <v>433</v>
      </c>
      <c r="B607" t="s">
        <v>367</v>
      </c>
      <c r="C607" t="s">
        <v>362</v>
      </c>
      <c r="E607">
        <v>2009</v>
      </c>
      <c r="F607" t="s">
        <v>103</v>
      </c>
      <c r="G607" t="s">
        <v>513</v>
      </c>
      <c r="H607" s="13">
        <v>55.62</v>
      </c>
      <c r="I607" s="13">
        <v>-1.63</v>
      </c>
      <c r="J607" s="13">
        <v>1979</v>
      </c>
      <c r="K607" s="13">
        <v>2006</v>
      </c>
      <c r="L607" s="13">
        <f t="shared" si="26"/>
        <v>28</v>
      </c>
      <c r="M607" t="s">
        <v>369</v>
      </c>
      <c r="N607" t="s">
        <v>380</v>
      </c>
      <c r="O607" t="s">
        <v>380</v>
      </c>
      <c r="P607" t="s">
        <v>139</v>
      </c>
      <c r="Q607" t="s">
        <v>455</v>
      </c>
      <c r="V607">
        <v>-1.5</v>
      </c>
      <c r="W607" t="s">
        <v>3</v>
      </c>
      <c r="X607" t="s">
        <v>3</v>
      </c>
      <c r="Y607" t="s">
        <v>523</v>
      </c>
      <c r="Z607" s="4" t="str">
        <f t="shared" si="25"/>
        <v>Y</v>
      </c>
    </row>
    <row r="608" spans="1:28" x14ac:dyDescent="0.2">
      <c r="A608">
        <v>434</v>
      </c>
      <c r="B608" t="s">
        <v>367</v>
      </c>
      <c r="C608" t="s">
        <v>362</v>
      </c>
      <c r="E608">
        <v>2009</v>
      </c>
      <c r="F608" t="s">
        <v>103</v>
      </c>
      <c r="G608" t="s">
        <v>513</v>
      </c>
      <c r="H608" s="13">
        <v>55.62</v>
      </c>
      <c r="I608" s="13">
        <v>-1.63</v>
      </c>
      <c r="J608" s="13">
        <v>1976</v>
      </c>
      <c r="K608" s="13">
        <v>2006</v>
      </c>
      <c r="L608" s="13">
        <f t="shared" si="26"/>
        <v>31</v>
      </c>
      <c r="M608" t="s">
        <v>369</v>
      </c>
      <c r="N608" t="s">
        <v>380</v>
      </c>
      <c r="O608" t="s">
        <v>380</v>
      </c>
      <c r="P608" t="s">
        <v>141</v>
      </c>
      <c r="Q608" t="s">
        <v>457</v>
      </c>
      <c r="V608">
        <v>-0.18</v>
      </c>
      <c r="W608" t="s">
        <v>3</v>
      </c>
      <c r="X608" t="s">
        <v>3</v>
      </c>
      <c r="Y608" t="s">
        <v>523</v>
      </c>
      <c r="Z608" s="4" t="str">
        <f t="shared" si="25"/>
        <v>Y</v>
      </c>
    </row>
    <row r="609" spans="1:92" x14ac:dyDescent="0.2">
      <c r="A609">
        <v>435</v>
      </c>
      <c r="B609" t="s">
        <v>367</v>
      </c>
      <c r="C609" t="s">
        <v>362</v>
      </c>
      <c r="E609">
        <v>2009</v>
      </c>
      <c r="F609" t="s">
        <v>103</v>
      </c>
      <c r="G609" t="s">
        <v>513</v>
      </c>
      <c r="H609" s="13">
        <v>55.62</v>
      </c>
      <c r="I609" s="13">
        <v>-1.63</v>
      </c>
      <c r="J609" s="13">
        <v>1976</v>
      </c>
      <c r="K609" s="13">
        <v>2006</v>
      </c>
      <c r="L609" s="13">
        <f t="shared" si="26"/>
        <v>31</v>
      </c>
      <c r="M609" t="s">
        <v>369</v>
      </c>
      <c r="N609" t="s">
        <v>380</v>
      </c>
      <c r="O609" t="s">
        <v>380</v>
      </c>
      <c r="P609" t="s">
        <v>142</v>
      </c>
      <c r="Q609" t="s">
        <v>458</v>
      </c>
      <c r="V609">
        <v>-0.45</v>
      </c>
      <c r="W609" t="s">
        <v>3</v>
      </c>
      <c r="X609" t="s">
        <v>3</v>
      </c>
      <c r="Y609" t="s">
        <v>523</v>
      </c>
      <c r="Z609" s="4" t="str">
        <f t="shared" si="25"/>
        <v>Y</v>
      </c>
    </row>
    <row r="610" spans="1:92" x14ac:dyDescent="0.2">
      <c r="A610">
        <v>436</v>
      </c>
      <c r="B610" t="s">
        <v>367</v>
      </c>
      <c r="C610" t="s">
        <v>362</v>
      </c>
      <c r="E610">
        <v>2009</v>
      </c>
      <c r="F610" t="s">
        <v>103</v>
      </c>
      <c r="G610" t="s">
        <v>513</v>
      </c>
      <c r="H610" s="13">
        <v>55.62</v>
      </c>
      <c r="I610" s="13">
        <v>-1.63</v>
      </c>
      <c r="J610" s="13">
        <v>1972</v>
      </c>
      <c r="K610" s="13">
        <v>2006</v>
      </c>
      <c r="L610" s="13">
        <f t="shared" si="26"/>
        <v>35</v>
      </c>
      <c r="M610" t="s">
        <v>369</v>
      </c>
      <c r="N610" t="s">
        <v>380</v>
      </c>
      <c r="O610" t="s">
        <v>380</v>
      </c>
      <c r="P610" t="s">
        <v>143</v>
      </c>
      <c r="Q610" t="s">
        <v>459</v>
      </c>
      <c r="V610">
        <v>-1.6</v>
      </c>
      <c r="W610" t="s">
        <v>3</v>
      </c>
      <c r="X610" t="s">
        <v>3</v>
      </c>
      <c r="Y610" t="s">
        <v>523</v>
      </c>
      <c r="Z610" s="4" t="str">
        <f t="shared" si="25"/>
        <v>Y</v>
      </c>
    </row>
    <row r="611" spans="1:92" x14ac:dyDescent="0.2">
      <c r="A611">
        <v>437</v>
      </c>
      <c r="B611" t="s">
        <v>367</v>
      </c>
      <c r="C611" t="s">
        <v>362</v>
      </c>
      <c r="E611">
        <v>2009</v>
      </c>
      <c r="F611" t="s">
        <v>103</v>
      </c>
      <c r="G611" t="s">
        <v>513</v>
      </c>
      <c r="H611" s="13">
        <v>55.62</v>
      </c>
      <c r="I611" s="13">
        <v>-1.63</v>
      </c>
      <c r="J611" s="13">
        <v>1971</v>
      </c>
      <c r="K611" s="13">
        <v>2006</v>
      </c>
      <c r="L611" s="13">
        <f t="shared" si="26"/>
        <v>36</v>
      </c>
      <c r="M611" t="s">
        <v>369</v>
      </c>
      <c r="N611" t="s">
        <v>380</v>
      </c>
      <c r="O611" t="s">
        <v>380</v>
      </c>
      <c r="P611" t="s">
        <v>141</v>
      </c>
      <c r="Q611" t="s">
        <v>457</v>
      </c>
      <c r="V611">
        <v>-6.2</v>
      </c>
      <c r="W611" t="s">
        <v>3</v>
      </c>
      <c r="X611" t="s">
        <v>3</v>
      </c>
      <c r="Y611" t="s">
        <v>523</v>
      </c>
      <c r="Z611" s="4" t="str">
        <f t="shared" si="25"/>
        <v>Y</v>
      </c>
    </row>
    <row r="612" spans="1:92" x14ac:dyDescent="0.2">
      <c r="A612">
        <v>438</v>
      </c>
      <c r="B612" t="s">
        <v>367</v>
      </c>
      <c r="C612" t="s">
        <v>362</v>
      </c>
      <c r="E612">
        <v>2009</v>
      </c>
      <c r="F612" t="s">
        <v>103</v>
      </c>
      <c r="G612" t="s">
        <v>513</v>
      </c>
      <c r="H612" s="13">
        <v>55.62</v>
      </c>
      <c r="I612" s="13">
        <v>-1.63</v>
      </c>
      <c r="J612" s="13">
        <v>1974</v>
      </c>
      <c r="K612" s="13">
        <v>2006</v>
      </c>
      <c r="L612" s="13">
        <f t="shared" si="26"/>
        <v>33</v>
      </c>
      <c r="M612" t="s">
        <v>369</v>
      </c>
      <c r="N612" t="s">
        <v>380</v>
      </c>
      <c r="O612" t="s">
        <v>380</v>
      </c>
      <c r="P612" t="s">
        <v>142</v>
      </c>
      <c r="Q612" t="s">
        <v>458</v>
      </c>
      <c r="V612">
        <v>-6.7</v>
      </c>
      <c r="W612" t="s">
        <v>3</v>
      </c>
      <c r="X612" t="s">
        <v>3</v>
      </c>
      <c r="Y612" t="s">
        <v>523</v>
      </c>
      <c r="Z612" s="4" t="str">
        <f t="shared" si="25"/>
        <v>Y</v>
      </c>
    </row>
    <row r="613" spans="1:92" x14ac:dyDescent="0.2">
      <c r="A613">
        <v>439</v>
      </c>
      <c r="B613" t="s">
        <v>367</v>
      </c>
      <c r="C613" t="s">
        <v>362</v>
      </c>
      <c r="E613">
        <v>2009</v>
      </c>
      <c r="F613" t="s">
        <v>103</v>
      </c>
      <c r="G613" t="s">
        <v>513</v>
      </c>
      <c r="H613" s="13">
        <v>55.62</v>
      </c>
      <c r="I613" s="13">
        <v>-1.63</v>
      </c>
      <c r="J613" s="13">
        <v>1971</v>
      </c>
      <c r="K613" s="13">
        <v>2006</v>
      </c>
      <c r="L613" s="13">
        <f t="shared" si="26"/>
        <v>36</v>
      </c>
      <c r="M613" t="s">
        <v>369</v>
      </c>
      <c r="N613" t="s">
        <v>380</v>
      </c>
      <c r="O613" t="s">
        <v>380</v>
      </c>
      <c r="P613" t="s">
        <v>143</v>
      </c>
      <c r="Q613" t="s">
        <v>459</v>
      </c>
      <c r="V613">
        <v>-3.6</v>
      </c>
      <c r="W613" t="s">
        <v>3</v>
      </c>
      <c r="X613" t="s">
        <v>3</v>
      </c>
      <c r="Y613" t="s">
        <v>523</v>
      </c>
      <c r="Z613" s="4" t="str">
        <f t="shared" si="25"/>
        <v>Y</v>
      </c>
    </row>
    <row r="614" spans="1:92" x14ac:dyDescent="0.2">
      <c r="A614">
        <v>440</v>
      </c>
      <c r="B614" s="4" t="s">
        <v>367</v>
      </c>
      <c r="C614" s="4" t="s">
        <v>363</v>
      </c>
      <c r="D614" s="4"/>
      <c r="E614" s="4">
        <v>2008</v>
      </c>
      <c r="F614" s="4" t="s">
        <v>502</v>
      </c>
      <c r="G614" s="4" t="s">
        <v>513</v>
      </c>
      <c r="H614" s="37">
        <v>55</v>
      </c>
      <c r="I614" s="37">
        <v>-5</v>
      </c>
      <c r="J614" s="37">
        <v>1980</v>
      </c>
      <c r="K614" s="37">
        <v>2007</v>
      </c>
      <c r="L614" s="37">
        <f t="shared" si="26"/>
        <v>28</v>
      </c>
      <c r="M614" s="4" t="s">
        <v>370</v>
      </c>
      <c r="N614" s="4" t="s">
        <v>380</v>
      </c>
      <c r="O614" s="4" t="s">
        <v>380</v>
      </c>
      <c r="P614" s="4" t="s">
        <v>499</v>
      </c>
      <c r="Q614" s="4" t="s">
        <v>460</v>
      </c>
      <c r="R614" s="4"/>
      <c r="V614" s="4">
        <v>2.1</v>
      </c>
      <c r="W614" s="4" t="s">
        <v>24</v>
      </c>
      <c r="X614" s="4" t="s">
        <v>3</v>
      </c>
      <c r="Y614" t="s">
        <v>523</v>
      </c>
      <c r="Z614" s="4" t="str">
        <f t="shared" si="25"/>
        <v>Y</v>
      </c>
      <c r="AA614" s="4"/>
      <c r="AB614" s="4"/>
      <c r="AC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row>
    <row r="615" spans="1:92" x14ac:dyDescent="0.2">
      <c r="A615">
        <v>365</v>
      </c>
      <c r="B615" t="s">
        <v>367</v>
      </c>
      <c r="C615" t="s">
        <v>353</v>
      </c>
      <c r="E615">
        <v>2010</v>
      </c>
      <c r="F615" t="s">
        <v>502</v>
      </c>
      <c r="G615" t="s">
        <v>513</v>
      </c>
      <c r="H615" s="13">
        <v>64.02</v>
      </c>
      <c r="I615" s="13">
        <v>-22.71</v>
      </c>
      <c r="J615" s="13">
        <v>1977</v>
      </c>
      <c r="K615" s="13">
        <v>2006</v>
      </c>
      <c r="L615" s="13">
        <f t="shared" si="26"/>
        <v>30</v>
      </c>
      <c r="M615" t="s">
        <v>369</v>
      </c>
      <c r="N615" t="s">
        <v>380</v>
      </c>
      <c r="O615" t="s">
        <v>380</v>
      </c>
      <c r="P615" t="s">
        <v>135</v>
      </c>
      <c r="Q615" t="s">
        <v>421</v>
      </c>
      <c r="V615">
        <v>-2.8</v>
      </c>
      <c r="W615" t="s">
        <v>3</v>
      </c>
      <c r="X615" t="s">
        <v>3</v>
      </c>
      <c r="Y615" t="s">
        <v>523</v>
      </c>
      <c r="Z615" s="4" t="str">
        <f t="shared" si="25"/>
        <v>Y</v>
      </c>
    </row>
    <row r="616" spans="1:92" x14ac:dyDescent="0.2">
      <c r="A616">
        <v>150</v>
      </c>
      <c r="B616" t="s">
        <v>366</v>
      </c>
      <c r="C616" t="s">
        <v>303</v>
      </c>
      <c r="E616">
        <v>2012</v>
      </c>
      <c r="F616" t="s">
        <v>76</v>
      </c>
      <c r="G616" t="s">
        <v>514</v>
      </c>
      <c r="H616" s="13">
        <v>-38.516666666666666</v>
      </c>
      <c r="I616" s="13">
        <v>145.13333333333333</v>
      </c>
      <c r="J616" s="13">
        <v>1968</v>
      </c>
      <c r="K616" s="13">
        <v>1998</v>
      </c>
      <c r="L616" s="13">
        <f t="shared" si="26"/>
        <v>31</v>
      </c>
      <c r="N616" t="s">
        <v>380</v>
      </c>
      <c r="O616" t="s">
        <v>380</v>
      </c>
      <c r="P616" t="s">
        <v>305</v>
      </c>
      <c r="Q616" t="s">
        <v>80</v>
      </c>
      <c r="R616" t="s">
        <v>955</v>
      </c>
      <c r="V616">
        <f>0.04*10</f>
        <v>0.4</v>
      </c>
      <c r="W616" t="s">
        <v>24</v>
      </c>
      <c r="X616" s="2" t="s">
        <v>3</v>
      </c>
      <c r="Y616" t="s">
        <v>366</v>
      </c>
      <c r="Z616" s="4" t="str">
        <f t="shared" si="25"/>
        <v>Y</v>
      </c>
      <c r="AC616" s="4" t="s">
        <v>104</v>
      </c>
      <c r="AD616" s="2"/>
      <c r="AE616" s="2"/>
      <c r="AF616" s="2"/>
    </row>
    <row r="617" spans="1:92" x14ac:dyDescent="0.2">
      <c r="A617">
        <v>151</v>
      </c>
      <c r="B617" t="s">
        <v>366</v>
      </c>
      <c r="C617" t="s">
        <v>99</v>
      </c>
      <c r="E617">
        <v>2012</v>
      </c>
      <c r="F617" t="s">
        <v>101</v>
      </c>
      <c r="G617" t="s">
        <v>514</v>
      </c>
      <c r="H617" s="13">
        <v>-54.620800000000003</v>
      </c>
      <c r="I617" s="13">
        <v>158.85560000000001</v>
      </c>
      <c r="J617" s="13">
        <v>1964</v>
      </c>
      <c r="K617" s="13">
        <v>1999</v>
      </c>
      <c r="L617" s="13">
        <f t="shared" si="26"/>
        <v>36</v>
      </c>
      <c r="N617" t="s">
        <v>380</v>
      </c>
      <c r="O617" t="s">
        <v>380</v>
      </c>
      <c r="P617" t="s">
        <v>100</v>
      </c>
      <c r="Q617" t="s">
        <v>81</v>
      </c>
      <c r="V617">
        <f>-0.108*10</f>
        <v>-1.08</v>
      </c>
      <c r="W617" t="s">
        <v>3</v>
      </c>
      <c r="X617" s="2" t="s">
        <v>3</v>
      </c>
      <c r="Y617" t="s">
        <v>366</v>
      </c>
      <c r="Z617" s="4" t="str">
        <f t="shared" si="25"/>
        <v>Y</v>
      </c>
      <c r="AC617" s="4" t="s">
        <v>104</v>
      </c>
      <c r="AD617" s="2"/>
      <c r="AE617" s="2"/>
      <c r="AF617" s="2"/>
    </row>
    <row r="618" spans="1:92" x14ac:dyDescent="0.2">
      <c r="B618" t="s">
        <v>366</v>
      </c>
      <c r="C618" t="s">
        <v>945</v>
      </c>
      <c r="E618">
        <v>2012</v>
      </c>
      <c r="F618" t="s">
        <v>103</v>
      </c>
      <c r="G618" t="s">
        <v>513</v>
      </c>
      <c r="H618" s="13">
        <v>56.5</v>
      </c>
      <c r="I618" s="13">
        <v>-1.5</v>
      </c>
      <c r="J618" s="13">
        <v>1983</v>
      </c>
      <c r="K618" s="13">
        <v>2006</v>
      </c>
      <c r="L618" s="13">
        <f t="shared" si="26"/>
        <v>24</v>
      </c>
      <c r="M618" t="s">
        <v>369</v>
      </c>
      <c r="N618" t="s">
        <v>380</v>
      </c>
      <c r="O618" t="s">
        <v>380</v>
      </c>
      <c r="P618" t="s">
        <v>380</v>
      </c>
      <c r="Q618" t="s">
        <v>950</v>
      </c>
      <c r="R618" t="s">
        <v>955</v>
      </c>
      <c r="V618">
        <v>2.9202887215356701</v>
      </c>
      <c r="W618" t="s">
        <v>24</v>
      </c>
      <c r="X618" t="s">
        <v>3</v>
      </c>
      <c r="Y618" t="s">
        <v>366</v>
      </c>
      <c r="Z618" s="4" t="str">
        <f t="shared" si="25"/>
        <v>Y</v>
      </c>
      <c r="AC618" t="s">
        <v>958</v>
      </c>
    </row>
    <row r="619" spans="1:92" x14ac:dyDescent="0.2">
      <c r="B619" t="s">
        <v>366</v>
      </c>
      <c r="C619" t="s">
        <v>945</v>
      </c>
      <c r="E619">
        <v>2012</v>
      </c>
      <c r="F619" t="s">
        <v>103</v>
      </c>
      <c r="G619" t="s">
        <v>513</v>
      </c>
      <c r="H619" s="13">
        <v>56.5</v>
      </c>
      <c r="I619" s="13">
        <v>-1.5</v>
      </c>
      <c r="J619" s="13">
        <v>1983</v>
      </c>
      <c r="K619" s="13">
        <v>2006</v>
      </c>
      <c r="L619" s="13">
        <f t="shared" si="26"/>
        <v>24</v>
      </c>
      <c r="M619" t="s">
        <v>369</v>
      </c>
      <c r="N619" t="s">
        <v>380</v>
      </c>
      <c r="O619" t="s">
        <v>380</v>
      </c>
      <c r="P619" t="s">
        <v>380</v>
      </c>
      <c r="Q619" t="s">
        <v>138</v>
      </c>
      <c r="R619" t="s">
        <v>955</v>
      </c>
      <c r="V619">
        <v>1.40360678450915</v>
      </c>
      <c r="W619" t="s">
        <v>24</v>
      </c>
      <c r="X619" t="s">
        <v>3</v>
      </c>
      <c r="Y619" t="s">
        <v>366</v>
      </c>
      <c r="Z619" s="4" t="str">
        <f t="shared" si="25"/>
        <v>Y</v>
      </c>
      <c r="AC619" t="s">
        <v>958</v>
      </c>
    </row>
    <row r="620" spans="1:92" x14ac:dyDescent="0.2">
      <c r="B620" t="s">
        <v>366</v>
      </c>
      <c r="C620" t="s">
        <v>945</v>
      </c>
      <c r="E620">
        <v>2012</v>
      </c>
      <c r="F620" t="s">
        <v>103</v>
      </c>
      <c r="G620" t="s">
        <v>513</v>
      </c>
      <c r="H620" s="13">
        <v>56.5</v>
      </c>
      <c r="I620" s="13">
        <v>-1.5</v>
      </c>
      <c r="J620" s="13">
        <v>1983</v>
      </c>
      <c r="K620" s="13">
        <v>2006</v>
      </c>
      <c r="L620" s="13">
        <f t="shared" si="26"/>
        <v>24</v>
      </c>
      <c r="M620" t="s">
        <v>369</v>
      </c>
      <c r="N620" t="s">
        <v>380</v>
      </c>
      <c r="O620" t="s">
        <v>380</v>
      </c>
      <c r="P620" t="s">
        <v>380</v>
      </c>
      <c r="Q620" t="s">
        <v>951</v>
      </c>
      <c r="R620" t="s">
        <v>931</v>
      </c>
      <c r="V620">
        <v>-5.1817917718831703</v>
      </c>
      <c r="W620" t="s">
        <v>3</v>
      </c>
      <c r="X620" t="s">
        <v>3</v>
      </c>
      <c r="Y620" t="s">
        <v>366</v>
      </c>
      <c r="Z620" s="4" t="str">
        <f t="shared" si="25"/>
        <v>Y</v>
      </c>
      <c r="AC620" t="s">
        <v>956</v>
      </c>
    </row>
    <row r="621" spans="1:92" x14ac:dyDescent="0.2">
      <c r="B621" t="s">
        <v>366</v>
      </c>
      <c r="C621" t="s">
        <v>945</v>
      </c>
      <c r="E621">
        <v>2012</v>
      </c>
      <c r="F621" t="s">
        <v>103</v>
      </c>
      <c r="G621" t="s">
        <v>513</v>
      </c>
      <c r="H621" s="13">
        <v>56.5</v>
      </c>
      <c r="I621" s="13">
        <v>-1.5</v>
      </c>
      <c r="J621" s="13">
        <v>1983</v>
      </c>
      <c r="K621" s="13">
        <v>2006</v>
      </c>
      <c r="L621" s="13">
        <f t="shared" si="26"/>
        <v>24</v>
      </c>
      <c r="M621" t="s">
        <v>369</v>
      </c>
      <c r="N621" t="s">
        <v>380</v>
      </c>
      <c r="O621" t="s">
        <v>380</v>
      </c>
      <c r="P621" t="s">
        <v>380</v>
      </c>
      <c r="Q621" t="s">
        <v>952</v>
      </c>
      <c r="R621" t="s">
        <v>954</v>
      </c>
      <c r="V621">
        <v>6.8631701267067404</v>
      </c>
      <c r="W621" t="s">
        <v>24</v>
      </c>
      <c r="X621" t="s">
        <v>3</v>
      </c>
      <c r="Y621" t="s">
        <v>366</v>
      </c>
      <c r="Z621" s="4" t="str">
        <f t="shared" si="25"/>
        <v>Y</v>
      </c>
      <c r="AC621" t="s">
        <v>956</v>
      </c>
    </row>
    <row r="622" spans="1:92" x14ac:dyDescent="0.2">
      <c r="B622" t="s">
        <v>366</v>
      </c>
      <c r="C622" t="s">
        <v>945</v>
      </c>
      <c r="E622">
        <v>2012</v>
      </c>
      <c r="F622" t="s">
        <v>103</v>
      </c>
      <c r="G622" t="s">
        <v>513</v>
      </c>
      <c r="H622" s="13">
        <v>56.5</v>
      </c>
      <c r="I622" s="13">
        <v>-1.5</v>
      </c>
      <c r="J622" s="13">
        <v>1983</v>
      </c>
      <c r="K622" s="13">
        <v>2006</v>
      </c>
      <c r="L622" s="13">
        <f t="shared" si="26"/>
        <v>24</v>
      </c>
      <c r="M622" t="s">
        <v>369</v>
      </c>
      <c r="N622" t="s">
        <v>380</v>
      </c>
      <c r="O622" t="s">
        <v>380</v>
      </c>
      <c r="P622" t="s">
        <v>380</v>
      </c>
      <c r="Q622" t="s">
        <v>953</v>
      </c>
      <c r="R622" t="s">
        <v>954</v>
      </c>
      <c r="V622">
        <v>2.33278955954323</v>
      </c>
      <c r="W622" t="s">
        <v>24</v>
      </c>
      <c r="X622" t="s">
        <v>3</v>
      </c>
      <c r="Y622" t="s">
        <v>366</v>
      </c>
      <c r="Z622" s="4" t="str">
        <f t="shared" si="25"/>
        <v>Y</v>
      </c>
      <c r="AC622" t="s">
        <v>956</v>
      </c>
    </row>
    <row r="623" spans="1:92" x14ac:dyDescent="0.2">
      <c r="A623">
        <v>139</v>
      </c>
      <c r="B623" t="s">
        <v>366</v>
      </c>
      <c r="C623" t="s">
        <v>573</v>
      </c>
      <c r="E623">
        <v>2013</v>
      </c>
      <c r="F623" t="s">
        <v>307</v>
      </c>
      <c r="G623" t="s">
        <v>514</v>
      </c>
      <c r="H623" s="13">
        <v>-38.489899999999999</v>
      </c>
      <c r="I623" s="14">
        <v>145.2038</v>
      </c>
      <c r="J623" s="13">
        <v>1968</v>
      </c>
      <c r="K623" s="13">
        <v>2007</v>
      </c>
      <c r="L623" s="13">
        <f t="shared" si="26"/>
        <v>40</v>
      </c>
      <c r="N623" t="s">
        <v>380</v>
      </c>
      <c r="O623" t="s">
        <v>380</v>
      </c>
      <c r="P623" t="s">
        <v>305</v>
      </c>
      <c r="Q623" t="s">
        <v>306</v>
      </c>
      <c r="R623" t="s">
        <v>843</v>
      </c>
      <c r="V623" t="s">
        <v>165</v>
      </c>
      <c r="W623" t="s">
        <v>164</v>
      </c>
      <c r="X623" t="s">
        <v>3</v>
      </c>
      <c r="Y623" t="s">
        <v>366</v>
      </c>
      <c r="Z623" s="4" t="str">
        <f t="shared" si="25"/>
        <v>Y</v>
      </c>
      <c r="AC623" t="s">
        <v>308</v>
      </c>
      <c r="AH623">
        <v>1</v>
      </c>
    </row>
    <row r="624" spans="1:92" x14ac:dyDescent="0.2">
      <c r="A624">
        <v>140</v>
      </c>
      <c r="B624" t="s">
        <v>366</v>
      </c>
      <c r="C624" t="s">
        <v>573</v>
      </c>
      <c r="E624">
        <v>2013</v>
      </c>
      <c r="F624" t="s">
        <v>309</v>
      </c>
      <c r="G624" t="s">
        <v>514</v>
      </c>
      <c r="H624" s="13">
        <v>-37.863999999999997</v>
      </c>
      <c r="I624" s="14">
        <v>144.982</v>
      </c>
      <c r="J624" s="13">
        <v>1986</v>
      </c>
      <c r="K624" s="13">
        <v>2011</v>
      </c>
      <c r="L624" s="13">
        <f t="shared" si="26"/>
        <v>26</v>
      </c>
      <c r="N624" t="s">
        <v>380</v>
      </c>
      <c r="O624" t="s">
        <v>380</v>
      </c>
      <c r="P624" t="s">
        <v>305</v>
      </c>
      <c r="Q624" t="s">
        <v>306</v>
      </c>
      <c r="R624" t="s">
        <v>843</v>
      </c>
      <c r="V624" t="s">
        <v>165</v>
      </c>
      <c r="W624" t="s">
        <v>164</v>
      </c>
      <c r="X624" t="s">
        <v>3</v>
      </c>
      <c r="Y624" t="s">
        <v>366</v>
      </c>
      <c r="Z624" s="4" t="str">
        <f t="shared" si="25"/>
        <v>Y</v>
      </c>
      <c r="AC624" t="s">
        <v>330</v>
      </c>
      <c r="AH624">
        <v>1</v>
      </c>
    </row>
    <row r="625" spans="1:92" x14ac:dyDescent="0.2">
      <c r="A625">
        <v>339</v>
      </c>
      <c r="B625" t="s">
        <v>367</v>
      </c>
      <c r="C625" t="s">
        <v>346</v>
      </c>
      <c r="E625">
        <v>2004</v>
      </c>
      <c r="F625" t="s">
        <v>103</v>
      </c>
      <c r="G625" t="s">
        <v>513</v>
      </c>
      <c r="H625" s="13">
        <v>55</v>
      </c>
      <c r="I625" s="13">
        <v>5</v>
      </c>
      <c r="J625" s="13">
        <v>1958</v>
      </c>
      <c r="K625" s="13">
        <v>2002</v>
      </c>
      <c r="L625" s="13">
        <f t="shared" ref="L625:L647" si="27">K625-J625+1</f>
        <v>45</v>
      </c>
      <c r="M625" t="s">
        <v>369</v>
      </c>
      <c r="N625" t="s">
        <v>299</v>
      </c>
      <c r="O625" t="s">
        <v>381</v>
      </c>
      <c r="P625" t="s">
        <v>165</v>
      </c>
      <c r="Q625" t="s">
        <v>405</v>
      </c>
      <c r="V625">
        <v>-7.2030817220000003</v>
      </c>
      <c r="W625" t="s">
        <v>3</v>
      </c>
      <c r="X625" t="s">
        <v>3</v>
      </c>
      <c r="Y625" t="s">
        <v>522</v>
      </c>
      <c r="Z625" s="4" t="str">
        <f t="shared" si="25"/>
        <v>Y</v>
      </c>
    </row>
    <row r="626" spans="1:92" x14ac:dyDescent="0.2">
      <c r="A626" s="24">
        <v>370</v>
      </c>
      <c r="B626" s="24" t="s">
        <v>367</v>
      </c>
      <c r="C626" s="24" t="s">
        <v>346</v>
      </c>
      <c r="D626" s="24"/>
      <c r="E626" s="24">
        <v>2004</v>
      </c>
      <c r="F626" s="24" t="s">
        <v>103</v>
      </c>
      <c r="G626" s="24" t="s">
        <v>513</v>
      </c>
      <c r="H626" s="26">
        <v>55</v>
      </c>
      <c r="I626" s="26">
        <v>5</v>
      </c>
      <c r="J626" s="26">
        <v>1958</v>
      </c>
      <c r="K626" s="26">
        <v>2002</v>
      </c>
      <c r="L626" s="26">
        <f t="shared" si="27"/>
        <v>45</v>
      </c>
      <c r="M626" s="24" t="s">
        <v>369</v>
      </c>
      <c r="N626" s="24" t="s">
        <v>52</v>
      </c>
      <c r="O626" s="24" t="s">
        <v>484</v>
      </c>
      <c r="P626" s="24" t="s">
        <v>484</v>
      </c>
      <c r="Q626" s="24" t="s">
        <v>426</v>
      </c>
      <c r="R626" s="24"/>
      <c r="S626" s="24"/>
      <c r="T626" s="24"/>
      <c r="U626" s="24"/>
      <c r="V626" s="24">
        <v>-2.711951489</v>
      </c>
      <c r="W626" s="24" t="s">
        <v>3</v>
      </c>
      <c r="X626" s="24" t="s">
        <v>3</v>
      </c>
      <c r="Y626" s="24" t="s">
        <v>522</v>
      </c>
      <c r="Z626" s="4" t="str">
        <f t="shared" si="25"/>
        <v>Y</v>
      </c>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c r="CM626" s="24"/>
      <c r="CN626" s="24"/>
    </row>
    <row r="627" spans="1:92" x14ac:dyDescent="0.2">
      <c r="A627">
        <v>341</v>
      </c>
      <c r="B627" t="s">
        <v>367</v>
      </c>
      <c r="C627" t="s">
        <v>346</v>
      </c>
      <c r="E627">
        <v>2004</v>
      </c>
      <c r="F627" t="s">
        <v>103</v>
      </c>
      <c r="G627" t="s">
        <v>513</v>
      </c>
      <c r="H627" s="13">
        <v>55</v>
      </c>
      <c r="I627" s="13">
        <v>5</v>
      </c>
      <c r="J627" s="13">
        <v>1958</v>
      </c>
      <c r="K627" s="13">
        <v>2002</v>
      </c>
      <c r="L627" s="13">
        <f t="shared" si="27"/>
        <v>45</v>
      </c>
      <c r="M627" t="s">
        <v>369</v>
      </c>
      <c r="N627" t="s">
        <v>299</v>
      </c>
      <c r="O627" t="s">
        <v>375</v>
      </c>
      <c r="P627" t="s">
        <v>165</v>
      </c>
      <c r="Q627" t="s">
        <v>407</v>
      </c>
      <c r="V627">
        <v>-6.1920967779999998</v>
      </c>
      <c r="W627" t="s">
        <v>3</v>
      </c>
      <c r="X627" t="s">
        <v>3</v>
      </c>
      <c r="Y627" t="s">
        <v>522</v>
      </c>
      <c r="Z627" s="4" t="str">
        <f t="shared" si="25"/>
        <v>Y</v>
      </c>
    </row>
    <row r="628" spans="1:92" x14ac:dyDescent="0.2">
      <c r="A628">
        <v>342</v>
      </c>
      <c r="B628" t="s">
        <v>367</v>
      </c>
      <c r="C628" t="s">
        <v>346</v>
      </c>
      <c r="E628">
        <v>2004</v>
      </c>
      <c r="F628" t="s">
        <v>103</v>
      </c>
      <c r="G628" t="s">
        <v>513</v>
      </c>
      <c r="H628" s="13">
        <v>55</v>
      </c>
      <c r="I628" s="13">
        <v>5</v>
      </c>
      <c r="J628" s="13">
        <v>1958</v>
      </c>
      <c r="K628" s="13">
        <v>2002</v>
      </c>
      <c r="L628" s="13">
        <f t="shared" si="27"/>
        <v>45</v>
      </c>
      <c r="M628" t="s">
        <v>369</v>
      </c>
      <c r="N628" t="s">
        <v>299</v>
      </c>
      <c r="O628" t="s">
        <v>375</v>
      </c>
      <c r="P628" t="s">
        <v>165</v>
      </c>
      <c r="Q628" t="s">
        <v>408</v>
      </c>
      <c r="V628">
        <v>-6.1790018890000002</v>
      </c>
      <c r="W628" t="s">
        <v>3</v>
      </c>
      <c r="X628" t="s">
        <v>3</v>
      </c>
      <c r="Y628" t="s">
        <v>522</v>
      </c>
      <c r="Z628" s="4" t="str">
        <f t="shared" si="25"/>
        <v>Y</v>
      </c>
    </row>
    <row r="629" spans="1:92" x14ac:dyDescent="0.2">
      <c r="A629">
        <v>343</v>
      </c>
      <c r="B629" t="s">
        <v>367</v>
      </c>
      <c r="C629" t="s">
        <v>346</v>
      </c>
      <c r="E629">
        <v>2004</v>
      </c>
      <c r="F629" t="s">
        <v>103</v>
      </c>
      <c r="G629" t="s">
        <v>513</v>
      </c>
      <c r="H629" s="13">
        <v>55</v>
      </c>
      <c r="I629" s="13">
        <v>5</v>
      </c>
      <c r="J629" s="13">
        <v>1958</v>
      </c>
      <c r="K629" s="13">
        <v>2002</v>
      </c>
      <c r="L629" s="13">
        <f t="shared" si="27"/>
        <v>45</v>
      </c>
      <c r="M629" t="s">
        <v>369</v>
      </c>
      <c r="N629" t="s">
        <v>299</v>
      </c>
      <c r="O629" t="s">
        <v>375</v>
      </c>
      <c r="P629" t="s">
        <v>165</v>
      </c>
      <c r="Q629" t="s">
        <v>409</v>
      </c>
      <c r="V629">
        <v>-6.0888257220000002</v>
      </c>
      <c r="W629" t="s">
        <v>3</v>
      </c>
      <c r="X629" t="s">
        <v>3</v>
      </c>
      <c r="Y629" t="s">
        <v>522</v>
      </c>
      <c r="Z629" s="4" t="str">
        <f t="shared" si="25"/>
        <v>Y</v>
      </c>
    </row>
    <row r="630" spans="1:92" x14ac:dyDescent="0.2">
      <c r="A630">
        <v>344</v>
      </c>
      <c r="B630" t="s">
        <v>367</v>
      </c>
      <c r="C630" t="s">
        <v>346</v>
      </c>
      <c r="E630">
        <v>2004</v>
      </c>
      <c r="F630" t="s">
        <v>103</v>
      </c>
      <c r="G630" t="s">
        <v>513</v>
      </c>
      <c r="H630" s="13">
        <v>55</v>
      </c>
      <c r="I630" s="13">
        <v>5</v>
      </c>
      <c r="J630" s="13">
        <v>1958</v>
      </c>
      <c r="K630" s="13">
        <v>2002</v>
      </c>
      <c r="L630" s="13">
        <f t="shared" si="27"/>
        <v>45</v>
      </c>
      <c r="M630" t="s">
        <v>369</v>
      </c>
      <c r="N630" t="s">
        <v>299</v>
      </c>
      <c r="O630" t="s">
        <v>375</v>
      </c>
      <c r="P630" t="s">
        <v>165</v>
      </c>
      <c r="Q630" t="s">
        <v>410</v>
      </c>
      <c r="V630">
        <v>-5.8929976110000002</v>
      </c>
      <c r="W630" t="s">
        <v>3</v>
      </c>
      <c r="X630" t="s">
        <v>3</v>
      </c>
      <c r="Y630" t="s">
        <v>522</v>
      </c>
      <c r="Z630" s="4" t="str">
        <f t="shared" si="25"/>
        <v>Y</v>
      </c>
    </row>
    <row r="631" spans="1:92" x14ac:dyDescent="0.2">
      <c r="A631">
        <v>345</v>
      </c>
      <c r="B631" t="s">
        <v>367</v>
      </c>
      <c r="C631" t="s">
        <v>346</v>
      </c>
      <c r="E631">
        <v>2004</v>
      </c>
      <c r="F631" t="s">
        <v>103</v>
      </c>
      <c r="G631" t="s">
        <v>513</v>
      </c>
      <c r="H631" s="13">
        <v>55</v>
      </c>
      <c r="I631" s="13">
        <v>5</v>
      </c>
      <c r="J631" s="13">
        <v>1958</v>
      </c>
      <c r="K631" s="13">
        <v>2002</v>
      </c>
      <c r="L631" s="13">
        <f t="shared" si="27"/>
        <v>45</v>
      </c>
      <c r="M631" t="s">
        <v>369</v>
      </c>
      <c r="N631" t="s">
        <v>299</v>
      </c>
      <c r="O631" t="s">
        <v>381</v>
      </c>
      <c r="P631" t="s">
        <v>165</v>
      </c>
      <c r="Q631" t="s">
        <v>411</v>
      </c>
      <c r="V631">
        <v>-5.8852597219999998</v>
      </c>
      <c r="W631" t="s">
        <v>3</v>
      </c>
      <c r="X631" t="s">
        <v>3</v>
      </c>
      <c r="Y631" t="s">
        <v>522</v>
      </c>
      <c r="Z631" s="4" t="str">
        <f t="shared" si="25"/>
        <v>Y</v>
      </c>
    </row>
    <row r="632" spans="1:92" x14ac:dyDescent="0.2">
      <c r="A632" s="24">
        <v>371</v>
      </c>
      <c r="B632" s="24" t="s">
        <v>367</v>
      </c>
      <c r="C632" s="24" t="s">
        <v>346</v>
      </c>
      <c r="D632" s="24"/>
      <c r="E632" s="24">
        <v>2004</v>
      </c>
      <c r="F632" s="24" t="s">
        <v>103</v>
      </c>
      <c r="G632" s="24" t="s">
        <v>513</v>
      </c>
      <c r="H632" s="26">
        <v>55</v>
      </c>
      <c r="I632" s="26">
        <v>5</v>
      </c>
      <c r="J632" s="26">
        <v>1958</v>
      </c>
      <c r="K632" s="26">
        <v>2002</v>
      </c>
      <c r="L632" s="26">
        <f t="shared" si="27"/>
        <v>45</v>
      </c>
      <c r="M632" s="24" t="s">
        <v>369</v>
      </c>
      <c r="N632" s="24" t="s">
        <v>52</v>
      </c>
      <c r="O632" s="24" t="s">
        <v>484</v>
      </c>
      <c r="P632" s="24" t="s">
        <v>484</v>
      </c>
      <c r="Q632" s="24" t="s">
        <v>427</v>
      </c>
      <c r="R632" s="24"/>
      <c r="S632" s="24"/>
      <c r="T632" s="24"/>
      <c r="U632" s="24"/>
      <c r="V632" s="24">
        <v>-2.5749908559999999</v>
      </c>
      <c r="W632" s="24" t="s">
        <v>3</v>
      </c>
      <c r="X632" s="24" t="s">
        <v>3</v>
      </c>
      <c r="Y632" s="24" t="s">
        <v>522</v>
      </c>
      <c r="Z632" s="4" t="str">
        <f t="shared" si="25"/>
        <v>Y</v>
      </c>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c r="CM632" s="24"/>
      <c r="CN632" s="24"/>
    </row>
    <row r="633" spans="1:92" x14ac:dyDescent="0.2">
      <c r="A633">
        <v>347</v>
      </c>
      <c r="B633" t="s">
        <v>367</v>
      </c>
      <c r="C633" t="s">
        <v>346</v>
      </c>
      <c r="E633">
        <v>2004</v>
      </c>
      <c r="F633" t="s">
        <v>103</v>
      </c>
      <c r="G633" t="s">
        <v>513</v>
      </c>
      <c r="H633" s="13">
        <v>55</v>
      </c>
      <c r="I633" s="13">
        <v>5</v>
      </c>
      <c r="J633" s="13">
        <v>1958</v>
      </c>
      <c r="K633" s="13">
        <v>2002</v>
      </c>
      <c r="L633" s="13">
        <f t="shared" si="27"/>
        <v>45</v>
      </c>
      <c r="M633" t="s">
        <v>369</v>
      </c>
      <c r="N633" t="s">
        <v>299</v>
      </c>
      <c r="O633" t="s">
        <v>375</v>
      </c>
      <c r="P633" t="s">
        <v>165</v>
      </c>
      <c r="Q633" t="s">
        <v>413</v>
      </c>
      <c r="V633">
        <v>-5.3760471110000001</v>
      </c>
      <c r="W633" t="s">
        <v>3</v>
      </c>
      <c r="X633" t="s">
        <v>3</v>
      </c>
      <c r="Y633" t="s">
        <v>522</v>
      </c>
      <c r="Z633" s="4" t="str">
        <f t="shared" si="25"/>
        <v>Y</v>
      </c>
    </row>
    <row r="634" spans="1:92" x14ac:dyDescent="0.2">
      <c r="A634" s="24">
        <v>372</v>
      </c>
      <c r="B634" s="24" t="s">
        <v>367</v>
      </c>
      <c r="C634" s="24" t="s">
        <v>346</v>
      </c>
      <c r="D634" s="24"/>
      <c r="E634" s="24">
        <v>2004</v>
      </c>
      <c r="F634" s="24" t="s">
        <v>103</v>
      </c>
      <c r="G634" s="24" t="s">
        <v>513</v>
      </c>
      <c r="H634" s="26">
        <v>55</v>
      </c>
      <c r="I634" s="26">
        <v>5</v>
      </c>
      <c r="J634" s="26">
        <v>1958</v>
      </c>
      <c r="K634" s="26">
        <v>2002</v>
      </c>
      <c r="L634" s="26">
        <f t="shared" si="27"/>
        <v>45</v>
      </c>
      <c r="M634" s="24" t="s">
        <v>369</v>
      </c>
      <c r="N634" s="24" t="s">
        <v>52</v>
      </c>
      <c r="O634" s="24" t="s">
        <v>484</v>
      </c>
      <c r="P634" s="24" t="s">
        <v>484</v>
      </c>
      <c r="Q634" s="24" t="s">
        <v>428</v>
      </c>
      <c r="R634" s="24"/>
      <c r="S634" s="24"/>
      <c r="T634" s="24"/>
      <c r="U634" s="24"/>
      <c r="V634" s="24">
        <v>-2.5209744390000002</v>
      </c>
      <c r="W634" s="24" t="s">
        <v>3</v>
      </c>
      <c r="X634" s="24" t="s">
        <v>3</v>
      </c>
      <c r="Y634" s="24" t="s">
        <v>522</v>
      </c>
      <c r="Z634" s="4" t="str">
        <f t="shared" si="25"/>
        <v>Y</v>
      </c>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c r="CM634" s="24"/>
      <c r="CN634" s="24"/>
    </row>
    <row r="635" spans="1:92" x14ac:dyDescent="0.2">
      <c r="A635">
        <v>349</v>
      </c>
      <c r="B635" t="s">
        <v>367</v>
      </c>
      <c r="C635" t="s">
        <v>346</v>
      </c>
      <c r="E635">
        <v>2004</v>
      </c>
      <c r="F635" t="s">
        <v>103</v>
      </c>
      <c r="G635" t="s">
        <v>513</v>
      </c>
      <c r="H635" s="13">
        <v>55</v>
      </c>
      <c r="I635" s="13">
        <v>5</v>
      </c>
      <c r="J635" s="13">
        <v>1958</v>
      </c>
      <c r="K635" s="13">
        <v>2002</v>
      </c>
      <c r="L635" s="13">
        <f t="shared" si="27"/>
        <v>45</v>
      </c>
      <c r="M635" t="s">
        <v>369</v>
      </c>
      <c r="N635" t="s">
        <v>299</v>
      </c>
      <c r="O635" t="s">
        <v>381</v>
      </c>
      <c r="P635" t="s">
        <v>165</v>
      </c>
      <c r="Q635" t="s">
        <v>415</v>
      </c>
      <c r="V635">
        <v>-4.908797667</v>
      </c>
      <c r="W635" t="s">
        <v>3</v>
      </c>
      <c r="X635" t="s">
        <v>3</v>
      </c>
      <c r="Y635" t="s">
        <v>522</v>
      </c>
      <c r="Z635" s="4" t="str">
        <f t="shared" si="25"/>
        <v>Y</v>
      </c>
    </row>
    <row r="636" spans="1:92" x14ac:dyDescent="0.2">
      <c r="A636">
        <v>350</v>
      </c>
      <c r="B636" t="s">
        <v>367</v>
      </c>
      <c r="C636" t="s">
        <v>346</v>
      </c>
      <c r="E636">
        <v>2004</v>
      </c>
      <c r="F636" t="s">
        <v>103</v>
      </c>
      <c r="G636" t="s">
        <v>513</v>
      </c>
      <c r="H636" s="13">
        <v>55</v>
      </c>
      <c r="I636" s="13">
        <v>5</v>
      </c>
      <c r="J636" s="13">
        <v>1958</v>
      </c>
      <c r="K636" s="13">
        <v>2002</v>
      </c>
      <c r="L636" s="13">
        <f t="shared" si="27"/>
        <v>45</v>
      </c>
      <c r="M636" t="s">
        <v>369</v>
      </c>
      <c r="N636" t="s">
        <v>299</v>
      </c>
      <c r="O636" t="s">
        <v>381</v>
      </c>
      <c r="P636" t="s">
        <v>165</v>
      </c>
      <c r="Q636" t="s">
        <v>416</v>
      </c>
      <c r="V636">
        <v>-3.9963220000000002</v>
      </c>
      <c r="W636" t="s">
        <v>3</v>
      </c>
      <c r="X636" t="s">
        <v>3</v>
      </c>
      <c r="Y636" t="s">
        <v>522</v>
      </c>
      <c r="Z636" s="4" t="str">
        <f t="shared" si="25"/>
        <v>Y</v>
      </c>
    </row>
    <row r="637" spans="1:92" x14ac:dyDescent="0.2">
      <c r="A637">
        <v>351</v>
      </c>
      <c r="B637" t="s">
        <v>367</v>
      </c>
      <c r="C637" t="s">
        <v>346</v>
      </c>
      <c r="E637">
        <v>2004</v>
      </c>
      <c r="F637" t="s">
        <v>103</v>
      </c>
      <c r="G637" t="s">
        <v>513</v>
      </c>
      <c r="H637" s="13">
        <v>55</v>
      </c>
      <c r="I637" s="13">
        <v>5</v>
      </c>
      <c r="J637" s="13">
        <v>1958</v>
      </c>
      <c r="K637" s="13">
        <v>2002</v>
      </c>
      <c r="L637" s="13">
        <f t="shared" si="27"/>
        <v>45</v>
      </c>
      <c r="M637" t="s">
        <v>369</v>
      </c>
      <c r="N637" t="s">
        <v>299</v>
      </c>
      <c r="O637" t="s">
        <v>375</v>
      </c>
      <c r="P637" t="s">
        <v>165</v>
      </c>
      <c r="Q637" t="s">
        <v>417</v>
      </c>
      <c r="V637">
        <v>-3.6829375</v>
      </c>
      <c r="W637" t="s">
        <v>3</v>
      </c>
      <c r="X637" t="s">
        <v>3</v>
      </c>
      <c r="Y637" t="s">
        <v>522</v>
      </c>
      <c r="Z637" s="4" t="str">
        <f t="shared" si="25"/>
        <v>Y</v>
      </c>
    </row>
    <row r="638" spans="1:92" x14ac:dyDescent="0.2">
      <c r="A638">
        <v>352</v>
      </c>
      <c r="B638" t="s">
        <v>367</v>
      </c>
      <c r="C638" t="s">
        <v>346</v>
      </c>
      <c r="E638">
        <v>2004</v>
      </c>
      <c r="F638" t="s">
        <v>103</v>
      </c>
      <c r="G638" t="s">
        <v>513</v>
      </c>
      <c r="H638" s="13">
        <v>55</v>
      </c>
      <c r="I638" s="13">
        <v>5</v>
      </c>
      <c r="J638" s="13">
        <v>1958</v>
      </c>
      <c r="K638" s="13">
        <v>2002</v>
      </c>
      <c r="L638" s="13">
        <f t="shared" si="27"/>
        <v>45</v>
      </c>
      <c r="M638" t="s">
        <v>369</v>
      </c>
      <c r="N638" t="s">
        <v>299</v>
      </c>
      <c r="O638" t="s">
        <v>381</v>
      </c>
      <c r="P638" t="s">
        <v>165</v>
      </c>
      <c r="Q638" t="s">
        <v>418</v>
      </c>
      <c r="V638">
        <v>-3.5668691670000001</v>
      </c>
      <c r="W638" t="s">
        <v>3</v>
      </c>
      <c r="X638" t="s">
        <v>3</v>
      </c>
      <c r="Y638" t="s">
        <v>522</v>
      </c>
      <c r="Z638" s="4" t="str">
        <f t="shared" si="25"/>
        <v>Y</v>
      </c>
    </row>
    <row r="639" spans="1:92" x14ac:dyDescent="0.2">
      <c r="A639" s="24">
        <v>374</v>
      </c>
      <c r="B639" s="24" t="s">
        <v>367</v>
      </c>
      <c r="C639" s="24" t="s">
        <v>346</v>
      </c>
      <c r="D639" s="24"/>
      <c r="E639" s="24">
        <v>2004</v>
      </c>
      <c r="F639" s="24" t="s">
        <v>103</v>
      </c>
      <c r="G639" s="24" t="s">
        <v>513</v>
      </c>
      <c r="H639" s="26">
        <v>55</v>
      </c>
      <c r="I639" s="26">
        <v>5</v>
      </c>
      <c r="J639" s="26">
        <v>1958</v>
      </c>
      <c r="K639" s="26">
        <v>2002</v>
      </c>
      <c r="L639" s="26">
        <f t="shared" si="27"/>
        <v>45</v>
      </c>
      <c r="M639" s="24" t="s">
        <v>369</v>
      </c>
      <c r="N639" s="24" t="s">
        <v>52</v>
      </c>
      <c r="O639" s="24" t="s">
        <v>1328</v>
      </c>
      <c r="P639" s="24" t="s">
        <v>489</v>
      </c>
      <c r="Q639" s="24" t="s">
        <v>430</v>
      </c>
      <c r="R639" s="24"/>
      <c r="S639" s="24"/>
      <c r="T639" s="24"/>
      <c r="U639" s="24"/>
      <c r="V639" s="24">
        <v>-6.5280997220000003</v>
      </c>
      <c r="W639" s="24" t="s">
        <v>3</v>
      </c>
      <c r="X639" s="24" t="s">
        <v>3</v>
      </c>
      <c r="Y639" s="24" t="s">
        <v>522</v>
      </c>
      <c r="Z639" s="4" t="str">
        <f t="shared" si="25"/>
        <v>Y</v>
      </c>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row>
    <row r="640" spans="1:92" x14ac:dyDescent="0.2">
      <c r="A640">
        <v>354</v>
      </c>
      <c r="B640" t="s">
        <v>367</v>
      </c>
      <c r="C640" t="s">
        <v>346</v>
      </c>
      <c r="E640">
        <v>2004</v>
      </c>
      <c r="F640" t="s">
        <v>103</v>
      </c>
      <c r="G640" t="s">
        <v>513</v>
      </c>
      <c r="H640" s="13">
        <v>55</v>
      </c>
      <c r="I640" s="13">
        <v>5</v>
      </c>
      <c r="J640" s="13">
        <v>1958</v>
      </c>
      <c r="K640" s="13">
        <v>2002</v>
      </c>
      <c r="L640" s="13">
        <f t="shared" si="27"/>
        <v>45</v>
      </c>
      <c r="M640" t="s">
        <v>369</v>
      </c>
      <c r="N640" t="s">
        <v>299</v>
      </c>
      <c r="O640" t="s">
        <v>375</v>
      </c>
      <c r="P640" t="s">
        <v>165</v>
      </c>
      <c r="Q640" t="s">
        <v>420</v>
      </c>
      <c r="V640">
        <v>-3.1990218330000002</v>
      </c>
      <c r="W640" t="s">
        <v>3</v>
      </c>
      <c r="X640" t="s">
        <v>3</v>
      </c>
      <c r="Y640" t="s">
        <v>522</v>
      </c>
      <c r="Z640" s="4" t="str">
        <f t="shared" si="25"/>
        <v>Y</v>
      </c>
    </row>
    <row r="641" spans="1:92" x14ac:dyDescent="0.2">
      <c r="A641">
        <v>141</v>
      </c>
      <c r="B641" t="s">
        <v>366</v>
      </c>
      <c r="C641" t="s">
        <v>573</v>
      </c>
      <c r="E641">
        <v>2013</v>
      </c>
      <c r="F641" t="s">
        <v>310</v>
      </c>
      <c r="G641" t="s">
        <v>514</v>
      </c>
      <c r="H641" s="13">
        <v>-32.305700000000002</v>
      </c>
      <c r="I641" s="14">
        <v>115.6906</v>
      </c>
      <c r="J641" s="13">
        <v>1986</v>
      </c>
      <c r="K641" s="13">
        <v>2011</v>
      </c>
      <c r="L641" s="13">
        <f t="shared" si="27"/>
        <v>26</v>
      </c>
      <c r="N641" t="s">
        <v>380</v>
      </c>
      <c r="O641" t="s">
        <v>380</v>
      </c>
      <c r="P641" t="s">
        <v>305</v>
      </c>
      <c r="Q641" t="s">
        <v>306</v>
      </c>
      <c r="R641" t="s">
        <v>843</v>
      </c>
      <c r="V641" t="s">
        <v>165</v>
      </c>
      <c r="W641" t="s">
        <v>164</v>
      </c>
      <c r="X641" t="s">
        <v>3</v>
      </c>
      <c r="Y641" t="s">
        <v>366</v>
      </c>
      <c r="Z641" s="4" t="str">
        <f t="shared" si="25"/>
        <v>Y</v>
      </c>
      <c r="AC641" t="s">
        <v>315</v>
      </c>
      <c r="AH641">
        <v>1</v>
      </c>
    </row>
    <row r="642" spans="1:92" x14ac:dyDescent="0.2">
      <c r="A642">
        <v>142</v>
      </c>
      <c r="B642" t="s">
        <v>366</v>
      </c>
      <c r="C642" t="s">
        <v>573</v>
      </c>
      <c r="E642">
        <v>2013</v>
      </c>
      <c r="F642" t="s">
        <v>313</v>
      </c>
      <c r="G642" t="s">
        <v>514</v>
      </c>
      <c r="H642" s="13">
        <v>-28.777699999999999</v>
      </c>
      <c r="I642" s="13">
        <v>113.85850000000001</v>
      </c>
      <c r="J642" s="13">
        <v>1991</v>
      </c>
      <c r="K642" s="13">
        <v>2010</v>
      </c>
      <c r="L642" s="13">
        <f t="shared" si="27"/>
        <v>20</v>
      </c>
      <c r="N642" t="s">
        <v>380</v>
      </c>
      <c r="O642" t="s">
        <v>380</v>
      </c>
      <c r="P642" t="s">
        <v>311</v>
      </c>
      <c r="Q642" t="s">
        <v>312</v>
      </c>
      <c r="R642" t="s">
        <v>843</v>
      </c>
      <c r="V642" s="7" t="s">
        <v>165</v>
      </c>
      <c r="W642" t="s">
        <v>24</v>
      </c>
      <c r="X642" t="s">
        <v>3</v>
      </c>
      <c r="Y642" t="s">
        <v>366</v>
      </c>
      <c r="Z642" s="4" t="str">
        <f t="shared" ref="Z642:Z705" si="28">IF(L642&gt;=19,"Y","N")</f>
        <v>Y</v>
      </c>
      <c r="AC642" t="s">
        <v>314</v>
      </c>
      <c r="AH642">
        <v>1</v>
      </c>
    </row>
    <row r="643" spans="1:92" x14ac:dyDescent="0.2">
      <c r="A643">
        <v>143</v>
      </c>
      <c r="B643" t="s">
        <v>366</v>
      </c>
      <c r="C643" t="s">
        <v>573</v>
      </c>
      <c r="E643">
        <v>2013</v>
      </c>
      <c r="F643" t="s">
        <v>310</v>
      </c>
      <c r="G643" t="s">
        <v>514</v>
      </c>
      <c r="H643" s="13">
        <v>-32.305700000000002</v>
      </c>
      <c r="I643" s="14">
        <v>115.6906</v>
      </c>
      <c r="J643" s="13">
        <v>1986</v>
      </c>
      <c r="K643" s="13">
        <v>2011</v>
      </c>
      <c r="L643" s="13">
        <f t="shared" si="27"/>
        <v>26</v>
      </c>
      <c r="N643" t="s">
        <v>380</v>
      </c>
      <c r="O643" t="s">
        <v>380</v>
      </c>
      <c r="P643" t="s">
        <v>316</v>
      </c>
      <c r="Q643" t="s">
        <v>318</v>
      </c>
      <c r="R643" t="s">
        <v>843</v>
      </c>
      <c r="V643" s="7" t="s">
        <v>165</v>
      </c>
      <c r="W643" t="s">
        <v>24</v>
      </c>
      <c r="X643" t="s">
        <v>3</v>
      </c>
      <c r="Y643" t="s">
        <v>366</v>
      </c>
      <c r="Z643" s="4" t="str">
        <f t="shared" si="28"/>
        <v>Y</v>
      </c>
      <c r="AC643" t="s">
        <v>317</v>
      </c>
      <c r="AH643">
        <v>1</v>
      </c>
    </row>
    <row r="644" spans="1:92" x14ac:dyDescent="0.2">
      <c r="A644">
        <v>144</v>
      </c>
      <c r="B644" t="s">
        <v>366</v>
      </c>
      <c r="C644" t="s">
        <v>573</v>
      </c>
      <c r="E644">
        <v>2013</v>
      </c>
      <c r="F644" t="s">
        <v>313</v>
      </c>
      <c r="G644" t="s">
        <v>514</v>
      </c>
      <c r="H644" s="13">
        <v>-28.777699999999999</v>
      </c>
      <c r="I644" s="13">
        <v>113.85850000000001</v>
      </c>
      <c r="J644" s="13">
        <v>1991</v>
      </c>
      <c r="K644" s="13">
        <v>2010</v>
      </c>
      <c r="L644" s="13">
        <f t="shared" si="27"/>
        <v>20</v>
      </c>
      <c r="N644" t="s">
        <v>380</v>
      </c>
      <c r="O644" t="s">
        <v>380</v>
      </c>
      <c r="P644" t="s">
        <v>319</v>
      </c>
      <c r="Q644" t="s">
        <v>320</v>
      </c>
      <c r="R644" t="s">
        <v>843</v>
      </c>
      <c r="V644" s="7" t="s">
        <v>165</v>
      </c>
      <c r="W644" t="s">
        <v>24</v>
      </c>
      <c r="X644" t="s">
        <v>3</v>
      </c>
      <c r="Y644" t="s">
        <v>366</v>
      </c>
      <c r="Z644" s="4" t="str">
        <f t="shared" si="28"/>
        <v>Y</v>
      </c>
      <c r="AC644" t="s">
        <v>321</v>
      </c>
      <c r="AH644">
        <v>1</v>
      </c>
    </row>
    <row r="645" spans="1:92" x14ac:dyDescent="0.2">
      <c r="A645">
        <v>145</v>
      </c>
      <c r="B645" t="s">
        <v>366</v>
      </c>
      <c r="C645" t="s">
        <v>573</v>
      </c>
      <c r="E645">
        <v>2013</v>
      </c>
      <c r="F645" t="s">
        <v>313</v>
      </c>
      <c r="G645" t="s">
        <v>514</v>
      </c>
      <c r="H645" s="13">
        <v>-28.777699999999999</v>
      </c>
      <c r="I645" s="13">
        <v>113.85850000000001</v>
      </c>
      <c r="J645" s="13">
        <v>1991</v>
      </c>
      <c r="K645" s="13">
        <v>2010</v>
      </c>
      <c r="L645" s="13">
        <f t="shared" si="27"/>
        <v>20</v>
      </c>
      <c r="N645" t="s">
        <v>380</v>
      </c>
      <c r="O645" t="s">
        <v>380</v>
      </c>
      <c r="P645" t="s">
        <v>322</v>
      </c>
      <c r="Q645" t="s">
        <v>323</v>
      </c>
      <c r="R645" t="s">
        <v>843</v>
      </c>
      <c r="V645" t="s">
        <v>165</v>
      </c>
      <c r="W645" t="s">
        <v>164</v>
      </c>
      <c r="X645" t="s">
        <v>3</v>
      </c>
      <c r="Y645" t="s">
        <v>366</v>
      </c>
      <c r="Z645" s="4" t="str">
        <f t="shared" si="28"/>
        <v>Y</v>
      </c>
      <c r="AC645" t="s">
        <v>324</v>
      </c>
      <c r="AH645">
        <v>1</v>
      </c>
    </row>
    <row r="646" spans="1:92" x14ac:dyDescent="0.2">
      <c r="A646">
        <v>146</v>
      </c>
      <c r="B646" t="s">
        <v>366</v>
      </c>
      <c r="C646" t="s">
        <v>573</v>
      </c>
      <c r="E646">
        <v>2013</v>
      </c>
      <c r="F646" t="s">
        <v>313</v>
      </c>
      <c r="G646" t="s">
        <v>514</v>
      </c>
      <c r="H646" s="13">
        <v>-28.777699999999999</v>
      </c>
      <c r="I646" s="13">
        <v>113.85850000000001</v>
      </c>
      <c r="J646" s="13">
        <v>1991</v>
      </c>
      <c r="K646" s="13">
        <v>2010</v>
      </c>
      <c r="L646" s="13">
        <f t="shared" si="27"/>
        <v>20</v>
      </c>
      <c r="N646" t="s">
        <v>380</v>
      </c>
      <c r="O646" t="s">
        <v>380</v>
      </c>
      <c r="P646" t="s">
        <v>325</v>
      </c>
      <c r="Q646" t="s">
        <v>326</v>
      </c>
      <c r="R646" t="s">
        <v>843</v>
      </c>
      <c r="V646" t="s">
        <v>165</v>
      </c>
      <c r="W646" t="s">
        <v>164</v>
      </c>
      <c r="X646" t="s">
        <v>3</v>
      </c>
      <c r="Y646" t="s">
        <v>366</v>
      </c>
      <c r="Z646" s="4" t="str">
        <f t="shared" si="28"/>
        <v>Y</v>
      </c>
      <c r="AC646" t="s">
        <v>324</v>
      </c>
      <c r="AH646">
        <v>1</v>
      </c>
    </row>
    <row r="647" spans="1:92" x14ac:dyDescent="0.2">
      <c r="A647">
        <v>147</v>
      </c>
      <c r="B647" t="s">
        <v>366</v>
      </c>
      <c r="C647" t="s">
        <v>573</v>
      </c>
      <c r="E647">
        <v>2013</v>
      </c>
      <c r="F647" t="s">
        <v>574</v>
      </c>
      <c r="G647" t="s">
        <v>514</v>
      </c>
      <c r="H647" s="13">
        <v>-44.045400000000001</v>
      </c>
      <c r="I647" s="13">
        <v>65.223500000000001</v>
      </c>
      <c r="J647" s="13">
        <v>1983</v>
      </c>
      <c r="K647" s="13">
        <v>2006</v>
      </c>
      <c r="L647" s="13">
        <f t="shared" si="27"/>
        <v>24</v>
      </c>
      <c r="N647" t="s">
        <v>380</v>
      </c>
      <c r="O647" t="s">
        <v>380</v>
      </c>
      <c r="P647" t="s">
        <v>327</v>
      </c>
      <c r="Q647" t="s">
        <v>329</v>
      </c>
      <c r="R647" t="s">
        <v>843</v>
      </c>
      <c r="V647" s="7" t="s">
        <v>165</v>
      </c>
      <c r="W647" t="s">
        <v>24</v>
      </c>
      <c r="X647" t="s">
        <v>3</v>
      </c>
      <c r="Y647" t="s">
        <v>366</v>
      </c>
      <c r="Z647" s="4" t="str">
        <f t="shared" si="28"/>
        <v>Y</v>
      </c>
      <c r="AC647" t="s">
        <v>328</v>
      </c>
      <c r="AH647">
        <v>1</v>
      </c>
    </row>
    <row r="648" spans="1:92" x14ac:dyDescent="0.2">
      <c r="B648" t="s">
        <v>366</v>
      </c>
      <c r="C648" t="s">
        <v>1057</v>
      </c>
      <c r="E648">
        <v>2019</v>
      </c>
      <c r="F648" t="s">
        <v>58</v>
      </c>
      <c r="G648" t="s">
        <v>513</v>
      </c>
      <c r="H648" s="16">
        <v>52.35</v>
      </c>
      <c r="I648" s="16">
        <v>-176.93</v>
      </c>
      <c r="J648" s="15">
        <v>1988</v>
      </c>
      <c r="K648" s="15">
        <v>2015</v>
      </c>
      <c r="L648" s="15">
        <v>28</v>
      </c>
      <c r="M648" t="s">
        <v>369</v>
      </c>
      <c r="N648" t="s">
        <v>380</v>
      </c>
      <c r="O648" t="s">
        <v>380</v>
      </c>
      <c r="P648" s="15" t="s">
        <v>1029</v>
      </c>
      <c r="Q648" s="15" t="s">
        <v>1000</v>
      </c>
      <c r="R648" t="s">
        <v>939</v>
      </c>
      <c r="S648" t="s">
        <v>1076</v>
      </c>
      <c r="T648" s="15">
        <v>180.34229999999999</v>
      </c>
      <c r="U648" s="15" t="s">
        <v>1068</v>
      </c>
      <c r="V648" s="15">
        <v>2.5073460000000001E-3</v>
      </c>
      <c r="W648" t="s">
        <v>24</v>
      </c>
      <c r="X648" t="s">
        <v>3</v>
      </c>
      <c r="Y648" t="s">
        <v>366</v>
      </c>
      <c r="Z648" s="4" t="str">
        <f t="shared" si="28"/>
        <v>Y</v>
      </c>
      <c r="AA648" t="s">
        <v>1121</v>
      </c>
      <c r="AB648" t="s">
        <v>1150</v>
      </c>
      <c r="AC648" s="15" t="s">
        <v>1060</v>
      </c>
      <c r="AD648" s="15" t="s">
        <v>1100</v>
      </c>
      <c r="AE648" s="15" t="s">
        <v>1152</v>
      </c>
      <c r="AF648" s="15" t="s">
        <v>3</v>
      </c>
      <c r="AG648" t="s">
        <v>1100</v>
      </c>
      <c r="AI648" s="15"/>
      <c r="AJ648" s="15"/>
      <c r="AK648" s="15"/>
      <c r="AL648" s="15"/>
      <c r="AM648" s="15"/>
      <c r="AN648" s="15"/>
      <c r="CD648">
        <v>207.19101123595499</v>
      </c>
    </row>
    <row r="649" spans="1:92" x14ac:dyDescent="0.2">
      <c r="B649" t="s">
        <v>366</v>
      </c>
      <c r="C649" t="s">
        <v>1057</v>
      </c>
      <c r="E649">
        <v>2019</v>
      </c>
      <c r="F649" t="s">
        <v>58</v>
      </c>
      <c r="G649" t="s">
        <v>513</v>
      </c>
      <c r="H649" s="16">
        <v>52.35</v>
      </c>
      <c r="I649" s="16">
        <v>-176.93</v>
      </c>
      <c r="J649" s="15">
        <v>1991</v>
      </c>
      <c r="K649" s="15">
        <v>2015</v>
      </c>
      <c r="L649" s="15">
        <v>25</v>
      </c>
      <c r="M649" t="s">
        <v>369</v>
      </c>
      <c r="N649" t="s">
        <v>380</v>
      </c>
      <c r="O649" t="s">
        <v>380</v>
      </c>
      <c r="P649" s="15" t="s">
        <v>1030</v>
      </c>
      <c r="Q649" s="15" t="s">
        <v>1001</v>
      </c>
      <c r="R649" t="s">
        <v>939</v>
      </c>
      <c r="S649" t="s">
        <v>1076</v>
      </c>
      <c r="T649" s="15">
        <v>186.5367</v>
      </c>
      <c r="U649" s="15" t="s">
        <v>1068</v>
      </c>
      <c r="V649" s="15">
        <v>-7.7341068999999998E-2</v>
      </c>
      <c r="W649" t="s">
        <v>3</v>
      </c>
      <c r="X649" t="s">
        <v>3</v>
      </c>
      <c r="Y649" t="s">
        <v>366</v>
      </c>
      <c r="Z649" s="4" t="str">
        <f t="shared" si="28"/>
        <v>Y</v>
      </c>
      <c r="AA649" t="s">
        <v>1121</v>
      </c>
      <c r="AB649" t="s">
        <v>1150</v>
      </c>
      <c r="AC649" s="15" t="s">
        <v>1060</v>
      </c>
      <c r="AD649" s="15" t="s">
        <v>1100</v>
      </c>
      <c r="AE649" s="15" t="s">
        <v>1152</v>
      </c>
      <c r="AF649" s="15" t="s">
        <v>3</v>
      </c>
      <c r="AG649" t="s">
        <v>1100</v>
      </c>
      <c r="AI649" s="15"/>
      <c r="AJ649" s="15"/>
      <c r="AK649" s="15"/>
      <c r="AL649" s="15"/>
      <c r="AM649" s="15"/>
      <c r="AN649" s="15"/>
      <c r="CD649">
        <v>233.93258426966199</v>
      </c>
    </row>
    <row r="650" spans="1:92" x14ac:dyDescent="0.2">
      <c r="B650" t="s">
        <v>366</v>
      </c>
      <c r="C650" t="s">
        <v>1057</v>
      </c>
      <c r="E650">
        <v>2019</v>
      </c>
      <c r="F650" t="s">
        <v>58</v>
      </c>
      <c r="G650" t="s">
        <v>513</v>
      </c>
      <c r="H650" s="16">
        <v>52.35</v>
      </c>
      <c r="I650" s="16">
        <v>-176.93</v>
      </c>
      <c r="J650" s="15">
        <v>1982</v>
      </c>
      <c r="K650" s="15">
        <v>2015</v>
      </c>
      <c r="L650" s="15">
        <v>34</v>
      </c>
      <c r="M650" t="s">
        <v>369</v>
      </c>
      <c r="N650" t="s">
        <v>380</v>
      </c>
      <c r="O650" t="s">
        <v>380</v>
      </c>
      <c r="P650" s="15" t="s">
        <v>1031</v>
      </c>
      <c r="Q650" s="15" t="s">
        <v>1002</v>
      </c>
      <c r="R650" t="s">
        <v>939</v>
      </c>
      <c r="S650" t="s">
        <v>1076</v>
      </c>
      <c r="T650" s="15">
        <v>180.4571</v>
      </c>
      <c r="U650" s="15" t="s">
        <v>1068</v>
      </c>
      <c r="V650" s="15">
        <v>8.5706141E-2</v>
      </c>
      <c r="W650" t="s">
        <v>24</v>
      </c>
      <c r="X650" t="s">
        <v>3</v>
      </c>
      <c r="Y650" t="s">
        <v>366</v>
      </c>
      <c r="Z650" s="4" t="str">
        <f t="shared" si="28"/>
        <v>Y</v>
      </c>
      <c r="AA650" t="s">
        <v>1121</v>
      </c>
      <c r="AB650" t="s">
        <v>1150</v>
      </c>
      <c r="AC650" s="15" t="s">
        <v>1060</v>
      </c>
      <c r="AD650" s="15" t="s">
        <v>1100</v>
      </c>
      <c r="AE650" s="15" t="s">
        <v>1152</v>
      </c>
      <c r="AF650" s="15" t="s">
        <v>3</v>
      </c>
      <c r="AG650" t="s">
        <v>1100</v>
      </c>
      <c r="AI650" s="15"/>
      <c r="AJ650" s="15"/>
      <c r="AK650" s="15"/>
      <c r="AL650" s="15"/>
      <c r="AM650" s="15"/>
      <c r="AN650" s="15"/>
      <c r="CD650">
        <v>219.38202247191001</v>
      </c>
    </row>
    <row r="651" spans="1:92" x14ac:dyDescent="0.2">
      <c r="B651" t="s">
        <v>366</v>
      </c>
      <c r="C651" t="s">
        <v>1057</v>
      </c>
      <c r="E651">
        <v>2019</v>
      </c>
      <c r="F651" t="s">
        <v>58</v>
      </c>
      <c r="G651" t="s">
        <v>513</v>
      </c>
      <c r="H651" s="16">
        <v>52.35</v>
      </c>
      <c r="I651" s="16">
        <v>-176.93</v>
      </c>
      <c r="J651" s="15">
        <v>1988</v>
      </c>
      <c r="K651" s="15">
        <v>2015</v>
      </c>
      <c r="L651" s="15">
        <v>28</v>
      </c>
      <c r="M651" t="s">
        <v>369</v>
      </c>
      <c r="N651" t="s">
        <v>380</v>
      </c>
      <c r="O651" t="s">
        <v>380</v>
      </c>
      <c r="P651" s="15" t="s">
        <v>1032</v>
      </c>
      <c r="Q651" s="15" t="s">
        <v>1003</v>
      </c>
      <c r="R651" t="s">
        <v>939</v>
      </c>
      <c r="S651" t="s">
        <v>1076</v>
      </c>
      <c r="T651" s="15">
        <v>177.71789999999999</v>
      </c>
      <c r="U651" s="15" t="s">
        <v>1068</v>
      </c>
      <c r="V651" s="15">
        <v>-0.175655423</v>
      </c>
      <c r="W651" t="s">
        <v>3</v>
      </c>
      <c r="X651" t="s">
        <v>3</v>
      </c>
      <c r="Y651" t="s">
        <v>366</v>
      </c>
      <c r="Z651" s="4" t="str">
        <f t="shared" si="28"/>
        <v>Y</v>
      </c>
      <c r="AA651" t="s">
        <v>1121</v>
      </c>
      <c r="AB651" t="s">
        <v>1150</v>
      </c>
      <c r="AC651" s="15" t="s">
        <v>1060</v>
      </c>
      <c r="AD651" s="15" t="s">
        <v>1100</v>
      </c>
      <c r="AE651" s="15" t="s">
        <v>1152</v>
      </c>
      <c r="AF651" s="15" t="s">
        <v>3</v>
      </c>
      <c r="AG651" t="s">
        <v>1100</v>
      </c>
      <c r="AI651" s="15"/>
      <c r="AJ651" s="15"/>
      <c r="AK651" s="15"/>
      <c r="AL651" s="15"/>
      <c r="AM651" s="15"/>
      <c r="AN651" s="15"/>
      <c r="CD651">
        <v>211.51685393258401</v>
      </c>
    </row>
    <row r="652" spans="1:92" x14ac:dyDescent="0.2">
      <c r="A652" s="24">
        <v>366</v>
      </c>
      <c r="B652" s="24" t="s">
        <v>367</v>
      </c>
      <c r="C652" s="24" t="s">
        <v>346</v>
      </c>
      <c r="D652" s="24"/>
      <c r="E652" s="24">
        <v>2004</v>
      </c>
      <c r="F652" s="24" t="s">
        <v>103</v>
      </c>
      <c r="G652" s="24" t="s">
        <v>513</v>
      </c>
      <c r="H652" s="26">
        <v>55</v>
      </c>
      <c r="I652" s="26">
        <v>5</v>
      </c>
      <c r="J652" s="26">
        <v>1958</v>
      </c>
      <c r="K652" s="26">
        <v>2002</v>
      </c>
      <c r="L652" s="26">
        <f t="shared" ref="L652:L682" si="29">K652-J652+1</f>
        <v>45</v>
      </c>
      <c r="M652" s="24" t="s">
        <v>369</v>
      </c>
      <c r="N652" s="24" t="s">
        <v>538</v>
      </c>
      <c r="O652" s="24" t="s">
        <v>424</v>
      </c>
      <c r="P652" s="24" t="s">
        <v>165</v>
      </c>
      <c r="Q652" s="24" t="s">
        <v>422</v>
      </c>
      <c r="R652" s="24"/>
      <c r="S652" s="24"/>
      <c r="T652" s="24"/>
      <c r="U652" s="24"/>
      <c r="V652" s="24">
        <v>-12.882989780000001</v>
      </c>
      <c r="W652" s="24" t="s">
        <v>3</v>
      </c>
      <c r="X652" s="24" t="s">
        <v>3</v>
      </c>
      <c r="Y652" s="24" t="s">
        <v>522</v>
      </c>
      <c r="Z652" s="4" t="str">
        <f t="shared" si="28"/>
        <v>Y</v>
      </c>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c r="CM652" s="24"/>
      <c r="CN652" s="24"/>
    </row>
    <row r="653" spans="1:92" x14ac:dyDescent="0.2">
      <c r="A653" s="24">
        <v>367</v>
      </c>
      <c r="B653" s="24" t="s">
        <v>367</v>
      </c>
      <c r="C653" s="24" t="s">
        <v>346</v>
      </c>
      <c r="D653" s="24"/>
      <c r="E653" s="24">
        <v>2004</v>
      </c>
      <c r="F653" s="24" t="s">
        <v>103</v>
      </c>
      <c r="G653" s="24" t="s">
        <v>513</v>
      </c>
      <c r="H653" s="26">
        <v>55</v>
      </c>
      <c r="I653" s="26">
        <v>5</v>
      </c>
      <c r="J653" s="26">
        <v>1958</v>
      </c>
      <c r="K653" s="26">
        <v>2002</v>
      </c>
      <c r="L653" s="26">
        <f t="shared" si="29"/>
        <v>45</v>
      </c>
      <c r="M653" s="24" t="s">
        <v>369</v>
      </c>
      <c r="N653" s="24" t="s">
        <v>538</v>
      </c>
      <c r="O653" s="24" t="s">
        <v>1328</v>
      </c>
      <c r="P653" s="24" t="s">
        <v>165</v>
      </c>
      <c r="Q653" s="24" t="s">
        <v>423</v>
      </c>
      <c r="R653" s="24"/>
      <c r="S653" s="24"/>
      <c r="T653" s="24"/>
      <c r="U653" s="24"/>
      <c r="V653" s="24">
        <v>-10.31787961</v>
      </c>
      <c r="W653" s="24" t="s">
        <v>3</v>
      </c>
      <c r="X653" s="24" t="s">
        <v>3</v>
      </c>
      <c r="Y653" s="24" t="s">
        <v>522</v>
      </c>
      <c r="Z653" s="4" t="str">
        <f t="shared" si="28"/>
        <v>Y</v>
      </c>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row>
    <row r="654" spans="1:92" x14ac:dyDescent="0.2">
      <c r="A654" s="24">
        <v>368</v>
      </c>
      <c r="B654" s="24" t="s">
        <v>367</v>
      </c>
      <c r="C654" s="24" t="s">
        <v>346</v>
      </c>
      <c r="D654" s="24"/>
      <c r="E654" s="24">
        <v>2004</v>
      </c>
      <c r="F654" s="24" t="s">
        <v>103</v>
      </c>
      <c r="G654" s="24" t="s">
        <v>513</v>
      </c>
      <c r="H654" s="26">
        <v>55</v>
      </c>
      <c r="I654" s="26">
        <v>5</v>
      </c>
      <c r="J654" s="26">
        <v>1958</v>
      </c>
      <c r="K654" s="26">
        <v>2002</v>
      </c>
      <c r="L654" s="26">
        <f t="shared" si="29"/>
        <v>45</v>
      </c>
      <c r="M654" s="24" t="s">
        <v>369</v>
      </c>
      <c r="N654" s="24" t="s">
        <v>538</v>
      </c>
      <c r="O654" s="24" t="s">
        <v>424</v>
      </c>
      <c r="P654" s="24" t="s">
        <v>165</v>
      </c>
      <c r="Q654" s="24" t="s">
        <v>424</v>
      </c>
      <c r="R654" s="24"/>
      <c r="S654" s="24"/>
      <c r="T654" s="24"/>
      <c r="U654" s="24"/>
      <c r="V654" s="24">
        <v>-9.4943896670000001</v>
      </c>
      <c r="W654" s="24" t="s">
        <v>3</v>
      </c>
      <c r="X654" s="24" t="s">
        <v>3</v>
      </c>
      <c r="Y654" s="24" t="s">
        <v>522</v>
      </c>
      <c r="Z654" s="4" t="str">
        <f t="shared" si="28"/>
        <v>Y</v>
      </c>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c r="CM654" s="24"/>
      <c r="CN654" s="24"/>
    </row>
    <row r="655" spans="1:92" x14ac:dyDescent="0.2">
      <c r="A655" s="24">
        <v>375</v>
      </c>
      <c r="B655" s="24" t="s">
        <v>367</v>
      </c>
      <c r="C655" s="24" t="s">
        <v>346</v>
      </c>
      <c r="D655" s="24"/>
      <c r="E655" s="24">
        <v>2004</v>
      </c>
      <c r="F655" s="24" t="s">
        <v>103</v>
      </c>
      <c r="G655" s="24" t="s">
        <v>513</v>
      </c>
      <c r="H655" s="26">
        <v>55</v>
      </c>
      <c r="I655" s="26">
        <v>5</v>
      </c>
      <c r="J655" s="26">
        <v>1958</v>
      </c>
      <c r="K655" s="26">
        <v>2002</v>
      </c>
      <c r="L655" s="26">
        <f t="shared" si="29"/>
        <v>45</v>
      </c>
      <c r="M655" s="24" t="s">
        <v>369</v>
      </c>
      <c r="N655" s="24" t="s">
        <v>52</v>
      </c>
      <c r="O655" s="24" t="s">
        <v>484</v>
      </c>
      <c r="P655" s="24" t="s">
        <v>484</v>
      </c>
      <c r="Q655" s="24" t="s">
        <v>119</v>
      </c>
      <c r="R655" s="24"/>
      <c r="S655" s="24"/>
      <c r="T655" s="24"/>
      <c r="U655" s="24"/>
      <c r="V655" s="24">
        <v>-2.2707132560000001</v>
      </c>
      <c r="W655" s="24" t="s">
        <v>3</v>
      </c>
      <c r="X655" s="24" t="s">
        <v>3</v>
      </c>
      <c r="Y655" s="24" t="s">
        <v>522</v>
      </c>
      <c r="Z655" s="4" t="str">
        <f t="shared" si="28"/>
        <v>Y</v>
      </c>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row>
    <row r="656" spans="1:92" x14ac:dyDescent="0.2">
      <c r="A656" s="24">
        <v>377</v>
      </c>
      <c r="B656" s="24" t="s">
        <v>367</v>
      </c>
      <c r="C656" s="24" t="s">
        <v>346</v>
      </c>
      <c r="D656" s="24"/>
      <c r="E656" s="24">
        <v>2004</v>
      </c>
      <c r="F656" s="24" t="s">
        <v>103</v>
      </c>
      <c r="G656" s="24" t="s">
        <v>513</v>
      </c>
      <c r="H656" s="26">
        <v>55</v>
      </c>
      <c r="I656" s="26">
        <v>5</v>
      </c>
      <c r="J656" s="26">
        <v>1958</v>
      </c>
      <c r="K656" s="26">
        <v>2002</v>
      </c>
      <c r="L656" s="26">
        <f t="shared" si="29"/>
        <v>45</v>
      </c>
      <c r="M656" s="24" t="s">
        <v>369</v>
      </c>
      <c r="N656" s="24" t="s">
        <v>52</v>
      </c>
      <c r="O656" s="24" t="s">
        <v>484</v>
      </c>
      <c r="P656" s="24" t="s">
        <v>484</v>
      </c>
      <c r="Q656" s="24" t="s">
        <v>432</v>
      </c>
      <c r="R656" s="24"/>
      <c r="S656" s="24"/>
      <c r="T656" s="24"/>
      <c r="U656" s="24"/>
      <c r="V656" s="24">
        <v>-1.698645178</v>
      </c>
      <c r="W656" s="24" t="s">
        <v>3</v>
      </c>
      <c r="X656" s="24" t="s">
        <v>3</v>
      </c>
      <c r="Y656" s="24" t="s">
        <v>522</v>
      </c>
      <c r="Z656" s="4" t="str">
        <f t="shared" si="28"/>
        <v>Y</v>
      </c>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c r="CM656" s="24"/>
      <c r="CN656" s="24"/>
    </row>
    <row r="657" spans="1:92" x14ac:dyDescent="0.2">
      <c r="A657" s="24">
        <v>379</v>
      </c>
      <c r="B657" s="24" t="s">
        <v>367</v>
      </c>
      <c r="C657" s="24" t="s">
        <v>346</v>
      </c>
      <c r="D657" s="24"/>
      <c r="E657" s="24">
        <v>2004</v>
      </c>
      <c r="F657" s="24" t="s">
        <v>103</v>
      </c>
      <c r="G657" s="24" t="s">
        <v>513</v>
      </c>
      <c r="H657" s="26">
        <v>55</v>
      </c>
      <c r="I657" s="26">
        <v>5</v>
      </c>
      <c r="J657" s="26">
        <v>1958</v>
      </c>
      <c r="K657" s="26">
        <v>2002</v>
      </c>
      <c r="L657" s="26">
        <f t="shared" si="29"/>
        <v>45</v>
      </c>
      <c r="M657" s="24" t="s">
        <v>369</v>
      </c>
      <c r="N657" s="24" t="s">
        <v>52</v>
      </c>
      <c r="O657" s="24" t="s">
        <v>484</v>
      </c>
      <c r="P657" s="24" t="s">
        <v>484</v>
      </c>
      <c r="Q657" s="24" t="s">
        <v>434</v>
      </c>
      <c r="R657" s="24"/>
      <c r="S657" s="24"/>
      <c r="T657" s="24"/>
      <c r="U657" s="24"/>
      <c r="V657" s="24">
        <v>-0.80795464400000006</v>
      </c>
      <c r="W657" s="24" t="s">
        <v>3</v>
      </c>
      <c r="X657" s="24" t="s">
        <v>3</v>
      </c>
      <c r="Y657" s="24" t="s">
        <v>522</v>
      </c>
      <c r="Z657" s="4" t="str">
        <f t="shared" si="28"/>
        <v>Y</v>
      </c>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row>
    <row r="658" spans="1:92" x14ac:dyDescent="0.2">
      <c r="A658" s="24">
        <v>380</v>
      </c>
      <c r="B658" s="24" t="s">
        <v>367</v>
      </c>
      <c r="C658" s="24" t="s">
        <v>346</v>
      </c>
      <c r="D658" s="24"/>
      <c r="E658" s="24">
        <v>2004</v>
      </c>
      <c r="F658" s="24" t="s">
        <v>103</v>
      </c>
      <c r="G658" s="24" t="s">
        <v>513</v>
      </c>
      <c r="H658" s="26">
        <v>55</v>
      </c>
      <c r="I658" s="26">
        <v>5</v>
      </c>
      <c r="J658" s="26">
        <v>1958</v>
      </c>
      <c r="K658" s="26">
        <v>2002</v>
      </c>
      <c r="L658" s="26">
        <f t="shared" si="29"/>
        <v>45</v>
      </c>
      <c r="M658" s="24" t="s">
        <v>369</v>
      </c>
      <c r="N658" s="24" t="s">
        <v>52</v>
      </c>
      <c r="O658" s="24" t="s">
        <v>484</v>
      </c>
      <c r="P658" s="24" t="s">
        <v>484</v>
      </c>
      <c r="Q658" s="24" t="s">
        <v>435</v>
      </c>
      <c r="R658" s="24"/>
      <c r="S658" s="24"/>
      <c r="T658" s="24"/>
      <c r="U658" s="24"/>
      <c r="V658" s="24">
        <v>1.3625827109999999</v>
      </c>
      <c r="W658" s="24" t="s">
        <v>24</v>
      </c>
      <c r="X658" s="24" t="s">
        <v>3</v>
      </c>
      <c r="Y658" s="24" t="s">
        <v>522</v>
      </c>
      <c r="Z658" s="4" t="str">
        <f t="shared" si="28"/>
        <v>Y</v>
      </c>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row>
    <row r="659" spans="1:92" x14ac:dyDescent="0.2">
      <c r="A659">
        <v>373</v>
      </c>
      <c r="B659" t="s">
        <v>367</v>
      </c>
      <c r="C659" t="s">
        <v>346</v>
      </c>
      <c r="E659">
        <v>2004</v>
      </c>
      <c r="F659" t="s">
        <v>103</v>
      </c>
      <c r="G659" t="s">
        <v>513</v>
      </c>
      <c r="H659" s="13">
        <v>55</v>
      </c>
      <c r="I659" s="13">
        <v>5</v>
      </c>
      <c r="J659" s="13">
        <v>1958</v>
      </c>
      <c r="K659" s="13">
        <v>2002</v>
      </c>
      <c r="L659" s="13">
        <f t="shared" si="29"/>
        <v>45</v>
      </c>
      <c r="M659" t="s">
        <v>369</v>
      </c>
      <c r="N659" t="s">
        <v>299</v>
      </c>
      <c r="O659" t="s">
        <v>381</v>
      </c>
      <c r="P659" t="s">
        <v>165</v>
      </c>
      <c r="Q659" t="s">
        <v>429</v>
      </c>
      <c r="V659">
        <v>-2.4823147560000001</v>
      </c>
      <c r="W659" t="s">
        <v>3</v>
      </c>
      <c r="X659" t="s">
        <v>3</v>
      </c>
      <c r="Y659" t="s">
        <v>522</v>
      </c>
      <c r="Z659" s="4" t="str">
        <f t="shared" si="28"/>
        <v>Y</v>
      </c>
    </row>
    <row r="660" spans="1:92" x14ac:dyDescent="0.2">
      <c r="A660" s="24">
        <v>382</v>
      </c>
      <c r="B660" s="24" t="s">
        <v>367</v>
      </c>
      <c r="C660" s="24" t="s">
        <v>346</v>
      </c>
      <c r="D660" s="24"/>
      <c r="E660" s="24">
        <v>2004</v>
      </c>
      <c r="F660" s="24" t="s">
        <v>103</v>
      </c>
      <c r="G660" s="24" t="s">
        <v>513</v>
      </c>
      <c r="H660" s="26">
        <v>55</v>
      </c>
      <c r="I660" s="26">
        <v>5</v>
      </c>
      <c r="J660" s="26">
        <v>1958</v>
      </c>
      <c r="K660" s="26">
        <v>2002</v>
      </c>
      <c r="L660" s="26">
        <f t="shared" si="29"/>
        <v>45</v>
      </c>
      <c r="M660" s="24" t="s">
        <v>369</v>
      </c>
      <c r="N660" s="24" t="s">
        <v>52</v>
      </c>
      <c r="O660" s="24" t="s">
        <v>1328</v>
      </c>
      <c r="P660" s="24" t="s">
        <v>490</v>
      </c>
      <c r="Q660" s="24" t="s">
        <v>437</v>
      </c>
      <c r="R660" s="24"/>
      <c r="S660" s="24"/>
      <c r="T660" s="24"/>
      <c r="U660" s="24"/>
      <c r="V660" s="24">
        <v>-5.0671267780000004</v>
      </c>
      <c r="W660" s="24" t="s">
        <v>3</v>
      </c>
      <c r="X660" s="24" t="s">
        <v>3</v>
      </c>
      <c r="Y660" s="24" t="s">
        <v>522</v>
      </c>
      <c r="Z660" s="4" t="str">
        <f t="shared" si="28"/>
        <v>Y</v>
      </c>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row>
    <row r="661" spans="1:92" x14ac:dyDescent="0.2">
      <c r="A661" s="24">
        <v>384</v>
      </c>
      <c r="B661" s="24" t="s">
        <v>367</v>
      </c>
      <c r="C661" s="24" t="s">
        <v>346</v>
      </c>
      <c r="D661" s="24"/>
      <c r="E661" s="24">
        <v>2004</v>
      </c>
      <c r="F661" s="24" t="s">
        <v>103</v>
      </c>
      <c r="G661" s="24" t="s">
        <v>513</v>
      </c>
      <c r="H661" s="26">
        <v>55</v>
      </c>
      <c r="I661" s="26">
        <v>5</v>
      </c>
      <c r="J661" s="26">
        <v>1958</v>
      </c>
      <c r="K661" s="26">
        <v>2002</v>
      </c>
      <c r="L661" s="26">
        <f t="shared" si="29"/>
        <v>45</v>
      </c>
      <c r="M661" s="24" t="s">
        <v>369</v>
      </c>
      <c r="N661" s="24" t="s">
        <v>52</v>
      </c>
      <c r="O661" s="24" t="s">
        <v>484</v>
      </c>
      <c r="P661" s="24" t="s">
        <v>484</v>
      </c>
      <c r="Q661" s="24" t="s">
        <v>439</v>
      </c>
      <c r="R661" s="24"/>
      <c r="S661" s="24"/>
      <c r="T661" s="24"/>
      <c r="U661" s="24"/>
      <c r="V661" s="24">
        <v>5.5694943329999997</v>
      </c>
      <c r="W661" s="24" t="s">
        <v>24</v>
      </c>
      <c r="X661" s="24" t="s">
        <v>3</v>
      </c>
      <c r="Y661" s="24" t="s">
        <v>522</v>
      </c>
      <c r="Z661" s="4" t="str">
        <f t="shared" si="28"/>
        <v>Y</v>
      </c>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row>
    <row r="662" spans="1:92" x14ac:dyDescent="0.2">
      <c r="A662">
        <v>376</v>
      </c>
      <c r="B662" t="s">
        <v>367</v>
      </c>
      <c r="C662" t="s">
        <v>346</v>
      </c>
      <c r="E662">
        <v>2004</v>
      </c>
      <c r="F662" t="s">
        <v>103</v>
      </c>
      <c r="G662" t="s">
        <v>513</v>
      </c>
      <c r="H662" s="13">
        <v>55</v>
      </c>
      <c r="I662" s="13">
        <v>5</v>
      </c>
      <c r="J662" s="13">
        <v>1958</v>
      </c>
      <c r="K662" s="13">
        <v>2002</v>
      </c>
      <c r="L662" s="13">
        <f t="shared" si="29"/>
        <v>45</v>
      </c>
      <c r="M662" t="s">
        <v>369</v>
      </c>
      <c r="N662" t="s">
        <v>299</v>
      </c>
      <c r="O662" t="s">
        <v>381</v>
      </c>
      <c r="P662" t="s">
        <v>165</v>
      </c>
      <c r="Q662" t="s">
        <v>431</v>
      </c>
      <c r="V662">
        <v>-1.9932504170000001</v>
      </c>
      <c r="W662" t="s">
        <v>3</v>
      </c>
      <c r="X662" t="s">
        <v>3</v>
      </c>
      <c r="Y662" t="s">
        <v>522</v>
      </c>
      <c r="Z662" s="4" t="str">
        <f t="shared" si="28"/>
        <v>Y</v>
      </c>
    </row>
    <row r="663" spans="1:92" x14ac:dyDescent="0.2">
      <c r="A663" s="24">
        <v>385</v>
      </c>
      <c r="B663" s="24" t="s">
        <v>367</v>
      </c>
      <c r="C663" s="24" t="s">
        <v>346</v>
      </c>
      <c r="D663" s="24"/>
      <c r="E663" s="24">
        <v>2004</v>
      </c>
      <c r="F663" s="24" t="s">
        <v>103</v>
      </c>
      <c r="G663" s="24" t="s">
        <v>513</v>
      </c>
      <c r="H663" s="26">
        <v>55</v>
      </c>
      <c r="I663" s="26">
        <v>5</v>
      </c>
      <c r="J663" s="26">
        <v>1958</v>
      </c>
      <c r="K663" s="26">
        <v>2002</v>
      </c>
      <c r="L663" s="26">
        <f t="shared" si="29"/>
        <v>45</v>
      </c>
      <c r="M663" s="24" t="s">
        <v>369</v>
      </c>
      <c r="N663" s="24" t="s">
        <v>52</v>
      </c>
      <c r="O663" s="24" t="s">
        <v>1328</v>
      </c>
      <c r="P663" s="24" t="s">
        <v>382</v>
      </c>
      <c r="Q663" s="24" t="s">
        <v>440</v>
      </c>
      <c r="R663" s="24"/>
      <c r="S663" s="24"/>
      <c r="T663" s="24"/>
      <c r="U663" s="24"/>
      <c r="V663" s="24">
        <v>-4.1859002780000001</v>
      </c>
      <c r="W663" s="24" t="s">
        <v>3</v>
      </c>
      <c r="X663" s="24" t="s">
        <v>3</v>
      </c>
      <c r="Y663" s="24" t="s">
        <v>522</v>
      </c>
      <c r="Z663" s="4" t="str">
        <f t="shared" si="28"/>
        <v>Y</v>
      </c>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row>
    <row r="664" spans="1:92" x14ac:dyDescent="0.2">
      <c r="A664">
        <v>378</v>
      </c>
      <c r="B664" t="s">
        <v>367</v>
      </c>
      <c r="C664" t="s">
        <v>346</v>
      </c>
      <c r="E664">
        <v>2004</v>
      </c>
      <c r="F664" t="s">
        <v>103</v>
      </c>
      <c r="G664" t="s">
        <v>513</v>
      </c>
      <c r="H664" s="13">
        <v>55</v>
      </c>
      <c r="I664" s="13">
        <v>5</v>
      </c>
      <c r="J664" s="13">
        <v>1958</v>
      </c>
      <c r="K664" s="13">
        <v>2002</v>
      </c>
      <c r="L664" s="13">
        <f t="shared" si="29"/>
        <v>45</v>
      </c>
      <c r="M664" t="s">
        <v>369</v>
      </c>
      <c r="N664" t="s">
        <v>299</v>
      </c>
      <c r="O664" t="s">
        <v>381</v>
      </c>
      <c r="P664" t="s">
        <v>165</v>
      </c>
      <c r="Q664" t="s">
        <v>433</v>
      </c>
      <c r="V664">
        <v>-0.93458817199999999</v>
      </c>
      <c r="W664" t="s">
        <v>3</v>
      </c>
      <c r="X664" t="s">
        <v>3</v>
      </c>
      <c r="Y664" t="s">
        <v>522</v>
      </c>
      <c r="Z664" s="4" t="str">
        <f t="shared" si="28"/>
        <v>Y</v>
      </c>
    </row>
    <row r="665" spans="1:92" x14ac:dyDescent="0.2">
      <c r="A665" s="24">
        <v>388</v>
      </c>
      <c r="B665" s="24" t="s">
        <v>367</v>
      </c>
      <c r="C665" s="24" t="s">
        <v>346</v>
      </c>
      <c r="D665" s="24"/>
      <c r="E665" s="24">
        <v>2004</v>
      </c>
      <c r="F665" s="24" t="s">
        <v>103</v>
      </c>
      <c r="G665" s="24" t="s">
        <v>513</v>
      </c>
      <c r="H665" s="26">
        <v>55</v>
      </c>
      <c r="I665" s="26">
        <v>5</v>
      </c>
      <c r="J665" s="26">
        <v>1958</v>
      </c>
      <c r="K665" s="26">
        <v>2002</v>
      </c>
      <c r="L665" s="26">
        <f t="shared" si="29"/>
        <v>45</v>
      </c>
      <c r="M665" s="24" t="s">
        <v>369</v>
      </c>
      <c r="N665" s="24" t="s">
        <v>52</v>
      </c>
      <c r="O665" s="24" t="s">
        <v>1328</v>
      </c>
      <c r="P665" s="24" t="s">
        <v>165</v>
      </c>
      <c r="Q665" s="24" t="s">
        <v>443</v>
      </c>
      <c r="R665" s="24"/>
      <c r="S665" s="24"/>
      <c r="T665" s="24"/>
      <c r="U665" s="24"/>
      <c r="V665" s="24">
        <v>-2.7707892059999999</v>
      </c>
      <c r="W665" s="24" t="s">
        <v>3</v>
      </c>
      <c r="X665" s="24" t="s">
        <v>3</v>
      </c>
      <c r="Y665" s="24" t="s">
        <v>522</v>
      </c>
      <c r="Z665" s="4" t="str">
        <f t="shared" si="28"/>
        <v>Y</v>
      </c>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row>
    <row r="666" spans="1:92" x14ac:dyDescent="0.2">
      <c r="A666" s="24">
        <v>392</v>
      </c>
      <c r="B666" s="24" t="s">
        <v>367</v>
      </c>
      <c r="C666" s="24" t="s">
        <v>346</v>
      </c>
      <c r="D666" s="24"/>
      <c r="E666" s="24">
        <v>2004</v>
      </c>
      <c r="F666" s="24" t="s">
        <v>103</v>
      </c>
      <c r="G666" s="24" t="s">
        <v>513</v>
      </c>
      <c r="H666" s="26">
        <v>55</v>
      </c>
      <c r="I666" s="26">
        <v>5</v>
      </c>
      <c r="J666" s="26">
        <v>1958</v>
      </c>
      <c r="K666" s="26">
        <v>2002</v>
      </c>
      <c r="L666" s="26">
        <f t="shared" si="29"/>
        <v>45</v>
      </c>
      <c r="M666" s="24" t="s">
        <v>369</v>
      </c>
      <c r="N666" s="24" t="s">
        <v>52</v>
      </c>
      <c r="O666" s="24" t="s">
        <v>1328</v>
      </c>
      <c r="P666" s="24" t="s">
        <v>489</v>
      </c>
      <c r="Q666" s="24" t="s">
        <v>446</v>
      </c>
      <c r="R666" s="24"/>
      <c r="S666" s="24"/>
      <c r="T666" s="24"/>
      <c r="U666" s="24"/>
      <c r="V666" s="24">
        <v>-2.2308928890000002</v>
      </c>
      <c r="W666" s="24" t="s">
        <v>3</v>
      </c>
      <c r="X666" s="24" t="s">
        <v>3</v>
      </c>
      <c r="Y666" s="24" t="s">
        <v>522</v>
      </c>
      <c r="Z666" s="4" t="str">
        <f t="shared" si="28"/>
        <v>Y</v>
      </c>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row>
    <row r="667" spans="1:92" x14ac:dyDescent="0.2">
      <c r="A667">
        <v>381</v>
      </c>
      <c r="B667" t="s">
        <v>367</v>
      </c>
      <c r="C667" t="s">
        <v>346</v>
      </c>
      <c r="E667">
        <v>2004</v>
      </c>
      <c r="F667" t="s">
        <v>103</v>
      </c>
      <c r="G667" t="s">
        <v>513</v>
      </c>
      <c r="H667" s="13">
        <v>55</v>
      </c>
      <c r="I667" s="13">
        <v>5</v>
      </c>
      <c r="J667" s="13">
        <v>1958</v>
      </c>
      <c r="K667" s="13">
        <v>2002</v>
      </c>
      <c r="L667" s="13">
        <f t="shared" si="29"/>
        <v>45</v>
      </c>
      <c r="M667" t="s">
        <v>369</v>
      </c>
      <c r="N667" t="s">
        <v>299</v>
      </c>
      <c r="O667" t="s">
        <v>381</v>
      </c>
      <c r="P667" t="s">
        <v>165</v>
      </c>
      <c r="Q667" t="s">
        <v>436</v>
      </c>
      <c r="V667">
        <v>1.8140290059999999</v>
      </c>
      <c r="W667" t="s">
        <v>24</v>
      </c>
      <c r="X667" t="s">
        <v>3</v>
      </c>
      <c r="Y667" t="s">
        <v>522</v>
      </c>
      <c r="Z667" s="4" t="str">
        <f t="shared" si="28"/>
        <v>Y</v>
      </c>
    </row>
    <row r="668" spans="1:92" x14ac:dyDescent="0.2">
      <c r="A668" s="24">
        <v>395</v>
      </c>
      <c r="B668" s="24" t="s">
        <v>367</v>
      </c>
      <c r="C668" s="24" t="s">
        <v>346</v>
      </c>
      <c r="D668" s="24"/>
      <c r="E668" s="24">
        <v>2004</v>
      </c>
      <c r="F668" s="24" t="s">
        <v>103</v>
      </c>
      <c r="G668" s="24" t="s">
        <v>513</v>
      </c>
      <c r="H668" s="26">
        <v>55</v>
      </c>
      <c r="I668" s="26">
        <v>5</v>
      </c>
      <c r="J668" s="26">
        <v>1958</v>
      </c>
      <c r="K668" s="26">
        <v>2002</v>
      </c>
      <c r="L668" s="26">
        <f t="shared" si="29"/>
        <v>45</v>
      </c>
      <c r="M668" s="24" t="s">
        <v>369</v>
      </c>
      <c r="N668" s="24" t="s">
        <v>52</v>
      </c>
      <c r="O668" s="24" t="s">
        <v>1328</v>
      </c>
      <c r="P668" s="24" t="s">
        <v>493</v>
      </c>
      <c r="Q668" s="24" t="s">
        <v>449</v>
      </c>
      <c r="R668" s="24"/>
      <c r="S668" s="24"/>
      <c r="T668" s="24"/>
      <c r="U668" s="24"/>
      <c r="V668" s="24">
        <v>-0.33636007800000001</v>
      </c>
      <c r="W668" s="24" t="s">
        <v>3</v>
      </c>
      <c r="X668" s="24" t="s">
        <v>3</v>
      </c>
      <c r="Y668" s="24" t="s">
        <v>522</v>
      </c>
      <c r="Z668" s="4" t="str">
        <f t="shared" si="28"/>
        <v>Y</v>
      </c>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row>
    <row r="669" spans="1:92" x14ac:dyDescent="0.2">
      <c r="A669">
        <v>383</v>
      </c>
      <c r="B669" t="s">
        <v>367</v>
      </c>
      <c r="C669" t="s">
        <v>346</v>
      </c>
      <c r="E669">
        <v>2004</v>
      </c>
      <c r="F669" t="s">
        <v>103</v>
      </c>
      <c r="G669" t="s">
        <v>513</v>
      </c>
      <c r="H669" s="13">
        <v>55</v>
      </c>
      <c r="I669" s="13">
        <v>5</v>
      </c>
      <c r="J669" s="13">
        <v>1958</v>
      </c>
      <c r="K669" s="13">
        <v>2002</v>
      </c>
      <c r="L669" s="13">
        <f t="shared" si="29"/>
        <v>45</v>
      </c>
      <c r="M669" t="s">
        <v>369</v>
      </c>
      <c r="N669" t="s">
        <v>299</v>
      </c>
      <c r="O669" t="s">
        <v>375</v>
      </c>
      <c r="P669" t="s">
        <v>165</v>
      </c>
      <c r="Q669" t="s">
        <v>438</v>
      </c>
      <c r="V669">
        <v>2.865310494</v>
      </c>
      <c r="W669" t="s">
        <v>24</v>
      </c>
      <c r="X669" t="s">
        <v>3</v>
      </c>
      <c r="Y669" t="s">
        <v>522</v>
      </c>
      <c r="Z669" s="4" t="str">
        <f t="shared" si="28"/>
        <v>Y</v>
      </c>
    </row>
    <row r="670" spans="1:92" x14ac:dyDescent="0.2">
      <c r="A670" s="24">
        <v>396</v>
      </c>
      <c r="B670" s="24" t="s">
        <v>367</v>
      </c>
      <c r="C670" s="24" t="s">
        <v>346</v>
      </c>
      <c r="D670" s="24"/>
      <c r="E670" s="24">
        <v>2004</v>
      </c>
      <c r="F670" s="24" t="s">
        <v>103</v>
      </c>
      <c r="G670" s="24" t="s">
        <v>513</v>
      </c>
      <c r="H670" s="26">
        <v>55</v>
      </c>
      <c r="I670" s="26">
        <v>5</v>
      </c>
      <c r="J670" s="26">
        <v>1958</v>
      </c>
      <c r="K670" s="26">
        <v>2002</v>
      </c>
      <c r="L670" s="26">
        <f t="shared" si="29"/>
        <v>45</v>
      </c>
      <c r="M670" s="24" t="s">
        <v>369</v>
      </c>
      <c r="N670" s="24" t="s">
        <v>52</v>
      </c>
      <c r="O670" s="24" t="s">
        <v>1328</v>
      </c>
      <c r="P670" s="24" t="s">
        <v>972</v>
      </c>
      <c r="Q670" s="24" t="s">
        <v>450</v>
      </c>
      <c r="R670" s="24"/>
      <c r="S670" s="24"/>
      <c r="T670" s="24"/>
      <c r="U670" s="24"/>
      <c r="V670" s="24">
        <v>3.2082477780000001</v>
      </c>
      <c r="W670" s="24" t="s">
        <v>24</v>
      </c>
      <c r="X670" s="24" t="s">
        <v>3</v>
      </c>
      <c r="Y670" s="24" t="s">
        <v>522</v>
      </c>
      <c r="Z670" s="4" t="str">
        <f t="shared" si="28"/>
        <v>Y</v>
      </c>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row>
    <row r="671" spans="1:92" x14ac:dyDescent="0.2">
      <c r="A671" s="24">
        <v>397</v>
      </c>
      <c r="B671" s="24" t="s">
        <v>367</v>
      </c>
      <c r="C671" s="24" t="s">
        <v>346</v>
      </c>
      <c r="D671" s="24"/>
      <c r="E671" s="24">
        <v>2004</v>
      </c>
      <c r="F671" s="24" t="s">
        <v>103</v>
      </c>
      <c r="G671" s="24" t="s">
        <v>513</v>
      </c>
      <c r="H671" s="26">
        <v>55</v>
      </c>
      <c r="I671" s="26">
        <v>5</v>
      </c>
      <c r="J671" s="26">
        <v>1958</v>
      </c>
      <c r="K671" s="26">
        <v>2002</v>
      </c>
      <c r="L671" s="26">
        <f t="shared" si="29"/>
        <v>45</v>
      </c>
      <c r="M671" s="24" t="s">
        <v>369</v>
      </c>
      <c r="N671" s="24" t="s">
        <v>52</v>
      </c>
      <c r="O671" s="24" t="s">
        <v>1328</v>
      </c>
      <c r="P671" s="24" t="s">
        <v>972</v>
      </c>
      <c r="Q671" s="24" t="s">
        <v>451</v>
      </c>
      <c r="R671" s="24"/>
      <c r="S671" s="24"/>
      <c r="T671" s="24"/>
      <c r="U671" s="24"/>
      <c r="V671" s="24">
        <v>8.3682292220000001</v>
      </c>
      <c r="W671" s="24" t="s">
        <v>24</v>
      </c>
      <c r="X671" s="24" t="s">
        <v>3</v>
      </c>
      <c r="Y671" s="24" t="s">
        <v>522</v>
      </c>
      <c r="Z671" s="4" t="str">
        <f t="shared" si="28"/>
        <v>Y</v>
      </c>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row>
    <row r="672" spans="1:92" x14ac:dyDescent="0.2">
      <c r="A672">
        <v>386</v>
      </c>
      <c r="B672" t="s">
        <v>367</v>
      </c>
      <c r="C672" t="s">
        <v>346</v>
      </c>
      <c r="E672">
        <v>2004</v>
      </c>
      <c r="F672" t="s">
        <v>103</v>
      </c>
      <c r="G672" t="s">
        <v>513</v>
      </c>
      <c r="H672" s="13">
        <v>55</v>
      </c>
      <c r="I672" s="13">
        <v>5</v>
      </c>
      <c r="J672" s="13">
        <v>1958</v>
      </c>
      <c r="K672" s="13">
        <v>2002</v>
      </c>
      <c r="L672" s="13">
        <f t="shared" si="29"/>
        <v>45</v>
      </c>
      <c r="M672" t="s">
        <v>369</v>
      </c>
      <c r="N672" t="s">
        <v>299</v>
      </c>
      <c r="O672" t="s">
        <v>381</v>
      </c>
      <c r="P672" t="s">
        <v>165</v>
      </c>
      <c r="Q672" t="s">
        <v>441</v>
      </c>
      <c r="V672">
        <v>6.4953624999999997</v>
      </c>
      <c r="W672" t="s">
        <v>24</v>
      </c>
      <c r="X672" t="s">
        <v>3</v>
      </c>
      <c r="Y672" t="s">
        <v>522</v>
      </c>
      <c r="Z672" s="4" t="str">
        <f t="shared" si="28"/>
        <v>Y</v>
      </c>
    </row>
    <row r="673" spans="1:92" x14ac:dyDescent="0.2">
      <c r="A673" s="24">
        <v>387</v>
      </c>
      <c r="B673" s="24" t="s">
        <v>367</v>
      </c>
      <c r="C673" s="24" t="s">
        <v>346</v>
      </c>
      <c r="D673" s="24"/>
      <c r="E673" s="24">
        <v>2004</v>
      </c>
      <c r="F673" s="24" t="s">
        <v>103</v>
      </c>
      <c r="G673" s="24" t="s">
        <v>513</v>
      </c>
      <c r="H673" s="26">
        <v>55</v>
      </c>
      <c r="I673" s="26">
        <v>5</v>
      </c>
      <c r="J673" s="26">
        <v>1958</v>
      </c>
      <c r="K673" s="26">
        <v>2002</v>
      </c>
      <c r="L673" s="26">
        <f t="shared" si="29"/>
        <v>45</v>
      </c>
      <c r="M673" s="24" t="s">
        <v>369</v>
      </c>
      <c r="N673" s="24" t="s">
        <v>538</v>
      </c>
      <c r="O673" s="24" t="s">
        <v>1328</v>
      </c>
      <c r="P673" s="24" t="s">
        <v>165</v>
      </c>
      <c r="Q673" s="24" t="s">
        <v>442</v>
      </c>
      <c r="R673" s="24"/>
      <c r="S673" s="24"/>
      <c r="T673" s="24"/>
      <c r="U673" s="24"/>
      <c r="V673" s="24">
        <v>-3.1808675559999999</v>
      </c>
      <c r="W673" s="24" t="s">
        <v>3</v>
      </c>
      <c r="X673" s="24" t="s">
        <v>3</v>
      </c>
      <c r="Y673" s="24" t="s">
        <v>522</v>
      </c>
      <c r="Z673" s="4" t="str">
        <f t="shared" si="28"/>
        <v>Y</v>
      </c>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row>
    <row r="674" spans="1:92" x14ac:dyDescent="0.2">
      <c r="A674" s="24">
        <v>402</v>
      </c>
      <c r="B674" s="24" t="s">
        <v>367</v>
      </c>
      <c r="C674" s="24" t="s">
        <v>356</v>
      </c>
      <c r="D674" s="24"/>
      <c r="E674" s="24">
        <v>2004</v>
      </c>
      <c r="F674" s="24" t="s">
        <v>103</v>
      </c>
      <c r="G674" s="24" t="s">
        <v>513</v>
      </c>
      <c r="H674" s="26">
        <v>54.19</v>
      </c>
      <c r="I674" s="26">
        <v>7.9</v>
      </c>
      <c r="J674" s="26">
        <v>1974</v>
      </c>
      <c r="K674" s="26">
        <v>2004</v>
      </c>
      <c r="L674" s="26">
        <f t="shared" si="29"/>
        <v>31</v>
      </c>
      <c r="M674" s="24" t="s">
        <v>369</v>
      </c>
      <c r="N674" s="24" t="s">
        <v>52</v>
      </c>
      <c r="O674" s="24" t="s">
        <v>1328</v>
      </c>
      <c r="P674" s="24" t="s">
        <v>489</v>
      </c>
      <c r="Q674" s="24" t="s">
        <v>430</v>
      </c>
      <c r="R674" s="24"/>
      <c r="S674" s="24"/>
      <c r="T674" s="24"/>
      <c r="U674" s="24"/>
      <c r="V674" s="24">
        <v>-14.7</v>
      </c>
      <c r="W674" s="24" t="s">
        <v>3</v>
      </c>
      <c r="X674" s="24" t="s">
        <v>3</v>
      </c>
      <c r="Y674" s="24" t="s">
        <v>522</v>
      </c>
      <c r="Z674" s="4" t="str">
        <f t="shared" si="28"/>
        <v>Y</v>
      </c>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row>
    <row r="675" spans="1:92" x14ac:dyDescent="0.2">
      <c r="A675" s="24">
        <v>389</v>
      </c>
      <c r="B675" s="24" t="s">
        <v>367</v>
      </c>
      <c r="C675" s="24" t="s">
        <v>346</v>
      </c>
      <c r="D675" s="24"/>
      <c r="E675" s="24">
        <v>2004</v>
      </c>
      <c r="F675" s="24" t="s">
        <v>103</v>
      </c>
      <c r="G675" s="24" t="s">
        <v>513</v>
      </c>
      <c r="H675" s="26">
        <v>55</v>
      </c>
      <c r="I675" s="26">
        <v>5</v>
      </c>
      <c r="J675" s="26">
        <v>1958</v>
      </c>
      <c r="K675" s="26">
        <v>2002</v>
      </c>
      <c r="L675" s="26">
        <f t="shared" si="29"/>
        <v>45</v>
      </c>
      <c r="M675" s="24" t="s">
        <v>369</v>
      </c>
      <c r="N675" s="24" t="s">
        <v>538</v>
      </c>
      <c r="O675" s="24" t="s">
        <v>1328</v>
      </c>
      <c r="P675" s="24" t="s">
        <v>165</v>
      </c>
      <c r="Q675" s="24" t="s">
        <v>444</v>
      </c>
      <c r="R675" s="24"/>
      <c r="S675" s="24"/>
      <c r="T675" s="24"/>
      <c r="U675" s="24"/>
      <c r="V675" s="24">
        <v>-2.7590335669999999</v>
      </c>
      <c r="W675" s="24" t="s">
        <v>3</v>
      </c>
      <c r="X675" s="24" t="s">
        <v>3</v>
      </c>
      <c r="Y675" s="24" t="s">
        <v>522</v>
      </c>
      <c r="Z675" s="4" t="str">
        <f t="shared" si="28"/>
        <v>Y</v>
      </c>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row>
    <row r="676" spans="1:92" x14ac:dyDescent="0.2">
      <c r="A676" s="24">
        <v>390</v>
      </c>
      <c r="B676" s="24" t="s">
        <v>367</v>
      </c>
      <c r="C676" s="24" t="s">
        <v>346</v>
      </c>
      <c r="D676" s="24"/>
      <c r="E676" s="24">
        <v>2004</v>
      </c>
      <c r="F676" s="24" t="s">
        <v>103</v>
      </c>
      <c r="G676" s="24" t="s">
        <v>513</v>
      </c>
      <c r="H676" s="26">
        <v>55</v>
      </c>
      <c r="I676" s="26">
        <v>5</v>
      </c>
      <c r="J676" s="26">
        <v>1958</v>
      </c>
      <c r="K676" s="26">
        <v>2002</v>
      </c>
      <c r="L676" s="26">
        <f t="shared" si="29"/>
        <v>45</v>
      </c>
      <c r="M676" s="24" t="s">
        <v>369</v>
      </c>
      <c r="N676" s="24" t="s">
        <v>538</v>
      </c>
      <c r="O676" s="24" t="s">
        <v>1328</v>
      </c>
      <c r="P676" s="24" t="s">
        <v>165</v>
      </c>
      <c r="Q676" s="24" t="s">
        <v>445</v>
      </c>
      <c r="R676" s="24"/>
      <c r="S676" s="24"/>
      <c r="T676" s="24"/>
      <c r="U676" s="24"/>
      <c r="V676" s="24">
        <v>-2.7181418000000002</v>
      </c>
      <c r="W676" s="24" t="s">
        <v>3</v>
      </c>
      <c r="X676" s="24" t="s">
        <v>3</v>
      </c>
      <c r="Y676" s="24" t="s">
        <v>522</v>
      </c>
      <c r="Z676" s="4" t="str">
        <f t="shared" si="28"/>
        <v>Y</v>
      </c>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row>
    <row r="677" spans="1:92" x14ac:dyDescent="0.2">
      <c r="A677">
        <v>391</v>
      </c>
      <c r="B677" t="s">
        <v>367</v>
      </c>
      <c r="C677" t="s">
        <v>335</v>
      </c>
      <c r="E677">
        <v>2003</v>
      </c>
      <c r="F677" t="s">
        <v>103</v>
      </c>
      <c r="G677" t="s">
        <v>513</v>
      </c>
      <c r="H677" s="13">
        <v>53</v>
      </c>
      <c r="I677" s="13">
        <v>4.8</v>
      </c>
      <c r="J677" s="13">
        <v>1973</v>
      </c>
      <c r="K677" s="13">
        <v>2001</v>
      </c>
      <c r="L677" s="13">
        <f t="shared" si="29"/>
        <v>29</v>
      </c>
      <c r="M677" t="s">
        <v>369</v>
      </c>
      <c r="N677" t="s">
        <v>299</v>
      </c>
      <c r="O677" t="s">
        <v>384</v>
      </c>
      <c r="P677" t="s">
        <v>491</v>
      </c>
      <c r="Q677" t="s">
        <v>165</v>
      </c>
      <c r="V677" t="s">
        <v>165</v>
      </c>
      <c r="W677" t="s">
        <v>164</v>
      </c>
      <c r="X677" t="s">
        <v>3</v>
      </c>
      <c r="Y677" t="s">
        <v>519</v>
      </c>
      <c r="Z677" s="4" t="str">
        <f t="shared" si="28"/>
        <v>Y</v>
      </c>
      <c r="AC677" t="s">
        <v>571</v>
      </c>
    </row>
    <row r="678" spans="1:92" x14ac:dyDescent="0.2">
      <c r="A678" s="24">
        <v>405</v>
      </c>
      <c r="B678" s="24" t="s">
        <v>367</v>
      </c>
      <c r="C678" s="24" t="s">
        <v>349</v>
      </c>
      <c r="D678" s="24"/>
      <c r="E678" s="24">
        <v>2001</v>
      </c>
      <c r="F678" s="24" t="s">
        <v>506</v>
      </c>
      <c r="G678" s="24" t="s">
        <v>513</v>
      </c>
      <c r="H678" s="26">
        <v>50</v>
      </c>
      <c r="I678" s="26">
        <v>145</v>
      </c>
      <c r="J678" s="26">
        <v>1975</v>
      </c>
      <c r="K678" s="26">
        <v>1996</v>
      </c>
      <c r="L678" s="26">
        <f t="shared" si="29"/>
        <v>22</v>
      </c>
      <c r="M678" s="24" t="s">
        <v>370</v>
      </c>
      <c r="N678" s="24" t="s">
        <v>52</v>
      </c>
      <c r="O678" s="29" t="s">
        <v>484</v>
      </c>
      <c r="P678" s="24" t="s">
        <v>484</v>
      </c>
      <c r="Q678" s="24" t="s">
        <v>453</v>
      </c>
      <c r="R678" s="24"/>
      <c r="S678" s="24"/>
      <c r="T678" s="24"/>
      <c r="U678" s="24"/>
      <c r="V678" s="24">
        <v>-22</v>
      </c>
      <c r="W678" s="24" t="s">
        <v>3</v>
      </c>
      <c r="X678" s="24" t="s">
        <v>3</v>
      </c>
      <c r="Y678" s="24" t="s">
        <v>523</v>
      </c>
      <c r="Z678" s="4" t="str">
        <f t="shared" si="28"/>
        <v>Y</v>
      </c>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row>
    <row r="679" spans="1:92" x14ac:dyDescent="0.2">
      <c r="A679" s="24">
        <v>393</v>
      </c>
      <c r="B679" s="24" t="s">
        <v>367</v>
      </c>
      <c r="C679" s="24" t="s">
        <v>346</v>
      </c>
      <c r="D679" s="24"/>
      <c r="E679" s="24">
        <v>2004</v>
      </c>
      <c r="F679" s="24" t="s">
        <v>103</v>
      </c>
      <c r="G679" s="24" t="s">
        <v>513</v>
      </c>
      <c r="H679" s="26">
        <v>55</v>
      </c>
      <c r="I679" s="26">
        <v>5</v>
      </c>
      <c r="J679" s="26">
        <v>1958</v>
      </c>
      <c r="K679" s="26">
        <v>2002</v>
      </c>
      <c r="L679" s="26">
        <f t="shared" si="29"/>
        <v>45</v>
      </c>
      <c r="M679" s="24" t="s">
        <v>369</v>
      </c>
      <c r="N679" s="24" t="s">
        <v>538</v>
      </c>
      <c r="O679" s="24" t="s">
        <v>1328</v>
      </c>
      <c r="P679" s="24" t="s">
        <v>382</v>
      </c>
      <c r="Q679" s="24" t="s">
        <v>447</v>
      </c>
      <c r="R679" s="24"/>
      <c r="S679" s="24"/>
      <c r="T679" s="24"/>
      <c r="U679" s="24"/>
      <c r="V679" s="24">
        <v>-1.7645957999999999</v>
      </c>
      <c r="W679" s="24" t="s">
        <v>3</v>
      </c>
      <c r="X679" s="24" t="s">
        <v>3</v>
      </c>
      <c r="Y679" s="24" t="s">
        <v>522</v>
      </c>
      <c r="Z679" s="4" t="str">
        <f t="shared" si="28"/>
        <v>Y</v>
      </c>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row>
    <row r="680" spans="1:92" x14ac:dyDescent="0.2">
      <c r="A680" s="24">
        <v>394</v>
      </c>
      <c r="B680" s="24" t="s">
        <v>367</v>
      </c>
      <c r="C680" s="24" t="s">
        <v>346</v>
      </c>
      <c r="D680" s="24"/>
      <c r="E680" s="24">
        <v>2004</v>
      </c>
      <c r="F680" s="24" t="s">
        <v>103</v>
      </c>
      <c r="G680" s="24" t="s">
        <v>513</v>
      </c>
      <c r="H680" s="26">
        <v>55</v>
      </c>
      <c r="I680" s="26">
        <v>5</v>
      </c>
      <c r="J680" s="26">
        <v>1958</v>
      </c>
      <c r="K680" s="26">
        <v>2002</v>
      </c>
      <c r="L680" s="26">
        <f t="shared" si="29"/>
        <v>45</v>
      </c>
      <c r="M680" s="24" t="s">
        <v>369</v>
      </c>
      <c r="N680" s="24" t="s">
        <v>538</v>
      </c>
      <c r="O680" s="24" t="s">
        <v>1328</v>
      </c>
      <c r="P680" s="24" t="s">
        <v>492</v>
      </c>
      <c r="Q680" s="24" t="s">
        <v>448</v>
      </c>
      <c r="R680" s="24"/>
      <c r="S680" s="24"/>
      <c r="T680" s="24"/>
      <c r="U680" s="24"/>
      <c r="V680" s="24">
        <v>-1.3691003939999999</v>
      </c>
      <c r="W680" s="24" t="s">
        <v>3</v>
      </c>
      <c r="X680" s="24" t="s">
        <v>3</v>
      </c>
      <c r="Y680" s="24" t="s">
        <v>522</v>
      </c>
      <c r="Z680" s="4" t="str">
        <f t="shared" si="28"/>
        <v>Y</v>
      </c>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row>
    <row r="681" spans="1:92" x14ac:dyDescent="0.2">
      <c r="A681" s="24">
        <v>406</v>
      </c>
      <c r="B681" s="24" t="s">
        <v>367</v>
      </c>
      <c r="C681" s="24" t="s">
        <v>349</v>
      </c>
      <c r="D681" s="24"/>
      <c r="E681" s="24">
        <v>2001</v>
      </c>
      <c r="F681" s="24" t="s">
        <v>506</v>
      </c>
      <c r="G681" s="24" t="s">
        <v>513</v>
      </c>
      <c r="H681" s="26">
        <v>48.65</v>
      </c>
      <c r="I681" s="26">
        <v>-126.67</v>
      </c>
      <c r="J681" s="26">
        <v>1975</v>
      </c>
      <c r="K681" s="26">
        <v>1998</v>
      </c>
      <c r="L681" s="26">
        <f t="shared" si="29"/>
        <v>24</v>
      </c>
      <c r="M681" s="24" t="s">
        <v>370</v>
      </c>
      <c r="N681" s="24" t="s">
        <v>52</v>
      </c>
      <c r="O681" s="24" t="s">
        <v>484</v>
      </c>
      <c r="P681" s="24" t="s">
        <v>484</v>
      </c>
      <c r="Q681" s="24" t="s">
        <v>453</v>
      </c>
      <c r="R681" s="24"/>
      <c r="S681" s="24"/>
      <c r="T681" s="24"/>
      <c r="U681" s="24"/>
      <c r="V681" s="24">
        <v>-13</v>
      </c>
      <c r="W681" s="24" t="s">
        <v>3</v>
      </c>
      <c r="X681" s="24" t="s">
        <v>3</v>
      </c>
      <c r="Y681" s="24" t="s">
        <v>523</v>
      </c>
      <c r="Z681" s="4" t="str">
        <f t="shared" si="28"/>
        <v>Y</v>
      </c>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row>
    <row r="682" spans="1:92" x14ac:dyDescent="0.2">
      <c r="A682" s="24">
        <v>407</v>
      </c>
      <c r="B682" s="24" t="s">
        <v>367</v>
      </c>
      <c r="C682" s="24" t="s">
        <v>358</v>
      </c>
      <c r="D682" s="24"/>
      <c r="E682" s="24">
        <v>1998</v>
      </c>
      <c r="F682" s="24" t="s">
        <v>505</v>
      </c>
      <c r="G682" s="24" t="s">
        <v>513</v>
      </c>
      <c r="H682" s="26">
        <v>50</v>
      </c>
      <c r="I682" s="26">
        <v>-145</v>
      </c>
      <c r="J682" s="26">
        <v>1968</v>
      </c>
      <c r="K682" s="26">
        <v>1996</v>
      </c>
      <c r="L682" s="26">
        <f t="shared" si="29"/>
        <v>29</v>
      </c>
      <c r="M682" s="24" t="s">
        <v>369</v>
      </c>
      <c r="N682" s="24" t="s">
        <v>52</v>
      </c>
      <c r="O682" s="24" t="s">
        <v>484</v>
      </c>
      <c r="P682" s="24" t="s">
        <v>461</v>
      </c>
      <c r="Q682" s="24" t="s">
        <v>453</v>
      </c>
      <c r="R682" s="24"/>
      <c r="S682" s="24"/>
      <c r="T682" s="24"/>
      <c r="U682" s="24"/>
      <c r="V682" s="24">
        <v>-10.34</v>
      </c>
      <c r="W682" s="24" t="s">
        <v>3</v>
      </c>
      <c r="X682" s="24" t="s">
        <v>3</v>
      </c>
      <c r="Y682" s="24" t="s">
        <v>518</v>
      </c>
      <c r="Z682" s="4" t="str">
        <f t="shared" si="28"/>
        <v>Y</v>
      </c>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row>
    <row r="683" spans="1:92" x14ac:dyDescent="0.2">
      <c r="B683" t="s">
        <v>366</v>
      </c>
      <c r="C683" t="s">
        <v>1057</v>
      </c>
      <c r="E683">
        <v>2019</v>
      </c>
      <c r="F683" t="s">
        <v>58</v>
      </c>
      <c r="G683" t="s">
        <v>513</v>
      </c>
      <c r="H683" s="16">
        <v>70.37</v>
      </c>
      <c r="I683" s="16">
        <v>31.13</v>
      </c>
      <c r="J683" s="15">
        <v>1982</v>
      </c>
      <c r="K683" s="15">
        <v>2013</v>
      </c>
      <c r="L683" s="15">
        <v>32</v>
      </c>
      <c r="M683" t="s">
        <v>369</v>
      </c>
      <c r="N683" t="s">
        <v>380</v>
      </c>
      <c r="O683" t="s">
        <v>380</v>
      </c>
      <c r="P683" s="15" t="s">
        <v>138</v>
      </c>
      <c r="Q683" s="15" t="s">
        <v>1004</v>
      </c>
      <c r="R683" t="s">
        <v>939</v>
      </c>
      <c r="S683" t="s">
        <v>1076</v>
      </c>
      <c r="T683" s="15">
        <v>183.7526</v>
      </c>
      <c r="U683" s="15" t="s">
        <v>1068</v>
      </c>
      <c r="V683" s="15">
        <v>-3.1848055E-2</v>
      </c>
      <c r="W683" t="s">
        <v>3</v>
      </c>
      <c r="X683" t="s">
        <v>3</v>
      </c>
      <c r="Y683" t="s">
        <v>366</v>
      </c>
      <c r="Z683" s="4" t="str">
        <f t="shared" si="28"/>
        <v>Y</v>
      </c>
      <c r="AA683" t="s">
        <v>1121</v>
      </c>
      <c r="AB683" t="s">
        <v>1150</v>
      </c>
      <c r="AC683" s="15" t="s">
        <v>1060</v>
      </c>
      <c r="AD683" s="15" t="s">
        <v>1100</v>
      </c>
      <c r="AE683" s="15" t="s">
        <v>1152</v>
      </c>
      <c r="AF683" s="15" t="s">
        <v>3</v>
      </c>
      <c r="AG683" t="s">
        <v>1100</v>
      </c>
      <c r="AI683" s="15"/>
      <c r="AJ683" s="15"/>
      <c r="AK683" s="15"/>
      <c r="AL683" s="15"/>
      <c r="AM683" s="15"/>
      <c r="AN683" s="15"/>
      <c r="CD683">
        <v>228.82022471910099</v>
      </c>
    </row>
    <row r="684" spans="1:92" x14ac:dyDescent="0.2">
      <c r="B684" t="s">
        <v>366</v>
      </c>
      <c r="C684" t="s">
        <v>1057</v>
      </c>
      <c r="E684">
        <v>2019</v>
      </c>
      <c r="F684" t="s">
        <v>58</v>
      </c>
      <c r="G684" t="s">
        <v>513</v>
      </c>
      <c r="H684" s="16">
        <v>77</v>
      </c>
      <c r="I684" s="16">
        <v>15.55</v>
      </c>
      <c r="J684" s="15">
        <v>1983</v>
      </c>
      <c r="K684" s="15">
        <v>2016</v>
      </c>
      <c r="L684" s="15">
        <v>34</v>
      </c>
      <c r="M684" t="s">
        <v>369</v>
      </c>
      <c r="N684" t="s">
        <v>380</v>
      </c>
      <c r="O684" t="s">
        <v>380</v>
      </c>
      <c r="P684" s="15" t="s">
        <v>1033</v>
      </c>
      <c r="Q684" s="15" t="s">
        <v>1005</v>
      </c>
      <c r="R684" t="s">
        <v>939</v>
      </c>
      <c r="S684" t="s">
        <v>1076</v>
      </c>
      <c r="T684" s="15">
        <v>201.7071</v>
      </c>
      <c r="U684" s="15" t="s">
        <v>1068</v>
      </c>
      <c r="V684" s="15">
        <v>-0.33915676700000003</v>
      </c>
      <c r="W684" t="s">
        <v>3</v>
      </c>
      <c r="X684" t="s">
        <v>3</v>
      </c>
      <c r="Y684" t="s">
        <v>366</v>
      </c>
      <c r="Z684" s="4" t="str">
        <f t="shared" si="28"/>
        <v>Y</v>
      </c>
      <c r="AA684" t="s">
        <v>1121</v>
      </c>
      <c r="AB684" t="s">
        <v>1150</v>
      </c>
      <c r="AC684" s="15" t="s">
        <v>1060</v>
      </c>
      <c r="AD684" s="15" t="s">
        <v>1100</v>
      </c>
      <c r="AE684" s="15" t="s">
        <v>1152</v>
      </c>
      <c r="AF684" s="15" t="s">
        <v>3</v>
      </c>
      <c r="AG684" t="s">
        <v>1100</v>
      </c>
      <c r="AI684" s="15"/>
      <c r="AJ684" s="15"/>
      <c r="AK684" s="15"/>
      <c r="AL684" s="15"/>
      <c r="AM684" s="15"/>
      <c r="AN684" s="15"/>
      <c r="CD684">
        <v>232.752808988764</v>
      </c>
    </row>
    <row r="685" spans="1:92" x14ac:dyDescent="0.2">
      <c r="B685" t="s">
        <v>366</v>
      </c>
      <c r="C685" t="s">
        <v>1057</v>
      </c>
      <c r="E685">
        <v>2019</v>
      </c>
      <c r="F685" t="s">
        <v>58</v>
      </c>
      <c r="G685" t="s">
        <v>513</v>
      </c>
      <c r="H685" s="16">
        <v>59.61</v>
      </c>
      <c r="I685" s="16">
        <v>-151.35</v>
      </c>
      <c r="J685" s="15">
        <v>1995</v>
      </c>
      <c r="K685" s="15">
        <v>1999</v>
      </c>
      <c r="L685" s="15">
        <v>5</v>
      </c>
      <c r="M685" t="s">
        <v>369</v>
      </c>
      <c r="N685" t="s">
        <v>380</v>
      </c>
      <c r="O685" t="s">
        <v>380</v>
      </c>
      <c r="P685" s="15" t="s">
        <v>1034</v>
      </c>
      <c r="Q685" s="15" t="s">
        <v>1006</v>
      </c>
      <c r="R685" t="s">
        <v>939</v>
      </c>
      <c r="S685" t="s">
        <v>1076</v>
      </c>
      <c r="T685" s="15">
        <v>183.2</v>
      </c>
      <c r="U685" s="15" t="s">
        <v>1068</v>
      </c>
      <c r="V685" s="15">
        <v>-0.4</v>
      </c>
      <c r="W685" t="s">
        <v>3</v>
      </c>
      <c r="X685" t="s">
        <v>3</v>
      </c>
      <c r="Y685" t="s">
        <v>366</v>
      </c>
      <c r="Z685" s="4" t="str">
        <f t="shared" si="28"/>
        <v>N</v>
      </c>
      <c r="AA685" t="s">
        <v>1121</v>
      </c>
      <c r="AB685" t="s">
        <v>1150</v>
      </c>
      <c r="AC685" s="15" t="s">
        <v>1060</v>
      </c>
      <c r="AD685" s="15" t="s">
        <v>1100</v>
      </c>
      <c r="AE685" s="15" t="s">
        <v>1152</v>
      </c>
      <c r="AF685" s="15" t="s">
        <v>3</v>
      </c>
      <c r="AG685" t="s">
        <v>1100</v>
      </c>
      <c r="AI685" s="15"/>
      <c r="AJ685" s="15"/>
      <c r="AK685" s="15"/>
      <c r="AL685" s="15"/>
      <c r="AM685" s="15"/>
      <c r="AN685" s="15"/>
      <c r="CD685">
        <v>208.370786516853</v>
      </c>
    </row>
    <row r="686" spans="1:92" ht="17" customHeight="1" x14ac:dyDescent="0.2">
      <c r="B686" t="s">
        <v>366</v>
      </c>
      <c r="C686" t="s">
        <v>1057</v>
      </c>
      <c r="E686">
        <v>2019</v>
      </c>
      <c r="F686" t="s">
        <v>58</v>
      </c>
      <c r="G686" t="s">
        <v>513</v>
      </c>
      <c r="H686" s="16">
        <v>56.98</v>
      </c>
      <c r="I686" s="16">
        <v>-135.71</v>
      </c>
      <c r="J686" s="15">
        <v>1995</v>
      </c>
      <c r="K686" s="15">
        <v>2015</v>
      </c>
      <c r="L686" s="15">
        <v>21</v>
      </c>
      <c r="M686" t="s">
        <v>369</v>
      </c>
      <c r="N686" t="s">
        <v>380</v>
      </c>
      <c r="O686" t="s">
        <v>380</v>
      </c>
      <c r="P686" s="15" t="s">
        <v>1035</v>
      </c>
      <c r="Q686" s="15" t="s">
        <v>1007</v>
      </c>
      <c r="R686" t="s">
        <v>939</v>
      </c>
      <c r="S686" t="s">
        <v>1076</v>
      </c>
      <c r="T686" s="15">
        <v>175.29220000000001</v>
      </c>
      <c r="U686" s="15" t="s">
        <v>1068</v>
      </c>
      <c r="V686" s="15">
        <v>0.12077922100000001</v>
      </c>
      <c r="W686" t="s">
        <v>24</v>
      </c>
      <c r="X686" t="s">
        <v>3</v>
      </c>
      <c r="Y686" t="s">
        <v>366</v>
      </c>
      <c r="Z686" s="4" t="str">
        <f t="shared" si="28"/>
        <v>Y</v>
      </c>
      <c r="AA686" t="s">
        <v>1121</v>
      </c>
      <c r="AB686" t="s">
        <v>1150</v>
      </c>
      <c r="AC686" s="15" t="s">
        <v>1060</v>
      </c>
      <c r="AD686" s="15" t="s">
        <v>1100</v>
      </c>
      <c r="AE686" s="15" t="s">
        <v>1152</v>
      </c>
      <c r="AF686" s="15" t="s">
        <v>3</v>
      </c>
      <c r="AG686" t="s">
        <v>1100</v>
      </c>
      <c r="AI686" s="15"/>
      <c r="AJ686" s="15"/>
      <c r="AK686" s="15"/>
      <c r="AL686" s="15"/>
      <c r="AM686" s="15"/>
      <c r="AN686" s="15"/>
      <c r="CD686">
        <v>229.60674157303299</v>
      </c>
    </row>
    <row r="687" spans="1:92" s="24" customFormat="1" x14ac:dyDescent="0.2">
      <c r="A687"/>
      <c r="B687" t="s">
        <v>366</v>
      </c>
      <c r="C687" t="s">
        <v>1057</v>
      </c>
      <c r="D687"/>
      <c r="E687">
        <v>2019</v>
      </c>
      <c r="F687" t="s">
        <v>58</v>
      </c>
      <c r="G687" t="s">
        <v>513</v>
      </c>
      <c r="H687" s="16">
        <v>69.069999999999993</v>
      </c>
      <c r="I687" s="16">
        <v>15.17</v>
      </c>
      <c r="J687" s="15">
        <v>1982</v>
      </c>
      <c r="K687" s="15">
        <v>2016</v>
      </c>
      <c r="L687" s="15">
        <v>35</v>
      </c>
      <c r="M687" t="s">
        <v>369</v>
      </c>
      <c r="N687" t="s">
        <v>380</v>
      </c>
      <c r="O687" t="s">
        <v>380</v>
      </c>
      <c r="P687" s="15" t="s">
        <v>1036</v>
      </c>
      <c r="Q687" s="15" t="s">
        <v>1008</v>
      </c>
      <c r="R687" t="s">
        <v>939</v>
      </c>
      <c r="S687" t="s">
        <v>1076</v>
      </c>
      <c r="T687" s="15">
        <v>186.7534</v>
      </c>
      <c r="U687" s="15" t="s">
        <v>1068</v>
      </c>
      <c r="V687" s="15">
        <v>-0.317453139</v>
      </c>
      <c r="W687" t="s">
        <v>3</v>
      </c>
      <c r="X687" t="s">
        <v>3</v>
      </c>
      <c r="Y687" t="s">
        <v>366</v>
      </c>
      <c r="Z687" s="4" t="str">
        <f t="shared" si="28"/>
        <v>Y</v>
      </c>
      <c r="AA687" t="s">
        <v>1121</v>
      </c>
      <c r="AB687" t="s">
        <v>1150</v>
      </c>
      <c r="AC687" s="15" t="s">
        <v>1060</v>
      </c>
      <c r="AD687" s="15" t="s">
        <v>1100</v>
      </c>
      <c r="AE687" s="15" t="s">
        <v>1152</v>
      </c>
      <c r="AF687" s="15" t="s">
        <v>3</v>
      </c>
      <c r="AG687" t="s">
        <v>1100</v>
      </c>
      <c r="AH687"/>
      <c r="AI687" s="15"/>
      <c r="AJ687" s="15"/>
      <c r="AK687" s="15"/>
      <c r="AL687" s="15"/>
      <c r="AM687" s="15"/>
      <c r="AN687" s="15"/>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v>236.29213483146</v>
      </c>
      <c r="CE687"/>
      <c r="CF687"/>
      <c r="CG687"/>
      <c r="CH687"/>
      <c r="CI687"/>
      <c r="CJ687"/>
      <c r="CK687"/>
      <c r="CL687"/>
      <c r="CM687"/>
      <c r="CN687"/>
    </row>
    <row r="688" spans="1:92" x14ac:dyDescent="0.2">
      <c r="B688" t="s">
        <v>366</v>
      </c>
      <c r="C688" t="s">
        <v>1057</v>
      </c>
      <c r="E688">
        <v>2019</v>
      </c>
      <c r="F688" t="s">
        <v>58</v>
      </c>
      <c r="G688" t="s">
        <v>513</v>
      </c>
      <c r="H688" s="16">
        <v>54.18</v>
      </c>
      <c r="I688" s="16">
        <v>-164.83</v>
      </c>
      <c r="J688" s="15">
        <v>1988</v>
      </c>
      <c r="K688" s="15">
        <v>2015</v>
      </c>
      <c r="L688" s="15">
        <v>28</v>
      </c>
      <c r="M688" t="s">
        <v>369</v>
      </c>
      <c r="N688" t="s">
        <v>380</v>
      </c>
      <c r="O688" t="s">
        <v>380</v>
      </c>
      <c r="P688" s="15" t="s">
        <v>1037</v>
      </c>
      <c r="Q688" s="15" t="s">
        <v>1009</v>
      </c>
      <c r="R688" t="s">
        <v>939</v>
      </c>
      <c r="S688" t="s">
        <v>1076</v>
      </c>
      <c r="T688" s="15">
        <v>200.70670000000001</v>
      </c>
      <c r="U688" s="15" t="s">
        <v>1068</v>
      </c>
      <c r="V688" s="15">
        <v>0.185105142</v>
      </c>
      <c r="W688" t="s">
        <v>24</v>
      </c>
      <c r="X688" t="s">
        <v>3</v>
      </c>
      <c r="Y688" t="s">
        <v>366</v>
      </c>
      <c r="Z688" s="4" t="str">
        <f t="shared" si="28"/>
        <v>Y</v>
      </c>
      <c r="AA688" t="s">
        <v>1121</v>
      </c>
      <c r="AB688" t="s">
        <v>1150</v>
      </c>
      <c r="AC688" s="15" t="s">
        <v>1060</v>
      </c>
      <c r="AD688" s="15" t="s">
        <v>1100</v>
      </c>
      <c r="AE688" s="15" t="s">
        <v>1152</v>
      </c>
      <c r="AF688" s="15" t="s">
        <v>3</v>
      </c>
      <c r="AG688" t="s">
        <v>1100</v>
      </c>
      <c r="AI688" s="15"/>
      <c r="AJ688" s="15"/>
      <c r="AK688" s="15"/>
      <c r="AL688" s="15"/>
      <c r="AM688" s="15"/>
      <c r="AN688" s="15"/>
      <c r="CD688">
        <v>238.25842696629201</v>
      </c>
    </row>
    <row r="689" spans="1:92" x14ac:dyDescent="0.2">
      <c r="B689" t="s">
        <v>366</v>
      </c>
      <c r="C689" t="s">
        <v>1057</v>
      </c>
      <c r="E689">
        <v>2019</v>
      </c>
      <c r="F689" t="s">
        <v>58</v>
      </c>
      <c r="G689" t="s">
        <v>513</v>
      </c>
      <c r="H689" s="16">
        <v>54.18</v>
      </c>
      <c r="I689" s="16">
        <v>-164.83</v>
      </c>
      <c r="J689" s="15">
        <v>1988</v>
      </c>
      <c r="K689" s="15">
        <v>2015</v>
      </c>
      <c r="L689" s="15">
        <v>28</v>
      </c>
      <c r="M689" t="s">
        <v>369</v>
      </c>
      <c r="N689" t="s">
        <v>380</v>
      </c>
      <c r="O689" t="s">
        <v>380</v>
      </c>
      <c r="P689" s="15" t="s">
        <v>1038</v>
      </c>
      <c r="Q689" s="15" t="s">
        <v>1010</v>
      </c>
      <c r="R689" t="s">
        <v>939</v>
      </c>
      <c r="S689" t="s">
        <v>1076</v>
      </c>
      <c r="T689" s="15">
        <v>204.6798</v>
      </c>
      <c r="U689" s="15" t="s">
        <v>1068</v>
      </c>
      <c r="V689" s="15">
        <v>0.26481236699999999</v>
      </c>
      <c r="W689" t="s">
        <v>24</v>
      </c>
      <c r="X689" t="s">
        <v>3</v>
      </c>
      <c r="Y689" t="s">
        <v>366</v>
      </c>
      <c r="Z689" s="4" t="str">
        <f t="shared" si="28"/>
        <v>Y</v>
      </c>
      <c r="AA689" t="s">
        <v>1121</v>
      </c>
      <c r="AB689" t="s">
        <v>1150</v>
      </c>
      <c r="AC689" s="15" t="s">
        <v>1060</v>
      </c>
      <c r="AD689" s="15" t="s">
        <v>1100</v>
      </c>
      <c r="AE689" s="15" t="s">
        <v>1152</v>
      </c>
      <c r="AF689" s="15" t="s">
        <v>3</v>
      </c>
      <c r="AG689" t="s">
        <v>1100</v>
      </c>
      <c r="AI689" s="15"/>
      <c r="AJ689" s="15"/>
      <c r="AK689" s="15"/>
      <c r="AL689" s="15"/>
      <c r="AM689" s="15"/>
      <c r="AN689" s="15"/>
      <c r="CD689">
        <v>239.831460674157</v>
      </c>
    </row>
    <row r="690" spans="1:92" x14ac:dyDescent="0.2">
      <c r="B690" t="s">
        <v>366</v>
      </c>
      <c r="C690" t="s">
        <v>1057</v>
      </c>
      <c r="E690">
        <v>2019</v>
      </c>
      <c r="F690" t="s">
        <v>58</v>
      </c>
      <c r="G690" t="s">
        <v>513</v>
      </c>
      <c r="H690" s="16">
        <v>74.010000000000005</v>
      </c>
      <c r="I690" s="16">
        <v>-89.94</v>
      </c>
      <c r="J690" s="15">
        <v>2000</v>
      </c>
      <c r="K690" s="15">
        <v>2005</v>
      </c>
      <c r="L690" s="15">
        <v>6</v>
      </c>
      <c r="M690" t="s">
        <v>369</v>
      </c>
      <c r="N690" t="s">
        <v>380</v>
      </c>
      <c r="O690" t="s">
        <v>380</v>
      </c>
      <c r="P690" s="15" t="s">
        <v>1039</v>
      </c>
      <c r="Q690" s="15" t="s">
        <v>1011</v>
      </c>
      <c r="R690" t="s">
        <v>939</v>
      </c>
      <c r="S690" t="s">
        <v>1076</v>
      </c>
      <c r="T690" s="15">
        <v>211.7568</v>
      </c>
      <c r="U690" s="15" t="s">
        <v>1068</v>
      </c>
      <c r="V690" s="15">
        <v>-1.162162162</v>
      </c>
      <c r="W690" t="s">
        <v>3</v>
      </c>
      <c r="X690" t="s">
        <v>3</v>
      </c>
      <c r="Y690" t="s">
        <v>366</v>
      </c>
      <c r="Z690" s="4" t="str">
        <f t="shared" si="28"/>
        <v>N</v>
      </c>
      <c r="AA690" t="s">
        <v>1121</v>
      </c>
      <c r="AB690" t="s">
        <v>1150</v>
      </c>
      <c r="AC690" s="15" t="s">
        <v>1060</v>
      </c>
      <c r="AD690" s="15" t="s">
        <v>1100</v>
      </c>
      <c r="AE690" s="15" t="s">
        <v>1152</v>
      </c>
      <c r="AF690" s="15" t="s">
        <v>3</v>
      </c>
      <c r="AG690" t="s">
        <v>1100</v>
      </c>
      <c r="AI690" s="15"/>
      <c r="AJ690" s="15"/>
      <c r="AK690" s="15"/>
      <c r="AL690" s="15"/>
      <c r="AM690" s="15"/>
      <c r="AN690" s="15"/>
      <c r="CD690">
        <v>244.94382022471899</v>
      </c>
    </row>
    <row r="691" spans="1:92" s="24" customFormat="1" ht="30" customHeight="1" x14ac:dyDescent="0.2">
      <c r="A691"/>
      <c r="B691" t="s">
        <v>366</v>
      </c>
      <c r="C691" t="s">
        <v>1057</v>
      </c>
      <c r="D691"/>
      <c r="E691">
        <v>2019</v>
      </c>
      <c r="F691" t="s">
        <v>58</v>
      </c>
      <c r="G691" t="s">
        <v>513</v>
      </c>
      <c r="H691" s="16">
        <v>54.18</v>
      </c>
      <c r="I691" s="16">
        <v>-164.83</v>
      </c>
      <c r="J691" s="15">
        <v>1994</v>
      </c>
      <c r="K691" s="15">
        <v>2015</v>
      </c>
      <c r="L691" s="15">
        <v>22</v>
      </c>
      <c r="M691" t="s">
        <v>369</v>
      </c>
      <c r="N691" t="s">
        <v>380</v>
      </c>
      <c r="O691" t="s">
        <v>380</v>
      </c>
      <c r="P691" s="15" t="s">
        <v>1040</v>
      </c>
      <c r="Q691" s="15" t="s">
        <v>1012</v>
      </c>
      <c r="R691" t="s">
        <v>939</v>
      </c>
      <c r="S691" t="s">
        <v>1076</v>
      </c>
      <c r="T691" s="15">
        <v>185.34469999999999</v>
      </c>
      <c r="U691" s="15" t="s">
        <v>1068</v>
      </c>
      <c r="V691" s="15">
        <v>-8.1295479000000004E-2</v>
      </c>
      <c r="W691" t="s">
        <v>3</v>
      </c>
      <c r="X691" t="s">
        <v>3</v>
      </c>
      <c r="Y691" t="s">
        <v>366</v>
      </c>
      <c r="Z691" s="4" t="str">
        <f t="shared" si="28"/>
        <v>Y</v>
      </c>
      <c r="AA691" t="s">
        <v>1121</v>
      </c>
      <c r="AB691" t="s">
        <v>1150</v>
      </c>
      <c r="AC691" s="15" t="s">
        <v>1060</v>
      </c>
      <c r="AD691" s="15" t="s">
        <v>1100</v>
      </c>
      <c r="AE691" s="15" t="s">
        <v>1152</v>
      </c>
      <c r="AF691" s="15" t="s">
        <v>3</v>
      </c>
      <c r="AG691" t="s">
        <v>1100</v>
      </c>
      <c r="AH691"/>
      <c r="AI691" s="15"/>
      <c r="AJ691" s="15"/>
      <c r="AK691" s="15"/>
      <c r="AL691" s="15"/>
      <c r="AM691" s="15"/>
      <c r="AN691" s="15"/>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v>257.13483146067398</v>
      </c>
      <c r="CE691"/>
      <c r="CF691"/>
      <c r="CG691"/>
      <c r="CH691"/>
      <c r="CI691"/>
      <c r="CJ691"/>
      <c r="CK691"/>
      <c r="CL691"/>
      <c r="CM691"/>
      <c r="CN691"/>
    </row>
    <row r="692" spans="1:92" s="24" customFormat="1" x14ac:dyDescent="0.2">
      <c r="A692"/>
      <c r="B692" t="s">
        <v>366</v>
      </c>
      <c r="C692" t="s">
        <v>1057</v>
      </c>
      <c r="D692"/>
      <c r="E692">
        <v>2019</v>
      </c>
      <c r="F692" t="s">
        <v>58</v>
      </c>
      <c r="G692" t="s">
        <v>513</v>
      </c>
      <c r="H692" s="16">
        <v>78.900000000000006</v>
      </c>
      <c r="I692" s="16">
        <v>12.2</v>
      </c>
      <c r="J692" s="15">
        <v>2000</v>
      </c>
      <c r="K692" s="15">
        <v>2015</v>
      </c>
      <c r="L692" s="15">
        <v>16</v>
      </c>
      <c r="M692" t="s">
        <v>369</v>
      </c>
      <c r="N692" t="s">
        <v>380</v>
      </c>
      <c r="O692" t="s">
        <v>380</v>
      </c>
      <c r="P692" s="15" t="s">
        <v>1041</v>
      </c>
      <c r="Q692" s="15" t="s">
        <v>1013</v>
      </c>
      <c r="R692" t="s">
        <v>939</v>
      </c>
      <c r="S692" t="s">
        <v>1076</v>
      </c>
      <c r="T692" s="15">
        <v>191.34460000000001</v>
      </c>
      <c r="U692" s="15" t="s">
        <v>1068</v>
      </c>
      <c r="V692" s="15">
        <v>-0.65180722899999999</v>
      </c>
      <c r="W692" t="s">
        <v>3</v>
      </c>
      <c r="X692" t="s">
        <v>3</v>
      </c>
      <c r="Y692" t="s">
        <v>366</v>
      </c>
      <c r="Z692" s="4" t="str">
        <f t="shared" si="28"/>
        <v>N</v>
      </c>
      <c r="AA692" t="s">
        <v>1121</v>
      </c>
      <c r="AB692" t="s">
        <v>1150</v>
      </c>
      <c r="AC692" s="15" t="s">
        <v>1060</v>
      </c>
      <c r="AD692" s="15" t="s">
        <v>1100</v>
      </c>
      <c r="AE692" s="15" t="s">
        <v>1152</v>
      </c>
      <c r="AF692" s="15" t="s">
        <v>3</v>
      </c>
      <c r="AG692" t="s">
        <v>1100</v>
      </c>
      <c r="AH692"/>
      <c r="AI692" s="15"/>
      <c r="AJ692" s="15"/>
      <c r="AK692" s="15"/>
      <c r="AL692" s="15"/>
      <c r="AM692" s="15"/>
      <c r="AN692" s="15"/>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row>
    <row r="693" spans="1:92" s="24" customFormat="1" x14ac:dyDescent="0.2">
      <c r="A693"/>
      <c r="B693" t="s">
        <v>366</v>
      </c>
      <c r="C693" t="s">
        <v>1057</v>
      </c>
      <c r="D693"/>
      <c r="E693">
        <v>2019</v>
      </c>
      <c r="F693" t="s">
        <v>58</v>
      </c>
      <c r="G693" t="s">
        <v>513</v>
      </c>
      <c r="H693" s="16">
        <v>54.18</v>
      </c>
      <c r="I693" s="16">
        <v>-164.83</v>
      </c>
      <c r="J693" s="15">
        <v>1982</v>
      </c>
      <c r="K693" s="15">
        <v>2015</v>
      </c>
      <c r="L693" s="15">
        <v>34</v>
      </c>
      <c r="M693" t="s">
        <v>369</v>
      </c>
      <c r="N693" t="s">
        <v>380</v>
      </c>
      <c r="O693" t="s">
        <v>380</v>
      </c>
      <c r="P693" s="15" t="s">
        <v>1042</v>
      </c>
      <c r="Q693" s="15" t="s">
        <v>1014</v>
      </c>
      <c r="R693" t="s">
        <v>939</v>
      </c>
      <c r="S693" t="s">
        <v>1076</v>
      </c>
      <c r="T693" s="15">
        <v>211.48249999999999</v>
      </c>
      <c r="U693" s="15" t="s">
        <v>1068</v>
      </c>
      <c r="V693" s="15">
        <v>-0.742437244</v>
      </c>
      <c r="W693" t="s">
        <v>3</v>
      </c>
      <c r="X693" t="s">
        <v>3</v>
      </c>
      <c r="Y693" t="s">
        <v>366</v>
      </c>
      <c r="Z693" s="4" t="str">
        <f t="shared" si="28"/>
        <v>Y</v>
      </c>
      <c r="AA693" t="s">
        <v>1121</v>
      </c>
      <c r="AB693" t="s">
        <v>1150</v>
      </c>
      <c r="AC693" s="15" t="s">
        <v>1060</v>
      </c>
      <c r="AD693" s="15" t="s">
        <v>1100</v>
      </c>
      <c r="AE693" s="15" t="s">
        <v>1152</v>
      </c>
      <c r="AF693" s="15" t="s">
        <v>3</v>
      </c>
      <c r="AG693" t="s">
        <v>1100</v>
      </c>
      <c r="AH693"/>
      <c r="AI693" s="15"/>
      <c r="AJ693" s="15"/>
      <c r="AK693" s="15"/>
      <c r="AL693" s="15"/>
      <c r="AM693" s="15"/>
      <c r="AN693" s="15"/>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row>
    <row r="694" spans="1:92" s="24" customFormat="1" x14ac:dyDescent="0.2">
      <c r="A694"/>
      <c r="B694" t="s">
        <v>366</v>
      </c>
      <c r="C694" t="s">
        <v>1057</v>
      </c>
      <c r="D694"/>
      <c r="E694">
        <v>2019</v>
      </c>
      <c r="F694" t="s">
        <v>58</v>
      </c>
      <c r="G694" t="s">
        <v>513</v>
      </c>
      <c r="H694" s="16">
        <v>54.18</v>
      </c>
      <c r="I694" s="16">
        <v>-164.83</v>
      </c>
      <c r="J694" s="15">
        <v>1995</v>
      </c>
      <c r="K694" s="15">
        <v>2015</v>
      </c>
      <c r="L694" s="15">
        <v>21</v>
      </c>
      <c r="M694" t="s">
        <v>369</v>
      </c>
      <c r="N694" t="s">
        <v>380</v>
      </c>
      <c r="O694" t="s">
        <v>380</v>
      </c>
      <c r="P694" s="15" t="s">
        <v>1043</v>
      </c>
      <c r="Q694" s="15" t="s">
        <v>1015</v>
      </c>
      <c r="R694" t="s">
        <v>939</v>
      </c>
      <c r="S694" t="s">
        <v>1076</v>
      </c>
      <c r="T694" s="15">
        <v>216.4913</v>
      </c>
      <c r="U694" s="15" t="s">
        <v>1068</v>
      </c>
      <c r="V694" s="15">
        <v>-0.52949595100000002</v>
      </c>
      <c r="W694" t="s">
        <v>3</v>
      </c>
      <c r="X694" t="s">
        <v>3</v>
      </c>
      <c r="Y694" t="s">
        <v>366</v>
      </c>
      <c r="Z694" s="4" t="str">
        <f t="shared" si="28"/>
        <v>Y</v>
      </c>
      <c r="AA694" t="s">
        <v>1121</v>
      </c>
      <c r="AB694" t="s">
        <v>1150</v>
      </c>
      <c r="AC694" s="15" t="s">
        <v>1060</v>
      </c>
      <c r="AD694" s="15" t="s">
        <v>1100</v>
      </c>
      <c r="AE694" s="15" t="s">
        <v>1152</v>
      </c>
      <c r="AF694" s="15" t="s">
        <v>3</v>
      </c>
      <c r="AG694" t="s">
        <v>1100</v>
      </c>
      <c r="AH694"/>
      <c r="AI694" s="15"/>
      <c r="AJ694" s="15"/>
      <c r="AK694" s="15"/>
      <c r="AL694" s="15"/>
      <c r="AM694" s="15"/>
      <c r="AN694" s="15"/>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row>
    <row r="695" spans="1:92" s="24" customFormat="1" x14ac:dyDescent="0.2">
      <c r="A695"/>
      <c r="B695" t="s">
        <v>366</v>
      </c>
      <c r="C695" t="s">
        <v>1057</v>
      </c>
      <c r="D695"/>
      <c r="E695">
        <v>2019</v>
      </c>
      <c r="F695" t="s">
        <v>58</v>
      </c>
      <c r="G695" t="s">
        <v>513</v>
      </c>
      <c r="H695" s="16">
        <v>65.2</v>
      </c>
      <c r="I695" s="16">
        <v>10.99</v>
      </c>
      <c r="J695" s="15">
        <v>2007</v>
      </c>
      <c r="K695" s="15">
        <v>2016</v>
      </c>
      <c r="L695" s="15">
        <v>10</v>
      </c>
      <c r="M695" t="s">
        <v>369</v>
      </c>
      <c r="N695" t="s">
        <v>380</v>
      </c>
      <c r="O695" t="s">
        <v>380</v>
      </c>
      <c r="P695" s="15" t="s">
        <v>1044</v>
      </c>
      <c r="Q695" s="15" t="s">
        <v>1016</v>
      </c>
      <c r="R695" t="s">
        <v>939</v>
      </c>
      <c r="S695" t="s">
        <v>1076</v>
      </c>
      <c r="T695" s="15">
        <v>175.87270000000001</v>
      </c>
      <c r="U695" s="15" t="s">
        <v>1068</v>
      </c>
      <c r="V695" s="15">
        <v>-6.0606061000000003E-2</v>
      </c>
      <c r="W695" t="s">
        <v>3</v>
      </c>
      <c r="X695" t="s">
        <v>3</v>
      </c>
      <c r="Y695" t="s">
        <v>366</v>
      </c>
      <c r="Z695" s="4" t="str">
        <f t="shared" si="28"/>
        <v>N</v>
      </c>
      <c r="AA695" t="s">
        <v>1121</v>
      </c>
      <c r="AB695" t="s">
        <v>1150</v>
      </c>
      <c r="AC695" s="15" t="s">
        <v>1060</v>
      </c>
      <c r="AD695" s="15" t="s">
        <v>1100</v>
      </c>
      <c r="AE695" s="15" t="s">
        <v>1152</v>
      </c>
      <c r="AF695" s="15" t="s">
        <v>3</v>
      </c>
      <c r="AG695" t="s">
        <v>1100</v>
      </c>
      <c r="AH695"/>
      <c r="AI695" s="15"/>
      <c r="AJ695" s="15"/>
      <c r="AK695" s="15"/>
      <c r="AL695" s="15"/>
      <c r="AM695" s="15"/>
      <c r="AN695" s="1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row>
    <row r="696" spans="1:92" s="24" customFormat="1" x14ac:dyDescent="0.2">
      <c r="A696"/>
      <c r="B696" t="s">
        <v>366</v>
      </c>
      <c r="C696" t="s">
        <v>1057</v>
      </c>
      <c r="D696"/>
      <c r="E696">
        <v>2019</v>
      </c>
      <c r="F696" t="s">
        <v>58</v>
      </c>
      <c r="G696" t="s">
        <v>513</v>
      </c>
      <c r="H696" s="16">
        <v>59.58</v>
      </c>
      <c r="I696" s="16">
        <v>-151.33000000000001</v>
      </c>
      <c r="J696" s="15">
        <v>1995</v>
      </c>
      <c r="K696" s="15">
        <v>1999</v>
      </c>
      <c r="L696" s="15">
        <v>5</v>
      </c>
      <c r="M696" t="s">
        <v>369</v>
      </c>
      <c r="N696" t="s">
        <v>380</v>
      </c>
      <c r="O696" t="s">
        <v>380</v>
      </c>
      <c r="P696" s="15" t="s">
        <v>1045</v>
      </c>
      <c r="Q696" s="15" t="s">
        <v>1017</v>
      </c>
      <c r="R696" t="s">
        <v>939</v>
      </c>
      <c r="S696" t="s">
        <v>1076</v>
      </c>
      <c r="T696" s="15">
        <v>202.8</v>
      </c>
      <c r="U696" s="15" t="s">
        <v>1068</v>
      </c>
      <c r="V696" s="15">
        <v>-2.2000000000000002</v>
      </c>
      <c r="W696" t="s">
        <v>3</v>
      </c>
      <c r="X696" t="s">
        <v>3</v>
      </c>
      <c r="Y696" t="s">
        <v>366</v>
      </c>
      <c r="Z696" s="4" t="str">
        <f t="shared" si="28"/>
        <v>N</v>
      </c>
      <c r="AA696" t="s">
        <v>1121</v>
      </c>
      <c r="AB696" t="s">
        <v>1150</v>
      </c>
      <c r="AC696" s="15" t="s">
        <v>1060</v>
      </c>
      <c r="AD696" s="15" t="s">
        <v>1100</v>
      </c>
      <c r="AE696" s="15" t="s">
        <v>1152</v>
      </c>
      <c r="AF696" s="15" t="s">
        <v>3</v>
      </c>
      <c r="AG696" t="s">
        <v>1100</v>
      </c>
      <c r="AH696"/>
      <c r="AI696" s="15"/>
      <c r="AJ696" s="15"/>
      <c r="AK696" s="15"/>
      <c r="AL696" s="15"/>
      <c r="AM696" s="15"/>
      <c r="AN696" s="15"/>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row>
    <row r="697" spans="1:92" s="24" customFormat="1" x14ac:dyDescent="0.2">
      <c r="A697"/>
      <c r="B697" t="s">
        <v>366</v>
      </c>
      <c r="C697" t="s">
        <v>1057</v>
      </c>
      <c r="D697"/>
      <c r="E697">
        <v>2019</v>
      </c>
      <c r="F697" t="s">
        <v>58</v>
      </c>
      <c r="G697" t="s">
        <v>513</v>
      </c>
      <c r="H697" s="16">
        <v>57.13</v>
      </c>
      <c r="I697" s="16">
        <v>-170.28</v>
      </c>
      <c r="J697" s="15">
        <v>1985</v>
      </c>
      <c r="K697" s="15">
        <v>2015</v>
      </c>
      <c r="L697" s="15">
        <v>31</v>
      </c>
      <c r="M697" t="s">
        <v>369</v>
      </c>
      <c r="N697" t="s">
        <v>380</v>
      </c>
      <c r="O697" t="s">
        <v>380</v>
      </c>
      <c r="P697" s="15" t="s">
        <v>1046</v>
      </c>
      <c r="Q697" s="15" t="s">
        <v>1018</v>
      </c>
      <c r="R697" t="s">
        <v>939</v>
      </c>
      <c r="S697" t="s">
        <v>1076</v>
      </c>
      <c r="T697" s="15">
        <v>183.3246</v>
      </c>
      <c r="U697" s="15" t="s">
        <v>1068</v>
      </c>
      <c r="V697" s="15">
        <v>-0.16085751600000001</v>
      </c>
      <c r="W697" t="s">
        <v>3</v>
      </c>
      <c r="X697" t="s">
        <v>3</v>
      </c>
      <c r="Y697" t="s">
        <v>366</v>
      </c>
      <c r="Z697" s="4" t="str">
        <f t="shared" si="28"/>
        <v>Y</v>
      </c>
      <c r="AA697" t="s">
        <v>1121</v>
      </c>
      <c r="AB697" t="s">
        <v>1150</v>
      </c>
      <c r="AC697" s="15" t="s">
        <v>1060</v>
      </c>
      <c r="AD697" s="15" t="s">
        <v>1100</v>
      </c>
      <c r="AE697" s="15" t="s">
        <v>1152</v>
      </c>
      <c r="AF697" s="15" t="s">
        <v>3</v>
      </c>
      <c r="AG697" t="s">
        <v>1100</v>
      </c>
      <c r="AH697"/>
      <c r="AI697" s="15"/>
      <c r="AJ697" s="15"/>
      <c r="AK697" s="15"/>
      <c r="AL697" s="15"/>
      <c r="AM697" s="15"/>
      <c r="AN697" s="15"/>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row>
    <row r="698" spans="1:92" s="24" customFormat="1" x14ac:dyDescent="0.2">
      <c r="A698"/>
      <c r="B698" t="s">
        <v>366</v>
      </c>
      <c r="C698" t="s">
        <v>1057</v>
      </c>
      <c r="D698"/>
      <c r="E698">
        <v>2019</v>
      </c>
      <c r="F698" t="s">
        <v>58</v>
      </c>
      <c r="G698" t="s">
        <v>513</v>
      </c>
      <c r="H698" s="16">
        <v>52.35</v>
      </c>
      <c r="I698" s="16">
        <v>-176.93</v>
      </c>
      <c r="J698" s="15">
        <v>1985</v>
      </c>
      <c r="K698" s="15">
        <v>2015</v>
      </c>
      <c r="L698" s="15">
        <v>31</v>
      </c>
      <c r="M698" t="s">
        <v>369</v>
      </c>
      <c r="N698" t="s">
        <v>380</v>
      </c>
      <c r="O698" t="s">
        <v>380</v>
      </c>
      <c r="P698" s="15" t="s">
        <v>1047</v>
      </c>
      <c r="Q698" s="15" t="s">
        <v>1019</v>
      </c>
      <c r="R698" t="s">
        <v>939</v>
      </c>
      <c r="S698" t="s">
        <v>1076</v>
      </c>
      <c r="T698" s="15">
        <v>200.97319999999999</v>
      </c>
      <c r="U698" s="15" t="s">
        <v>1068</v>
      </c>
      <c r="V698" s="15">
        <v>-0.43783360300000002</v>
      </c>
      <c r="W698" t="s">
        <v>3</v>
      </c>
      <c r="X698" t="s">
        <v>3</v>
      </c>
      <c r="Y698" t="s">
        <v>366</v>
      </c>
      <c r="Z698" s="4" t="str">
        <f t="shared" si="28"/>
        <v>Y</v>
      </c>
      <c r="AA698" t="s">
        <v>1121</v>
      </c>
      <c r="AB698" t="s">
        <v>1150</v>
      </c>
      <c r="AC698" s="15" t="s">
        <v>1060</v>
      </c>
      <c r="AD698" s="15" t="s">
        <v>1100</v>
      </c>
      <c r="AE698" s="15" t="s">
        <v>1152</v>
      </c>
      <c r="AF698" s="15" t="s">
        <v>3</v>
      </c>
      <c r="AG698" t="s">
        <v>1100</v>
      </c>
      <c r="AH698"/>
      <c r="AI698" s="15"/>
      <c r="AJ698" s="15"/>
      <c r="AK698" s="15"/>
      <c r="AL698" s="15"/>
      <c r="AM698" s="15"/>
      <c r="AN698" s="15"/>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row>
    <row r="699" spans="1:92" s="24" customFormat="1" x14ac:dyDescent="0.2">
      <c r="A699"/>
      <c r="B699" t="s">
        <v>366</v>
      </c>
      <c r="C699" t="s">
        <v>1057</v>
      </c>
      <c r="D699"/>
      <c r="E699">
        <v>2019</v>
      </c>
      <c r="F699" t="s">
        <v>58</v>
      </c>
      <c r="G699" t="s">
        <v>513</v>
      </c>
      <c r="H699" s="16">
        <v>58.92</v>
      </c>
      <c r="I699" s="16">
        <v>-152.16999999999999</v>
      </c>
      <c r="J699" s="15">
        <v>1982</v>
      </c>
      <c r="K699" s="15">
        <v>2016</v>
      </c>
      <c r="L699" s="15">
        <v>35</v>
      </c>
      <c r="M699" t="s">
        <v>369</v>
      </c>
      <c r="N699" t="s">
        <v>380</v>
      </c>
      <c r="O699" t="s">
        <v>380</v>
      </c>
      <c r="P699" s="15" t="s">
        <v>1048</v>
      </c>
      <c r="Q699" s="15" t="s">
        <v>1020</v>
      </c>
      <c r="R699" t="s">
        <v>939</v>
      </c>
      <c r="S699" t="s">
        <v>1076</v>
      </c>
      <c r="T699" s="15">
        <v>191.2834</v>
      </c>
      <c r="U699" s="15" t="s">
        <v>1068</v>
      </c>
      <c r="V699" s="15">
        <v>4.4101085999999998E-2</v>
      </c>
      <c r="W699" t="s">
        <v>24</v>
      </c>
      <c r="X699" t="s">
        <v>3</v>
      </c>
      <c r="Y699" t="s">
        <v>366</v>
      </c>
      <c r="Z699" s="4" t="str">
        <f t="shared" si="28"/>
        <v>Y</v>
      </c>
      <c r="AA699" t="s">
        <v>1121</v>
      </c>
      <c r="AB699" t="s">
        <v>1150</v>
      </c>
      <c r="AC699" s="15" t="s">
        <v>1060</v>
      </c>
      <c r="AD699" s="15" t="s">
        <v>1100</v>
      </c>
      <c r="AE699" s="15" t="s">
        <v>1152</v>
      </c>
      <c r="AF699" s="15" t="s">
        <v>3</v>
      </c>
      <c r="AG699" t="s">
        <v>1100</v>
      </c>
      <c r="AH699"/>
      <c r="AI699" s="15"/>
      <c r="AJ699" s="15"/>
      <c r="AK699" s="15"/>
      <c r="AL699" s="15"/>
      <c r="AM699" s="15"/>
      <c r="AN699" s="15"/>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c r="CM699"/>
      <c r="CN699"/>
    </row>
    <row r="700" spans="1:92" s="24" customFormat="1" x14ac:dyDescent="0.2">
      <c r="A700"/>
      <c r="B700" t="s">
        <v>366</v>
      </c>
      <c r="C700" t="s">
        <v>1057</v>
      </c>
      <c r="D700"/>
      <c r="E700">
        <v>2019</v>
      </c>
      <c r="F700" t="s">
        <v>58</v>
      </c>
      <c r="G700" t="s">
        <v>513</v>
      </c>
      <c r="H700" s="16">
        <v>61.33</v>
      </c>
      <c r="I700" s="16">
        <v>-165.58</v>
      </c>
      <c r="J700" s="15">
        <v>1991</v>
      </c>
      <c r="K700" s="15">
        <v>2004</v>
      </c>
      <c r="L700" s="15">
        <v>14</v>
      </c>
      <c r="M700" t="s">
        <v>369</v>
      </c>
      <c r="N700" t="s">
        <v>380</v>
      </c>
      <c r="O700" t="s">
        <v>380</v>
      </c>
      <c r="P700" s="15" t="s">
        <v>1049</v>
      </c>
      <c r="Q700" s="15" t="s">
        <v>1021</v>
      </c>
      <c r="R700" t="s">
        <v>939</v>
      </c>
      <c r="S700" t="s">
        <v>1076</v>
      </c>
      <c r="T700" s="15">
        <v>173.5616</v>
      </c>
      <c r="U700" s="15" t="s">
        <v>1068</v>
      </c>
      <c r="V700" s="15">
        <v>-7.0316187000000002E-2</v>
      </c>
      <c r="W700" t="s">
        <v>3</v>
      </c>
      <c r="X700" t="s">
        <v>3</v>
      </c>
      <c r="Y700" t="s">
        <v>366</v>
      </c>
      <c r="Z700" s="4" t="str">
        <f t="shared" si="28"/>
        <v>N</v>
      </c>
      <c r="AA700" t="s">
        <v>1121</v>
      </c>
      <c r="AB700" t="s">
        <v>1150</v>
      </c>
      <c r="AC700" s="15" t="s">
        <v>1060</v>
      </c>
      <c r="AD700" s="15" t="s">
        <v>1100</v>
      </c>
      <c r="AE700" s="15" t="s">
        <v>1152</v>
      </c>
      <c r="AF700" s="15" t="s">
        <v>3</v>
      </c>
      <c r="AG700" t="s">
        <v>1100</v>
      </c>
      <c r="AH700"/>
      <c r="AI700" s="15"/>
      <c r="AJ700" s="15"/>
      <c r="AK700" s="15"/>
      <c r="AL700" s="15"/>
      <c r="AM700" s="15"/>
      <c r="AN700" s="15"/>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row>
    <row r="701" spans="1:92" x14ac:dyDescent="0.2">
      <c r="B701" t="s">
        <v>366</v>
      </c>
      <c r="C701" t="s">
        <v>1057</v>
      </c>
      <c r="E701">
        <v>2019</v>
      </c>
      <c r="F701" t="s">
        <v>58</v>
      </c>
      <c r="G701" t="s">
        <v>513</v>
      </c>
      <c r="H701" s="16">
        <v>61.33</v>
      </c>
      <c r="I701" s="16">
        <v>-165.58</v>
      </c>
      <c r="J701" s="15">
        <v>1991</v>
      </c>
      <c r="K701" s="15">
        <v>1995</v>
      </c>
      <c r="L701" s="15">
        <v>5</v>
      </c>
      <c r="M701" t="s">
        <v>369</v>
      </c>
      <c r="N701" t="s">
        <v>380</v>
      </c>
      <c r="O701" t="s">
        <v>380</v>
      </c>
      <c r="P701" s="15" t="s">
        <v>1050</v>
      </c>
      <c r="Q701" s="15" t="s">
        <v>1022</v>
      </c>
      <c r="R701" t="s">
        <v>939</v>
      </c>
      <c r="S701" t="s">
        <v>1076</v>
      </c>
      <c r="T701" s="15">
        <v>174.2</v>
      </c>
      <c r="U701" s="15" t="s">
        <v>1068</v>
      </c>
      <c r="V701" s="15">
        <v>-1.1000000000000001</v>
      </c>
      <c r="W701" t="s">
        <v>3</v>
      </c>
      <c r="X701" t="s">
        <v>3</v>
      </c>
      <c r="Y701" t="s">
        <v>366</v>
      </c>
      <c r="Z701" s="4" t="str">
        <f t="shared" si="28"/>
        <v>N</v>
      </c>
      <c r="AA701" t="s">
        <v>1121</v>
      </c>
      <c r="AB701" t="s">
        <v>1150</v>
      </c>
      <c r="AC701" s="15" t="s">
        <v>1060</v>
      </c>
      <c r="AD701" s="15" t="s">
        <v>1100</v>
      </c>
      <c r="AE701" s="15" t="s">
        <v>1152</v>
      </c>
      <c r="AF701" s="15" t="s">
        <v>3</v>
      </c>
      <c r="AG701" t="s">
        <v>1100</v>
      </c>
      <c r="AI701" s="15"/>
      <c r="AJ701" s="15"/>
      <c r="AK701" s="15"/>
      <c r="AL701" s="15"/>
      <c r="AM701" s="15"/>
      <c r="AN701" s="15"/>
    </row>
    <row r="702" spans="1:92" x14ac:dyDescent="0.2">
      <c r="B702" t="s">
        <v>366</v>
      </c>
      <c r="C702" t="s">
        <v>1057</v>
      </c>
      <c r="E702">
        <v>2019</v>
      </c>
      <c r="F702" t="s">
        <v>58</v>
      </c>
      <c r="G702" t="s">
        <v>513</v>
      </c>
      <c r="H702" s="16">
        <v>74.47</v>
      </c>
      <c r="I702" s="16">
        <v>-20.57</v>
      </c>
      <c r="J702" s="15">
        <v>1997</v>
      </c>
      <c r="K702" s="15">
        <v>2005</v>
      </c>
      <c r="L702" s="15">
        <v>9</v>
      </c>
      <c r="M702" t="s">
        <v>369</v>
      </c>
      <c r="N702" t="s">
        <v>380</v>
      </c>
      <c r="O702" t="s">
        <v>380</v>
      </c>
      <c r="P702" s="15" t="s">
        <v>1051</v>
      </c>
      <c r="Q702" s="15" t="s">
        <v>1023</v>
      </c>
      <c r="R702" t="s">
        <v>939</v>
      </c>
      <c r="S702" t="s">
        <v>1076</v>
      </c>
      <c r="T702" s="15">
        <v>189.6</v>
      </c>
      <c r="U702" s="15" t="s">
        <v>1068</v>
      </c>
      <c r="V702" s="15">
        <v>-0.31666666700000001</v>
      </c>
      <c r="W702" t="s">
        <v>3</v>
      </c>
      <c r="X702" t="s">
        <v>3</v>
      </c>
      <c r="Y702" t="s">
        <v>366</v>
      </c>
      <c r="Z702" s="4" t="str">
        <f t="shared" si="28"/>
        <v>N</v>
      </c>
      <c r="AA702" t="s">
        <v>1121</v>
      </c>
      <c r="AB702" t="s">
        <v>1150</v>
      </c>
      <c r="AC702" s="15" t="s">
        <v>1060</v>
      </c>
      <c r="AD702" s="15" t="s">
        <v>1100</v>
      </c>
      <c r="AE702" s="15" t="s">
        <v>1152</v>
      </c>
      <c r="AF702" s="15" t="s">
        <v>3</v>
      </c>
      <c r="AG702" t="s">
        <v>1100</v>
      </c>
      <c r="AI702" s="15"/>
      <c r="AJ702" s="15"/>
      <c r="AK702" s="15"/>
      <c r="AL702" s="15"/>
      <c r="AM702" s="15"/>
      <c r="AN702" s="15"/>
    </row>
    <row r="703" spans="1:92" x14ac:dyDescent="0.2">
      <c r="B703" t="s">
        <v>366</v>
      </c>
      <c r="C703" t="s">
        <v>1057</v>
      </c>
      <c r="E703">
        <v>2019</v>
      </c>
      <c r="F703" t="s">
        <v>58</v>
      </c>
      <c r="G703" t="s">
        <v>513</v>
      </c>
      <c r="H703" s="16">
        <v>75.83</v>
      </c>
      <c r="I703" s="16">
        <v>-96.31</v>
      </c>
      <c r="J703" s="15">
        <v>2007</v>
      </c>
      <c r="K703" s="15">
        <v>2011</v>
      </c>
      <c r="L703" s="15">
        <v>5</v>
      </c>
      <c r="M703" t="s">
        <v>369</v>
      </c>
      <c r="N703" t="s">
        <v>380</v>
      </c>
      <c r="O703" t="s">
        <v>380</v>
      </c>
      <c r="P703" s="15" t="s">
        <v>1052</v>
      </c>
      <c r="Q703" s="15" t="s">
        <v>1024</v>
      </c>
      <c r="R703" t="s">
        <v>939</v>
      </c>
      <c r="S703" t="s">
        <v>1076</v>
      </c>
      <c r="T703" s="15">
        <v>211.4</v>
      </c>
      <c r="U703" s="15" t="s">
        <v>1068</v>
      </c>
      <c r="V703" s="15">
        <v>-1.1000000000000001</v>
      </c>
      <c r="W703" t="s">
        <v>3</v>
      </c>
      <c r="X703" t="s">
        <v>3</v>
      </c>
      <c r="Y703" t="s">
        <v>366</v>
      </c>
      <c r="Z703" s="4" t="str">
        <f t="shared" si="28"/>
        <v>N</v>
      </c>
      <c r="AA703" t="s">
        <v>1121</v>
      </c>
      <c r="AB703" t="s">
        <v>1150</v>
      </c>
      <c r="AC703" s="15" t="s">
        <v>1060</v>
      </c>
      <c r="AD703" s="15" t="s">
        <v>1100</v>
      </c>
      <c r="AE703" s="15" t="s">
        <v>1152</v>
      </c>
      <c r="AF703" s="15" t="s">
        <v>3</v>
      </c>
      <c r="AG703" t="s">
        <v>1100</v>
      </c>
      <c r="AI703" s="15"/>
      <c r="AJ703" s="15"/>
      <c r="AK703" s="15"/>
      <c r="AL703" s="15"/>
      <c r="AM703" s="15"/>
      <c r="AN703" s="15"/>
    </row>
    <row r="704" spans="1:92" x14ac:dyDescent="0.2">
      <c r="B704" t="s">
        <v>366</v>
      </c>
      <c r="C704" t="s">
        <v>1057</v>
      </c>
      <c r="E704">
        <v>2019</v>
      </c>
      <c r="F704" t="s">
        <v>58</v>
      </c>
      <c r="G704" t="s">
        <v>513</v>
      </c>
      <c r="H704" s="16">
        <v>54.18</v>
      </c>
      <c r="I704" s="16">
        <v>-164.83</v>
      </c>
      <c r="J704" s="15">
        <v>1997</v>
      </c>
      <c r="K704" s="15">
        <v>2015</v>
      </c>
      <c r="L704" s="15">
        <v>19</v>
      </c>
      <c r="M704" t="s">
        <v>369</v>
      </c>
      <c r="N704" t="s">
        <v>380</v>
      </c>
      <c r="O704" t="s">
        <v>380</v>
      </c>
      <c r="P704" s="15" t="s">
        <v>1053</v>
      </c>
      <c r="Q704" s="15" t="s">
        <v>1025</v>
      </c>
      <c r="R704" t="s">
        <v>939</v>
      </c>
      <c r="S704" t="s">
        <v>1076</v>
      </c>
      <c r="T704" s="15">
        <v>186.23159999999999</v>
      </c>
      <c r="U704" s="15" t="s">
        <v>1068</v>
      </c>
      <c r="V704" s="15">
        <v>-0.207017544</v>
      </c>
      <c r="W704" t="s">
        <v>3</v>
      </c>
      <c r="X704" t="s">
        <v>3</v>
      </c>
      <c r="Y704" t="s">
        <v>366</v>
      </c>
      <c r="Z704" s="4" t="str">
        <f t="shared" si="28"/>
        <v>Y</v>
      </c>
      <c r="AA704" t="s">
        <v>1121</v>
      </c>
      <c r="AB704" t="s">
        <v>1150</v>
      </c>
      <c r="AC704" s="15" t="s">
        <v>1060</v>
      </c>
      <c r="AD704" s="15" t="s">
        <v>1100</v>
      </c>
      <c r="AE704" s="15" t="s">
        <v>1152</v>
      </c>
      <c r="AF704" s="15" t="s">
        <v>3</v>
      </c>
      <c r="AG704" t="s">
        <v>1100</v>
      </c>
      <c r="AI704" s="15"/>
      <c r="AJ704" s="15"/>
      <c r="AK704" s="15"/>
      <c r="AL704" s="15"/>
      <c r="AM704" s="15"/>
      <c r="AN704" s="15"/>
    </row>
    <row r="705" spans="1:92" x14ac:dyDescent="0.2">
      <c r="B705" t="s">
        <v>366</v>
      </c>
      <c r="C705" t="s">
        <v>1057</v>
      </c>
      <c r="E705">
        <v>2019</v>
      </c>
      <c r="F705" t="s">
        <v>58</v>
      </c>
      <c r="G705" t="s">
        <v>513</v>
      </c>
      <c r="H705" s="16">
        <v>54.18</v>
      </c>
      <c r="I705" s="16">
        <v>-164.83</v>
      </c>
      <c r="J705" s="15">
        <v>1982</v>
      </c>
      <c r="K705" s="15">
        <v>2015</v>
      </c>
      <c r="L705" s="15">
        <v>34</v>
      </c>
      <c r="M705" t="s">
        <v>369</v>
      </c>
      <c r="N705" t="s">
        <v>380</v>
      </c>
      <c r="O705" t="s">
        <v>380</v>
      </c>
      <c r="P705" s="15" t="s">
        <v>1054</v>
      </c>
      <c r="Q705" s="15" t="s">
        <v>1026</v>
      </c>
      <c r="R705" t="s">
        <v>939</v>
      </c>
      <c r="S705" t="s">
        <v>1076</v>
      </c>
      <c r="T705" s="15">
        <v>214.9759</v>
      </c>
      <c r="U705" s="15" t="s">
        <v>1068</v>
      </c>
      <c r="V705" s="15">
        <v>7.0104085999999996E-2</v>
      </c>
      <c r="W705" t="s">
        <v>24</v>
      </c>
      <c r="X705" t="s">
        <v>3</v>
      </c>
      <c r="Y705" t="s">
        <v>366</v>
      </c>
      <c r="Z705" s="4" t="str">
        <f t="shared" si="28"/>
        <v>Y</v>
      </c>
      <c r="AA705" t="s">
        <v>1121</v>
      </c>
      <c r="AB705" t="s">
        <v>1150</v>
      </c>
      <c r="AC705" s="15" t="s">
        <v>1060</v>
      </c>
      <c r="AD705" s="15" t="s">
        <v>1100</v>
      </c>
      <c r="AE705" s="15" t="s">
        <v>1152</v>
      </c>
      <c r="AF705" s="15" t="s">
        <v>3</v>
      </c>
      <c r="AG705" t="s">
        <v>1100</v>
      </c>
      <c r="AI705" s="15"/>
      <c r="AJ705" s="15"/>
      <c r="AK705" s="15"/>
      <c r="AL705" s="15"/>
      <c r="AM705" s="15"/>
      <c r="AN705" s="15"/>
    </row>
    <row r="706" spans="1:92" x14ac:dyDescent="0.2">
      <c r="B706" t="s">
        <v>366</v>
      </c>
      <c r="C706" t="s">
        <v>1057</v>
      </c>
      <c r="E706">
        <v>2019</v>
      </c>
      <c r="F706" t="s">
        <v>58</v>
      </c>
      <c r="G706" t="s">
        <v>513</v>
      </c>
      <c r="H706" s="16">
        <v>54.18</v>
      </c>
      <c r="I706" s="16">
        <v>-164.83</v>
      </c>
      <c r="J706" s="15">
        <v>1982</v>
      </c>
      <c r="K706" s="15">
        <v>2016</v>
      </c>
      <c r="L706" s="15">
        <v>35</v>
      </c>
      <c r="M706" t="s">
        <v>369</v>
      </c>
      <c r="N706" t="s">
        <v>380</v>
      </c>
      <c r="O706" t="s">
        <v>380</v>
      </c>
      <c r="P706" s="15" t="s">
        <v>1055</v>
      </c>
      <c r="Q706" s="15" t="s">
        <v>1027</v>
      </c>
      <c r="R706" t="s">
        <v>939</v>
      </c>
      <c r="S706" t="s">
        <v>1076</v>
      </c>
      <c r="T706" s="15">
        <v>215.10220000000001</v>
      </c>
      <c r="U706" s="15" t="s">
        <v>1068</v>
      </c>
      <c r="V706" s="15">
        <v>-0.31422850699999999</v>
      </c>
      <c r="W706" t="s">
        <v>3</v>
      </c>
      <c r="X706" t="s">
        <v>3</v>
      </c>
      <c r="Y706" t="s">
        <v>366</v>
      </c>
      <c r="Z706" s="4" t="str">
        <f t="shared" ref="Z706:Z769" si="30">IF(L706&gt;=19,"Y","N")</f>
        <v>Y</v>
      </c>
      <c r="AA706" t="s">
        <v>1121</v>
      </c>
      <c r="AB706" t="s">
        <v>1150</v>
      </c>
      <c r="AC706" s="15" t="s">
        <v>1060</v>
      </c>
      <c r="AD706" s="15" t="s">
        <v>1100</v>
      </c>
      <c r="AE706" s="15" t="s">
        <v>1152</v>
      </c>
      <c r="AF706" s="15" t="s">
        <v>3</v>
      </c>
      <c r="AG706" t="s">
        <v>1100</v>
      </c>
      <c r="AI706" s="15"/>
      <c r="AJ706" s="15"/>
      <c r="AK706" s="15"/>
      <c r="AL706" s="15"/>
      <c r="AM706" s="15"/>
      <c r="AN706" s="15"/>
    </row>
    <row r="707" spans="1:92" x14ac:dyDescent="0.2">
      <c r="B707" t="s">
        <v>366</v>
      </c>
      <c r="C707" t="s">
        <v>1057</v>
      </c>
      <c r="E707">
        <v>2019</v>
      </c>
      <c r="F707" t="s">
        <v>58</v>
      </c>
      <c r="G707" t="s">
        <v>513</v>
      </c>
      <c r="H707" s="16">
        <v>75.83</v>
      </c>
      <c r="I707" s="16">
        <v>-96.31</v>
      </c>
      <c r="J707" s="15">
        <v>1998</v>
      </c>
      <c r="K707" s="15">
        <v>2012</v>
      </c>
      <c r="L707" s="15">
        <v>15</v>
      </c>
      <c r="M707" t="s">
        <v>369</v>
      </c>
      <c r="N707" t="s">
        <v>380</v>
      </c>
      <c r="O707" t="s">
        <v>380</v>
      </c>
      <c r="P707" s="15" t="s">
        <v>1056</v>
      </c>
      <c r="Q707" s="15" t="s">
        <v>1028</v>
      </c>
      <c r="R707" t="s">
        <v>939</v>
      </c>
      <c r="S707" t="s">
        <v>1076</v>
      </c>
      <c r="T707" s="15">
        <v>193.74289999999999</v>
      </c>
      <c r="U707" s="15" t="s">
        <v>1068</v>
      </c>
      <c r="V707" s="15">
        <v>0.68761904799999995</v>
      </c>
      <c r="W707" t="s">
        <v>24</v>
      </c>
      <c r="X707" t="s">
        <v>3</v>
      </c>
      <c r="Y707" t="s">
        <v>366</v>
      </c>
      <c r="Z707" s="4" t="str">
        <f t="shared" si="30"/>
        <v>N</v>
      </c>
      <c r="AA707" t="s">
        <v>1121</v>
      </c>
      <c r="AB707" t="s">
        <v>1150</v>
      </c>
      <c r="AC707" s="15" t="s">
        <v>1060</v>
      </c>
      <c r="AD707" s="15" t="s">
        <v>1100</v>
      </c>
      <c r="AE707" s="15" t="s">
        <v>1152</v>
      </c>
      <c r="AF707" s="15" t="s">
        <v>3</v>
      </c>
      <c r="AG707" t="s">
        <v>1100</v>
      </c>
      <c r="AI707" s="15"/>
      <c r="AJ707" s="15"/>
      <c r="AK707" s="15"/>
      <c r="AL707" s="15"/>
      <c r="AM707" s="15"/>
      <c r="AN707" s="15"/>
    </row>
    <row r="708" spans="1:92" x14ac:dyDescent="0.2">
      <c r="B708" t="s">
        <v>366</v>
      </c>
      <c r="C708" t="s">
        <v>878</v>
      </c>
      <c r="E708">
        <v>2019</v>
      </c>
      <c r="F708" t="s">
        <v>10</v>
      </c>
      <c r="G708" t="s">
        <v>513</v>
      </c>
      <c r="H708" s="13">
        <v>71.33</v>
      </c>
      <c r="I708" s="13">
        <v>-155.68333333333334</v>
      </c>
      <c r="J708" s="13">
        <v>1976</v>
      </c>
      <c r="K708" s="13">
        <v>2017</v>
      </c>
      <c r="L708" s="13">
        <f t="shared" ref="L708:L725" si="31">K708-J708+1</f>
        <v>42</v>
      </c>
      <c r="M708" t="s">
        <v>369</v>
      </c>
      <c r="N708" t="s">
        <v>380</v>
      </c>
      <c r="O708" t="s">
        <v>380</v>
      </c>
      <c r="P708" t="s">
        <v>880</v>
      </c>
      <c r="Q708" t="s">
        <v>879</v>
      </c>
      <c r="R708" t="s">
        <v>881</v>
      </c>
      <c r="S708" t="s">
        <v>1076</v>
      </c>
      <c r="T708">
        <v>183</v>
      </c>
      <c r="U708" t="s">
        <v>1068</v>
      </c>
      <c r="V708">
        <f>-7.8/4.2</f>
        <v>-1.857142857142857</v>
      </c>
      <c r="W708" t="s">
        <v>3</v>
      </c>
      <c r="X708" t="s">
        <v>3</v>
      </c>
      <c r="Y708" t="s">
        <v>366</v>
      </c>
      <c r="Z708" s="4" t="str">
        <f t="shared" si="30"/>
        <v>Y</v>
      </c>
      <c r="AA708" t="s">
        <v>1132</v>
      </c>
      <c r="AB708" t="s">
        <v>1133</v>
      </c>
      <c r="AC708" t="s">
        <v>1074</v>
      </c>
      <c r="AD708" t="s">
        <v>1100</v>
      </c>
      <c r="AE708" t="s">
        <v>1152</v>
      </c>
      <c r="AF708" t="s">
        <v>3</v>
      </c>
      <c r="AG708" t="s">
        <v>1100</v>
      </c>
    </row>
    <row r="709" spans="1:92" x14ac:dyDescent="0.2">
      <c r="B709" t="s">
        <v>366</v>
      </c>
      <c r="C709" t="s">
        <v>1195</v>
      </c>
      <c r="E709">
        <v>2019</v>
      </c>
      <c r="F709" t="s">
        <v>1196</v>
      </c>
      <c r="G709" t="s">
        <v>513</v>
      </c>
      <c r="H709" s="13">
        <v>73</v>
      </c>
      <c r="I709" s="13">
        <v>125</v>
      </c>
      <c r="J709" s="13">
        <v>1982</v>
      </c>
      <c r="K709" s="13">
        <v>2013</v>
      </c>
      <c r="L709" s="13">
        <f t="shared" si="31"/>
        <v>32</v>
      </c>
      <c r="M709" t="s">
        <v>369</v>
      </c>
      <c r="N709" t="s">
        <v>380</v>
      </c>
      <c r="O709" t="s">
        <v>380</v>
      </c>
      <c r="P709" t="s">
        <v>1197</v>
      </c>
      <c r="Q709" t="s">
        <v>1198</v>
      </c>
      <c r="R709" t="s">
        <v>931</v>
      </c>
      <c r="S709" t="s">
        <v>1076</v>
      </c>
      <c r="T709" t="s">
        <v>165</v>
      </c>
      <c r="U709" t="s">
        <v>1068</v>
      </c>
      <c r="V709" t="s">
        <v>165</v>
      </c>
      <c r="W709" t="s">
        <v>3</v>
      </c>
      <c r="X709" t="s">
        <v>3</v>
      </c>
      <c r="Y709" t="s">
        <v>366</v>
      </c>
      <c r="Z709" s="4" t="str">
        <f t="shared" si="30"/>
        <v>Y</v>
      </c>
      <c r="AA709" t="s">
        <v>1199</v>
      </c>
      <c r="AB709" t="s">
        <v>1200</v>
      </c>
      <c r="AC709" t="s">
        <v>1201</v>
      </c>
      <c r="AD709" t="s">
        <v>1100</v>
      </c>
      <c r="AE709" t="s">
        <v>1202</v>
      </c>
      <c r="AF709" t="s">
        <v>3</v>
      </c>
      <c r="AG709" t="s">
        <v>1100</v>
      </c>
      <c r="AH709">
        <v>1</v>
      </c>
    </row>
    <row r="710" spans="1:92" x14ac:dyDescent="0.2">
      <c r="B710" t="s">
        <v>1330</v>
      </c>
      <c r="C710" t="s">
        <v>1332</v>
      </c>
      <c r="D710" t="s">
        <v>1344</v>
      </c>
      <c r="E710">
        <v>2022</v>
      </c>
      <c r="F710" t="s">
        <v>1334</v>
      </c>
      <c r="G710" t="s">
        <v>513</v>
      </c>
      <c r="H710" s="13">
        <v>59.43</v>
      </c>
      <c r="I710" s="13">
        <v>-146.33000000000001</v>
      </c>
      <c r="J710" s="13">
        <v>1996</v>
      </c>
      <c r="K710" s="13">
        <v>2019</v>
      </c>
      <c r="L710" s="13">
        <f t="shared" si="31"/>
        <v>24</v>
      </c>
      <c r="M710" t="s">
        <v>369</v>
      </c>
      <c r="N710" t="s">
        <v>380</v>
      </c>
      <c r="O710" t="s">
        <v>380</v>
      </c>
      <c r="P710" s="20" t="s">
        <v>136</v>
      </c>
      <c r="Q710" s="15" t="s">
        <v>87</v>
      </c>
      <c r="R710" t="s">
        <v>1336</v>
      </c>
      <c r="S710" t="s">
        <v>1076</v>
      </c>
      <c r="V710" t="s">
        <v>1338</v>
      </c>
      <c r="W710" t="s">
        <v>3</v>
      </c>
      <c r="X710" t="s">
        <v>3</v>
      </c>
      <c r="Y710" t="s">
        <v>1330</v>
      </c>
      <c r="Z710" s="4" t="str">
        <f t="shared" si="30"/>
        <v>Y</v>
      </c>
      <c r="AA710" t="s">
        <v>1337</v>
      </c>
      <c r="AB710" t="s">
        <v>1342</v>
      </c>
      <c r="AC710" s="15" t="s">
        <v>1339</v>
      </c>
    </row>
    <row r="711" spans="1:92" x14ac:dyDescent="0.2">
      <c r="B711" t="s">
        <v>1330</v>
      </c>
      <c r="C711" t="s">
        <v>1332</v>
      </c>
      <c r="D711" t="s">
        <v>1344</v>
      </c>
      <c r="E711">
        <v>2022</v>
      </c>
      <c r="F711" t="s">
        <v>1335</v>
      </c>
      <c r="G711" t="s">
        <v>513</v>
      </c>
      <c r="H711" s="13">
        <v>62.93</v>
      </c>
      <c r="I711" s="13">
        <v>-81.92</v>
      </c>
      <c r="J711" s="13">
        <v>1990</v>
      </c>
      <c r="K711" s="13">
        <v>2019</v>
      </c>
      <c r="L711" s="13">
        <f t="shared" si="31"/>
        <v>30</v>
      </c>
      <c r="M711" t="s">
        <v>369</v>
      </c>
      <c r="N711" t="s">
        <v>380</v>
      </c>
      <c r="O711" t="s">
        <v>380</v>
      </c>
      <c r="P711" t="s">
        <v>1333</v>
      </c>
      <c r="Q711" s="15" t="s">
        <v>91</v>
      </c>
      <c r="R711" t="s">
        <v>1336</v>
      </c>
      <c r="S711" t="s">
        <v>1076</v>
      </c>
      <c r="V711" t="s">
        <v>1341</v>
      </c>
      <c r="W711" t="s">
        <v>3</v>
      </c>
      <c r="X711" t="s">
        <v>3</v>
      </c>
      <c r="Y711" t="s">
        <v>1330</v>
      </c>
      <c r="Z711" s="4" t="str">
        <f t="shared" si="30"/>
        <v>Y</v>
      </c>
      <c r="AA711" t="s">
        <v>1337</v>
      </c>
      <c r="AB711" t="s">
        <v>1342</v>
      </c>
      <c r="AC711" s="15" t="s">
        <v>1340</v>
      </c>
    </row>
    <row r="712" spans="1:92" x14ac:dyDescent="0.2">
      <c r="B712" t="s">
        <v>1330</v>
      </c>
      <c r="C712" t="s">
        <v>1345</v>
      </c>
      <c r="D712" t="s">
        <v>1346</v>
      </c>
      <c r="E712">
        <v>2022</v>
      </c>
      <c r="F712" t="s">
        <v>1349</v>
      </c>
      <c r="G712" t="s">
        <v>513</v>
      </c>
      <c r="H712" s="13">
        <v>74.010000000000005</v>
      </c>
      <c r="I712" s="13">
        <v>-90.02</v>
      </c>
      <c r="J712" s="13">
        <v>1975</v>
      </c>
      <c r="K712" s="13">
        <v>2009</v>
      </c>
      <c r="L712" s="13">
        <f t="shared" si="31"/>
        <v>35</v>
      </c>
      <c r="M712" t="s">
        <v>369</v>
      </c>
      <c r="N712" t="s">
        <v>380</v>
      </c>
      <c r="O712" t="s">
        <v>380</v>
      </c>
      <c r="P712" t="s">
        <v>133</v>
      </c>
      <c r="Q712" s="15" t="s">
        <v>456</v>
      </c>
      <c r="R712" t="s">
        <v>1350</v>
      </c>
      <c r="S712" t="s">
        <v>1076</v>
      </c>
      <c r="V712">
        <v>0.41339999999999999</v>
      </c>
      <c r="W712" t="s">
        <v>24</v>
      </c>
      <c r="X712" t="s">
        <v>3</v>
      </c>
      <c r="Y712" t="s">
        <v>1330</v>
      </c>
      <c r="Z712" s="4" t="str">
        <f t="shared" si="30"/>
        <v>Y</v>
      </c>
      <c r="AA712" t="s">
        <v>1351</v>
      </c>
      <c r="AB712" t="s">
        <v>1353</v>
      </c>
      <c r="AC712" s="15" t="s">
        <v>1352</v>
      </c>
    </row>
    <row r="713" spans="1:92" x14ac:dyDescent="0.2">
      <c r="A713" s="4"/>
      <c r="B713" s="4" t="s">
        <v>1330</v>
      </c>
      <c r="C713" s="4" t="s">
        <v>1345</v>
      </c>
      <c r="D713" s="4" t="s">
        <v>1346</v>
      </c>
      <c r="E713" s="4">
        <v>2022</v>
      </c>
      <c r="F713" s="4" t="s">
        <v>1349</v>
      </c>
      <c r="G713" s="4" t="s">
        <v>513</v>
      </c>
      <c r="H713" s="37">
        <v>74.010000000000005</v>
      </c>
      <c r="I713" s="37">
        <v>-90.02</v>
      </c>
      <c r="J713" s="37">
        <v>2000</v>
      </c>
      <c r="K713" s="37">
        <v>2014</v>
      </c>
      <c r="L713" s="37">
        <f t="shared" si="31"/>
        <v>15</v>
      </c>
      <c r="M713" s="4" t="s">
        <v>369</v>
      </c>
      <c r="N713" s="4" t="s">
        <v>380</v>
      </c>
      <c r="O713" s="4" t="s">
        <v>380</v>
      </c>
      <c r="P713" s="4" t="s">
        <v>1347</v>
      </c>
      <c r="Q713" s="4" t="s">
        <v>1348</v>
      </c>
      <c r="R713" s="4" t="s">
        <v>1350</v>
      </c>
      <c r="S713" s="4" t="s">
        <v>1076</v>
      </c>
      <c r="V713" s="4">
        <v>2.3780000000000001</v>
      </c>
      <c r="W713" s="4" t="s">
        <v>24</v>
      </c>
      <c r="X713" s="4" t="s">
        <v>24</v>
      </c>
      <c r="Y713" s="4" t="s">
        <v>1330</v>
      </c>
      <c r="Z713" s="4" t="str">
        <f t="shared" si="30"/>
        <v>N</v>
      </c>
      <c r="AA713" s="4" t="s">
        <v>1351</v>
      </c>
      <c r="AB713" s="4" t="s">
        <v>1353</v>
      </c>
      <c r="AC713" s="39" t="s">
        <v>1352</v>
      </c>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row>
    <row r="714" spans="1:92" x14ac:dyDescent="0.2">
      <c r="B714" t="s">
        <v>1330</v>
      </c>
      <c r="C714" t="s">
        <v>1345</v>
      </c>
      <c r="D714" t="s">
        <v>1346</v>
      </c>
      <c r="E714">
        <v>2022</v>
      </c>
      <c r="F714" t="s">
        <v>1349</v>
      </c>
      <c r="G714" t="s">
        <v>513</v>
      </c>
      <c r="H714" s="13">
        <v>74.010000000000005</v>
      </c>
      <c r="I714" s="13">
        <v>-90.02</v>
      </c>
      <c r="J714" s="13">
        <v>1976</v>
      </c>
      <c r="K714" s="13">
        <v>2012</v>
      </c>
      <c r="L714" s="13">
        <f t="shared" si="31"/>
        <v>37</v>
      </c>
      <c r="M714" t="s">
        <v>369</v>
      </c>
      <c r="N714" t="s">
        <v>380</v>
      </c>
      <c r="O714" t="s">
        <v>380</v>
      </c>
      <c r="P714" t="s">
        <v>136</v>
      </c>
      <c r="Q714" t="s">
        <v>87</v>
      </c>
      <c r="R714" t="s">
        <v>1350</v>
      </c>
      <c r="S714" t="s">
        <v>1076</v>
      </c>
      <c r="V714">
        <v>1.1819999999999999</v>
      </c>
      <c r="W714" t="s">
        <v>24</v>
      </c>
      <c r="X714" t="s">
        <v>3</v>
      </c>
      <c r="Y714" t="s">
        <v>1330</v>
      </c>
      <c r="Z714" s="4" t="str">
        <f t="shared" si="30"/>
        <v>Y</v>
      </c>
      <c r="AA714" t="s">
        <v>1351</v>
      </c>
      <c r="AB714" t="s">
        <v>1353</v>
      </c>
      <c r="AC714" s="15" t="s">
        <v>1352</v>
      </c>
    </row>
    <row r="715" spans="1:92" x14ac:dyDescent="0.2">
      <c r="B715" t="s">
        <v>1330</v>
      </c>
      <c r="C715" t="s">
        <v>1345</v>
      </c>
      <c r="D715" t="s">
        <v>1346</v>
      </c>
      <c r="E715">
        <v>2022</v>
      </c>
      <c r="F715" t="s">
        <v>1349</v>
      </c>
      <c r="G715" t="s">
        <v>513</v>
      </c>
      <c r="H715" s="13">
        <v>74.010000000000005</v>
      </c>
      <c r="I715" s="13">
        <v>-90.02</v>
      </c>
      <c r="J715" s="13">
        <v>1975</v>
      </c>
      <c r="K715" s="13">
        <v>2014</v>
      </c>
      <c r="L715" s="13">
        <f t="shared" si="31"/>
        <v>40</v>
      </c>
      <c r="M715" t="s">
        <v>369</v>
      </c>
      <c r="N715" t="s">
        <v>380</v>
      </c>
      <c r="O715" t="s">
        <v>380</v>
      </c>
      <c r="P715" s="15" t="s">
        <v>1055</v>
      </c>
      <c r="Q715" t="s">
        <v>91</v>
      </c>
      <c r="R715" t="s">
        <v>1350</v>
      </c>
      <c r="S715" t="s">
        <v>1076</v>
      </c>
      <c r="V715">
        <v>-0.83199999999999996</v>
      </c>
      <c r="W715" t="s">
        <v>3</v>
      </c>
      <c r="X715" t="s">
        <v>3</v>
      </c>
      <c r="Y715" t="s">
        <v>1330</v>
      </c>
      <c r="Z715" s="4" t="str">
        <f t="shared" si="30"/>
        <v>Y</v>
      </c>
      <c r="AA715" t="s">
        <v>1351</v>
      </c>
      <c r="AB715" t="s">
        <v>1353</v>
      </c>
      <c r="AC715" s="15" t="s">
        <v>1352</v>
      </c>
    </row>
    <row r="716" spans="1:92" x14ac:dyDescent="0.2">
      <c r="B716" t="s">
        <v>1330</v>
      </c>
      <c r="C716" t="s">
        <v>1355</v>
      </c>
      <c r="D716" t="s">
        <v>1356</v>
      </c>
      <c r="E716">
        <v>2018</v>
      </c>
      <c r="F716" t="s">
        <v>1456</v>
      </c>
      <c r="G716" t="s">
        <v>1357</v>
      </c>
      <c r="H716" s="13">
        <v>-66.7</v>
      </c>
      <c r="I716" s="13">
        <v>140</v>
      </c>
      <c r="J716" s="13">
        <v>1952</v>
      </c>
      <c r="K716" s="13">
        <v>2014</v>
      </c>
      <c r="L716" s="13">
        <f t="shared" si="31"/>
        <v>63</v>
      </c>
      <c r="M716" t="s">
        <v>369</v>
      </c>
      <c r="N716" t="s">
        <v>380</v>
      </c>
      <c r="O716" t="s">
        <v>380</v>
      </c>
      <c r="P716" t="s">
        <v>1395</v>
      </c>
      <c r="Q716" t="s">
        <v>83</v>
      </c>
      <c r="R716" t="s">
        <v>1451</v>
      </c>
      <c r="V716">
        <v>0.3</v>
      </c>
      <c r="W716" t="str">
        <f t="shared" ref="W716:W721" si="32">IF(V716&lt;0,"Y","N")</f>
        <v>N</v>
      </c>
      <c r="X716" t="s">
        <v>3</v>
      </c>
      <c r="Z716" s="4" t="str">
        <f t="shared" si="30"/>
        <v>Y</v>
      </c>
      <c r="AA716" t="s">
        <v>1121</v>
      </c>
      <c r="AB716" t="s">
        <v>1524</v>
      </c>
      <c r="AC716" s="15" t="s">
        <v>1523</v>
      </c>
      <c r="AD716" s="15" t="s">
        <v>1523</v>
      </c>
      <c r="AE716" s="15" t="s">
        <v>1523</v>
      </c>
      <c r="AF716" s="15" t="s">
        <v>1523</v>
      </c>
      <c r="AG716" s="15" t="s">
        <v>1523</v>
      </c>
    </row>
    <row r="717" spans="1:92" x14ac:dyDescent="0.2">
      <c r="B717" t="s">
        <v>1330</v>
      </c>
      <c r="C717" t="s">
        <v>1355</v>
      </c>
      <c r="D717" t="s">
        <v>1356</v>
      </c>
      <c r="E717">
        <v>2018</v>
      </c>
      <c r="F717" t="s">
        <v>1456</v>
      </c>
      <c r="G717" t="s">
        <v>1357</v>
      </c>
      <c r="H717" s="13">
        <v>-66.7</v>
      </c>
      <c r="I717" s="13">
        <v>140</v>
      </c>
      <c r="J717" s="13">
        <v>1952</v>
      </c>
      <c r="K717" s="13">
        <v>2014</v>
      </c>
      <c r="L717" s="13">
        <f t="shared" si="31"/>
        <v>63</v>
      </c>
      <c r="M717" t="s">
        <v>369</v>
      </c>
      <c r="N717" t="s">
        <v>380</v>
      </c>
      <c r="O717" t="s">
        <v>380</v>
      </c>
      <c r="P717" t="s">
        <v>1398</v>
      </c>
      <c r="Q717" t="s">
        <v>403</v>
      </c>
      <c r="R717" t="s">
        <v>1451</v>
      </c>
      <c r="V717">
        <v>-0.3</v>
      </c>
      <c r="W717" t="str">
        <f t="shared" si="32"/>
        <v>Y</v>
      </c>
      <c r="X717" t="s">
        <v>3</v>
      </c>
      <c r="Z717" s="4" t="str">
        <f t="shared" si="30"/>
        <v>Y</v>
      </c>
      <c r="AA717" t="s">
        <v>1121</v>
      </c>
      <c r="AB717" t="s">
        <v>1524</v>
      </c>
      <c r="AC717" s="15" t="s">
        <v>1523</v>
      </c>
    </row>
    <row r="718" spans="1:92" x14ac:dyDescent="0.2">
      <c r="B718" t="s">
        <v>1330</v>
      </c>
      <c r="C718" t="s">
        <v>1355</v>
      </c>
      <c r="D718" t="s">
        <v>1356</v>
      </c>
      <c r="E718">
        <v>2018</v>
      </c>
      <c r="F718" t="s">
        <v>1456</v>
      </c>
      <c r="G718" t="s">
        <v>1357</v>
      </c>
      <c r="H718" s="13">
        <v>-66.7</v>
      </c>
      <c r="I718" s="13">
        <v>140</v>
      </c>
      <c r="J718" s="13">
        <v>1952</v>
      </c>
      <c r="K718" s="13">
        <v>2014</v>
      </c>
      <c r="L718" s="13">
        <f t="shared" si="31"/>
        <v>63</v>
      </c>
      <c r="M718" t="s">
        <v>369</v>
      </c>
      <c r="N718" t="s">
        <v>380</v>
      </c>
      <c r="O718" t="s">
        <v>380</v>
      </c>
      <c r="P718" t="s">
        <v>1410</v>
      </c>
      <c r="Q718" t="s">
        <v>84</v>
      </c>
      <c r="R718" t="s">
        <v>1451</v>
      </c>
      <c r="V718">
        <v>0.6</v>
      </c>
      <c r="W718" t="str">
        <f t="shared" si="32"/>
        <v>N</v>
      </c>
      <c r="X718" t="s">
        <v>3</v>
      </c>
      <c r="Z718" s="4" t="str">
        <f t="shared" si="30"/>
        <v>Y</v>
      </c>
      <c r="AA718" t="s">
        <v>1121</v>
      </c>
      <c r="AB718" t="s">
        <v>1524</v>
      </c>
      <c r="AC718" s="15" t="s">
        <v>1523</v>
      </c>
    </row>
    <row r="719" spans="1:92" x14ac:dyDescent="0.2">
      <c r="B719" t="s">
        <v>1330</v>
      </c>
      <c r="C719" t="s">
        <v>1355</v>
      </c>
      <c r="D719" t="s">
        <v>1356</v>
      </c>
      <c r="E719">
        <v>2018</v>
      </c>
      <c r="F719" t="s">
        <v>1456</v>
      </c>
      <c r="G719" t="s">
        <v>1357</v>
      </c>
      <c r="H719" s="13">
        <v>-66.7</v>
      </c>
      <c r="I719" s="13">
        <v>140</v>
      </c>
      <c r="J719" s="13">
        <v>1952</v>
      </c>
      <c r="K719" s="13">
        <v>2014</v>
      </c>
      <c r="L719" s="13">
        <f t="shared" si="31"/>
        <v>63</v>
      </c>
      <c r="M719" t="s">
        <v>369</v>
      </c>
      <c r="N719" t="s">
        <v>380</v>
      </c>
      <c r="O719" t="s">
        <v>380</v>
      </c>
      <c r="P719" t="s">
        <v>1443</v>
      </c>
      <c r="Q719" t="s">
        <v>85</v>
      </c>
      <c r="R719" t="s">
        <v>1451</v>
      </c>
      <c r="V719">
        <v>0.2</v>
      </c>
      <c r="W719" t="str">
        <f t="shared" si="32"/>
        <v>N</v>
      </c>
      <c r="X719" t="s">
        <v>3</v>
      </c>
      <c r="Z719" s="4" t="str">
        <f t="shared" si="30"/>
        <v>Y</v>
      </c>
      <c r="AA719" t="s">
        <v>1121</v>
      </c>
      <c r="AB719" t="s">
        <v>1524</v>
      </c>
      <c r="AC719" s="15" t="s">
        <v>1523</v>
      </c>
    </row>
    <row r="720" spans="1:92" x14ac:dyDescent="0.2">
      <c r="B720" t="s">
        <v>1330</v>
      </c>
      <c r="C720" t="s">
        <v>1355</v>
      </c>
      <c r="D720" t="s">
        <v>1356</v>
      </c>
      <c r="E720">
        <v>2018</v>
      </c>
      <c r="F720" t="s">
        <v>1456</v>
      </c>
      <c r="G720" t="s">
        <v>1357</v>
      </c>
      <c r="H720" s="13">
        <v>-66.7</v>
      </c>
      <c r="I720" s="13">
        <v>140</v>
      </c>
      <c r="J720" s="13">
        <v>1952</v>
      </c>
      <c r="K720" s="13">
        <v>2006</v>
      </c>
      <c r="L720" s="13">
        <f t="shared" si="31"/>
        <v>55</v>
      </c>
      <c r="M720" t="s">
        <v>369</v>
      </c>
      <c r="N720" t="s">
        <v>380</v>
      </c>
      <c r="O720" t="s">
        <v>380</v>
      </c>
      <c r="P720" t="s">
        <v>1444</v>
      </c>
      <c r="Q720" t="s">
        <v>400</v>
      </c>
      <c r="R720" t="s">
        <v>1451</v>
      </c>
      <c r="V720">
        <v>0</v>
      </c>
      <c r="W720" t="str">
        <f t="shared" si="32"/>
        <v>N</v>
      </c>
      <c r="X720" t="s">
        <v>3</v>
      </c>
      <c r="Z720" s="4" t="str">
        <f t="shared" si="30"/>
        <v>Y</v>
      </c>
      <c r="AA720" t="s">
        <v>1121</v>
      </c>
      <c r="AB720" t="s">
        <v>1524</v>
      </c>
      <c r="AC720" s="15" t="s">
        <v>1523</v>
      </c>
    </row>
    <row r="721" spans="1:92" x14ac:dyDescent="0.2">
      <c r="B721" t="s">
        <v>1330</v>
      </c>
      <c r="C721" t="s">
        <v>1355</v>
      </c>
      <c r="D721" t="s">
        <v>1356</v>
      </c>
      <c r="E721">
        <v>2018</v>
      </c>
      <c r="F721" t="s">
        <v>1456</v>
      </c>
      <c r="G721" t="s">
        <v>1357</v>
      </c>
      <c r="H721" s="13">
        <v>-66.7</v>
      </c>
      <c r="I721" s="13">
        <v>140</v>
      </c>
      <c r="J721" s="13">
        <v>1958</v>
      </c>
      <c r="K721" s="13">
        <v>2014</v>
      </c>
      <c r="L721" s="13">
        <f t="shared" si="31"/>
        <v>57</v>
      </c>
      <c r="M721" t="s">
        <v>369</v>
      </c>
      <c r="N721" t="s">
        <v>380</v>
      </c>
      <c r="O721" t="s">
        <v>380</v>
      </c>
      <c r="P721" t="s">
        <v>1450</v>
      </c>
      <c r="Q721" t="s">
        <v>401</v>
      </c>
      <c r="R721" t="s">
        <v>1451</v>
      </c>
      <c r="V721">
        <v>1.7000000000000002</v>
      </c>
      <c r="W721" t="str">
        <f t="shared" si="32"/>
        <v>N</v>
      </c>
      <c r="X721" t="s">
        <v>3</v>
      </c>
      <c r="Z721" s="4" t="str">
        <f t="shared" si="30"/>
        <v>Y</v>
      </c>
      <c r="AA721" t="s">
        <v>1121</v>
      </c>
      <c r="AB721" t="s">
        <v>1524</v>
      </c>
      <c r="AC721" s="15" t="s">
        <v>1523</v>
      </c>
    </row>
    <row r="722" spans="1:92" x14ac:dyDescent="0.2">
      <c r="A722" s="24">
        <v>441</v>
      </c>
      <c r="B722" s="24" t="s">
        <v>367</v>
      </c>
      <c r="C722" s="24" t="s">
        <v>364</v>
      </c>
      <c r="D722" s="24"/>
      <c r="E722" s="24">
        <v>1996</v>
      </c>
      <c r="F722" s="24" t="s">
        <v>103</v>
      </c>
      <c r="G722" s="24" t="s">
        <v>513</v>
      </c>
      <c r="H722" s="26">
        <v>54.19</v>
      </c>
      <c r="I722" s="26">
        <v>7.9</v>
      </c>
      <c r="J722" s="26">
        <v>1975</v>
      </c>
      <c r="K722" s="26">
        <v>1993</v>
      </c>
      <c r="L722" s="26">
        <f t="shared" si="31"/>
        <v>19</v>
      </c>
      <c r="M722" s="24" t="s">
        <v>369</v>
      </c>
      <c r="N722" s="24" t="s">
        <v>538</v>
      </c>
      <c r="O722" s="24" t="s">
        <v>424</v>
      </c>
      <c r="P722" s="24" t="s">
        <v>424</v>
      </c>
      <c r="Q722" s="24" t="s">
        <v>165</v>
      </c>
      <c r="R722" s="24"/>
      <c r="S722" s="24"/>
      <c r="T722" s="24"/>
      <c r="U722" s="24"/>
      <c r="V722" s="24">
        <v>-32.11</v>
      </c>
      <c r="W722" s="24" t="s">
        <v>3</v>
      </c>
      <c r="X722" s="24" t="s">
        <v>3</v>
      </c>
      <c r="Y722" s="24" t="s">
        <v>518</v>
      </c>
      <c r="Z722" s="4" t="str">
        <f t="shared" si="30"/>
        <v>Y</v>
      </c>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c r="CM722" s="24"/>
      <c r="CN722" s="24"/>
    </row>
    <row r="723" spans="1:92" x14ac:dyDescent="0.2">
      <c r="A723" s="24">
        <v>442</v>
      </c>
      <c r="B723" s="24" t="s">
        <v>367</v>
      </c>
      <c r="C723" s="24" t="s">
        <v>364</v>
      </c>
      <c r="D723" s="24"/>
      <c r="E723" s="24">
        <v>1996</v>
      </c>
      <c r="F723" s="24" t="s">
        <v>103</v>
      </c>
      <c r="G723" s="24" t="s">
        <v>513</v>
      </c>
      <c r="H723" s="26">
        <v>54.19</v>
      </c>
      <c r="I723" s="26">
        <v>7.9</v>
      </c>
      <c r="J723" s="26">
        <v>1975</v>
      </c>
      <c r="K723" s="26">
        <v>1993</v>
      </c>
      <c r="L723" s="26">
        <f t="shared" si="31"/>
        <v>19</v>
      </c>
      <c r="M723" s="24" t="s">
        <v>369</v>
      </c>
      <c r="N723" s="24" t="s">
        <v>538</v>
      </c>
      <c r="O723" s="24" t="s">
        <v>424</v>
      </c>
      <c r="P723" s="24" t="s">
        <v>424</v>
      </c>
      <c r="Q723" s="24" t="s">
        <v>165</v>
      </c>
      <c r="R723" s="24"/>
      <c r="S723" s="24"/>
      <c r="T723" s="24"/>
      <c r="U723" s="24"/>
      <c r="V723" s="24">
        <v>-26.32</v>
      </c>
      <c r="W723" s="24" t="s">
        <v>3</v>
      </c>
      <c r="X723" s="24" t="s">
        <v>3</v>
      </c>
      <c r="Y723" s="24" t="s">
        <v>518</v>
      </c>
      <c r="Z723" s="4" t="str">
        <f t="shared" si="30"/>
        <v>Y</v>
      </c>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row>
    <row r="724" spans="1:92" x14ac:dyDescent="0.2">
      <c r="B724" t="s">
        <v>1330</v>
      </c>
      <c r="C724" t="s">
        <v>1355</v>
      </c>
      <c r="D724" t="s">
        <v>1356</v>
      </c>
      <c r="E724">
        <v>2018</v>
      </c>
      <c r="F724" t="s">
        <v>1457</v>
      </c>
      <c r="G724" t="s">
        <v>1358</v>
      </c>
      <c r="H724" s="13">
        <v>54.11</v>
      </c>
      <c r="I724" s="13">
        <v>-164.49</v>
      </c>
      <c r="J724" s="13">
        <v>1997</v>
      </c>
      <c r="K724" s="13">
        <v>2015</v>
      </c>
      <c r="L724" s="13">
        <f t="shared" si="31"/>
        <v>19</v>
      </c>
      <c r="M724" t="s">
        <v>369</v>
      </c>
      <c r="N724" t="s">
        <v>380</v>
      </c>
      <c r="O724" t="s">
        <v>380</v>
      </c>
      <c r="P724" t="s">
        <v>1396</v>
      </c>
      <c r="Q724" t="s">
        <v>452</v>
      </c>
      <c r="R724" t="s">
        <v>1452</v>
      </c>
      <c r="V724">
        <v>-2.2000000000000002</v>
      </c>
      <c r="W724" t="str">
        <f>IF(V724&lt;0,"Y","N")</f>
        <v>Y</v>
      </c>
      <c r="X724" t="s">
        <v>3</v>
      </c>
      <c r="Z724" s="4" t="str">
        <f t="shared" si="30"/>
        <v>Y</v>
      </c>
      <c r="AA724" t="s">
        <v>1121</v>
      </c>
      <c r="AB724" t="s">
        <v>1524</v>
      </c>
      <c r="AC724" s="15" t="s">
        <v>1523</v>
      </c>
    </row>
    <row r="725" spans="1:92" x14ac:dyDescent="0.2">
      <c r="B725" t="s">
        <v>1330</v>
      </c>
      <c r="C725" t="s">
        <v>1355</v>
      </c>
      <c r="D725" t="s">
        <v>1356</v>
      </c>
      <c r="E725">
        <v>2018</v>
      </c>
      <c r="F725" t="s">
        <v>1457</v>
      </c>
      <c r="G725" t="s">
        <v>1358</v>
      </c>
      <c r="H725" s="13">
        <v>54.11</v>
      </c>
      <c r="I725" s="13">
        <v>-164.49</v>
      </c>
      <c r="J725" s="13">
        <v>1995</v>
      </c>
      <c r="K725" s="13">
        <v>2015</v>
      </c>
      <c r="L725" s="13">
        <f t="shared" si="31"/>
        <v>21</v>
      </c>
      <c r="M725" t="s">
        <v>369</v>
      </c>
      <c r="N725" t="s">
        <v>380</v>
      </c>
      <c r="O725" t="s">
        <v>380</v>
      </c>
      <c r="P725" t="s">
        <v>494</v>
      </c>
      <c r="Q725" t="s">
        <v>93</v>
      </c>
      <c r="R725" t="s">
        <v>1452</v>
      </c>
      <c r="V725">
        <v>1.9</v>
      </c>
      <c r="W725" t="str">
        <f>IF(V725&lt;0,"Y","N")</f>
        <v>N</v>
      </c>
      <c r="X725" t="s">
        <v>3</v>
      </c>
      <c r="Z725" s="4" t="str">
        <f t="shared" si="30"/>
        <v>Y</v>
      </c>
      <c r="AA725" t="s">
        <v>1121</v>
      </c>
      <c r="AB725" t="s">
        <v>1524</v>
      </c>
      <c r="AC725" s="15" t="s">
        <v>1523</v>
      </c>
    </row>
    <row r="726" spans="1:92" x14ac:dyDescent="0.2">
      <c r="C726" t="s">
        <v>1331</v>
      </c>
      <c r="Z726" s="4" t="str">
        <f t="shared" si="30"/>
        <v>N</v>
      </c>
    </row>
    <row r="727" spans="1:92" x14ac:dyDescent="0.2">
      <c r="B727" t="s">
        <v>1330</v>
      </c>
      <c r="C727" t="s">
        <v>1355</v>
      </c>
      <c r="D727" t="s">
        <v>1356</v>
      </c>
      <c r="E727">
        <v>2018</v>
      </c>
      <c r="F727" t="s">
        <v>1457</v>
      </c>
      <c r="G727" t="s">
        <v>1358</v>
      </c>
      <c r="H727" s="13">
        <v>54.11</v>
      </c>
      <c r="I727" s="13">
        <v>-164.49</v>
      </c>
      <c r="J727" s="13">
        <v>1996</v>
      </c>
      <c r="K727" s="13">
        <v>2015</v>
      </c>
      <c r="L727" s="13">
        <f t="shared" ref="L727:L790" si="33">K727-J727+1</f>
        <v>20</v>
      </c>
      <c r="M727" t="s">
        <v>369</v>
      </c>
      <c r="N727" t="s">
        <v>380</v>
      </c>
      <c r="O727" t="s">
        <v>380</v>
      </c>
      <c r="P727" t="s">
        <v>1418</v>
      </c>
      <c r="Q727" t="s">
        <v>1359</v>
      </c>
      <c r="R727" t="s">
        <v>1452</v>
      </c>
      <c r="V727">
        <v>-2.3000000000000003</v>
      </c>
      <c r="W727" t="str">
        <f t="shared" ref="W727:W790" si="34">IF(V727&lt;0,"Y","N")</f>
        <v>Y</v>
      </c>
      <c r="X727" t="s">
        <v>3</v>
      </c>
      <c r="Z727" s="4" t="str">
        <f t="shared" si="30"/>
        <v>Y</v>
      </c>
      <c r="AA727" t="s">
        <v>1121</v>
      </c>
      <c r="AB727" t="s">
        <v>1524</v>
      </c>
      <c r="AC727" s="15" t="s">
        <v>1523</v>
      </c>
    </row>
    <row r="728" spans="1:92" s="4" customFormat="1" x14ac:dyDescent="0.2">
      <c r="A728" s="38"/>
      <c r="B728" t="s">
        <v>1330</v>
      </c>
      <c r="C728" t="s">
        <v>1355</v>
      </c>
      <c r="D728" t="s">
        <v>1356</v>
      </c>
      <c r="E728">
        <v>2018</v>
      </c>
      <c r="F728" t="s">
        <v>1457</v>
      </c>
      <c r="G728" t="s">
        <v>1358</v>
      </c>
      <c r="H728" s="13">
        <v>54.11</v>
      </c>
      <c r="I728" s="13">
        <v>-164.49</v>
      </c>
      <c r="J728" s="13">
        <v>1995</v>
      </c>
      <c r="K728" s="13">
        <v>2015</v>
      </c>
      <c r="L728" s="13">
        <f t="shared" si="33"/>
        <v>21</v>
      </c>
      <c r="M728" t="s">
        <v>369</v>
      </c>
      <c r="N728" t="s">
        <v>380</v>
      </c>
      <c r="O728" t="s">
        <v>380</v>
      </c>
      <c r="P728" t="s">
        <v>1421</v>
      </c>
      <c r="Q728" t="s">
        <v>1360</v>
      </c>
      <c r="R728" t="s">
        <v>1452</v>
      </c>
      <c r="S728"/>
      <c r="T728"/>
      <c r="U728"/>
      <c r="V728">
        <v>-0.3</v>
      </c>
      <c r="W728" t="str">
        <f t="shared" si="34"/>
        <v>Y</v>
      </c>
      <c r="X728" t="s">
        <v>3</v>
      </c>
      <c r="Y728"/>
      <c r="Z728" s="4" t="str">
        <f t="shared" si="30"/>
        <v>Y</v>
      </c>
      <c r="AA728" t="s">
        <v>1121</v>
      </c>
      <c r="AB728" t="s">
        <v>1524</v>
      </c>
      <c r="AC728" s="15" t="s">
        <v>1523</v>
      </c>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row>
    <row r="729" spans="1:92" x14ac:dyDescent="0.2">
      <c r="A729" s="38"/>
      <c r="B729" t="s">
        <v>1330</v>
      </c>
      <c r="C729" t="s">
        <v>1355</v>
      </c>
      <c r="D729" t="s">
        <v>1356</v>
      </c>
      <c r="E729">
        <v>2018</v>
      </c>
      <c r="F729" t="s">
        <v>1457</v>
      </c>
      <c r="G729" t="s">
        <v>1358</v>
      </c>
      <c r="H729" s="13">
        <v>54.11</v>
      </c>
      <c r="I729" s="13">
        <v>-164.49</v>
      </c>
      <c r="J729" s="13">
        <v>1996</v>
      </c>
      <c r="K729" s="13">
        <v>2015</v>
      </c>
      <c r="L729" s="13">
        <f t="shared" si="33"/>
        <v>20</v>
      </c>
      <c r="M729" t="s">
        <v>369</v>
      </c>
      <c r="N729" t="s">
        <v>380</v>
      </c>
      <c r="O729" t="s">
        <v>380</v>
      </c>
      <c r="P729" t="s">
        <v>1423</v>
      </c>
      <c r="Q729" t="s">
        <v>1361</v>
      </c>
      <c r="R729" t="s">
        <v>1452</v>
      </c>
      <c r="V729">
        <v>-5.2</v>
      </c>
      <c r="W729" t="str">
        <f t="shared" si="34"/>
        <v>Y</v>
      </c>
      <c r="X729" t="s">
        <v>3</v>
      </c>
      <c r="Z729" s="4" t="str">
        <f t="shared" si="30"/>
        <v>Y</v>
      </c>
      <c r="AA729" t="s">
        <v>1121</v>
      </c>
      <c r="AB729" t="s">
        <v>1524</v>
      </c>
      <c r="AC729" s="15" t="s">
        <v>1523</v>
      </c>
    </row>
    <row r="730" spans="1:92" x14ac:dyDescent="0.2">
      <c r="B730" t="s">
        <v>1330</v>
      </c>
      <c r="C730" t="s">
        <v>1355</v>
      </c>
      <c r="D730" t="s">
        <v>1356</v>
      </c>
      <c r="E730">
        <v>2018</v>
      </c>
      <c r="F730" t="s">
        <v>1457</v>
      </c>
      <c r="G730" t="s">
        <v>1358</v>
      </c>
      <c r="H730" s="13">
        <v>54.11</v>
      </c>
      <c r="I730" s="13">
        <v>-164.49</v>
      </c>
      <c r="J730" s="13">
        <v>1996</v>
      </c>
      <c r="K730" s="13">
        <v>2015</v>
      </c>
      <c r="L730" s="13">
        <f t="shared" si="33"/>
        <v>20</v>
      </c>
      <c r="M730" t="s">
        <v>369</v>
      </c>
      <c r="N730" t="s">
        <v>380</v>
      </c>
      <c r="O730" t="s">
        <v>380</v>
      </c>
      <c r="P730" t="s">
        <v>1426</v>
      </c>
      <c r="Q730" t="s">
        <v>1362</v>
      </c>
      <c r="R730" t="s">
        <v>1452</v>
      </c>
      <c r="V730">
        <v>-5.6999999999999993</v>
      </c>
      <c r="W730" t="str">
        <f t="shared" si="34"/>
        <v>Y</v>
      </c>
      <c r="X730" t="s">
        <v>3</v>
      </c>
      <c r="Z730" s="4" t="str">
        <f t="shared" si="30"/>
        <v>Y</v>
      </c>
      <c r="AA730" t="s">
        <v>1121</v>
      </c>
      <c r="AB730" t="s">
        <v>1524</v>
      </c>
      <c r="AC730" s="15" t="s">
        <v>1523</v>
      </c>
    </row>
    <row r="731" spans="1:92" x14ac:dyDescent="0.2">
      <c r="B731" t="s">
        <v>1330</v>
      </c>
      <c r="C731" t="s">
        <v>1355</v>
      </c>
      <c r="D731" t="s">
        <v>1356</v>
      </c>
      <c r="E731">
        <v>2018</v>
      </c>
      <c r="F731" t="s">
        <v>1457</v>
      </c>
      <c r="G731" t="s">
        <v>1358</v>
      </c>
      <c r="H731" s="13">
        <v>54.11</v>
      </c>
      <c r="I731" s="13">
        <v>-164.49</v>
      </c>
      <c r="J731" s="13">
        <v>1995</v>
      </c>
      <c r="K731" s="13">
        <v>2015</v>
      </c>
      <c r="L731" s="13">
        <f t="shared" si="33"/>
        <v>21</v>
      </c>
      <c r="M731" t="s">
        <v>369</v>
      </c>
      <c r="N731" t="s">
        <v>380</v>
      </c>
      <c r="O731" t="s">
        <v>380</v>
      </c>
      <c r="P731" t="s">
        <v>488</v>
      </c>
      <c r="Q731" t="s">
        <v>91</v>
      </c>
      <c r="R731" t="s">
        <v>1452</v>
      </c>
      <c r="V731">
        <v>-2.2000000000000002</v>
      </c>
      <c r="W731" t="str">
        <f t="shared" si="34"/>
        <v>Y</v>
      </c>
      <c r="X731" t="s">
        <v>3</v>
      </c>
      <c r="Z731" s="4" t="str">
        <f t="shared" si="30"/>
        <v>Y</v>
      </c>
      <c r="AA731" t="s">
        <v>1121</v>
      </c>
      <c r="AB731" t="s">
        <v>1524</v>
      </c>
      <c r="AC731" s="15" t="s">
        <v>1523</v>
      </c>
    </row>
    <row r="732" spans="1:92" x14ac:dyDescent="0.2">
      <c r="B732" t="s">
        <v>1330</v>
      </c>
      <c r="C732" t="s">
        <v>1355</v>
      </c>
      <c r="D732" t="s">
        <v>1356</v>
      </c>
      <c r="E732">
        <v>2018</v>
      </c>
      <c r="F732" t="s">
        <v>1457</v>
      </c>
      <c r="G732" t="s">
        <v>1358</v>
      </c>
      <c r="H732" s="13">
        <v>54.11</v>
      </c>
      <c r="I732" s="13">
        <v>-164.49</v>
      </c>
      <c r="J732" s="13">
        <v>1995</v>
      </c>
      <c r="K732" s="13">
        <v>2015</v>
      </c>
      <c r="L732" s="13">
        <f t="shared" si="33"/>
        <v>21</v>
      </c>
      <c r="M732" t="s">
        <v>369</v>
      </c>
      <c r="N732" t="s">
        <v>380</v>
      </c>
      <c r="O732" t="s">
        <v>380</v>
      </c>
      <c r="P732" t="s">
        <v>1447</v>
      </c>
      <c r="Q732" t="s">
        <v>394</v>
      </c>
      <c r="R732" t="s">
        <v>1452</v>
      </c>
      <c r="V732">
        <v>1.1000000000000001</v>
      </c>
      <c r="W732" t="str">
        <f t="shared" si="34"/>
        <v>N</v>
      </c>
      <c r="X732" t="s">
        <v>3</v>
      </c>
      <c r="Z732" s="4" t="str">
        <f t="shared" si="30"/>
        <v>Y</v>
      </c>
      <c r="AA732" t="s">
        <v>1121</v>
      </c>
      <c r="AB732" t="s">
        <v>1524</v>
      </c>
      <c r="AC732" s="15" t="s">
        <v>1523</v>
      </c>
    </row>
    <row r="733" spans="1:92" x14ac:dyDescent="0.2">
      <c r="B733" t="s">
        <v>1330</v>
      </c>
      <c r="C733" t="s">
        <v>1355</v>
      </c>
      <c r="D733" t="s">
        <v>1356</v>
      </c>
      <c r="E733">
        <v>2018</v>
      </c>
      <c r="F733" t="s">
        <v>1458</v>
      </c>
      <c r="G733" t="s">
        <v>1358</v>
      </c>
      <c r="H733" s="13">
        <v>55.15</v>
      </c>
      <c r="I733" s="13">
        <v>-5.12</v>
      </c>
      <c r="J733" s="13">
        <v>1982</v>
      </c>
      <c r="K733" s="13">
        <v>2009</v>
      </c>
      <c r="L733" s="13">
        <f t="shared" si="33"/>
        <v>28</v>
      </c>
      <c r="M733" t="s">
        <v>369</v>
      </c>
      <c r="N733" t="s">
        <v>380</v>
      </c>
      <c r="O733" t="s">
        <v>380</v>
      </c>
      <c r="P733" t="s">
        <v>1434</v>
      </c>
      <c r="Q733" t="s">
        <v>460</v>
      </c>
      <c r="R733" t="s">
        <v>1453</v>
      </c>
      <c r="V733">
        <v>5.4</v>
      </c>
      <c r="W733" t="str">
        <f t="shared" si="34"/>
        <v>N</v>
      </c>
      <c r="X733" t="s">
        <v>3</v>
      </c>
      <c r="Z733" s="4" t="str">
        <f t="shared" si="30"/>
        <v>Y</v>
      </c>
      <c r="AA733" t="s">
        <v>1121</v>
      </c>
      <c r="AB733" t="s">
        <v>1524</v>
      </c>
      <c r="AC733" s="15" t="s">
        <v>1523</v>
      </c>
    </row>
    <row r="734" spans="1:92" x14ac:dyDescent="0.2">
      <c r="A734" s="4"/>
      <c r="B734" s="4" t="s">
        <v>1330</v>
      </c>
      <c r="C734" s="4" t="s">
        <v>1355</v>
      </c>
      <c r="D734" s="4" t="s">
        <v>1356</v>
      </c>
      <c r="E734" s="4">
        <v>2018</v>
      </c>
      <c r="F734" s="4" t="s">
        <v>1459</v>
      </c>
      <c r="G734" s="4" t="s">
        <v>1358</v>
      </c>
      <c r="H734" s="37">
        <v>69.040000000000006</v>
      </c>
      <c r="I734" s="37">
        <v>15.1</v>
      </c>
      <c r="J734" s="37">
        <v>2005</v>
      </c>
      <c r="K734" s="37">
        <v>2013</v>
      </c>
      <c r="L734" s="37">
        <f t="shared" si="33"/>
        <v>9</v>
      </c>
      <c r="M734" s="4" t="s">
        <v>369</v>
      </c>
      <c r="N734" s="4" t="s">
        <v>380</v>
      </c>
      <c r="O734" s="4" t="s">
        <v>380</v>
      </c>
      <c r="P734" s="4" t="s">
        <v>1400</v>
      </c>
      <c r="Q734" s="4" t="s">
        <v>455</v>
      </c>
      <c r="R734" s="4" t="s">
        <v>1452</v>
      </c>
      <c r="S734" s="4"/>
      <c r="V734" s="4">
        <v>0.5</v>
      </c>
      <c r="W734" s="4" t="str">
        <f t="shared" si="34"/>
        <v>N</v>
      </c>
      <c r="X734" s="4" t="s">
        <v>24</v>
      </c>
      <c r="Y734" s="4"/>
      <c r="Z734" s="4" t="str">
        <f t="shared" si="30"/>
        <v>N</v>
      </c>
      <c r="AA734" s="4" t="s">
        <v>1121</v>
      </c>
      <c r="AB734" s="4" t="s">
        <v>1524</v>
      </c>
      <c r="AC734" s="39" t="s">
        <v>1523</v>
      </c>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row>
    <row r="735" spans="1:92" x14ac:dyDescent="0.2">
      <c r="A735" s="4"/>
      <c r="B735" s="4" t="s">
        <v>1330</v>
      </c>
      <c r="C735" s="4" t="s">
        <v>1355</v>
      </c>
      <c r="D735" s="4" t="s">
        <v>1356</v>
      </c>
      <c r="E735" s="4">
        <v>2018</v>
      </c>
      <c r="F735" s="4" t="s">
        <v>1459</v>
      </c>
      <c r="G735" s="4" t="s">
        <v>1358</v>
      </c>
      <c r="H735" s="37">
        <v>69.040000000000006</v>
      </c>
      <c r="I735" s="37">
        <v>15.1</v>
      </c>
      <c r="J735" s="37">
        <v>2006</v>
      </c>
      <c r="K735" s="37">
        <v>2013</v>
      </c>
      <c r="L735" s="37">
        <f t="shared" si="33"/>
        <v>8</v>
      </c>
      <c r="M735" s="4" t="s">
        <v>369</v>
      </c>
      <c r="N735" s="4" t="s">
        <v>380</v>
      </c>
      <c r="O735" s="4" t="s">
        <v>380</v>
      </c>
      <c r="P735" s="4" t="s">
        <v>485</v>
      </c>
      <c r="Q735" s="4" t="s">
        <v>87</v>
      </c>
      <c r="R735" s="4" t="s">
        <v>1452</v>
      </c>
      <c r="S735" s="4"/>
      <c r="V735" s="4">
        <v>-3.5</v>
      </c>
      <c r="W735" s="4" t="str">
        <f t="shared" si="34"/>
        <v>Y</v>
      </c>
      <c r="X735" s="4" t="s">
        <v>24</v>
      </c>
      <c r="Y735" s="4"/>
      <c r="Z735" s="4" t="str">
        <f t="shared" si="30"/>
        <v>N</v>
      </c>
      <c r="AA735" s="4" t="s">
        <v>1121</v>
      </c>
      <c r="AB735" s="4" t="s">
        <v>1524</v>
      </c>
      <c r="AC735" s="39" t="s">
        <v>1523</v>
      </c>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row>
    <row r="736" spans="1:92" x14ac:dyDescent="0.2">
      <c r="B736" t="s">
        <v>1330</v>
      </c>
      <c r="C736" t="s">
        <v>1355</v>
      </c>
      <c r="D736" t="s">
        <v>1356</v>
      </c>
      <c r="E736">
        <v>2018</v>
      </c>
      <c r="F736" t="s">
        <v>1460</v>
      </c>
      <c r="G736" t="s">
        <v>1357</v>
      </c>
      <c r="H736" s="13">
        <v>-4.0999999999999996</v>
      </c>
      <c r="I736" s="13">
        <v>55.4</v>
      </c>
      <c r="J736" s="13">
        <v>1985</v>
      </c>
      <c r="K736" s="13">
        <v>2011</v>
      </c>
      <c r="L736" s="13">
        <f t="shared" si="33"/>
        <v>27</v>
      </c>
      <c r="M736" t="s">
        <v>369</v>
      </c>
      <c r="N736" t="s">
        <v>380</v>
      </c>
      <c r="O736" t="s">
        <v>380</v>
      </c>
      <c r="P736" t="s">
        <v>1440</v>
      </c>
      <c r="Q736" t="s">
        <v>1363</v>
      </c>
      <c r="R736" t="s">
        <v>1454</v>
      </c>
      <c r="V736">
        <v>-1.1000000000000001</v>
      </c>
      <c r="W736" t="str">
        <f t="shared" si="34"/>
        <v>Y</v>
      </c>
      <c r="X736" t="s">
        <v>3</v>
      </c>
      <c r="Z736" s="4" t="str">
        <f t="shared" si="30"/>
        <v>Y</v>
      </c>
      <c r="AA736" t="s">
        <v>1121</v>
      </c>
      <c r="AB736" t="s">
        <v>1524</v>
      </c>
      <c r="AC736" s="15" t="s">
        <v>1523</v>
      </c>
    </row>
    <row r="737" spans="1:92" x14ac:dyDescent="0.2">
      <c r="B737" t="s">
        <v>1330</v>
      </c>
      <c r="C737" t="s">
        <v>1355</v>
      </c>
      <c r="D737" t="s">
        <v>1356</v>
      </c>
      <c r="E737">
        <v>2018</v>
      </c>
      <c r="F737" t="s">
        <v>1461</v>
      </c>
      <c r="G737" t="s">
        <v>1358</v>
      </c>
      <c r="H737" s="13">
        <v>53.3</v>
      </c>
      <c r="I737" s="13">
        <v>8.11</v>
      </c>
      <c r="J737" s="13">
        <v>1992</v>
      </c>
      <c r="K737" s="13">
        <v>2015</v>
      </c>
      <c r="L737" s="13">
        <f t="shared" si="33"/>
        <v>24</v>
      </c>
      <c r="M737" t="s">
        <v>369</v>
      </c>
      <c r="N737" t="s">
        <v>380</v>
      </c>
      <c r="O737" t="s">
        <v>380</v>
      </c>
      <c r="P737" t="s">
        <v>1413</v>
      </c>
      <c r="Q737" t="s">
        <v>458</v>
      </c>
      <c r="R737" t="s">
        <v>1455</v>
      </c>
      <c r="V737">
        <v>-3</v>
      </c>
      <c r="W737" t="str">
        <f t="shared" si="34"/>
        <v>Y</v>
      </c>
      <c r="X737" t="s">
        <v>3</v>
      </c>
      <c r="Z737" s="4" t="str">
        <f t="shared" si="30"/>
        <v>Y</v>
      </c>
      <c r="AA737" t="s">
        <v>1121</v>
      </c>
      <c r="AB737" t="s">
        <v>1524</v>
      </c>
      <c r="AC737" s="15" t="s">
        <v>1523</v>
      </c>
    </row>
    <row r="738" spans="1:92" x14ac:dyDescent="0.2">
      <c r="A738" s="4"/>
      <c r="B738" s="4" t="s">
        <v>1330</v>
      </c>
      <c r="C738" s="4" t="s">
        <v>1355</v>
      </c>
      <c r="D738" s="4" t="s">
        <v>1356</v>
      </c>
      <c r="E738" s="4">
        <v>2018</v>
      </c>
      <c r="F738" s="4" t="s">
        <v>1462</v>
      </c>
      <c r="G738" s="4" t="s">
        <v>1357</v>
      </c>
      <c r="H738" s="37">
        <v>-67.349999999999994</v>
      </c>
      <c r="I738" s="37">
        <v>62.49</v>
      </c>
      <c r="J738" s="37">
        <v>1990</v>
      </c>
      <c r="K738" s="37">
        <v>2005</v>
      </c>
      <c r="L738" s="37">
        <f t="shared" si="33"/>
        <v>16</v>
      </c>
      <c r="M738" s="4" t="s">
        <v>369</v>
      </c>
      <c r="N738" s="4" t="s">
        <v>380</v>
      </c>
      <c r="O738" s="4" t="s">
        <v>380</v>
      </c>
      <c r="P738" s="4" t="s">
        <v>1395</v>
      </c>
      <c r="Q738" s="4" t="s">
        <v>83</v>
      </c>
      <c r="R738" s="4" t="s">
        <v>1452</v>
      </c>
      <c r="S738" s="4"/>
      <c r="V738" s="4">
        <v>-1.7999999999999998</v>
      </c>
      <c r="W738" s="4" t="str">
        <f t="shared" si="34"/>
        <v>Y</v>
      </c>
      <c r="X738" s="4" t="s">
        <v>24</v>
      </c>
      <c r="Y738" s="4"/>
      <c r="Z738" s="4" t="str">
        <f t="shared" si="30"/>
        <v>N</v>
      </c>
      <c r="AA738" s="4" t="s">
        <v>1121</v>
      </c>
      <c r="AB738" s="4" t="s">
        <v>1524</v>
      </c>
      <c r="AC738" s="39" t="s">
        <v>1523</v>
      </c>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row>
    <row r="739" spans="1:92" x14ac:dyDescent="0.2">
      <c r="A739" s="4"/>
      <c r="B739" s="4" t="s">
        <v>1330</v>
      </c>
      <c r="C739" s="4" t="s">
        <v>1355</v>
      </c>
      <c r="D739" s="4" t="s">
        <v>1356</v>
      </c>
      <c r="E739" s="4">
        <v>2018</v>
      </c>
      <c r="F739" s="4" t="s">
        <v>1462</v>
      </c>
      <c r="G739" s="4" t="s">
        <v>1357</v>
      </c>
      <c r="H739" s="37">
        <v>-67.349999999999994</v>
      </c>
      <c r="I739" s="37">
        <v>62.49</v>
      </c>
      <c r="J739" s="37">
        <v>1990</v>
      </c>
      <c r="K739" s="37">
        <v>2005</v>
      </c>
      <c r="L739" s="37">
        <f t="shared" si="33"/>
        <v>16</v>
      </c>
      <c r="M739" s="4" t="s">
        <v>369</v>
      </c>
      <c r="N739" s="4" t="s">
        <v>380</v>
      </c>
      <c r="O739" s="4" t="s">
        <v>380</v>
      </c>
      <c r="P739" s="4" t="s">
        <v>1395</v>
      </c>
      <c r="Q739" s="4" t="s">
        <v>83</v>
      </c>
      <c r="R739" s="4" t="s">
        <v>1453</v>
      </c>
      <c r="S739" s="4"/>
      <c r="V739" s="4">
        <v>-1.6</v>
      </c>
      <c r="W739" s="4" t="str">
        <f t="shared" si="34"/>
        <v>Y</v>
      </c>
      <c r="X739" s="4" t="s">
        <v>24</v>
      </c>
      <c r="Y739" s="4"/>
      <c r="Z739" s="4" t="str">
        <f t="shared" si="30"/>
        <v>N</v>
      </c>
      <c r="AA739" s="4" t="s">
        <v>1121</v>
      </c>
      <c r="AB739" s="4" t="s">
        <v>1524</v>
      </c>
      <c r="AC739" s="39" t="s">
        <v>1523</v>
      </c>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row>
    <row r="740" spans="1:92" x14ac:dyDescent="0.2">
      <c r="B740" t="s">
        <v>1330</v>
      </c>
      <c r="C740" t="s">
        <v>1355</v>
      </c>
      <c r="D740" t="s">
        <v>1356</v>
      </c>
      <c r="E740">
        <v>2018</v>
      </c>
      <c r="F740" t="s">
        <v>1463</v>
      </c>
      <c r="G740" t="s">
        <v>1358</v>
      </c>
      <c r="H740" s="13">
        <v>38.299999999999997</v>
      </c>
      <c r="I740" s="13">
        <v>-7.0000000000000007E-2</v>
      </c>
      <c r="J740" s="13">
        <v>1993</v>
      </c>
      <c r="K740" s="13">
        <v>2015</v>
      </c>
      <c r="L740" s="13">
        <f t="shared" si="33"/>
        <v>23</v>
      </c>
      <c r="M740" t="s">
        <v>369</v>
      </c>
      <c r="N740" t="s">
        <v>380</v>
      </c>
      <c r="O740" t="s">
        <v>380</v>
      </c>
      <c r="P740" t="s">
        <v>1417</v>
      </c>
      <c r="Q740" t="s">
        <v>1364</v>
      </c>
      <c r="R740" t="s">
        <v>1455</v>
      </c>
      <c r="V740">
        <v>0.5</v>
      </c>
      <c r="W740" t="str">
        <f t="shared" si="34"/>
        <v>N</v>
      </c>
      <c r="X740" t="s">
        <v>3</v>
      </c>
      <c r="Z740" s="4" t="str">
        <f t="shared" si="30"/>
        <v>Y</v>
      </c>
      <c r="AA740" t="s">
        <v>1121</v>
      </c>
      <c r="AB740" t="s">
        <v>1524</v>
      </c>
      <c r="AC740" s="15" t="s">
        <v>1523</v>
      </c>
    </row>
    <row r="741" spans="1:92" x14ac:dyDescent="0.2">
      <c r="B741" t="s">
        <v>1330</v>
      </c>
      <c r="C741" t="s">
        <v>1355</v>
      </c>
      <c r="D741" t="s">
        <v>1356</v>
      </c>
      <c r="E741">
        <v>2018</v>
      </c>
      <c r="F741" t="s">
        <v>1464</v>
      </c>
      <c r="G741" t="s">
        <v>1358</v>
      </c>
      <c r="H741" s="13">
        <v>41.67</v>
      </c>
      <c r="I741" s="13">
        <v>-70.72</v>
      </c>
      <c r="J741" s="13">
        <v>1968</v>
      </c>
      <c r="K741" s="13">
        <v>2015</v>
      </c>
      <c r="L741" s="13">
        <f t="shared" si="33"/>
        <v>48</v>
      </c>
      <c r="M741" t="s">
        <v>369</v>
      </c>
      <c r="N741" t="s">
        <v>380</v>
      </c>
      <c r="O741" t="s">
        <v>380</v>
      </c>
      <c r="P741" t="s">
        <v>1413</v>
      </c>
      <c r="Q741" t="s">
        <v>458</v>
      </c>
      <c r="R741" t="s">
        <v>1455</v>
      </c>
      <c r="V741">
        <v>-0.4</v>
      </c>
      <c r="W741" t="str">
        <f t="shared" si="34"/>
        <v>Y</v>
      </c>
      <c r="X741" t="s">
        <v>3</v>
      </c>
      <c r="Z741" s="4" t="str">
        <f t="shared" si="30"/>
        <v>Y</v>
      </c>
      <c r="AA741" t="s">
        <v>1121</v>
      </c>
      <c r="AB741" t="s">
        <v>1524</v>
      </c>
      <c r="AC741" s="15" t="s">
        <v>1523</v>
      </c>
    </row>
    <row r="742" spans="1:92" x14ac:dyDescent="0.2">
      <c r="B742" t="s">
        <v>1330</v>
      </c>
      <c r="C742" t="s">
        <v>1355</v>
      </c>
      <c r="D742" t="s">
        <v>1356</v>
      </c>
      <c r="E742">
        <v>2018</v>
      </c>
      <c r="F742" t="s">
        <v>1464</v>
      </c>
      <c r="G742" t="s">
        <v>1358</v>
      </c>
      <c r="H742" s="13">
        <v>41.67</v>
      </c>
      <c r="I742" s="13">
        <v>-70.72</v>
      </c>
      <c r="J742" s="13">
        <v>1968</v>
      </c>
      <c r="K742" s="13">
        <v>2015</v>
      </c>
      <c r="L742" s="13">
        <f t="shared" si="33"/>
        <v>48</v>
      </c>
      <c r="M742" t="s">
        <v>369</v>
      </c>
      <c r="N742" t="s">
        <v>380</v>
      </c>
      <c r="O742" t="s">
        <v>380</v>
      </c>
      <c r="P742" t="s">
        <v>1440</v>
      </c>
      <c r="Q742" t="s">
        <v>1363</v>
      </c>
      <c r="R742" t="s">
        <v>1451</v>
      </c>
      <c r="V742">
        <v>-1</v>
      </c>
      <c r="W742" t="str">
        <f t="shared" si="34"/>
        <v>Y</v>
      </c>
      <c r="X742" t="s">
        <v>3</v>
      </c>
      <c r="Z742" s="4" t="str">
        <f t="shared" si="30"/>
        <v>Y</v>
      </c>
      <c r="AA742" t="s">
        <v>1121</v>
      </c>
      <c r="AB742" t="s">
        <v>1524</v>
      </c>
      <c r="AC742" s="15" t="s">
        <v>1523</v>
      </c>
    </row>
    <row r="743" spans="1:92" x14ac:dyDescent="0.2">
      <c r="B743" t="s">
        <v>1330</v>
      </c>
      <c r="C743" t="s">
        <v>1355</v>
      </c>
      <c r="D743" t="s">
        <v>1356</v>
      </c>
      <c r="E743">
        <v>2018</v>
      </c>
      <c r="F743" t="s">
        <v>1465</v>
      </c>
      <c r="G743" t="s">
        <v>1357</v>
      </c>
      <c r="H743" s="13">
        <v>-54</v>
      </c>
      <c r="I743" s="13">
        <v>-38.049999999999997</v>
      </c>
      <c r="J743" s="13">
        <v>1984</v>
      </c>
      <c r="K743" s="13">
        <v>2015</v>
      </c>
      <c r="L743" s="13">
        <f t="shared" si="33"/>
        <v>32</v>
      </c>
      <c r="M743" t="s">
        <v>369</v>
      </c>
      <c r="N743" t="s">
        <v>380</v>
      </c>
      <c r="O743" t="s">
        <v>380</v>
      </c>
      <c r="P743" t="s">
        <v>1405</v>
      </c>
      <c r="Q743" t="s">
        <v>1365</v>
      </c>
      <c r="R743" t="s">
        <v>1454</v>
      </c>
      <c r="V743">
        <v>-0.8</v>
      </c>
      <c r="W743" t="str">
        <f t="shared" si="34"/>
        <v>Y</v>
      </c>
      <c r="X743" t="s">
        <v>3</v>
      </c>
      <c r="Z743" s="4" t="str">
        <f t="shared" si="30"/>
        <v>Y</v>
      </c>
      <c r="AA743" t="s">
        <v>1121</v>
      </c>
      <c r="AB743" t="s">
        <v>1524</v>
      </c>
      <c r="AC743" s="15" t="s">
        <v>1523</v>
      </c>
    </row>
    <row r="744" spans="1:92" x14ac:dyDescent="0.2">
      <c r="B744" t="s">
        <v>1330</v>
      </c>
      <c r="C744" t="s">
        <v>1355</v>
      </c>
      <c r="D744" t="s">
        <v>1356</v>
      </c>
      <c r="E744">
        <v>2018</v>
      </c>
      <c r="F744" t="s">
        <v>1465</v>
      </c>
      <c r="G744" t="s">
        <v>1357</v>
      </c>
      <c r="H744" s="13">
        <v>-54</v>
      </c>
      <c r="I744" s="13">
        <v>-38.049999999999997</v>
      </c>
      <c r="J744" s="13">
        <v>1984</v>
      </c>
      <c r="K744" s="13">
        <v>2015</v>
      </c>
      <c r="L744" s="13">
        <f t="shared" si="33"/>
        <v>32</v>
      </c>
      <c r="M744" t="s">
        <v>369</v>
      </c>
      <c r="N744" t="s">
        <v>380</v>
      </c>
      <c r="O744" t="s">
        <v>380</v>
      </c>
      <c r="P744" t="s">
        <v>1405</v>
      </c>
      <c r="Q744" t="s">
        <v>1365</v>
      </c>
      <c r="R744" t="s">
        <v>1455</v>
      </c>
      <c r="V744">
        <v>-0.5</v>
      </c>
      <c r="W744" t="str">
        <f t="shared" si="34"/>
        <v>Y</v>
      </c>
      <c r="X744" t="s">
        <v>3</v>
      </c>
      <c r="Z744" s="4" t="str">
        <f t="shared" si="30"/>
        <v>Y</v>
      </c>
      <c r="AA744" t="s">
        <v>1121</v>
      </c>
      <c r="AB744" t="s">
        <v>1524</v>
      </c>
      <c r="AC744" s="15" t="s">
        <v>1523</v>
      </c>
    </row>
    <row r="745" spans="1:92" x14ac:dyDescent="0.2">
      <c r="B745" t="s">
        <v>1330</v>
      </c>
      <c r="C745" t="s">
        <v>1355</v>
      </c>
      <c r="D745" t="s">
        <v>1356</v>
      </c>
      <c r="E745">
        <v>2018</v>
      </c>
      <c r="F745" t="s">
        <v>1465</v>
      </c>
      <c r="G745" t="s">
        <v>1357</v>
      </c>
      <c r="H745" s="13">
        <v>-54</v>
      </c>
      <c r="I745" s="13">
        <v>-38.049999999999997</v>
      </c>
      <c r="J745" s="13">
        <v>1988</v>
      </c>
      <c r="K745" s="13">
        <v>2015</v>
      </c>
      <c r="L745" s="13">
        <f t="shared" si="33"/>
        <v>28</v>
      </c>
      <c r="M745" t="s">
        <v>369</v>
      </c>
      <c r="N745" t="s">
        <v>380</v>
      </c>
      <c r="O745" t="s">
        <v>380</v>
      </c>
      <c r="P745" t="s">
        <v>1419</v>
      </c>
      <c r="Q745" t="s">
        <v>1366</v>
      </c>
      <c r="R745" t="s">
        <v>1451</v>
      </c>
      <c r="V745">
        <v>-3.9000000000000004</v>
      </c>
      <c r="W745" t="str">
        <f t="shared" si="34"/>
        <v>Y</v>
      </c>
      <c r="X745" t="s">
        <v>3</v>
      </c>
      <c r="Z745" s="4" t="str">
        <f t="shared" si="30"/>
        <v>Y</v>
      </c>
      <c r="AA745" t="s">
        <v>1121</v>
      </c>
      <c r="AB745" t="s">
        <v>1524</v>
      </c>
      <c r="AC745" s="15" t="s">
        <v>1523</v>
      </c>
    </row>
    <row r="746" spans="1:92" s="4" customFormat="1" x14ac:dyDescent="0.2">
      <c r="A746"/>
      <c r="B746" t="s">
        <v>1330</v>
      </c>
      <c r="C746" t="s">
        <v>1355</v>
      </c>
      <c r="D746" t="s">
        <v>1356</v>
      </c>
      <c r="E746">
        <v>2018</v>
      </c>
      <c r="F746" t="s">
        <v>1465</v>
      </c>
      <c r="G746" t="s">
        <v>1357</v>
      </c>
      <c r="H746" s="13">
        <v>-54</v>
      </c>
      <c r="I746" s="13">
        <v>-38.049999999999997</v>
      </c>
      <c r="J746" s="13">
        <v>1984</v>
      </c>
      <c r="K746" s="13">
        <v>2015</v>
      </c>
      <c r="L746" s="13">
        <f t="shared" si="33"/>
        <v>32</v>
      </c>
      <c r="M746" t="s">
        <v>369</v>
      </c>
      <c r="N746" t="s">
        <v>380</v>
      </c>
      <c r="O746" t="s">
        <v>380</v>
      </c>
      <c r="P746" t="s">
        <v>1422</v>
      </c>
      <c r="Q746" t="s">
        <v>1367</v>
      </c>
      <c r="R746" t="s">
        <v>1454</v>
      </c>
      <c r="S746"/>
      <c r="T746"/>
      <c r="U746"/>
      <c r="V746">
        <v>-0.89999999999999991</v>
      </c>
      <c r="W746" t="str">
        <f t="shared" si="34"/>
        <v>Y</v>
      </c>
      <c r="X746" t="s">
        <v>3</v>
      </c>
      <c r="Y746"/>
      <c r="Z746" s="4" t="str">
        <f t="shared" si="30"/>
        <v>Y</v>
      </c>
      <c r="AA746" t="s">
        <v>1121</v>
      </c>
      <c r="AB746" t="s">
        <v>1524</v>
      </c>
      <c r="AC746" s="15" t="s">
        <v>1523</v>
      </c>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row>
    <row r="747" spans="1:92" s="4" customFormat="1" x14ac:dyDescent="0.2">
      <c r="A747"/>
      <c r="B747" t="s">
        <v>1330</v>
      </c>
      <c r="C747" t="s">
        <v>1355</v>
      </c>
      <c r="D747" t="s">
        <v>1356</v>
      </c>
      <c r="E747">
        <v>2018</v>
      </c>
      <c r="F747" t="s">
        <v>1465</v>
      </c>
      <c r="G747" t="s">
        <v>1357</v>
      </c>
      <c r="H747" s="13">
        <v>-54</v>
      </c>
      <c r="I747" s="13">
        <v>-38.049999999999997</v>
      </c>
      <c r="J747" s="13">
        <v>1984</v>
      </c>
      <c r="K747" s="13">
        <v>2015</v>
      </c>
      <c r="L747" s="13">
        <f t="shared" si="33"/>
        <v>32</v>
      </c>
      <c r="M747" t="s">
        <v>369</v>
      </c>
      <c r="N747" t="s">
        <v>380</v>
      </c>
      <c r="O747" t="s">
        <v>380</v>
      </c>
      <c r="P747" t="s">
        <v>1422</v>
      </c>
      <c r="Q747" t="s">
        <v>1367</v>
      </c>
      <c r="R747" t="s">
        <v>1455</v>
      </c>
      <c r="S747"/>
      <c r="T747"/>
      <c r="U747"/>
      <c r="V747">
        <v>0</v>
      </c>
      <c r="W747" t="str">
        <f t="shared" si="34"/>
        <v>N</v>
      </c>
      <c r="X747" t="s">
        <v>3</v>
      </c>
      <c r="Y747"/>
      <c r="Z747" s="4" t="str">
        <f t="shared" si="30"/>
        <v>Y</v>
      </c>
      <c r="AA747" t="s">
        <v>1121</v>
      </c>
      <c r="AB747" t="s">
        <v>1524</v>
      </c>
      <c r="AC747" s="15" t="s">
        <v>1523</v>
      </c>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row>
    <row r="748" spans="1:92" x14ac:dyDescent="0.2">
      <c r="B748" t="s">
        <v>1330</v>
      </c>
      <c r="C748" t="s">
        <v>1355</v>
      </c>
      <c r="D748" t="s">
        <v>1356</v>
      </c>
      <c r="E748">
        <v>2018</v>
      </c>
      <c r="F748" t="s">
        <v>1465</v>
      </c>
      <c r="G748" t="s">
        <v>1357</v>
      </c>
      <c r="H748" s="13">
        <v>-54</v>
      </c>
      <c r="I748" s="13">
        <v>-38.049999999999997</v>
      </c>
      <c r="J748" s="13">
        <v>1988</v>
      </c>
      <c r="K748" s="13">
        <v>2015</v>
      </c>
      <c r="L748" s="13">
        <f t="shared" si="33"/>
        <v>28</v>
      </c>
      <c r="M748" t="s">
        <v>369</v>
      </c>
      <c r="N748" t="s">
        <v>380</v>
      </c>
      <c r="O748" t="s">
        <v>380</v>
      </c>
      <c r="P748" t="s">
        <v>1433</v>
      </c>
      <c r="Q748" t="s">
        <v>1368</v>
      </c>
      <c r="R748" t="s">
        <v>1451</v>
      </c>
      <c r="V748">
        <v>0.5</v>
      </c>
      <c r="W748" t="str">
        <f t="shared" si="34"/>
        <v>N</v>
      </c>
      <c r="X748" t="s">
        <v>3</v>
      </c>
      <c r="Z748" s="4" t="str">
        <f t="shared" si="30"/>
        <v>Y</v>
      </c>
      <c r="AA748" t="s">
        <v>1121</v>
      </c>
      <c r="AB748" t="s">
        <v>1524</v>
      </c>
      <c r="AC748" s="15" t="s">
        <v>1523</v>
      </c>
    </row>
    <row r="749" spans="1:92" x14ac:dyDescent="0.2">
      <c r="A749" s="4"/>
      <c r="B749" s="4" t="s">
        <v>1330</v>
      </c>
      <c r="C749" s="4" t="s">
        <v>1355</v>
      </c>
      <c r="D749" s="4" t="s">
        <v>1356</v>
      </c>
      <c r="E749" s="4">
        <v>2018</v>
      </c>
      <c r="F749" s="4" t="s">
        <v>1465</v>
      </c>
      <c r="G749" s="4" t="s">
        <v>1357</v>
      </c>
      <c r="H749" s="37">
        <v>-54</v>
      </c>
      <c r="I749" s="37">
        <v>-38.049999999999997</v>
      </c>
      <c r="J749" s="37">
        <v>2006</v>
      </c>
      <c r="K749" s="37">
        <v>2015</v>
      </c>
      <c r="L749" s="37">
        <f t="shared" si="33"/>
        <v>10</v>
      </c>
      <c r="M749" s="4" t="s">
        <v>369</v>
      </c>
      <c r="N749" s="4" t="s">
        <v>380</v>
      </c>
      <c r="O749" s="4" t="s">
        <v>380</v>
      </c>
      <c r="P749" s="4" t="s">
        <v>1435</v>
      </c>
      <c r="Q749" s="4" t="s">
        <v>1369</v>
      </c>
      <c r="R749" s="4" t="s">
        <v>1454</v>
      </c>
      <c r="S749" s="4"/>
      <c r="V749" s="4">
        <v>-0.2</v>
      </c>
      <c r="W749" s="4" t="str">
        <f t="shared" si="34"/>
        <v>Y</v>
      </c>
      <c r="X749" s="4" t="s">
        <v>24</v>
      </c>
      <c r="Y749" s="4" t="s">
        <v>24</v>
      </c>
      <c r="Z749" s="4" t="str">
        <f t="shared" si="30"/>
        <v>N</v>
      </c>
      <c r="AA749" s="4" t="s">
        <v>1121</v>
      </c>
      <c r="AB749" s="4" t="s">
        <v>1524</v>
      </c>
      <c r="AC749" s="39" t="s">
        <v>1523</v>
      </c>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row>
    <row r="750" spans="1:92" s="4" customFormat="1" x14ac:dyDescent="0.2">
      <c r="B750" s="4" t="s">
        <v>1330</v>
      </c>
      <c r="C750" s="4" t="s">
        <v>1355</v>
      </c>
      <c r="D750" s="4" t="s">
        <v>1356</v>
      </c>
      <c r="E750" s="4">
        <v>2018</v>
      </c>
      <c r="F750" s="4" t="s">
        <v>1465</v>
      </c>
      <c r="G750" s="4" t="s">
        <v>1357</v>
      </c>
      <c r="H750" s="37">
        <v>-54</v>
      </c>
      <c r="I750" s="37">
        <v>-38.049999999999997</v>
      </c>
      <c r="J750" s="37">
        <v>2006</v>
      </c>
      <c r="K750" s="37">
        <v>2015</v>
      </c>
      <c r="L750" s="37">
        <f t="shared" si="33"/>
        <v>10</v>
      </c>
      <c r="M750" s="4" t="s">
        <v>369</v>
      </c>
      <c r="N750" s="4" t="s">
        <v>380</v>
      </c>
      <c r="O750" s="4" t="s">
        <v>380</v>
      </c>
      <c r="P750" s="4" t="s">
        <v>1435</v>
      </c>
      <c r="Q750" s="4" t="s">
        <v>1369</v>
      </c>
      <c r="R750" s="4" t="s">
        <v>1455</v>
      </c>
      <c r="T750"/>
      <c r="U750"/>
      <c r="V750" s="4">
        <v>-0.2</v>
      </c>
      <c r="W750" s="4" t="str">
        <f t="shared" si="34"/>
        <v>Y</v>
      </c>
      <c r="X750" s="4" t="s">
        <v>24</v>
      </c>
      <c r="Z750" s="4" t="str">
        <f t="shared" si="30"/>
        <v>N</v>
      </c>
      <c r="AA750" s="4" t="s">
        <v>1121</v>
      </c>
      <c r="AB750" s="4" t="s">
        <v>1524</v>
      </c>
      <c r="AC750" s="39" t="s">
        <v>1523</v>
      </c>
      <c r="AD750"/>
      <c r="AE750"/>
      <c r="AF750"/>
      <c r="AG750"/>
      <c r="AH750"/>
    </row>
    <row r="751" spans="1:92" s="4" customFormat="1" x14ac:dyDescent="0.2">
      <c r="B751" s="4" t="s">
        <v>1330</v>
      </c>
      <c r="C751" s="4" t="s">
        <v>1355</v>
      </c>
      <c r="D751" s="4" t="s">
        <v>1356</v>
      </c>
      <c r="E751" s="4">
        <v>2018</v>
      </c>
      <c r="F751" s="4" t="s">
        <v>1465</v>
      </c>
      <c r="G751" s="4" t="s">
        <v>1357</v>
      </c>
      <c r="H751" s="37">
        <v>-54</v>
      </c>
      <c r="I751" s="37">
        <v>-38.049999999999997</v>
      </c>
      <c r="J751" s="37">
        <v>2006</v>
      </c>
      <c r="K751" s="37">
        <v>2015</v>
      </c>
      <c r="L751" s="37">
        <f t="shared" si="33"/>
        <v>10</v>
      </c>
      <c r="M751" s="4" t="s">
        <v>369</v>
      </c>
      <c r="N751" s="4" t="s">
        <v>380</v>
      </c>
      <c r="O751" s="4" t="s">
        <v>380</v>
      </c>
      <c r="P751" s="4" t="s">
        <v>1445</v>
      </c>
      <c r="Q751" s="4" t="s">
        <v>399</v>
      </c>
      <c r="R751" s="4" t="s">
        <v>1454</v>
      </c>
      <c r="T751"/>
      <c r="U751"/>
      <c r="V751" s="4">
        <v>-3.1</v>
      </c>
      <c r="W751" s="4" t="str">
        <f t="shared" si="34"/>
        <v>Y</v>
      </c>
      <c r="X751" s="4" t="s">
        <v>24</v>
      </c>
      <c r="Z751" s="4" t="str">
        <f t="shared" si="30"/>
        <v>N</v>
      </c>
      <c r="AA751" s="4" t="s">
        <v>1121</v>
      </c>
      <c r="AB751" s="4" t="s">
        <v>1524</v>
      </c>
      <c r="AC751" s="39" t="s">
        <v>1523</v>
      </c>
      <c r="AD751"/>
      <c r="AE751"/>
      <c r="AF751"/>
      <c r="AG751"/>
      <c r="AH751"/>
    </row>
    <row r="752" spans="1:92" x14ac:dyDescent="0.2">
      <c r="A752" s="4"/>
      <c r="B752" s="4" t="s">
        <v>1330</v>
      </c>
      <c r="C752" s="4" t="s">
        <v>1355</v>
      </c>
      <c r="D752" s="4" t="s">
        <v>1356</v>
      </c>
      <c r="E752" s="4">
        <v>2018</v>
      </c>
      <c r="F752" s="4" t="s">
        <v>1465</v>
      </c>
      <c r="G752" s="4" t="s">
        <v>1357</v>
      </c>
      <c r="H752" s="37">
        <v>-54</v>
      </c>
      <c r="I752" s="37">
        <v>-38.049999999999997</v>
      </c>
      <c r="J752" s="37">
        <v>2006</v>
      </c>
      <c r="K752" s="37">
        <v>2015</v>
      </c>
      <c r="L752" s="37">
        <f t="shared" si="33"/>
        <v>10</v>
      </c>
      <c r="M752" s="4" t="s">
        <v>369</v>
      </c>
      <c r="N752" s="4" t="s">
        <v>380</v>
      </c>
      <c r="O752" s="4" t="s">
        <v>380</v>
      </c>
      <c r="P752" s="4" t="s">
        <v>1445</v>
      </c>
      <c r="Q752" s="4" t="s">
        <v>399</v>
      </c>
      <c r="R752" s="4" t="s">
        <v>1455</v>
      </c>
      <c r="S752" s="4"/>
      <c r="V752" s="4">
        <v>-1.6</v>
      </c>
      <c r="W752" s="4" t="str">
        <f t="shared" si="34"/>
        <v>Y</v>
      </c>
      <c r="X752" s="4" t="s">
        <v>24</v>
      </c>
      <c r="Y752" s="4"/>
      <c r="Z752" s="4" t="str">
        <f t="shared" si="30"/>
        <v>N</v>
      </c>
      <c r="AA752" s="4" t="s">
        <v>1121</v>
      </c>
      <c r="AB752" s="4" t="s">
        <v>1524</v>
      </c>
      <c r="AC752" s="39" t="s">
        <v>1523</v>
      </c>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row>
    <row r="753" spans="1:92" x14ac:dyDescent="0.2">
      <c r="B753" t="s">
        <v>1330</v>
      </c>
      <c r="C753" t="s">
        <v>1355</v>
      </c>
      <c r="D753" t="s">
        <v>1356</v>
      </c>
      <c r="E753">
        <v>2018</v>
      </c>
      <c r="F753" t="s">
        <v>1465</v>
      </c>
      <c r="G753" t="s">
        <v>1357</v>
      </c>
      <c r="H753" s="13">
        <v>-54</v>
      </c>
      <c r="I753" s="13">
        <v>-38.049999999999997</v>
      </c>
      <c r="J753" s="13">
        <v>1980</v>
      </c>
      <c r="K753" s="13">
        <v>2015</v>
      </c>
      <c r="L753" s="13">
        <f t="shared" si="33"/>
        <v>36</v>
      </c>
      <c r="M753" t="s">
        <v>369</v>
      </c>
      <c r="N753" t="s">
        <v>380</v>
      </c>
      <c r="O753" t="s">
        <v>380</v>
      </c>
      <c r="P753" t="s">
        <v>1448</v>
      </c>
      <c r="Q753" t="s">
        <v>1370</v>
      </c>
      <c r="R753" t="s">
        <v>1451</v>
      </c>
      <c r="V753">
        <v>-0.3</v>
      </c>
      <c r="W753" t="str">
        <f t="shared" si="34"/>
        <v>Y</v>
      </c>
      <c r="X753" t="s">
        <v>3</v>
      </c>
      <c r="Z753" s="4" t="str">
        <f t="shared" si="30"/>
        <v>Y</v>
      </c>
      <c r="AA753" t="s">
        <v>1121</v>
      </c>
      <c r="AB753" t="s">
        <v>1524</v>
      </c>
      <c r="AC753" s="15" t="s">
        <v>1523</v>
      </c>
    </row>
    <row r="754" spans="1:92" x14ac:dyDescent="0.2">
      <c r="B754" t="s">
        <v>1330</v>
      </c>
      <c r="C754" t="s">
        <v>1355</v>
      </c>
      <c r="D754" t="s">
        <v>1356</v>
      </c>
      <c r="E754">
        <v>2018</v>
      </c>
      <c r="F754" t="s">
        <v>1465</v>
      </c>
      <c r="G754" t="s">
        <v>1357</v>
      </c>
      <c r="H754" s="13">
        <v>-54</v>
      </c>
      <c r="I754" s="13">
        <v>-38.049999999999997</v>
      </c>
      <c r="J754" s="13">
        <v>1980</v>
      </c>
      <c r="K754" s="13">
        <v>2015</v>
      </c>
      <c r="L754" s="13">
        <f t="shared" si="33"/>
        <v>36</v>
      </c>
      <c r="M754" t="s">
        <v>369</v>
      </c>
      <c r="N754" t="s">
        <v>380</v>
      </c>
      <c r="O754" t="s">
        <v>380</v>
      </c>
      <c r="P754" t="s">
        <v>1448</v>
      </c>
      <c r="Q754" t="s">
        <v>1370</v>
      </c>
      <c r="R754" t="s">
        <v>1452</v>
      </c>
      <c r="V754">
        <v>-0.5</v>
      </c>
      <c r="W754" t="str">
        <f t="shared" si="34"/>
        <v>Y</v>
      </c>
      <c r="X754" t="s">
        <v>3</v>
      </c>
      <c r="Z754" s="4" t="str">
        <f t="shared" si="30"/>
        <v>Y</v>
      </c>
      <c r="AA754" t="s">
        <v>1121</v>
      </c>
      <c r="AB754" t="s">
        <v>1524</v>
      </c>
      <c r="AC754" s="15" t="s">
        <v>1523</v>
      </c>
    </row>
    <row r="755" spans="1:92" x14ac:dyDescent="0.2">
      <c r="B755" t="s">
        <v>1330</v>
      </c>
      <c r="C755" t="s">
        <v>1355</v>
      </c>
      <c r="D755" t="s">
        <v>1356</v>
      </c>
      <c r="E755">
        <v>2018</v>
      </c>
      <c r="F755" t="s">
        <v>1465</v>
      </c>
      <c r="G755" t="s">
        <v>1357</v>
      </c>
      <c r="H755" s="13">
        <v>-54</v>
      </c>
      <c r="I755" s="13">
        <v>-38.049999999999997</v>
      </c>
      <c r="J755" s="13">
        <v>1980</v>
      </c>
      <c r="K755" s="13">
        <v>2015</v>
      </c>
      <c r="L755" s="13">
        <f t="shared" si="33"/>
        <v>36</v>
      </c>
      <c r="M755" t="s">
        <v>369</v>
      </c>
      <c r="N755" t="s">
        <v>380</v>
      </c>
      <c r="O755" t="s">
        <v>380</v>
      </c>
      <c r="P755" t="s">
        <v>1448</v>
      </c>
      <c r="Q755" t="s">
        <v>1370</v>
      </c>
      <c r="R755" t="s">
        <v>1454</v>
      </c>
      <c r="V755">
        <v>-0.3</v>
      </c>
      <c r="W755" t="str">
        <f t="shared" si="34"/>
        <v>Y</v>
      </c>
      <c r="X755" t="s">
        <v>3</v>
      </c>
      <c r="Z755" s="4" t="str">
        <f t="shared" si="30"/>
        <v>Y</v>
      </c>
      <c r="AA755" t="s">
        <v>1121</v>
      </c>
      <c r="AB755" t="s">
        <v>1524</v>
      </c>
      <c r="AC755" s="15" t="s">
        <v>1523</v>
      </c>
    </row>
    <row r="756" spans="1:92" x14ac:dyDescent="0.2">
      <c r="B756" t="s">
        <v>1330</v>
      </c>
      <c r="C756" t="s">
        <v>1355</v>
      </c>
      <c r="D756" t="s">
        <v>1356</v>
      </c>
      <c r="E756">
        <v>2018</v>
      </c>
      <c r="F756" t="s">
        <v>1465</v>
      </c>
      <c r="G756" t="s">
        <v>1357</v>
      </c>
      <c r="H756" s="13">
        <v>-54</v>
      </c>
      <c r="I756" s="13">
        <v>-38.049999999999997</v>
      </c>
      <c r="J756" s="13">
        <v>1980</v>
      </c>
      <c r="K756" s="13">
        <v>2015</v>
      </c>
      <c r="L756" s="13">
        <f t="shared" si="33"/>
        <v>36</v>
      </c>
      <c r="M756" t="s">
        <v>369</v>
      </c>
      <c r="N756" t="s">
        <v>380</v>
      </c>
      <c r="O756" t="s">
        <v>380</v>
      </c>
      <c r="P756" t="s">
        <v>1448</v>
      </c>
      <c r="Q756" t="s">
        <v>1370</v>
      </c>
      <c r="R756" t="s">
        <v>1453</v>
      </c>
      <c r="V756">
        <v>-0.4</v>
      </c>
      <c r="W756" t="str">
        <f t="shared" si="34"/>
        <v>Y</v>
      </c>
      <c r="X756" t="s">
        <v>3</v>
      </c>
      <c r="Z756" s="4" t="str">
        <f t="shared" si="30"/>
        <v>Y</v>
      </c>
      <c r="AA756" t="s">
        <v>1121</v>
      </c>
      <c r="AB756" t="s">
        <v>1524</v>
      </c>
      <c r="AC756" s="15" t="s">
        <v>1523</v>
      </c>
    </row>
    <row r="757" spans="1:92" x14ac:dyDescent="0.2">
      <c r="B757" t="s">
        <v>1330</v>
      </c>
      <c r="C757" t="s">
        <v>1355</v>
      </c>
      <c r="D757" t="s">
        <v>1356</v>
      </c>
      <c r="E757">
        <v>2018</v>
      </c>
      <c r="F757" t="s">
        <v>1465</v>
      </c>
      <c r="G757" t="s">
        <v>1357</v>
      </c>
      <c r="H757" s="13">
        <v>-54</v>
      </c>
      <c r="I757" s="13">
        <v>-38.049999999999997</v>
      </c>
      <c r="J757" s="13">
        <v>1980</v>
      </c>
      <c r="K757" s="13">
        <v>2015</v>
      </c>
      <c r="L757" s="13">
        <f t="shared" si="33"/>
        <v>36</v>
      </c>
      <c r="M757" t="s">
        <v>369</v>
      </c>
      <c r="N757" t="s">
        <v>380</v>
      </c>
      <c r="O757" t="s">
        <v>380</v>
      </c>
      <c r="P757" t="s">
        <v>1448</v>
      </c>
      <c r="Q757" t="s">
        <v>1370</v>
      </c>
      <c r="R757" t="s">
        <v>1455</v>
      </c>
      <c r="V757">
        <v>-0.2</v>
      </c>
      <c r="W757" t="str">
        <f t="shared" si="34"/>
        <v>Y</v>
      </c>
      <c r="X757" t="s">
        <v>3</v>
      </c>
      <c r="Z757" s="4" t="str">
        <f t="shared" si="30"/>
        <v>Y</v>
      </c>
      <c r="AA757" t="s">
        <v>1121</v>
      </c>
      <c r="AB757" t="s">
        <v>1524</v>
      </c>
      <c r="AC757" s="15" t="s">
        <v>1523</v>
      </c>
    </row>
    <row r="758" spans="1:92" x14ac:dyDescent="0.2">
      <c r="B758" t="s">
        <v>1330</v>
      </c>
      <c r="C758" t="s">
        <v>1355</v>
      </c>
      <c r="D758" t="s">
        <v>1356</v>
      </c>
      <c r="E758">
        <v>2018</v>
      </c>
      <c r="F758" t="s">
        <v>1466</v>
      </c>
      <c r="G758" t="s">
        <v>1358</v>
      </c>
      <c r="H758" s="13">
        <v>52.21</v>
      </c>
      <c r="I758" s="13">
        <v>176.56</v>
      </c>
      <c r="J758" s="13">
        <v>1988</v>
      </c>
      <c r="K758" s="13">
        <v>2015</v>
      </c>
      <c r="L758" s="13">
        <f t="shared" si="33"/>
        <v>28</v>
      </c>
      <c r="M758" t="s">
        <v>369</v>
      </c>
      <c r="N758" t="s">
        <v>380</v>
      </c>
      <c r="O758" t="s">
        <v>380</v>
      </c>
      <c r="P758" t="s">
        <v>485</v>
      </c>
      <c r="Q758" t="s">
        <v>87</v>
      </c>
      <c r="R758" t="s">
        <v>1452</v>
      </c>
      <c r="V758">
        <v>1.1000000000000001</v>
      </c>
      <c r="W758" t="str">
        <f t="shared" si="34"/>
        <v>N</v>
      </c>
      <c r="X758" t="s">
        <v>3</v>
      </c>
      <c r="Z758" s="4" t="str">
        <f t="shared" si="30"/>
        <v>Y</v>
      </c>
      <c r="AA758" t="s">
        <v>1121</v>
      </c>
      <c r="AB758" t="s">
        <v>1524</v>
      </c>
      <c r="AC758" s="15" t="s">
        <v>1523</v>
      </c>
    </row>
    <row r="759" spans="1:92" x14ac:dyDescent="0.2">
      <c r="B759" t="s">
        <v>1330</v>
      </c>
      <c r="C759" t="s">
        <v>1355</v>
      </c>
      <c r="D759" t="s">
        <v>1356</v>
      </c>
      <c r="E759">
        <v>2018</v>
      </c>
      <c r="F759" t="s">
        <v>1466</v>
      </c>
      <c r="G759" t="s">
        <v>1358</v>
      </c>
      <c r="H759" s="13">
        <v>52.21</v>
      </c>
      <c r="I759" s="13">
        <v>176.56</v>
      </c>
      <c r="J759" s="13">
        <v>1976</v>
      </c>
      <c r="K759" s="13">
        <v>2015</v>
      </c>
      <c r="L759" s="13">
        <f t="shared" si="33"/>
        <v>40</v>
      </c>
      <c r="M759" t="s">
        <v>369</v>
      </c>
      <c r="N759" t="s">
        <v>380</v>
      </c>
      <c r="O759" t="s">
        <v>380</v>
      </c>
      <c r="P759" t="s">
        <v>1415</v>
      </c>
      <c r="Q759" t="s">
        <v>1371</v>
      </c>
      <c r="R759" t="s">
        <v>1452</v>
      </c>
      <c r="V759">
        <v>-1</v>
      </c>
      <c r="W759" t="str">
        <f t="shared" si="34"/>
        <v>Y</v>
      </c>
      <c r="X759" t="s">
        <v>3</v>
      </c>
      <c r="Z759" s="4" t="str">
        <f t="shared" si="30"/>
        <v>Y</v>
      </c>
      <c r="AA759" t="s">
        <v>1121</v>
      </c>
      <c r="AB759" t="s">
        <v>1524</v>
      </c>
      <c r="AC759" s="15" t="s">
        <v>1523</v>
      </c>
    </row>
    <row r="760" spans="1:92" x14ac:dyDescent="0.2">
      <c r="B760" t="s">
        <v>1330</v>
      </c>
      <c r="C760" t="s">
        <v>1355</v>
      </c>
      <c r="D760" t="s">
        <v>1356</v>
      </c>
      <c r="E760">
        <v>2018</v>
      </c>
      <c r="F760" t="s">
        <v>1466</v>
      </c>
      <c r="G760" t="s">
        <v>1358</v>
      </c>
      <c r="H760" s="13">
        <v>52.21</v>
      </c>
      <c r="I760" s="13">
        <v>176.56</v>
      </c>
      <c r="J760" s="13">
        <v>1997</v>
      </c>
      <c r="K760" s="13">
        <v>2015</v>
      </c>
      <c r="L760" s="13">
        <f t="shared" si="33"/>
        <v>19</v>
      </c>
      <c r="M760" t="s">
        <v>369</v>
      </c>
      <c r="N760" t="s">
        <v>380</v>
      </c>
      <c r="O760" t="s">
        <v>380</v>
      </c>
      <c r="P760" t="s">
        <v>1421</v>
      </c>
      <c r="Q760" t="s">
        <v>1360</v>
      </c>
      <c r="R760" t="s">
        <v>1452</v>
      </c>
      <c r="V760">
        <v>-5.6999999999999993</v>
      </c>
      <c r="W760" t="str">
        <f t="shared" si="34"/>
        <v>Y</v>
      </c>
      <c r="X760" t="s">
        <v>3</v>
      </c>
      <c r="Z760" s="4" t="str">
        <f t="shared" si="30"/>
        <v>Y</v>
      </c>
      <c r="AA760" t="s">
        <v>1121</v>
      </c>
      <c r="AB760" t="s">
        <v>1524</v>
      </c>
      <c r="AC760" s="15" t="s">
        <v>1523</v>
      </c>
    </row>
    <row r="761" spans="1:92" s="4" customFormat="1" x14ac:dyDescent="0.2">
      <c r="A761"/>
      <c r="B761" t="s">
        <v>1330</v>
      </c>
      <c r="C761" t="s">
        <v>1355</v>
      </c>
      <c r="D761" t="s">
        <v>1356</v>
      </c>
      <c r="E761">
        <v>2018</v>
      </c>
      <c r="F761" t="s">
        <v>1466</v>
      </c>
      <c r="G761" t="s">
        <v>1358</v>
      </c>
      <c r="H761" s="13">
        <v>52.21</v>
      </c>
      <c r="I761" s="13">
        <v>176.56</v>
      </c>
      <c r="J761" s="13">
        <v>1988</v>
      </c>
      <c r="K761" s="13">
        <v>2015</v>
      </c>
      <c r="L761" s="13">
        <f t="shared" si="33"/>
        <v>28</v>
      </c>
      <c r="M761" t="s">
        <v>369</v>
      </c>
      <c r="N761" t="s">
        <v>380</v>
      </c>
      <c r="O761" t="s">
        <v>380</v>
      </c>
      <c r="P761" t="s">
        <v>1423</v>
      </c>
      <c r="Q761" t="s">
        <v>1361</v>
      </c>
      <c r="R761" t="s">
        <v>1452</v>
      </c>
      <c r="S761"/>
      <c r="T761"/>
      <c r="U761"/>
      <c r="V761">
        <v>1.4000000000000001</v>
      </c>
      <c r="W761" t="str">
        <f t="shared" si="34"/>
        <v>N</v>
      </c>
      <c r="X761" t="s">
        <v>3</v>
      </c>
      <c r="Y761"/>
      <c r="Z761" s="4" t="str">
        <f t="shared" si="30"/>
        <v>Y</v>
      </c>
      <c r="AA761" t="s">
        <v>1121</v>
      </c>
      <c r="AB761" t="s">
        <v>1524</v>
      </c>
      <c r="AC761" s="15" t="s">
        <v>1523</v>
      </c>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CF761"/>
      <c r="CG761"/>
      <c r="CH761"/>
      <c r="CI761"/>
      <c r="CJ761"/>
      <c r="CK761"/>
      <c r="CL761"/>
      <c r="CM761"/>
      <c r="CN761"/>
    </row>
    <row r="762" spans="1:92" s="4" customFormat="1" x14ac:dyDescent="0.2">
      <c r="A762"/>
      <c r="B762" t="s">
        <v>1330</v>
      </c>
      <c r="C762" t="s">
        <v>1355</v>
      </c>
      <c r="D762" t="s">
        <v>1356</v>
      </c>
      <c r="E762">
        <v>2018</v>
      </c>
      <c r="F762" t="s">
        <v>1466</v>
      </c>
      <c r="G762" t="s">
        <v>1358</v>
      </c>
      <c r="H762" s="13">
        <v>52.21</v>
      </c>
      <c r="I762" s="13">
        <v>176.56</v>
      </c>
      <c r="J762" s="13">
        <v>1976</v>
      </c>
      <c r="K762" s="13">
        <v>2015</v>
      </c>
      <c r="L762" s="13">
        <f t="shared" si="33"/>
        <v>40</v>
      </c>
      <c r="M762" t="s">
        <v>369</v>
      </c>
      <c r="N762" t="s">
        <v>380</v>
      </c>
      <c r="O762" t="s">
        <v>380</v>
      </c>
      <c r="P762" t="s">
        <v>1429</v>
      </c>
      <c r="Q762" t="s">
        <v>1372</v>
      </c>
      <c r="R762" t="s">
        <v>1452</v>
      </c>
      <c r="S762"/>
      <c r="T762"/>
      <c r="U762"/>
      <c r="V762">
        <v>-2.8000000000000003</v>
      </c>
      <c r="W762" t="str">
        <f t="shared" si="34"/>
        <v>Y</v>
      </c>
      <c r="X762" t="s">
        <v>3</v>
      </c>
      <c r="Y762"/>
      <c r="Z762" s="4" t="str">
        <f t="shared" si="30"/>
        <v>Y</v>
      </c>
      <c r="AA762" t="s">
        <v>1121</v>
      </c>
      <c r="AB762" t="s">
        <v>1524</v>
      </c>
      <c r="AC762" s="15" t="s">
        <v>1523</v>
      </c>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CF762"/>
      <c r="CG762"/>
      <c r="CH762"/>
      <c r="CI762"/>
      <c r="CJ762"/>
      <c r="CK762"/>
      <c r="CL762"/>
      <c r="CM762"/>
      <c r="CN762"/>
    </row>
    <row r="763" spans="1:92" s="4" customFormat="1" x14ac:dyDescent="0.2">
      <c r="A763"/>
      <c r="B763" t="s">
        <v>1330</v>
      </c>
      <c r="C763" t="s">
        <v>1355</v>
      </c>
      <c r="D763" t="s">
        <v>1356</v>
      </c>
      <c r="E763">
        <v>2018</v>
      </c>
      <c r="F763" t="s">
        <v>1466</v>
      </c>
      <c r="G763" t="s">
        <v>1358</v>
      </c>
      <c r="H763" s="13">
        <v>52.21</v>
      </c>
      <c r="I763" s="13">
        <v>176.56</v>
      </c>
      <c r="J763" s="13">
        <v>1991</v>
      </c>
      <c r="K763" s="13">
        <v>2015</v>
      </c>
      <c r="L763" s="13">
        <f t="shared" si="33"/>
        <v>25</v>
      </c>
      <c r="M763" t="s">
        <v>369</v>
      </c>
      <c r="N763" t="s">
        <v>380</v>
      </c>
      <c r="O763" t="s">
        <v>380</v>
      </c>
      <c r="P763" t="s">
        <v>1436</v>
      </c>
      <c r="Q763" t="s">
        <v>1373</v>
      </c>
      <c r="R763" t="s">
        <v>1452</v>
      </c>
      <c r="S763"/>
      <c r="T763"/>
      <c r="U763"/>
      <c r="V763">
        <v>-0.3</v>
      </c>
      <c r="W763" t="str">
        <f t="shared" si="34"/>
        <v>Y</v>
      </c>
      <c r="X763" t="s">
        <v>3</v>
      </c>
      <c r="Y763"/>
      <c r="Z763" s="4" t="str">
        <f t="shared" si="30"/>
        <v>Y</v>
      </c>
      <c r="AA763" t="s">
        <v>1121</v>
      </c>
      <c r="AB763" t="s">
        <v>1524</v>
      </c>
      <c r="AC763" s="15" t="s">
        <v>1523</v>
      </c>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row>
    <row r="764" spans="1:92" s="4" customFormat="1" x14ac:dyDescent="0.2">
      <c r="A764"/>
      <c r="B764" t="s">
        <v>1330</v>
      </c>
      <c r="C764" t="s">
        <v>1355</v>
      </c>
      <c r="D764" t="s">
        <v>1356</v>
      </c>
      <c r="E764">
        <v>2018</v>
      </c>
      <c r="F764" t="s">
        <v>1466</v>
      </c>
      <c r="G764" t="s">
        <v>1358</v>
      </c>
      <c r="H764" s="13">
        <v>52.21</v>
      </c>
      <c r="I764" s="13">
        <v>176.56</v>
      </c>
      <c r="J764" s="13">
        <v>1988</v>
      </c>
      <c r="K764" s="13">
        <v>2015</v>
      </c>
      <c r="L764" s="13">
        <f t="shared" si="33"/>
        <v>28</v>
      </c>
      <c r="M764" t="s">
        <v>369</v>
      </c>
      <c r="N764" t="s">
        <v>380</v>
      </c>
      <c r="O764" t="s">
        <v>380</v>
      </c>
      <c r="P764" t="s">
        <v>486</v>
      </c>
      <c r="Q764" t="s">
        <v>90</v>
      </c>
      <c r="R764" t="s">
        <v>1452</v>
      </c>
      <c r="S764"/>
      <c r="T764"/>
      <c r="U764"/>
      <c r="V764">
        <v>-0.4</v>
      </c>
      <c r="W764" t="str">
        <f t="shared" si="34"/>
        <v>Y</v>
      </c>
      <c r="X764" t="s">
        <v>3</v>
      </c>
      <c r="Y764"/>
      <c r="Z764" s="4" t="str">
        <f t="shared" si="30"/>
        <v>Y</v>
      </c>
      <c r="AA764" t="s">
        <v>1121</v>
      </c>
      <c r="AB764" t="s">
        <v>1524</v>
      </c>
      <c r="AC764" s="15" t="s">
        <v>1523</v>
      </c>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CF764"/>
      <c r="CG764"/>
      <c r="CH764"/>
      <c r="CI764"/>
      <c r="CJ764"/>
      <c r="CK764"/>
      <c r="CL764"/>
      <c r="CM764"/>
      <c r="CN764"/>
    </row>
    <row r="765" spans="1:92" x14ac:dyDescent="0.2">
      <c r="B765" t="s">
        <v>1330</v>
      </c>
      <c r="C765" t="s">
        <v>1355</v>
      </c>
      <c r="D765" t="s">
        <v>1356</v>
      </c>
      <c r="E765">
        <v>2018</v>
      </c>
      <c r="F765" t="s">
        <v>1466</v>
      </c>
      <c r="G765" t="s">
        <v>1358</v>
      </c>
      <c r="H765" s="13">
        <v>52.21</v>
      </c>
      <c r="I765" s="13">
        <v>176.56</v>
      </c>
      <c r="J765" s="13">
        <v>1988</v>
      </c>
      <c r="K765" s="13">
        <v>2015</v>
      </c>
      <c r="L765" s="13">
        <f t="shared" si="33"/>
        <v>28</v>
      </c>
      <c r="M765" t="s">
        <v>369</v>
      </c>
      <c r="N765" t="s">
        <v>380</v>
      </c>
      <c r="O765" t="s">
        <v>380</v>
      </c>
      <c r="P765" t="s">
        <v>488</v>
      </c>
      <c r="Q765" t="s">
        <v>91</v>
      </c>
      <c r="R765" t="s">
        <v>1452</v>
      </c>
      <c r="V765">
        <v>1.5</v>
      </c>
      <c r="W765" t="str">
        <f t="shared" si="34"/>
        <v>N</v>
      </c>
      <c r="X765" t="s">
        <v>3</v>
      </c>
      <c r="Z765" s="4" t="str">
        <f t="shared" si="30"/>
        <v>Y</v>
      </c>
      <c r="AA765" t="s">
        <v>1121</v>
      </c>
      <c r="AB765" t="s">
        <v>1524</v>
      </c>
      <c r="AC765" s="15" t="s">
        <v>1523</v>
      </c>
    </row>
    <row r="766" spans="1:92" x14ac:dyDescent="0.2">
      <c r="B766" t="s">
        <v>1330</v>
      </c>
      <c r="C766" t="s">
        <v>1355</v>
      </c>
      <c r="D766" t="s">
        <v>1356</v>
      </c>
      <c r="E766">
        <v>2018</v>
      </c>
      <c r="F766" t="s">
        <v>1466</v>
      </c>
      <c r="G766" t="s">
        <v>1358</v>
      </c>
      <c r="H766" s="13">
        <v>52.21</v>
      </c>
      <c r="I766" s="13">
        <v>176.56</v>
      </c>
      <c r="J766" s="13">
        <v>1988</v>
      </c>
      <c r="K766" s="13">
        <v>2015</v>
      </c>
      <c r="L766" s="13">
        <f t="shared" si="33"/>
        <v>28</v>
      </c>
      <c r="M766" t="s">
        <v>369</v>
      </c>
      <c r="N766" t="s">
        <v>380</v>
      </c>
      <c r="O766" t="s">
        <v>380</v>
      </c>
      <c r="P766" t="s">
        <v>1447</v>
      </c>
      <c r="Q766" t="s">
        <v>394</v>
      </c>
      <c r="R766" t="s">
        <v>1452</v>
      </c>
      <c r="V766">
        <v>0</v>
      </c>
      <c r="W766" t="str">
        <f t="shared" si="34"/>
        <v>N</v>
      </c>
      <c r="X766" t="s">
        <v>3</v>
      </c>
      <c r="Z766" s="4" t="str">
        <f t="shared" si="30"/>
        <v>Y</v>
      </c>
      <c r="AA766" t="s">
        <v>1121</v>
      </c>
      <c r="AB766" t="s">
        <v>1524</v>
      </c>
      <c r="AC766" s="15" t="s">
        <v>1523</v>
      </c>
    </row>
    <row r="767" spans="1:92" x14ac:dyDescent="0.2">
      <c r="B767" t="s">
        <v>1330</v>
      </c>
      <c r="C767" t="s">
        <v>1355</v>
      </c>
      <c r="D767" t="s">
        <v>1356</v>
      </c>
      <c r="E767">
        <v>2018</v>
      </c>
      <c r="F767" t="s">
        <v>1466</v>
      </c>
      <c r="G767" t="s">
        <v>1358</v>
      </c>
      <c r="H767" s="13">
        <v>52.21</v>
      </c>
      <c r="I767" s="13">
        <v>176.56</v>
      </c>
      <c r="J767" s="13">
        <v>1976</v>
      </c>
      <c r="K767" s="13">
        <v>2015</v>
      </c>
      <c r="L767" s="13">
        <f t="shared" si="33"/>
        <v>40</v>
      </c>
      <c r="M767" t="s">
        <v>369</v>
      </c>
      <c r="N767" t="s">
        <v>380</v>
      </c>
      <c r="O767" t="s">
        <v>380</v>
      </c>
      <c r="P767" t="s">
        <v>1449</v>
      </c>
      <c r="Q767" t="s">
        <v>1374</v>
      </c>
      <c r="R767" t="s">
        <v>1452</v>
      </c>
      <c r="V767">
        <v>-2.4</v>
      </c>
      <c r="W767" t="str">
        <f t="shared" si="34"/>
        <v>Y</v>
      </c>
      <c r="X767" t="s">
        <v>3</v>
      </c>
      <c r="Z767" s="4" t="str">
        <f t="shared" si="30"/>
        <v>Y</v>
      </c>
      <c r="AA767" t="s">
        <v>1121</v>
      </c>
      <c r="AB767" t="s">
        <v>1524</v>
      </c>
      <c r="AC767" s="15" t="s">
        <v>1523</v>
      </c>
    </row>
    <row r="768" spans="1:92" x14ac:dyDescent="0.2">
      <c r="A768" s="4"/>
      <c r="B768" s="4" t="s">
        <v>1330</v>
      </c>
      <c r="C768" s="4" t="s">
        <v>1355</v>
      </c>
      <c r="D768" s="4" t="s">
        <v>1356</v>
      </c>
      <c r="E768" s="4">
        <v>2018</v>
      </c>
      <c r="F768" s="4" t="s">
        <v>1467</v>
      </c>
      <c r="G768" s="4" t="s">
        <v>1357</v>
      </c>
      <c r="H768" s="37">
        <v>-77.209999999999994</v>
      </c>
      <c r="I768" s="37">
        <v>166.46</v>
      </c>
      <c r="J768" s="37">
        <v>2002</v>
      </c>
      <c r="K768" s="37">
        <v>2014</v>
      </c>
      <c r="L768" s="37">
        <f t="shared" si="33"/>
        <v>13</v>
      </c>
      <c r="M768" s="4" t="s">
        <v>369</v>
      </c>
      <c r="N768" s="4" t="s">
        <v>380</v>
      </c>
      <c r="O768" s="4" t="s">
        <v>380</v>
      </c>
      <c r="P768" s="4" t="s">
        <v>1395</v>
      </c>
      <c r="Q768" s="4" t="s">
        <v>83</v>
      </c>
      <c r="R768" s="4" t="s">
        <v>1451</v>
      </c>
      <c r="S768" s="4"/>
      <c r="V768" s="4">
        <v>-2.7</v>
      </c>
      <c r="W768" s="4" t="str">
        <f t="shared" si="34"/>
        <v>Y</v>
      </c>
      <c r="X768" s="4" t="s">
        <v>24</v>
      </c>
      <c r="Y768" s="4"/>
      <c r="Z768" s="4" t="str">
        <f t="shared" si="30"/>
        <v>N</v>
      </c>
      <c r="AA768" s="4" t="s">
        <v>1121</v>
      </c>
      <c r="AB768" s="4" t="s">
        <v>1524</v>
      </c>
      <c r="AC768" s="39" t="s">
        <v>1523</v>
      </c>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row>
    <row r="769" spans="1:92" x14ac:dyDescent="0.2">
      <c r="A769" s="4"/>
      <c r="B769" s="4" t="s">
        <v>1330</v>
      </c>
      <c r="C769" s="4" t="s">
        <v>1355</v>
      </c>
      <c r="D769" s="4" t="s">
        <v>1356</v>
      </c>
      <c r="E769" s="4">
        <v>2018</v>
      </c>
      <c r="F769" s="4" t="s">
        <v>1467</v>
      </c>
      <c r="G769" s="4" t="s">
        <v>1357</v>
      </c>
      <c r="H769" s="37">
        <v>-77.209999999999994</v>
      </c>
      <c r="I769" s="37">
        <v>166.46</v>
      </c>
      <c r="J769" s="37">
        <v>2002</v>
      </c>
      <c r="K769" s="37">
        <v>2014</v>
      </c>
      <c r="L769" s="37">
        <f t="shared" si="33"/>
        <v>13</v>
      </c>
      <c r="M769" s="4" t="s">
        <v>369</v>
      </c>
      <c r="N769" s="4" t="s">
        <v>380</v>
      </c>
      <c r="O769" s="4" t="s">
        <v>380</v>
      </c>
      <c r="P769" s="4" t="s">
        <v>1395</v>
      </c>
      <c r="Q769" s="4" t="s">
        <v>83</v>
      </c>
      <c r="R769" s="4" t="s">
        <v>1452</v>
      </c>
      <c r="S769" s="4"/>
      <c r="V769" s="4">
        <v>1.1000000000000001</v>
      </c>
      <c r="W769" s="4" t="str">
        <f t="shared" si="34"/>
        <v>N</v>
      </c>
      <c r="X769" s="4" t="s">
        <v>24</v>
      </c>
      <c r="Y769" s="4"/>
      <c r="Z769" s="4" t="str">
        <f t="shared" si="30"/>
        <v>N</v>
      </c>
      <c r="AA769" s="4" t="s">
        <v>1121</v>
      </c>
      <c r="AB769" s="4" t="s">
        <v>1524</v>
      </c>
      <c r="AC769" s="39" t="s">
        <v>1523</v>
      </c>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row>
    <row r="770" spans="1:92" x14ac:dyDescent="0.2">
      <c r="A770" s="4"/>
      <c r="B770" s="4" t="s">
        <v>1330</v>
      </c>
      <c r="C770" s="4" t="s">
        <v>1355</v>
      </c>
      <c r="D770" s="4" t="s">
        <v>1356</v>
      </c>
      <c r="E770" s="4">
        <v>2018</v>
      </c>
      <c r="F770" s="4" t="s">
        <v>1467</v>
      </c>
      <c r="G770" s="4" t="s">
        <v>1357</v>
      </c>
      <c r="H770" s="37">
        <v>-77.209999999999994</v>
      </c>
      <c r="I770" s="37">
        <v>166.46</v>
      </c>
      <c r="J770" s="37">
        <v>2002</v>
      </c>
      <c r="K770" s="37">
        <v>2014</v>
      </c>
      <c r="L770" s="37">
        <f t="shared" si="33"/>
        <v>13</v>
      </c>
      <c r="M770" s="4" t="s">
        <v>369</v>
      </c>
      <c r="N770" s="4" t="s">
        <v>380</v>
      </c>
      <c r="O770" s="4" t="s">
        <v>380</v>
      </c>
      <c r="P770" s="4" t="s">
        <v>1395</v>
      </c>
      <c r="Q770" s="4" t="s">
        <v>83</v>
      </c>
      <c r="R770" s="4" t="s">
        <v>1454</v>
      </c>
      <c r="S770" s="4"/>
      <c r="V770" s="4">
        <v>1.1000000000000001</v>
      </c>
      <c r="W770" s="4" t="str">
        <f t="shared" si="34"/>
        <v>N</v>
      </c>
      <c r="X770" s="4" t="s">
        <v>24</v>
      </c>
      <c r="Y770" s="4"/>
      <c r="Z770" s="4" t="str">
        <f t="shared" ref="Z770:Z833" si="35">IF(L770&gt;=19,"Y","N")</f>
        <v>N</v>
      </c>
      <c r="AA770" s="4" t="s">
        <v>1121</v>
      </c>
      <c r="AB770" s="4" t="s">
        <v>1524</v>
      </c>
      <c r="AC770" s="39" t="s">
        <v>1523</v>
      </c>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row>
    <row r="771" spans="1:92" x14ac:dyDescent="0.2">
      <c r="A771" s="4"/>
      <c r="B771" s="4" t="s">
        <v>1330</v>
      </c>
      <c r="C771" s="4" t="s">
        <v>1355</v>
      </c>
      <c r="D771" s="4" t="s">
        <v>1356</v>
      </c>
      <c r="E771" s="4">
        <v>2018</v>
      </c>
      <c r="F771" s="4" t="s">
        <v>1467</v>
      </c>
      <c r="G771" s="4" t="s">
        <v>1357</v>
      </c>
      <c r="H771" s="37">
        <v>-77.209999999999994</v>
      </c>
      <c r="I771" s="37">
        <v>166.46</v>
      </c>
      <c r="J771" s="37">
        <v>2002</v>
      </c>
      <c r="K771" s="37">
        <v>2014</v>
      </c>
      <c r="L771" s="37">
        <f t="shared" si="33"/>
        <v>13</v>
      </c>
      <c r="M771" s="4" t="s">
        <v>369</v>
      </c>
      <c r="N771" s="4" t="s">
        <v>380</v>
      </c>
      <c r="O771" s="4" t="s">
        <v>380</v>
      </c>
      <c r="P771" s="4" t="s">
        <v>1395</v>
      </c>
      <c r="Q771" s="4" t="s">
        <v>83</v>
      </c>
      <c r="R771" s="4" t="s">
        <v>1453</v>
      </c>
      <c r="S771" s="4"/>
      <c r="V771" s="4">
        <v>1.1000000000000001</v>
      </c>
      <c r="W771" s="4" t="str">
        <f t="shared" si="34"/>
        <v>N</v>
      </c>
      <c r="X771" s="4" t="s">
        <v>24</v>
      </c>
      <c r="Y771" s="4"/>
      <c r="Z771" s="4" t="str">
        <f t="shared" si="35"/>
        <v>N</v>
      </c>
      <c r="AA771" s="4" t="s">
        <v>1121</v>
      </c>
      <c r="AB771" s="4" t="s">
        <v>1524</v>
      </c>
      <c r="AC771" s="39" t="s">
        <v>1523</v>
      </c>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row>
    <row r="772" spans="1:92" x14ac:dyDescent="0.2">
      <c r="A772" s="4"/>
      <c r="B772" s="4" t="s">
        <v>1330</v>
      </c>
      <c r="C772" s="4" t="s">
        <v>1355</v>
      </c>
      <c r="D772" s="4" t="s">
        <v>1356</v>
      </c>
      <c r="E772" s="4">
        <v>2018</v>
      </c>
      <c r="F772" s="4" t="s">
        <v>1467</v>
      </c>
      <c r="G772" s="4" t="s">
        <v>1357</v>
      </c>
      <c r="H772" s="37">
        <v>-77.209999999999994</v>
      </c>
      <c r="I772" s="37">
        <v>166.46</v>
      </c>
      <c r="J772" s="37">
        <v>2002</v>
      </c>
      <c r="K772" s="37">
        <v>2014</v>
      </c>
      <c r="L772" s="37">
        <f t="shared" si="33"/>
        <v>13</v>
      </c>
      <c r="M772" s="4" t="s">
        <v>369</v>
      </c>
      <c r="N772" s="4" t="s">
        <v>380</v>
      </c>
      <c r="O772" s="4" t="s">
        <v>380</v>
      </c>
      <c r="P772" s="4" t="s">
        <v>1395</v>
      </c>
      <c r="Q772" s="4" t="s">
        <v>83</v>
      </c>
      <c r="R772" s="4" t="s">
        <v>1455</v>
      </c>
      <c r="S772" s="4"/>
      <c r="V772" s="4">
        <v>1.1000000000000001</v>
      </c>
      <c r="W772" s="4" t="str">
        <f t="shared" si="34"/>
        <v>N</v>
      </c>
      <c r="X772" s="4" t="s">
        <v>24</v>
      </c>
      <c r="Y772" s="4"/>
      <c r="Z772" s="4" t="str">
        <f t="shared" si="35"/>
        <v>N</v>
      </c>
      <c r="AA772" s="4" t="s">
        <v>1121</v>
      </c>
      <c r="AB772" s="4" t="s">
        <v>1524</v>
      </c>
      <c r="AC772" s="39" t="s">
        <v>1523</v>
      </c>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row>
    <row r="773" spans="1:92" x14ac:dyDescent="0.2">
      <c r="A773" s="4"/>
      <c r="B773" s="4" t="s">
        <v>1330</v>
      </c>
      <c r="C773" s="4" t="s">
        <v>1355</v>
      </c>
      <c r="D773" s="4" t="s">
        <v>1356</v>
      </c>
      <c r="E773" s="4">
        <v>2018</v>
      </c>
      <c r="F773" s="4" t="s">
        <v>1468</v>
      </c>
      <c r="G773" s="4" t="s">
        <v>1357</v>
      </c>
      <c r="H773" s="37">
        <v>-77.510000000000005</v>
      </c>
      <c r="I773" s="37">
        <v>169.38</v>
      </c>
      <c r="J773" s="37">
        <v>2002</v>
      </c>
      <c r="K773" s="37">
        <v>2014</v>
      </c>
      <c r="L773" s="37">
        <f t="shared" si="33"/>
        <v>13</v>
      </c>
      <c r="M773" s="4" t="s">
        <v>369</v>
      </c>
      <c r="N773" s="4" t="s">
        <v>380</v>
      </c>
      <c r="O773" s="4" t="s">
        <v>380</v>
      </c>
      <c r="P773" s="4" t="s">
        <v>1395</v>
      </c>
      <c r="Q773" s="4" t="s">
        <v>83</v>
      </c>
      <c r="R773" s="4" t="s">
        <v>1451</v>
      </c>
      <c r="S773" s="4"/>
      <c r="V773" s="4">
        <v>-0.89999999999999991</v>
      </c>
      <c r="W773" s="4" t="str">
        <f t="shared" si="34"/>
        <v>Y</v>
      </c>
      <c r="X773" s="4" t="s">
        <v>24</v>
      </c>
      <c r="Y773" s="4"/>
      <c r="Z773" s="4" t="str">
        <f t="shared" si="35"/>
        <v>N</v>
      </c>
      <c r="AA773" s="4" t="s">
        <v>1121</v>
      </c>
      <c r="AB773" s="4" t="s">
        <v>1524</v>
      </c>
      <c r="AC773" s="39" t="s">
        <v>1523</v>
      </c>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row>
    <row r="774" spans="1:92" x14ac:dyDescent="0.2">
      <c r="A774" s="4"/>
      <c r="B774" s="4" t="s">
        <v>1330</v>
      </c>
      <c r="C774" s="4" t="s">
        <v>1355</v>
      </c>
      <c r="D774" s="4" t="s">
        <v>1356</v>
      </c>
      <c r="E774" s="4">
        <v>2018</v>
      </c>
      <c r="F774" s="4" t="s">
        <v>1468</v>
      </c>
      <c r="G774" s="4" t="s">
        <v>1357</v>
      </c>
      <c r="H774" s="37">
        <v>-77.510000000000005</v>
      </c>
      <c r="I774" s="37">
        <v>169.38</v>
      </c>
      <c r="J774" s="37">
        <v>2002</v>
      </c>
      <c r="K774" s="37">
        <v>2014</v>
      </c>
      <c r="L774" s="37">
        <f t="shared" si="33"/>
        <v>13</v>
      </c>
      <c r="M774" s="4" t="s">
        <v>369</v>
      </c>
      <c r="N774" s="4" t="s">
        <v>380</v>
      </c>
      <c r="O774" s="4" t="s">
        <v>380</v>
      </c>
      <c r="P774" s="4" t="s">
        <v>1395</v>
      </c>
      <c r="Q774" s="4" t="s">
        <v>83</v>
      </c>
      <c r="R774" s="4" t="s">
        <v>1452</v>
      </c>
      <c r="S774" s="4"/>
      <c r="V774" s="4">
        <v>1.7000000000000002</v>
      </c>
      <c r="W774" s="4" t="str">
        <f t="shared" si="34"/>
        <v>N</v>
      </c>
      <c r="X774" s="4" t="s">
        <v>24</v>
      </c>
      <c r="Y774" s="4"/>
      <c r="Z774" s="4" t="str">
        <f t="shared" si="35"/>
        <v>N</v>
      </c>
      <c r="AA774" s="4" t="s">
        <v>1121</v>
      </c>
      <c r="AB774" s="4" t="s">
        <v>1524</v>
      </c>
      <c r="AC774" s="39" t="s">
        <v>1523</v>
      </c>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row>
    <row r="775" spans="1:92" x14ac:dyDescent="0.2">
      <c r="A775" s="4"/>
      <c r="B775" s="4" t="s">
        <v>1330</v>
      </c>
      <c r="C775" s="4" t="s">
        <v>1355</v>
      </c>
      <c r="D775" s="4" t="s">
        <v>1356</v>
      </c>
      <c r="E775" s="4">
        <v>2018</v>
      </c>
      <c r="F775" s="4" t="s">
        <v>1468</v>
      </c>
      <c r="G775" s="4" t="s">
        <v>1357</v>
      </c>
      <c r="H775" s="37">
        <v>-77.510000000000005</v>
      </c>
      <c r="I775" s="37">
        <v>169.38</v>
      </c>
      <c r="J775" s="37">
        <v>2002</v>
      </c>
      <c r="K775" s="37">
        <v>2014</v>
      </c>
      <c r="L775" s="37">
        <f t="shared" si="33"/>
        <v>13</v>
      </c>
      <c r="M775" s="4" t="s">
        <v>369</v>
      </c>
      <c r="N775" s="4" t="s">
        <v>380</v>
      </c>
      <c r="O775" s="4" t="s">
        <v>380</v>
      </c>
      <c r="P775" s="4" t="s">
        <v>1395</v>
      </c>
      <c r="Q775" s="4" t="s">
        <v>83</v>
      </c>
      <c r="R775" s="4" t="s">
        <v>1454</v>
      </c>
      <c r="S775" s="4"/>
      <c r="V775" s="4">
        <v>1.7000000000000002</v>
      </c>
      <c r="W775" s="4" t="str">
        <f t="shared" si="34"/>
        <v>N</v>
      </c>
      <c r="X775" s="4" t="s">
        <v>24</v>
      </c>
      <c r="Y775" s="4"/>
      <c r="Z775" s="4" t="str">
        <f t="shared" si="35"/>
        <v>N</v>
      </c>
      <c r="AA775" s="4" t="s">
        <v>1121</v>
      </c>
      <c r="AB775" s="4" t="s">
        <v>1524</v>
      </c>
      <c r="AC775" s="39" t="s">
        <v>1523</v>
      </c>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row>
    <row r="776" spans="1:92" x14ac:dyDescent="0.2">
      <c r="A776" s="4"/>
      <c r="B776" s="4" t="s">
        <v>1330</v>
      </c>
      <c r="C776" s="4" t="s">
        <v>1355</v>
      </c>
      <c r="D776" s="4" t="s">
        <v>1356</v>
      </c>
      <c r="E776" s="4">
        <v>2018</v>
      </c>
      <c r="F776" s="4" t="s">
        <v>1468</v>
      </c>
      <c r="G776" s="4" t="s">
        <v>1357</v>
      </c>
      <c r="H776" s="37">
        <v>-77.510000000000005</v>
      </c>
      <c r="I776" s="37">
        <v>169.38</v>
      </c>
      <c r="J776" s="37">
        <v>2002</v>
      </c>
      <c r="K776" s="37">
        <v>2014</v>
      </c>
      <c r="L776" s="37">
        <f t="shared" si="33"/>
        <v>13</v>
      </c>
      <c r="M776" s="4" t="s">
        <v>369</v>
      </c>
      <c r="N776" s="4" t="s">
        <v>380</v>
      </c>
      <c r="O776" s="4" t="s">
        <v>380</v>
      </c>
      <c r="P776" s="4" t="s">
        <v>1395</v>
      </c>
      <c r="Q776" s="4" t="s">
        <v>83</v>
      </c>
      <c r="R776" s="4" t="s">
        <v>1453</v>
      </c>
      <c r="S776" s="4"/>
      <c r="V776" s="4">
        <v>1.3</v>
      </c>
      <c r="W776" s="4" t="str">
        <f t="shared" si="34"/>
        <v>N</v>
      </c>
      <c r="X776" s="4" t="s">
        <v>24</v>
      </c>
      <c r="Y776" s="4"/>
      <c r="Z776" s="4" t="str">
        <f t="shared" si="35"/>
        <v>N</v>
      </c>
      <c r="AA776" s="4" t="s">
        <v>1121</v>
      </c>
      <c r="AB776" s="4" t="s">
        <v>1524</v>
      </c>
      <c r="AC776" s="39" t="s">
        <v>1523</v>
      </c>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row>
    <row r="777" spans="1:92" x14ac:dyDescent="0.2">
      <c r="A777" s="4"/>
      <c r="B777" s="4" t="s">
        <v>1330</v>
      </c>
      <c r="C777" s="4" t="s">
        <v>1355</v>
      </c>
      <c r="D777" s="4" t="s">
        <v>1356</v>
      </c>
      <c r="E777" s="4">
        <v>2018</v>
      </c>
      <c r="F777" s="4" t="s">
        <v>1468</v>
      </c>
      <c r="G777" s="4" t="s">
        <v>1357</v>
      </c>
      <c r="H777" s="37">
        <v>-77.510000000000005</v>
      </c>
      <c r="I777" s="37">
        <v>169.38</v>
      </c>
      <c r="J777" s="37">
        <v>2002</v>
      </c>
      <c r="K777" s="37">
        <v>2014</v>
      </c>
      <c r="L777" s="37">
        <f t="shared" si="33"/>
        <v>13</v>
      </c>
      <c r="M777" s="4" t="s">
        <v>369</v>
      </c>
      <c r="N777" s="4" t="s">
        <v>380</v>
      </c>
      <c r="O777" s="4" t="s">
        <v>380</v>
      </c>
      <c r="P777" s="4" t="s">
        <v>1395</v>
      </c>
      <c r="Q777" s="4" t="s">
        <v>83</v>
      </c>
      <c r="R777" s="4" t="s">
        <v>1455</v>
      </c>
      <c r="S777" s="4"/>
      <c r="V777" s="4">
        <v>1.3</v>
      </c>
      <c r="W777" s="4" t="str">
        <f t="shared" si="34"/>
        <v>N</v>
      </c>
      <c r="X777" s="4" t="s">
        <v>24</v>
      </c>
      <c r="Y777" s="4"/>
      <c r="Z777" s="4" t="str">
        <f t="shared" si="35"/>
        <v>N</v>
      </c>
      <c r="AA777" s="4" t="s">
        <v>1121</v>
      </c>
      <c r="AB777" s="4" t="s">
        <v>1524</v>
      </c>
      <c r="AC777" s="39" t="s">
        <v>1523</v>
      </c>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row>
    <row r="778" spans="1:92" x14ac:dyDescent="0.2">
      <c r="A778" s="4"/>
      <c r="B778" s="4" t="s">
        <v>1330</v>
      </c>
      <c r="C778" s="4" t="s">
        <v>1355</v>
      </c>
      <c r="D778" s="4" t="s">
        <v>1356</v>
      </c>
      <c r="E778" s="4">
        <v>2018</v>
      </c>
      <c r="F778" s="4" t="s">
        <v>1469</v>
      </c>
      <c r="G778" s="4" t="s">
        <v>1357</v>
      </c>
      <c r="H778" s="37">
        <v>-77.56</v>
      </c>
      <c r="I778" s="37">
        <v>166.18</v>
      </c>
      <c r="J778" s="37">
        <v>2004</v>
      </c>
      <c r="K778" s="37">
        <v>2014</v>
      </c>
      <c r="L778" s="37">
        <f t="shared" si="33"/>
        <v>11</v>
      </c>
      <c r="M778" s="4" t="s">
        <v>369</v>
      </c>
      <c r="N778" s="4" t="s">
        <v>380</v>
      </c>
      <c r="O778" s="4" t="s">
        <v>380</v>
      </c>
      <c r="P778" s="4" t="s">
        <v>1395</v>
      </c>
      <c r="Q778" s="4" t="s">
        <v>83</v>
      </c>
      <c r="R778" s="4" t="s">
        <v>1451</v>
      </c>
      <c r="S778" s="4"/>
      <c r="V778" s="4">
        <v>4.4000000000000004</v>
      </c>
      <c r="W778" s="4" t="str">
        <f t="shared" si="34"/>
        <v>N</v>
      </c>
      <c r="X778" s="4" t="s">
        <v>24</v>
      </c>
      <c r="Y778" s="4"/>
      <c r="Z778" s="4" t="str">
        <f t="shared" si="35"/>
        <v>N</v>
      </c>
      <c r="AA778" s="4" t="s">
        <v>1121</v>
      </c>
      <c r="AB778" s="4" t="s">
        <v>1524</v>
      </c>
      <c r="AC778" s="39" t="s">
        <v>1523</v>
      </c>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row>
    <row r="779" spans="1:92" x14ac:dyDescent="0.2">
      <c r="A779" s="4"/>
      <c r="B779" s="4" t="s">
        <v>1330</v>
      </c>
      <c r="C779" s="4" t="s">
        <v>1355</v>
      </c>
      <c r="D779" s="4" t="s">
        <v>1356</v>
      </c>
      <c r="E779" s="4">
        <v>2018</v>
      </c>
      <c r="F779" s="4" t="s">
        <v>1469</v>
      </c>
      <c r="G779" s="4" t="s">
        <v>1357</v>
      </c>
      <c r="H779" s="37">
        <v>-77.56</v>
      </c>
      <c r="I779" s="37">
        <v>166.18</v>
      </c>
      <c r="J779" s="37">
        <v>2004</v>
      </c>
      <c r="K779" s="37">
        <v>2014</v>
      </c>
      <c r="L779" s="37">
        <f t="shared" si="33"/>
        <v>11</v>
      </c>
      <c r="M779" s="4" t="s">
        <v>369</v>
      </c>
      <c r="N779" s="4" t="s">
        <v>380</v>
      </c>
      <c r="O779" s="4" t="s">
        <v>380</v>
      </c>
      <c r="P779" s="4" t="s">
        <v>1395</v>
      </c>
      <c r="Q779" s="4" t="s">
        <v>83</v>
      </c>
      <c r="R779" s="4" t="s">
        <v>1452</v>
      </c>
      <c r="S779" s="4"/>
      <c r="V779" s="4">
        <v>5.4</v>
      </c>
      <c r="W779" s="4" t="str">
        <f t="shared" si="34"/>
        <v>N</v>
      </c>
      <c r="X779" s="4" t="s">
        <v>24</v>
      </c>
      <c r="Y779" s="4"/>
      <c r="Z779" s="4" t="str">
        <f t="shared" si="35"/>
        <v>N</v>
      </c>
      <c r="AA779" s="4" t="s">
        <v>1121</v>
      </c>
      <c r="AB779" s="4" t="s">
        <v>1524</v>
      </c>
      <c r="AC779" s="39" t="s">
        <v>1523</v>
      </c>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row>
    <row r="780" spans="1:92" s="4" customFormat="1" x14ac:dyDescent="0.2">
      <c r="B780" s="4" t="s">
        <v>1330</v>
      </c>
      <c r="C780" s="4" t="s">
        <v>1355</v>
      </c>
      <c r="D780" s="4" t="s">
        <v>1356</v>
      </c>
      <c r="E780" s="4">
        <v>2018</v>
      </c>
      <c r="F780" s="4" t="s">
        <v>1469</v>
      </c>
      <c r="G780" s="4" t="s">
        <v>1357</v>
      </c>
      <c r="H780" s="37">
        <v>-77.56</v>
      </c>
      <c r="I780" s="37">
        <v>166.18</v>
      </c>
      <c r="J780" s="37">
        <v>2004</v>
      </c>
      <c r="K780" s="37">
        <v>2014</v>
      </c>
      <c r="L780" s="37">
        <f t="shared" si="33"/>
        <v>11</v>
      </c>
      <c r="M780" s="4" t="s">
        <v>369</v>
      </c>
      <c r="N780" s="4" t="s">
        <v>380</v>
      </c>
      <c r="O780" s="4" t="s">
        <v>380</v>
      </c>
      <c r="P780" s="4" t="s">
        <v>1395</v>
      </c>
      <c r="Q780" s="4" t="s">
        <v>83</v>
      </c>
      <c r="R780" s="4" t="s">
        <v>1454</v>
      </c>
      <c r="T780"/>
      <c r="U780"/>
      <c r="V780" s="4">
        <v>2.4</v>
      </c>
      <c r="W780" s="4" t="str">
        <f t="shared" si="34"/>
        <v>N</v>
      </c>
      <c r="X780" s="4" t="s">
        <v>24</v>
      </c>
      <c r="Z780" s="4" t="str">
        <f t="shared" si="35"/>
        <v>N</v>
      </c>
      <c r="AA780" s="4" t="s">
        <v>1121</v>
      </c>
      <c r="AB780" s="4" t="s">
        <v>1524</v>
      </c>
      <c r="AC780" s="39" t="s">
        <v>1523</v>
      </c>
      <c r="AD780"/>
      <c r="AE780"/>
      <c r="AF780"/>
      <c r="AG780"/>
      <c r="AH780"/>
    </row>
    <row r="781" spans="1:92" s="4" customFormat="1" x14ac:dyDescent="0.2">
      <c r="B781" s="4" t="s">
        <v>1330</v>
      </c>
      <c r="C781" s="4" t="s">
        <v>1355</v>
      </c>
      <c r="D781" s="4" t="s">
        <v>1356</v>
      </c>
      <c r="E781" s="4">
        <v>2018</v>
      </c>
      <c r="F781" s="4" t="s">
        <v>1469</v>
      </c>
      <c r="G781" s="4" t="s">
        <v>1357</v>
      </c>
      <c r="H781" s="37">
        <v>-77.56</v>
      </c>
      <c r="I781" s="37">
        <v>166.18</v>
      </c>
      <c r="J781" s="37">
        <v>2004</v>
      </c>
      <c r="K781" s="37">
        <v>2014</v>
      </c>
      <c r="L781" s="37">
        <f t="shared" si="33"/>
        <v>11</v>
      </c>
      <c r="M781" s="4" t="s">
        <v>369</v>
      </c>
      <c r="N781" s="4" t="s">
        <v>380</v>
      </c>
      <c r="O781" s="4" t="s">
        <v>380</v>
      </c>
      <c r="P781" s="4" t="s">
        <v>1395</v>
      </c>
      <c r="Q781" s="4" t="s">
        <v>83</v>
      </c>
      <c r="R781" s="4" t="s">
        <v>1453</v>
      </c>
      <c r="T781"/>
      <c r="U781"/>
      <c r="V781" s="4">
        <v>4.9000000000000004</v>
      </c>
      <c r="W781" s="4" t="str">
        <f t="shared" si="34"/>
        <v>N</v>
      </c>
      <c r="X781" s="4" t="s">
        <v>24</v>
      </c>
      <c r="Z781" s="4" t="str">
        <f t="shared" si="35"/>
        <v>N</v>
      </c>
      <c r="AA781" s="4" t="s">
        <v>1121</v>
      </c>
      <c r="AB781" s="4" t="s">
        <v>1524</v>
      </c>
      <c r="AC781" s="39" t="s">
        <v>1523</v>
      </c>
      <c r="AD781"/>
      <c r="AE781"/>
      <c r="AF781"/>
      <c r="AG781"/>
      <c r="AH781"/>
    </row>
    <row r="782" spans="1:92" s="4" customFormat="1" x14ac:dyDescent="0.2">
      <c r="B782" s="4" t="s">
        <v>1330</v>
      </c>
      <c r="C782" s="4" t="s">
        <v>1355</v>
      </c>
      <c r="D782" s="4" t="s">
        <v>1356</v>
      </c>
      <c r="E782" s="4">
        <v>2018</v>
      </c>
      <c r="F782" s="4" t="s">
        <v>1469</v>
      </c>
      <c r="G782" s="4" t="s">
        <v>1357</v>
      </c>
      <c r="H782" s="37">
        <v>-77.56</v>
      </c>
      <c r="I782" s="37">
        <v>166.18</v>
      </c>
      <c r="J782" s="37">
        <v>2004</v>
      </c>
      <c r="K782" s="37">
        <v>2014</v>
      </c>
      <c r="L782" s="37">
        <f t="shared" si="33"/>
        <v>11</v>
      </c>
      <c r="M782" s="4" t="s">
        <v>369</v>
      </c>
      <c r="N782" s="4" t="s">
        <v>380</v>
      </c>
      <c r="O782" s="4" t="s">
        <v>380</v>
      </c>
      <c r="P782" s="4" t="s">
        <v>1395</v>
      </c>
      <c r="Q782" s="4" t="s">
        <v>83</v>
      </c>
      <c r="R782" s="4" t="s">
        <v>1455</v>
      </c>
      <c r="T782"/>
      <c r="U782"/>
      <c r="V782" s="4">
        <v>2</v>
      </c>
      <c r="W782" s="4" t="str">
        <f t="shared" si="34"/>
        <v>N</v>
      </c>
      <c r="X782" s="4" t="s">
        <v>24</v>
      </c>
      <c r="Z782" s="4" t="str">
        <f t="shared" si="35"/>
        <v>N</v>
      </c>
      <c r="AA782" s="4" t="s">
        <v>1121</v>
      </c>
      <c r="AB782" s="4" t="s">
        <v>1524</v>
      </c>
      <c r="AC782" s="39" t="s">
        <v>1523</v>
      </c>
      <c r="AD782"/>
      <c r="AE782"/>
      <c r="AF782"/>
      <c r="AG782"/>
      <c r="AH782"/>
    </row>
    <row r="783" spans="1:92" s="4" customFormat="1" x14ac:dyDescent="0.2">
      <c r="B783" s="4" t="s">
        <v>1330</v>
      </c>
      <c r="C783" s="4" t="s">
        <v>1355</v>
      </c>
      <c r="D783" s="4" t="s">
        <v>1356</v>
      </c>
      <c r="E783" s="4">
        <v>2018</v>
      </c>
      <c r="F783" s="4" t="s">
        <v>1470</v>
      </c>
      <c r="G783" s="4" t="s">
        <v>1357</v>
      </c>
      <c r="H783" s="37">
        <v>-62.46</v>
      </c>
      <c r="I783" s="37">
        <v>-60.79</v>
      </c>
      <c r="J783" s="37">
        <v>1997</v>
      </c>
      <c r="K783" s="37">
        <v>2014</v>
      </c>
      <c r="L783" s="37">
        <f t="shared" si="33"/>
        <v>18</v>
      </c>
      <c r="M783" s="4" t="s">
        <v>369</v>
      </c>
      <c r="N783" s="4" t="s">
        <v>380</v>
      </c>
      <c r="O783" s="4" t="s">
        <v>380</v>
      </c>
      <c r="P783" s="4" t="s">
        <v>1412</v>
      </c>
      <c r="Q783" s="4" t="s">
        <v>1375</v>
      </c>
      <c r="R783" s="4" t="s">
        <v>1453</v>
      </c>
      <c r="T783"/>
      <c r="U783"/>
      <c r="V783" s="4">
        <v>2</v>
      </c>
      <c r="W783" s="4" t="str">
        <f t="shared" si="34"/>
        <v>N</v>
      </c>
      <c r="X783" s="4" t="s">
        <v>24</v>
      </c>
      <c r="Z783" s="4" t="str">
        <f t="shared" si="35"/>
        <v>N</v>
      </c>
      <c r="AA783" s="4" t="s">
        <v>1121</v>
      </c>
      <c r="AB783" s="4" t="s">
        <v>1524</v>
      </c>
      <c r="AC783" s="39" t="s">
        <v>1523</v>
      </c>
      <c r="AD783"/>
      <c r="AE783"/>
      <c r="AF783"/>
      <c r="AG783"/>
      <c r="AH783"/>
    </row>
    <row r="784" spans="1:92" s="4" customFormat="1" x14ac:dyDescent="0.2">
      <c r="B784" s="4" t="s">
        <v>1330</v>
      </c>
      <c r="C784" s="4" t="s">
        <v>1355</v>
      </c>
      <c r="D784" s="4" t="s">
        <v>1356</v>
      </c>
      <c r="E784" s="4">
        <v>2018</v>
      </c>
      <c r="F784" s="4" t="s">
        <v>1470</v>
      </c>
      <c r="G784" s="4" t="s">
        <v>1357</v>
      </c>
      <c r="H784" s="37">
        <v>-62.46</v>
      </c>
      <c r="I784" s="37">
        <v>-60.79</v>
      </c>
      <c r="J784" s="37">
        <v>1997</v>
      </c>
      <c r="K784" s="37">
        <v>2014</v>
      </c>
      <c r="L784" s="37">
        <f t="shared" si="33"/>
        <v>18</v>
      </c>
      <c r="M784" s="4" t="s">
        <v>369</v>
      </c>
      <c r="N784" s="4" t="s">
        <v>380</v>
      </c>
      <c r="O784" s="4" t="s">
        <v>380</v>
      </c>
      <c r="P784" s="4" t="s">
        <v>1412</v>
      </c>
      <c r="Q784" s="4" t="s">
        <v>1375</v>
      </c>
      <c r="R784" s="4" t="s">
        <v>1455</v>
      </c>
      <c r="T784"/>
      <c r="U784"/>
      <c r="V784" s="4">
        <v>1.5</v>
      </c>
      <c r="W784" s="4" t="str">
        <f t="shared" si="34"/>
        <v>N</v>
      </c>
      <c r="X784" s="4" t="s">
        <v>24</v>
      </c>
      <c r="Z784" s="4" t="str">
        <f t="shared" si="35"/>
        <v>N</v>
      </c>
      <c r="AA784" s="4" t="s">
        <v>1121</v>
      </c>
      <c r="AB784" s="4" t="s">
        <v>1524</v>
      </c>
      <c r="AC784" s="39" t="s">
        <v>1523</v>
      </c>
      <c r="AD784"/>
      <c r="AE784"/>
      <c r="AF784"/>
      <c r="AG784"/>
      <c r="AH784"/>
    </row>
    <row r="785" spans="1:92" s="4" customFormat="1" x14ac:dyDescent="0.2">
      <c r="B785" s="4" t="s">
        <v>1330</v>
      </c>
      <c r="C785" s="4" t="s">
        <v>1355</v>
      </c>
      <c r="D785" s="4" t="s">
        <v>1356</v>
      </c>
      <c r="E785" s="4">
        <v>2018</v>
      </c>
      <c r="F785" s="4" t="s">
        <v>1470</v>
      </c>
      <c r="G785" s="4" t="s">
        <v>1357</v>
      </c>
      <c r="H785" s="37">
        <v>-62.46</v>
      </c>
      <c r="I785" s="37">
        <v>-60.79</v>
      </c>
      <c r="J785" s="37">
        <v>1998</v>
      </c>
      <c r="K785" s="37">
        <v>2014</v>
      </c>
      <c r="L785" s="37">
        <f t="shared" si="33"/>
        <v>17</v>
      </c>
      <c r="M785" s="4" t="s">
        <v>369</v>
      </c>
      <c r="N785" s="4" t="s">
        <v>380</v>
      </c>
      <c r="O785" s="4" t="s">
        <v>380</v>
      </c>
      <c r="P785" s="4" t="s">
        <v>1419</v>
      </c>
      <c r="Q785" s="4" t="s">
        <v>1366</v>
      </c>
      <c r="R785" s="4" t="s">
        <v>1453</v>
      </c>
      <c r="T785"/>
      <c r="U785"/>
      <c r="V785" s="4">
        <v>5.3000000000000007</v>
      </c>
      <c r="W785" s="4" t="str">
        <f t="shared" si="34"/>
        <v>N</v>
      </c>
      <c r="X785" s="4" t="s">
        <v>24</v>
      </c>
      <c r="Z785" s="4" t="str">
        <f t="shared" si="35"/>
        <v>N</v>
      </c>
      <c r="AA785" s="4" t="s">
        <v>1121</v>
      </c>
      <c r="AB785" s="4" t="s">
        <v>1524</v>
      </c>
      <c r="AC785" s="39" t="s">
        <v>1523</v>
      </c>
      <c r="AD785"/>
      <c r="AE785"/>
      <c r="AF785"/>
      <c r="AG785"/>
      <c r="AH785"/>
    </row>
    <row r="786" spans="1:92" s="4" customFormat="1" x14ac:dyDescent="0.2">
      <c r="B786" s="4" t="s">
        <v>1330</v>
      </c>
      <c r="C786" s="4" t="s">
        <v>1355</v>
      </c>
      <c r="D786" s="4" t="s">
        <v>1356</v>
      </c>
      <c r="E786" s="4">
        <v>2018</v>
      </c>
      <c r="F786" s="4" t="s">
        <v>1470</v>
      </c>
      <c r="G786" s="4" t="s">
        <v>1357</v>
      </c>
      <c r="H786" s="37">
        <v>-62.46</v>
      </c>
      <c r="I786" s="37">
        <v>-60.79</v>
      </c>
      <c r="J786" s="37">
        <v>1998</v>
      </c>
      <c r="K786" s="37">
        <v>2014</v>
      </c>
      <c r="L786" s="37">
        <f t="shared" si="33"/>
        <v>17</v>
      </c>
      <c r="M786" s="4" t="s">
        <v>369</v>
      </c>
      <c r="N786" s="4" t="s">
        <v>380</v>
      </c>
      <c r="O786" s="4" t="s">
        <v>380</v>
      </c>
      <c r="P786" s="4" t="s">
        <v>1419</v>
      </c>
      <c r="Q786" s="4" t="s">
        <v>1366</v>
      </c>
      <c r="R786" s="4" t="s">
        <v>1455</v>
      </c>
      <c r="T786"/>
      <c r="U786"/>
      <c r="V786" s="4">
        <v>3.9000000000000004</v>
      </c>
      <c r="W786" s="4" t="str">
        <f t="shared" si="34"/>
        <v>N</v>
      </c>
      <c r="X786" s="4" t="s">
        <v>24</v>
      </c>
      <c r="Z786" s="4" t="str">
        <f t="shared" si="35"/>
        <v>N</v>
      </c>
      <c r="AA786" s="4" t="s">
        <v>1121</v>
      </c>
      <c r="AB786" s="4" t="s">
        <v>1524</v>
      </c>
      <c r="AC786" s="39" t="s">
        <v>1523</v>
      </c>
      <c r="AD786"/>
      <c r="AE786"/>
      <c r="AF786"/>
      <c r="AG786"/>
      <c r="AH786"/>
    </row>
    <row r="787" spans="1:92" s="4" customFormat="1" x14ac:dyDescent="0.2">
      <c r="A787"/>
      <c r="B787" t="s">
        <v>1330</v>
      </c>
      <c r="C787" t="s">
        <v>1355</v>
      </c>
      <c r="D787" t="s">
        <v>1356</v>
      </c>
      <c r="E787">
        <v>2018</v>
      </c>
      <c r="F787" t="s">
        <v>1471</v>
      </c>
      <c r="G787" t="s">
        <v>1358</v>
      </c>
      <c r="H787" s="13">
        <v>56.02</v>
      </c>
      <c r="I787" s="13">
        <v>-156.41</v>
      </c>
      <c r="J787" s="13">
        <v>1976</v>
      </c>
      <c r="K787" s="13">
        <v>2015</v>
      </c>
      <c r="L787" s="13">
        <f t="shared" si="33"/>
        <v>40</v>
      </c>
      <c r="M787" t="s">
        <v>369</v>
      </c>
      <c r="N787" t="s">
        <v>380</v>
      </c>
      <c r="O787" t="s">
        <v>380</v>
      </c>
      <c r="P787" t="s">
        <v>485</v>
      </c>
      <c r="Q787" t="s">
        <v>87</v>
      </c>
      <c r="R787" t="s">
        <v>1452</v>
      </c>
      <c r="S787"/>
      <c r="T787"/>
      <c r="U787"/>
      <c r="V787">
        <v>-0.1</v>
      </c>
      <c r="W787" t="str">
        <f t="shared" si="34"/>
        <v>Y</v>
      </c>
      <c r="X787" t="s">
        <v>3</v>
      </c>
      <c r="Y787"/>
      <c r="Z787" s="4" t="str">
        <f t="shared" si="35"/>
        <v>Y</v>
      </c>
      <c r="AA787" t="s">
        <v>1121</v>
      </c>
      <c r="AB787" t="s">
        <v>1524</v>
      </c>
      <c r="AC787" s="15" t="s">
        <v>1523</v>
      </c>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row>
    <row r="788" spans="1:92" s="4" customFormat="1" x14ac:dyDescent="0.2">
      <c r="A788"/>
      <c r="B788" t="s">
        <v>1330</v>
      </c>
      <c r="C788" t="s">
        <v>1355</v>
      </c>
      <c r="D788" t="s">
        <v>1356</v>
      </c>
      <c r="E788">
        <v>2018</v>
      </c>
      <c r="F788" t="s">
        <v>1471</v>
      </c>
      <c r="G788" t="s">
        <v>1358</v>
      </c>
      <c r="H788" s="13">
        <v>56.02</v>
      </c>
      <c r="I788" s="13">
        <v>-156.41</v>
      </c>
      <c r="J788" s="13">
        <v>1979</v>
      </c>
      <c r="K788" s="13">
        <v>2014</v>
      </c>
      <c r="L788" s="13">
        <f t="shared" si="33"/>
        <v>36</v>
      </c>
      <c r="M788" t="s">
        <v>369</v>
      </c>
      <c r="N788" t="s">
        <v>380</v>
      </c>
      <c r="O788" t="s">
        <v>380</v>
      </c>
      <c r="P788" t="s">
        <v>494</v>
      </c>
      <c r="Q788" t="s">
        <v>93</v>
      </c>
      <c r="R788" t="s">
        <v>1452</v>
      </c>
      <c r="S788"/>
      <c r="T788"/>
      <c r="U788"/>
      <c r="V788">
        <v>0.2</v>
      </c>
      <c r="W788" t="str">
        <f t="shared" si="34"/>
        <v>N</v>
      </c>
      <c r="X788" t="s">
        <v>3</v>
      </c>
      <c r="Y788"/>
      <c r="Z788" s="4" t="str">
        <f t="shared" si="35"/>
        <v>Y</v>
      </c>
      <c r="AA788" t="s">
        <v>1121</v>
      </c>
      <c r="AB788" t="s">
        <v>1524</v>
      </c>
      <c r="AC788" s="15" t="s">
        <v>1523</v>
      </c>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row>
    <row r="789" spans="1:92" s="4" customFormat="1" x14ac:dyDescent="0.2">
      <c r="B789" s="4" t="s">
        <v>1330</v>
      </c>
      <c r="C789" s="4" t="s">
        <v>1355</v>
      </c>
      <c r="D789" s="4" t="s">
        <v>1356</v>
      </c>
      <c r="E789" s="4">
        <v>2018</v>
      </c>
      <c r="F789" s="4" t="s">
        <v>1471</v>
      </c>
      <c r="G789" s="4" t="s">
        <v>1358</v>
      </c>
      <c r="H789" s="37">
        <v>56.02</v>
      </c>
      <c r="I789" s="37">
        <v>-156.41</v>
      </c>
      <c r="J789" s="37">
        <v>2004</v>
      </c>
      <c r="K789" s="37">
        <v>2015</v>
      </c>
      <c r="L789" s="37">
        <f t="shared" si="33"/>
        <v>12</v>
      </c>
      <c r="M789" s="4" t="s">
        <v>369</v>
      </c>
      <c r="N789" s="4" t="s">
        <v>380</v>
      </c>
      <c r="O789" s="4" t="s">
        <v>380</v>
      </c>
      <c r="P789" s="4" t="s">
        <v>1421</v>
      </c>
      <c r="Q789" s="4" t="s">
        <v>1360</v>
      </c>
      <c r="R789" s="4" t="s">
        <v>1452</v>
      </c>
      <c r="T789"/>
      <c r="U789"/>
      <c r="V789" s="4">
        <v>-3.5</v>
      </c>
      <c r="W789" s="4" t="str">
        <f t="shared" si="34"/>
        <v>Y</v>
      </c>
      <c r="X789" s="4" t="s">
        <v>24</v>
      </c>
      <c r="Z789" s="4" t="str">
        <f t="shared" si="35"/>
        <v>N</v>
      </c>
      <c r="AA789" s="4" t="s">
        <v>1121</v>
      </c>
      <c r="AB789" s="4" t="s">
        <v>1524</v>
      </c>
      <c r="AC789" s="39" t="s">
        <v>1523</v>
      </c>
      <c r="AD789"/>
      <c r="AE789"/>
      <c r="AF789"/>
      <c r="AG789"/>
      <c r="AH789"/>
    </row>
    <row r="790" spans="1:92" s="4" customFormat="1" x14ac:dyDescent="0.2">
      <c r="A790"/>
      <c r="B790" t="s">
        <v>1330</v>
      </c>
      <c r="C790" t="s">
        <v>1355</v>
      </c>
      <c r="D790" t="s">
        <v>1356</v>
      </c>
      <c r="E790">
        <v>2018</v>
      </c>
      <c r="F790" t="s">
        <v>1471</v>
      </c>
      <c r="G790" t="s">
        <v>1358</v>
      </c>
      <c r="H790" s="13">
        <v>56.02</v>
      </c>
      <c r="I790" s="13">
        <v>-156.41</v>
      </c>
      <c r="J790" s="13">
        <v>1976</v>
      </c>
      <c r="K790" s="13">
        <v>2015</v>
      </c>
      <c r="L790" s="13">
        <f t="shared" si="33"/>
        <v>40</v>
      </c>
      <c r="M790" t="s">
        <v>369</v>
      </c>
      <c r="N790" t="s">
        <v>380</v>
      </c>
      <c r="O790" t="s">
        <v>380</v>
      </c>
      <c r="P790" t="s">
        <v>1423</v>
      </c>
      <c r="Q790" t="s">
        <v>1361</v>
      </c>
      <c r="R790" t="s">
        <v>1452</v>
      </c>
      <c r="S790"/>
      <c r="T790"/>
      <c r="U790"/>
      <c r="V790">
        <v>-0.3</v>
      </c>
      <c r="W790" t="str">
        <f t="shared" si="34"/>
        <v>Y</v>
      </c>
      <c r="X790" t="s">
        <v>3</v>
      </c>
      <c r="Y790"/>
      <c r="Z790" s="4" t="str">
        <f t="shared" si="35"/>
        <v>Y</v>
      </c>
      <c r="AA790" t="s">
        <v>1121</v>
      </c>
      <c r="AB790" t="s">
        <v>1524</v>
      </c>
      <c r="AC790" s="15" t="s">
        <v>1523</v>
      </c>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row>
    <row r="791" spans="1:92" s="4" customFormat="1" x14ac:dyDescent="0.2">
      <c r="A791"/>
      <c r="B791" t="s">
        <v>1330</v>
      </c>
      <c r="C791" t="s">
        <v>1355</v>
      </c>
      <c r="D791" t="s">
        <v>1356</v>
      </c>
      <c r="E791">
        <v>2018</v>
      </c>
      <c r="F791" t="s">
        <v>1471</v>
      </c>
      <c r="G791" t="s">
        <v>1358</v>
      </c>
      <c r="H791" s="13">
        <v>56.02</v>
      </c>
      <c r="I791" s="13">
        <v>-156.41</v>
      </c>
      <c r="J791" s="13">
        <v>1976</v>
      </c>
      <c r="K791" s="13">
        <v>2015</v>
      </c>
      <c r="L791" s="13">
        <f t="shared" ref="L791:L854" si="36">K791-J791+1</f>
        <v>40</v>
      </c>
      <c r="M791" t="s">
        <v>369</v>
      </c>
      <c r="N791" t="s">
        <v>380</v>
      </c>
      <c r="O791" t="s">
        <v>380</v>
      </c>
      <c r="P791" t="s">
        <v>1436</v>
      </c>
      <c r="Q791" t="s">
        <v>1373</v>
      </c>
      <c r="R791" t="s">
        <v>1452</v>
      </c>
      <c r="S791"/>
      <c r="T791"/>
      <c r="U791"/>
      <c r="V791">
        <v>-1.7999999999999998</v>
      </c>
      <c r="W791" t="str">
        <f t="shared" ref="W791:W854" si="37">IF(V791&lt;0,"Y","N")</f>
        <v>Y</v>
      </c>
      <c r="X791" t="s">
        <v>3</v>
      </c>
      <c r="Y791"/>
      <c r="Z791" s="4" t="str">
        <f t="shared" si="35"/>
        <v>Y</v>
      </c>
      <c r="AA791" t="s">
        <v>1121</v>
      </c>
      <c r="AB791" t="s">
        <v>1524</v>
      </c>
      <c r="AC791" s="15" t="s">
        <v>1523</v>
      </c>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row>
    <row r="792" spans="1:92" s="4" customFormat="1" x14ac:dyDescent="0.2">
      <c r="B792" s="4" t="s">
        <v>1330</v>
      </c>
      <c r="C792" s="4" t="s">
        <v>1355</v>
      </c>
      <c r="D792" s="4" t="s">
        <v>1356</v>
      </c>
      <c r="E792" s="4">
        <v>2018</v>
      </c>
      <c r="F792" s="4" t="s">
        <v>1471</v>
      </c>
      <c r="G792" s="4" t="s">
        <v>1358</v>
      </c>
      <c r="H792" s="37">
        <v>56.02</v>
      </c>
      <c r="I792" s="37">
        <v>-156.41</v>
      </c>
      <c r="J792" s="37">
        <v>1978</v>
      </c>
      <c r="K792" s="37">
        <v>2014</v>
      </c>
      <c r="L792" s="37">
        <f t="shared" si="36"/>
        <v>37</v>
      </c>
      <c r="M792" s="4" t="s">
        <v>369</v>
      </c>
      <c r="N792" s="4" t="s">
        <v>380</v>
      </c>
      <c r="O792" s="4" t="s">
        <v>380</v>
      </c>
      <c r="P792" s="4" t="s">
        <v>488</v>
      </c>
      <c r="Q792" s="4" t="s">
        <v>91</v>
      </c>
      <c r="R792" s="4" t="s">
        <v>1452</v>
      </c>
      <c r="T792"/>
      <c r="U792"/>
      <c r="V792" s="4">
        <v>0.2</v>
      </c>
      <c r="W792" s="4" t="str">
        <f t="shared" si="37"/>
        <v>N</v>
      </c>
      <c r="X792" s="4" t="s">
        <v>3</v>
      </c>
      <c r="Z792" s="4" t="str">
        <f t="shared" si="35"/>
        <v>Y</v>
      </c>
      <c r="AA792" s="4" t="s">
        <v>1121</v>
      </c>
      <c r="AB792" s="4" t="s">
        <v>1524</v>
      </c>
      <c r="AC792" s="39" t="s">
        <v>1523</v>
      </c>
      <c r="AD792"/>
      <c r="AE792"/>
      <c r="AF792"/>
      <c r="AG792"/>
      <c r="AH792"/>
    </row>
    <row r="793" spans="1:92" s="4" customFormat="1" x14ac:dyDescent="0.2">
      <c r="A793"/>
      <c r="B793" t="s">
        <v>1330</v>
      </c>
      <c r="C793" t="s">
        <v>1355</v>
      </c>
      <c r="D793" t="s">
        <v>1356</v>
      </c>
      <c r="E793">
        <v>2018</v>
      </c>
      <c r="F793" t="s">
        <v>1471</v>
      </c>
      <c r="G793" t="s">
        <v>1358</v>
      </c>
      <c r="H793" s="13">
        <v>56.02</v>
      </c>
      <c r="I793" s="13">
        <v>-156.41</v>
      </c>
      <c r="J793" s="13">
        <v>1976</v>
      </c>
      <c r="K793" s="13">
        <v>2015</v>
      </c>
      <c r="L793" s="13">
        <f t="shared" si="36"/>
        <v>40</v>
      </c>
      <c r="M793" t="s">
        <v>369</v>
      </c>
      <c r="N793" t="s">
        <v>380</v>
      </c>
      <c r="O793" t="s">
        <v>380</v>
      </c>
      <c r="P793" t="s">
        <v>1447</v>
      </c>
      <c r="Q793" t="s">
        <v>394</v>
      </c>
      <c r="R793" t="s">
        <v>1452</v>
      </c>
      <c r="S793"/>
      <c r="T793"/>
      <c r="U793"/>
      <c r="V793">
        <v>1.2</v>
      </c>
      <c r="W793" t="str">
        <f t="shared" si="37"/>
        <v>N</v>
      </c>
      <c r="X793" t="s">
        <v>3</v>
      </c>
      <c r="Y793"/>
      <c r="Z793" s="4" t="str">
        <f t="shared" si="35"/>
        <v>Y</v>
      </c>
      <c r="AA793" t="s">
        <v>1121</v>
      </c>
      <c r="AB793" t="s">
        <v>1524</v>
      </c>
      <c r="AC793" s="15" t="s">
        <v>1523</v>
      </c>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row>
    <row r="794" spans="1:92" s="4" customFormat="1" x14ac:dyDescent="0.2">
      <c r="B794" s="4" t="s">
        <v>1330</v>
      </c>
      <c r="C794" s="4" t="s">
        <v>1355</v>
      </c>
      <c r="D794" s="4" t="s">
        <v>1356</v>
      </c>
      <c r="E794" s="4">
        <v>2018</v>
      </c>
      <c r="F794" s="4" t="s">
        <v>1472</v>
      </c>
      <c r="G794" s="4" t="s">
        <v>1358</v>
      </c>
      <c r="H794" s="37">
        <v>62.95</v>
      </c>
      <c r="I794" s="37">
        <v>-82.01</v>
      </c>
      <c r="J794" s="37">
        <v>2000</v>
      </c>
      <c r="K794" s="37">
        <v>2010</v>
      </c>
      <c r="L794" s="37">
        <f t="shared" si="36"/>
        <v>11</v>
      </c>
      <c r="M794" s="4" t="s">
        <v>369</v>
      </c>
      <c r="N794" s="4" t="s">
        <v>380</v>
      </c>
      <c r="O794" s="4" t="s">
        <v>380</v>
      </c>
      <c r="P794" s="4" t="s">
        <v>1420</v>
      </c>
      <c r="Q794" s="4" t="s">
        <v>1348</v>
      </c>
      <c r="R794" s="4" t="s">
        <v>1451</v>
      </c>
      <c r="T794"/>
      <c r="U794"/>
      <c r="V794" s="4">
        <v>-4.0999999999999996</v>
      </c>
      <c r="W794" s="4" t="str">
        <f t="shared" si="37"/>
        <v>Y</v>
      </c>
      <c r="X794" s="4" t="s">
        <v>24</v>
      </c>
      <c r="Z794" s="4" t="str">
        <f t="shared" si="35"/>
        <v>N</v>
      </c>
      <c r="AA794" s="4" t="s">
        <v>1121</v>
      </c>
      <c r="AB794" s="4" t="s">
        <v>1524</v>
      </c>
      <c r="AC794" s="39" t="s">
        <v>1523</v>
      </c>
      <c r="AD794"/>
      <c r="AE794"/>
      <c r="AF794"/>
      <c r="AG794"/>
      <c r="AH794"/>
    </row>
    <row r="795" spans="1:92" s="4" customFormat="1" x14ac:dyDescent="0.2">
      <c r="A795"/>
      <c r="B795" t="s">
        <v>1330</v>
      </c>
      <c r="C795" t="s">
        <v>1355</v>
      </c>
      <c r="D795" t="s">
        <v>1356</v>
      </c>
      <c r="E795">
        <v>2018</v>
      </c>
      <c r="F795" t="s">
        <v>1472</v>
      </c>
      <c r="G795" t="s">
        <v>1358</v>
      </c>
      <c r="H795" s="13">
        <v>62.95</v>
      </c>
      <c r="I795" s="13">
        <v>-82.01</v>
      </c>
      <c r="J795" s="13">
        <v>1975</v>
      </c>
      <c r="K795" s="13">
        <v>2014</v>
      </c>
      <c r="L795" s="13">
        <f t="shared" si="36"/>
        <v>40</v>
      </c>
      <c r="M795" t="s">
        <v>369</v>
      </c>
      <c r="N795" t="s">
        <v>380</v>
      </c>
      <c r="O795" t="s">
        <v>380</v>
      </c>
      <c r="P795" t="s">
        <v>488</v>
      </c>
      <c r="Q795" t="s">
        <v>91</v>
      </c>
      <c r="R795" t="s">
        <v>1453</v>
      </c>
      <c r="S795"/>
      <c r="T795"/>
      <c r="U795"/>
      <c r="V795">
        <v>-1.7999999999999998</v>
      </c>
      <c r="W795" t="str">
        <f t="shared" si="37"/>
        <v>Y</v>
      </c>
      <c r="X795" t="s">
        <v>3</v>
      </c>
      <c r="Y795"/>
      <c r="Z795" s="4" t="str">
        <f t="shared" si="35"/>
        <v>Y</v>
      </c>
      <c r="AA795" t="s">
        <v>1121</v>
      </c>
      <c r="AB795" t="s">
        <v>1524</v>
      </c>
      <c r="AC795" s="15" t="s">
        <v>1523</v>
      </c>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row>
    <row r="796" spans="1:92" s="4" customFormat="1" x14ac:dyDescent="0.2">
      <c r="A796"/>
      <c r="B796" t="s">
        <v>1330</v>
      </c>
      <c r="C796" t="s">
        <v>1355</v>
      </c>
      <c r="D796" t="s">
        <v>1356</v>
      </c>
      <c r="E796">
        <v>2018</v>
      </c>
      <c r="F796" t="s">
        <v>1473</v>
      </c>
      <c r="G796" t="s">
        <v>1358</v>
      </c>
      <c r="H796" s="13">
        <v>71.23</v>
      </c>
      <c r="I796" s="13">
        <v>-155.68</v>
      </c>
      <c r="J796" s="13">
        <v>1975</v>
      </c>
      <c r="K796" s="13">
        <v>2015</v>
      </c>
      <c r="L796" s="13">
        <f t="shared" si="36"/>
        <v>41</v>
      </c>
      <c r="M796" t="s">
        <v>369</v>
      </c>
      <c r="N796" t="s">
        <v>380</v>
      </c>
      <c r="O796" t="s">
        <v>380</v>
      </c>
      <c r="P796" t="s">
        <v>1404</v>
      </c>
      <c r="Q796" t="s">
        <v>1376</v>
      </c>
      <c r="R796" t="s">
        <v>1455</v>
      </c>
      <c r="S796"/>
      <c r="T796"/>
      <c r="U796"/>
      <c r="V796">
        <v>-2.3000000000000003</v>
      </c>
      <c r="W796" t="str">
        <f t="shared" si="37"/>
        <v>Y</v>
      </c>
      <c r="X796" t="s">
        <v>3</v>
      </c>
      <c r="Y796"/>
      <c r="Z796" s="4" t="str">
        <f t="shared" si="35"/>
        <v>Y</v>
      </c>
      <c r="AA796" t="s">
        <v>1121</v>
      </c>
      <c r="AB796" t="s">
        <v>1524</v>
      </c>
      <c r="AC796" s="15" t="s">
        <v>1523</v>
      </c>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row>
    <row r="797" spans="1:92" s="4" customFormat="1" x14ac:dyDescent="0.2">
      <c r="A797"/>
      <c r="B797" t="s">
        <v>1330</v>
      </c>
      <c r="C797" t="s">
        <v>1355</v>
      </c>
      <c r="D797" t="s">
        <v>1356</v>
      </c>
      <c r="E797">
        <v>2018</v>
      </c>
      <c r="F797" t="s">
        <v>1474</v>
      </c>
      <c r="G797" t="s">
        <v>1357</v>
      </c>
      <c r="H797" s="13">
        <v>-62.21</v>
      </c>
      <c r="I797" s="13">
        <v>-58.42</v>
      </c>
      <c r="J797" s="13">
        <v>1991</v>
      </c>
      <c r="K797" s="13">
        <v>2013</v>
      </c>
      <c r="L797" s="13">
        <f t="shared" si="36"/>
        <v>23</v>
      </c>
      <c r="M797" t="s">
        <v>369</v>
      </c>
      <c r="N797" t="s">
        <v>380</v>
      </c>
      <c r="O797" t="s">
        <v>380</v>
      </c>
      <c r="P797" t="s">
        <v>1395</v>
      </c>
      <c r="Q797" t="s">
        <v>83</v>
      </c>
      <c r="R797" t="s">
        <v>1453</v>
      </c>
      <c r="S797"/>
      <c r="T797"/>
      <c r="U797"/>
      <c r="V797">
        <v>-0.3</v>
      </c>
      <c r="W797" t="str">
        <f t="shared" si="37"/>
        <v>Y</v>
      </c>
      <c r="X797" t="s">
        <v>3</v>
      </c>
      <c r="Y797"/>
      <c r="Z797" s="4" t="str">
        <f t="shared" si="35"/>
        <v>Y</v>
      </c>
      <c r="AA797" t="s">
        <v>1121</v>
      </c>
      <c r="AB797" t="s">
        <v>1524</v>
      </c>
      <c r="AC797" s="15" t="s">
        <v>1523</v>
      </c>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row>
    <row r="798" spans="1:92" s="4" customFormat="1" x14ac:dyDescent="0.2">
      <c r="A798"/>
      <c r="B798" t="s">
        <v>1330</v>
      </c>
      <c r="C798" t="s">
        <v>1355</v>
      </c>
      <c r="D798" t="s">
        <v>1356</v>
      </c>
      <c r="E798">
        <v>2018</v>
      </c>
      <c r="F798" t="s">
        <v>1474</v>
      </c>
      <c r="G798" t="s">
        <v>1357</v>
      </c>
      <c r="H798" s="13">
        <v>-62.21</v>
      </c>
      <c r="I798" s="13">
        <v>-58.42</v>
      </c>
      <c r="J798" s="13">
        <v>1991</v>
      </c>
      <c r="K798" s="13">
        <v>2013</v>
      </c>
      <c r="L798" s="13">
        <f t="shared" si="36"/>
        <v>23</v>
      </c>
      <c r="M798" t="s">
        <v>369</v>
      </c>
      <c r="N798" t="s">
        <v>380</v>
      </c>
      <c r="O798" t="s">
        <v>380</v>
      </c>
      <c r="P798" t="s">
        <v>1395</v>
      </c>
      <c r="Q798" t="s">
        <v>83</v>
      </c>
      <c r="R798" t="s">
        <v>1455</v>
      </c>
      <c r="S798"/>
      <c r="T798"/>
      <c r="U798"/>
      <c r="V798">
        <v>-0.89999999999999991</v>
      </c>
      <c r="W798" t="str">
        <f t="shared" si="37"/>
        <v>Y</v>
      </c>
      <c r="X798" t="s">
        <v>3</v>
      </c>
      <c r="Y798"/>
      <c r="Z798" s="4" t="str">
        <f t="shared" si="35"/>
        <v>Y</v>
      </c>
      <c r="AA798" t="s">
        <v>1121</v>
      </c>
      <c r="AB798" t="s">
        <v>1524</v>
      </c>
      <c r="AC798" s="15" t="s">
        <v>1523</v>
      </c>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row>
    <row r="799" spans="1:92" x14ac:dyDescent="0.2">
      <c r="B799" t="s">
        <v>1330</v>
      </c>
      <c r="C799" t="s">
        <v>1355</v>
      </c>
      <c r="D799" t="s">
        <v>1356</v>
      </c>
      <c r="E799">
        <v>2018</v>
      </c>
      <c r="F799" t="s">
        <v>1474</v>
      </c>
      <c r="G799" t="s">
        <v>1357</v>
      </c>
      <c r="H799" s="13">
        <v>-62.21</v>
      </c>
      <c r="I799" s="13">
        <v>-58.42</v>
      </c>
      <c r="J799" s="13">
        <v>1991</v>
      </c>
      <c r="K799" s="13">
        <v>2013</v>
      </c>
      <c r="L799" s="13">
        <f t="shared" si="36"/>
        <v>23</v>
      </c>
      <c r="M799" t="s">
        <v>369</v>
      </c>
      <c r="N799" t="s">
        <v>380</v>
      </c>
      <c r="O799" t="s">
        <v>380</v>
      </c>
      <c r="P799" t="s">
        <v>1419</v>
      </c>
      <c r="Q799" t="s">
        <v>1366</v>
      </c>
      <c r="R799" t="s">
        <v>1453</v>
      </c>
      <c r="V799">
        <v>-2</v>
      </c>
      <c r="W799" t="str">
        <f t="shared" si="37"/>
        <v>Y</v>
      </c>
      <c r="X799" t="s">
        <v>3</v>
      </c>
      <c r="Z799" s="4" t="str">
        <f t="shared" si="35"/>
        <v>Y</v>
      </c>
      <c r="AA799" t="s">
        <v>1121</v>
      </c>
      <c r="AB799" t="s">
        <v>1524</v>
      </c>
      <c r="AC799" s="15" t="s">
        <v>1523</v>
      </c>
    </row>
    <row r="800" spans="1:92" x14ac:dyDescent="0.2">
      <c r="B800" t="s">
        <v>1330</v>
      </c>
      <c r="C800" t="s">
        <v>1355</v>
      </c>
      <c r="D800" t="s">
        <v>1356</v>
      </c>
      <c r="E800">
        <v>2018</v>
      </c>
      <c r="F800" t="s">
        <v>1474</v>
      </c>
      <c r="G800" t="s">
        <v>1357</v>
      </c>
      <c r="H800" s="13">
        <v>-62.21</v>
      </c>
      <c r="I800" s="13">
        <v>-58.42</v>
      </c>
      <c r="J800" s="13">
        <v>1991</v>
      </c>
      <c r="K800" s="13">
        <v>2013</v>
      </c>
      <c r="L800" s="13">
        <f t="shared" si="36"/>
        <v>23</v>
      </c>
      <c r="M800" t="s">
        <v>369</v>
      </c>
      <c r="N800" t="s">
        <v>380</v>
      </c>
      <c r="O800" t="s">
        <v>380</v>
      </c>
      <c r="P800" t="s">
        <v>1419</v>
      </c>
      <c r="Q800" t="s">
        <v>1366</v>
      </c>
      <c r="R800" t="s">
        <v>1455</v>
      </c>
      <c r="V800">
        <v>-2.3000000000000003</v>
      </c>
      <c r="W800" t="str">
        <f t="shared" si="37"/>
        <v>Y</v>
      </c>
      <c r="X800" t="s">
        <v>3</v>
      </c>
      <c r="Z800" s="4" t="str">
        <f t="shared" si="35"/>
        <v>Y</v>
      </c>
      <c r="AA800" t="s">
        <v>1121</v>
      </c>
      <c r="AB800" t="s">
        <v>1524</v>
      </c>
      <c r="AC800" s="15" t="s">
        <v>1523</v>
      </c>
    </row>
    <row r="801" spans="1:92" s="4" customFormat="1" x14ac:dyDescent="0.2">
      <c r="A801"/>
      <c r="B801" t="s">
        <v>1330</v>
      </c>
      <c r="C801" t="s">
        <v>1355</v>
      </c>
      <c r="D801" t="s">
        <v>1356</v>
      </c>
      <c r="E801">
        <v>2018</v>
      </c>
      <c r="F801" t="s">
        <v>1475</v>
      </c>
      <c r="G801" t="s">
        <v>1358</v>
      </c>
      <c r="H801" s="13">
        <v>58.55</v>
      </c>
      <c r="I801" s="13">
        <v>-152.1</v>
      </c>
      <c r="J801" s="13">
        <v>1994</v>
      </c>
      <c r="K801" s="13">
        <v>2014</v>
      </c>
      <c r="L801" s="13">
        <f t="shared" si="36"/>
        <v>21</v>
      </c>
      <c r="M801" t="s">
        <v>369</v>
      </c>
      <c r="N801" t="s">
        <v>380</v>
      </c>
      <c r="O801" t="s">
        <v>380</v>
      </c>
      <c r="P801" t="s">
        <v>485</v>
      </c>
      <c r="Q801" t="s">
        <v>87</v>
      </c>
      <c r="R801" t="s">
        <v>1452</v>
      </c>
      <c r="S801"/>
      <c r="T801"/>
      <c r="U801"/>
      <c r="V801">
        <v>-0.70000000000000007</v>
      </c>
      <c r="W801" t="str">
        <f t="shared" si="37"/>
        <v>Y</v>
      </c>
      <c r="X801" t="s">
        <v>3</v>
      </c>
      <c r="Y801"/>
      <c r="Z801" s="4" t="str">
        <f t="shared" si="35"/>
        <v>Y</v>
      </c>
      <c r="AA801" t="s">
        <v>1121</v>
      </c>
      <c r="AB801" t="s">
        <v>1524</v>
      </c>
      <c r="AC801" s="15" t="s">
        <v>1523</v>
      </c>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row>
    <row r="802" spans="1:92" x14ac:dyDescent="0.2">
      <c r="B802" t="s">
        <v>1330</v>
      </c>
      <c r="C802" t="s">
        <v>1355</v>
      </c>
      <c r="D802" t="s">
        <v>1356</v>
      </c>
      <c r="E802">
        <v>2018</v>
      </c>
      <c r="F802" t="s">
        <v>1475</v>
      </c>
      <c r="G802" t="s">
        <v>1358</v>
      </c>
      <c r="H802" s="13">
        <v>58.55</v>
      </c>
      <c r="I802" s="13">
        <v>-152.1</v>
      </c>
      <c r="J802" s="13">
        <v>1993</v>
      </c>
      <c r="K802" s="13">
        <v>2014</v>
      </c>
      <c r="L802" s="13">
        <f t="shared" si="36"/>
        <v>22</v>
      </c>
      <c r="M802" t="s">
        <v>369</v>
      </c>
      <c r="N802" t="s">
        <v>380</v>
      </c>
      <c r="O802" t="s">
        <v>380</v>
      </c>
      <c r="P802" t="s">
        <v>494</v>
      </c>
      <c r="Q802" t="s">
        <v>93</v>
      </c>
      <c r="R802" t="s">
        <v>1452</v>
      </c>
      <c r="V802">
        <v>3.3000000000000003</v>
      </c>
      <c r="W802" t="str">
        <f t="shared" si="37"/>
        <v>N</v>
      </c>
      <c r="X802" t="s">
        <v>3</v>
      </c>
      <c r="Z802" s="4" t="str">
        <f t="shared" si="35"/>
        <v>Y</v>
      </c>
      <c r="AA802" t="s">
        <v>1121</v>
      </c>
      <c r="AB802" t="s">
        <v>1524</v>
      </c>
      <c r="AC802" s="15" t="s">
        <v>1523</v>
      </c>
    </row>
    <row r="803" spans="1:92" x14ac:dyDescent="0.2">
      <c r="B803" t="s">
        <v>1330</v>
      </c>
      <c r="C803" t="s">
        <v>1355</v>
      </c>
      <c r="D803" t="s">
        <v>1356</v>
      </c>
      <c r="E803">
        <v>2018</v>
      </c>
      <c r="F803" t="s">
        <v>1476</v>
      </c>
      <c r="G803" t="s">
        <v>1358</v>
      </c>
      <c r="H803" s="13">
        <v>43.85</v>
      </c>
      <c r="I803" s="13">
        <v>-69.38</v>
      </c>
      <c r="J803" s="13">
        <v>1987</v>
      </c>
      <c r="K803" s="13">
        <v>2015</v>
      </c>
      <c r="L803" s="13">
        <f t="shared" si="36"/>
        <v>29</v>
      </c>
      <c r="M803" t="s">
        <v>369</v>
      </c>
      <c r="N803" t="s">
        <v>380</v>
      </c>
      <c r="O803" t="s">
        <v>380</v>
      </c>
      <c r="P803" t="s">
        <v>1413</v>
      </c>
      <c r="Q803" t="s">
        <v>458</v>
      </c>
      <c r="R803" t="s">
        <v>1451</v>
      </c>
      <c r="V803">
        <v>-1.2</v>
      </c>
      <c r="W803" t="str">
        <f t="shared" si="37"/>
        <v>Y</v>
      </c>
      <c r="X803" t="s">
        <v>3</v>
      </c>
      <c r="Z803" s="4" t="str">
        <f t="shared" si="35"/>
        <v>Y</v>
      </c>
      <c r="AA803" t="s">
        <v>1121</v>
      </c>
      <c r="AB803" t="s">
        <v>1524</v>
      </c>
      <c r="AC803" s="15" t="s">
        <v>1523</v>
      </c>
    </row>
    <row r="804" spans="1:92" s="4" customFormat="1" x14ac:dyDescent="0.2">
      <c r="A804"/>
      <c r="B804" t="s">
        <v>1330</v>
      </c>
      <c r="C804" t="s">
        <v>1355</v>
      </c>
      <c r="D804" t="s">
        <v>1356</v>
      </c>
      <c r="E804">
        <v>2018</v>
      </c>
      <c r="F804" t="s">
        <v>1477</v>
      </c>
      <c r="G804" t="s">
        <v>1358</v>
      </c>
      <c r="H804" s="13">
        <v>40.340000000000003</v>
      </c>
      <c r="I804" s="13">
        <v>0.39</v>
      </c>
      <c r="J804" s="13">
        <v>1992</v>
      </c>
      <c r="K804" s="13">
        <v>2015</v>
      </c>
      <c r="L804" s="13">
        <f t="shared" si="36"/>
        <v>24</v>
      </c>
      <c r="M804" t="s">
        <v>369</v>
      </c>
      <c r="N804" t="s">
        <v>380</v>
      </c>
      <c r="O804" t="s">
        <v>380</v>
      </c>
      <c r="P804" t="s">
        <v>1402</v>
      </c>
      <c r="Q804" t="s">
        <v>1377</v>
      </c>
      <c r="R804" t="s">
        <v>1455</v>
      </c>
      <c r="S804"/>
      <c r="T804"/>
      <c r="U804"/>
      <c r="V804">
        <v>-7.4</v>
      </c>
      <c r="W804" t="str">
        <f t="shared" si="37"/>
        <v>Y</v>
      </c>
      <c r="X804" t="s">
        <v>3</v>
      </c>
      <c r="Y804"/>
      <c r="Z804" s="4" t="str">
        <f t="shared" si="35"/>
        <v>Y</v>
      </c>
      <c r="AA804" t="s">
        <v>1121</v>
      </c>
      <c r="AB804" t="s">
        <v>1524</v>
      </c>
      <c r="AC804" s="15" t="s">
        <v>1523</v>
      </c>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row>
    <row r="805" spans="1:92" x14ac:dyDescent="0.2">
      <c r="B805" t="s">
        <v>1330</v>
      </c>
      <c r="C805" t="s">
        <v>1355</v>
      </c>
      <c r="D805" t="s">
        <v>1356</v>
      </c>
      <c r="E805">
        <v>2018</v>
      </c>
      <c r="F805" t="s">
        <v>1478</v>
      </c>
      <c r="G805" t="s">
        <v>1358</v>
      </c>
      <c r="H805" s="13">
        <v>67.27</v>
      </c>
      <c r="I805" s="13">
        <v>11.55</v>
      </c>
      <c r="J805" s="13">
        <v>1985</v>
      </c>
      <c r="K805" s="13">
        <v>2012</v>
      </c>
      <c r="L805" s="13">
        <f t="shared" si="36"/>
        <v>28</v>
      </c>
      <c r="M805" t="s">
        <v>369</v>
      </c>
      <c r="N805" t="s">
        <v>380</v>
      </c>
      <c r="O805" t="s">
        <v>380</v>
      </c>
      <c r="P805" t="s">
        <v>495</v>
      </c>
      <c r="Q805" t="s">
        <v>92</v>
      </c>
      <c r="R805" t="s">
        <v>1453</v>
      </c>
      <c r="V805">
        <v>7.9</v>
      </c>
      <c r="W805" t="str">
        <f t="shared" si="37"/>
        <v>N</v>
      </c>
      <c r="X805" t="s">
        <v>3</v>
      </c>
      <c r="Z805" s="4" t="str">
        <f t="shared" si="35"/>
        <v>Y</v>
      </c>
      <c r="AA805" t="s">
        <v>1121</v>
      </c>
      <c r="AB805" t="s">
        <v>1524</v>
      </c>
      <c r="AC805" s="15" t="s">
        <v>1523</v>
      </c>
    </row>
    <row r="806" spans="1:92" s="4" customFormat="1" x14ac:dyDescent="0.2">
      <c r="B806" s="4" t="s">
        <v>1330</v>
      </c>
      <c r="C806" s="4" t="s">
        <v>1355</v>
      </c>
      <c r="D806" s="4" t="s">
        <v>1356</v>
      </c>
      <c r="E806" s="4">
        <v>2018</v>
      </c>
      <c r="F806" s="4" t="s">
        <v>1479</v>
      </c>
      <c r="G806" s="4" t="s">
        <v>1357</v>
      </c>
      <c r="H806" s="37">
        <v>-40.32</v>
      </c>
      <c r="I806" s="37">
        <v>-9.94</v>
      </c>
      <c r="J806" s="37">
        <v>2003</v>
      </c>
      <c r="K806" s="37">
        <v>2015</v>
      </c>
      <c r="L806" s="37">
        <f t="shared" si="36"/>
        <v>13</v>
      </c>
      <c r="M806" s="4" t="s">
        <v>369</v>
      </c>
      <c r="N806" s="4" t="s">
        <v>380</v>
      </c>
      <c r="O806" s="4" t="s">
        <v>380</v>
      </c>
      <c r="P806" s="4" t="s">
        <v>1401</v>
      </c>
      <c r="Q806" s="4" t="s">
        <v>1378</v>
      </c>
      <c r="R806" s="4" t="s">
        <v>1452</v>
      </c>
      <c r="T806"/>
      <c r="U806"/>
      <c r="V806" s="4">
        <v>0</v>
      </c>
      <c r="W806" s="4" t="str">
        <f t="shared" si="37"/>
        <v>N</v>
      </c>
      <c r="X806" s="4" t="s">
        <v>24</v>
      </c>
      <c r="Z806" s="4" t="str">
        <f t="shared" si="35"/>
        <v>N</v>
      </c>
      <c r="AA806" s="4" t="s">
        <v>1121</v>
      </c>
      <c r="AB806" s="4" t="s">
        <v>1524</v>
      </c>
      <c r="AC806" s="39" t="s">
        <v>1523</v>
      </c>
      <c r="AD806"/>
      <c r="AE806"/>
      <c r="AF806"/>
      <c r="AG806"/>
      <c r="AH806"/>
    </row>
    <row r="807" spans="1:92" x14ac:dyDescent="0.2">
      <c r="A807" s="4"/>
      <c r="B807" s="4" t="s">
        <v>1330</v>
      </c>
      <c r="C807" s="4" t="s">
        <v>1355</v>
      </c>
      <c r="D807" s="4" t="s">
        <v>1356</v>
      </c>
      <c r="E807" s="4">
        <v>2018</v>
      </c>
      <c r="F807" s="4" t="s">
        <v>1479</v>
      </c>
      <c r="G807" s="4" t="s">
        <v>1357</v>
      </c>
      <c r="H807" s="37">
        <v>-40.32</v>
      </c>
      <c r="I807" s="37">
        <v>-9.94</v>
      </c>
      <c r="J807" s="37">
        <v>2003</v>
      </c>
      <c r="K807" s="37">
        <v>2015</v>
      </c>
      <c r="L807" s="37">
        <f t="shared" si="36"/>
        <v>13</v>
      </c>
      <c r="M807" s="4" t="s">
        <v>369</v>
      </c>
      <c r="N807" s="4" t="s">
        <v>380</v>
      </c>
      <c r="O807" s="4" t="s">
        <v>380</v>
      </c>
      <c r="P807" s="4" t="s">
        <v>1401</v>
      </c>
      <c r="Q807" s="4" t="s">
        <v>1378</v>
      </c>
      <c r="R807" s="4" t="s">
        <v>1454</v>
      </c>
      <c r="S807" s="4"/>
      <c r="V807" s="4">
        <v>-5.8999999999999995</v>
      </c>
      <c r="W807" s="4" t="str">
        <f t="shared" si="37"/>
        <v>Y</v>
      </c>
      <c r="X807" s="4" t="s">
        <v>24</v>
      </c>
      <c r="Y807" s="4"/>
      <c r="Z807" s="4" t="str">
        <f t="shared" si="35"/>
        <v>N</v>
      </c>
      <c r="AA807" s="4" t="s">
        <v>1121</v>
      </c>
      <c r="AB807" s="4" t="s">
        <v>1524</v>
      </c>
      <c r="AC807" s="39" t="s">
        <v>1523</v>
      </c>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row>
    <row r="808" spans="1:92" x14ac:dyDescent="0.2">
      <c r="A808" s="4"/>
      <c r="B808" s="4" t="s">
        <v>1330</v>
      </c>
      <c r="C808" s="4" t="s">
        <v>1355</v>
      </c>
      <c r="D808" s="4" t="s">
        <v>1356</v>
      </c>
      <c r="E808" s="4">
        <v>2018</v>
      </c>
      <c r="F808" s="4" t="s">
        <v>1480</v>
      </c>
      <c r="G808" s="4" t="s">
        <v>1358</v>
      </c>
      <c r="H808" s="37">
        <v>78.099999999999994</v>
      </c>
      <c r="I808" s="37">
        <v>15.09</v>
      </c>
      <c r="J808" s="37">
        <v>2008</v>
      </c>
      <c r="K808" s="37">
        <v>2012</v>
      </c>
      <c r="L808" s="37">
        <f t="shared" si="36"/>
        <v>5</v>
      </c>
      <c r="M808" s="4" t="s">
        <v>369</v>
      </c>
      <c r="N808" s="4" t="s">
        <v>380</v>
      </c>
      <c r="O808" s="4" t="s">
        <v>380</v>
      </c>
      <c r="P808" s="4" t="s">
        <v>485</v>
      </c>
      <c r="Q808" s="4" t="s">
        <v>87</v>
      </c>
      <c r="R808" s="4" t="s">
        <v>1452</v>
      </c>
      <c r="S808" s="4"/>
      <c r="V808" s="4">
        <v>1.7000000000000002</v>
      </c>
      <c r="W808" s="4" t="str">
        <f t="shared" si="37"/>
        <v>N</v>
      </c>
      <c r="X808" s="4" t="s">
        <v>24</v>
      </c>
      <c r="Y808" s="4"/>
      <c r="Z808" s="4" t="str">
        <f t="shared" si="35"/>
        <v>N</v>
      </c>
      <c r="AA808" s="4" t="s">
        <v>1121</v>
      </c>
      <c r="AB808" s="4" t="s">
        <v>1524</v>
      </c>
      <c r="AC808" s="39" t="s">
        <v>1523</v>
      </c>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row>
    <row r="809" spans="1:92" x14ac:dyDescent="0.2">
      <c r="A809" s="4"/>
      <c r="B809" s="4" t="s">
        <v>1330</v>
      </c>
      <c r="C809" s="4" t="s">
        <v>1355</v>
      </c>
      <c r="D809" s="4" t="s">
        <v>1356</v>
      </c>
      <c r="E809" s="4">
        <v>2018</v>
      </c>
      <c r="F809" s="4" t="s">
        <v>1481</v>
      </c>
      <c r="G809" s="4" t="s">
        <v>1358</v>
      </c>
      <c r="H809" s="37">
        <v>47.25</v>
      </c>
      <c r="I809" s="37">
        <v>-52.77</v>
      </c>
      <c r="J809" s="37">
        <v>2003</v>
      </c>
      <c r="K809" s="37">
        <v>2014</v>
      </c>
      <c r="L809" s="37">
        <f t="shared" si="36"/>
        <v>12</v>
      </c>
      <c r="M809" s="4" t="s">
        <v>369</v>
      </c>
      <c r="N809" s="4" t="s">
        <v>380</v>
      </c>
      <c r="O809" s="4" t="s">
        <v>380</v>
      </c>
      <c r="P809" s="4" t="s">
        <v>1426</v>
      </c>
      <c r="Q809" s="4" t="s">
        <v>1362</v>
      </c>
      <c r="R809" s="4" t="s">
        <v>1453</v>
      </c>
      <c r="S809" s="4"/>
      <c r="V809" s="4">
        <v>0</v>
      </c>
      <c r="W809" s="4" t="str">
        <f t="shared" si="37"/>
        <v>N</v>
      </c>
      <c r="X809" s="4" t="s">
        <v>24</v>
      </c>
      <c r="Y809" s="4"/>
      <c r="Z809" s="4" t="str">
        <f t="shared" si="35"/>
        <v>N</v>
      </c>
      <c r="AA809" s="4" t="s">
        <v>1121</v>
      </c>
      <c r="AB809" s="4" t="s">
        <v>1524</v>
      </c>
      <c r="AC809" s="39" t="s">
        <v>1523</v>
      </c>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row>
    <row r="810" spans="1:92" x14ac:dyDescent="0.2">
      <c r="B810" t="s">
        <v>1330</v>
      </c>
      <c r="C810" t="s">
        <v>1355</v>
      </c>
      <c r="D810" t="s">
        <v>1356</v>
      </c>
      <c r="E810">
        <v>2018</v>
      </c>
      <c r="F810" t="s">
        <v>1482</v>
      </c>
      <c r="G810" t="s">
        <v>1358</v>
      </c>
      <c r="H810" s="13">
        <v>67.260000000000005</v>
      </c>
      <c r="I810" s="13">
        <v>11.52</v>
      </c>
      <c r="J810" s="13">
        <v>1978</v>
      </c>
      <c r="K810" s="13">
        <v>2015</v>
      </c>
      <c r="L810" s="13">
        <f t="shared" si="36"/>
        <v>38</v>
      </c>
      <c r="M810" t="s">
        <v>369</v>
      </c>
      <c r="N810" t="s">
        <v>380</v>
      </c>
      <c r="O810" t="s">
        <v>380</v>
      </c>
      <c r="P810" t="s">
        <v>1400</v>
      </c>
      <c r="Q810" t="s">
        <v>455</v>
      </c>
      <c r="R810" t="s">
        <v>1452</v>
      </c>
      <c r="V810">
        <v>0.5</v>
      </c>
      <c r="W810" t="str">
        <f t="shared" si="37"/>
        <v>N</v>
      </c>
      <c r="X810" t="s">
        <v>3</v>
      </c>
      <c r="Z810" s="4" t="str">
        <f t="shared" si="35"/>
        <v>Y</v>
      </c>
      <c r="AA810" t="s">
        <v>1121</v>
      </c>
      <c r="AB810" t="s">
        <v>1524</v>
      </c>
      <c r="AC810" s="15" t="s">
        <v>1523</v>
      </c>
    </row>
    <row r="811" spans="1:92" x14ac:dyDescent="0.2">
      <c r="B811" t="s">
        <v>1330</v>
      </c>
      <c r="C811" t="s">
        <v>1355</v>
      </c>
      <c r="D811" t="s">
        <v>1356</v>
      </c>
      <c r="E811">
        <v>2018</v>
      </c>
      <c r="F811" t="s">
        <v>1483</v>
      </c>
      <c r="G811" t="s">
        <v>1358</v>
      </c>
      <c r="H811" s="13">
        <v>70.22</v>
      </c>
      <c r="I811" s="13">
        <v>31.08</v>
      </c>
      <c r="J811" s="13">
        <v>1980</v>
      </c>
      <c r="K811" s="13">
        <v>2015</v>
      </c>
      <c r="L811" s="13">
        <f t="shared" si="36"/>
        <v>36</v>
      </c>
      <c r="M811" t="s">
        <v>369</v>
      </c>
      <c r="N811" t="s">
        <v>380</v>
      </c>
      <c r="O811" t="s">
        <v>380</v>
      </c>
      <c r="P811" t="s">
        <v>1400</v>
      </c>
      <c r="Q811" t="s">
        <v>455</v>
      </c>
      <c r="R811" t="s">
        <v>1452</v>
      </c>
      <c r="V811">
        <v>-0.70000000000000007</v>
      </c>
      <c r="W811" t="str">
        <f t="shared" si="37"/>
        <v>Y</v>
      </c>
      <c r="X811" t="s">
        <v>3</v>
      </c>
      <c r="Z811" s="4" t="str">
        <f t="shared" si="35"/>
        <v>Y</v>
      </c>
      <c r="AA811" t="s">
        <v>1121</v>
      </c>
      <c r="AB811" t="s">
        <v>1524</v>
      </c>
      <c r="AC811" s="15" t="s">
        <v>1523</v>
      </c>
    </row>
    <row r="812" spans="1:92" x14ac:dyDescent="0.2">
      <c r="B812" t="s">
        <v>1330</v>
      </c>
      <c r="C812" t="s">
        <v>1355</v>
      </c>
      <c r="D812" t="s">
        <v>1356</v>
      </c>
      <c r="E812">
        <v>2018</v>
      </c>
      <c r="F812" t="s">
        <v>1483</v>
      </c>
      <c r="G812" t="s">
        <v>1358</v>
      </c>
      <c r="H812" s="13">
        <v>70.23</v>
      </c>
      <c r="I812" s="13">
        <v>31.09</v>
      </c>
      <c r="J812" s="13">
        <v>1995</v>
      </c>
      <c r="K812" s="13">
        <v>2016</v>
      </c>
      <c r="L812" s="13">
        <f t="shared" si="36"/>
        <v>22</v>
      </c>
      <c r="M812" t="s">
        <v>369</v>
      </c>
      <c r="N812" t="s">
        <v>380</v>
      </c>
      <c r="O812" t="s">
        <v>380</v>
      </c>
      <c r="P812" t="s">
        <v>485</v>
      </c>
      <c r="Q812" t="s">
        <v>87</v>
      </c>
      <c r="R812" t="s">
        <v>1452</v>
      </c>
      <c r="V812">
        <v>-3.1</v>
      </c>
      <c r="W812" t="str">
        <f t="shared" si="37"/>
        <v>Y</v>
      </c>
      <c r="X812" t="s">
        <v>3</v>
      </c>
      <c r="Z812" s="4" t="str">
        <f t="shared" si="35"/>
        <v>Y</v>
      </c>
      <c r="AA812" t="s">
        <v>1121</v>
      </c>
      <c r="AB812" t="s">
        <v>1524</v>
      </c>
      <c r="AC812" s="15" t="s">
        <v>1523</v>
      </c>
    </row>
    <row r="813" spans="1:92" x14ac:dyDescent="0.2">
      <c r="B813" t="s">
        <v>1330</v>
      </c>
      <c r="C813" t="s">
        <v>1355</v>
      </c>
      <c r="D813" t="s">
        <v>1356</v>
      </c>
      <c r="E813">
        <v>2018</v>
      </c>
      <c r="F813" t="s">
        <v>1484</v>
      </c>
      <c r="G813" t="s">
        <v>1357</v>
      </c>
      <c r="H813" s="13">
        <v>-64.459999999999994</v>
      </c>
      <c r="I813" s="13">
        <v>-64.06</v>
      </c>
      <c r="J813" s="13">
        <v>1992</v>
      </c>
      <c r="K813" s="13">
        <v>2013</v>
      </c>
      <c r="L813" s="13">
        <f t="shared" si="36"/>
        <v>22</v>
      </c>
      <c r="M813" t="s">
        <v>369</v>
      </c>
      <c r="N813" t="s">
        <v>380</v>
      </c>
      <c r="O813" t="s">
        <v>380</v>
      </c>
      <c r="P813" t="s">
        <v>1395</v>
      </c>
      <c r="Q813" t="s">
        <v>83</v>
      </c>
      <c r="R813" t="s">
        <v>1452</v>
      </c>
      <c r="V813">
        <v>-1.5</v>
      </c>
      <c r="W813" t="str">
        <f t="shared" si="37"/>
        <v>Y</v>
      </c>
      <c r="X813" t="s">
        <v>3</v>
      </c>
      <c r="Z813" s="4" t="str">
        <f t="shared" si="35"/>
        <v>Y</v>
      </c>
      <c r="AA813" t="s">
        <v>1121</v>
      </c>
      <c r="AB813" t="s">
        <v>1524</v>
      </c>
      <c r="AC813" s="15" t="s">
        <v>1523</v>
      </c>
    </row>
    <row r="814" spans="1:92" x14ac:dyDescent="0.2">
      <c r="B814" t="s">
        <v>1330</v>
      </c>
      <c r="C814" t="s">
        <v>1355</v>
      </c>
      <c r="D814" t="s">
        <v>1356</v>
      </c>
      <c r="E814">
        <v>2018</v>
      </c>
      <c r="F814" t="s">
        <v>1484</v>
      </c>
      <c r="G814" t="s">
        <v>1357</v>
      </c>
      <c r="H814" s="13">
        <v>-64.459999999999994</v>
      </c>
      <c r="I814" s="13">
        <v>-64.06</v>
      </c>
      <c r="J814" s="13">
        <v>1992</v>
      </c>
      <c r="K814" s="13">
        <v>2013</v>
      </c>
      <c r="L814" s="13">
        <f t="shared" si="36"/>
        <v>22</v>
      </c>
      <c r="M814" t="s">
        <v>369</v>
      </c>
      <c r="N814" t="s">
        <v>380</v>
      </c>
      <c r="O814" t="s">
        <v>380</v>
      </c>
      <c r="P814" t="s">
        <v>1395</v>
      </c>
      <c r="Q814" t="s">
        <v>83</v>
      </c>
      <c r="R814" t="s">
        <v>1454</v>
      </c>
      <c r="V814">
        <v>-1.4000000000000001</v>
      </c>
      <c r="W814" t="str">
        <f t="shared" si="37"/>
        <v>Y</v>
      </c>
      <c r="X814" t="s">
        <v>3</v>
      </c>
      <c r="Z814" s="4" t="str">
        <f t="shared" si="35"/>
        <v>Y</v>
      </c>
      <c r="AA814" t="s">
        <v>1121</v>
      </c>
      <c r="AB814" t="s">
        <v>1524</v>
      </c>
      <c r="AC814" s="15" t="s">
        <v>1523</v>
      </c>
    </row>
    <row r="815" spans="1:92" x14ac:dyDescent="0.2">
      <c r="B815" t="s">
        <v>1330</v>
      </c>
      <c r="C815" t="s">
        <v>1355</v>
      </c>
      <c r="D815" t="s">
        <v>1356</v>
      </c>
      <c r="E815">
        <v>2018</v>
      </c>
      <c r="F815" t="s">
        <v>1484</v>
      </c>
      <c r="G815" t="s">
        <v>1357</v>
      </c>
      <c r="H815" s="13">
        <v>-64.459999999999994</v>
      </c>
      <c r="I815" s="13">
        <v>-64.06</v>
      </c>
      <c r="J815" s="13">
        <v>1992</v>
      </c>
      <c r="K815" s="13">
        <v>2013</v>
      </c>
      <c r="L815" s="13">
        <f t="shared" si="36"/>
        <v>22</v>
      </c>
      <c r="M815" t="s">
        <v>369</v>
      </c>
      <c r="N815" t="s">
        <v>380</v>
      </c>
      <c r="O815" t="s">
        <v>380</v>
      </c>
      <c r="P815" t="s">
        <v>1395</v>
      </c>
      <c r="Q815" t="s">
        <v>83</v>
      </c>
      <c r="R815" t="s">
        <v>1453</v>
      </c>
      <c r="V815">
        <v>-1.4000000000000001</v>
      </c>
      <c r="W815" t="str">
        <f t="shared" si="37"/>
        <v>Y</v>
      </c>
      <c r="X815" t="s">
        <v>3</v>
      </c>
      <c r="Z815" s="4" t="str">
        <f t="shared" si="35"/>
        <v>Y</v>
      </c>
      <c r="AA815" t="s">
        <v>1121</v>
      </c>
      <c r="AB815" t="s">
        <v>1524</v>
      </c>
      <c r="AC815" s="15" t="s">
        <v>1523</v>
      </c>
    </row>
    <row r="816" spans="1:92" x14ac:dyDescent="0.2">
      <c r="B816" t="s">
        <v>1330</v>
      </c>
      <c r="C816" t="s">
        <v>1355</v>
      </c>
      <c r="D816" t="s">
        <v>1356</v>
      </c>
      <c r="E816">
        <v>2018</v>
      </c>
      <c r="F816" t="s">
        <v>1484</v>
      </c>
      <c r="G816" t="s">
        <v>1357</v>
      </c>
      <c r="H816" s="13">
        <v>-64.459999999999994</v>
      </c>
      <c r="I816" s="13">
        <v>-64.06</v>
      </c>
      <c r="J816" s="13">
        <v>1992</v>
      </c>
      <c r="K816" s="13">
        <v>2013</v>
      </c>
      <c r="L816" s="13">
        <f t="shared" si="36"/>
        <v>22</v>
      </c>
      <c r="M816" t="s">
        <v>369</v>
      </c>
      <c r="N816" t="s">
        <v>380</v>
      </c>
      <c r="O816" t="s">
        <v>380</v>
      </c>
      <c r="P816" t="s">
        <v>1395</v>
      </c>
      <c r="Q816" t="s">
        <v>83</v>
      </c>
      <c r="R816" t="s">
        <v>1455</v>
      </c>
      <c r="V816">
        <v>-1.4000000000000001</v>
      </c>
      <c r="W816" t="str">
        <f t="shared" si="37"/>
        <v>Y</v>
      </c>
      <c r="X816" t="s">
        <v>3</v>
      </c>
      <c r="Z816" s="4" t="str">
        <f t="shared" si="35"/>
        <v>Y</v>
      </c>
      <c r="AA816" t="s">
        <v>1121</v>
      </c>
      <c r="AB816" t="s">
        <v>1524</v>
      </c>
      <c r="AC816" s="15" t="s">
        <v>1523</v>
      </c>
    </row>
    <row r="817" spans="1:92" x14ac:dyDescent="0.2">
      <c r="B817" t="s">
        <v>1330</v>
      </c>
      <c r="C817" t="s">
        <v>1355</v>
      </c>
      <c r="D817" t="s">
        <v>1356</v>
      </c>
      <c r="E817">
        <v>2018</v>
      </c>
      <c r="F817" t="s">
        <v>1485</v>
      </c>
      <c r="G817" t="s">
        <v>1358</v>
      </c>
      <c r="H817" s="13">
        <v>21.52</v>
      </c>
      <c r="I817" s="13">
        <v>-105.54</v>
      </c>
      <c r="J817" s="13">
        <v>1989</v>
      </c>
      <c r="K817" s="13">
        <v>2015</v>
      </c>
      <c r="L817" s="13">
        <f t="shared" si="36"/>
        <v>27</v>
      </c>
      <c r="M817" t="s">
        <v>369</v>
      </c>
      <c r="N817" t="s">
        <v>380</v>
      </c>
      <c r="O817" t="s">
        <v>380</v>
      </c>
      <c r="P817" t="s">
        <v>1407</v>
      </c>
      <c r="Q817" t="s">
        <v>1379</v>
      </c>
      <c r="R817" t="s">
        <v>1453</v>
      </c>
      <c r="V817">
        <v>-6.6000000000000005</v>
      </c>
      <c r="W817" t="str">
        <f t="shared" si="37"/>
        <v>Y</v>
      </c>
      <c r="X817" t="s">
        <v>3</v>
      </c>
      <c r="Z817" s="4" t="str">
        <f t="shared" si="35"/>
        <v>Y</v>
      </c>
      <c r="AA817" t="s">
        <v>1121</v>
      </c>
      <c r="AB817" t="s">
        <v>1524</v>
      </c>
      <c r="AC817" s="15" t="s">
        <v>1523</v>
      </c>
    </row>
    <row r="818" spans="1:92" s="4" customFormat="1" x14ac:dyDescent="0.2">
      <c r="A818"/>
      <c r="B818" t="s">
        <v>1330</v>
      </c>
      <c r="C818" t="s">
        <v>1355</v>
      </c>
      <c r="D818" t="s">
        <v>1356</v>
      </c>
      <c r="E818">
        <v>2018</v>
      </c>
      <c r="F818" t="s">
        <v>1485</v>
      </c>
      <c r="G818" t="s">
        <v>1358</v>
      </c>
      <c r="H818" s="13">
        <v>21.52</v>
      </c>
      <c r="I818" s="13">
        <v>-105.54</v>
      </c>
      <c r="J818" s="13">
        <v>1989</v>
      </c>
      <c r="K818" s="13">
        <v>2015</v>
      </c>
      <c r="L818" s="13">
        <f t="shared" si="36"/>
        <v>27</v>
      </c>
      <c r="M818" t="s">
        <v>369</v>
      </c>
      <c r="N818" t="s">
        <v>380</v>
      </c>
      <c r="O818" t="s">
        <v>380</v>
      </c>
      <c r="P818" t="s">
        <v>1407</v>
      </c>
      <c r="Q818" t="s">
        <v>1379</v>
      </c>
      <c r="R818" t="s">
        <v>1455</v>
      </c>
      <c r="S818"/>
      <c r="T818"/>
      <c r="U818"/>
      <c r="V818">
        <v>11.5</v>
      </c>
      <c r="W818" t="str">
        <f t="shared" si="37"/>
        <v>N</v>
      </c>
      <c r="X818" t="s">
        <v>3</v>
      </c>
      <c r="Y818"/>
      <c r="Z818" s="4" t="str">
        <f t="shared" si="35"/>
        <v>Y</v>
      </c>
      <c r="AA818" t="s">
        <v>1121</v>
      </c>
      <c r="AB818" t="s">
        <v>1524</v>
      </c>
      <c r="AC818" s="15" t="s">
        <v>1523</v>
      </c>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CF818"/>
      <c r="CG818"/>
      <c r="CH818"/>
      <c r="CI818"/>
      <c r="CJ818"/>
      <c r="CK818"/>
      <c r="CL818"/>
      <c r="CM818"/>
      <c r="CN818"/>
    </row>
    <row r="819" spans="1:92" s="4" customFormat="1" x14ac:dyDescent="0.2">
      <c r="A819"/>
      <c r="B819" t="s">
        <v>1330</v>
      </c>
      <c r="C819" t="s">
        <v>1355</v>
      </c>
      <c r="D819" t="s">
        <v>1356</v>
      </c>
      <c r="E819">
        <v>2018</v>
      </c>
      <c r="F819" t="s">
        <v>1486</v>
      </c>
      <c r="G819" t="s">
        <v>1358</v>
      </c>
      <c r="H819" s="13">
        <v>56.19</v>
      </c>
      <c r="I819" s="13">
        <v>-2.56</v>
      </c>
      <c r="J819" s="13">
        <v>1973</v>
      </c>
      <c r="K819" s="13">
        <v>2015</v>
      </c>
      <c r="L819" s="13">
        <f t="shared" si="36"/>
        <v>43</v>
      </c>
      <c r="M819" t="s">
        <v>369</v>
      </c>
      <c r="N819" t="s">
        <v>380</v>
      </c>
      <c r="O819" t="s">
        <v>380</v>
      </c>
      <c r="P819" t="s">
        <v>1400</v>
      </c>
      <c r="Q819" t="s">
        <v>455</v>
      </c>
      <c r="R819" t="s">
        <v>1451</v>
      </c>
      <c r="S819"/>
      <c r="T819"/>
      <c r="U819"/>
      <c r="V819">
        <v>1.2</v>
      </c>
      <c r="W819" t="str">
        <f t="shared" si="37"/>
        <v>N</v>
      </c>
      <c r="X819" t="s">
        <v>3</v>
      </c>
      <c r="Y819"/>
      <c r="Z819" s="4" t="str">
        <f t="shared" si="35"/>
        <v>Y</v>
      </c>
      <c r="AA819" t="s">
        <v>1121</v>
      </c>
      <c r="AB819" t="s">
        <v>1524</v>
      </c>
      <c r="AC819" s="15" t="s">
        <v>1523</v>
      </c>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row>
    <row r="820" spans="1:92" s="4" customFormat="1" x14ac:dyDescent="0.2">
      <c r="A820"/>
      <c r="B820" t="s">
        <v>1330</v>
      </c>
      <c r="C820" t="s">
        <v>1355</v>
      </c>
      <c r="D820" t="s">
        <v>1356</v>
      </c>
      <c r="E820">
        <v>2018</v>
      </c>
      <c r="F820" t="s">
        <v>1486</v>
      </c>
      <c r="G820" t="s">
        <v>1358</v>
      </c>
      <c r="H820" s="13">
        <v>56.19</v>
      </c>
      <c r="I820" s="13">
        <v>-2.56</v>
      </c>
      <c r="J820" s="13">
        <v>1981</v>
      </c>
      <c r="K820" s="13">
        <v>2015</v>
      </c>
      <c r="L820" s="13">
        <f t="shared" si="36"/>
        <v>35</v>
      </c>
      <c r="M820" t="s">
        <v>369</v>
      </c>
      <c r="N820" t="s">
        <v>380</v>
      </c>
      <c r="O820" t="s">
        <v>380</v>
      </c>
      <c r="P820" t="s">
        <v>485</v>
      </c>
      <c r="Q820" t="s">
        <v>87</v>
      </c>
      <c r="R820" t="s">
        <v>1455</v>
      </c>
      <c r="S820"/>
      <c r="T820"/>
      <c r="U820"/>
      <c r="V820">
        <v>2.7</v>
      </c>
      <c r="W820" t="str">
        <f t="shared" si="37"/>
        <v>N</v>
      </c>
      <c r="X820" t="s">
        <v>3</v>
      </c>
      <c r="Y820"/>
      <c r="Z820" s="4" t="str">
        <f t="shared" si="35"/>
        <v>Y</v>
      </c>
      <c r="AA820" t="s">
        <v>1121</v>
      </c>
      <c r="AB820" t="s">
        <v>1524</v>
      </c>
      <c r="AC820" s="15" t="s">
        <v>1523</v>
      </c>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row>
    <row r="821" spans="1:92" s="4" customFormat="1" x14ac:dyDescent="0.2">
      <c r="A821"/>
      <c r="B821" t="s">
        <v>1330</v>
      </c>
      <c r="C821" t="s">
        <v>1355</v>
      </c>
      <c r="D821" t="s">
        <v>1356</v>
      </c>
      <c r="E821">
        <v>2018</v>
      </c>
      <c r="F821" t="s">
        <v>1486</v>
      </c>
      <c r="G821" t="s">
        <v>1358</v>
      </c>
      <c r="H821" s="13">
        <v>56.19</v>
      </c>
      <c r="I821" s="13">
        <v>-2.56</v>
      </c>
      <c r="J821" s="13">
        <v>1981</v>
      </c>
      <c r="K821" s="13">
        <v>2015</v>
      </c>
      <c r="L821" s="13">
        <f t="shared" si="36"/>
        <v>35</v>
      </c>
      <c r="M821" t="s">
        <v>369</v>
      </c>
      <c r="N821" t="s">
        <v>380</v>
      </c>
      <c r="O821" t="s">
        <v>380</v>
      </c>
      <c r="P821" t="s">
        <v>494</v>
      </c>
      <c r="Q821" t="s">
        <v>93</v>
      </c>
      <c r="R821" t="s">
        <v>1454</v>
      </c>
      <c r="S821"/>
      <c r="T821"/>
      <c r="U821"/>
      <c r="V821">
        <v>-0.70000000000000007</v>
      </c>
      <c r="W821" t="str">
        <f t="shared" si="37"/>
        <v>Y</v>
      </c>
      <c r="X821" t="s">
        <v>3</v>
      </c>
      <c r="Y821"/>
      <c r="Z821" s="4" t="str">
        <f t="shared" si="35"/>
        <v>Y</v>
      </c>
      <c r="AA821" t="s">
        <v>1121</v>
      </c>
      <c r="AB821" t="s">
        <v>1524</v>
      </c>
      <c r="AC821" s="15" t="s">
        <v>1523</v>
      </c>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row>
    <row r="822" spans="1:92" x14ac:dyDescent="0.2">
      <c r="B822" t="s">
        <v>1330</v>
      </c>
      <c r="C822" t="s">
        <v>1355</v>
      </c>
      <c r="D822" t="s">
        <v>1356</v>
      </c>
      <c r="E822">
        <v>2018</v>
      </c>
      <c r="F822" t="s">
        <v>1486</v>
      </c>
      <c r="G822" t="s">
        <v>1358</v>
      </c>
      <c r="H822" s="13">
        <v>56.19</v>
      </c>
      <c r="I822" s="13">
        <v>-2.56</v>
      </c>
      <c r="J822" s="13">
        <v>1981</v>
      </c>
      <c r="K822" s="13">
        <v>2015</v>
      </c>
      <c r="L822" s="13">
        <f t="shared" si="36"/>
        <v>35</v>
      </c>
      <c r="M822" t="s">
        <v>369</v>
      </c>
      <c r="N822" t="s">
        <v>380</v>
      </c>
      <c r="O822" t="s">
        <v>380</v>
      </c>
      <c r="P822" t="s">
        <v>494</v>
      </c>
      <c r="Q822" t="s">
        <v>93</v>
      </c>
      <c r="R822" t="s">
        <v>1455</v>
      </c>
      <c r="V822">
        <v>-0.4</v>
      </c>
      <c r="W822" t="str">
        <f t="shared" si="37"/>
        <v>Y</v>
      </c>
      <c r="X822" t="s">
        <v>3</v>
      </c>
      <c r="Z822" s="4" t="str">
        <f t="shared" si="35"/>
        <v>Y</v>
      </c>
      <c r="AA822" t="s">
        <v>1121</v>
      </c>
      <c r="AB822" t="s">
        <v>1524</v>
      </c>
      <c r="AC822" s="15" t="s">
        <v>1523</v>
      </c>
    </row>
    <row r="823" spans="1:92" x14ac:dyDescent="0.2">
      <c r="B823" t="s">
        <v>1330</v>
      </c>
      <c r="C823" t="s">
        <v>1355</v>
      </c>
      <c r="D823" t="s">
        <v>1356</v>
      </c>
      <c r="E823">
        <v>2018</v>
      </c>
      <c r="F823" t="s">
        <v>1486</v>
      </c>
      <c r="G823" t="s">
        <v>1358</v>
      </c>
      <c r="H823" s="13">
        <v>56.19</v>
      </c>
      <c r="I823" s="13">
        <v>-2.56</v>
      </c>
      <c r="J823" s="13">
        <v>1973</v>
      </c>
      <c r="K823" s="13">
        <v>2015</v>
      </c>
      <c r="L823" s="13">
        <f t="shared" si="36"/>
        <v>43</v>
      </c>
      <c r="M823" t="s">
        <v>369</v>
      </c>
      <c r="N823" t="s">
        <v>380</v>
      </c>
      <c r="O823" t="s">
        <v>380</v>
      </c>
      <c r="P823" t="s">
        <v>495</v>
      </c>
      <c r="Q823" t="s">
        <v>92</v>
      </c>
      <c r="R823" t="s">
        <v>1455</v>
      </c>
      <c r="V823">
        <v>-10.199999999999999</v>
      </c>
      <c r="W823" t="str">
        <f t="shared" si="37"/>
        <v>Y</v>
      </c>
      <c r="X823" t="s">
        <v>3</v>
      </c>
      <c r="Z823" s="4" t="str">
        <f t="shared" si="35"/>
        <v>Y</v>
      </c>
      <c r="AA823" t="s">
        <v>1121</v>
      </c>
      <c r="AB823" t="s">
        <v>1524</v>
      </c>
      <c r="AC823" s="15" t="s">
        <v>1523</v>
      </c>
    </row>
    <row r="824" spans="1:92" x14ac:dyDescent="0.2">
      <c r="B824" t="s">
        <v>1330</v>
      </c>
      <c r="C824" t="s">
        <v>1355</v>
      </c>
      <c r="D824" t="s">
        <v>1356</v>
      </c>
      <c r="E824">
        <v>2018</v>
      </c>
      <c r="F824" t="s">
        <v>1486</v>
      </c>
      <c r="G824" t="s">
        <v>1358</v>
      </c>
      <c r="H824" s="13">
        <v>56.19</v>
      </c>
      <c r="I824" s="13">
        <v>-2.56</v>
      </c>
      <c r="J824" s="13">
        <v>1982</v>
      </c>
      <c r="K824" s="13">
        <v>2015</v>
      </c>
      <c r="L824" s="13">
        <f t="shared" si="36"/>
        <v>34</v>
      </c>
      <c r="M824" t="s">
        <v>369</v>
      </c>
      <c r="N824" t="s">
        <v>380</v>
      </c>
      <c r="O824" t="s">
        <v>380</v>
      </c>
      <c r="P824" t="s">
        <v>138</v>
      </c>
      <c r="Q824" t="s">
        <v>454</v>
      </c>
      <c r="R824" t="s">
        <v>1455</v>
      </c>
      <c r="V824">
        <v>-1.1000000000000001</v>
      </c>
      <c r="W824" t="str">
        <f t="shared" si="37"/>
        <v>Y</v>
      </c>
      <c r="X824" t="s">
        <v>3</v>
      </c>
      <c r="Z824" s="4" t="str">
        <f t="shared" si="35"/>
        <v>Y</v>
      </c>
      <c r="AA824" t="s">
        <v>1121</v>
      </c>
      <c r="AB824" t="s">
        <v>1524</v>
      </c>
      <c r="AC824" s="15" t="s">
        <v>1523</v>
      </c>
    </row>
    <row r="825" spans="1:92" x14ac:dyDescent="0.2">
      <c r="A825" s="4"/>
      <c r="B825" s="4" t="s">
        <v>1330</v>
      </c>
      <c r="C825" s="4" t="s">
        <v>1355</v>
      </c>
      <c r="D825" s="4" t="s">
        <v>1356</v>
      </c>
      <c r="E825" s="4">
        <v>2018</v>
      </c>
      <c r="F825" s="4" t="s">
        <v>1487</v>
      </c>
      <c r="G825" s="4" t="s">
        <v>1358</v>
      </c>
      <c r="H825" s="37">
        <v>67.3</v>
      </c>
      <c r="I825" s="37">
        <v>12.03</v>
      </c>
      <c r="J825" s="37">
        <v>2006</v>
      </c>
      <c r="K825" s="37">
        <v>2015</v>
      </c>
      <c r="L825" s="37">
        <f t="shared" si="36"/>
        <v>10</v>
      </c>
      <c r="M825" s="4" t="s">
        <v>369</v>
      </c>
      <c r="N825" s="4" t="s">
        <v>380</v>
      </c>
      <c r="O825" s="4" t="s">
        <v>380</v>
      </c>
      <c r="P825" s="4" t="s">
        <v>485</v>
      </c>
      <c r="Q825" s="4" t="s">
        <v>87</v>
      </c>
      <c r="R825" s="4" t="s">
        <v>1452</v>
      </c>
      <c r="S825" s="4"/>
      <c r="V825" s="4">
        <v>-15.8</v>
      </c>
      <c r="W825" s="4" t="str">
        <f t="shared" si="37"/>
        <v>Y</v>
      </c>
      <c r="X825" s="4" t="s">
        <v>24</v>
      </c>
      <c r="Y825" s="4"/>
      <c r="Z825" s="4" t="str">
        <f t="shared" si="35"/>
        <v>N</v>
      </c>
      <c r="AA825" s="4" t="s">
        <v>1121</v>
      </c>
      <c r="AB825" s="4" t="s">
        <v>1524</v>
      </c>
      <c r="AC825" s="39" t="s">
        <v>1523</v>
      </c>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row>
    <row r="826" spans="1:92" x14ac:dyDescent="0.2">
      <c r="B826" t="s">
        <v>1330</v>
      </c>
      <c r="C826" t="s">
        <v>1355</v>
      </c>
      <c r="D826" t="s">
        <v>1356</v>
      </c>
      <c r="E826">
        <v>2018</v>
      </c>
      <c r="F826" t="s">
        <v>1488</v>
      </c>
      <c r="G826" t="s">
        <v>1358</v>
      </c>
      <c r="H826" s="13">
        <v>72.5</v>
      </c>
      <c r="I826" s="13">
        <v>-24</v>
      </c>
      <c r="J826" s="13">
        <v>1988</v>
      </c>
      <c r="K826" s="13">
        <v>2015</v>
      </c>
      <c r="L826" s="13">
        <f t="shared" si="36"/>
        <v>28</v>
      </c>
      <c r="M826" t="s">
        <v>369</v>
      </c>
      <c r="N826" t="s">
        <v>380</v>
      </c>
      <c r="O826" t="s">
        <v>380</v>
      </c>
      <c r="P826" t="s">
        <v>1432</v>
      </c>
      <c r="Q826" t="s">
        <v>1380</v>
      </c>
      <c r="R826" t="s">
        <v>1453</v>
      </c>
      <c r="V826">
        <v>-0.8</v>
      </c>
      <c r="W826" t="str">
        <f t="shared" si="37"/>
        <v>Y</v>
      </c>
      <c r="X826" t="s">
        <v>3</v>
      </c>
      <c r="Z826" s="4" t="str">
        <f t="shared" si="35"/>
        <v>Y</v>
      </c>
      <c r="AA826" t="s">
        <v>1121</v>
      </c>
      <c r="AB826" t="s">
        <v>1524</v>
      </c>
      <c r="AC826" s="15" t="s">
        <v>1523</v>
      </c>
    </row>
    <row r="827" spans="1:92" x14ac:dyDescent="0.2">
      <c r="A827" s="4"/>
      <c r="B827" s="4" t="s">
        <v>1330</v>
      </c>
      <c r="C827" s="4" t="s">
        <v>1355</v>
      </c>
      <c r="D827" s="4" t="s">
        <v>1356</v>
      </c>
      <c r="E827" s="4">
        <v>2018</v>
      </c>
      <c r="F827" s="4" t="s">
        <v>1489</v>
      </c>
      <c r="G827" s="4" t="s">
        <v>1358</v>
      </c>
      <c r="H827" s="37">
        <v>52.18</v>
      </c>
      <c r="I827" s="37">
        <v>-175.51</v>
      </c>
      <c r="J827" s="37">
        <v>1996</v>
      </c>
      <c r="K827" s="37">
        <v>2008</v>
      </c>
      <c r="L827" s="37">
        <f t="shared" si="36"/>
        <v>13</v>
      </c>
      <c r="M827" s="4" t="s">
        <v>369</v>
      </c>
      <c r="N827" s="4" t="s">
        <v>380</v>
      </c>
      <c r="O827" s="4" t="s">
        <v>380</v>
      </c>
      <c r="P827" s="4" t="s">
        <v>1415</v>
      </c>
      <c r="Q827" s="4" t="s">
        <v>1371</v>
      </c>
      <c r="R827" s="4" t="s">
        <v>1452</v>
      </c>
      <c r="S827" s="4"/>
      <c r="V827" s="4">
        <v>0.89999999999999991</v>
      </c>
      <c r="W827" s="4" t="str">
        <f t="shared" si="37"/>
        <v>N</v>
      </c>
      <c r="X827" s="4" t="s">
        <v>24</v>
      </c>
      <c r="Y827" s="4"/>
      <c r="Z827" s="4" t="str">
        <f t="shared" si="35"/>
        <v>N</v>
      </c>
      <c r="AA827" s="4" t="s">
        <v>1121</v>
      </c>
      <c r="AB827" s="4" t="s">
        <v>1524</v>
      </c>
      <c r="AC827" s="39" t="s">
        <v>1523</v>
      </c>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row>
    <row r="828" spans="1:92" x14ac:dyDescent="0.2">
      <c r="A828" s="4"/>
      <c r="B828" s="4" t="s">
        <v>1330</v>
      </c>
      <c r="C828" s="4" t="s">
        <v>1355</v>
      </c>
      <c r="D828" s="4" t="s">
        <v>1356</v>
      </c>
      <c r="E828" s="4">
        <v>2018</v>
      </c>
      <c r="F828" s="4" t="s">
        <v>1489</v>
      </c>
      <c r="G828" s="4" t="s">
        <v>1358</v>
      </c>
      <c r="H828" s="37">
        <v>52.18</v>
      </c>
      <c r="I828" s="37">
        <v>-175.51</v>
      </c>
      <c r="J828" s="37">
        <v>1996</v>
      </c>
      <c r="K828" s="37">
        <v>2008</v>
      </c>
      <c r="L828" s="37">
        <f t="shared" si="36"/>
        <v>13</v>
      </c>
      <c r="M828" s="4" t="s">
        <v>369</v>
      </c>
      <c r="N828" s="4" t="s">
        <v>380</v>
      </c>
      <c r="O828" s="4" t="s">
        <v>380</v>
      </c>
      <c r="P828" s="4" t="s">
        <v>1429</v>
      </c>
      <c r="Q828" s="4" t="s">
        <v>1372</v>
      </c>
      <c r="R828" s="4" t="s">
        <v>1452</v>
      </c>
      <c r="S828" s="4"/>
      <c r="V828" s="4">
        <v>2.5</v>
      </c>
      <c r="W828" s="4" t="str">
        <f t="shared" si="37"/>
        <v>N</v>
      </c>
      <c r="X828" s="4" t="s">
        <v>24</v>
      </c>
      <c r="Y828" s="4"/>
      <c r="Z828" s="4" t="str">
        <f t="shared" si="35"/>
        <v>N</v>
      </c>
      <c r="AA828" s="4" t="s">
        <v>1121</v>
      </c>
      <c r="AB828" s="4" t="s">
        <v>1524</v>
      </c>
      <c r="AC828" s="39" t="s">
        <v>1523</v>
      </c>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row>
    <row r="829" spans="1:92" x14ac:dyDescent="0.2">
      <c r="A829" s="4"/>
      <c r="B829" s="4" t="s">
        <v>1330</v>
      </c>
      <c r="C829" s="4" t="s">
        <v>1355</v>
      </c>
      <c r="D829" s="4" t="s">
        <v>1356</v>
      </c>
      <c r="E829" s="4">
        <v>2018</v>
      </c>
      <c r="F829" s="4" t="s">
        <v>1490</v>
      </c>
      <c r="G829" s="4" t="s">
        <v>1358</v>
      </c>
      <c r="H829" s="37">
        <v>53</v>
      </c>
      <c r="I829" s="37">
        <v>4.72</v>
      </c>
      <c r="J829" s="37">
        <v>2006</v>
      </c>
      <c r="K829" s="37">
        <v>2015</v>
      </c>
      <c r="L829" s="37">
        <f t="shared" si="36"/>
        <v>10</v>
      </c>
      <c r="M829" s="4" t="s">
        <v>369</v>
      </c>
      <c r="N829" s="4" t="s">
        <v>380</v>
      </c>
      <c r="O829" s="4" t="s">
        <v>380</v>
      </c>
      <c r="P829" s="4" t="s">
        <v>1416</v>
      </c>
      <c r="Q829" s="4" t="s">
        <v>1381</v>
      </c>
      <c r="R829" s="4" t="s">
        <v>1451</v>
      </c>
      <c r="S829" s="4"/>
      <c r="V829" s="4">
        <v>-4.3</v>
      </c>
      <c r="W829" s="4" t="str">
        <f t="shared" si="37"/>
        <v>Y</v>
      </c>
      <c r="X829" s="4" t="s">
        <v>24</v>
      </c>
      <c r="Y829" s="4"/>
      <c r="Z829" s="4" t="str">
        <f t="shared" si="35"/>
        <v>N</v>
      </c>
      <c r="AA829" s="4" t="s">
        <v>1121</v>
      </c>
      <c r="AB829" s="4" t="s">
        <v>1524</v>
      </c>
      <c r="AC829" s="39" t="s">
        <v>1523</v>
      </c>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row>
    <row r="830" spans="1:92" x14ac:dyDescent="0.2">
      <c r="A830" s="4"/>
      <c r="B830" s="4" t="s">
        <v>1330</v>
      </c>
      <c r="C830" s="4" t="s">
        <v>1355</v>
      </c>
      <c r="D830" s="4" t="s">
        <v>1356</v>
      </c>
      <c r="E830" s="4">
        <v>2018</v>
      </c>
      <c r="F830" s="4" t="s">
        <v>1490</v>
      </c>
      <c r="G830" s="4" t="s">
        <v>1358</v>
      </c>
      <c r="H830" s="37">
        <v>53</v>
      </c>
      <c r="I830" s="37">
        <v>4.72</v>
      </c>
      <c r="J830" s="37">
        <v>2006</v>
      </c>
      <c r="K830" s="37">
        <v>2015</v>
      </c>
      <c r="L830" s="37">
        <f t="shared" si="36"/>
        <v>10</v>
      </c>
      <c r="M830" s="4" t="s">
        <v>369</v>
      </c>
      <c r="N830" s="4" t="s">
        <v>380</v>
      </c>
      <c r="O830" s="4" t="s">
        <v>380</v>
      </c>
      <c r="P830" s="4" t="s">
        <v>1416</v>
      </c>
      <c r="Q830" s="4" t="s">
        <v>1381</v>
      </c>
      <c r="R830" s="4" t="s">
        <v>1454</v>
      </c>
      <c r="S830" s="4"/>
      <c r="V830" s="4">
        <v>0</v>
      </c>
      <c r="W830" s="4" t="str">
        <f t="shared" si="37"/>
        <v>N</v>
      </c>
      <c r="X830" s="4" t="s">
        <v>24</v>
      </c>
      <c r="Y830" s="4"/>
      <c r="Z830" s="4" t="str">
        <f t="shared" si="35"/>
        <v>N</v>
      </c>
      <c r="AA830" s="4" t="s">
        <v>1121</v>
      </c>
      <c r="AB830" s="4" t="s">
        <v>1524</v>
      </c>
      <c r="AC830" s="39" t="s">
        <v>1523</v>
      </c>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row>
    <row r="831" spans="1:92" x14ac:dyDescent="0.2">
      <c r="A831" s="4"/>
      <c r="B831" s="4" t="s">
        <v>1330</v>
      </c>
      <c r="C831" s="4" t="s">
        <v>1355</v>
      </c>
      <c r="D831" s="4" t="s">
        <v>1356</v>
      </c>
      <c r="E831" s="4">
        <v>2018</v>
      </c>
      <c r="F831" s="4" t="s">
        <v>1490</v>
      </c>
      <c r="G831" s="4" t="s">
        <v>1358</v>
      </c>
      <c r="H831" s="37">
        <v>53</v>
      </c>
      <c r="I831" s="37">
        <v>4.72</v>
      </c>
      <c r="J831" s="37">
        <v>2006</v>
      </c>
      <c r="K831" s="37">
        <v>2015</v>
      </c>
      <c r="L831" s="37">
        <f t="shared" si="36"/>
        <v>10</v>
      </c>
      <c r="M831" s="4" t="s">
        <v>369</v>
      </c>
      <c r="N831" s="4" t="s">
        <v>380</v>
      </c>
      <c r="O831" s="4" t="s">
        <v>380</v>
      </c>
      <c r="P831" s="4" t="s">
        <v>1416</v>
      </c>
      <c r="Q831" s="4" t="s">
        <v>1381</v>
      </c>
      <c r="R831" s="4" t="s">
        <v>1453</v>
      </c>
      <c r="S831" s="4"/>
      <c r="V831" s="4">
        <v>2.2000000000000002</v>
      </c>
      <c r="W831" s="4" t="str">
        <f t="shared" si="37"/>
        <v>N</v>
      </c>
      <c r="X831" s="4" t="s">
        <v>24</v>
      </c>
      <c r="Y831" s="4"/>
      <c r="Z831" s="4" t="str">
        <f t="shared" si="35"/>
        <v>N</v>
      </c>
      <c r="AA831" s="4" t="s">
        <v>1121</v>
      </c>
      <c r="AB831" s="4" t="s">
        <v>1524</v>
      </c>
      <c r="AC831" s="39" t="s">
        <v>1523</v>
      </c>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row>
    <row r="832" spans="1:92" x14ac:dyDescent="0.2">
      <c r="A832" s="4"/>
      <c r="B832" s="4" t="s">
        <v>1330</v>
      </c>
      <c r="C832" s="4" t="s">
        <v>1355</v>
      </c>
      <c r="D832" s="4" t="s">
        <v>1356</v>
      </c>
      <c r="E832" s="4">
        <v>2018</v>
      </c>
      <c r="F832" s="4" t="s">
        <v>1490</v>
      </c>
      <c r="G832" s="4" t="s">
        <v>1358</v>
      </c>
      <c r="H832" s="37">
        <v>53</v>
      </c>
      <c r="I832" s="37">
        <v>4.72</v>
      </c>
      <c r="J832" s="37">
        <v>2006</v>
      </c>
      <c r="K832" s="37">
        <v>2015</v>
      </c>
      <c r="L832" s="37">
        <f t="shared" si="36"/>
        <v>10</v>
      </c>
      <c r="M832" s="4" t="s">
        <v>369</v>
      </c>
      <c r="N832" s="4" t="s">
        <v>380</v>
      </c>
      <c r="O832" s="4" t="s">
        <v>380</v>
      </c>
      <c r="P832" s="4" t="s">
        <v>1416</v>
      </c>
      <c r="Q832" s="4" t="s">
        <v>1381</v>
      </c>
      <c r="R832" s="4" t="s">
        <v>1455</v>
      </c>
      <c r="S832" s="4"/>
      <c r="V832" s="4">
        <v>3.3000000000000003</v>
      </c>
      <c r="W832" s="4" t="str">
        <f t="shared" si="37"/>
        <v>N</v>
      </c>
      <c r="X832" s="4" t="s">
        <v>24</v>
      </c>
      <c r="Y832" s="4"/>
      <c r="Z832" s="4" t="str">
        <f t="shared" si="35"/>
        <v>N</v>
      </c>
      <c r="AA832" s="4" t="s">
        <v>1121</v>
      </c>
      <c r="AB832" s="4" t="s">
        <v>1524</v>
      </c>
      <c r="AC832" s="39" t="s">
        <v>1523</v>
      </c>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row>
    <row r="833" spans="1:92" x14ac:dyDescent="0.2">
      <c r="A833" s="4"/>
      <c r="B833" s="4" t="s">
        <v>1330</v>
      </c>
      <c r="C833" s="4" t="s">
        <v>1355</v>
      </c>
      <c r="D833" s="4" t="s">
        <v>1356</v>
      </c>
      <c r="E833" s="4">
        <v>2018</v>
      </c>
      <c r="F833" s="4" t="s">
        <v>1490</v>
      </c>
      <c r="G833" s="4" t="s">
        <v>1358</v>
      </c>
      <c r="H833" s="37">
        <v>53</v>
      </c>
      <c r="I833" s="37">
        <v>4.72</v>
      </c>
      <c r="J833" s="37">
        <v>2006</v>
      </c>
      <c r="K833" s="37">
        <v>2015</v>
      </c>
      <c r="L833" s="37">
        <f t="shared" si="36"/>
        <v>10</v>
      </c>
      <c r="M833" s="4" t="s">
        <v>369</v>
      </c>
      <c r="N833" s="4" t="s">
        <v>380</v>
      </c>
      <c r="O833" s="4" t="s">
        <v>380</v>
      </c>
      <c r="P833" s="4" t="s">
        <v>1427</v>
      </c>
      <c r="Q833" s="4" t="s">
        <v>1382</v>
      </c>
      <c r="R833" s="4" t="s">
        <v>1451</v>
      </c>
      <c r="S833" s="4"/>
      <c r="V833" s="4">
        <v>7.7</v>
      </c>
      <c r="W833" s="4" t="str">
        <f t="shared" si="37"/>
        <v>N</v>
      </c>
      <c r="X833" s="4" t="s">
        <v>24</v>
      </c>
      <c r="Y833" s="4"/>
      <c r="Z833" s="4" t="str">
        <f t="shared" si="35"/>
        <v>N</v>
      </c>
      <c r="AA833" s="4" t="s">
        <v>1121</v>
      </c>
      <c r="AB833" s="4" t="s">
        <v>1524</v>
      </c>
      <c r="AC833" s="39" t="s">
        <v>1523</v>
      </c>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row>
    <row r="834" spans="1:92" x14ac:dyDescent="0.2">
      <c r="A834" s="4"/>
      <c r="B834" s="4" t="s">
        <v>1330</v>
      </c>
      <c r="C834" s="4" t="s">
        <v>1355</v>
      </c>
      <c r="D834" s="4" t="s">
        <v>1356</v>
      </c>
      <c r="E834" s="4">
        <v>2018</v>
      </c>
      <c r="F834" s="4" t="s">
        <v>1490</v>
      </c>
      <c r="G834" s="4" t="s">
        <v>1358</v>
      </c>
      <c r="H834" s="37">
        <v>53</v>
      </c>
      <c r="I834" s="37">
        <v>4.72</v>
      </c>
      <c r="J834" s="37">
        <v>2006</v>
      </c>
      <c r="K834" s="37">
        <v>2015</v>
      </c>
      <c r="L834" s="37">
        <f t="shared" si="36"/>
        <v>10</v>
      </c>
      <c r="M834" s="4" t="s">
        <v>369</v>
      </c>
      <c r="N834" s="4" t="s">
        <v>380</v>
      </c>
      <c r="O834" s="4" t="s">
        <v>380</v>
      </c>
      <c r="P834" s="4" t="s">
        <v>1427</v>
      </c>
      <c r="Q834" s="4" t="s">
        <v>1382</v>
      </c>
      <c r="R834" s="4" t="s">
        <v>1454</v>
      </c>
      <c r="S834" s="4"/>
      <c r="V834" s="4">
        <v>10.199999999999999</v>
      </c>
      <c r="W834" s="4" t="str">
        <f t="shared" si="37"/>
        <v>N</v>
      </c>
      <c r="X834" s="4" t="s">
        <v>24</v>
      </c>
      <c r="Y834" s="4"/>
      <c r="Z834" s="4" t="str">
        <f t="shared" ref="Z834:Z897" si="38">IF(L834&gt;=19,"Y","N")</f>
        <v>N</v>
      </c>
      <c r="AA834" s="4" t="s">
        <v>1121</v>
      </c>
      <c r="AB834" s="4" t="s">
        <v>1524</v>
      </c>
      <c r="AC834" s="39" t="s">
        <v>1523</v>
      </c>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row>
    <row r="835" spans="1:92" x14ac:dyDescent="0.2">
      <c r="A835" s="4"/>
      <c r="B835" s="4" t="s">
        <v>1330</v>
      </c>
      <c r="C835" s="4" t="s">
        <v>1355</v>
      </c>
      <c r="D835" s="4" t="s">
        <v>1356</v>
      </c>
      <c r="E835" s="4">
        <v>2018</v>
      </c>
      <c r="F835" s="4" t="s">
        <v>1490</v>
      </c>
      <c r="G835" s="4" t="s">
        <v>1358</v>
      </c>
      <c r="H835" s="37">
        <v>53</v>
      </c>
      <c r="I835" s="37">
        <v>4.72</v>
      </c>
      <c r="J835" s="37">
        <v>2006</v>
      </c>
      <c r="K835" s="37">
        <v>2015</v>
      </c>
      <c r="L835" s="37">
        <f t="shared" si="36"/>
        <v>10</v>
      </c>
      <c r="M835" s="4" t="s">
        <v>369</v>
      </c>
      <c r="N835" s="4" t="s">
        <v>380</v>
      </c>
      <c r="O835" s="4" t="s">
        <v>380</v>
      </c>
      <c r="P835" s="4" t="s">
        <v>1427</v>
      </c>
      <c r="Q835" s="4" t="s">
        <v>1382</v>
      </c>
      <c r="R835" s="4" t="s">
        <v>1453</v>
      </c>
      <c r="S835" s="4"/>
      <c r="V835" s="4">
        <v>11.299999999999999</v>
      </c>
      <c r="W835" s="4" t="str">
        <f t="shared" si="37"/>
        <v>N</v>
      </c>
      <c r="X835" s="4" t="s">
        <v>24</v>
      </c>
      <c r="Y835" s="4"/>
      <c r="Z835" s="4" t="str">
        <f t="shared" si="38"/>
        <v>N</v>
      </c>
      <c r="AA835" s="4" t="s">
        <v>1121</v>
      </c>
      <c r="AB835" s="4" t="s">
        <v>1524</v>
      </c>
      <c r="AC835" s="39" t="s">
        <v>1523</v>
      </c>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row>
    <row r="836" spans="1:92" x14ac:dyDescent="0.2">
      <c r="A836" s="4"/>
      <c r="B836" s="4" t="s">
        <v>1330</v>
      </c>
      <c r="C836" s="4" t="s">
        <v>1355</v>
      </c>
      <c r="D836" s="4" t="s">
        <v>1356</v>
      </c>
      <c r="E836" s="4">
        <v>2018</v>
      </c>
      <c r="F836" s="4" t="s">
        <v>1490</v>
      </c>
      <c r="G836" s="4" t="s">
        <v>1358</v>
      </c>
      <c r="H836" s="37">
        <v>53</v>
      </c>
      <c r="I836" s="37">
        <v>4.72</v>
      </c>
      <c r="J836" s="37">
        <v>2006</v>
      </c>
      <c r="K836" s="37">
        <v>2015</v>
      </c>
      <c r="L836" s="37">
        <f t="shared" si="36"/>
        <v>10</v>
      </c>
      <c r="M836" s="4" t="s">
        <v>369</v>
      </c>
      <c r="N836" s="4" t="s">
        <v>380</v>
      </c>
      <c r="O836" s="4" t="s">
        <v>380</v>
      </c>
      <c r="P836" s="4" t="s">
        <v>1427</v>
      </c>
      <c r="Q836" s="4" t="s">
        <v>1382</v>
      </c>
      <c r="R836" s="4" t="s">
        <v>1455</v>
      </c>
      <c r="S836" s="4"/>
      <c r="V836" s="4">
        <v>11.7</v>
      </c>
      <c r="W836" s="4" t="str">
        <f t="shared" si="37"/>
        <v>N</v>
      </c>
      <c r="X836" s="4" t="s">
        <v>24</v>
      </c>
      <c r="Y836" s="4"/>
      <c r="Z836" s="4" t="str">
        <f t="shared" si="38"/>
        <v>N</v>
      </c>
      <c r="AA836" s="4" t="s">
        <v>1121</v>
      </c>
      <c r="AB836" s="4" t="s">
        <v>1524</v>
      </c>
      <c r="AC836" s="39" t="s">
        <v>1523</v>
      </c>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row>
    <row r="837" spans="1:92" s="4" customFormat="1" x14ac:dyDescent="0.2">
      <c r="B837" s="4" t="s">
        <v>1330</v>
      </c>
      <c r="C837" s="4" t="s">
        <v>1355</v>
      </c>
      <c r="D837" s="4" t="s">
        <v>1356</v>
      </c>
      <c r="E837" s="4">
        <v>2018</v>
      </c>
      <c r="F837" s="4" t="s">
        <v>1491</v>
      </c>
      <c r="G837" s="4" t="s">
        <v>1358</v>
      </c>
      <c r="H837" s="37">
        <v>52.08</v>
      </c>
      <c r="I837" s="37">
        <v>-177.36</v>
      </c>
      <c r="J837" s="37">
        <v>2001</v>
      </c>
      <c r="K837" s="37">
        <v>2010</v>
      </c>
      <c r="L837" s="37">
        <f t="shared" si="36"/>
        <v>10</v>
      </c>
      <c r="M837" s="4" t="s">
        <v>369</v>
      </c>
      <c r="N837" s="4" t="s">
        <v>380</v>
      </c>
      <c r="O837" s="4" t="s">
        <v>380</v>
      </c>
      <c r="P837" s="4" t="s">
        <v>1415</v>
      </c>
      <c r="Q837" s="4" t="s">
        <v>1371</v>
      </c>
      <c r="R837" s="4" t="s">
        <v>1452</v>
      </c>
      <c r="T837"/>
      <c r="U837"/>
      <c r="V837" s="4">
        <v>-3</v>
      </c>
      <c r="W837" s="4" t="str">
        <f t="shared" si="37"/>
        <v>Y</v>
      </c>
      <c r="X837" s="4" t="s">
        <v>24</v>
      </c>
      <c r="Z837" s="4" t="str">
        <f t="shared" si="38"/>
        <v>N</v>
      </c>
      <c r="AA837" s="4" t="s">
        <v>1121</v>
      </c>
      <c r="AB837" s="4" t="s">
        <v>1524</v>
      </c>
      <c r="AC837" s="39" t="s">
        <v>1523</v>
      </c>
      <c r="AD837"/>
      <c r="AE837"/>
      <c r="AF837"/>
      <c r="AG837"/>
      <c r="AH837"/>
    </row>
    <row r="838" spans="1:92" x14ac:dyDescent="0.2">
      <c r="A838" s="4"/>
      <c r="B838" s="4" t="s">
        <v>1330</v>
      </c>
      <c r="C838" s="4" t="s">
        <v>1355</v>
      </c>
      <c r="D838" s="4" t="s">
        <v>1356</v>
      </c>
      <c r="E838" s="4">
        <v>2018</v>
      </c>
      <c r="F838" s="4" t="s">
        <v>1491</v>
      </c>
      <c r="G838" s="4" t="s">
        <v>1358</v>
      </c>
      <c r="H838" s="37">
        <v>52.08</v>
      </c>
      <c r="I838" s="37">
        <v>-177.36</v>
      </c>
      <c r="J838" s="37">
        <v>2001</v>
      </c>
      <c r="K838" s="37">
        <v>2008</v>
      </c>
      <c r="L838" s="37">
        <f t="shared" si="36"/>
        <v>8</v>
      </c>
      <c r="M838" s="4" t="s">
        <v>369</v>
      </c>
      <c r="N838" s="4" t="s">
        <v>380</v>
      </c>
      <c r="O838" s="4" t="s">
        <v>380</v>
      </c>
      <c r="P838" s="4" t="s">
        <v>1429</v>
      </c>
      <c r="Q838" s="4" t="s">
        <v>1372</v>
      </c>
      <c r="R838" s="4" t="s">
        <v>1452</v>
      </c>
      <c r="S838" s="4"/>
      <c r="V838" s="4">
        <v>-4</v>
      </c>
      <c r="W838" s="4" t="str">
        <f t="shared" si="37"/>
        <v>Y</v>
      </c>
      <c r="X838" s="4" t="s">
        <v>24</v>
      </c>
      <c r="Y838" s="4"/>
      <c r="Z838" s="4" t="str">
        <f t="shared" si="38"/>
        <v>N</v>
      </c>
      <c r="AA838" s="4" t="s">
        <v>1121</v>
      </c>
      <c r="AB838" s="4" t="s">
        <v>1524</v>
      </c>
      <c r="AC838" s="39" t="s">
        <v>1523</v>
      </c>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row>
    <row r="839" spans="1:92" s="4" customFormat="1" x14ac:dyDescent="0.2">
      <c r="B839" s="4" t="s">
        <v>1330</v>
      </c>
      <c r="C839" s="4" t="s">
        <v>1355</v>
      </c>
      <c r="D839" s="4" t="s">
        <v>1356</v>
      </c>
      <c r="E839" s="4">
        <v>2018</v>
      </c>
      <c r="F839" s="4" t="s">
        <v>1492</v>
      </c>
      <c r="G839" s="4" t="s">
        <v>1358</v>
      </c>
      <c r="H839" s="37">
        <v>78.900000000000006</v>
      </c>
      <c r="I839" s="37">
        <v>12.216670000000001</v>
      </c>
      <c r="J839" s="37">
        <v>1997</v>
      </c>
      <c r="K839" s="37">
        <v>2014</v>
      </c>
      <c r="L839" s="37">
        <f t="shared" si="36"/>
        <v>18</v>
      </c>
      <c r="M839" s="4" t="s">
        <v>369</v>
      </c>
      <c r="N839" s="4" t="s">
        <v>380</v>
      </c>
      <c r="O839" s="4" t="s">
        <v>380</v>
      </c>
      <c r="P839" s="4" t="s">
        <v>485</v>
      </c>
      <c r="Q839" s="4" t="s">
        <v>87</v>
      </c>
      <c r="R839" s="4" t="s">
        <v>1453</v>
      </c>
      <c r="T839"/>
      <c r="U839"/>
      <c r="V839" s="4">
        <v>-0.3</v>
      </c>
      <c r="W839" s="4" t="str">
        <f t="shared" si="37"/>
        <v>Y</v>
      </c>
      <c r="X839" s="4" t="s">
        <v>24</v>
      </c>
      <c r="Z839" s="4" t="str">
        <f t="shared" si="38"/>
        <v>N</v>
      </c>
      <c r="AA839" s="4" t="s">
        <v>1121</v>
      </c>
      <c r="AB839" s="4" t="s">
        <v>1524</v>
      </c>
      <c r="AC839" s="39" t="s">
        <v>1523</v>
      </c>
      <c r="AD839"/>
      <c r="AE839"/>
      <c r="AF839"/>
      <c r="AG839"/>
      <c r="AH839"/>
    </row>
    <row r="840" spans="1:92" s="4" customFormat="1" x14ac:dyDescent="0.2">
      <c r="A840"/>
      <c r="B840" t="s">
        <v>1330</v>
      </c>
      <c r="C840" t="s">
        <v>1355</v>
      </c>
      <c r="D840" t="s">
        <v>1356</v>
      </c>
      <c r="E840">
        <v>2018</v>
      </c>
      <c r="F840" t="s">
        <v>1493</v>
      </c>
      <c r="G840" t="s">
        <v>1358</v>
      </c>
      <c r="H840" s="13">
        <v>52.887</v>
      </c>
      <c r="I840" s="13">
        <v>-131.52000000000001</v>
      </c>
      <c r="J840" s="13">
        <v>1990</v>
      </c>
      <c r="K840" s="13">
        <v>2015</v>
      </c>
      <c r="L840" s="13">
        <f t="shared" si="36"/>
        <v>26</v>
      </c>
      <c r="M840" t="s">
        <v>369</v>
      </c>
      <c r="N840" t="s">
        <v>380</v>
      </c>
      <c r="O840" t="s">
        <v>380</v>
      </c>
      <c r="P840" t="s">
        <v>1396</v>
      </c>
      <c r="Q840" t="s">
        <v>452</v>
      </c>
      <c r="R840" t="s">
        <v>1451</v>
      </c>
      <c r="S840"/>
      <c r="T840"/>
      <c r="U840"/>
      <c r="V840">
        <v>0.2</v>
      </c>
      <c r="W840" t="str">
        <f t="shared" si="37"/>
        <v>N</v>
      </c>
      <c r="X840" t="s">
        <v>3</v>
      </c>
      <c r="Y840"/>
      <c r="Z840" s="4" t="str">
        <f t="shared" si="38"/>
        <v>Y</v>
      </c>
      <c r="AA840" t="s">
        <v>1121</v>
      </c>
      <c r="AB840" t="s">
        <v>1524</v>
      </c>
      <c r="AC840" s="15" t="s">
        <v>1523</v>
      </c>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row>
    <row r="841" spans="1:92" s="4" customFormat="1" x14ac:dyDescent="0.2">
      <c r="A841"/>
      <c r="B841" t="s">
        <v>1330</v>
      </c>
      <c r="C841" t="s">
        <v>1355</v>
      </c>
      <c r="D841" t="s">
        <v>1356</v>
      </c>
      <c r="E841">
        <v>2018</v>
      </c>
      <c r="F841" t="s">
        <v>1493</v>
      </c>
      <c r="G841" t="s">
        <v>1358</v>
      </c>
      <c r="H841" s="13">
        <v>52.887</v>
      </c>
      <c r="I841" s="13">
        <v>-131.52000000000001</v>
      </c>
      <c r="J841" s="13">
        <v>1990</v>
      </c>
      <c r="K841" s="13">
        <v>2015</v>
      </c>
      <c r="L841" s="13">
        <f t="shared" si="36"/>
        <v>26</v>
      </c>
      <c r="M841" t="s">
        <v>369</v>
      </c>
      <c r="N841" t="s">
        <v>380</v>
      </c>
      <c r="O841" t="s">
        <v>380</v>
      </c>
      <c r="P841" t="s">
        <v>1396</v>
      </c>
      <c r="Q841" t="s">
        <v>452</v>
      </c>
      <c r="R841" t="s">
        <v>1453</v>
      </c>
      <c r="S841"/>
      <c r="T841"/>
      <c r="U841"/>
      <c r="V841">
        <v>-1.2</v>
      </c>
      <c r="W841" t="str">
        <f t="shared" si="37"/>
        <v>Y</v>
      </c>
      <c r="X841" t="s">
        <v>3</v>
      </c>
      <c r="Y841"/>
      <c r="Z841" s="4" t="str">
        <f t="shared" si="38"/>
        <v>Y</v>
      </c>
      <c r="AA841" t="s">
        <v>1121</v>
      </c>
      <c r="AB841" t="s">
        <v>1524</v>
      </c>
      <c r="AC841" s="15" t="s">
        <v>1523</v>
      </c>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row>
    <row r="842" spans="1:92" s="4" customFormat="1" x14ac:dyDescent="0.2">
      <c r="A842"/>
      <c r="B842" t="s">
        <v>1330</v>
      </c>
      <c r="C842" t="s">
        <v>1355</v>
      </c>
      <c r="D842" t="s">
        <v>1356</v>
      </c>
      <c r="E842">
        <v>2018</v>
      </c>
      <c r="F842" t="s">
        <v>1494</v>
      </c>
      <c r="G842" t="s">
        <v>1358</v>
      </c>
      <c r="H842" s="13">
        <v>44.3</v>
      </c>
      <c r="I842" s="13">
        <v>-67.06</v>
      </c>
      <c r="J842" s="13">
        <v>1995</v>
      </c>
      <c r="K842" s="13">
        <v>2014</v>
      </c>
      <c r="L842" s="13">
        <f t="shared" si="36"/>
        <v>20</v>
      </c>
      <c r="M842" t="s">
        <v>369</v>
      </c>
      <c r="N842" t="s">
        <v>380</v>
      </c>
      <c r="O842" t="s">
        <v>380</v>
      </c>
      <c r="P842" t="s">
        <v>1399</v>
      </c>
      <c r="Q842" t="s">
        <v>459</v>
      </c>
      <c r="R842" t="s">
        <v>1451</v>
      </c>
      <c r="S842"/>
      <c r="T842"/>
      <c r="U842"/>
      <c r="V842">
        <v>3.4000000000000004</v>
      </c>
      <c r="W842" t="str">
        <f t="shared" si="37"/>
        <v>N</v>
      </c>
      <c r="X842" t="s">
        <v>3</v>
      </c>
      <c r="Y842"/>
      <c r="Z842" s="4" t="str">
        <f t="shared" si="38"/>
        <v>Y</v>
      </c>
      <c r="AA842" t="s">
        <v>1121</v>
      </c>
      <c r="AB842" t="s">
        <v>1524</v>
      </c>
      <c r="AC842" s="15" t="s">
        <v>1523</v>
      </c>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row>
    <row r="843" spans="1:92" s="4" customFormat="1" x14ac:dyDescent="0.2">
      <c r="A843"/>
      <c r="B843" t="s">
        <v>1330</v>
      </c>
      <c r="C843" t="s">
        <v>1355</v>
      </c>
      <c r="D843" t="s">
        <v>1356</v>
      </c>
      <c r="E843">
        <v>2018</v>
      </c>
      <c r="F843" t="s">
        <v>1494</v>
      </c>
      <c r="G843" t="s">
        <v>1358</v>
      </c>
      <c r="H843" s="13">
        <v>44.3</v>
      </c>
      <c r="I843" s="13">
        <v>-67.06</v>
      </c>
      <c r="J843" s="13">
        <v>1995</v>
      </c>
      <c r="K843" s="13">
        <v>2014</v>
      </c>
      <c r="L843" s="13">
        <f t="shared" si="36"/>
        <v>20</v>
      </c>
      <c r="M843" t="s">
        <v>369</v>
      </c>
      <c r="N843" t="s">
        <v>380</v>
      </c>
      <c r="O843" t="s">
        <v>380</v>
      </c>
      <c r="P843" t="s">
        <v>1399</v>
      </c>
      <c r="Q843" t="s">
        <v>459</v>
      </c>
      <c r="R843" t="s">
        <v>1454</v>
      </c>
      <c r="S843"/>
      <c r="T843"/>
      <c r="U843"/>
      <c r="V843">
        <v>3</v>
      </c>
      <c r="W843" t="str">
        <f t="shared" si="37"/>
        <v>N</v>
      </c>
      <c r="X843" t="s">
        <v>3</v>
      </c>
      <c r="Y843"/>
      <c r="Z843" s="4" t="str">
        <f t="shared" si="38"/>
        <v>Y</v>
      </c>
      <c r="AA843" t="s">
        <v>1121</v>
      </c>
      <c r="AB843" t="s">
        <v>1524</v>
      </c>
      <c r="AC843" s="15" t="s">
        <v>1523</v>
      </c>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row>
    <row r="844" spans="1:92" s="4" customFormat="1" x14ac:dyDescent="0.2">
      <c r="A844"/>
      <c r="B844" t="s">
        <v>1330</v>
      </c>
      <c r="C844" t="s">
        <v>1355</v>
      </c>
      <c r="D844" t="s">
        <v>1356</v>
      </c>
      <c r="E844">
        <v>2018</v>
      </c>
      <c r="F844" t="s">
        <v>1494</v>
      </c>
      <c r="G844" t="s">
        <v>1358</v>
      </c>
      <c r="H844" s="13">
        <v>44.3</v>
      </c>
      <c r="I844" s="13">
        <v>-67.06</v>
      </c>
      <c r="J844" s="13">
        <v>1995</v>
      </c>
      <c r="K844" s="13">
        <v>2014</v>
      </c>
      <c r="L844" s="13">
        <f t="shared" si="36"/>
        <v>20</v>
      </c>
      <c r="M844" t="s">
        <v>369</v>
      </c>
      <c r="N844" t="s">
        <v>380</v>
      </c>
      <c r="O844" t="s">
        <v>380</v>
      </c>
      <c r="P844" t="s">
        <v>1399</v>
      </c>
      <c r="Q844" t="s">
        <v>459</v>
      </c>
      <c r="R844" t="s">
        <v>1453</v>
      </c>
      <c r="S844"/>
      <c r="T844"/>
      <c r="U844"/>
      <c r="V844">
        <v>3</v>
      </c>
      <c r="W844" t="str">
        <f t="shared" si="37"/>
        <v>N</v>
      </c>
      <c r="X844" t="s">
        <v>3</v>
      </c>
      <c r="Y844"/>
      <c r="Z844" s="4" t="str">
        <f t="shared" si="38"/>
        <v>Y</v>
      </c>
      <c r="AA844" t="s">
        <v>1121</v>
      </c>
      <c r="AB844" t="s">
        <v>1524</v>
      </c>
      <c r="AC844" s="15" t="s">
        <v>1523</v>
      </c>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c r="CE844"/>
      <c r="CF844"/>
      <c r="CG844"/>
      <c r="CH844"/>
      <c r="CI844"/>
      <c r="CJ844"/>
      <c r="CK844"/>
      <c r="CL844"/>
      <c r="CM844"/>
      <c r="CN844"/>
    </row>
    <row r="845" spans="1:92" s="4" customFormat="1" x14ac:dyDescent="0.2">
      <c r="A845"/>
      <c r="B845" t="s">
        <v>1330</v>
      </c>
      <c r="C845" t="s">
        <v>1355</v>
      </c>
      <c r="D845" t="s">
        <v>1356</v>
      </c>
      <c r="E845">
        <v>2018</v>
      </c>
      <c r="F845" t="s">
        <v>1494</v>
      </c>
      <c r="G845" t="s">
        <v>1358</v>
      </c>
      <c r="H845" s="13">
        <v>44.3</v>
      </c>
      <c r="I845" s="13">
        <v>-67.06</v>
      </c>
      <c r="J845" s="13">
        <v>1995</v>
      </c>
      <c r="K845" s="13">
        <v>2014</v>
      </c>
      <c r="L845" s="13">
        <f t="shared" si="36"/>
        <v>20</v>
      </c>
      <c r="M845" t="s">
        <v>369</v>
      </c>
      <c r="N845" t="s">
        <v>380</v>
      </c>
      <c r="O845" t="s">
        <v>380</v>
      </c>
      <c r="P845" t="s">
        <v>1400</v>
      </c>
      <c r="Q845" t="s">
        <v>455</v>
      </c>
      <c r="R845" t="s">
        <v>1451</v>
      </c>
      <c r="S845"/>
      <c r="T845"/>
      <c r="U845"/>
      <c r="V845">
        <v>1.3</v>
      </c>
      <c r="W845" t="str">
        <f t="shared" si="37"/>
        <v>N</v>
      </c>
      <c r="X845" t="s">
        <v>3</v>
      </c>
      <c r="Y845"/>
      <c r="Z845" s="4" t="str">
        <f t="shared" si="38"/>
        <v>Y</v>
      </c>
      <c r="AA845" t="s">
        <v>1121</v>
      </c>
      <c r="AB845" t="s">
        <v>1524</v>
      </c>
      <c r="AC845" s="15" t="s">
        <v>1523</v>
      </c>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c r="CE845"/>
      <c r="CF845"/>
      <c r="CG845"/>
      <c r="CH845"/>
      <c r="CI845"/>
      <c r="CJ845"/>
      <c r="CK845"/>
      <c r="CL845"/>
      <c r="CM845"/>
      <c r="CN845"/>
    </row>
    <row r="846" spans="1:92" s="4" customFormat="1" x14ac:dyDescent="0.2">
      <c r="A846"/>
      <c r="B846" t="s">
        <v>1330</v>
      </c>
      <c r="C846" t="s">
        <v>1355</v>
      </c>
      <c r="D846" t="s">
        <v>1356</v>
      </c>
      <c r="E846">
        <v>2018</v>
      </c>
      <c r="F846" t="s">
        <v>1494</v>
      </c>
      <c r="G846" t="s">
        <v>1358</v>
      </c>
      <c r="H846" s="13">
        <v>44.3</v>
      </c>
      <c r="I846" s="13">
        <v>-67.06</v>
      </c>
      <c r="J846" s="13">
        <v>1995</v>
      </c>
      <c r="K846" s="13">
        <v>2014</v>
      </c>
      <c r="L846" s="13">
        <f t="shared" si="36"/>
        <v>20</v>
      </c>
      <c r="M846" t="s">
        <v>369</v>
      </c>
      <c r="N846" t="s">
        <v>380</v>
      </c>
      <c r="O846" t="s">
        <v>380</v>
      </c>
      <c r="P846" t="s">
        <v>1400</v>
      </c>
      <c r="Q846" t="s">
        <v>455</v>
      </c>
      <c r="R846" t="s">
        <v>1454</v>
      </c>
      <c r="S846"/>
      <c r="T846"/>
      <c r="U846"/>
      <c r="V846">
        <v>3.4000000000000004</v>
      </c>
      <c r="W846" t="str">
        <f t="shared" si="37"/>
        <v>N</v>
      </c>
      <c r="X846" t="s">
        <v>3</v>
      </c>
      <c r="Y846"/>
      <c r="Z846" s="4" t="str">
        <f t="shared" si="38"/>
        <v>Y</v>
      </c>
      <c r="AA846" t="s">
        <v>1121</v>
      </c>
      <c r="AB846" t="s">
        <v>1524</v>
      </c>
      <c r="AC846" s="15" t="s">
        <v>1523</v>
      </c>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CF846"/>
      <c r="CG846"/>
      <c r="CH846"/>
      <c r="CI846"/>
      <c r="CJ846"/>
      <c r="CK846"/>
      <c r="CL846"/>
      <c r="CM846"/>
      <c r="CN846"/>
    </row>
    <row r="847" spans="1:92" s="4" customFormat="1" x14ac:dyDescent="0.2">
      <c r="A847"/>
      <c r="B847" t="s">
        <v>1330</v>
      </c>
      <c r="C847" t="s">
        <v>1355</v>
      </c>
      <c r="D847" t="s">
        <v>1356</v>
      </c>
      <c r="E847">
        <v>2018</v>
      </c>
      <c r="F847" t="s">
        <v>1494</v>
      </c>
      <c r="G847" t="s">
        <v>1358</v>
      </c>
      <c r="H847" s="13">
        <v>44.3</v>
      </c>
      <c r="I847" s="13">
        <v>-67.06</v>
      </c>
      <c r="J847" s="13">
        <v>1995</v>
      </c>
      <c r="K847" s="13">
        <v>2014</v>
      </c>
      <c r="L847" s="13">
        <f t="shared" si="36"/>
        <v>20</v>
      </c>
      <c r="M847" t="s">
        <v>369</v>
      </c>
      <c r="N847" t="s">
        <v>380</v>
      </c>
      <c r="O847" t="s">
        <v>380</v>
      </c>
      <c r="P847" t="s">
        <v>1400</v>
      </c>
      <c r="Q847" t="s">
        <v>455</v>
      </c>
      <c r="R847" t="s">
        <v>1453</v>
      </c>
      <c r="S847"/>
      <c r="T847"/>
      <c r="U847"/>
      <c r="V847">
        <v>3.5999999999999996</v>
      </c>
      <c r="W847" t="str">
        <f t="shared" si="37"/>
        <v>N</v>
      </c>
      <c r="X847" t="s">
        <v>3</v>
      </c>
      <c r="Y847"/>
      <c r="Z847" s="4" t="str">
        <f t="shared" si="38"/>
        <v>Y</v>
      </c>
      <c r="AA847" t="s">
        <v>1121</v>
      </c>
      <c r="AB847" t="s">
        <v>1524</v>
      </c>
      <c r="AC847" s="15" t="s">
        <v>1523</v>
      </c>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CF847"/>
      <c r="CG847"/>
      <c r="CH847"/>
      <c r="CI847"/>
      <c r="CJ847"/>
      <c r="CK847"/>
      <c r="CL847"/>
      <c r="CM847"/>
      <c r="CN847"/>
    </row>
    <row r="848" spans="1:92" s="4" customFormat="1" x14ac:dyDescent="0.2">
      <c r="B848" s="4" t="s">
        <v>1330</v>
      </c>
      <c r="C848" s="4" t="s">
        <v>1355</v>
      </c>
      <c r="D848" s="4" t="s">
        <v>1356</v>
      </c>
      <c r="E848" s="4">
        <v>2018</v>
      </c>
      <c r="F848" s="4" t="s">
        <v>1494</v>
      </c>
      <c r="G848" s="4" t="s">
        <v>1358</v>
      </c>
      <c r="H848" s="37">
        <v>44.3</v>
      </c>
      <c r="I848" s="37">
        <v>-67.06</v>
      </c>
      <c r="J848" s="37">
        <v>1995</v>
      </c>
      <c r="K848" s="37">
        <v>2005</v>
      </c>
      <c r="L848" s="37">
        <f t="shared" si="36"/>
        <v>11</v>
      </c>
      <c r="M848" s="4" t="s">
        <v>369</v>
      </c>
      <c r="N848" s="4" t="s">
        <v>380</v>
      </c>
      <c r="O848" s="4" t="s">
        <v>380</v>
      </c>
      <c r="P848" s="4" t="s">
        <v>1413</v>
      </c>
      <c r="Q848" s="4" t="s">
        <v>458</v>
      </c>
      <c r="R848" s="4" t="s">
        <v>1451</v>
      </c>
      <c r="T848"/>
      <c r="U848"/>
      <c r="V848" s="4">
        <v>2.6</v>
      </c>
      <c r="W848" s="4" t="str">
        <f t="shared" si="37"/>
        <v>N</v>
      </c>
      <c r="X848" s="4" t="s">
        <v>24</v>
      </c>
      <c r="Z848" s="4" t="str">
        <f t="shared" si="38"/>
        <v>N</v>
      </c>
      <c r="AA848" s="4" t="s">
        <v>1121</v>
      </c>
      <c r="AB848" s="4" t="s">
        <v>1524</v>
      </c>
      <c r="AC848" s="39" t="s">
        <v>1523</v>
      </c>
      <c r="AD848"/>
      <c r="AE848"/>
      <c r="AF848"/>
      <c r="AG848"/>
      <c r="AH848"/>
    </row>
    <row r="849" spans="1:92" s="4" customFormat="1" x14ac:dyDescent="0.2">
      <c r="B849" s="4" t="s">
        <v>1330</v>
      </c>
      <c r="C849" s="4" t="s">
        <v>1355</v>
      </c>
      <c r="D849" s="4" t="s">
        <v>1356</v>
      </c>
      <c r="E849" s="4">
        <v>2018</v>
      </c>
      <c r="F849" s="4" t="s">
        <v>1494</v>
      </c>
      <c r="G849" s="4" t="s">
        <v>1358</v>
      </c>
      <c r="H849" s="37">
        <v>44.3</v>
      </c>
      <c r="I849" s="37">
        <v>-67.06</v>
      </c>
      <c r="J849" s="37">
        <v>1995</v>
      </c>
      <c r="K849" s="37">
        <v>2005</v>
      </c>
      <c r="L849" s="37">
        <f t="shared" si="36"/>
        <v>11</v>
      </c>
      <c r="M849" s="4" t="s">
        <v>369</v>
      </c>
      <c r="N849" s="4" t="s">
        <v>380</v>
      </c>
      <c r="O849" s="4" t="s">
        <v>380</v>
      </c>
      <c r="P849" s="4" t="s">
        <v>1413</v>
      </c>
      <c r="Q849" s="4" t="s">
        <v>458</v>
      </c>
      <c r="R849" s="4" t="s">
        <v>1454</v>
      </c>
      <c r="T849"/>
      <c r="U849"/>
      <c r="V849" s="4">
        <v>0.70000000000000007</v>
      </c>
      <c r="W849" s="4" t="str">
        <f t="shared" si="37"/>
        <v>N</v>
      </c>
      <c r="X849" s="4" t="s">
        <v>24</v>
      </c>
      <c r="Z849" s="4" t="str">
        <f t="shared" si="38"/>
        <v>N</v>
      </c>
      <c r="AA849" s="4" t="s">
        <v>1121</v>
      </c>
      <c r="AB849" s="4" t="s">
        <v>1524</v>
      </c>
      <c r="AC849" s="39" t="s">
        <v>1523</v>
      </c>
      <c r="AD849"/>
      <c r="AE849"/>
      <c r="AF849"/>
      <c r="AG849"/>
      <c r="AH849"/>
    </row>
    <row r="850" spans="1:92" s="4" customFormat="1" x14ac:dyDescent="0.2">
      <c r="B850" s="4" t="s">
        <v>1330</v>
      </c>
      <c r="C850" s="4" t="s">
        <v>1355</v>
      </c>
      <c r="D850" s="4" t="s">
        <v>1356</v>
      </c>
      <c r="E850" s="4">
        <v>2018</v>
      </c>
      <c r="F850" s="4" t="s">
        <v>1494</v>
      </c>
      <c r="G850" s="4" t="s">
        <v>1358</v>
      </c>
      <c r="H850" s="37">
        <v>44.3</v>
      </c>
      <c r="I850" s="37">
        <v>-67.06</v>
      </c>
      <c r="J850" s="37">
        <v>1995</v>
      </c>
      <c r="K850" s="37">
        <v>2005</v>
      </c>
      <c r="L850" s="37">
        <f t="shared" si="36"/>
        <v>11</v>
      </c>
      <c r="M850" s="4" t="s">
        <v>369</v>
      </c>
      <c r="N850" s="4" t="s">
        <v>380</v>
      </c>
      <c r="O850" s="4" t="s">
        <v>380</v>
      </c>
      <c r="P850" s="4" t="s">
        <v>1413</v>
      </c>
      <c r="Q850" s="4" t="s">
        <v>458</v>
      </c>
      <c r="R850" s="4" t="s">
        <v>1453</v>
      </c>
      <c r="T850"/>
      <c r="U850"/>
      <c r="V850" s="4">
        <v>2.3000000000000003</v>
      </c>
      <c r="W850" s="4" t="str">
        <f t="shared" si="37"/>
        <v>N</v>
      </c>
      <c r="X850" s="4" t="s">
        <v>24</v>
      </c>
      <c r="Z850" s="4" t="str">
        <f t="shared" si="38"/>
        <v>N</v>
      </c>
      <c r="AA850" s="4" t="s">
        <v>1121</v>
      </c>
      <c r="AB850" s="4" t="s">
        <v>1524</v>
      </c>
      <c r="AC850" s="39" t="s">
        <v>1523</v>
      </c>
      <c r="AD850"/>
      <c r="AE850"/>
      <c r="AF850"/>
      <c r="AG850"/>
      <c r="AH850"/>
    </row>
    <row r="851" spans="1:92" s="4" customFormat="1" x14ac:dyDescent="0.2">
      <c r="A851"/>
      <c r="B851" t="s">
        <v>1330</v>
      </c>
      <c r="C851" t="s">
        <v>1355</v>
      </c>
      <c r="D851" t="s">
        <v>1356</v>
      </c>
      <c r="E851">
        <v>2018</v>
      </c>
      <c r="F851" t="s">
        <v>1494</v>
      </c>
      <c r="G851" t="s">
        <v>1358</v>
      </c>
      <c r="H851" s="13">
        <v>44.3</v>
      </c>
      <c r="I851" s="13">
        <v>-67.06</v>
      </c>
      <c r="J851" s="13">
        <v>1995</v>
      </c>
      <c r="K851" s="13">
        <v>2014</v>
      </c>
      <c r="L851" s="13">
        <f t="shared" si="36"/>
        <v>20</v>
      </c>
      <c r="M851" t="s">
        <v>369</v>
      </c>
      <c r="N851" t="s">
        <v>380</v>
      </c>
      <c r="O851" t="s">
        <v>380</v>
      </c>
      <c r="P851" t="s">
        <v>138</v>
      </c>
      <c r="Q851" t="s">
        <v>454</v>
      </c>
      <c r="R851" t="s">
        <v>1451</v>
      </c>
      <c r="S851"/>
      <c r="T851"/>
      <c r="U851"/>
      <c r="V851">
        <v>-3.8</v>
      </c>
      <c r="W851" t="str">
        <f t="shared" si="37"/>
        <v>Y</v>
      </c>
      <c r="X851" t="s">
        <v>3</v>
      </c>
      <c r="Y851" t="s">
        <v>3</v>
      </c>
      <c r="Z851" s="4" t="str">
        <f t="shared" si="38"/>
        <v>Y</v>
      </c>
      <c r="AA851" t="s">
        <v>1121</v>
      </c>
      <c r="AB851" t="s">
        <v>1524</v>
      </c>
      <c r="AC851" s="15" t="s">
        <v>1523</v>
      </c>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CF851"/>
      <c r="CG851"/>
      <c r="CH851"/>
      <c r="CI851"/>
      <c r="CJ851"/>
      <c r="CK851"/>
      <c r="CL851"/>
      <c r="CM851"/>
      <c r="CN851"/>
    </row>
    <row r="852" spans="1:92" x14ac:dyDescent="0.2">
      <c r="B852" t="s">
        <v>1330</v>
      </c>
      <c r="C852" t="s">
        <v>1355</v>
      </c>
      <c r="D852" t="s">
        <v>1356</v>
      </c>
      <c r="E852">
        <v>2018</v>
      </c>
      <c r="F852" t="s">
        <v>1494</v>
      </c>
      <c r="G852" t="s">
        <v>1358</v>
      </c>
      <c r="H852" s="13">
        <v>44.3</v>
      </c>
      <c r="I852" s="13">
        <v>-67.06</v>
      </c>
      <c r="J852" s="13">
        <v>1995</v>
      </c>
      <c r="K852" s="13">
        <v>2014</v>
      </c>
      <c r="L852" s="13">
        <f t="shared" si="36"/>
        <v>20</v>
      </c>
      <c r="M852" t="s">
        <v>369</v>
      </c>
      <c r="N852" t="s">
        <v>380</v>
      </c>
      <c r="O852" t="s">
        <v>380</v>
      </c>
      <c r="P852" t="s">
        <v>138</v>
      </c>
      <c r="Q852" t="s">
        <v>454</v>
      </c>
      <c r="R852" t="s">
        <v>1454</v>
      </c>
      <c r="V852">
        <v>-2.4</v>
      </c>
      <c r="W852" t="str">
        <f t="shared" si="37"/>
        <v>Y</v>
      </c>
      <c r="X852" t="s">
        <v>3</v>
      </c>
      <c r="Z852" s="4" t="str">
        <f t="shared" si="38"/>
        <v>Y</v>
      </c>
      <c r="AA852" t="s">
        <v>1121</v>
      </c>
      <c r="AB852" t="s">
        <v>1524</v>
      </c>
      <c r="AC852" s="15" t="s">
        <v>1523</v>
      </c>
    </row>
    <row r="853" spans="1:92" x14ac:dyDescent="0.2">
      <c r="B853" t="s">
        <v>1330</v>
      </c>
      <c r="C853" t="s">
        <v>1355</v>
      </c>
      <c r="D853" t="s">
        <v>1356</v>
      </c>
      <c r="E853">
        <v>2018</v>
      </c>
      <c r="F853" t="s">
        <v>1494</v>
      </c>
      <c r="G853" t="s">
        <v>1358</v>
      </c>
      <c r="H853" s="13">
        <v>44.3</v>
      </c>
      <c r="I853" s="13">
        <v>-67.06</v>
      </c>
      <c r="J853" s="13">
        <v>1995</v>
      </c>
      <c r="K853" s="13">
        <v>2014</v>
      </c>
      <c r="L853" s="13">
        <f t="shared" si="36"/>
        <v>20</v>
      </c>
      <c r="M853" t="s">
        <v>369</v>
      </c>
      <c r="N853" t="s">
        <v>380</v>
      </c>
      <c r="O853" t="s">
        <v>380</v>
      </c>
      <c r="P853" t="s">
        <v>138</v>
      </c>
      <c r="Q853" t="s">
        <v>454</v>
      </c>
      <c r="R853" t="s">
        <v>1453</v>
      </c>
      <c r="V853">
        <v>-0.1</v>
      </c>
      <c r="W853" t="str">
        <f t="shared" si="37"/>
        <v>Y</v>
      </c>
      <c r="X853" t="s">
        <v>3</v>
      </c>
      <c r="Z853" s="4" t="str">
        <f t="shared" si="38"/>
        <v>Y</v>
      </c>
      <c r="AA853" t="s">
        <v>1121</v>
      </c>
      <c r="AB853" t="s">
        <v>1524</v>
      </c>
      <c r="AC853" s="15" t="s">
        <v>1523</v>
      </c>
    </row>
    <row r="854" spans="1:92" x14ac:dyDescent="0.2">
      <c r="B854" t="s">
        <v>1330</v>
      </c>
      <c r="C854" t="s">
        <v>1355</v>
      </c>
      <c r="D854" t="s">
        <v>1356</v>
      </c>
      <c r="E854">
        <v>2018</v>
      </c>
      <c r="F854" t="s">
        <v>1495</v>
      </c>
      <c r="G854" t="s">
        <v>1358</v>
      </c>
      <c r="H854" s="13">
        <v>43.76</v>
      </c>
      <c r="I854" s="13">
        <v>-68.849999999999994</v>
      </c>
      <c r="J854" s="13">
        <v>1986</v>
      </c>
      <c r="K854" s="13">
        <v>2014</v>
      </c>
      <c r="L854" s="13">
        <f t="shared" si="36"/>
        <v>29</v>
      </c>
      <c r="M854" t="s">
        <v>369</v>
      </c>
      <c r="N854" t="s">
        <v>380</v>
      </c>
      <c r="O854" t="s">
        <v>380</v>
      </c>
      <c r="P854" t="s">
        <v>1399</v>
      </c>
      <c r="Q854" t="s">
        <v>459</v>
      </c>
      <c r="R854" t="s">
        <v>1451</v>
      </c>
      <c r="V854">
        <v>0.5</v>
      </c>
      <c r="W854" t="str">
        <f t="shared" si="37"/>
        <v>N</v>
      </c>
      <c r="X854" t="s">
        <v>3</v>
      </c>
      <c r="Z854" s="4" t="str">
        <f t="shared" si="38"/>
        <v>Y</v>
      </c>
      <c r="AA854" t="s">
        <v>1121</v>
      </c>
      <c r="AB854" t="s">
        <v>1524</v>
      </c>
      <c r="AC854" s="15" t="s">
        <v>1523</v>
      </c>
    </row>
    <row r="855" spans="1:92" x14ac:dyDescent="0.2">
      <c r="A855" s="4"/>
      <c r="B855" s="4" t="s">
        <v>1330</v>
      </c>
      <c r="C855" s="4" t="s">
        <v>1355</v>
      </c>
      <c r="D855" s="4" t="s">
        <v>1356</v>
      </c>
      <c r="E855" s="4">
        <v>2018</v>
      </c>
      <c r="F855" s="4" t="s">
        <v>1496</v>
      </c>
      <c r="G855" s="4" t="s">
        <v>1358</v>
      </c>
      <c r="H855" s="37">
        <v>75.83</v>
      </c>
      <c r="I855" s="37">
        <v>-96.31</v>
      </c>
      <c r="J855" s="37">
        <v>2007</v>
      </c>
      <c r="K855" s="37">
        <v>2011</v>
      </c>
      <c r="L855" s="37">
        <f t="shared" ref="L855:L918" si="39">K855-J855+1</f>
        <v>5</v>
      </c>
      <c r="M855" s="4" t="s">
        <v>369</v>
      </c>
      <c r="N855" s="4" t="s">
        <v>380</v>
      </c>
      <c r="O855" s="4" t="s">
        <v>380</v>
      </c>
      <c r="P855" s="4" t="s">
        <v>1399</v>
      </c>
      <c r="Q855" s="4" t="s">
        <v>459</v>
      </c>
      <c r="R855" s="4" t="s">
        <v>1454</v>
      </c>
      <c r="S855" s="4"/>
      <c r="V855" s="4">
        <v>-11.200000000000001</v>
      </c>
      <c r="W855" s="4" t="str">
        <f t="shared" ref="W855:W918" si="40">IF(V855&lt;0,"Y","N")</f>
        <v>Y</v>
      </c>
      <c r="X855" s="4" t="s">
        <v>24</v>
      </c>
      <c r="Y855" s="4"/>
      <c r="Z855" s="4" t="str">
        <f t="shared" si="38"/>
        <v>N</v>
      </c>
      <c r="AA855" s="4" t="s">
        <v>1121</v>
      </c>
      <c r="AB855" s="4" t="s">
        <v>1524</v>
      </c>
      <c r="AC855" s="39" t="s">
        <v>1523</v>
      </c>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row>
    <row r="856" spans="1:92" x14ac:dyDescent="0.2">
      <c r="A856" s="4"/>
      <c r="B856" s="4" t="s">
        <v>1330</v>
      </c>
      <c r="C856" s="4" t="s">
        <v>1355</v>
      </c>
      <c r="D856" s="4" t="s">
        <v>1356</v>
      </c>
      <c r="E856" s="4">
        <v>2018</v>
      </c>
      <c r="F856" s="4" t="s">
        <v>1496</v>
      </c>
      <c r="G856" s="4" t="s">
        <v>1358</v>
      </c>
      <c r="H856" s="37">
        <v>75.83</v>
      </c>
      <c r="I856" s="37">
        <v>-96.31</v>
      </c>
      <c r="J856" s="37">
        <v>2007</v>
      </c>
      <c r="K856" s="37">
        <v>2011</v>
      </c>
      <c r="L856" s="37">
        <f t="shared" si="39"/>
        <v>5</v>
      </c>
      <c r="M856" s="4" t="s">
        <v>369</v>
      </c>
      <c r="N856" s="4" t="s">
        <v>380</v>
      </c>
      <c r="O856" s="4" t="s">
        <v>380</v>
      </c>
      <c r="P856" s="4" t="s">
        <v>1399</v>
      </c>
      <c r="Q856" s="4" t="s">
        <v>459</v>
      </c>
      <c r="R856" s="4" t="s">
        <v>1455</v>
      </c>
      <c r="S856" s="4"/>
      <c r="V856" s="4">
        <v>-12.5</v>
      </c>
      <c r="W856" s="4" t="str">
        <f t="shared" si="40"/>
        <v>Y</v>
      </c>
      <c r="X856" s="4" t="s">
        <v>24</v>
      </c>
      <c r="Y856" s="4"/>
      <c r="Z856" s="4" t="str">
        <f t="shared" si="38"/>
        <v>N</v>
      </c>
      <c r="AA856" s="4" t="s">
        <v>1121</v>
      </c>
      <c r="AB856" s="4" t="s">
        <v>1524</v>
      </c>
      <c r="AC856" s="39" t="s">
        <v>1523</v>
      </c>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row>
    <row r="857" spans="1:92" x14ac:dyDescent="0.2">
      <c r="A857" s="4"/>
      <c r="B857" s="4" t="s">
        <v>1330</v>
      </c>
      <c r="C857" s="4" t="s">
        <v>1355</v>
      </c>
      <c r="D857" s="4" t="s">
        <v>1356</v>
      </c>
      <c r="E857" s="4">
        <v>2018</v>
      </c>
      <c r="F857" s="4" t="s">
        <v>1496</v>
      </c>
      <c r="G857" s="4" t="s">
        <v>1358</v>
      </c>
      <c r="H857" s="37">
        <v>75.83</v>
      </c>
      <c r="I857" s="37">
        <v>-96.31</v>
      </c>
      <c r="J857" s="37">
        <v>2007</v>
      </c>
      <c r="K857" s="37">
        <v>2012</v>
      </c>
      <c r="L857" s="37">
        <f t="shared" si="39"/>
        <v>6</v>
      </c>
      <c r="M857" s="4" t="s">
        <v>369</v>
      </c>
      <c r="N857" s="4" t="s">
        <v>380</v>
      </c>
      <c r="O857" s="4" t="s">
        <v>380</v>
      </c>
      <c r="P857" s="4" t="s">
        <v>1441</v>
      </c>
      <c r="Q857" s="4" t="s">
        <v>1383</v>
      </c>
      <c r="R857" s="4" t="s">
        <v>1451</v>
      </c>
      <c r="S857" s="4"/>
      <c r="V857" s="4">
        <v>-2.6</v>
      </c>
      <c r="W857" s="4" t="str">
        <f t="shared" si="40"/>
        <v>Y</v>
      </c>
      <c r="X857" s="4" t="s">
        <v>24</v>
      </c>
      <c r="Y857" s="4"/>
      <c r="Z857" s="4" t="str">
        <f t="shared" si="38"/>
        <v>N</v>
      </c>
      <c r="AA857" s="4" t="s">
        <v>1121</v>
      </c>
      <c r="AB857" s="4" t="s">
        <v>1524</v>
      </c>
      <c r="AC857" s="39" t="s">
        <v>1523</v>
      </c>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row>
    <row r="858" spans="1:92" x14ac:dyDescent="0.2">
      <c r="A858" s="4"/>
      <c r="B858" s="4" t="s">
        <v>1330</v>
      </c>
      <c r="C858" s="4" t="s">
        <v>1355</v>
      </c>
      <c r="D858" s="4" t="s">
        <v>1356</v>
      </c>
      <c r="E858" s="4">
        <v>2018</v>
      </c>
      <c r="F858" s="4" t="s">
        <v>1496</v>
      </c>
      <c r="G858" s="4" t="s">
        <v>1358</v>
      </c>
      <c r="H858" s="37">
        <v>75.83</v>
      </c>
      <c r="I858" s="37">
        <v>-96.31</v>
      </c>
      <c r="J858" s="37">
        <v>2007</v>
      </c>
      <c r="K858" s="37">
        <v>2012</v>
      </c>
      <c r="L858" s="37">
        <f t="shared" si="39"/>
        <v>6</v>
      </c>
      <c r="M858" s="4" t="s">
        <v>369</v>
      </c>
      <c r="N858" s="4" t="s">
        <v>380</v>
      </c>
      <c r="O858" s="4" t="s">
        <v>380</v>
      </c>
      <c r="P858" s="4" t="s">
        <v>1441</v>
      </c>
      <c r="Q858" s="4" t="s">
        <v>1383</v>
      </c>
      <c r="R858" s="4" t="s">
        <v>1452</v>
      </c>
      <c r="S858" s="4"/>
      <c r="V858" s="4">
        <v>2.3000000000000003</v>
      </c>
      <c r="W858" s="4" t="str">
        <f t="shared" si="40"/>
        <v>N</v>
      </c>
      <c r="X858" s="4" t="s">
        <v>24</v>
      </c>
      <c r="Y858" s="4"/>
      <c r="Z858" s="4" t="str">
        <f t="shared" si="38"/>
        <v>N</v>
      </c>
      <c r="AA858" s="4" t="s">
        <v>1121</v>
      </c>
      <c r="AB858" s="4" t="s">
        <v>1524</v>
      </c>
      <c r="AC858" s="39" t="s">
        <v>1523</v>
      </c>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row>
    <row r="859" spans="1:92" x14ac:dyDescent="0.2">
      <c r="A859" s="4"/>
      <c r="B859" s="4" t="s">
        <v>1330</v>
      </c>
      <c r="C859" s="4" t="s">
        <v>1355</v>
      </c>
      <c r="D859" s="4" t="s">
        <v>1356</v>
      </c>
      <c r="E859" s="4">
        <v>2018</v>
      </c>
      <c r="F859" s="4" t="s">
        <v>1496</v>
      </c>
      <c r="G859" s="4" t="s">
        <v>1358</v>
      </c>
      <c r="H859" s="37">
        <v>75.83</v>
      </c>
      <c r="I859" s="37">
        <v>-96.31</v>
      </c>
      <c r="J859" s="37">
        <v>2007</v>
      </c>
      <c r="K859" s="37">
        <v>2012</v>
      </c>
      <c r="L859" s="37">
        <f t="shared" si="39"/>
        <v>6</v>
      </c>
      <c r="M859" s="4" t="s">
        <v>369</v>
      </c>
      <c r="N859" s="4" t="s">
        <v>380</v>
      </c>
      <c r="O859" s="4" t="s">
        <v>380</v>
      </c>
      <c r="P859" s="4" t="s">
        <v>1441</v>
      </c>
      <c r="Q859" s="4" t="s">
        <v>1383</v>
      </c>
      <c r="R859" s="4" t="s">
        <v>1454</v>
      </c>
      <c r="S859" s="4"/>
      <c r="V859" s="4">
        <v>-1.4000000000000001</v>
      </c>
      <c r="W859" s="4" t="str">
        <f t="shared" si="40"/>
        <v>Y</v>
      </c>
      <c r="X859" s="4" t="s">
        <v>24</v>
      </c>
      <c r="Y859" s="4"/>
      <c r="Z859" s="4" t="str">
        <f t="shared" si="38"/>
        <v>N</v>
      </c>
      <c r="AA859" s="4" t="s">
        <v>1121</v>
      </c>
      <c r="AB859" s="4" t="s">
        <v>1524</v>
      </c>
      <c r="AC859" s="39" t="s">
        <v>1523</v>
      </c>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row>
    <row r="860" spans="1:92" s="4" customFormat="1" x14ac:dyDescent="0.2">
      <c r="B860" s="4" t="s">
        <v>1330</v>
      </c>
      <c r="C860" s="4" t="s">
        <v>1355</v>
      </c>
      <c r="D860" s="4" t="s">
        <v>1356</v>
      </c>
      <c r="E860" s="4">
        <v>2018</v>
      </c>
      <c r="F860" s="4" t="s">
        <v>1496</v>
      </c>
      <c r="G860" s="4" t="s">
        <v>1358</v>
      </c>
      <c r="H860" s="37">
        <v>75.83</v>
      </c>
      <c r="I860" s="37">
        <v>-96.31</v>
      </c>
      <c r="J860" s="37">
        <v>2007</v>
      </c>
      <c r="K860" s="37">
        <v>2012</v>
      </c>
      <c r="L860" s="37">
        <f t="shared" si="39"/>
        <v>6</v>
      </c>
      <c r="M860" s="4" t="s">
        <v>369</v>
      </c>
      <c r="N860" s="4" t="s">
        <v>380</v>
      </c>
      <c r="O860" s="4" t="s">
        <v>380</v>
      </c>
      <c r="P860" s="4" t="s">
        <v>1441</v>
      </c>
      <c r="Q860" s="4" t="s">
        <v>1383</v>
      </c>
      <c r="R860" s="4" t="s">
        <v>1453</v>
      </c>
      <c r="T860"/>
      <c r="U860"/>
      <c r="V860" s="4">
        <v>6.5</v>
      </c>
      <c r="W860" s="4" t="str">
        <f t="shared" si="40"/>
        <v>N</v>
      </c>
      <c r="X860" s="4" t="s">
        <v>24</v>
      </c>
      <c r="Z860" s="4" t="str">
        <f t="shared" si="38"/>
        <v>N</v>
      </c>
      <c r="AA860" s="4" t="s">
        <v>1121</v>
      </c>
      <c r="AB860" s="4" t="s">
        <v>1524</v>
      </c>
      <c r="AC860" s="39" t="s">
        <v>1523</v>
      </c>
      <c r="AD860"/>
      <c r="AE860"/>
      <c r="AF860"/>
      <c r="AG860"/>
      <c r="AH860"/>
    </row>
    <row r="861" spans="1:92" s="4" customFormat="1" x14ac:dyDescent="0.2">
      <c r="B861" s="4" t="s">
        <v>1330</v>
      </c>
      <c r="C861" s="4" t="s">
        <v>1355</v>
      </c>
      <c r="D861" s="4" t="s">
        <v>1356</v>
      </c>
      <c r="E861" s="4">
        <v>2018</v>
      </c>
      <c r="F861" s="4" t="s">
        <v>1496</v>
      </c>
      <c r="G861" s="4" t="s">
        <v>1358</v>
      </c>
      <c r="H861" s="37">
        <v>75.83</v>
      </c>
      <c r="I861" s="37">
        <v>-96.31</v>
      </c>
      <c r="J861" s="37">
        <v>2007</v>
      </c>
      <c r="K861" s="37">
        <v>2012</v>
      </c>
      <c r="L861" s="37">
        <f t="shared" si="39"/>
        <v>6</v>
      </c>
      <c r="M861" s="4" t="s">
        <v>369</v>
      </c>
      <c r="N861" s="4" t="s">
        <v>380</v>
      </c>
      <c r="O861" s="4" t="s">
        <v>380</v>
      </c>
      <c r="P861" s="4" t="s">
        <v>1441</v>
      </c>
      <c r="Q861" s="4" t="s">
        <v>1383</v>
      </c>
      <c r="R861" s="4" t="s">
        <v>1455</v>
      </c>
      <c r="T861"/>
      <c r="U861"/>
      <c r="V861" s="4">
        <v>1</v>
      </c>
      <c r="W861" s="4" t="str">
        <f t="shared" si="40"/>
        <v>N</v>
      </c>
      <c r="X861" s="4" t="s">
        <v>24</v>
      </c>
      <c r="Z861" s="4" t="str">
        <f t="shared" si="38"/>
        <v>N</v>
      </c>
      <c r="AA861" s="4" t="s">
        <v>1121</v>
      </c>
      <c r="AB861" s="4" t="s">
        <v>1524</v>
      </c>
      <c r="AC861" s="39" t="s">
        <v>1523</v>
      </c>
      <c r="AD861"/>
      <c r="AE861"/>
      <c r="AF861"/>
      <c r="AG861"/>
      <c r="AH861"/>
    </row>
    <row r="862" spans="1:92" s="4" customFormat="1" x14ac:dyDescent="0.2">
      <c r="B862" s="4" t="s">
        <v>1330</v>
      </c>
      <c r="C862" s="4" t="s">
        <v>1355</v>
      </c>
      <c r="D862" s="4" t="s">
        <v>1356</v>
      </c>
      <c r="E862" s="4">
        <v>2018</v>
      </c>
      <c r="F862" s="4" t="s">
        <v>1497</v>
      </c>
      <c r="G862" s="4" t="s">
        <v>1357</v>
      </c>
      <c r="H862" s="37">
        <v>-51.43</v>
      </c>
      <c r="I862" s="37">
        <v>-61.17</v>
      </c>
      <c r="J862" s="37">
        <v>2003</v>
      </c>
      <c r="K862" s="37">
        <v>2015</v>
      </c>
      <c r="L862" s="37">
        <f t="shared" si="39"/>
        <v>13</v>
      </c>
      <c r="M862" s="4" t="s">
        <v>369</v>
      </c>
      <c r="N862" s="4" t="s">
        <v>380</v>
      </c>
      <c r="O862" s="4" t="s">
        <v>380</v>
      </c>
      <c r="P862" s="4" t="s">
        <v>1405</v>
      </c>
      <c r="Q862" s="4" t="s">
        <v>1365</v>
      </c>
      <c r="R862" s="4" t="s">
        <v>1453</v>
      </c>
      <c r="T862"/>
      <c r="U862"/>
      <c r="V862" s="4">
        <v>0.1</v>
      </c>
      <c r="W862" s="4" t="str">
        <f t="shared" si="40"/>
        <v>N</v>
      </c>
      <c r="X862" s="4" t="s">
        <v>24</v>
      </c>
      <c r="Z862" s="4" t="str">
        <f t="shared" si="38"/>
        <v>N</v>
      </c>
      <c r="AA862" s="4" t="s">
        <v>1121</v>
      </c>
      <c r="AB862" s="4" t="s">
        <v>1524</v>
      </c>
      <c r="AC862" s="39" t="s">
        <v>1523</v>
      </c>
      <c r="AD862"/>
      <c r="AE862"/>
      <c r="AF862"/>
      <c r="AG862"/>
      <c r="AH862"/>
    </row>
    <row r="863" spans="1:92" x14ac:dyDescent="0.2">
      <c r="A863" s="4"/>
      <c r="B863" s="4" t="s">
        <v>1330</v>
      </c>
      <c r="C863" s="4" t="s">
        <v>1355</v>
      </c>
      <c r="D863" s="4" t="s">
        <v>1356</v>
      </c>
      <c r="E863" s="4">
        <v>2018</v>
      </c>
      <c r="F863" s="4" t="s">
        <v>1497</v>
      </c>
      <c r="G863" s="4" t="s">
        <v>1357</v>
      </c>
      <c r="H863" s="37">
        <v>-51.71</v>
      </c>
      <c r="I863" s="37">
        <v>-61.31</v>
      </c>
      <c r="J863" s="37">
        <v>2006</v>
      </c>
      <c r="K863" s="37">
        <v>2013</v>
      </c>
      <c r="L863" s="37">
        <f t="shared" si="39"/>
        <v>8</v>
      </c>
      <c r="M863" s="4" t="s">
        <v>369</v>
      </c>
      <c r="N863" s="4" t="s">
        <v>380</v>
      </c>
      <c r="O863" s="4" t="s">
        <v>380</v>
      </c>
      <c r="P863" s="4" t="s">
        <v>1446</v>
      </c>
      <c r="Q863" s="4" t="s">
        <v>1384</v>
      </c>
      <c r="R863" s="4" t="s">
        <v>1454</v>
      </c>
      <c r="S863" s="4"/>
      <c r="V863" s="4">
        <v>1.4000000000000001</v>
      </c>
      <c r="W863" s="4" t="str">
        <f t="shared" si="40"/>
        <v>N</v>
      </c>
      <c r="X863" s="4" t="s">
        <v>24</v>
      </c>
      <c r="Y863" s="4"/>
      <c r="Z863" s="4" t="str">
        <f t="shared" si="38"/>
        <v>N</v>
      </c>
      <c r="AA863" s="4" t="s">
        <v>1121</v>
      </c>
      <c r="AB863" s="4" t="s">
        <v>1524</v>
      </c>
      <c r="AC863" s="39" t="s">
        <v>1523</v>
      </c>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row>
    <row r="864" spans="1:92" x14ac:dyDescent="0.2">
      <c r="A864" s="4"/>
      <c r="B864" s="4" t="s">
        <v>1330</v>
      </c>
      <c r="C864" s="4" t="s">
        <v>1355</v>
      </c>
      <c r="D864" s="4" t="s">
        <v>1356</v>
      </c>
      <c r="E864" s="4">
        <v>2018</v>
      </c>
      <c r="F864" s="4" t="s">
        <v>1497</v>
      </c>
      <c r="G864" s="4" t="s">
        <v>1357</v>
      </c>
      <c r="H864" s="37">
        <v>-51.71</v>
      </c>
      <c r="I864" s="37">
        <v>-61.31</v>
      </c>
      <c r="J864" s="37">
        <v>2006</v>
      </c>
      <c r="K864" s="37">
        <v>2013</v>
      </c>
      <c r="L864" s="37">
        <f t="shared" si="39"/>
        <v>8</v>
      </c>
      <c r="M864" s="4" t="s">
        <v>369</v>
      </c>
      <c r="N864" s="4" t="s">
        <v>380</v>
      </c>
      <c r="O864" s="4" t="s">
        <v>380</v>
      </c>
      <c r="P864" s="4" t="s">
        <v>1446</v>
      </c>
      <c r="Q864" s="4" t="s">
        <v>1384</v>
      </c>
      <c r="R864" s="4" t="s">
        <v>1455</v>
      </c>
      <c r="S864" s="4"/>
      <c r="V864" s="4">
        <v>2.9</v>
      </c>
      <c r="W864" s="4" t="str">
        <f t="shared" si="40"/>
        <v>N</v>
      </c>
      <c r="X864" s="4" t="s">
        <v>24</v>
      </c>
      <c r="Y864" s="4"/>
      <c r="Z864" s="4" t="str">
        <f t="shared" si="38"/>
        <v>N</v>
      </c>
      <c r="AA864" s="4" t="s">
        <v>1121</v>
      </c>
      <c r="AB864" s="4" t="s">
        <v>1524</v>
      </c>
      <c r="AC864" s="39" t="s">
        <v>1523</v>
      </c>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row>
    <row r="865" spans="1:92" x14ac:dyDescent="0.2">
      <c r="B865" t="s">
        <v>1330</v>
      </c>
      <c r="C865" t="s">
        <v>1355</v>
      </c>
      <c r="D865" t="s">
        <v>1356</v>
      </c>
      <c r="E865">
        <v>2018</v>
      </c>
      <c r="F865" t="s">
        <v>1498</v>
      </c>
      <c r="G865" t="s">
        <v>1357</v>
      </c>
      <c r="H865" s="13">
        <v>-45.11</v>
      </c>
      <c r="I865" s="13">
        <v>170.98</v>
      </c>
      <c r="J865" s="13">
        <v>1994</v>
      </c>
      <c r="K865" s="13">
        <v>2015</v>
      </c>
      <c r="L865" s="13">
        <f t="shared" si="39"/>
        <v>22</v>
      </c>
      <c r="M865" t="s">
        <v>369</v>
      </c>
      <c r="N865" t="s">
        <v>380</v>
      </c>
      <c r="O865" t="s">
        <v>380</v>
      </c>
      <c r="P865" t="s">
        <v>1431</v>
      </c>
      <c r="Q865" t="s">
        <v>80</v>
      </c>
      <c r="R865" t="s">
        <v>1455</v>
      </c>
      <c r="V865">
        <v>0.70000000000000007</v>
      </c>
      <c r="W865" t="str">
        <f t="shared" si="40"/>
        <v>N</v>
      </c>
      <c r="X865" t="s">
        <v>3</v>
      </c>
      <c r="Z865" s="4" t="str">
        <f t="shared" si="38"/>
        <v>Y</v>
      </c>
      <c r="AA865" t="s">
        <v>1121</v>
      </c>
      <c r="AB865" t="s">
        <v>1524</v>
      </c>
      <c r="AC865" s="15" t="s">
        <v>1523</v>
      </c>
    </row>
    <row r="866" spans="1:92" x14ac:dyDescent="0.2">
      <c r="A866" s="4"/>
      <c r="B866" s="4" t="s">
        <v>1330</v>
      </c>
      <c r="C866" s="4" t="s">
        <v>1355</v>
      </c>
      <c r="D866" s="4" t="s">
        <v>1356</v>
      </c>
      <c r="E866" s="4">
        <v>2018</v>
      </c>
      <c r="F866" s="4" t="s">
        <v>1499</v>
      </c>
      <c r="G866" s="4" t="s">
        <v>1358</v>
      </c>
      <c r="H866" s="37">
        <v>39.340000000000003</v>
      </c>
      <c r="I866" s="37">
        <v>2.2000000000000002</v>
      </c>
      <c r="J866" s="37">
        <v>2001</v>
      </c>
      <c r="K866" s="37">
        <v>2015</v>
      </c>
      <c r="L866" s="37">
        <f t="shared" si="39"/>
        <v>15</v>
      </c>
      <c r="M866" s="4" t="s">
        <v>369</v>
      </c>
      <c r="N866" s="4" t="s">
        <v>380</v>
      </c>
      <c r="O866" s="4" t="s">
        <v>380</v>
      </c>
      <c r="P866" s="4" t="s">
        <v>1442</v>
      </c>
      <c r="Q866" s="4" t="s">
        <v>1385</v>
      </c>
      <c r="R866" s="4" t="s">
        <v>1455</v>
      </c>
      <c r="S866" s="4"/>
      <c r="V866" s="4">
        <v>1</v>
      </c>
      <c r="W866" s="4" t="str">
        <f t="shared" si="40"/>
        <v>N</v>
      </c>
      <c r="X866" s="4" t="s">
        <v>24</v>
      </c>
      <c r="Y866" s="4"/>
      <c r="Z866" s="4" t="str">
        <f t="shared" si="38"/>
        <v>N</v>
      </c>
      <c r="AA866" s="4" t="s">
        <v>1121</v>
      </c>
      <c r="AB866" s="4" t="s">
        <v>1524</v>
      </c>
      <c r="AC866" s="39" t="s">
        <v>1523</v>
      </c>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row>
    <row r="867" spans="1:92" s="4" customFormat="1" x14ac:dyDescent="0.2">
      <c r="A867"/>
      <c r="B867" t="s">
        <v>1330</v>
      </c>
      <c r="C867" t="s">
        <v>1355</v>
      </c>
      <c r="D867" t="s">
        <v>1356</v>
      </c>
      <c r="E867">
        <v>2018</v>
      </c>
      <c r="F867" t="s">
        <v>1500</v>
      </c>
      <c r="G867" t="s">
        <v>1357</v>
      </c>
      <c r="H867" s="13">
        <v>-28.95</v>
      </c>
      <c r="I867" s="13">
        <v>113.97</v>
      </c>
      <c r="J867" s="13">
        <v>1993</v>
      </c>
      <c r="K867" s="13">
        <v>2015</v>
      </c>
      <c r="L867" s="13">
        <f t="shared" si="39"/>
        <v>23</v>
      </c>
      <c r="M867" t="s">
        <v>369</v>
      </c>
      <c r="N867" t="s">
        <v>380</v>
      </c>
      <c r="O867" t="s">
        <v>380</v>
      </c>
      <c r="P867" t="s">
        <v>1409</v>
      </c>
      <c r="Q867" t="s">
        <v>1386</v>
      </c>
      <c r="R867" t="s">
        <v>1454</v>
      </c>
      <c r="S867"/>
      <c r="T867"/>
      <c r="U867"/>
      <c r="V867">
        <v>12.8</v>
      </c>
      <c r="W867" t="str">
        <f t="shared" si="40"/>
        <v>N</v>
      </c>
      <c r="X867" t="s">
        <v>3</v>
      </c>
      <c r="Y867"/>
      <c r="Z867" s="4" t="str">
        <f t="shared" si="38"/>
        <v>Y</v>
      </c>
      <c r="AA867" t="s">
        <v>1121</v>
      </c>
      <c r="AB867" t="s">
        <v>1524</v>
      </c>
      <c r="AC867" s="15" t="s">
        <v>1523</v>
      </c>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c r="CN867"/>
    </row>
    <row r="868" spans="1:92" s="4" customFormat="1" x14ac:dyDescent="0.2">
      <c r="A868"/>
      <c r="B868" t="s">
        <v>1330</v>
      </c>
      <c r="C868" t="s">
        <v>1355</v>
      </c>
      <c r="D868" t="s">
        <v>1356</v>
      </c>
      <c r="E868">
        <v>2018</v>
      </c>
      <c r="F868" t="s">
        <v>1500</v>
      </c>
      <c r="G868" t="s">
        <v>1357</v>
      </c>
      <c r="H868" s="13">
        <v>-28.95</v>
      </c>
      <c r="I868" s="13">
        <v>113.97</v>
      </c>
      <c r="J868" s="13">
        <v>1991</v>
      </c>
      <c r="K868" s="13">
        <v>2015</v>
      </c>
      <c r="L868" s="13">
        <f t="shared" si="39"/>
        <v>25</v>
      </c>
      <c r="M868" t="s">
        <v>369</v>
      </c>
      <c r="N868" t="s">
        <v>380</v>
      </c>
      <c r="O868" t="s">
        <v>380</v>
      </c>
      <c r="P868" t="s">
        <v>1428</v>
      </c>
      <c r="Q868" t="s">
        <v>1387</v>
      </c>
      <c r="R868" t="s">
        <v>1454</v>
      </c>
      <c r="S868"/>
      <c r="T868"/>
      <c r="U868"/>
      <c r="V868">
        <v>14.9</v>
      </c>
      <c r="W868" t="str">
        <f t="shared" si="40"/>
        <v>N</v>
      </c>
      <c r="X868" t="s">
        <v>3</v>
      </c>
      <c r="Y868"/>
      <c r="Z868" s="4" t="str">
        <f t="shared" si="38"/>
        <v>Y</v>
      </c>
      <c r="AA868" t="s">
        <v>1121</v>
      </c>
      <c r="AB868" t="s">
        <v>1524</v>
      </c>
      <c r="AC868" s="15" t="s">
        <v>1523</v>
      </c>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c r="CN868"/>
    </row>
    <row r="869" spans="1:92" s="4" customFormat="1" x14ac:dyDescent="0.2">
      <c r="B869" s="4" t="s">
        <v>1330</v>
      </c>
      <c r="C869" s="4" t="s">
        <v>1355</v>
      </c>
      <c r="D869" s="4" t="s">
        <v>1356</v>
      </c>
      <c r="E869" s="4">
        <v>2018</v>
      </c>
      <c r="F869" s="4" t="s">
        <v>1501</v>
      </c>
      <c r="G869" s="4" t="s">
        <v>1358</v>
      </c>
      <c r="H869" s="37">
        <v>41.45</v>
      </c>
      <c r="I869" s="37">
        <v>-70.92</v>
      </c>
      <c r="J869" s="37">
        <v>2003</v>
      </c>
      <c r="K869" s="37">
        <v>2015</v>
      </c>
      <c r="L869" s="37">
        <f t="shared" si="39"/>
        <v>13</v>
      </c>
      <c r="M869" s="4" t="s">
        <v>369</v>
      </c>
      <c r="N869" s="4" t="s">
        <v>380</v>
      </c>
      <c r="O869" s="4" t="s">
        <v>380</v>
      </c>
      <c r="P869" s="4" t="s">
        <v>1413</v>
      </c>
      <c r="Q869" s="4" t="s">
        <v>458</v>
      </c>
      <c r="R869" s="4" t="s">
        <v>1455</v>
      </c>
      <c r="T869"/>
      <c r="U869"/>
      <c r="V869" s="4">
        <v>-6.2</v>
      </c>
      <c r="W869" s="4" t="str">
        <f t="shared" si="40"/>
        <v>Y</v>
      </c>
      <c r="X869" s="4" t="s">
        <v>24</v>
      </c>
      <c r="Z869" s="4" t="str">
        <f t="shared" si="38"/>
        <v>N</v>
      </c>
      <c r="AA869" s="4" t="s">
        <v>1121</v>
      </c>
      <c r="AB869" s="4" t="s">
        <v>1524</v>
      </c>
      <c r="AC869" s="39" t="s">
        <v>1523</v>
      </c>
      <c r="AD869"/>
      <c r="AE869"/>
      <c r="AF869"/>
      <c r="AG869"/>
      <c r="AH869"/>
    </row>
    <row r="870" spans="1:92" s="4" customFormat="1" x14ac:dyDescent="0.2">
      <c r="B870" s="4" t="s">
        <v>1330</v>
      </c>
      <c r="C870" s="4" t="s">
        <v>1355</v>
      </c>
      <c r="D870" s="4" t="s">
        <v>1356</v>
      </c>
      <c r="E870" s="4">
        <v>2018</v>
      </c>
      <c r="F870" s="4" t="s">
        <v>1501</v>
      </c>
      <c r="G870" s="4" t="s">
        <v>1358</v>
      </c>
      <c r="H870" s="37">
        <v>41.45</v>
      </c>
      <c r="I870" s="37">
        <v>-70.92</v>
      </c>
      <c r="J870" s="37">
        <v>2002</v>
      </c>
      <c r="K870" s="37">
        <v>2015</v>
      </c>
      <c r="L870" s="37">
        <f t="shared" si="39"/>
        <v>14</v>
      </c>
      <c r="M870" s="4" t="s">
        <v>369</v>
      </c>
      <c r="N870" s="4" t="s">
        <v>380</v>
      </c>
      <c r="O870" s="4" t="s">
        <v>380</v>
      </c>
      <c r="P870" s="4" t="s">
        <v>1440</v>
      </c>
      <c r="Q870" s="4" t="s">
        <v>1363</v>
      </c>
      <c r="R870" s="4" t="s">
        <v>1455</v>
      </c>
      <c r="T870"/>
      <c r="U870"/>
      <c r="V870" s="4">
        <v>1.2</v>
      </c>
      <c r="W870" s="4" t="str">
        <f t="shared" si="40"/>
        <v>N</v>
      </c>
      <c r="X870" s="4" t="s">
        <v>24</v>
      </c>
      <c r="Z870" s="4" t="str">
        <f t="shared" si="38"/>
        <v>N</v>
      </c>
      <c r="AA870" s="4" t="s">
        <v>1121</v>
      </c>
      <c r="AB870" s="4" t="s">
        <v>1524</v>
      </c>
      <c r="AC870" s="39" t="s">
        <v>1523</v>
      </c>
      <c r="AD870"/>
      <c r="AE870"/>
      <c r="AF870"/>
      <c r="AG870"/>
      <c r="AH870"/>
    </row>
    <row r="871" spans="1:92" s="4" customFormat="1" x14ac:dyDescent="0.2">
      <c r="B871" s="4" t="s">
        <v>1330</v>
      </c>
      <c r="C871" s="4" t="s">
        <v>1355</v>
      </c>
      <c r="D871" s="4" t="s">
        <v>1356</v>
      </c>
      <c r="E871" s="4">
        <v>2018</v>
      </c>
      <c r="F871" s="4" t="s">
        <v>1502</v>
      </c>
      <c r="G871" s="4" t="s">
        <v>1357</v>
      </c>
      <c r="H871" s="37">
        <v>-38.479999999999997</v>
      </c>
      <c r="I871" s="37">
        <v>145.22999999999999</v>
      </c>
      <c r="J871" s="37">
        <v>2000</v>
      </c>
      <c r="K871" s="37">
        <v>2016</v>
      </c>
      <c r="L871" s="37">
        <f t="shared" si="39"/>
        <v>17</v>
      </c>
      <c r="M871" s="4" t="s">
        <v>369</v>
      </c>
      <c r="N871" s="4" t="s">
        <v>380</v>
      </c>
      <c r="O871" s="4" t="s">
        <v>380</v>
      </c>
      <c r="P871" s="4" t="s">
        <v>1431</v>
      </c>
      <c r="Q871" s="4" t="s">
        <v>80</v>
      </c>
      <c r="R871" s="4" t="s">
        <v>1454</v>
      </c>
      <c r="T871"/>
      <c r="U871"/>
      <c r="V871" s="4">
        <v>-47.599999999999994</v>
      </c>
      <c r="W871" s="4" t="str">
        <f t="shared" si="40"/>
        <v>Y</v>
      </c>
      <c r="X871" s="4" t="s">
        <v>24</v>
      </c>
      <c r="Z871" s="4" t="str">
        <f t="shared" si="38"/>
        <v>N</v>
      </c>
      <c r="AA871" s="4" t="s">
        <v>1121</v>
      </c>
      <c r="AB871" s="4" t="s">
        <v>1524</v>
      </c>
      <c r="AC871" s="39" t="s">
        <v>1523</v>
      </c>
      <c r="AD871"/>
      <c r="AE871"/>
      <c r="AF871"/>
      <c r="AG871"/>
      <c r="AH871"/>
    </row>
    <row r="872" spans="1:92" s="4" customFormat="1" x14ac:dyDescent="0.2">
      <c r="A872"/>
      <c r="B872" t="s">
        <v>1330</v>
      </c>
      <c r="C872" t="s">
        <v>1355</v>
      </c>
      <c r="D872" t="s">
        <v>1356</v>
      </c>
      <c r="E872">
        <v>2018</v>
      </c>
      <c r="F872" t="s">
        <v>1503</v>
      </c>
      <c r="G872" t="s">
        <v>1357</v>
      </c>
      <c r="H872" s="13">
        <v>-38.159999999999997</v>
      </c>
      <c r="I872" s="13">
        <v>144.41</v>
      </c>
      <c r="J872" s="13">
        <v>1984</v>
      </c>
      <c r="K872" s="13">
        <v>2007</v>
      </c>
      <c r="L872" s="13">
        <f t="shared" si="39"/>
        <v>24</v>
      </c>
      <c r="M872" t="s">
        <v>369</v>
      </c>
      <c r="N872" t="s">
        <v>380</v>
      </c>
      <c r="O872" t="s">
        <v>380</v>
      </c>
      <c r="P872" t="s">
        <v>1403</v>
      </c>
      <c r="Q872" t="s">
        <v>1388</v>
      </c>
      <c r="R872" t="s">
        <v>1455</v>
      </c>
      <c r="S872"/>
      <c r="T872"/>
      <c r="U872"/>
      <c r="V872">
        <v>-7.1999999999999993</v>
      </c>
      <c r="W872" t="str">
        <f t="shared" si="40"/>
        <v>Y</v>
      </c>
      <c r="X872" t="s">
        <v>3</v>
      </c>
      <c r="Y872"/>
      <c r="Z872" s="4" t="str">
        <f t="shared" si="38"/>
        <v>Y</v>
      </c>
      <c r="AA872" t="s">
        <v>1121</v>
      </c>
      <c r="AB872" t="s">
        <v>1524</v>
      </c>
      <c r="AC872" s="15" t="s">
        <v>1523</v>
      </c>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CF872"/>
      <c r="CG872"/>
      <c r="CH872"/>
      <c r="CI872"/>
      <c r="CJ872"/>
      <c r="CK872"/>
      <c r="CL872"/>
      <c r="CM872"/>
      <c r="CN872"/>
    </row>
    <row r="873" spans="1:92" s="4" customFormat="1" x14ac:dyDescent="0.2">
      <c r="B873" s="4" t="s">
        <v>1330</v>
      </c>
      <c r="C873" s="4" t="s">
        <v>1355</v>
      </c>
      <c r="D873" s="4" t="s">
        <v>1356</v>
      </c>
      <c r="E873" s="4">
        <v>2018</v>
      </c>
      <c r="F873" s="4" t="s">
        <v>1504</v>
      </c>
      <c r="G873" s="4" t="s">
        <v>1358</v>
      </c>
      <c r="H873" s="37">
        <v>74.010000000000005</v>
      </c>
      <c r="I873" s="37">
        <v>-89.94</v>
      </c>
      <c r="J873" s="37">
        <v>2000</v>
      </c>
      <c r="K873" s="37">
        <v>2014</v>
      </c>
      <c r="L873" s="37">
        <f t="shared" si="39"/>
        <v>15</v>
      </c>
      <c r="M873" s="4" t="s">
        <v>369</v>
      </c>
      <c r="N873" s="4" t="s">
        <v>380</v>
      </c>
      <c r="O873" s="4" t="s">
        <v>380</v>
      </c>
      <c r="P873" s="4" t="s">
        <v>485</v>
      </c>
      <c r="Q873" s="4" t="s">
        <v>87</v>
      </c>
      <c r="R873" s="4" t="s">
        <v>1453</v>
      </c>
      <c r="T873"/>
      <c r="U873"/>
      <c r="V873" s="4">
        <v>-2.5</v>
      </c>
      <c r="W873" s="4" t="str">
        <f t="shared" si="40"/>
        <v>Y</v>
      </c>
      <c r="X873" s="4" t="s">
        <v>24</v>
      </c>
      <c r="Z873" s="4" t="str">
        <f t="shared" si="38"/>
        <v>N</v>
      </c>
      <c r="AA873" s="4" t="s">
        <v>1121</v>
      </c>
      <c r="AB873" s="4" t="s">
        <v>1524</v>
      </c>
      <c r="AC873" s="39" t="s">
        <v>1523</v>
      </c>
      <c r="AD873"/>
      <c r="AE873"/>
      <c r="AF873"/>
      <c r="AG873"/>
      <c r="AH873"/>
    </row>
    <row r="874" spans="1:92" s="4" customFormat="1" x14ac:dyDescent="0.2">
      <c r="B874" s="4" t="s">
        <v>1330</v>
      </c>
      <c r="C874" s="4" t="s">
        <v>1355</v>
      </c>
      <c r="D874" s="4" t="s">
        <v>1356</v>
      </c>
      <c r="E874" s="4">
        <v>2018</v>
      </c>
      <c r="F874" s="4" t="s">
        <v>1504</v>
      </c>
      <c r="G874" s="4" t="s">
        <v>1358</v>
      </c>
      <c r="H874" s="37">
        <v>74.010000000000005</v>
      </c>
      <c r="I874" s="37">
        <v>-89.94</v>
      </c>
      <c r="J874" s="37">
        <v>2000</v>
      </c>
      <c r="K874" s="37">
        <v>2010</v>
      </c>
      <c r="L874" s="37">
        <f t="shared" si="39"/>
        <v>11</v>
      </c>
      <c r="M874" s="4" t="s">
        <v>369</v>
      </c>
      <c r="N874" s="4" t="s">
        <v>380</v>
      </c>
      <c r="O874" s="4" t="s">
        <v>380</v>
      </c>
      <c r="P874" s="4" t="s">
        <v>1420</v>
      </c>
      <c r="Q874" s="4" t="s">
        <v>1348</v>
      </c>
      <c r="R874" s="4" t="s">
        <v>1453</v>
      </c>
      <c r="T874"/>
      <c r="U874"/>
      <c r="V874" s="4">
        <v>1.5</v>
      </c>
      <c r="W874" s="4" t="str">
        <f t="shared" si="40"/>
        <v>N</v>
      </c>
      <c r="X874" s="4" t="s">
        <v>24</v>
      </c>
      <c r="Z874" s="4" t="str">
        <f t="shared" si="38"/>
        <v>N</v>
      </c>
      <c r="AA874" s="4" t="s">
        <v>1121</v>
      </c>
      <c r="AB874" s="4" t="s">
        <v>1524</v>
      </c>
      <c r="AC874" s="39" t="s">
        <v>1523</v>
      </c>
      <c r="AD874"/>
      <c r="AE874"/>
      <c r="AF874"/>
      <c r="AG874"/>
      <c r="AH874"/>
    </row>
    <row r="875" spans="1:92" s="4" customFormat="1" x14ac:dyDescent="0.2">
      <c r="A875"/>
      <c r="B875" t="s">
        <v>1330</v>
      </c>
      <c r="C875" t="s">
        <v>1355</v>
      </c>
      <c r="D875" t="s">
        <v>1356</v>
      </c>
      <c r="E875">
        <v>2018</v>
      </c>
      <c r="F875" t="s">
        <v>1504</v>
      </c>
      <c r="G875" t="s">
        <v>1358</v>
      </c>
      <c r="H875" s="13">
        <v>74.010000000000005</v>
      </c>
      <c r="I875" s="13">
        <v>-89.94</v>
      </c>
      <c r="J875" s="13">
        <v>1975</v>
      </c>
      <c r="K875" s="13">
        <v>2014</v>
      </c>
      <c r="L875" s="13">
        <f t="shared" si="39"/>
        <v>40</v>
      </c>
      <c r="M875" t="s">
        <v>369</v>
      </c>
      <c r="N875" t="s">
        <v>380</v>
      </c>
      <c r="O875" t="s">
        <v>380</v>
      </c>
      <c r="P875" t="s">
        <v>488</v>
      </c>
      <c r="Q875" t="s">
        <v>91</v>
      </c>
      <c r="R875" t="s">
        <v>1453</v>
      </c>
      <c r="S875"/>
      <c r="T875"/>
      <c r="U875"/>
      <c r="V875">
        <v>-0.8</v>
      </c>
      <c r="W875" t="str">
        <f t="shared" si="40"/>
        <v>Y</v>
      </c>
      <c r="X875" t="s">
        <v>3</v>
      </c>
      <c r="Y875"/>
      <c r="Z875" s="4" t="str">
        <f t="shared" si="38"/>
        <v>Y</v>
      </c>
      <c r="AA875" t="s">
        <v>1121</v>
      </c>
      <c r="AB875" t="s">
        <v>1524</v>
      </c>
      <c r="AC875" s="15" t="s">
        <v>1523</v>
      </c>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c r="CG875"/>
      <c r="CH875"/>
      <c r="CI875"/>
      <c r="CJ875"/>
      <c r="CK875"/>
      <c r="CL875"/>
      <c r="CM875"/>
      <c r="CN875"/>
    </row>
    <row r="876" spans="1:92" s="4" customFormat="1" x14ac:dyDescent="0.2">
      <c r="B876" s="4" t="s">
        <v>1330</v>
      </c>
      <c r="C876" s="4" t="s">
        <v>1355</v>
      </c>
      <c r="D876" s="4" t="s">
        <v>1356</v>
      </c>
      <c r="E876" s="4">
        <v>2018</v>
      </c>
      <c r="F876" s="4" t="s">
        <v>1505</v>
      </c>
      <c r="G876" s="4" t="s">
        <v>1357</v>
      </c>
      <c r="H876" s="37">
        <v>-43.06</v>
      </c>
      <c r="I876" s="37">
        <v>-64.459999999999994</v>
      </c>
      <c r="J876" s="37">
        <v>2004</v>
      </c>
      <c r="K876" s="37">
        <v>2015</v>
      </c>
      <c r="L876" s="37">
        <f t="shared" si="39"/>
        <v>12</v>
      </c>
      <c r="M876" s="4" t="s">
        <v>369</v>
      </c>
      <c r="N876" s="4" t="s">
        <v>380</v>
      </c>
      <c r="O876" s="4" t="s">
        <v>380</v>
      </c>
      <c r="P876" s="4" t="s">
        <v>1424</v>
      </c>
      <c r="Q876" s="4" t="s">
        <v>1389</v>
      </c>
      <c r="R876" s="4" t="s">
        <v>1455</v>
      </c>
      <c r="T876"/>
      <c r="U876"/>
      <c r="V876" s="4">
        <v>-5.4</v>
      </c>
      <c r="W876" s="4" t="str">
        <f t="shared" si="40"/>
        <v>Y</v>
      </c>
      <c r="X876" s="4" t="s">
        <v>24</v>
      </c>
      <c r="Z876" s="4" t="str">
        <f t="shared" si="38"/>
        <v>N</v>
      </c>
      <c r="AA876" s="4" t="s">
        <v>1121</v>
      </c>
      <c r="AB876" s="4" t="s">
        <v>1524</v>
      </c>
      <c r="AC876" s="39" t="s">
        <v>1523</v>
      </c>
      <c r="AD876"/>
      <c r="AE876"/>
      <c r="AF876"/>
      <c r="AG876"/>
      <c r="AH876"/>
    </row>
    <row r="877" spans="1:92" x14ac:dyDescent="0.2">
      <c r="A877" s="4"/>
      <c r="B877" s="4" t="s">
        <v>1330</v>
      </c>
      <c r="C877" s="4" t="s">
        <v>1355</v>
      </c>
      <c r="D877" s="4" t="s">
        <v>1356</v>
      </c>
      <c r="E877" s="4">
        <v>2018</v>
      </c>
      <c r="F877" s="4" t="s">
        <v>1506</v>
      </c>
      <c r="G877" s="4" t="s">
        <v>1358</v>
      </c>
      <c r="H877" s="37">
        <v>41.62</v>
      </c>
      <c r="I877" s="37">
        <v>-70.8</v>
      </c>
      <c r="J877" s="37">
        <v>1999</v>
      </c>
      <c r="K877" s="37">
        <v>2015</v>
      </c>
      <c r="L877" s="37">
        <f t="shared" si="39"/>
        <v>17</v>
      </c>
      <c r="M877" s="4" t="s">
        <v>369</v>
      </c>
      <c r="N877" s="4" t="s">
        <v>380</v>
      </c>
      <c r="O877" s="4" t="s">
        <v>380</v>
      </c>
      <c r="P877" s="4" t="s">
        <v>1413</v>
      </c>
      <c r="Q877" s="4" t="s">
        <v>458</v>
      </c>
      <c r="R877" s="4" t="s">
        <v>1455</v>
      </c>
      <c r="S877" s="4"/>
      <c r="V877" s="4">
        <v>-5.5</v>
      </c>
      <c r="W877" s="4" t="str">
        <f t="shared" si="40"/>
        <v>Y</v>
      </c>
      <c r="X877" s="4" t="s">
        <v>24</v>
      </c>
      <c r="Y877" s="4"/>
      <c r="Z877" s="4" t="str">
        <f t="shared" si="38"/>
        <v>N</v>
      </c>
      <c r="AA877" s="4" t="s">
        <v>1121</v>
      </c>
      <c r="AB877" s="4" t="s">
        <v>1524</v>
      </c>
      <c r="AC877" s="39" t="s">
        <v>1523</v>
      </c>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row>
    <row r="878" spans="1:92" s="4" customFormat="1" x14ac:dyDescent="0.2">
      <c r="B878" s="4" t="s">
        <v>1330</v>
      </c>
      <c r="C878" s="4" t="s">
        <v>1355</v>
      </c>
      <c r="D878" s="4" t="s">
        <v>1356</v>
      </c>
      <c r="E878" s="4">
        <v>2018</v>
      </c>
      <c r="F878" s="4" t="s">
        <v>1506</v>
      </c>
      <c r="G878" s="4" t="s">
        <v>1358</v>
      </c>
      <c r="H878" s="37">
        <v>41.62</v>
      </c>
      <c r="I878" s="37">
        <v>-70.8</v>
      </c>
      <c r="J878" s="37">
        <v>1999</v>
      </c>
      <c r="K878" s="37">
        <v>2015</v>
      </c>
      <c r="L878" s="37">
        <f t="shared" si="39"/>
        <v>17</v>
      </c>
      <c r="M878" s="4" t="s">
        <v>369</v>
      </c>
      <c r="N878" s="4" t="s">
        <v>380</v>
      </c>
      <c r="O878" s="4" t="s">
        <v>380</v>
      </c>
      <c r="P878" s="4" t="s">
        <v>1440</v>
      </c>
      <c r="Q878" s="4" t="s">
        <v>1363</v>
      </c>
      <c r="R878" s="4" t="s">
        <v>1455</v>
      </c>
      <c r="T878"/>
      <c r="U878"/>
      <c r="V878" s="4">
        <v>-6.1</v>
      </c>
      <c r="W878" s="4" t="str">
        <f t="shared" si="40"/>
        <v>Y</v>
      </c>
      <c r="X878" s="4" t="s">
        <v>24</v>
      </c>
      <c r="Z878" s="4" t="str">
        <f t="shared" si="38"/>
        <v>N</v>
      </c>
      <c r="AA878" s="4" t="s">
        <v>1121</v>
      </c>
      <c r="AB878" s="4" t="s">
        <v>1524</v>
      </c>
      <c r="AC878" s="39" t="s">
        <v>1523</v>
      </c>
      <c r="AD878"/>
      <c r="AE878"/>
      <c r="AF878"/>
      <c r="AG878"/>
      <c r="AH878"/>
    </row>
    <row r="879" spans="1:92" x14ac:dyDescent="0.2">
      <c r="A879" s="4"/>
      <c r="B879" s="4" t="s">
        <v>1330</v>
      </c>
      <c r="C879" s="4" t="s">
        <v>1355</v>
      </c>
      <c r="D879" s="4" t="s">
        <v>1356</v>
      </c>
      <c r="E879" s="4">
        <v>2018</v>
      </c>
      <c r="F879" s="4" t="s">
        <v>1507</v>
      </c>
      <c r="G879" s="4" t="s">
        <v>1358</v>
      </c>
      <c r="H879" s="37">
        <v>52.868000000000002</v>
      </c>
      <c r="I879" s="37">
        <v>-131.51300000000001</v>
      </c>
      <c r="J879" s="37">
        <v>1984</v>
      </c>
      <c r="K879" s="37">
        <v>1999</v>
      </c>
      <c r="L879" s="37">
        <f t="shared" si="39"/>
        <v>16</v>
      </c>
      <c r="M879" s="4" t="s">
        <v>369</v>
      </c>
      <c r="N879" s="4" t="s">
        <v>380</v>
      </c>
      <c r="O879" s="4" t="s">
        <v>380</v>
      </c>
      <c r="P879" s="4" t="s">
        <v>1396</v>
      </c>
      <c r="Q879" s="4" t="s">
        <v>452</v>
      </c>
      <c r="R879" s="4" t="s">
        <v>1453</v>
      </c>
      <c r="S879" s="4"/>
      <c r="V879" s="4">
        <v>-3.3000000000000003</v>
      </c>
      <c r="W879" s="4" t="str">
        <f t="shared" si="40"/>
        <v>Y</v>
      </c>
      <c r="X879" s="4" t="s">
        <v>24</v>
      </c>
      <c r="Y879" s="4"/>
      <c r="Z879" s="4" t="str">
        <f t="shared" si="38"/>
        <v>N</v>
      </c>
      <c r="AA879" s="4" t="s">
        <v>1121</v>
      </c>
      <c r="AB879" s="4" t="s">
        <v>1524</v>
      </c>
      <c r="AC879" s="39" t="s">
        <v>1523</v>
      </c>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row>
    <row r="880" spans="1:92" x14ac:dyDescent="0.2">
      <c r="B880" t="s">
        <v>1330</v>
      </c>
      <c r="C880" t="s">
        <v>1355</v>
      </c>
      <c r="D880" t="s">
        <v>1356</v>
      </c>
      <c r="E880">
        <v>2018</v>
      </c>
      <c r="F880" t="s">
        <v>1508</v>
      </c>
      <c r="G880" t="s">
        <v>1358</v>
      </c>
      <c r="H880" s="13">
        <v>54.4</v>
      </c>
      <c r="I880" s="13">
        <v>-4.7</v>
      </c>
      <c r="J880" s="13">
        <v>1976</v>
      </c>
      <c r="K880" s="13">
        <v>2007</v>
      </c>
      <c r="L880" s="13">
        <f t="shared" si="39"/>
        <v>32</v>
      </c>
      <c r="M880" t="s">
        <v>369</v>
      </c>
      <c r="N880" t="s">
        <v>380</v>
      </c>
      <c r="O880" t="s">
        <v>380</v>
      </c>
      <c r="P880" t="s">
        <v>1434</v>
      </c>
      <c r="Q880" t="s">
        <v>460</v>
      </c>
      <c r="R880" t="s">
        <v>1453</v>
      </c>
      <c r="V880">
        <v>5.2</v>
      </c>
      <c r="W880" t="str">
        <f t="shared" si="40"/>
        <v>N</v>
      </c>
      <c r="X880" t="s">
        <v>3</v>
      </c>
      <c r="Z880" s="4" t="str">
        <f t="shared" si="38"/>
        <v>Y</v>
      </c>
      <c r="AA880" t="s">
        <v>1121</v>
      </c>
      <c r="AB880" t="s">
        <v>1524</v>
      </c>
      <c r="AC880" s="15" t="s">
        <v>1523</v>
      </c>
    </row>
    <row r="881" spans="1:92" s="4" customFormat="1" x14ac:dyDescent="0.2">
      <c r="A881"/>
      <c r="B881" t="s">
        <v>1330</v>
      </c>
      <c r="C881" t="s">
        <v>1355</v>
      </c>
      <c r="D881" t="s">
        <v>1356</v>
      </c>
      <c r="E881">
        <v>2018</v>
      </c>
      <c r="F881" t="s">
        <v>1509</v>
      </c>
      <c r="G881" t="s">
        <v>1358</v>
      </c>
      <c r="H881" s="13">
        <v>37.700000000000003</v>
      </c>
      <c r="I881" s="13">
        <v>-123</v>
      </c>
      <c r="J881" s="13">
        <v>1971</v>
      </c>
      <c r="K881" s="13">
        <v>2015</v>
      </c>
      <c r="L881" s="13">
        <f t="shared" si="39"/>
        <v>45</v>
      </c>
      <c r="M881" t="s">
        <v>369</v>
      </c>
      <c r="N881" t="s">
        <v>380</v>
      </c>
      <c r="O881" t="s">
        <v>380</v>
      </c>
      <c r="P881" t="s">
        <v>1408</v>
      </c>
      <c r="Q881" t="s">
        <v>1390</v>
      </c>
      <c r="R881" t="s">
        <v>1454</v>
      </c>
      <c r="S881"/>
      <c r="T881"/>
      <c r="U881"/>
      <c r="V881">
        <v>1.7999999999999998</v>
      </c>
      <c r="W881" t="str">
        <f t="shared" si="40"/>
        <v>N</v>
      </c>
      <c r="X881" t="s">
        <v>3</v>
      </c>
      <c r="Y881"/>
      <c r="Z881" s="4" t="str">
        <f t="shared" si="38"/>
        <v>Y</v>
      </c>
      <c r="AA881" t="s">
        <v>1121</v>
      </c>
      <c r="AB881" t="s">
        <v>1524</v>
      </c>
      <c r="AC881" s="15" t="s">
        <v>1523</v>
      </c>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c r="CG881"/>
      <c r="CH881"/>
      <c r="CI881"/>
      <c r="CJ881"/>
      <c r="CK881"/>
      <c r="CL881"/>
      <c r="CM881"/>
      <c r="CN881"/>
    </row>
    <row r="882" spans="1:92" s="4" customFormat="1" x14ac:dyDescent="0.2">
      <c r="A882"/>
      <c r="B882" t="s">
        <v>1330</v>
      </c>
      <c r="C882" t="s">
        <v>1355</v>
      </c>
      <c r="D882" t="s">
        <v>1356</v>
      </c>
      <c r="E882">
        <v>2018</v>
      </c>
      <c r="F882" t="s">
        <v>1509</v>
      </c>
      <c r="G882" t="s">
        <v>1358</v>
      </c>
      <c r="H882" s="13">
        <v>37.700000000000003</v>
      </c>
      <c r="I882" s="13">
        <v>-123</v>
      </c>
      <c r="J882" s="13">
        <v>1971</v>
      </c>
      <c r="K882" s="13">
        <v>2015</v>
      </c>
      <c r="L882" s="13">
        <f t="shared" si="39"/>
        <v>45</v>
      </c>
      <c r="M882" t="s">
        <v>369</v>
      </c>
      <c r="N882" t="s">
        <v>380</v>
      </c>
      <c r="O882" t="s">
        <v>380</v>
      </c>
      <c r="P882" t="s">
        <v>1408</v>
      </c>
      <c r="Q882" t="s">
        <v>1390</v>
      </c>
      <c r="R882" t="s">
        <v>1455</v>
      </c>
      <c r="S882"/>
      <c r="T882"/>
      <c r="U882"/>
      <c r="V882">
        <v>2.1</v>
      </c>
      <c r="W882" t="str">
        <f t="shared" si="40"/>
        <v>N</v>
      </c>
      <c r="X882" t="s">
        <v>3</v>
      </c>
      <c r="Y882"/>
      <c r="Z882" s="4" t="str">
        <f t="shared" si="38"/>
        <v>Y</v>
      </c>
      <c r="AA882" t="s">
        <v>1121</v>
      </c>
      <c r="AB882" t="s">
        <v>1524</v>
      </c>
      <c r="AC882" s="15" t="s">
        <v>1523</v>
      </c>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c r="CG882"/>
      <c r="CH882"/>
      <c r="CI882"/>
      <c r="CJ882"/>
      <c r="CK882"/>
      <c r="CL882"/>
      <c r="CM882"/>
      <c r="CN882"/>
    </row>
    <row r="883" spans="1:92" s="4" customFormat="1" x14ac:dyDescent="0.2">
      <c r="A883"/>
      <c r="B883" t="s">
        <v>1330</v>
      </c>
      <c r="C883" t="s">
        <v>1355</v>
      </c>
      <c r="D883" t="s">
        <v>1356</v>
      </c>
      <c r="E883">
        <v>2018</v>
      </c>
      <c r="F883" t="s">
        <v>1509</v>
      </c>
      <c r="G883" t="s">
        <v>1358</v>
      </c>
      <c r="H883" s="13">
        <v>37.700000000000003</v>
      </c>
      <c r="I883" s="13">
        <v>-123</v>
      </c>
      <c r="J883" s="13">
        <v>1972</v>
      </c>
      <c r="K883" s="13">
        <v>2015</v>
      </c>
      <c r="L883" s="13">
        <f t="shared" si="39"/>
        <v>44</v>
      </c>
      <c r="M883" t="s">
        <v>369</v>
      </c>
      <c r="N883" t="s">
        <v>380</v>
      </c>
      <c r="O883" t="s">
        <v>380</v>
      </c>
      <c r="P883" t="s">
        <v>1411</v>
      </c>
      <c r="Q883" t="s">
        <v>94</v>
      </c>
      <c r="R883" t="s">
        <v>1454</v>
      </c>
      <c r="S883"/>
      <c r="T883"/>
      <c r="U883"/>
      <c r="V883">
        <v>0.4</v>
      </c>
      <c r="W883" t="str">
        <f t="shared" si="40"/>
        <v>N</v>
      </c>
      <c r="X883" t="s">
        <v>3</v>
      </c>
      <c r="Y883"/>
      <c r="Z883" s="4" t="str">
        <f t="shared" si="38"/>
        <v>Y</v>
      </c>
      <c r="AA883" t="s">
        <v>1121</v>
      </c>
      <c r="AB883" t="s">
        <v>1524</v>
      </c>
      <c r="AC883" s="15" t="s">
        <v>1523</v>
      </c>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c r="CE883"/>
      <c r="CF883"/>
      <c r="CG883"/>
      <c r="CH883"/>
      <c r="CI883"/>
      <c r="CJ883"/>
      <c r="CK883"/>
      <c r="CL883"/>
      <c r="CM883"/>
      <c r="CN883"/>
    </row>
    <row r="884" spans="1:92" x14ac:dyDescent="0.2">
      <c r="B884" t="s">
        <v>1330</v>
      </c>
      <c r="C884" t="s">
        <v>1355</v>
      </c>
      <c r="D884" t="s">
        <v>1356</v>
      </c>
      <c r="E884">
        <v>2018</v>
      </c>
      <c r="F884" t="s">
        <v>1509</v>
      </c>
      <c r="G884" t="s">
        <v>1358</v>
      </c>
      <c r="H884" s="13">
        <v>37.700000000000003</v>
      </c>
      <c r="I884" s="13">
        <v>-123</v>
      </c>
      <c r="J884" s="13">
        <v>1972</v>
      </c>
      <c r="K884" s="13">
        <v>2015</v>
      </c>
      <c r="L884" s="13">
        <f t="shared" si="39"/>
        <v>44</v>
      </c>
      <c r="M884" t="s">
        <v>369</v>
      </c>
      <c r="N884" t="s">
        <v>380</v>
      </c>
      <c r="O884" t="s">
        <v>380</v>
      </c>
      <c r="P884" t="s">
        <v>1411</v>
      </c>
      <c r="Q884" t="s">
        <v>94</v>
      </c>
      <c r="R884" t="s">
        <v>1455</v>
      </c>
      <c r="V884">
        <v>1</v>
      </c>
      <c r="W884" t="str">
        <f t="shared" si="40"/>
        <v>N</v>
      </c>
      <c r="X884" t="s">
        <v>3</v>
      </c>
      <c r="Z884" s="4" t="str">
        <f t="shared" si="38"/>
        <v>Y</v>
      </c>
      <c r="AA884" t="s">
        <v>1121</v>
      </c>
      <c r="AB884" t="s">
        <v>1524</v>
      </c>
      <c r="AC884" s="15" t="s">
        <v>1523</v>
      </c>
    </row>
    <row r="885" spans="1:92" s="4" customFormat="1" x14ac:dyDescent="0.2">
      <c r="A885"/>
      <c r="B885" t="s">
        <v>1330</v>
      </c>
      <c r="C885" t="s">
        <v>1355</v>
      </c>
      <c r="D885" t="s">
        <v>1356</v>
      </c>
      <c r="E885">
        <v>2018</v>
      </c>
      <c r="F885" t="s">
        <v>1509</v>
      </c>
      <c r="G885" t="s">
        <v>1358</v>
      </c>
      <c r="H885" s="13">
        <v>37.700000000000003</v>
      </c>
      <c r="I885" s="13">
        <v>-123</v>
      </c>
      <c r="J885" s="13">
        <v>1972</v>
      </c>
      <c r="K885" s="13">
        <v>2015</v>
      </c>
      <c r="L885" s="13">
        <f t="shared" si="39"/>
        <v>44</v>
      </c>
      <c r="M885" t="s">
        <v>369</v>
      </c>
      <c r="N885" t="s">
        <v>380</v>
      </c>
      <c r="O885" t="s">
        <v>380</v>
      </c>
      <c r="P885" t="s">
        <v>487</v>
      </c>
      <c r="Q885" t="s">
        <v>93</v>
      </c>
      <c r="R885" t="s">
        <v>1454</v>
      </c>
      <c r="S885"/>
      <c r="T885"/>
      <c r="U885"/>
      <c r="V885">
        <v>-1.1000000000000001</v>
      </c>
      <c r="W885" t="str">
        <f t="shared" si="40"/>
        <v>Y</v>
      </c>
      <c r="X885" t="s">
        <v>3</v>
      </c>
      <c r="Y885"/>
      <c r="Z885" s="4" t="str">
        <f t="shared" si="38"/>
        <v>Y</v>
      </c>
      <c r="AA885" t="s">
        <v>1121</v>
      </c>
      <c r="AB885" t="s">
        <v>1524</v>
      </c>
      <c r="AC885" s="15" t="s">
        <v>1523</v>
      </c>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CF885"/>
      <c r="CG885"/>
      <c r="CH885"/>
      <c r="CI885"/>
      <c r="CJ885"/>
      <c r="CK885"/>
      <c r="CL885"/>
      <c r="CM885"/>
      <c r="CN885"/>
    </row>
    <row r="886" spans="1:92" s="4" customFormat="1" x14ac:dyDescent="0.2">
      <c r="A886"/>
      <c r="B886" t="s">
        <v>1330</v>
      </c>
      <c r="C886" t="s">
        <v>1355</v>
      </c>
      <c r="D886" t="s">
        <v>1356</v>
      </c>
      <c r="E886">
        <v>2018</v>
      </c>
      <c r="F886" t="s">
        <v>1509</v>
      </c>
      <c r="G886" t="s">
        <v>1358</v>
      </c>
      <c r="H886" s="13">
        <v>37.700000000000003</v>
      </c>
      <c r="I886" s="13">
        <v>-123</v>
      </c>
      <c r="J886" s="13">
        <v>1972</v>
      </c>
      <c r="K886" s="13">
        <v>2015</v>
      </c>
      <c r="L886" s="13">
        <f t="shared" si="39"/>
        <v>44</v>
      </c>
      <c r="M886" t="s">
        <v>369</v>
      </c>
      <c r="N886" t="s">
        <v>380</v>
      </c>
      <c r="O886" t="s">
        <v>380</v>
      </c>
      <c r="P886" t="s">
        <v>487</v>
      </c>
      <c r="Q886" t="s">
        <v>93</v>
      </c>
      <c r="R886" t="s">
        <v>1455</v>
      </c>
      <c r="S886"/>
      <c r="T886"/>
      <c r="U886"/>
      <c r="V886">
        <v>-0.89999999999999991</v>
      </c>
      <c r="W886" t="str">
        <f t="shared" si="40"/>
        <v>Y</v>
      </c>
      <c r="X886" t="s">
        <v>3</v>
      </c>
      <c r="Y886"/>
      <c r="Z886" s="4" t="str">
        <f t="shared" si="38"/>
        <v>Y</v>
      </c>
      <c r="AA886" t="s">
        <v>1121</v>
      </c>
      <c r="AB886" t="s">
        <v>1524</v>
      </c>
      <c r="AC886" s="15" t="s">
        <v>1523</v>
      </c>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row>
    <row r="887" spans="1:92" x14ac:dyDescent="0.2">
      <c r="B887" t="s">
        <v>1330</v>
      </c>
      <c r="C887" t="s">
        <v>1355</v>
      </c>
      <c r="D887" t="s">
        <v>1356</v>
      </c>
      <c r="E887">
        <v>2018</v>
      </c>
      <c r="F887" t="s">
        <v>1509</v>
      </c>
      <c r="G887" t="s">
        <v>1358</v>
      </c>
      <c r="H887" s="13">
        <v>37.700000000000003</v>
      </c>
      <c r="I887" s="13">
        <v>-123</v>
      </c>
      <c r="J887" s="13">
        <v>1971</v>
      </c>
      <c r="K887" s="13">
        <v>2015</v>
      </c>
      <c r="L887" s="13">
        <f t="shared" si="39"/>
        <v>45</v>
      </c>
      <c r="M887" t="s">
        <v>369</v>
      </c>
      <c r="N887" t="s">
        <v>380</v>
      </c>
      <c r="O887" t="s">
        <v>380</v>
      </c>
      <c r="P887" t="s">
        <v>1437</v>
      </c>
      <c r="Q887" t="s">
        <v>1391</v>
      </c>
      <c r="R887" t="s">
        <v>1454</v>
      </c>
      <c r="V887">
        <v>0.6</v>
      </c>
      <c r="W887" t="str">
        <f t="shared" si="40"/>
        <v>N</v>
      </c>
      <c r="X887" t="s">
        <v>3</v>
      </c>
      <c r="Z887" s="4" t="str">
        <f t="shared" si="38"/>
        <v>Y</v>
      </c>
      <c r="AA887" t="s">
        <v>1121</v>
      </c>
      <c r="AB887" t="s">
        <v>1524</v>
      </c>
      <c r="AC887" s="15" t="s">
        <v>1523</v>
      </c>
    </row>
    <row r="888" spans="1:92" s="4" customFormat="1" x14ac:dyDescent="0.2">
      <c r="A888"/>
      <c r="B888" t="s">
        <v>1330</v>
      </c>
      <c r="C888" t="s">
        <v>1355</v>
      </c>
      <c r="D888" t="s">
        <v>1356</v>
      </c>
      <c r="E888">
        <v>2018</v>
      </c>
      <c r="F888" t="s">
        <v>1509</v>
      </c>
      <c r="G888" t="s">
        <v>1358</v>
      </c>
      <c r="H888" s="13">
        <v>37.700000000000003</v>
      </c>
      <c r="I888" s="13">
        <v>-123</v>
      </c>
      <c r="J888" s="13">
        <v>1971</v>
      </c>
      <c r="K888" s="13">
        <v>2015</v>
      </c>
      <c r="L888" s="13">
        <f t="shared" si="39"/>
        <v>45</v>
      </c>
      <c r="M888" t="s">
        <v>369</v>
      </c>
      <c r="N888" t="s">
        <v>380</v>
      </c>
      <c r="O888" t="s">
        <v>380</v>
      </c>
      <c r="P888" t="s">
        <v>1437</v>
      </c>
      <c r="Q888" t="s">
        <v>1391</v>
      </c>
      <c r="R888" t="s">
        <v>1455</v>
      </c>
      <c r="S888"/>
      <c r="T888"/>
      <c r="U888"/>
      <c r="V888">
        <v>0.8</v>
      </c>
      <c r="W888" t="str">
        <f t="shared" si="40"/>
        <v>N</v>
      </c>
      <c r="X888" t="s">
        <v>3</v>
      </c>
      <c r="Y888"/>
      <c r="Z888" s="4" t="str">
        <f t="shared" si="38"/>
        <v>Y</v>
      </c>
      <c r="AA888" t="s">
        <v>1121</v>
      </c>
      <c r="AB888" t="s">
        <v>1524</v>
      </c>
      <c r="AC888" s="15" t="s">
        <v>1523</v>
      </c>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c r="CE888"/>
      <c r="CF888"/>
      <c r="CG888"/>
      <c r="CH888"/>
      <c r="CI888"/>
      <c r="CJ888"/>
      <c r="CK888"/>
      <c r="CL888"/>
      <c r="CM888"/>
      <c r="CN888"/>
    </row>
    <row r="889" spans="1:92" s="4" customFormat="1" x14ac:dyDescent="0.2">
      <c r="A889"/>
      <c r="B889" t="s">
        <v>1330</v>
      </c>
      <c r="C889" t="s">
        <v>1355</v>
      </c>
      <c r="D889" t="s">
        <v>1356</v>
      </c>
      <c r="E889">
        <v>2018</v>
      </c>
      <c r="F889" t="s">
        <v>1509</v>
      </c>
      <c r="G889" t="s">
        <v>1358</v>
      </c>
      <c r="H889" s="13">
        <v>37.700000000000003</v>
      </c>
      <c r="I889" s="13">
        <v>-123</v>
      </c>
      <c r="J889" s="13">
        <v>1987</v>
      </c>
      <c r="K889" s="13">
        <v>2015</v>
      </c>
      <c r="L889" s="13">
        <f t="shared" si="39"/>
        <v>29</v>
      </c>
      <c r="M889" t="s">
        <v>369</v>
      </c>
      <c r="N889" t="s">
        <v>380</v>
      </c>
      <c r="O889" t="s">
        <v>380</v>
      </c>
      <c r="P889" t="s">
        <v>1439</v>
      </c>
      <c r="Q889" t="s">
        <v>404</v>
      </c>
      <c r="R889" t="s">
        <v>1454</v>
      </c>
      <c r="S889"/>
      <c r="T889"/>
      <c r="U889"/>
      <c r="V889">
        <v>0</v>
      </c>
      <c r="W889" t="str">
        <f t="shared" si="40"/>
        <v>N</v>
      </c>
      <c r="X889" t="s">
        <v>3</v>
      </c>
      <c r="Y889"/>
      <c r="Z889" s="4" t="str">
        <f t="shared" si="38"/>
        <v>Y</v>
      </c>
      <c r="AA889" t="s">
        <v>1121</v>
      </c>
      <c r="AB889" t="s">
        <v>1524</v>
      </c>
      <c r="AC889" s="15" t="s">
        <v>1523</v>
      </c>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c r="CE889"/>
      <c r="CF889"/>
      <c r="CG889"/>
      <c r="CH889"/>
      <c r="CI889"/>
      <c r="CJ889"/>
      <c r="CK889"/>
      <c r="CL889"/>
      <c r="CM889"/>
      <c r="CN889"/>
    </row>
    <row r="890" spans="1:92" s="4" customFormat="1" x14ac:dyDescent="0.2">
      <c r="A890"/>
      <c r="B890" t="s">
        <v>1330</v>
      </c>
      <c r="C890" t="s">
        <v>1355</v>
      </c>
      <c r="D890" t="s">
        <v>1356</v>
      </c>
      <c r="E890">
        <v>2018</v>
      </c>
      <c r="F890" t="s">
        <v>1509</v>
      </c>
      <c r="G890" t="s">
        <v>1358</v>
      </c>
      <c r="H890" s="13">
        <v>37.700000000000003</v>
      </c>
      <c r="I890" s="13">
        <v>-123</v>
      </c>
      <c r="J890" s="13">
        <v>1987</v>
      </c>
      <c r="K890" s="13">
        <v>2015</v>
      </c>
      <c r="L890" s="13">
        <f t="shared" si="39"/>
        <v>29</v>
      </c>
      <c r="M890" t="s">
        <v>369</v>
      </c>
      <c r="N890" t="s">
        <v>380</v>
      </c>
      <c r="O890" t="s">
        <v>380</v>
      </c>
      <c r="P890" t="s">
        <v>1439</v>
      </c>
      <c r="Q890" t="s">
        <v>404</v>
      </c>
      <c r="R890" t="s">
        <v>1455</v>
      </c>
      <c r="S890"/>
      <c r="T890"/>
      <c r="U890"/>
      <c r="V890">
        <v>0.5</v>
      </c>
      <c r="W890" t="str">
        <f t="shared" si="40"/>
        <v>N</v>
      </c>
      <c r="X890" t="s">
        <v>3</v>
      </c>
      <c r="Y890"/>
      <c r="Z890" s="4" t="str">
        <f t="shared" si="38"/>
        <v>Y</v>
      </c>
      <c r="AA890" t="s">
        <v>1121</v>
      </c>
      <c r="AB890" t="s">
        <v>1524</v>
      </c>
      <c r="AC890" s="15" t="s">
        <v>1523</v>
      </c>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c r="CE890"/>
      <c r="CF890"/>
      <c r="CG890"/>
      <c r="CH890"/>
      <c r="CI890"/>
      <c r="CJ890"/>
      <c r="CK890"/>
      <c r="CL890"/>
      <c r="CM890"/>
      <c r="CN890"/>
    </row>
    <row r="891" spans="1:92" s="4" customFormat="1" x14ac:dyDescent="0.2">
      <c r="A891"/>
      <c r="B891" t="s">
        <v>1330</v>
      </c>
      <c r="C891" t="s">
        <v>1355</v>
      </c>
      <c r="D891" t="s">
        <v>1356</v>
      </c>
      <c r="E891">
        <v>2018</v>
      </c>
      <c r="F891" t="s">
        <v>1510</v>
      </c>
      <c r="G891" t="s">
        <v>1357</v>
      </c>
      <c r="H891" s="13">
        <v>-60.45</v>
      </c>
      <c r="I891" s="13">
        <v>-45.36</v>
      </c>
      <c r="J891" s="13">
        <v>1977</v>
      </c>
      <c r="K891" s="13">
        <v>2015</v>
      </c>
      <c r="L891" s="13">
        <f t="shared" si="39"/>
        <v>39</v>
      </c>
      <c r="M891" t="s">
        <v>369</v>
      </c>
      <c r="N891" t="s">
        <v>380</v>
      </c>
      <c r="O891" t="s">
        <v>380</v>
      </c>
      <c r="P891" t="s">
        <v>1395</v>
      </c>
      <c r="Q891" t="s">
        <v>83</v>
      </c>
      <c r="R891" t="s">
        <v>1451</v>
      </c>
      <c r="S891"/>
      <c r="T891"/>
      <c r="U891"/>
      <c r="V891">
        <v>4.9000000000000004</v>
      </c>
      <c r="W891" t="str">
        <f t="shared" si="40"/>
        <v>N</v>
      </c>
      <c r="X891" t="s">
        <v>3</v>
      </c>
      <c r="Y891"/>
      <c r="Z891" s="4" t="str">
        <f t="shared" si="38"/>
        <v>Y</v>
      </c>
      <c r="AA891" t="s">
        <v>1121</v>
      </c>
      <c r="AB891" t="s">
        <v>1524</v>
      </c>
      <c r="AC891" s="15" t="s">
        <v>1523</v>
      </c>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c r="CE891"/>
      <c r="CF891"/>
      <c r="CG891"/>
      <c r="CH891"/>
      <c r="CI891"/>
      <c r="CJ891"/>
      <c r="CK891"/>
      <c r="CL891"/>
      <c r="CM891"/>
      <c r="CN891"/>
    </row>
    <row r="892" spans="1:92" x14ac:dyDescent="0.2">
      <c r="B892" t="s">
        <v>1330</v>
      </c>
      <c r="C892" t="s">
        <v>1355</v>
      </c>
      <c r="D892" t="s">
        <v>1356</v>
      </c>
      <c r="E892">
        <v>2018</v>
      </c>
      <c r="F892" t="s">
        <v>1510</v>
      </c>
      <c r="G892" t="s">
        <v>1357</v>
      </c>
      <c r="H892" s="13">
        <v>-60.45</v>
      </c>
      <c r="I892" s="13">
        <v>-45.36</v>
      </c>
      <c r="J892" s="13">
        <v>1977</v>
      </c>
      <c r="K892" s="13">
        <v>2015</v>
      </c>
      <c r="L892" s="13">
        <f t="shared" si="39"/>
        <v>39</v>
      </c>
      <c r="M892" t="s">
        <v>369</v>
      </c>
      <c r="N892" t="s">
        <v>380</v>
      </c>
      <c r="O892" t="s">
        <v>380</v>
      </c>
      <c r="P892" t="s">
        <v>1395</v>
      </c>
      <c r="Q892" t="s">
        <v>83</v>
      </c>
      <c r="R892" t="s">
        <v>1453</v>
      </c>
      <c r="V892">
        <v>6.2</v>
      </c>
      <c r="W892" t="str">
        <f t="shared" si="40"/>
        <v>N</v>
      </c>
      <c r="X892" t="s">
        <v>3</v>
      </c>
      <c r="Z892" s="4" t="str">
        <f t="shared" si="38"/>
        <v>Y</v>
      </c>
      <c r="AA892" t="s">
        <v>1121</v>
      </c>
      <c r="AB892" t="s">
        <v>1524</v>
      </c>
      <c r="AC892" s="15" t="s">
        <v>1523</v>
      </c>
    </row>
    <row r="893" spans="1:92" x14ac:dyDescent="0.2">
      <c r="B893" t="s">
        <v>1330</v>
      </c>
      <c r="C893" t="s">
        <v>1355</v>
      </c>
      <c r="D893" t="s">
        <v>1356</v>
      </c>
      <c r="E893">
        <v>2018</v>
      </c>
      <c r="F893" t="s">
        <v>1510</v>
      </c>
      <c r="G893" t="s">
        <v>1357</v>
      </c>
      <c r="H893" s="13">
        <v>-60.45</v>
      </c>
      <c r="I893" s="13">
        <v>-45.36</v>
      </c>
      <c r="J893" s="13">
        <v>1977</v>
      </c>
      <c r="K893" s="13">
        <v>2015</v>
      </c>
      <c r="L893" s="13">
        <f t="shared" si="39"/>
        <v>39</v>
      </c>
      <c r="M893" t="s">
        <v>369</v>
      </c>
      <c r="N893" t="s">
        <v>380</v>
      </c>
      <c r="O893" t="s">
        <v>380</v>
      </c>
      <c r="P893" t="s">
        <v>1412</v>
      </c>
      <c r="Q893" t="s">
        <v>1375</v>
      </c>
      <c r="R893" t="s">
        <v>1451</v>
      </c>
      <c r="V893">
        <v>0.5</v>
      </c>
      <c r="W893" t="str">
        <f t="shared" si="40"/>
        <v>N</v>
      </c>
      <c r="X893" t="s">
        <v>3</v>
      </c>
      <c r="Z893" s="4" t="str">
        <f t="shared" si="38"/>
        <v>Y</v>
      </c>
      <c r="AA893" t="s">
        <v>1121</v>
      </c>
      <c r="AB893" t="s">
        <v>1524</v>
      </c>
      <c r="AC893" s="15" t="s">
        <v>1523</v>
      </c>
    </row>
    <row r="894" spans="1:92" x14ac:dyDescent="0.2">
      <c r="B894" t="s">
        <v>1330</v>
      </c>
      <c r="C894" t="s">
        <v>1355</v>
      </c>
      <c r="D894" t="s">
        <v>1356</v>
      </c>
      <c r="E894">
        <v>2018</v>
      </c>
      <c r="F894" t="s">
        <v>1510</v>
      </c>
      <c r="G894" t="s">
        <v>1357</v>
      </c>
      <c r="H894" s="13">
        <v>-60.45</v>
      </c>
      <c r="I894" s="13">
        <v>-45.36</v>
      </c>
      <c r="J894" s="13">
        <v>1977</v>
      </c>
      <c r="K894" s="13">
        <v>2015</v>
      </c>
      <c r="L894" s="13">
        <f t="shared" si="39"/>
        <v>39</v>
      </c>
      <c r="M894" t="s">
        <v>369</v>
      </c>
      <c r="N894" t="s">
        <v>380</v>
      </c>
      <c r="O894" t="s">
        <v>380</v>
      </c>
      <c r="P894" t="s">
        <v>1412</v>
      </c>
      <c r="Q894" t="s">
        <v>1375</v>
      </c>
      <c r="R894" t="s">
        <v>1453</v>
      </c>
      <c r="V894">
        <v>2.7</v>
      </c>
      <c r="W894" t="str">
        <f t="shared" si="40"/>
        <v>N</v>
      </c>
      <c r="X894" t="s">
        <v>3</v>
      </c>
      <c r="Z894" s="4" t="str">
        <f t="shared" si="38"/>
        <v>Y</v>
      </c>
      <c r="AA894" t="s">
        <v>1121</v>
      </c>
      <c r="AB894" t="s">
        <v>1524</v>
      </c>
      <c r="AC894" s="15" t="s">
        <v>1523</v>
      </c>
    </row>
    <row r="895" spans="1:92" x14ac:dyDescent="0.2">
      <c r="B895" t="s">
        <v>1330</v>
      </c>
      <c r="C895" t="s">
        <v>1355</v>
      </c>
      <c r="D895" t="s">
        <v>1356</v>
      </c>
      <c r="E895">
        <v>2018</v>
      </c>
      <c r="F895" t="s">
        <v>1510</v>
      </c>
      <c r="G895" t="s">
        <v>1357</v>
      </c>
      <c r="H895" s="13">
        <v>-60.45</v>
      </c>
      <c r="I895" s="13">
        <v>-45.36</v>
      </c>
      <c r="J895" s="13">
        <v>1977</v>
      </c>
      <c r="K895" s="13">
        <v>2015</v>
      </c>
      <c r="L895" s="13">
        <f t="shared" si="39"/>
        <v>39</v>
      </c>
      <c r="M895" t="s">
        <v>369</v>
      </c>
      <c r="N895" t="s">
        <v>380</v>
      </c>
      <c r="O895" t="s">
        <v>380</v>
      </c>
      <c r="P895" t="s">
        <v>1412</v>
      </c>
      <c r="Q895" t="s">
        <v>1375</v>
      </c>
      <c r="R895" t="s">
        <v>1455</v>
      </c>
      <c r="V895">
        <v>6.8000000000000007</v>
      </c>
      <c r="W895" t="str">
        <f t="shared" si="40"/>
        <v>N</v>
      </c>
      <c r="X895" t="s">
        <v>3</v>
      </c>
      <c r="Z895" s="4" t="str">
        <f t="shared" si="38"/>
        <v>Y</v>
      </c>
      <c r="AA895" t="s">
        <v>1121</v>
      </c>
      <c r="AB895" t="s">
        <v>1524</v>
      </c>
      <c r="AC895" s="15" t="s">
        <v>1523</v>
      </c>
    </row>
    <row r="896" spans="1:92" x14ac:dyDescent="0.2">
      <c r="A896" s="4"/>
      <c r="B896" s="4" t="s">
        <v>1330</v>
      </c>
      <c r="C896" s="4" t="s">
        <v>1355</v>
      </c>
      <c r="D896" s="4" t="s">
        <v>1356</v>
      </c>
      <c r="E896" s="4">
        <v>2018</v>
      </c>
      <c r="F896" s="4" t="s">
        <v>1511</v>
      </c>
      <c r="G896" s="4" t="s">
        <v>1358</v>
      </c>
      <c r="H896" s="37">
        <v>65.13</v>
      </c>
      <c r="I896" s="37">
        <v>10.58</v>
      </c>
      <c r="J896" s="37">
        <v>2007</v>
      </c>
      <c r="K896" s="37">
        <v>2013</v>
      </c>
      <c r="L896" s="37">
        <f t="shared" si="39"/>
        <v>7</v>
      </c>
      <c r="M896" s="4" t="s">
        <v>369</v>
      </c>
      <c r="N896" s="4" t="s">
        <v>380</v>
      </c>
      <c r="O896" s="4" t="s">
        <v>380</v>
      </c>
      <c r="P896" s="4" t="s">
        <v>1400</v>
      </c>
      <c r="Q896" s="4" t="s">
        <v>455</v>
      </c>
      <c r="R896" s="4" t="s">
        <v>1452</v>
      </c>
      <c r="S896" s="4"/>
      <c r="V896" s="4">
        <v>13.799999999999999</v>
      </c>
      <c r="W896" s="4" t="str">
        <f t="shared" si="40"/>
        <v>N</v>
      </c>
      <c r="X896" s="4" t="s">
        <v>24</v>
      </c>
      <c r="Y896" s="4"/>
      <c r="Z896" s="4" t="str">
        <f t="shared" si="38"/>
        <v>N</v>
      </c>
      <c r="AA896" s="4" t="s">
        <v>1121</v>
      </c>
      <c r="AB896" s="4" t="s">
        <v>1524</v>
      </c>
      <c r="AC896" s="39" t="s">
        <v>1523</v>
      </c>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row>
    <row r="897" spans="1:92" x14ac:dyDescent="0.2">
      <c r="B897" t="s">
        <v>1330</v>
      </c>
      <c r="C897" t="s">
        <v>1355</v>
      </c>
      <c r="D897" t="s">
        <v>1356</v>
      </c>
      <c r="E897">
        <v>2018</v>
      </c>
      <c r="F897" t="s">
        <v>1512</v>
      </c>
      <c r="G897" t="s">
        <v>1358</v>
      </c>
      <c r="H897" s="13">
        <v>51.74</v>
      </c>
      <c r="I897" s="13">
        <v>-5.29</v>
      </c>
      <c r="J897" s="13">
        <v>1973</v>
      </c>
      <c r="K897" s="13">
        <v>2008</v>
      </c>
      <c r="L897" s="13">
        <f t="shared" si="39"/>
        <v>36</v>
      </c>
      <c r="M897" t="s">
        <v>369</v>
      </c>
      <c r="N897" t="s">
        <v>380</v>
      </c>
      <c r="O897" t="s">
        <v>380</v>
      </c>
      <c r="P897" t="s">
        <v>494</v>
      </c>
      <c r="Q897" t="s">
        <v>93</v>
      </c>
      <c r="R897" t="s">
        <v>1455</v>
      </c>
      <c r="V897">
        <v>-1.4000000000000001</v>
      </c>
      <c r="W897" t="str">
        <f t="shared" si="40"/>
        <v>Y</v>
      </c>
      <c r="X897" t="s">
        <v>3</v>
      </c>
      <c r="Y897" t="s">
        <v>3</v>
      </c>
      <c r="Z897" s="4" t="str">
        <f t="shared" si="38"/>
        <v>Y</v>
      </c>
      <c r="AA897" t="s">
        <v>1121</v>
      </c>
      <c r="AB897" t="s">
        <v>1524</v>
      </c>
      <c r="AC897" s="15" t="s">
        <v>1523</v>
      </c>
    </row>
    <row r="898" spans="1:92" x14ac:dyDescent="0.2">
      <c r="B898" t="s">
        <v>1330</v>
      </c>
      <c r="C898" t="s">
        <v>1355</v>
      </c>
      <c r="D898" t="s">
        <v>1356</v>
      </c>
      <c r="E898">
        <v>2018</v>
      </c>
      <c r="F898" t="s">
        <v>1513</v>
      </c>
      <c r="G898" t="s">
        <v>1358</v>
      </c>
      <c r="H898" s="13">
        <v>56.35</v>
      </c>
      <c r="I898" s="13">
        <v>-169.35</v>
      </c>
      <c r="J898" s="13">
        <v>1976</v>
      </c>
      <c r="K898" s="13">
        <v>2015</v>
      </c>
      <c r="L898" s="13">
        <f t="shared" si="39"/>
        <v>40</v>
      </c>
      <c r="M898" t="s">
        <v>369</v>
      </c>
      <c r="N898" t="s">
        <v>380</v>
      </c>
      <c r="O898" t="s">
        <v>380</v>
      </c>
      <c r="P898" t="s">
        <v>485</v>
      </c>
      <c r="Q898" t="s">
        <v>87</v>
      </c>
      <c r="R898" t="s">
        <v>1452</v>
      </c>
      <c r="V898">
        <v>-5.8999999999999995</v>
      </c>
      <c r="W898" t="str">
        <f t="shared" si="40"/>
        <v>Y</v>
      </c>
      <c r="X898" t="s">
        <v>3</v>
      </c>
      <c r="Z898" s="4" t="str">
        <f t="shared" ref="Z898:Z961" si="41">IF(L898&gt;=19,"Y","N")</f>
        <v>Y</v>
      </c>
      <c r="AA898" t="s">
        <v>1121</v>
      </c>
      <c r="AB898" t="s">
        <v>1524</v>
      </c>
      <c r="AC898" s="15" t="s">
        <v>1523</v>
      </c>
    </row>
    <row r="899" spans="1:92" x14ac:dyDescent="0.2">
      <c r="B899" t="s">
        <v>1330</v>
      </c>
      <c r="C899" t="s">
        <v>1355</v>
      </c>
      <c r="D899" t="s">
        <v>1356</v>
      </c>
      <c r="E899">
        <v>2018</v>
      </c>
      <c r="F899" t="s">
        <v>1513</v>
      </c>
      <c r="G899" t="s">
        <v>1358</v>
      </c>
      <c r="H899" s="13">
        <v>56.35</v>
      </c>
      <c r="I899" s="13">
        <v>-169.35</v>
      </c>
      <c r="J899" s="13">
        <v>1976</v>
      </c>
      <c r="K899" s="13">
        <v>2015</v>
      </c>
      <c r="L899" s="13">
        <f t="shared" si="39"/>
        <v>40</v>
      </c>
      <c r="M899" t="s">
        <v>369</v>
      </c>
      <c r="N899" t="s">
        <v>380</v>
      </c>
      <c r="O899" t="s">
        <v>380</v>
      </c>
      <c r="P899" t="s">
        <v>494</v>
      </c>
      <c r="Q899" t="s">
        <v>93</v>
      </c>
      <c r="R899" t="s">
        <v>1452</v>
      </c>
      <c r="V899">
        <v>1</v>
      </c>
      <c r="W899" t="str">
        <f t="shared" si="40"/>
        <v>N</v>
      </c>
      <c r="X899" t="s">
        <v>3</v>
      </c>
      <c r="Z899" s="4" t="str">
        <f t="shared" si="41"/>
        <v>Y</v>
      </c>
      <c r="AA899" t="s">
        <v>1121</v>
      </c>
      <c r="AB899" t="s">
        <v>1524</v>
      </c>
      <c r="AC899" s="15" t="s">
        <v>1523</v>
      </c>
    </row>
    <row r="900" spans="1:92" x14ac:dyDescent="0.2">
      <c r="A900" s="4"/>
      <c r="B900" s="4" t="s">
        <v>1330</v>
      </c>
      <c r="C900" s="4" t="s">
        <v>1355</v>
      </c>
      <c r="D900" s="4" t="s">
        <v>1356</v>
      </c>
      <c r="E900" s="4">
        <v>2018</v>
      </c>
      <c r="F900" s="4" t="s">
        <v>1513</v>
      </c>
      <c r="G900" s="4" t="s">
        <v>1358</v>
      </c>
      <c r="H900" s="37">
        <v>56.35</v>
      </c>
      <c r="I900" s="37">
        <v>-169.35</v>
      </c>
      <c r="J900" s="37">
        <v>2008</v>
      </c>
      <c r="K900" s="37">
        <v>2015</v>
      </c>
      <c r="L900" s="37">
        <f t="shared" si="39"/>
        <v>8</v>
      </c>
      <c r="M900" s="4" t="s">
        <v>369</v>
      </c>
      <c r="N900" s="4" t="s">
        <v>380</v>
      </c>
      <c r="O900" s="4" t="s">
        <v>380</v>
      </c>
      <c r="P900" s="4" t="s">
        <v>1429</v>
      </c>
      <c r="Q900" s="4" t="s">
        <v>1372</v>
      </c>
      <c r="R900" s="4" t="s">
        <v>1452</v>
      </c>
      <c r="S900" s="4"/>
      <c r="V900" s="4">
        <v>-14.2</v>
      </c>
      <c r="W900" s="4" t="str">
        <f t="shared" si="40"/>
        <v>Y</v>
      </c>
      <c r="X900" s="4" t="s">
        <v>24</v>
      </c>
      <c r="Y900" s="4"/>
      <c r="Z900" s="4" t="str">
        <f t="shared" si="41"/>
        <v>N</v>
      </c>
      <c r="AA900" s="4" t="s">
        <v>1121</v>
      </c>
      <c r="AB900" s="4" t="s">
        <v>1524</v>
      </c>
      <c r="AC900" s="39" t="s">
        <v>1523</v>
      </c>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row>
    <row r="901" spans="1:92" x14ac:dyDescent="0.2">
      <c r="B901" t="s">
        <v>1330</v>
      </c>
      <c r="C901" t="s">
        <v>1355</v>
      </c>
      <c r="D901" t="s">
        <v>1356</v>
      </c>
      <c r="E901">
        <v>2018</v>
      </c>
      <c r="F901" t="s">
        <v>1513</v>
      </c>
      <c r="G901" t="s">
        <v>1358</v>
      </c>
      <c r="H901" s="13">
        <v>56.35</v>
      </c>
      <c r="I901" s="13">
        <v>-169.35</v>
      </c>
      <c r="J901" s="13">
        <v>1975</v>
      </c>
      <c r="K901" s="13">
        <v>2015</v>
      </c>
      <c r="L901" s="13">
        <f t="shared" si="39"/>
        <v>41</v>
      </c>
      <c r="M901" t="s">
        <v>369</v>
      </c>
      <c r="N901" t="s">
        <v>380</v>
      </c>
      <c r="O901" t="s">
        <v>380</v>
      </c>
      <c r="P901" t="s">
        <v>486</v>
      </c>
      <c r="Q901" t="s">
        <v>90</v>
      </c>
      <c r="R901" t="s">
        <v>1452</v>
      </c>
      <c r="V901">
        <v>-7</v>
      </c>
      <c r="W901" t="str">
        <f t="shared" si="40"/>
        <v>Y</v>
      </c>
      <c r="X901" t="s">
        <v>3</v>
      </c>
      <c r="Z901" s="4" t="str">
        <f t="shared" si="41"/>
        <v>Y</v>
      </c>
      <c r="AA901" t="s">
        <v>1121</v>
      </c>
      <c r="AB901" t="s">
        <v>1524</v>
      </c>
      <c r="AC901" s="15" t="s">
        <v>1523</v>
      </c>
    </row>
    <row r="902" spans="1:92" x14ac:dyDescent="0.2">
      <c r="B902" t="s">
        <v>1330</v>
      </c>
      <c r="C902" t="s">
        <v>1355</v>
      </c>
      <c r="D902" t="s">
        <v>1356</v>
      </c>
      <c r="E902">
        <v>2018</v>
      </c>
      <c r="F902" t="s">
        <v>1513</v>
      </c>
      <c r="G902" t="s">
        <v>1358</v>
      </c>
      <c r="H902" s="13">
        <v>56.35</v>
      </c>
      <c r="I902" s="13">
        <v>-169.35</v>
      </c>
      <c r="J902" s="13">
        <v>1976</v>
      </c>
      <c r="K902" s="13">
        <v>2015</v>
      </c>
      <c r="L902" s="13">
        <f t="shared" si="39"/>
        <v>40</v>
      </c>
      <c r="M902" t="s">
        <v>369</v>
      </c>
      <c r="N902" t="s">
        <v>380</v>
      </c>
      <c r="O902" t="s">
        <v>380</v>
      </c>
      <c r="P902" t="s">
        <v>488</v>
      </c>
      <c r="Q902" t="s">
        <v>91</v>
      </c>
      <c r="R902" t="s">
        <v>1452</v>
      </c>
      <c r="V902">
        <v>-0.2</v>
      </c>
      <c r="W902" t="str">
        <f t="shared" si="40"/>
        <v>Y</v>
      </c>
      <c r="X902" t="s">
        <v>3</v>
      </c>
      <c r="Z902" s="4" t="str">
        <f t="shared" si="41"/>
        <v>Y</v>
      </c>
      <c r="AA902" t="s">
        <v>1121</v>
      </c>
      <c r="AB902" t="s">
        <v>1524</v>
      </c>
      <c r="AC902" s="15" t="s">
        <v>1523</v>
      </c>
    </row>
    <row r="903" spans="1:92" x14ac:dyDescent="0.2">
      <c r="B903" t="s">
        <v>1330</v>
      </c>
      <c r="C903" t="s">
        <v>1355</v>
      </c>
      <c r="D903" t="s">
        <v>1356</v>
      </c>
      <c r="E903">
        <v>2018</v>
      </c>
      <c r="F903" t="s">
        <v>1514</v>
      </c>
      <c r="G903" t="s">
        <v>1358</v>
      </c>
      <c r="H903" s="13">
        <v>56.59</v>
      </c>
      <c r="I903" s="13">
        <v>-135.41999999999999</v>
      </c>
      <c r="J903" s="13">
        <v>1994</v>
      </c>
      <c r="K903" s="13">
        <v>2015</v>
      </c>
      <c r="L903" s="13">
        <f t="shared" si="39"/>
        <v>22</v>
      </c>
      <c r="M903" t="s">
        <v>369</v>
      </c>
      <c r="N903" t="s">
        <v>380</v>
      </c>
      <c r="O903" t="s">
        <v>380</v>
      </c>
      <c r="P903" t="s">
        <v>494</v>
      </c>
      <c r="Q903" t="s">
        <v>93</v>
      </c>
      <c r="R903" t="s">
        <v>1452</v>
      </c>
      <c r="V903">
        <v>1.6</v>
      </c>
      <c r="W903" t="str">
        <f t="shared" si="40"/>
        <v>N</v>
      </c>
      <c r="X903" t="s">
        <v>3</v>
      </c>
      <c r="Z903" s="4" t="str">
        <f t="shared" si="41"/>
        <v>Y</v>
      </c>
      <c r="AA903" t="s">
        <v>1121</v>
      </c>
      <c r="AB903" t="s">
        <v>1524</v>
      </c>
      <c r="AC903" s="15" t="s">
        <v>1523</v>
      </c>
    </row>
    <row r="904" spans="1:92" x14ac:dyDescent="0.2">
      <c r="B904" t="s">
        <v>1330</v>
      </c>
      <c r="C904" t="s">
        <v>1355</v>
      </c>
      <c r="D904" t="s">
        <v>1356</v>
      </c>
      <c r="E904">
        <v>2018</v>
      </c>
      <c r="F904" t="s">
        <v>1514</v>
      </c>
      <c r="G904" t="s">
        <v>1358</v>
      </c>
      <c r="H904" s="13">
        <v>56.59</v>
      </c>
      <c r="I904" s="13">
        <v>-135.41999999999999</v>
      </c>
      <c r="J904" s="13">
        <v>1995</v>
      </c>
      <c r="K904" s="13">
        <v>2015</v>
      </c>
      <c r="L904" s="13">
        <f t="shared" si="39"/>
        <v>21</v>
      </c>
      <c r="M904" t="s">
        <v>369</v>
      </c>
      <c r="N904" t="s">
        <v>380</v>
      </c>
      <c r="O904" t="s">
        <v>380</v>
      </c>
      <c r="P904" t="s">
        <v>1418</v>
      </c>
      <c r="Q904" t="s">
        <v>1359</v>
      </c>
      <c r="R904" t="s">
        <v>1452</v>
      </c>
      <c r="V904">
        <v>-15.3</v>
      </c>
      <c r="W904" t="str">
        <f t="shared" si="40"/>
        <v>Y</v>
      </c>
      <c r="X904" t="s">
        <v>3</v>
      </c>
      <c r="Z904" s="4" t="str">
        <f t="shared" si="41"/>
        <v>Y</v>
      </c>
      <c r="AA904" t="s">
        <v>1121</v>
      </c>
      <c r="AB904" t="s">
        <v>1524</v>
      </c>
      <c r="AC904" s="15" t="s">
        <v>1523</v>
      </c>
    </row>
    <row r="905" spans="1:92" x14ac:dyDescent="0.2">
      <c r="B905" t="s">
        <v>1330</v>
      </c>
      <c r="C905" t="s">
        <v>1355</v>
      </c>
      <c r="D905" t="s">
        <v>1356</v>
      </c>
      <c r="E905">
        <v>2018</v>
      </c>
      <c r="F905" t="s">
        <v>1514</v>
      </c>
      <c r="G905" t="s">
        <v>1358</v>
      </c>
      <c r="H905" s="13">
        <v>56.59</v>
      </c>
      <c r="I905" s="13">
        <v>-135.41999999999999</v>
      </c>
      <c r="J905" s="13">
        <v>1994</v>
      </c>
      <c r="K905" s="13">
        <v>2015</v>
      </c>
      <c r="L905" s="13">
        <f t="shared" si="39"/>
        <v>22</v>
      </c>
      <c r="M905" t="s">
        <v>369</v>
      </c>
      <c r="N905" t="s">
        <v>380</v>
      </c>
      <c r="O905" t="s">
        <v>380</v>
      </c>
      <c r="P905" t="s">
        <v>1421</v>
      </c>
      <c r="Q905" t="s">
        <v>1360</v>
      </c>
      <c r="R905" t="s">
        <v>1452</v>
      </c>
      <c r="V905">
        <v>2.2000000000000002</v>
      </c>
      <c r="W905" t="str">
        <f t="shared" si="40"/>
        <v>N</v>
      </c>
      <c r="X905" t="s">
        <v>3</v>
      </c>
      <c r="Z905" s="4" t="str">
        <f t="shared" si="41"/>
        <v>Y</v>
      </c>
      <c r="AA905" t="s">
        <v>1121</v>
      </c>
      <c r="AB905" t="s">
        <v>1524</v>
      </c>
      <c r="AC905" s="15" t="s">
        <v>1523</v>
      </c>
    </row>
    <row r="906" spans="1:92" x14ac:dyDescent="0.2">
      <c r="B906" t="s">
        <v>1330</v>
      </c>
      <c r="C906" t="s">
        <v>1355</v>
      </c>
      <c r="D906" t="s">
        <v>1356</v>
      </c>
      <c r="E906">
        <v>2018</v>
      </c>
      <c r="F906" t="s">
        <v>1514</v>
      </c>
      <c r="G906" t="s">
        <v>1358</v>
      </c>
      <c r="H906" s="13">
        <v>56.59</v>
      </c>
      <c r="I906" s="13">
        <v>-135.41999999999999</v>
      </c>
      <c r="J906" s="13">
        <v>1995</v>
      </c>
      <c r="K906" s="13">
        <v>2015</v>
      </c>
      <c r="L906" s="13">
        <f t="shared" si="39"/>
        <v>21</v>
      </c>
      <c r="M906" t="s">
        <v>369</v>
      </c>
      <c r="N906" t="s">
        <v>380</v>
      </c>
      <c r="O906" t="s">
        <v>380</v>
      </c>
      <c r="P906" t="s">
        <v>1426</v>
      </c>
      <c r="Q906" t="s">
        <v>1362</v>
      </c>
      <c r="R906" t="s">
        <v>1452</v>
      </c>
      <c r="V906">
        <v>-3.8</v>
      </c>
      <c r="W906" t="str">
        <f t="shared" si="40"/>
        <v>Y</v>
      </c>
      <c r="X906" t="s">
        <v>3</v>
      </c>
      <c r="Z906" s="4" t="str">
        <f t="shared" si="41"/>
        <v>Y</v>
      </c>
      <c r="AA906" t="s">
        <v>1121</v>
      </c>
      <c r="AB906" t="s">
        <v>1524</v>
      </c>
      <c r="AC906" s="15" t="s">
        <v>1523</v>
      </c>
    </row>
    <row r="907" spans="1:92" x14ac:dyDescent="0.2">
      <c r="B907" t="s">
        <v>1330</v>
      </c>
      <c r="C907" t="s">
        <v>1355</v>
      </c>
      <c r="D907" t="s">
        <v>1356</v>
      </c>
      <c r="E907">
        <v>2018</v>
      </c>
      <c r="F907" t="s">
        <v>1514</v>
      </c>
      <c r="G907" t="s">
        <v>1358</v>
      </c>
      <c r="H907" s="13">
        <v>56.59</v>
      </c>
      <c r="I907" s="13">
        <v>-135.41999999999999</v>
      </c>
      <c r="J907" s="13">
        <v>1995</v>
      </c>
      <c r="K907" s="13">
        <v>2015</v>
      </c>
      <c r="L907" s="13">
        <f t="shared" si="39"/>
        <v>21</v>
      </c>
      <c r="M907" t="s">
        <v>369</v>
      </c>
      <c r="N907" t="s">
        <v>380</v>
      </c>
      <c r="O907" t="s">
        <v>380</v>
      </c>
      <c r="P907" t="s">
        <v>1439</v>
      </c>
      <c r="Q907" t="s">
        <v>404</v>
      </c>
      <c r="R907" t="s">
        <v>1452</v>
      </c>
      <c r="V907">
        <v>1.9</v>
      </c>
      <c r="W907" t="str">
        <f t="shared" si="40"/>
        <v>N</v>
      </c>
      <c r="X907" t="s">
        <v>3</v>
      </c>
      <c r="Z907" s="4" t="str">
        <f t="shared" si="41"/>
        <v>Y</v>
      </c>
      <c r="AA907" t="s">
        <v>1121</v>
      </c>
      <c r="AB907" t="s">
        <v>1524</v>
      </c>
      <c r="AC907" s="15" t="s">
        <v>1523</v>
      </c>
    </row>
    <row r="908" spans="1:92" s="4" customFormat="1" x14ac:dyDescent="0.2">
      <c r="A908"/>
      <c r="B908" t="s">
        <v>1330</v>
      </c>
      <c r="C908" t="s">
        <v>1355</v>
      </c>
      <c r="D908" t="s">
        <v>1356</v>
      </c>
      <c r="E908">
        <v>2018</v>
      </c>
      <c r="F908" t="s">
        <v>1514</v>
      </c>
      <c r="G908" t="s">
        <v>1358</v>
      </c>
      <c r="H908" s="13">
        <v>56.59</v>
      </c>
      <c r="I908" s="13">
        <v>-135.41999999999999</v>
      </c>
      <c r="J908" s="13">
        <v>1994</v>
      </c>
      <c r="K908" s="13">
        <v>2015</v>
      </c>
      <c r="L908" s="13">
        <f t="shared" si="39"/>
        <v>22</v>
      </c>
      <c r="M908" t="s">
        <v>369</v>
      </c>
      <c r="N908" t="s">
        <v>380</v>
      </c>
      <c r="O908" t="s">
        <v>380</v>
      </c>
      <c r="P908" t="s">
        <v>488</v>
      </c>
      <c r="Q908" t="s">
        <v>91</v>
      </c>
      <c r="R908" t="s">
        <v>1452</v>
      </c>
      <c r="S908"/>
      <c r="T908"/>
      <c r="U908"/>
      <c r="V908">
        <v>1.7000000000000002</v>
      </c>
      <c r="W908" t="str">
        <f t="shared" si="40"/>
        <v>N</v>
      </c>
      <c r="X908" t="s">
        <v>3</v>
      </c>
      <c r="Y908"/>
      <c r="Z908" s="4" t="str">
        <f t="shared" si="41"/>
        <v>Y</v>
      </c>
      <c r="AA908" t="s">
        <v>1121</v>
      </c>
      <c r="AB908" t="s">
        <v>1524</v>
      </c>
      <c r="AC908" s="15" t="s">
        <v>1523</v>
      </c>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c r="CE908"/>
      <c r="CF908"/>
      <c r="CG908"/>
      <c r="CH908"/>
      <c r="CI908"/>
      <c r="CJ908"/>
      <c r="CK908"/>
      <c r="CL908"/>
      <c r="CM908"/>
      <c r="CN908"/>
    </row>
    <row r="909" spans="1:92" x14ac:dyDescent="0.2">
      <c r="B909" t="s">
        <v>1330</v>
      </c>
      <c r="C909" t="s">
        <v>1355</v>
      </c>
      <c r="D909" t="s">
        <v>1356</v>
      </c>
      <c r="E909">
        <v>2018</v>
      </c>
      <c r="F909" t="s">
        <v>1515</v>
      </c>
      <c r="G909" t="s">
        <v>1358</v>
      </c>
      <c r="H909" s="13">
        <v>57.28</v>
      </c>
      <c r="I909" s="13">
        <v>17.97</v>
      </c>
      <c r="J909" s="13">
        <v>1974</v>
      </c>
      <c r="K909" s="13">
        <v>2016</v>
      </c>
      <c r="L909" s="13">
        <f t="shared" si="39"/>
        <v>43</v>
      </c>
      <c r="M909" t="s">
        <v>369</v>
      </c>
      <c r="N909" t="s">
        <v>380</v>
      </c>
      <c r="O909" t="s">
        <v>380</v>
      </c>
      <c r="P909" t="s">
        <v>494</v>
      </c>
      <c r="Q909" t="s">
        <v>93</v>
      </c>
      <c r="R909" t="s">
        <v>1452</v>
      </c>
      <c r="V909">
        <v>-2</v>
      </c>
      <c r="W909" t="str">
        <f t="shared" si="40"/>
        <v>Y</v>
      </c>
      <c r="X909" t="s">
        <v>3</v>
      </c>
      <c r="Z909" s="4" t="str">
        <f t="shared" si="41"/>
        <v>Y</v>
      </c>
      <c r="AA909" t="s">
        <v>1121</v>
      </c>
      <c r="AB909" t="s">
        <v>1524</v>
      </c>
      <c r="AC909" s="15" t="s">
        <v>1523</v>
      </c>
    </row>
    <row r="910" spans="1:92" x14ac:dyDescent="0.2">
      <c r="B910" t="s">
        <v>1330</v>
      </c>
      <c r="C910" t="s">
        <v>1355</v>
      </c>
      <c r="D910" t="s">
        <v>1356</v>
      </c>
      <c r="E910">
        <v>2018</v>
      </c>
      <c r="F910" t="s">
        <v>1515</v>
      </c>
      <c r="G910" t="s">
        <v>1358</v>
      </c>
      <c r="H910" s="13">
        <v>57.28</v>
      </c>
      <c r="I910" s="13">
        <v>17.97</v>
      </c>
      <c r="J910" s="13">
        <v>1974</v>
      </c>
      <c r="K910" s="13">
        <v>2016</v>
      </c>
      <c r="L910" s="13">
        <f t="shared" si="39"/>
        <v>43</v>
      </c>
      <c r="M910" t="s">
        <v>369</v>
      </c>
      <c r="N910" t="s">
        <v>380</v>
      </c>
      <c r="O910" t="s">
        <v>380</v>
      </c>
      <c r="P910" t="s">
        <v>494</v>
      </c>
      <c r="Q910" t="s">
        <v>93</v>
      </c>
      <c r="R910" t="s">
        <v>1455</v>
      </c>
      <c r="V910">
        <v>5.6000000000000005</v>
      </c>
      <c r="W910" t="str">
        <f t="shared" si="40"/>
        <v>N</v>
      </c>
      <c r="X910" t="s">
        <v>3</v>
      </c>
      <c r="Z910" s="4" t="str">
        <f t="shared" si="41"/>
        <v>Y</v>
      </c>
      <c r="AA910" t="s">
        <v>1121</v>
      </c>
      <c r="AB910" t="s">
        <v>1524</v>
      </c>
      <c r="AC910" s="15" t="s">
        <v>1523</v>
      </c>
    </row>
    <row r="911" spans="1:92" x14ac:dyDescent="0.2">
      <c r="A911" s="4"/>
      <c r="B911" s="4" t="s">
        <v>1330</v>
      </c>
      <c r="C911" s="4" t="s">
        <v>1355</v>
      </c>
      <c r="D911" s="4" t="s">
        <v>1356</v>
      </c>
      <c r="E911" s="4">
        <v>2018</v>
      </c>
      <c r="F911" s="4" t="s">
        <v>1515</v>
      </c>
      <c r="G911" s="4" t="s">
        <v>1358</v>
      </c>
      <c r="H911" s="37">
        <v>57.28</v>
      </c>
      <c r="I911" s="37">
        <v>17.97</v>
      </c>
      <c r="J911" s="37">
        <v>2007</v>
      </c>
      <c r="K911" s="37">
        <v>2012</v>
      </c>
      <c r="L911" s="37">
        <f t="shared" si="39"/>
        <v>6</v>
      </c>
      <c r="M911" s="4" t="s">
        <v>369</v>
      </c>
      <c r="N911" s="4" t="s">
        <v>380</v>
      </c>
      <c r="O911" s="4" t="s">
        <v>380</v>
      </c>
      <c r="P911" s="4" t="s">
        <v>138</v>
      </c>
      <c r="Q911" s="4" t="s">
        <v>454</v>
      </c>
      <c r="R911" s="4" t="s">
        <v>1452</v>
      </c>
      <c r="S911" s="4"/>
      <c r="V911" s="4">
        <v>16.7</v>
      </c>
      <c r="W911" s="4" t="str">
        <f t="shared" si="40"/>
        <v>N</v>
      </c>
      <c r="X911" s="4" t="s">
        <v>24</v>
      </c>
      <c r="Y911" s="4"/>
      <c r="Z911" s="4" t="str">
        <f t="shared" si="41"/>
        <v>N</v>
      </c>
      <c r="AA911" s="4" t="s">
        <v>1121</v>
      </c>
      <c r="AB911" s="4" t="s">
        <v>1524</v>
      </c>
      <c r="AC911" s="39" t="s">
        <v>1523</v>
      </c>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row>
    <row r="912" spans="1:92" s="4" customFormat="1" x14ac:dyDescent="0.2">
      <c r="B912" s="4" t="s">
        <v>1330</v>
      </c>
      <c r="C912" s="4" t="s">
        <v>1355</v>
      </c>
      <c r="D912" s="4" t="s">
        <v>1356</v>
      </c>
      <c r="E912" s="4">
        <v>2018</v>
      </c>
      <c r="F912" s="4" t="s">
        <v>1515</v>
      </c>
      <c r="G912" s="4" t="s">
        <v>1358</v>
      </c>
      <c r="H912" s="37">
        <v>57.28</v>
      </c>
      <c r="I912" s="37">
        <v>17.97</v>
      </c>
      <c r="J912" s="37">
        <v>2007</v>
      </c>
      <c r="K912" s="37">
        <v>2012</v>
      </c>
      <c r="L912" s="37">
        <f t="shared" si="39"/>
        <v>6</v>
      </c>
      <c r="M912" s="4" t="s">
        <v>369</v>
      </c>
      <c r="N912" s="4" t="s">
        <v>380</v>
      </c>
      <c r="O912" s="4" t="s">
        <v>380</v>
      </c>
      <c r="P912" s="4" t="s">
        <v>138</v>
      </c>
      <c r="Q912" s="4" t="s">
        <v>454</v>
      </c>
      <c r="R912" s="4" t="s">
        <v>1455</v>
      </c>
      <c r="T912"/>
      <c r="U912"/>
      <c r="V912" s="4">
        <v>-1.6</v>
      </c>
      <c r="W912" s="4" t="str">
        <f t="shared" si="40"/>
        <v>Y</v>
      </c>
      <c r="X912" s="4" t="s">
        <v>24</v>
      </c>
      <c r="Z912" s="4" t="str">
        <f t="shared" si="41"/>
        <v>N</v>
      </c>
      <c r="AA912" s="4" t="s">
        <v>1121</v>
      </c>
      <c r="AB912" s="4" t="s">
        <v>1524</v>
      </c>
      <c r="AC912" s="39" t="s">
        <v>1523</v>
      </c>
      <c r="AD912"/>
      <c r="AE912"/>
      <c r="AF912"/>
      <c r="AG912"/>
      <c r="AH912"/>
    </row>
    <row r="913" spans="1:92" x14ac:dyDescent="0.2">
      <c r="B913" t="s">
        <v>1330</v>
      </c>
      <c r="C913" t="s">
        <v>1355</v>
      </c>
      <c r="D913" t="s">
        <v>1356</v>
      </c>
      <c r="E913">
        <v>2018</v>
      </c>
      <c r="F913" t="s">
        <v>1516</v>
      </c>
      <c r="G913" t="s">
        <v>1358</v>
      </c>
      <c r="H913" s="13">
        <v>57.1</v>
      </c>
      <c r="I913" s="13">
        <v>-170.15</v>
      </c>
      <c r="J913" s="13">
        <v>1975</v>
      </c>
      <c r="K913" s="13">
        <v>2015</v>
      </c>
      <c r="L913" s="13">
        <f t="shared" si="39"/>
        <v>41</v>
      </c>
      <c r="M913" t="s">
        <v>369</v>
      </c>
      <c r="N913" t="s">
        <v>380</v>
      </c>
      <c r="O913" t="s">
        <v>380</v>
      </c>
      <c r="P913" t="s">
        <v>485</v>
      </c>
      <c r="Q913" t="s">
        <v>87</v>
      </c>
      <c r="R913" t="s">
        <v>1452</v>
      </c>
      <c r="V913">
        <v>-5.5</v>
      </c>
      <c r="W913" t="str">
        <f t="shared" si="40"/>
        <v>Y</v>
      </c>
      <c r="X913" t="s">
        <v>3</v>
      </c>
      <c r="Z913" s="4" t="str">
        <f t="shared" si="41"/>
        <v>Y</v>
      </c>
      <c r="AA913" t="s">
        <v>1121</v>
      </c>
      <c r="AB913" t="s">
        <v>1524</v>
      </c>
      <c r="AC913" s="15" t="s">
        <v>1523</v>
      </c>
    </row>
    <row r="914" spans="1:92" x14ac:dyDescent="0.2">
      <c r="B914" t="s">
        <v>1330</v>
      </c>
      <c r="C914" t="s">
        <v>1355</v>
      </c>
      <c r="D914" t="s">
        <v>1356</v>
      </c>
      <c r="E914">
        <v>2018</v>
      </c>
      <c r="F914" t="s">
        <v>1516</v>
      </c>
      <c r="G914" t="s">
        <v>1358</v>
      </c>
      <c r="H914" s="13">
        <v>57.1</v>
      </c>
      <c r="I914" s="13">
        <v>-170.15</v>
      </c>
      <c r="J914" s="13">
        <v>1975</v>
      </c>
      <c r="K914" s="13">
        <v>2015</v>
      </c>
      <c r="L914" s="13">
        <f t="shared" si="39"/>
        <v>41</v>
      </c>
      <c r="M914" t="s">
        <v>369</v>
      </c>
      <c r="N914" t="s">
        <v>380</v>
      </c>
      <c r="O914" t="s">
        <v>380</v>
      </c>
      <c r="P914" t="s">
        <v>494</v>
      </c>
      <c r="Q914" t="s">
        <v>93</v>
      </c>
      <c r="R914" t="s">
        <v>1452</v>
      </c>
      <c r="V914">
        <v>-0.5</v>
      </c>
      <c r="W914" t="str">
        <f t="shared" si="40"/>
        <v>Y</v>
      </c>
      <c r="X914" t="s">
        <v>3</v>
      </c>
      <c r="Z914" s="4" t="str">
        <f t="shared" si="41"/>
        <v>Y</v>
      </c>
      <c r="AA914" t="s">
        <v>1121</v>
      </c>
      <c r="AB914" t="s">
        <v>1524</v>
      </c>
      <c r="AC914" s="15" t="s">
        <v>1523</v>
      </c>
    </row>
    <row r="915" spans="1:92" x14ac:dyDescent="0.2">
      <c r="B915" t="s">
        <v>1330</v>
      </c>
      <c r="C915" t="s">
        <v>1355</v>
      </c>
      <c r="D915" t="s">
        <v>1356</v>
      </c>
      <c r="E915">
        <v>2018</v>
      </c>
      <c r="F915" t="s">
        <v>1516</v>
      </c>
      <c r="G915" t="s">
        <v>1358</v>
      </c>
      <c r="H915" s="13">
        <v>57.1</v>
      </c>
      <c r="I915" s="13">
        <v>-170.15</v>
      </c>
      <c r="J915" s="13">
        <v>1976</v>
      </c>
      <c r="K915" s="13">
        <v>2015</v>
      </c>
      <c r="L915" s="13">
        <f t="shared" si="39"/>
        <v>40</v>
      </c>
      <c r="M915" t="s">
        <v>369</v>
      </c>
      <c r="N915" t="s">
        <v>380</v>
      </c>
      <c r="O915" t="s">
        <v>380</v>
      </c>
      <c r="P915" t="s">
        <v>1438</v>
      </c>
      <c r="Q915" t="s">
        <v>1392</v>
      </c>
      <c r="R915" t="s">
        <v>1452</v>
      </c>
      <c r="V915">
        <v>1</v>
      </c>
      <c r="W915" t="str">
        <f t="shared" si="40"/>
        <v>N</v>
      </c>
      <c r="X915" t="s">
        <v>3</v>
      </c>
      <c r="Z915" s="4" t="str">
        <f t="shared" si="41"/>
        <v>Y</v>
      </c>
      <c r="AA915" t="s">
        <v>1121</v>
      </c>
      <c r="AB915" t="s">
        <v>1524</v>
      </c>
      <c r="AC915" s="15" t="s">
        <v>1523</v>
      </c>
    </row>
    <row r="916" spans="1:92" x14ac:dyDescent="0.2">
      <c r="B916" t="s">
        <v>1330</v>
      </c>
      <c r="C916" t="s">
        <v>1355</v>
      </c>
      <c r="D916" t="s">
        <v>1356</v>
      </c>
      <c r="E916">
        <v>2018</v>
      </c>
      <c r="F916" t="s">
        <v>1516</v>
      </c>
      <c r="G916" t="s">
        <v>1358</v>
      </c>
      <c r="H916" s="13">
        <v>57.1</v>
      </c>
      <c r="I916" s="13">
        <v>-170.15</v>
      </c>
      <c r="J916" s="13">
        <v>1975</v>
      </c>
      <c r="K916" s="13">
        <v>2014</v>
      </c>
      <c r="L916" s="13">
        <f t="shared" si="39"/>
        <v>40</v>
      </c>
      <c r="M916" t="s">
        <v>369</v>
      </c>
      <c r="N916" t="s">
        <v>380</v>
      </c>
      <c r="O916" t="s">
        <v>380</v>
      </c>
      <c r="P916" t="s">
        <v>486</v>
      </c>
      <c r="Q916" t="s">
        <v>90</v>
      </c>
      <c r="R916" t="s">
        <v>1452</v>
      </c>
      <c r="V916">
        <v>-7.9</v>
      </c>
      <c r="W916" t="str">
        <f t="shared" si="40"/>
        <v>Y</v>
      </c>
      <c r="X916" t="s">
        <v>3</v>
      </c>
      <c r="Z916" s="4" t="str">
        <f t="shared" si="41"/>
        <v>Y</v>
      </c>
      <c r="AA916" t="s">
        <v>1121</v>
      </c>
      <c r="AB916" t="s">
        <v>1524</v>
      </c>
      <c r="AC916" s="15" t="s">
        <v>1523</v>
      </c>
    </row>
    <row r="917" spans="1:92" x14ac:dyDescent="0.2">
      <c r="B917" t="s">
        <v>1330</v>
      </c>
      <c r="C917" t="s">
        <v>1355</v>
      </c>
      <c r="D917" t="s">
        <v>1356</v>
      </c>
      <c r="E917">
        <v>2018</v>
      </c>
      <c r="F917" t="s">
        <v>1516</v>
      </c>
      <c r="G917" t="s">
        <v>1358</v>
      </c>
      <c r="H917" s="13">
        <v>57.1</v>
      </c>
      <c r="I917" s="13">
        <v>-170.15</v>
      </c>
      <c r="J917" s="13">
        <v>1975</v>
      </c>
      <c r="K917" s="13">
        <v>2015</v>
      </c>
      <c r="L917" s="13">
        <f t="shared" si="39"/>
        <v>41</v>
      </c>
      <c r="M917" t="s">
        <v>369</v>
      </c>
      <c r="N917" t="s">
        <v>380</v>
      </c>
      <c r="O917" t="s">
        <v>380</v>
      </c>
      <c r="P917" t="s">
        <v>488</v>
      </c>
      <c r="Q917" t="s">
        <v>91</v>
      </c>
      <c r="R917" t="s">
        <v>1452</v>
      </c>
      <c r="V917">
        <v>2</v>
      </c>
      <c r="W917" t="str">
        <f t="shared" si="40"/>
        <v>N</v>
      </c>
      <c r="X917" t="s">
        <v>3</v>
      </c>
      <c r="Z917" s="4" t="str">
        <f t="shared" si="41"/>
        <v>Y</v>
      </c>
      <c r="AA917" t="s">
        <v>1121</v>
      </c>
      <c r="AB917" t="s">
        <v>1524</v>
      </c>
      <c r="AC917" s="15" t="s">
        <v>1523</v>
      </c>
    </row>
    <row r="918" spans="1:92" x14ac:dyDescent="0.2">
      <c r="B918" t="s">
        <v>1330</v>
      </c>
      <c r="C918" t="s">
        <v>1355</v>
      </c>
      <c r="D918" t="s">
        <v>1356</v>
      </c>
      <c r="E918">
        <v>2018</v>
      </c>
      <c r="F918" t="s">
        <v>1517</v>
      </c>
      <c r="G918" t="s">
        <v>1357</v>
      </c>
      <c r="H918" s="13">
        <v>-71.53</v>
      </c>
      <c r="I918" s="13">
        <v>5.0999999999999996</v>
      </c>
      <c r="J918" s="13">
        <v>1992</v>
      </c>
      <c r="K918" s="13">
        <v>2014</v>
      </c>
      <c r="L918" s="13">
        <f t="shared" si="39"/>
        <v>23</v>
      </c>
      <c r="M918" t="s">
        <v>369</v>
      </c>
      <c r="N918" t="s">
        <v>380</v>
      </c>
      <c r="O918" t="s">
        <v>380</v>
      </c>
      <c r="P918" t="s">
        <v>1397</v>
      </c>
      <c r="Q918" t="s">
        <v>402</v>
      </c>
      <c r="R918" t="s">
        <v>1451</v>
      </c>
      <c r="V918">
        <v>1.4000000000000001</v>
      </c>
      <c r="W918" t="str">
        <f t="shared" si="40"/>
        <v>N</v>
      </c>
      <c r="X918" t="s">
        <v>3</v>
      </c>
      <c r="Z918" s="4" t="str">
        <f t="shared" si="41"/>
        <v>Y</v>
      </c>
      <c r="AA918" t="s">
        <v>1121</v>
      </c>
      <c r="AB918" t="s">
        <v>1524</v>
      </c>
      <c r="AC918" s="15" t="s">
        <v>1523</v>
      </c>
    </row>
    <row r="919" spans="1:92" x14ac:dyDescent="0.2">
      <c r="B919" t="s">
        <v>1330</v>
      </c>
      <c r="C919" t="s">
        <v>1355</v>
      </c>
      <c r="D919" t="s">
        <v>1356</v>
      </c>
      <c r="E919">
        <v>2018</v>
      </c>
      <c r="F919" t="s">
        <v>1517</v>
      </c>
      <c r="G919" t="s">
        <v>1357</v>
      </c>
      <c r="H919" s="13">
        <v>-71.53</v>
      </c>
      <c r="I919" s="13">
        <v>5.0999999999999996</v>
      </c>
      <c r="J919" s="13">
        <v>1992</v>
      </c>
      <c r="K919" s="13">
        <v>2014</v>
      </c>
      <c r="L919" s="13">
        <f t="shared" ref="L919:L982" si="42">K919-J919+1</f>
        <v>23</v>
      </c>
      <c r="M919" t="s">
        <v>369</v>
      </c>
      <c r="N919" t="s">
        <v>380</v>
      </c>
      <c r="O919" t="s">
        <v>380</v>
      </c>
      <c r="P919" t="s">
        <v>1397</v>
      </c>
      <c r="Q919" t="s">
        <v>402</v>
      </c>
      <c r="R919" t="s">
        <v>1452</v>
      </c>
      <c r="V919">
        <v>1.4000000000000001</v>
      </c>
      <c r="W919" t="str">
        <f t="shared" ref="W919:W928" si="43">IF(V919&lt;0,"Y","N")</f>
        <v>N</v>
      </c>
      <c r="X919" t="s">
        <v>3</v>
      </c>
      <c r="Z919" s="4" t="str">
        <f t="shared" si="41"/>
        <v>Y</v>
      </c>
      <c r="AA919" t="s">
        <v>1121</v>
      </c>
      <c r="AB919" t="s">
        <v>1524</v>
      </c>
      <c r="AC919" s="15" t="s">
        <v>1523</v>
      </c>
    </row>
    <row r="920" spans="1:92" x14ac:dyDescent="0.2">
      <c r="B920" t="s">
        <v>1330</v>
      </c>
      <c r="C920" t="s">
        <v>1355</v>
      </c>
      <c r="D920" t="s">
        <v>1356</v>
      </c>
      <c r="E920">
        <v>2018</v>
      </c>
      <c r="F920" t="s">
        <v>1517</v>
      </c>
      <c r="G920" t="s">
        <v>1357</v>
      </c>
      <c r="H920" s="13">
        <v>-71.53</v>
      </c>
      <c r="I920" s="13">
        <v>5.0999999999999996</v>
      </c>
      <c r="J920" s="13">
        <v>1992</v>
      </c>
      <c r="K920" s="13">
        <v>2014</v>
      </c>
      <c r="L920" s="13">
        <f t="shared" si="42"/>
        <v>23</v>
      </c>
      <c r="M920" t="s">
        <v>369</v>
      </c>
      <c r="N920" t="s">
        <v>380</v>
      </c>
      <c r="O920" t="s">
        <v>380</v>
      </c>
      <c r="P920" t="s">
        <v>1397</v>
      </c>
      <c r="Q920" t="s">
        <v>402</v>
      </c>
      <c r="R920" t="s">
        <v>1453</v>
      </c>
      <c r="V920">
        <v>1.2</v>
      </c>
      <c r="W920" t="str">
        <f t="shared" si="43"/>
        <v>N</v>
      </c>
      <c r="X920" t="s">
        <v>3</v>
      </c>
      <c r="Z920" s="4" t="str">
        <f t="shared" si="41"/>
        <v>Y</v>
      </c>
      <c r="AA920" t="s">
        <v>1121</v>
      </c>
      <c r="AB920" t="s">
        <v>1524</v>
      </c>
      <c r="AC920" s="15" t="s">
        <v>1523</v>
      </c>
    </row>
    <row r="921" spans="1:92" x14ac:dyDescent="0.2">
      <c r="B921" t="s">
        <v>1330</v>
      </c>
      <c r="C921" t="s">
        <v>1355</v>
      </c>
      <c r="D921" t="s">
        <v>1356</v>
      </c>
      <c r="E921">
        <v>2018</v>
      </c>
      <c r="F921" t="s">
        <v>1518</v>
      </c>
      <c r="G921" t="s">
        <v>1358</v>
      </c>
      <c r="H921" s="13">
        <v>44.42</v>
      </c>
      <c r="I921" s="13">
        <v>141.31</v>
      </c>
      <c r="J921" s="13">
        <v>1980</v>
      </c>
      <c r="K921" s="13">
        <v>2007</v>
      </c>
      <c r="L921" s="13">
        <f t="shared" si="42"/>
        <v>28</v>
      </c>
      <c r="M921" t="s">
        <v>369</v>
      </c>
      <c r="N921" t="s">
        <v>380</v>
      </c>
      <c r="O921" t="s">
        <v>380</v>
      </c>
      <c r="P921" t="s">
        <v>1406</v>
      </c>
      <c r="Q921" t="s">
        <v>1393</v>
      </c>
      <c r="R921" t="s">
        <v>1454</v>
      </c>
      <c r="V921">
        <v>-1</v>
      </c>
      <c r="W921" t="str">
        <f t="shared" si="43"/>
        <v>Y</v>
      </c>
      <c r="X921" t="s">
        <v>3</v>
      </c>
      <c r="Z921" s="4" t="str">
        <f t="shared" si="41"/>
        <v>Y</v>
      </c>
      <c r="AA921" t="s">
        <v>1121</v>
      </c>
      <c r="AB921" t="s">
        <v>1524</v>
      </c>
      <c r="AC921" s="15" t="s">
        <v>1523</v>
      </c>
    </row>
    <row r="922" spans="1:92" x14ac:dyDescent="0.2">
      <c r="B922" t="s">
        <v>1330</v>
      </c>
      <c r="C922" t="s">
        <v>1355</v>
      </c>
      <c r="D922" t="s">
        <v>1356</v>
      </c>
      <c r="E922">
        <v>2018</v>
      </c>
      <c r="F922" t="s">
        <v>1518</v>
      </c>
      <c r="G922" t="s">
        <v>1358</v>
      </c>
      <c r="H922" s="13">
        <v>44.42</v>
      </c>
      <c r="I922" s="13">
        <v>141.31</v>
      </c>
      <c r="J922" s="13">
        <v>1992</v>
      </c>
      <c r="K922" s="13">
        <v>2015</v>
      </c>
      <c r="L922" s="13">
        <f t="shared" si="42"/>
        <v>24</v>
      </c>
      <c r="M922" t="s">
        <v>369</v>
      </c>
      <c r="N922" t="s">
        <v>380</v>
      </c>
      <c r="O922" t="s">
        <v>380</v>
      </c>
      <c r="P922" t="s">
        <v>1425</v>
      </c>
      <c r="Q922" t="s">
        <v>1394</v>
      </c>
      <c r="R922" t="s">
        <v>1452</v>
      </c>
      <c r="V922">
        <v>9.6999999999999993</v>
      </c>
      <c r="W922" t="str">
        <f t="shared" si="43"/>
        <v>N</v>
      </c>
      <c r="X922" t="s">
        <v>3</v>
      </c>
      <c r="Z922" s="4" t="str">
        <f t="shared" si="41"/>
        <v>Y</v>
      </c>
      <c r="AA922" t="s">
        <v>1121</v>
      </c>
      <c r="AB922" t="s">
        <v>1524</v>
      </c>
      <c r="AC922" s="15" t="s">
        <v>1523</v>
      </c>
    </row>
    <row r="923" spans="1:92" s="4" customFormat="1" x14ac:dyDescent="0.2">
      <c r="A923"/>
      <c r="B923" t="s">
        <v>1330</v>
      </c>
      <c r="C923" t="s">
        <v>1355</v>
      </c>
      <c r="D923" t="s">
        <v>1356</v>
      </c>
      <c r="E923">
        <v>2018</v>
      </c>
      <c r="F923" t="s">
        <v>1518</v>
      </c>
      <c r="G923" t="s">
        <v>1358</v>
      </c>
      <c r="H923" s="13">
        <v>44.42</v>
      </c>
      <c r="I923" s="13">
        <v>141.31</v>
      </c>
      <c r="J923" s="13">
        <v>1984</v>
      </c>
      <c r="K923" s="13">
        <v>2015</v>
      </c>
      <c r="L923" s="13">
        <f t="shared" si="42"/>
        <v>32</v>
      </c>
      <c r="M923" t="s">
        <v>369</v>
      </c>
      <c r="N923" t="s">
        <v>380</v>
      </c>
      <c r="O923" t="s">
        <v>380</v>
      </c>
      <c r="P923" t="s">
        <v>1439</v>
      </c>
      <c r="Q923" t="s">
        <v>404</v>
      </c>
      <c r="R923" t="s">
        <v>1452</v>
      </c>
      <c r="S923"/>
      <c r="T923"/>
      <c r="U923"/>
      <c r="V923">
        <v>2.6</v>
      </c>
      <c r="W923" t="str">
        <f t="shared" si="43"/>
        <v>N</v>
      </c>
      <c r="X923" t="s">
        <v>3</v>
      </c>
      <c r="Y923"/>
      <c r="Z923" s="4" t="str">
        <f t="shared" si="41"/>
        <v>Y</v>
      </c>
      <c r="AA923" t="s">
        <v>1121</v>
      </c>
      <c r="AB923" t="s">
        <v>1524</v>
      </c>
      <c r="AC923" s="15" t="s">
        <v>1523</v>
      </c>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c r="CE923"/>
      <c r="CF923"/>
      <c r="CG923"/>
      <c r="CH923"/>
      <c r="CI923"/>
      <c r="CJ923"/>
      <c r="CK923"/>
      <c r="CL923"/>
      <c r="CM923"/>
      <c r="CN923"/>
    </row>
    <row r="924" spans="1:92" s="4" customFormat="1" x14ac:dyDescent="0.2">
      <c r="A924"/>
      <c r="B924" t="s">
        <v>1330</v>
      </c>
      <c r="C924" t="s">
        <v>1355</v>
      </c>
      <c r="D924" t="s">
        <v>1356</v>
      </c>
      <c r="E924">
        <v>2018</v>
      </c>
      <c r="F924" t="s">
        <v>1519</v>
      </c>
      <c r="G924" t="s">
        <v>1358</v>
      </c>
      <c r="H924" s="13">
        <v>57.69</v>
      </c>
      <c r="I924" s="13">
        <v>-2.2999999999999998</v>
      </c>
      <c r="J924" s="13">
        <v>1990</v>
      </c>
      <c r="K924" s="13">
        <v>2011</v>
      </c>
      <c r="L924" s="13">
        <f t="shared" si="42"/>
        <v>22</v>
      </c>
      <c r="M924" t="s">
        <v>369</v>
      </c>
      <c r="N924" t="s">
        <v>380</v>
      </c>
      <c r="O924" t="s">
        <v>380</v>
      </c>
      <c r="P924" t="s">
        <v>1434</v>
      </c>
      <c r="Q924" t="s">
        <v>460</v>
      </c>
      <c r="R924" t="s">
        <v>1453</v>
      </c>
      <c r="S924"/>
      <c r="T924"/>
      <c r="U924"/>
      <c r="V924">
        <v>-3.8</v>
      </c>
      <c r="W924" t="str">
        <f t="shared" si="43"/>
        <v>Y</v>
      </c>
      <c r="X924" t="s">
        <v>3</v>
      </c>
      <c r="Y924"/>
      <c r="Z924" s="4" t="str">
        <f t="shared" si="41"/>
        <v>Y</v>
      </c>
      <c r="AA924" t="s">
        <v>1121</v>
      </c>
      <c r="AB924" t="s">
        <v>1524</v>
      </c>
      <c r="AC924" s="15" t="s">
        <v>1523</v>
      </c>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c r="CE924"/>
      <c r="CF924"/>
      <c r="CG924"/>
      <c r="CH924"/>
      <c r="CI924"/>
      <c r="CJ924"/>
      <c r="CK924"/>
      <c r="CL924"/>
      <c r="CM924"/>
      <c r="CN924"/>
    </row>
    <row r="925" spans="1:92" x14ac:dyDescent="0.2">
      <c r="A925" s="4"/>
      <c r="B925" s="4" t="s">
        <v>1330</v>
      </c>
      <c r="C925" s="4" t="s">
        <v>1355</v>
      </c>
      <c r="D925" s="4" t="s">
        <v>1356</v>
      </c>
      <c r="E925" s="4">
        <v>2018</v>
      </c>
      <c r="F925" s="4" t="s">
        <v>1520</v>
      </c>
      <c r="G925" s="4" t="s">
        <v>1358</v>
      </c>
      <c r="H925" s="37">
        <v>70.44</v>
      </c>
      <c r="I925" s="37">
        <v>-21.35</v>
      </c>
      <c r="J925" s="37">
        <v>2005</v>
      </c>
      <c r="K925" s="37">
        <v>2015</v>
      </c>
      <c r="L925" s="37">
        <f t="shared" si="42"/>
        <v>11</v>
      </c>
      <c r="M925" s="4" t="s">
        <v>369</v>
      </c>
      <c r="N925" s="4" t="s">
        <v>380</v>
      </c>
      <c r="O925" s="4" t="s">
        <v>380</v>
      </c>
      <c r="P925" s="4" t="s">
        <v>1430</v>
      </c>
      <c r="Q925" s="4" t="s">
        <v>96</v>
      </c>
      <c r="R925" s="4" t="s">
        <v>1453</v>
      </c>
      <c r="S925" s="4"/>
      <c r="V925" s="4">
        <v>3.3000000000000003</v>
      </c>
      <c r="W925" s="4" t="str">
        <f t="shared" si="43"/>
        <v>N</v>
      </c>
      <c r="X925" s="4" t="s">
        <v>24</v>
      </c>
      <c r="Y925" s="4"/>
      <c r="Z925" s="4" t="str">
        <f t="shared" si="41"/>
        <v>N</v>
      </c>
      <c r="AA925" s="4" t="s">
        <v>1121</v>
      </c>
      <c r="AB925" s="4" t="s">
        <v>1524</v>
      </c>
      <c r="AC925" s="39" t="s">
        <v>1523</v>
      </c>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row>
    <row r="926" spans="1:92" x14ac:dyDescent="0.2">
      <c r="A926" s="4"/>
      <c r="B926" s="4" t="s">
        <v>1330</v>
      </c>
      <c r="C926" s="4" t="s">
        <v>1355</v>
      </c>
      <c r="D926" s="4" t="s">
        <v>1356</v>
      </c>
      <c r="E926" s="4">
        <v>2018</v>
      </c>
      <c r="F926" s="4" t="s">
        <v>1521</v>
      </c>
      <c r="G926" s="4" t="s">
        <v>1358</v>
      </c>
      <c r="H926" s="37">
        <v>27.83</v>
      </c>
      <c r="I926" s="37">
        <v>-15.79</v>
      </c>
      <c r="J926" s="37">
        <v>2003</v>
      </c>
      <c r="K926" s="37">
        <v>2014</v>
      </c>
      <c r="L926" s="37">
        <f t="shared" si="42"/>
        <v>12</v>
      </c>
      <c r="M926" s="4" t="s">
        <v>369</v>
      </c>
      <c r="N926" s="4" t="s">
        <v>380</v>
      </c>
      <c r="O926" s="4" t="s">
        <v>380</v>
      </c>
      <c r="P926" s="4" t="s">
        <v>1414</v>
      </c>
      <c r="Q926" s="4" t="s">
        <v>1385</v>
      </c>
      <c r="R926" s="4" t="s">
        <v>1454</v>
      </c>
      <c r="S926" s="4"/>
      <c r="V926" s="4">
        <v>14.9</v>
      </c>
      <c r="W926" s="4" t="str">
        <f t="shared" si="43"/>
        <v>N</v>
      </c>
      <c r="X926" s="4" t="s">
        <v>24</v>
      </c>
      <c r="Y926" s="4"/>
      <c r="Z926" s="4" t="str">
        <f t="shared" si="41"/>
        <v>N</v>
      </c>
      <c r="AA926" s="4" t="s">
        <v>1121</v>
      </c>
      <c r="AB926" s="4" t="s">
        <v>1524</v>
      </c>
      <c r="AC926" s="39" t="s">
        <v>1523</v>
      </c>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row>
    <row r="927" spans="1:92" x14ac:dyDescent="0.2">
      <c r="B927" t="s">
        <v>1330</v>
      </c>
      <c r="C927" t="s">
        <v>1355</v>
      </c>
      <c r="D927" t="s">
        <v>1356</v>
      </c>
      <c r="E927">
        <v>2018</v>
      </c>
      <c r="F927" t="s">
        <v>1522</v>
      </c>
      <c r="G927" t="s">
        <v>1358</v>
      </c>
      <c r="H927" s="13">
        <v>74.5</v>
      </c>
      <c r="I927" s="13">
        <v>-20.5</v>
      </c>
      <c r="J927" s="13">
        <v>1996</v>
      </c>
      <c r="K927" s="13">
        <v>2015</v>
      </c>
      <c r="L927" s="13">
        <f t="shared" si="42"/>
        <v>20</v>
      </c>
      <c r="M927" t="s">
        <v>369</v>
      </c>
      <c r="N927" t="s">
        <v>380</v>
      </c>
      <c r="O927" t="s">
        <v>380</v>
      </c>
      <c r="P927" t="s">
        <v>1432</v>
      </c>
      <c r="Q927" t="s">
        <v>1380</v>
      </c>
      <c r="R927" t="s">
        <v>1455</v>
      </c>
      <c r="V927">
        <v>0.3</v>
      </c>
      <c r="W927" t="str">
        <f t="shared" si="43"/>
        <v>N</v>
      </c>
      <c r="X927" t="s">
        <v>3</v>
      </c>
      <c r="Z927" s="4" t="str">
        <f t="shared" si="41"/>
        <v>Y</v>
      </c>
      <c r="AA927" t="s">
        <v>1121</v>
      </c>
      <c r="AB927" t="s">
        <v>1524</v>
      </c>
      <c r="AC927" s="15" t="s">
        <v>1523</v>
      </c>
    </row>
    <row r="928" spans="1:92" x14ac:dyDescent="0.2">
      <c r="B928" t="s">
        <v>1330</v>
      </c>
      <c r="C928" t="s">
        <v>1526</v>
      </c>
      <c r="D928" t="s">
        <v>1354</v>
      </c>
      <c r="E928">
        <v>2023</v>
      </c>
      <c r="F928" t="s">
        <v>1527</v>
      </c>
      <c r="G928" t="s">
        <v>1357</v>
      </c>
      <c r="H928" s="13">
        <v>-64.8</v>
      </c>
      <c r="I928" s="13">
        <v>-64.099999999999994</v>
      </c>
      <c r="J928" s="13">
        <v>1991</v>
      </c>
      <c r="K928" s="13">
        <v>2016</v>
      </c>
      <c r="L928" s="13">
        <f t="shared" si="42"/>
        <v>26</v>
      </c>
      <c r="M928" t="s">
        <v>369</v>
      </c>
      <c r="N928" t="s">
        <v>380</v>
      </c>
      <c r="O928" t="s">
        <v>380</v>
      </c>
      <c r="P928" t="s">
        <v>1529</v>
      </c>
      <c r="Q928" t="s">
        <v>83</v>
      </c>
      <c r="R928" t="s">
        <v>1530</v>
      </c>
      <c r="V928">
        <v>-0.72</v>
      </c>
      <c r="W928" t="str">
        <f t="shared" si="43"/>
        <v>Y</v>
      </c>
      <c r="X928" t="s">
        <v>3</v>
      </c>
      <c r="Z928" s="4" t="str">
        <f t="shared" si="41"/>
        <v>Y</v>
      </c>
      <c r="AA928" t="s">
        <v>1531</v>
      </c>
      <c r="AB928" t="s">
        <v>1532</v>
      </c>
      <c r="AC928" s="15" t="s">
        <v>1528</v>
      </c>
    </row>
    <row r="929" spans="1:92" x14ac:dyDescent="0.2">
      <c r="B929" t="s">
        <v>1534</v>
      </c>
      <c r="C929" t="s">
        <v>1535</v>
      </c>
      <c r="D929" t="s">
        <v>1536</v>
      </c>
      <c r="E929">
        <v>2021</v>
      </c>
      <c r="F929" t="s">
        <v>1537</v>
      </c>
      <c r="G929" t="s">
        <v>1357</v>
      </c>
      <c r="H929" s="13">
        <v>-66.67</v>
      </c>
      <c r="I929" s="13">
        <v>140.01666700000001</v>
      </c>
      <c r="J929" s="13">
        <v>1993</v>
      </c>
      <c r="K929" s="13">
        <v>2018</v>
      </c>
      <c r="L929" s="13">
        <f t="shared" si="42"/>
        <v>26</v>
      </c>
      <c r="M929" t="s">
        <v>369</v>
      </c>
      <c r="N929" t="s">
        <v>380</v>
      </c>
      <c r="O929" t="s">
        <v>380</v>
      </c>
      <c r="P929" t="s">
        <v>1538</v>
      </c>
      <c r="Q929" t="s">
        <v>85</v>
      </c>
      <c r="R929" t="s">
        <v>1539</v>
      </c>
      <c r="V929">
        <v>1.2</v>
      </c>
      <c r="W929" t="s">
        <v>3</v>
      </c>
      <c r="X929" t="s">
        <v>3</v>
      </c>
      <c r="Z929" s="4" t="str">
        <f t="shared" si="41"/>
        <v>Y</v>
      </c>
      <c r="AA929" t="s">
        <v>1116</v>
      </c>
      <c r="AB929" t="s">
        <v>1533</v>
      </c>
      <c r="AC929" s="15" t="s">
        <v>1540</v>
      </c>
    </row>
    <row r="930" spans="1:92" x14ac:dyDescent="0.2">
      <c r="B930" t="s">
        <v>1330</v>
      </c>
      <c r="C930" t="s">
        <v>1541</v>
      </c>
      <c r="D930" t="s">
        <v>1542</v>
      </c>
      <c r="E930">
        <v>2024</v>
      </c>
      <c r="F930" t="s">
        <v>1543</v>
      </c>
      <c r="G930" t="s">
        <v>1358</v>
      </c>
      <c r="H930" s="13">
        <v>53.511111</v>
      </c>
      <c r="I930" s="13">
        <v>8.1050000000000004</v>
      </c>
      <c r="J930" s="13">
        <v>1994</v>
      </c>
      <c r="K930" s="13">
        <v>2020</v>
      </c>
      <c r="L930" s="13">
        <f t="shared" si="42"/>
        <v>27</v>
      </c>
      <c r="M930" t="s">
        <v>369</v>
      </c>
      <c r="N930" t="s">
        <v>380</v>
      </c>
      <c r="O930" t="s">
        <v>380</v>
      </c>
      <c r="P930" t="s">
        <v>142</v>
      </c>
      <c r="Q930" t="s">
        <v>458</v>
      </c>
      <c r="R930" t="s">
        <v>931</v>
      </c>
      <c r="V930">
        <v>-2</v>
      </c>
      <c r="W930" t="s">
        <v>3</v>
      </c>
      <c r="X930" t="s">
        <v>3</v>
      </c>
      <c r="Z930" s="4" t="str">
        <f t="shared" si="41"/>
        <v>Y</v>
      </c>
      <c r="AA930" t="s">
        <v>1544</v>
      </c>
      <c r="AB930" t="s">
        <v>1545</v>
      </c>
      <c r="AC930" s="15" t="s">
        <v>1546</v>
      </c>
    </row>
    <row r="931" spans="1:92" x14ac:dyDescent="0.2">
      <c r="B931" t="s">
        <v>1330</v>
      </c>
      <c r="C931" t="s">
        <v>1548</v>
      </c>
      <c r="D931" t="s">
        <v>1547</v>
      </c>
      <c r="E931">
        <v>2021</v>
      </c>
      <c r="F931" t="s">
        <v>1549</v>
      </c>
      <c r="G931" t="s">
        <v>1358</v>
      </c>
      <c r="H931">
        <v>44.500036999999999</v>
      </c>
      <c r="I931" s="13">
        <v>-67.099999999999994</v>
      </c>
      <c r="J931" s="13">
        <v>1995</v>
      </c>
      <c r="K931" s="13">
        <v>2020</v>
      </c>
      <c r="L931" s="13">
        <f t="shared" si="42"/>
        <v>26</v>
      </c>
      <c r="M931" t="s">
        <v>369</v>
      </c>
      <c r="N931" t="s">
        <v>380</v>
      </c>
      <c r="O931" t="s">
        <v>380</v>
      </c>
      <c r="P931" t="s">
        <v>1400</v>
      </c>
      <c r="Q931" t="s">
        <v>455</v>
      </c>
      <c r="R931" t="s">
        <v>1539</v>
      </c>
      <c r="V931">
        <v>0.13</v>
      </c>
      <c r="W931" t="s">
        <v>3</v>
      </c>
      <c r="X931" t="s">
        <v>3</v>
      </c>
      <c r="Z931" s="4" t="str">
        <f t="shared" si="41"/>
        <v>Y</v>
      </c>
      <c r="AA931" t="s">
        <v>1121</v>
      </c>
      <c r="AB931" t="s">
        <v>1553</v>
      </c>
      <c r="AC931" s="15" t="s">
        <v>1551</v>
      </c>
    </row>
    <row r="932" spans="1:92" x14ac:dyDescent="0.2">
      <c r="B932" t="s">
        <v>1330</v>
      </c>
      <c r="C932" t="s">
        <v>1548</v>
      </c>
      <c r="D932" t="s">
        <v>1547</v>
      </c>
      <c r="E932">
        <v>2021</v>
      </c>
      <c r="F932" t="s">
        <v>1549</v>
      </c>
      <c r="G932" t="s">
        <v>1358</v>
      </c>
      <c r="H932">
        <v>44.500036999999999</v>
      </c>
      <c r="I932" s="13">
        <v>-67.099999999999994</v>
      </c>
      <c r="J932" s="13">
        <v>1995</v>
      </c>
      <c r="K932" s="13">
        <v>2020</v>
      </c>
      <c r="L932" s="13">
        <f t="shared" si="42"/>
        <v>26</v>
      </c>
      <c r="M932" t="s">
        <v>369</v>
      </c>
      <c r="N932" t="s">
        <v>380</v>
      </c>
      <c r="O932" t="s">
        <v>380</v>
      </c>
      <c r="P932" t="s">
        <v>138</v>
      </c>
      <c r="Q932" t="s">
        <v>454</v>
      </c>
      <c r="R932" t="s">
        <v>1539</v>
      </c>
      <c r="V932">
        <v>-2.5</v>
      </c>
      <c r="W932" t="s">
        <v>24</v>
      </c>
      <c r="X932" t="s">
        <v>3</v>
      </c>
      <c r="Z932" s="4" t="str">
        <f t="shared" si="41"/>
        <v>Y</v>
      </c>
      <c r="AA932" t="s">
        <v>1121</v>
      </c>
      <c r="AB932" t="s">
        <v>1553</v>
      </c>
      <c r="AC932" s="15" t="s">
        <v>1551</v>
      </c>
    </row>
    <row r="933" spans="1:92" x14ac:dyDescent="0.2">
      <c r="B933" t="s">
        <v>1330</v>
      </c>
      <c r="C933" t="s">
        <v>1548</v>
      </c>
      <c r="D933" t="s">
        <v>1547</v>
      </c>
      <c r="E933">
        <v>2021</v>
      </c>
      <c r="F933" t="s">
        <v>1549</v>
      </c>
      <c r="G933" t="s">
        <v>1358</v>
      </c>
      <c r="H933">
        <v>44.500036999999999</v>
      </c>
      <c r="I933" s="13">
        <v>-67.099999999999994</v>
      </c>
      <c r="J933" s="13">
        <v>1995</v>
      </c>
      <c r="K933" s="13">
        <v>2020</v>
      </c>
      <c r="L933" s="13">
        <f t="shared" si="42"/>
        <v>26</v>
      </c>
      <c r="M933" t="s">
        <v>369</v>
      </c>
      <c r="N933" t="s">
        <v>380</v>
      </c>
      <c r="O933" t="s">
        <v>380</v>
      </c>
      <c r="P933" t="s">
        <v>1400</v>
      </c>
      <c r="Q933" t="s">
        <v>455</v>
      </c>
      <c r="R933" t="s">
        <v>1550</v>
      </c>
      <c r="V933">
        <v>1.04</v>
      </c>
      <c r="W933" t="s">
        <v>3</v>
      </c>
      <c r="X933" t="s">
        <v>3</v>
      </c>
      <c r="Z933" s="4" t="str">
        <f t="shared" si="41"/>
        <v>Y</v>
      </c>
      <c r="AA933" t="s">
        <v>1121</v>
      </c>
      <c r="AB933" t="s">
        <v>1552</v>
      </c>
      <c r="AC933" s="15" t="s">
        <v>1551</v>
      </c>
    </row>
    <row r="934" spans="1:92" x14ac:dyDescent="0.2">
      <c r="B934" t="s">
        <v>1330</v>
      </c>
      <c r="C934" t="s">
        <v>1554</v>
      </c>
      <c r="F934" t="s">
        <v>1662</v>
      </c>
      <c r="G934" t="s">
        <v>513</v>
      </c>
      <c r="H934" s="13">
        <v>54.83</v>
      </c>
      <c r="I934" s="13">
        <v>109.13</v>
      </c>
      <c r="J934" s="42">
        <v>1938</v>
      </c>
      <c r="K934" s="42">
        <v>2000</v>
      </c>
      <c r="L934" s="13">
        <f t="shared" si="42"/>
        <v>63</v>
      </c>
      <c r="M934" t="s">
        <v>369</v>
      </c>
      <c r="N934" t="s">
        <v>380</v>
      </c>
      <c r="O934" t="s">
        <v>380</v>
      </c>
      <c r="Q934" t="s">
        <v>1612</v>
      </c>
      <c r="R934" t="s">
        <v>1658</v>
      </c>
      <c r="V934" s="43">
        <v>-0.17</v>
      </c>
      <c r="W934" t="str">
        <f t="shared" ref="W934:W965" si="44">IF(V934&lt;0,"Y","N")</f>
        <v>Y</v>
      </c>
      <c r="X934" t="str">
        <f t="shared" ref="X934:X965" si="45">IF(L934&gt;=19,"Y","N")</f>
        <v>Y</v>
      </c>
      <c r="Z934" s="4" t="str">
        <f t="shared" si="41"/>
        <v>Y</v>
      </c>
      <c r="AC934" s="15" t="s">
        <v>1661</v>
      </c>
    </row>
    <row r="935" spans="1:92" x14ac:dyDescent="0.2">
      <c r="B935" t="s">
        <v>1330</v>
      </c>
      <c r="C935" t="s">
        <v>1554</v>
      </c>
      <c r="F935" t="s">
        <v>1662</v>
      </c>
      <c r="G935" t="s">
        <v>513</v>
      </c>
      <c r="H935" s="13">
        <v>54.83</v>
      </c>
      <c r="I935" s="13">
        <v>109.13</v>
      </c>
      <c r="J935" s="42">
        <v>1938</v>
      </c>
      <c r="K935" s="42">
        <v>2002</v>
      </c>
      <c r="L935" s="13">
        <f t="shared" si="42"/>
        <v>65</v>
      </c>
      <c r="M935" t="s">
        <v>369</v>
      </c>
      <c r="N935" t="s">
        <v>380</v>
      </c>
      <c r="O935" t="s">
        <v>380</v>
      </c>
      <c r="Q935" t="s">
        <v>1613</v>
      </c>
      <c r="R935" t="s">
        <v>1658</v>
      </c>
      <c r="V935" s="43">
        <v>0</v>
      </c>
      <c r="W935" t="str">
        <f t="shared" si="44"/>
        <v>N</v>
      </c>
      <c r="X935" t="str">
        <f t="shared" si="45"/>
        <v>Y</v>
      </c>
      <c r="Z935" s="4" t="str">
        <f t="shared" si="41"/>
        <v>Y</v>
      </c>
      <c r="AC935" s="15" t="s">
        <v>1661</v>
      </c>
    </row>
    <row r="936" spans="1:92" x14ac:dyDescent="0.2">
      <c r="B936" t="s">
        <v>1330</v>
      </c>
      <c r="C936" t="s">
        <v>1555</v>
      </c>
      <c r="F936" t="s">
        <v>1663</v>
      </c>
      <c r="G936" t="s">
        <v>513</v>
      </c>
      <c r="H936" s="13">
        <v>67.260000000000005</v>
      </c>
      <c r="I936" s="13">
        <v>11.52</v>
      </c>
      <c r="J936" s="42">
        <v>1978</v>
      </c>
      <c r="K936" s="42">
        <v>2011</v>
      </c>
      <c r="L936" s="13">
        <f t="shared" si="42"/>
        <v>34</v>
      </c>
      <c r="M936" t="s">
        <v>369</v>
      </c>
      <c r="N936" t="s">
        <v>380</v>
      </c>
      <c r="O936" t="s">
        <v>380</v>
      </c>
      <c r="Q936" t="s">
        <v>1614</v>
      </c>
      <c r="R936" t="s">
        <v>1659</v>
      </c>
      <c r="V936" s="43">
        <v>1.3900000000000001</v>
      </c>
      <c r="W936" t="str">
        <f t="shared" si="44"/>
        <v>N</v>
      </c>
      <c r="X936" t="str">
        <f t="shared" si="45"/>
        <v>Y</v>
      </c>
      <c r="Z936" s="4" t="str">
        <f t="shared" si="41"/>
        <v>Y</v>
      </c>
      <c r="AC936" s="15" t="s">
        <v>1661</v>
      </c>
    </row>
    <row r="937" spans="1:92" s="4" customFormat="1" x14ac:dyDescent="0.2">
      <c r="A937"/>
      <c r="B937" t="s">
        <v>1330</v>
      </c>
      <c r="C937" t="s">
        <v>1555</v>
      </c>
      <c r="D937"/>
      <c r="E937"/>
      <c r="F937" t="s">
        <v>1664</v>
      </c>
      <c r="G937" t="s">
        <v>513</v>
      </c>
      <c r="H937" s="13">
        <v>70.37</v>
      </c>
      <c r="I937" s="13">
        <v>31.13</v>
      </c>
      <c r="J937" s="42">
        <v>1980</v>
      </c>
      <c r="K937" s="42">
        <v>2011</v>
      </c>
      <c r="L937" s="13">
        <f t="shared" si="42"/>
        <v>32</v>
      </c>
      <c r="M937" t="s">
        <v>369</v>
      </c>
      <c r="N937" t="s">
        <v>380</v>
      </c>
      <c r="O937" t="s">
        <v>380</v>
      </c>
      <c r="P937"/>
      <c r="Q937" t="s">
        <v>1614</v>
      </c>
      <c r="R937" t="s">
        <v>1659</v>
      </c>
      <c r="S937"/>
      <c r="T937"/>
      <c r="U937"/>
      <c r="V937" s="43">
        <v>-0.55000000000000004</v>
      </c>
      <c r="W937" t="str">
        <f t="shared" si="44"/>
        <v>Y</v>
      </c>
      <c r="X937" t="str">
        <f t="shared" si="45"/>
        <v>Y</v>
      </c>
      <c r="Y937"/>
      <c r="Z937" s="4" t="str">
        <f t="shared" si="41"/>
        <v>Y</v>
      </c>
      <c r="AA937"/>
      <c r="AB937"/>
      <c r="AC937" s="15" t="s">
        <v>1661</v>
      </c>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c r="CE937"/>
      <c r="CF937"/>
      <c r="CG937"/>
      <c r="CH937"/>
      <c r="CI937"/>
      <c r="CJ937"/>
      <c r="CK937"/>
      <c r="CL937"/>
      <c r="CM937"/>
      <c r="CN937"/>
    </row>
    <row r="938" spans="1:92" s="4" customFormat="1" x14ac:dyDescent="0.2">
      <c r="A938"/>
      <c r="B938" t="s">
        <v>1330</v>
      </c>
      <c r="C938" t="s">
        <v>1556</v>
      </c>
      <c r="D938"/>
      <c r="E938"/>
      <c r="F938" t="s">
        <v>1665</v>
      </c>
      <c r="G938" t="s">
        <v>513</v>
      </c>
      <c r="H938" s="13">
        <v>69.7</v>
      </c>
      <c r="I938" s="13">
        <v>18.899999999999999</v>
      </c>
      <c r="J938" s="42">
        <v>1980</v>
      </c>
      <c r="K938" s="42">
        <v>2010</v>
      </c>
      <c r="L938" s="13">
        <f t="shared" si="42"/>
        <v>31</v>
      </c>
      <c r="M938" t="s">
        <v>369</v>
      </c>
      <c r="N938" t="s">
        <v>380</v>
      </c>
      <c r="O938" t="s">
        <v>380</v>
      </c>
      <c r="P938"/>
      <c r="Q938" t="s">
        <v>1615</v>
      </c>
      <c r="R938" t="s">
        <v>1658</v>
      </c>
      <c r="S938"/>
      <c r="T938"/>
      <c r="U938"/>
      <c r="V938" s="43">
        <v>0.89999999999999991</v>
      </c>
      <c r="W938" t="str">
        <f t="shared" si="44"/>
        <v>N</v>
      </c>
      <c r="X938" t="str">
        <f t="shared" si="45"/>
        <v>Y</v>
      </c>
      <c r="Y938"/>
      <c r="Z938" s="4" t="str">
        <f t="shared" si="41"/>
        <v>Y</v>
      </c>
      <c r="AA938"/>
      <c r="AB938"/>
      <c r="AC938" s="15" t="s">
        <v>1661</v>
      </c>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c r="CE938"/>
      <c r="CF938"/>
      <c r="CG938"/>
      <c r="CH938"/>
      <c r="CI938"/>
      <c r="CJ938"/>
      <c r="CK938"/>
      <c r="CL938"/>
      <c r="CM938"/>
      <c r="CN938"/>
    </row>
    <row r="939" spans="1:92" x14ac:dyDescent="0.2">
      <c r="B939" t="s">
        <v>1330</v>
      </c>
      <c r="C939" t="s">
        <v>1557</v>
      </c>
      <c r="F939" t="s">
        <v>1666</v>
      </c>
      <c r="G939" t="s">
        <v>513</v>
      </c>
      <c r="H939" s="13">
        <v>42.37</v>
      </c>
      <c r="I939" s="13">
        <v>-71.900000000000006</v>
      </c>
      <c r="J939" s="42">
        <v>1932</v>
      </c>
      <c r="K939" s="42">
        <v>1993</v>
      </c>
      <c r="L939" s="13">
        <f t="shared" si="42"/>
        <v>62</v>
      </c>
      <c r="M939" t="s">
        <v>369</v>
      </c>
      <c r="N939" t="s">
        <v>380</v>
      </c>
      <c r="O939" t="s">
        <v>380</v>
      </c>
      <c r="Q939" t="s">
        <v>1613</v>
      </c>
      <c r="R939" t="s">
        <v>1658</v>
      </c>
      <c r="V939" s="43">
        <v>0.72</v>
      </c>
      <c r="W939" t="str">
        <f t="shared" si="44"/>
        <v>N</v>
      </c>
      <c r="X939" t="str">
        <f t="shared" si="45"/>
        <v>Y</v>
      </c>
      <c r="Z939" s="4" t="str">
        <f t="shared" si="41"/>
        <v>Y</v>
      </c>
      <c r="AC939" s="15" t="s">
        <v>1661</v>
      </c>
    </row>
    <row r="940" spans="1:92" x14ac:dyDescent="0.2">
      <c r="B940" t="s">
        <v>1330</v>
      </c>
      <c r="C940" t="s">
        <v>1558</v>
      </c>
      <c r="F940" t="s">
        <v>1667</v>
      </c>
      <c r="G940" t="s">
        <v>513</v>
      </c>
      <c r="H940" s="13">
        <v>42.9</v>
      </c>
      <c r="I940" s="13">
        <v>-78.8</v>
      </c>
      <c r="J940" s="42">
        <v>1967</v>
      </c>
      <c r="K940" s="42">
        <v>2008</v>
      </c>
      <c r="L940" s="13">
        <f t="shared" si="42"/>
        <v>42</v>
      </c>
      <c r="M940" t="s">
        <v>369</v>
      </c>
      <c r="N940" t="s">
        <v>380</v>
      </c>
      <c r="O940" t="s">
        <v>380</v>
      </c>
      <c r="Q940" t="s">
        <v>1616</v>
      </c>
      <c r="R940" t="s">
        <v>1658</v>
      </c>
      <c r="V940" s="43">
        <v>-4.6800000000000006</v>
      </c>
      <c r="W940" t="str">
        <f t="shared" si="44"/>
        <v>Y</v>
      </c>
      <c r="X940" t="str">
        <f t="shared" si="45"/>
        <v>Y</v>
      </c>
      <c r="Z940" s="4" t="str">
        <f t="shared" si="41"/>
        <v>Y</v>
      </c>
      <c r="AC940" s="15" t="s">
        <v>1661</v>
      </c>
    </row>
    <row r="941" spans="1:92" x14ac:dyDescent="0.2">
      <c r="B941" t="s">
        <v>1330</v>
      </c>
      <c r="C941" t="s">
        <v>1558</v>
      </c>
      <c r="F941" t="s">
        <v>1667</v>
      </c>
      <c r="G941" t="s">
        <v>513</v>
      </c>
      <c r="H941" s="13">
        <v>42.9</v>
      </c>
      <c r="I941" s="13">
        <v>-78.8</v>
      </c>
      <c r="J941" s="42">
        <v>1967</v>
      </c>
      <c r="K941" s="42">
        <v>2008</v>
      </c>
      <c r="L941" s="13">
        <f t="shared" si="42"/>
        <v>42</v>
      </c>
      <c r="M941" t="s">
        <v>369</v>
      </c>
      <c r="N941" t="s">
        <v>380</v>
      </c>
      <c r="O941" t="s">
        <v>380</v>
      </c>
      <c r="Q941" t="s">
        <v>1613</v>
      </c>
      <c r="R941" t="s">
        <v>1658</v>
      </c>
      <c r="V941" s="43">
        <v>-0.66</v>
      </c>
      <c r="W941" t="str">
        <f t="shared" si="44"/>
        <v>Y</v>
      </c>
      <c r="X941" t="str">
        <f t="shared" si="45"/>
        <v>Y</v>
      </c>
      <c r="Z941" s="4" t="str">
        <f t="shared" si="41"/>
        <v>Y</v>
      </c>
      <c r="AC941" s="15" t="s">
        <v>1661</v>
      </c>
    </row>
    <row r="942" spans="1:92" x14ac:dyDescent="0.2">
      <c r="B942" t="s">
        <v>1330</v>
      </c>
      <c r="C942" t="s">
        <v>1559</v>
      </c>
      <c r="F942" t="s">
        <v>1668</v>
      </c>
      <c r="G942" t="s">
        <v>513</v>
      </c>
      <c r="H942" s="13">
        <v>53.3</v>
      </c>
      <c r="I942" s="13">
        <v>-6.3</v>
      </c>
      <c r="J942" s="42">
        <v>1980</v>
      </c>
      <c r="K942" s="42">
        <v>2003</v>
      </c>
      <c r="L942" s="13">
        <f t="shared" si="42"/>
        <v>24</v>
      </c>
      <c r="M942" t="s">
        <v>369</v>
      </c>
      <c r="N942" t="s">
        <v>380</v>
      </c>
      <c r="O942" t="s">
        <v>380</v>
      </c>
      <c r="Q942" t="s">
        <v>1617</v>
      </c>
      <c r="R942" t="s">
        <v>1658</v>
      </c>
      <c r="V942" s="43">
        <v>-7.6049999999999995</v>
      </c>
      <c r="W942" t="str">
        <f t="shared" si="44"/>
        <v>Y</v>
      </c>
      <c r="X942" t="str">
        <f t="shared" si="45"/>
        <v>Y</v>
      </c>
      <c r="Z942" s="4" t="str">
        <f t="shared" si="41"/>
        <v>Y</v>
      </c>
      <c r="AC942" s="15" t="s">
        <v>1661</v>
      </c>
    </row>
    <row r="943" spans="1:92" x14ac:dyDescent="0.2">
      <c r="B943" s="4" t="s">
        <v>1330</v>
      </c>
      <c r="C943" s="4" t="s">
        <v>1560</v>
      </c>
      <c r="D943" s="4"/>
      <c r="E943" s="4"/>
      <c r="F943" s="4" t="s">
        <v>1669</v>
      </c>
      <c r="G943" s="4" t="s">
        <v>514</v>
      </c>
      <c r="H943" s="37">
        <v>-31</v>
      </c>
      <c r="I943" s="37">
        <v>115.32</v>
      </c>
      <c r="J943" s="45">
        <v>1994</v>
      </c>
      <c r="K943" s="45">
        <v>2011</v>
      </c>
      <c r="L943" s="37">
        <f t="shared" si="42"/>
        <v>18</v>
      </c>
      <c r="M943" s="4" t="s">
        <v>369</v>
      </c>
      <c r="N943" s="4" t="s">
        <v>380</v>
      </c>
      <c r="O943" s="4" t="s">
        <v>380</v>
      </c>
      <c r="P943" s="4"/>
      <c r="Q943" s="4" t="s">
        <v>1618</v>
      </c>
      <c r="R943" s="4" t="s">
        <v>1659</v>
      </c>
      <c r="V943" s="46">
        <v>-3.55</v>
      </c>
      <c r="W943" s="4" t="str">
        <f t="shared" si="44"/>
        <v>Y</v>
      </c>
      <c r="X943" t="str">
        <f t="shared" si="45"/>
        <v>N</v>
      </c>
      <c r="Z943" s="4" t="str">
        <f t="shared" si="41"/>
        <v>N</v>
      </c>
      <c r="AA943" s="4"/>
      <c r="AB943" s="4"/>
      <c r="AC943" s="39" t="s">
        <v>1661</v>
      </c>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row>
    <row r="944" spans="1:92" x14ac:dyDescent="0.2">
      <c r="B944" t="s">
        <v>1330</v>
      </c>
      <c r="C944" t="s">
        <v>1560</v>
      </c>
      <c r="F944" t="s">
        <v>1670</v>
      </c>
      <c r="G944" t="s">
        <v>514</v>
      </c>
      <c r="H944" s="13">
        <v>-32.299999999999997</v>
      </c>
      <c r="I944" s="13">
        <v>115.69</v>
      </c>
      <c r="J944" s="42">
        <v>1986</v>
      </c>
      <c r="K944" s="42">
        <v>2011</v>
      </c>
      <c r="L944" s="13">
        <f t="shared" si="42"/>
        <v>26</v>
      </c>
      <c r="M944" t="s">
        <v>369</v>
      </c>
      <c r="N944" t="s">
        <v>380</v>
      </c>
      <c r="O944" t="s">
        <v>380</v>
      </c>
      <c r="Q944" t="s">
        <v>1619</v>
      </c>
      <c r="R944" t="s">
        <v>1659</v>
      </c>
      <c r="V944" s="43">
        <v>15.25</v>
      </c>
      <c r="W944" t="str">
        <f t="shared" si="44"/>
        <v>N</v>
      </c>
      <c r="X944" t="str">
        <f t="shared" si="45"/>
        <v>Y</v>
      </c>
      <c r="Z944" s="4" t="str">
        <f t="shared" si="41"/>
        <v>Y</v>
      </c>
      <c r="AC944" s="15" t="s">
        <v>1661</v>
      </c>
    </row>
    <row r="945" spans="1:92" x14ac:dyDescent="0.2">
      <c r="B945" t="s">
        <v>1330</v>
      </c>
      <c r="C945" t="s">
        <v>1561</v>
      </c>
      <c r="F945" t="s">
        <v>1671</v>
      </c>
      <c r="G945" t="s">
        <v>513</v>
      </c>
      <c r="H945" s="13">
        <v>27.8</v>
      </c>
      <c r="I945" s="13">
        <v>-97.1</v>
      </c>
      <c r="J945" s="42">
        <v>1979</v>
      </c>
      <c r="K945" s="42">
        <v>2004</v>
      </c>
      <c r="L945" s="13">
        <f t="shared" si="42"/>
        <v>26</v>
      </c>
      <c r="M945" t="s">
        <v>369</v>
      </c>
      <c r="N945" t="s">
        <v>380</v>
      </c>
      <c r="O945" t="s">
        <v>380</v>
      </c>
      <c r="Q945" t="s">
        <v>1620</v>
      </c>
      <c r="R945" t="s">
        <v>1660</v>
      </c>
      <c r="V945" s="43">
        <v>1.41</v>
      </c>
      <c r="W945" t="str">
        <f t="shared" si="44"/>
        <v>N</v>
      </c>
      <c r="X945" t="str">
        <f t="shared" si="45"/>
        <v>Y</v>
      </c>
      <c r="Z945" s="4" t="str">
        <f t="shared" si="41"/>
        <v>Y</v>
      </c>
      <c r="AC945" s="15" t="s">
        <v>1661</v>
      </c>
    </row>
    <row r="946" spans="1:92" x14ac:dyDescent="0.2">
      <c r="B946" t="s">
        <v>1330</v>
      </c>
      <c r="C946" t="s">
        <v>1561</v>
      </c>
      <c r="F946" t="s">
        <v>1671</v>
      </c>
      <c r="G946" t="s">
        <v>513</v>
      </c>
      <c r="H946" s="13">
        <v>27.8</v>
      </c>
      <c r="I946" s="13">
        <v>-97.1</v>
      </c>
      <c r="J946" s="42">
        <v>1979</v>
      </c>
      <c r="K946" s="42">
        <v>2004</v>
      </c>
      <c r="L946" s="13">
        <f t="shared" si="42"/>
        <v>26</v>
      </c>
      <c r="M946" t="s">
        <v>369</v>
      </c>
      <c r="N946" t="s">
        <v>380</v>
      </c>
      <c r="O946" t="s">
        <v>380</v>
      </c>
      <c r="Q946" t="s">
        <v>1621</v>
      </c>
      <c r="R946" t="s">
        <v>1658</v>
      </c>
      <c r="V946" s="43">
        <v>4.62</v>
      </c>
      <c r="W946" t="str">
        <f t="shared" si="44"/>
        <v>N</v>
      </c>
      <c r="X946" t="str">
        <f t="shared" si="45"/>
        <v>Y</v>
      </c>
      <c r="Z946" s="4" t="str">
        <f t="shared" si="41"/>
        <v>Y</v>
      </c>
      <c r="AC946" s="15" t="s">
        <v>1661</v>
      </c>
    </row>
    <row r="947" spans="1:92" x14ac:dyDescent="0.2">
      <c r="B947" t="s">
        <v>1330</v>
      </c>
      <c r="C947" t="s">
        <v>1561</v>
      </c>
      <c r="F947" t="s">
        <v>1671</v>
      </c>
      <c r="G947" t="s">
        <v>513</v>
      </c>
      <c r="H947" s="13">
        <v>27.8</v>
      </c>
      <c r="I947" s="13">
        <v>-97.1</v>
      </c>
      <c r="J947" s="42">
        <v>1979</v>
      </c>
      <c r="K947" s="42">
        <v>2004</v>
      </c>
      <c r="L947" s="13">
        <f t="shared" si="42"/>
        <v>26</v>
      </c>
      <c r="M947" t="s">
        <v>369</v>
      </c>
      <c r="N947" t="s">
        <v>380</v>
      </c>
      <c r="O947" t="s">
        <v>380</v>
      </c>
      <c r="Q947" t="s">
        <v>1621</v>
      </c>
      <c r="R947" t="s">
        <v>1660</v>
      </c>
      <c r="V947" s="43">
        <v>-3.93</v>
      </c>
      <c r="W947" t="str">
        <f t="shared" si="44"/>
        <v>Y</v>
      </c>
      <c r="X947" t="str">
        <f t="shared" si="45"/>
        <v>Y</v>
      </c>
      <c r="Z947" s="4" t="str">
        <f t="shared" si="41"/>
        <v>Y</v>
      </c>
      <c r="AC947" s="15" t="s">
        <v>1661</v>
      </c>
    </row>
    <row r="948" spans="1:92" x14ac:dyDescent="0.2">
      <c r="B948" t="s">
        <v>1330</v>
      </c>
      <c r="C948" t="s">
        <v>1561</v>
      </c>
      <c r="F948" t="s">
        <v>1671</v>
      </c>
      <c r="G948" t="s">
        <v>513</v>
      </c>
      <c r="H948" s="13">
        <v>27.8</v>
      </c>
      <c r="I948" s="13">
        <v>-97.1</v>
      </c>
      <c r="J948" s="42">
        <v>1979</v>
      </c>
      <c r="K948" s="42">
        <v>2004</v>
      </c>
      <c r="L948" s="13">
        <f t="shared" si="42"/>
        <v>26</v>
      </c>
      <c r="M948" t="s">
        <v>369</v>
      </c>
      <c r="N948" t="s">
        <v>380</v>
      </c>
      <c r="O948" t="s">
        <v>380</v>
      </c>
      <c r="Q948" t="s">
        <v>1617</v>
      </c>
      <c r="R948" t="s">
        <v>1658</v>
      </c>
      <c r="V948" s="43">
        <v>-5.42</v>
      </c>
      <c r="W948" t="str">
        <f t="shared" si="44"/>
        <v>Y</v>
      </c>
      <c r="X948" t="str">
        <f t="shared" si="45"/>
        <v>Y</v>
      </c>
      <c r="Z948" s="4" t="str">
        <f t="shared" si="41"/>
        <v>Y</v>
      </c>
      <c r="AC948" s="15" t="s">
        <v>1661</v>
      </c>
    </row>
    <row r="949" spans="1:92" x14ac:dyDescent="0.2">
      <c r="B949" t="s">
        <v>1330</v>
      </c>
      <c r="C949" t="s">
        <v>1561</v>
      </c>
      <c r="F949" t="s">
        <v>1671</v>
      </c>
      <c r="G949" t="s">
        <v>513</v>
      </c>
      <c r="H949" s="13">
        <v>27.8</v>
      </c>
      <c r="I949" s="13">
        <v>-97.1</v>
      </c>
      <c r="J949" s="42">
        <v>1979</v>
      </c>
      <c r="K949" s="42">
        <v>2004</v>
      </c>
      <c r="L949" s="13">
        <f t="shared" si="42"/>
        <v>26</v>
      </c>
      <c r="M949" t="s">
        <v>369</v>
      </c>
      <c r="N949" t="s">
        <v>380</v>
      </c>
      <c r="O949" t="s">
        <v>380</v>
      </c>
      <c r="Q949" t="s">
        <v>1617</v>
      </c>
      <c r="R949" t="s">
        <v>1660</v>
      </c>
      <c r="V949" s="43">
        <v>-4.3600000000000003</v>
      </c>
      <c r="W949" t="str">
        <f t="shared" si="44"/>
        <v>Y</v>
      </c>
      <c r="X949" t="str">
        <f t="shared" si="45"/>
        <v>Y</v>
      </c>
      <c r="Z949" s="4" t="str">
        <f t="shared" si="41"/>
        <v>Y</v>
      </c>
      <c r="AC949" s="15" t="s">
        <v>1661</v>
      </c>
    </row>
    <row r="950" spans="1:92" x14ac:dyDescent="0.2">
      <c r="B950" t="s">
        <v>1330</v>
      </c>
      <c r="C950" t="s">
        <v>1562</v>
      </c>
      <c r="F950" t="s">
        <v>1672</v>
      </c>
      <c r="G950" t="s">
        <v>513</v>
      </c>
      <c r="H950" s="13">
        <v>62.59</v>
      </c>
      <c r="I950" s="13">
        <v>-82.99</v>
      </c>
      <c r="J950" s="42">
        <v>1986</v>
      </c>
      <c r="K950" s="42">
        <v>2010</v>
      </c>
      <c r="L950" s="13">
        <f t="shared" si="42"/>
        <v>25</v>
      </c>
      <c r="M950" t="s">
        <v>369</v>
      </c>
      <c r="N950" t="s">
        <v>380</v>
      </c>
      <c r="O950" t="s">
        <v>380</v>
      </c>
      <c r="Q950" t="s">
        <v>1622</v>
      </c>
      <c r="R950" t="s">
        <v>1659</v>
      </c>
      <c r="V950" s="43">
        <v>-1.6500000000000001</v>
      </c>
      <c r="W950" t="str">
        <f t="shared" si="44"/>
        <v>Y</v>
      </c>
      <c r="X950" t="str">
        <f t="shared" si="45"/>
        <v>Y</v>
      </c>
      <c r="Z950" s="4" t="str">
        <f t="shared" si="41"/>
        <v>Y</v>
      </c>
      <c r="AC950" s="15" t="s">
        <v>1661</v>
      </c>
    </row>
    <row r="951" spans="1:92" x14ac:dyDescent="0.2">
      <c r="B951" t="s">
        <v>1330</v>
      </c>
      <c r="C951" t="s">
        <v>1563</v>
      </c>
      <c r="F951" t="s">
        <v>1673</v>
      </c>
      <c r="G951" t="s">
        <v>513</v>
      </c>
      <c r="H951" s="13">
        <v>55.87</v>
      </c>
      <c r="I951" s="13">
        <v>10.17</v>
      </c>
      <c r="J951" s="42">
        <v>1984</v>
      </c>
      <c r="K951" s="42">
        <v>2004</v>
      </c>
      <c r="L951" s="13">
        <f t="shared" si="42"/>
        <v>21</v>
      </c>
      <c r="M951" t="s">
        <v>369</v>
      </c>
      <c r="N951" t="s">
        <v>380</v>
      </c>
      <c r="O951" t="s">
        <v>380</v>
      </c>
      <c r="Q951" t="s">
        <v>1623</v>
      </c>
      <c r="R951" t="s">
        <v>1658</v>
      </c>
      <c r="V951" s="43">
        <v>1.2</v>
      </c>
      <c r="W951" t="str">
        <f t="shared" si="44"/>
        <v>N</v>
      </c>
      <c r="X951" t="str">
        <f t="shared" si="45"/>
        <v>Y</v>
      </c>
      <c r="Z951" s="4" t="str">
        <f t="shared" si="41"/>
        <v>Y</v>
      </c>
      <c r="AC951" s="15" t="s">
        <v>1661</v>
      </c>
    </row>
    <row r="952" spans="1:92" x14ac:dyDescent="0.2">
      <c r="B952" t="s">
        <v>1330</v>
      </c>
      <c r="C952" t="s">
        <v>1563</v>
      </c>
      <c r="F952" t="s">
        <v>1673</v>
      </c>
      <c r="G952" t="s">
        <v>513</v>
      </c>
      <c r="H952" s="13">
        <v>55.87</v>
      </c>
      <c r="I952" s="13">
        <v>10.17</v>
      </c>
      <c r="J952" s="42">
        <v>1984</v>
      </c>
      <c r="K952" s="42">
        <v>2004</v>
      </c>
      <c r="L952" s="13">
        <f t="shared" si="42"/>
        <v>21</v>
      </c>
      <c r="M952" t="s">
        <v>369</v>
      </c>
      <c r="N952" t="s">
        <v>380</v>
      </c>
      <c r="O952" t="s">
        <v>380</v>
      </c>
      <c r="Q952" t="s">
        <v>1623</v>
      </c>
      <c r="R952" t="s">
        <v>1659</v>
      </c>
      <c r="V952" s="43">
        <v>3.3000000000000003</v>
      </c>
      <c r="W952" t="str">
        <f t="shared" si="44"/>
        <v>N</v>
      </c>
      <c r="X952" t="str">
        <f t="shared" si="45"/>
        <v>Y</v>
      </c>
      <c r="Z952" s="4" t="str">
        <f t="shared" si="41"/>
        <v>Y</v>
      </c>
      <c r="AC952" s="15" t="s">
        <v>1661</v>
      </c>
    </row>
    <row r="953" spans="1:92" x14ac:dyDescent="0.2">
      <c r="B953" t="s">
        <v>1330</v>
      </c>
      <c r="C953" t="s">
        <v>1564</v>
      </c>
      <c r="F953" t="s">
        <v>1674</v>
      </c>
      <c r="G953" t="s">
        <v>513</v>
      </c>
      <c r="H953" s="13">
        <v>64.12</v>
      </c>
      <c r="I953" s="13">
        <v>-20.5</v>
      </c>
      <c r="J953" s="42">
        <v>1988</v>
      </c>
      <c r="K953" s="42">
        <v>2009</v>
      </c>
      <c r="L953" s="13">
        <f t="shared" si="42"/>
        <v>22</v>
      </c>
      <c r="M953" t="s">
        <v>369</v>
      </c>
      <c r="N953" t="s">
        <v>380</v>
      </c>
      <c r="O953" t="s">
        <v>380</v>
      </c>
      <c r="Q953" t="s">
        <v>1624</v>
      </c>
      <c r="R953" t="s">
        <v>1658</v>
      </c>
      <c r="V953" s="43">
        <v>-0.82000000000000006</v>
      </c>
      <c r="W953" t="str">
        <f t="shared" si="44"/>
        <v>Y</v>
      </c>
      <c r="X953" t="str">
        <f t="shared" si="45"/>
        <v>Y</v>
      </c>
      <c r="Z953" s="4" t="str">
        <f t="shared" si="41"/>
        <v>Y</v>
      </c>
      <c r="AC953" s="15" t="s">
        <v>1661</v>
      </c>
    </row>
    <row r="954" spans="1:92" x14ac:dyDescent="0.2">
      <c r="B954" t="s">
        <v>1330</v>
      </c>
      <c r="C954" t="s">
        <v>1564</v>
      </c>
      <c r="F954" t="s">
        <v>1674</v>
      </c>
      <c r="G954" t="s">
        <v>513</v>
      </c>
      <c r="H954" s="13">
        <v>64.12</v>
      </c>
      <c r="I954" s="13">
        <v>-20.5</v>
      </c>
      <c r="J954" s="42">
        <v>1988</v>
      </c>
      <c r="K954" s="42">
        <v>2009</v>
      </c>
      <c r="L954" s="13">
        <f t="shared" si="42"/>
        <v>22</v>
      </c>
      <c r="M954" t="s">
        <v>369</v>
      </c>
      <c r="N954" t="s">
        <v>380</v>
      </c>
      <c r="O954" t="s">
        <v>380</v>
      </c>
      <c r="Q954" t="s">
        <v>1615</v>
      </c>
      <c r="R954" t="s">
        <v>1658</v>
      </c>
      <c r="V954" s="43">
        <v>-3.99</v>
      </c>
      <c r="W954" t="str">
        <f t="shared" si="44"/>
        <v>Y</v>
      </c>
      <c r="X954" t="str">
        <f t="shared" si="45"/>
        <v>Y</v>
      </c>
      <c r="Z954" s="4" t="str">
        <f t="shared" si="41"/>
        <v>Y</v>
      </c>
      <c r="AC954" s="15" t="s">
        <v>1661</v>
      </c>
    </row>
    <row r="955" spans="1:92" s="4" customFormat="1" x14ac:dyDescent="0.2">
      <c r="A955"/>
      <c r="B955" t="s">
        <v>1330</v>
      </c>
      <c r="C955" t="s">
        <v>1564</v>
      </c>
      <c r="D955"/>
      <c r="E955"/>
      <c r="F955" t="s">
        <v>1674</v>
      </c>
      <c r="G955" t="s">
        <v>513</v>
      </c>
      <c r="H955" s="13">
        <v>64.12</v>
      </c>
      <c r="I955" s="13">
        <v>-20.5</v>
      </c>
      <c r="J955" s="42">
        <v>1988</v>
      </c>
      <c r="K955" s="42">
        <v>2009</v>
      </c>
      <c r="L955" s="13">
        <f t="shared" si="42"/>
        <v>22</v>
      </c>
      <c r="M955" t="s">
        <v>369</v>
      </c>
      <c r="N955" t="s">
        <v>380</v>
      </c>
      <c r="O955" t="s">
        <v>380</v>
      </c>
      <c r="P955"/>
      <c r="Q955" t="s">
        <v>1625</v>
      </c>
      <c r="R955" t="s">
        <v>1658</v>
      </c>
      <c r="S955"/>
      <c r="T955"/>
      <c r="U955"/>
      <c r="V955" s="43">
        <v>3.75</v>
      </c>
      <c r="W955" t="str">
        <f t="shared" si="44"/>
        <v>N</v>
      </c>
      <c r="X955" t="str">
        <f t="shared" si="45"/>
        <v>Y</v>
      </c>
      <c r="Y955"/>
      <c r="Z955" s="4" t="str">
        <f t="shared" si="41"/>
        <v>Y</v>
      </c>
      <c r="AA955"/>
      <c r="AB955"/>
      <c r="AC955" s="15" t="s">
        <v>1661</v>
      </c>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c r="CE955"/>
      <c r="CF955"/>
      <c r="CG955"/>
      <c r="CH955"/>
      <c r="CI955"/>
      <c r="CJ955"/>
      <c r="CK955"/>
      <c r="CL955"/>
      <c r="CM955"/>
      <c r="CN955"/>
    </row>
    <row r="956" spans="1:92" x14ac:dyDescent="0.2">
      <c r="B956" s="4" t="s">
        <v>1330</v>
      </c>
      <c r="C956" s="4" t="s">
        <v>1565</v>
      </c>
      <c r="D956" s="4"/>
      <c r="E956" s="4"/>
      <c r="F956" s="4" t="s">
        <v>1675</v>
      </c>
      <c r="G956" s="4" t="s">
        <v>513</v>
      </c>
      <c r="H956" s="37">
        <v>50.87</v>
      </c>
      <c r="I956" s="37">
        <v>-129.08000000000001</v>
      </c>
      <c r="J956" s="45">
        <v>1996</v>
      </c>
      <c r="K956" s="45">
        <v>2006</v>
      </c>
      <c r="L956" s="37">
        <f t="shared" si="42"/>
        <v>11</v>
      </c>
      <c r="M956" s="4" t="s">
        <v>369</v>
      </c>
      <c r="N956" s="4" t="s">
        <v>380</v>
      </c>
      <c r="O956" s="4" t="s">
        <v>380</v>
      </c>
      <c r="P956" s="4"/>
      <c r="Q956" s="4" t="s">
        <v>1626</v>
      </c>
      <c r="R956" s="4" t="s">
        <v>1659</v>
      </c>
      <c r="V956" s="46">
        <v>14.55</v>
      </c>
      <c r="W956" s="4" t="str">
        <f t="shared" si="44"/>
        <v>N</v>
      </c>
      <c r="X956" t="str">
        <f t="shared" si="45"/>
        <v>N</v>
      </c>
      <c r="Z956" s="4" t="str">
        <f t="shared" si="41"/>
        <v>N</v>
      </c>
      <c r="AA956" s="4"/>
      <c r="AB956" s="4"/>
      <c r="AC956" s="39" t="s">
        <v>1661</v>
      </c>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row>
    <row r="957" spans="1:92" x14ac:dyDescent="0.2">
      <c r="B957" t="s">
        <v>1330</v>
      </c>
      <c r="C957" t="s">
        <v>1566</v>
      </c>
      <c r="F957" t="s">
        <v>1676</v>
      </c>
      <c r="G957" t="s">
        <v>514</v>
      </c>
      <c r="H957" s="13">
        <v>-54</v>
      </c>
      <c r="I957" s="13">
        <v>38.03</v>
      </c>
      <c r="J957" s="42">
        <v>1980</v>
      </c>
      <c r="K957" s="42">
        <v>2007</v>
      </c>
      <c r="L957" s="13">
        <f t="shared" si="42"/>
        <v>28</v>
      </c>
      <c r="M957" t="s">
        <v>369</v>
      </c>
      <c r="N957" t="s">
        <v>380</v>
      </c>
      <c r="O957" t="s">
        <v>380</v>
      </c>
      <c r="Q957" t="s">
        <v>1627</v>
      </c>
      <c r="R957" t="s">
        <v>1659</v>
      </c>
      <c r="V957" s="43">
        <v>-0.8</v>
      </c>
      <c r="W957" t="str">
        <f t="shared" si="44"/>
        <v>Y</v>
      </c>
      <c r="X957" t="str">
        <f t="shared" si="45"/>
        <v>Y</v>
      </c>
      <c r="Z957" s="4" t="str">
        <f t="shared" si="41"/>
        <v>Y</v>
      </c>
      <c r="AC957" s="15" t="s">
        <v>1661</v>
      </c>
    </row>
    <row r="958" spans="1:92" x14ac:dyDescent="0.2">
      <c r="B958" t="s">
        <v>1330</v>
      </c>
      <c r="C958" t="s">
        <v>1567</v>
      </c>
      <c r="F958" t="s">
        <v>1677</v>
      </c>
      <c r="G958" t="s">
        <v>513</v>
      </c>
      <c r="H958" s="13">
        <v>56.26</v>
      </c>
      <c r="I958" s="13">
        <v>9.5</v>
      </c>
      <c r="J958" s="42">
        <v>1959</v>
      </c>
      <c r="K958" s="42">
        <v>2003</v>
      </c>
      <c r="L958" s="13">
        <f t="shared" si="42"/>
        <v>45</v>
      </c>
      <c r="M958" t="s">
        <v>369</v>
      </c>
      <c r="N958" t="s">
        <v>380</v>
      </c>
      <c r="O958" t="s">
        <v>380</v>
      </c>
      <c r="Q958" t="s">
        <v>1625</v>
      </c>
      <c r="R958" t="s">
        <v>1658</v>
      </c>
      <c r="V958" s="43">
        <v>-3.5599999999999996</v>
      </c>
      <c r="W958" t="str">
        <f t="shared" si="44"/>
        <v>Y</v>
      </c>
      <c r="X958" t="str">
        <f t="shared" si="45"/>
        <v>Y</v>
      </c>
      <c r="Z958" s="4" t="str">
        <f t="shared" si="41"/>
        <v>Y</v>
      </c>
      <c r="AC958" s="15" t="s">
        <v>1661</v>
      </c>
    </row>
    <row r="959" spans="1:92" x14ac:dyDescent="0.2">
      <c r="B959" t="s">
        <v>1330</v>
      </c>
      <c r="C959" t="s">
        <v>1567</v>
      </c>
      <c r="F959" t="s">
        <v>1677</v>
      </c>
      <c r="G959" t="s">
        <v>513</v>
      </c>
      <c r="H959" s="13">
        <v>56.26</v>
      </c>
      <c r="I959" s="13">
        <v>9.5</v>
      </c>
      <c r="J959" s="42">
        <v>1950</v>
      </c>
      <c r="K959" s="42">
        <v>1998</v>
      </c>
      <c r="L959" s="13">
        <f t="shared" si="42"/>
        <v>49</v>
      </c>
      <c r="M959" t="s">
        <v>369</v>
      </c>
      <c r="N959" t="s">
        <v>380</v>
      </c>
      <c r="O959" t="s">
        <v>380</v>
      </c>
      <c r="Q959" t="s">
        <v>1625</v>
      </c>
      <c r="R959" t="s">
        <v>1659</v>
      </c>
      <c r="V959" s="43">
        <v>-2.4</v>
      </c>
      <c r="W959" t="str">
        <f t="shared" si="44"/>
        <v>Y</v>
      </c>
      <c r="X959" t="str">
        <f t="shared" si="45"/>
        <v>Y</v>
      </c>
      <c r="Z959" s="4" t="str">
        <f t="shared" si="41"/>
        <v>Y</v>
      </c>
      <c r="AC959" s="15" t="s">
        <v>1661</v>
      </c>
    </row>
    <row r="960" spans="1:92" x14ac:dyDescent="0.2">
      <c r="B960" t="s">
        <v>1330</v>
      </c>
      <c r="C960" t="s">
        <v>1568</v>
      </c>
      <c r="F960" t="s">
        <v>1677</v>
      </c>
      <c r="G960" t="s">
        <v>513</v>
      </c>
      <c r="H960" s="13">
        <v>56.26</v>
      </c>
      <c r="I960" s="13">
        <v>9.5</v>
      </c>
      <c r="J960" s="42">
        <v>1970</v>
      </c>
      <c r="K960" s="42">
        <v>2006</v>
      </c>
      <c r="L960" s="13">
        <f t="shared" si="42"/>
        <v>37</v>
      </c>
      <c r="M960" t="s">
        <v>369</v>
      </c>
      <c r="N960" t="s">
        <v>380</v>
      </c>
      <c r="O960" t="s">
        <v>380</v>
      </c>
      <c r="Q960" t="s">
        <v>1613</v>
      </c>
      <c r="R960" t="s">
        <v>1659</v>
      </c>
      <c r="V960" s="43">
        <v>-2.16</v>
      </c>
      <c r="W960" t="str">
        <f t="shared" si="44"/>
        <v>Y</v>
      </c>
      <c r="X960" t="str">
        <f t="shared" si="45"/>
        <v>Y</v>
      </c>
      <c r="Z960" s="4" t="str">
        <f t="shared" si="41"/>
        <v>Y</v>
      </c>
      <c r="AC960" s="15" t="s">
        <v>1661</v>
      </c>
    </row>
    <row r="961" spans="1:92" x14ac:dyDescent="0.2">
      <c r="B961" t="s">
        <v>1330</v>
      </c>
      <c r="C961" t="s">
        <v>1568</v>
      </c>
      <c r="F961" t="s">
        <v>1677</v>
      </c>
      <c r="G961" t="s">
        <v>513</v>
      </c>
      <c r="H961" s="13">
        <v>56.26</v>
      </c>
      <c r="I961" s="13">
        <v>9.5</v>
      </c>
      <c r="J961" s="42">
        <v>1970</v>
      </c>
      <c r="K961" s="42">
        <v>2006</v>
      </c>
      <c r="L961" s="13">
        <f t="shared" si="42"/>
        <v>37</v>
      </c>
      <c r="M961" t="s">
        <v>369</v>
      </c>
      <c r="N961" t="s">
        <v>380</v>
      </c>
      <c r="O961" t="s">
        <v>380</v>
      </c>
      <c r="Q961" t="s">
        <v>1625</v>
      </c>
      <c r="R961" t="s">
        <v>1659</v>
      </c>
      <c r="V961" s="43">
        <v>-3.16</v>
      </c>
      <c r="W961" t="str">
        <f t="shared" si="44"/>
        <v>Y</v>
      </c>
      <c r="X961" t="str">
        <f t="shared" si="45"/>
        <v>Y</v>
      </c>
      <c r="Z961" s="4" t="str">
        <f t="shared" si="41"/>
        <v>Y</v>
      </c>
      <c r="AC961" s="15" t="s">
        <v>1661</v>
      </c>
    </row>
    <row r="962" spans="1:92" x14ac:dyDescent="0.2">
      <c r="B962" t="s">
        <v>1330</v>
      </c>
      <c r="C962" t="s">
        <v>1568</v>
      </c>
      <c r="F962" t="s">
        <v>1677</v>
      </c>
      <c r="G962" t="s">
        <v>513</v>
      </c>
      <c r="H962" s="13">
        <v>56.26</v>
      </c>
      <c r="I962" s="13">
        <v>9.5</v>
      </c>
      <c r="J962" s="42">
        <v>1970</v>
      </c>
      <c r="K962" s="42">
        <v>2006</v>
      </c>
      <c r="L962" s="13">
        <f t="shared" si="42"/>
        <v>37</v>
      </c>
      <c r="M962" t="s">
        <v>369</v>
      </c>
      <c r="N962" t="s">
        <v>380</v>
      </c>
      <c r="O962" t="s">
        <v>380</v>
      </c>
      <c r="Q962" t="s">
        <v>1628</v>
      </c>
      <c r="R962" t="s">
        <v>1659</v>
      </c>
      <c r="V962" s="43">
        <v>-2.59</v>
      </c>
      <c r="W962" t="str">
        <f t="shared" si="44"/>
        <v>Y</v>
      </c>
      <c r="X962" t="str">
        <f t="shared" si="45"/>
        <v>Y</v>
      </c>
      <c r="Z962" s="4" t="str">
        <f t="shared" ref="Z962:Z1025" si="46">IF(L962&gt;=19,"Y","N")</f>
        <v>Y</v>
      </c>
      <c r="AC962" s="15" t="s">
        <v>1661</v>
      </c>
    </row>
    <row r="963" spans="1:92" x14ac:dyDescent="0.2">
      <c r="B963" t="s">
        <v>1330</v>
      </c>
      <c r="C963" t="s">
        <v>1568</v>
      </c>
      <c r="F963" t="s">
        <v>1677</v>
      </c>
      <c r="G963" t="s">
        <v>513</v>
      </c>
      <c r="H963" s="13">
        <v>56.26</v>
      </c>
      <c r="I963" s="13">
        <v>9.5</v>
      </c>
      <c r="J963" s="42">
        <v>1970</v>
      </c>
      <c r="K963" s="42">
        <v>2006</v>
      </c>
      <c r="L963" s="13">
        <f t="shared" si="42"/>
        <v>37</v>
      </c>
      <c r="M963" t="s">
        <v>369</v>
      </c>
      <c r="N963" t="s">
        <v>380</v>
      </c>
      <c r="O963" t="s">
        <v>380</v>
      </c>
      <c r="Q963" t="s">
        <v>1617</v>
      </c>
      <c r="R963" t="s">
        <v>1659</v>
      </c>
      <c r="V963" s="43">
        <v>-5.8699999999999992</v>
      </c>
      <c r="W963" t="str">
        <f t="shared" si="44"/>
        <v>Y</v>
      </c>
      <c r="X963" t="str">
        <f t="shared" si="45"/>
        <v>Y</v>
      </c>
      <c r="Z963" s="4" t="str">
        <f t="shared" si="46"/>
        <v>Y</v>
      </c>
      <c r="AC963" s="15" t="s">
        <v>1661</v>
      </c>
    </row>
    <row r="964" spans="1:92" x14ac:dyDescent="0.2">
      <c r="B964" t="s">
        <v>1330</v>
      </c>
      <c r="C964" t="s">
        <v>1569</v>
      </c>
      <c r="F964" t="s">
        <v>1678</v>
      </c>
      <c r="G964" t="s">
        <v>513</v>
      </c>
      <c r="H964" s="13">
        <v>50.18</v>
      </c>
      <c r="I964" s="13">
        <v>-94.4</v>
      </c>
      <c r="J964" s="42">
        <v>1939</v>
      </c>
      <c r="K964" s="42">
        <v>2001</v>
      </c>
      <c r="L964" s="13">
        <f t="shared" si="42"/>
        <v>63</v>
      </c>
      <c r="M964" t="s">
        <v>369</v>
      </c>
      <c r="N964" t="s">
        <v>380</v>
      </c>
      <c r="O964" t="s">
        <v>380</v>
      </c>
      <c r="Q964" t="s">
        <v>1620</v>
      </c>
      <c r="R964" t="s">
        <v>1658</v>
      </c>
      <c r="V964" s="43">
        <v>0.6</v>
      </c>
      <c r="W964" t="str">
        <f t="shared" si="44"/>
        <v>N</v>
      </c>
      <c r="X964" t="str">
        <f t="shared" si="45"/>
        <v>Y</v>
      </c>
      <c r="Z964" s="4" t="str">
        <f t="shared" si="46"/>
        <v>Y</v>
      </c>
      <c r="AC964" s="15" t="s">
        <v>1661</v>
      </c>
    </row>
    <row r="965" spans="1:92" x14ac:dyDescent="0.2">
      <c r="B965" t="s">
        <v>1330</v>
      </c>
      <c r="C965" t="s">
        <v>1569</v>
      </c>
      <c r="F965" t="s">
        <v>1678</v>
      </c>
      <c r="G965" t="s">
        <v>513</v>
      </c>
      <c r="H965" s="13">
        <v>50.18</v>
      </c>
      <c r="I965" s="13">
        <v>-94.4</v>
      </c>
      <c r="J965" s="42">
        <v>1939</v>
      </c>
      <c r="K965" s="42">
        <v>2001</v>
      </c>
      <c r="L965" s="13">
        <f t="shared" si="42"/>
        <v>63</v>
      </c>
      <c r="M965" t="s">
        <v>369</v>
      </c>
      <c r="N965" t="s">
        <v>380</v>
      </c>
      <c r="O965" t="s">
        <v>380</v>
      </c>
      <c r="Q965" t="s">
        <v>1629</v>
      </c>
      <c r="R965" t="s">
        <v>1658</v>
      </c>
      <c r="V965" s="43">
        <v>0.2</v>
      </c>
      <c r="W965" t="str">
        <f t="shared" si="44"/>
        <v>N</v>
      </c>
      <c r="X965" t="str">
        <f t="shared" si="45"/>
        <v>Y</v>
      </c>
      <c r="Z965" s="4" t="str">
        <f t="shared" si="46"/>
        <v>Y</v>
      </c>
      <c r="AC965" s="15" t="s">
        <v>1661</v>
      </c>
    </row>
    <row r="966" spans="1:92" x14ac:dyDescent="0.2">
      <c r="B966" t="s">
        <v>1330</v>
      </c>
      <c r="C966" t="s">
        <v>1570</v>
      </c>
      <c r="F966" t="s">
        <v>1679</v>
      </c>
      <c r="G966" t="s">
        <v>513</v>
      </c>
      <c r="H966" s="13">
        <v>55.88</v>
      </c>
      <c r="I966" s="13">
        <v>8.2200000000000006</v>
      </c>
      <c r="J966" s="42">
        <v>1929</v>
      </c>
      <c r="K966" s="42">
        <v>2008</v>
      </c>
      <c r="L966" s="13">
        <f t="shared" si="42"/>
        <v>80</v>
      </c>
      <c r="M966" t="s">
        <v>369</v>
      </c>
      <c r="N966" t="s">
        <v>380</v>
      </c>
      <c r="O966" t="s">
        <v>380</v>
      </c>
      <c r="Q966" t="s">
        <v>1625</v>
      </c>
      <c r="R966" t="s">
        <v>1658</v>
      </c>
      <c r="V966" s="43">
        <v>-0.84000000000000008</v>
      </c>
      <c r="W966" t="str">
        <f t="shared" ref="W966:W997" si="47">IF(V966&lt;0,"Y","N")</f>
        <v>Y</v>
      </c>
      <c r="X966" t="str">
        <f t="shared" ref="X966:X997" si="48">IF(L966&gt;=19,"Y","N")</f>
        <v>Y</v>
      </c>
      <c r="Z966" s="4" t="str">
        <f t="shared" si="46"/>
        <v>Y</v>
      </c>
      <c r="AC966" s="15" t="s">
        <v>1661</v>
      </c>
    </row>
    <row r="967" spans="1:92" x14ac:dyDescent="0.2">
      <c r="B967" t="s">
        <v>1330</v>
      </c>
      <c r="C967" t="s">
        <v>1570</v>
      </c>
      <c r="F967" t="s">
        <v>1679</v>
      </c>
      <c r="G967" t="s">
        <v>513</v>
      </c>
      <c r="H967" s="13">
        <v>55.88</v>
      </c>
      <c r="I967" s="13">
        <v>8.2200000000000006</v>
      </c>
      <c r="J967" s="42">
        <v>1929</v>
      </c>
      <c r="K967" s="42">
        <v>2008</v>
      </c>
      <c r="L967" s="13">
        <f t="shared" si="42"/>
        <v>80</v>
      </c>
      <c r="M967" t="s">
        <v>369</v>
      </c>
      <c r="N967" t="s">
        <v>380</v>
      </c>
      <c r="O967" t="s">
        <v>380</v>
      </c>
      <c r="Q967" t="s">
        <v>1628</v>
      </c>
      <c r="R967" t="s">
        <v>1658</v>
      </c>
      <c r="V967" s="43">
        <v>-0.41000000000000003</v>
      </c>
      <c r="W967" t="str">
        <f t="shared" si="47"/>
        <v>Y</v>
      </c>
      <c r="X967" t="str">
        <f t="shared" si="48"/>
        <v>Y</v>
      </c>
      <c r="Z967" s="4" t="str">
        <f t="shared" si="46"/>
        <v>Y</v>
      </c>
      <c r="AC967" s="15" t="s">
        <v>1661</v>
      </c>
    </row>
    <row r="968" spans="1:92" s="4" customFormat="1" x14ac:dyDescent="0.2">
      <c r="A968"/>
      <c r="B968" t="s">
        <v>1330</v>
      </c>
      <c r="C968" t="s">
        <v>1570</v>
      </c>
      <c r="D968"/>
      <c r="E968"/>
      <c r="F968" t="s">
        <v>1679</v>
      </c>
      <c r="G968" t="s">
        <v>513</v>
      </c>
      <c r="H968" s="13">
        <v>55.88</v>
      </c>
      <c r="I968" s="13">
        <v>8.2200000000000006</v>
      </c>
      <c r="J968" s="42">
        <v>1929</v>
      </c>
      <c r="K968" s="42">
        <v>2008</v>
      </c>
      <c r="L968" s="13">
        <f t="shared" si="42"/>
        <v>80</v>
      </c>
      <c r="M968" t="s">
        <v>369</v>
      </c>
      <c r="N968" t="s">
        <v>380</v>
      </c>
      <c r="O968" t="s">
        <v>380</v>
      </c>
      <c r="P968"/>
      <c r="Q968" t="s">
        <v>1617</v>
      </c>
      <c r="R968" t="s">
        <v>1658</v>
      </c>
      <c r="S968"/>
      <c r="T968"/>
      <c r="U968"/>
      <c r="V968" s="43">
        <v>-1.58</v>
      </c>
      <c r="W968" t="str">
        <f t="shared" si="47"/>
        <v>Y</v>
      </c>
      <c r="X968" t="str">
        <f t="shared" si="48"/>
        <v>Y</v>
      </c>
      <c r="Y968"/>
      <c r="Z968" s="4" t="str">
        <f t="shared" si="46"/>
        <v>Y</v>
      </c>
      <c r="AA968"/>
      <c r="AB968"/>
      <c r="AC968" s="15" t="s">
        <v>1661</v>
      </c>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row>
    <row r="969" spans="1:92" x14ac:dyDescent="0.2">
      <c r="B969" t="s">
        <v>1330</v>
      </c>
      <c r="C969" t="s">
        <v>1571</v>
      </c>
      <c r="F969" t="s">
        <v>1680</v>
      </c>
      <c r="G969" t="s">
        <v>513</v>
      </c>
      <c r="H969" s="13">
        <v>53.7</v>
      </c>
      <c r="I969" s="13">
        <v>11.83</v>
      </c>
      <c r="J969" s="42">
        <v>1977</v>
      </c>
      <c r="K969" s="42">
        <v>2006</v>
      </c>
      <c r="L969" s="13">
        <f t="shared" si="42"/>
        <v>30</v>
      </c>
      <c r="M969" t="s">
        <v>369</v>
      </c>
      <c r="N969" t="s">
        <v>380</v>
      </c>
      <c r="O969" t="s">
        <v>380</v>
      </c>
      <c r="Q969" t="s">
        <v>1613</v>
      </c>
      <c r="R969" t="s">
        <v>1658</v>
      </c>
      <c r="V969" s="43">
        <v>-1.8041273172437897</v>
      </c>
      <c r="W969" t="str">
        <f t="shared" si="47"/>
        <v>Y</v>
      </c>
      <c r="X969" t="str">
        <f t="shared" si="48"/>
        <v>Y</v>
      </c>
      <c r="Z969" s="4" t="str">
        <f t="shared" si="46"/>
        <v>Y</v>
      </c>
      <c r="AC969" s="15" t="s">
        <v>1661</v>
      </c>
    </row>
    <row r="970" spans="1:92" x14ac:dyDescent="0.2">
      <c r="B970" t="s">
        <v>1330</v>
      </c>
      <c r="C970" t="s">
        <v>1572</v>
      </c>
      <c r="F970" t="s">
        <v>1681</v>
      </c>
      <c r="G970" t="s">
        <v>513</v>
      </c>
      <c r="H970" s="13">
        <v>55.3</v>
      </c>
      <c r="I970" s="13">
        <v>60.3</v>
      </c>
      <c r="J970" s="42">
        <v>1971</v>
      </c>
      <c r="K970" s="42">
        <v>2005</v>
      </c>
      <c r="L970" s="13">
        <f t="shared" si="42"/>
        <v>35</v>
      </c>
      <c r="M970" t="s">
        <v>369</v>
      </c>
      <c r="N970" t="s">
        <v>380</v>
      </c>
      <c r="O970" t="s">
        <v>380</v>
      </c>
      <c r="Q970" t="s">
        <v>1620</v>
      </c>
      <c r="R970" t="s">
        <v>1658</v>
      </c>
      <c r="V970" s="43">
        <v>-4.0200000000000005</v>
      </c>
      <c r="W970" t="str">
        <f t="shared" si="47"/>
        <v>Y</v>
      </c>
      <c r="X970" t="str">
        <f t="shared" si="48"/>
        <v>Y</v>
      </c>
      <c r="Z970" s="4" t="str">
        <f t="shared" si="46"/>
        <v>Y</v>
      </c>
      <c r="AC970" s="15" t="s">
        <v>1661</v>
      </c>
    </row>
    <row r="971" spans="1:92" x14ac:dyDescent="0.2">
      <c r="B971" t="s">
        <v>1330</v>
      </c>
      <c r="C971" t="s">
        <v>1573</v>
      </c>
      <c r="F971" t="s">
        <v>1682</v>
      </c>
      <c r="G971" t="s">
        <v>513</v>
      </c>
      <c r="H971" s="13">
        <v>51.8</v>
      </c>
      <c r="I971" s="13">
        <v>0.6</v>
      </c>
      <c r="J971" s="42">
        <v>1950</v>
      </c>
      <c r="K971" s="42">
        <v>2002</v>
      </c>
      <c r="L971" s="13">
        <f t="shared" si="42"/>
        <v>53</v>
      </c>
      <c r="M971" t="s">
        <v>369</v>
      </c>
      <c r="N971" t="s">
        <v>380</v>
      </c>
      <c r="O971" t="s">
        <v>380</v>
      </c>
      <c r="Q971" t="s">
        <v>1628</v>
      </c>
      <c r="R971" t="s">
        <v>1658</v>
      </c>
      <c r="V971" s="43">
        <v>1.1000000000000001</v>
      </c>
      <c r="W971" t="str">
        <f t="shared" si="47"/>
        <v>N</v>
      </c>
      <c r="X971" t="str">
        <f t="shared" si="48"/>
        <v>Y</v>
      </c>
      <c r="Z971" s="4" t="str">
        <f t="shared" si="46"/>
        <v>Y</v>
      </c>
      <c r="AC971" s="15" t="s">
        <v>1661</v>
      </c>
    </row>
    <row r="972" spans="1:92" x14ac:dyDescent="0.2">
      <c r="B972" t="s">
        <v>1330</v>
      </c>
      <c r="C972" t="s">
        <v>1573</v>
      </c>
      <c r="F972" t="s">
        <v>1683</v>
      </c>
      <c r="G972" t="s">
        <v>513</v>
      </c>
      <c r="H972" s="13">
        <v>51</v>
      </c>
      <c r="I972" s="13">
        <v>0.3</v>
      </c>
      <c r="J972" s="42">
        <v>1960</v>
      </c>
      <c r="K972" s="42">
        <v>2002</v>
      </c>
      <c r="L972" s="13">
        <f t="shared" si="42"/>
        <v>43</v>
      </c>
      <c r="M972" t="s">
        <v>369</v>
      </c>
      <c r="N972" t="s">
        <v>380</v>
      </c>
      <c r="O972" t="s">
        <v>380</v>
      </c>
      <c r="Q972" t="s">
        <v>1628</v>
      </c>
      <c r="R972" t="s">
        <v>1658</v>
      </c>
      <c r="V972" s="43">
        <v>-1.7000000000000002</v>
      </c>
      <c r="W972" t="str">
        <f t="shared" si="47"/>
        <v>Y</v>
      </c>
      <c r="X972" t="str">
        <f t="shared" si="48"/>
        <v>Y</v>
      </c>
      <c r="Z972" s="4" t="str">
        <f t="shared" si="46"/>
        <v>Y</v>
      </c>
      <c r="AC972" s="15" t="s">
        <v>1661</v>
      </c>
    </row>
    <row r="973" spans="1:92" x14ac:dyDescent="0.2">
      <c r="B973" t="s">
        <v>1330</v>
      </c>
      <c r="C973" t="s">
        <v>1573</v>
      </c>
      <c r="F973" t="s">
        <v>1682</v>
      </c>
      <c r="G973" t="s">
        <v>513</v>
      </c>
      <c r="H973" s="13">
        <v>51.8</v>
      </c>
      <c r="I973" s="13">
        <v>0.6</v>
      </c>
      <c r="J973" s="42">
        <v>1950</v>
      </c>
      <c r="K973" s="42">
        <v>2002</v>
      </c>
      <c r="L973" s="13">
        <f t="shared" si="42"/>
        <v>53</v>
      </c>
      <c r="M973" t="s">
        <v>369</v>
      </c>
      <c r="N973" t="s">
        <v>380</v>
      </c>
      <c r="O973" t="s">
        <v>380</v>
      </c>
      <c r="Q973" t="s">
        <v>1617</v>
      </c>
      <c r="R973" t="s">
        <v>1658</v>
      </c>
      <c r="V973" s="43">
        <v>-0.89999999999999991</v>
      </c>
      <c r="W973" t="str">
        <f t="shared" si="47"/>
        <v>Y</v>
      </c>
      <c r="X973" t="str">
        <f t="shared" si="48"/>
        <v>Y</v>
      </c>
      <c r="Z973" s="4" t="str">
        <f t="shared" si="46"/>
        <v>Y</v>
      </c>
      <c r="AC973" s="15" t="s">
        <v>1661</v>
      </c>
    </row>
    <row r="974" spans="1:92" x14ac:dyDescent="0.2">
      <c r="B974" t="s">
        <v>1330</v>
      </c>
      <c r="C974" t="s">
        <v>1573</v>
      </c>
      <c r="F974" t="s">
        <v>1683</v>
      </c>
      <c r="G974" t="s">
        <v>513</v>
      </c>
      <c r="H974" s="13">
        <v>51</v>
      </c>
      <c r="I974" s="13">
        <v>0.3</v>
      </c>
      <c r="J974" s="42">
        <v>1960</v>
      </c>
      <c r="K974" s="42">
        <v>2002</v>
      </c>
      <c r="L974" s="13">
        <f t="shared" si="42"/>
        <v>43</v>
      </c>
      <c r="M974" t="s">
        <v>369</v>
      </c>
      <c r="N974" t="s">
        <v>380</v>
      </c>
      <c r="O974" t="s">
        <v>380</v>
      </c>
      <c r="Q974" t="s">
        <v>1617</v>
      </c>
      <c r="R974" t="s">
        <v>1658</v>
      </c>
      <c r="V974" s="43">
        <v>-7.3</v>
      </c>
      <c r="W974" t="str">
        <f t="shared" si="47"/>
        <v>Y</v>
      </c>
      <c r="X974" t="str">
        <f t="shared" si="48"/>
        <v>Y</v>
      </c>
      <c r="Z974" s="4" t="str">
        <f t="shared" si="46"/>
        <v>Y</v>
      </c>
      <c r="AC974" s="15" t="s">
        <v>1661</v>
      </c>
    </row>
    <row r="975" spans="1:92" x14ac:dyDescent="0.2">
      <c r="B975" t="s">
        <v>1330</v>
      </c>
      <c r="C975" t="s">
        <v>1574</v>
      </c>
      <c r="F975" t="s">
        <v>1684</v>
      </c>
      <c r="G975" t="s">
        <v>514</v>
      </c>
      <c r="H975" s="13">
        <v>-42.43</v>
      </c>
      <c r="I975" s="13">
        <v>173.7</v>
      </c>
      <c r="J975" s="42">
        <v>1975</v>
      </c>
      <c r="K975" s="42">
        <v>2004</v>
      </c>
      <c r="L975" s="13">
        <f t="shared" si="42"/>
        <v>30</v>
      </c>
      <c r="M975" t="s">
        <v>369</v>
      </c>
      <c r="N975" t="s">
        <v>380</v>
      </c>
      <c r="O975" t="s">
        <v>380</v>
      </c>
      <c r="Q975" t="s">
        <v>1630</v>
      </c>
      <c r="R975" t="s">
        <v>1659</v>
      </c>
      <c r="V975" s="43">
        <v>1.79</v>
      </c>
      <c r="W975" t="str">
        <f t="shared" si="47"/>
        <v>N</v>
      </c>
      <c r="X975" t="str">
        <f t="shared" si="48"/>
        <v>Y</v>
      </c>
      <c r="Z975" s="4" t="str">
        <f t="shared" si="46"/>
        <v>Y</v>
      </c>
      <c r="AC975" s="15" t="s">
        <v>1661</v>
      </c>
    </row>
    <row r="976" spans="1:92" x14ac:dyDescent="0.2">
      <c r="B976" t="s">
        <v>1330</v>
      </c>
      <c r="C976" t="s">
        <v>1575</v>
      </c>
      <c r="F976" t="s">
        <v>1685</v>
      </c>
      <c r="G976" t="s">
        <v>513</v>
      </c>
      <c r="H976" s="13">
        <v>69.569999999999993</v>
      </c>
      <c r="I976" s="13">
        <v>-138.9</v>
      </c>
      <c r="J976" s="42">
        <v>1984</v>
      </c>
      <c r="K976" s="42">
        <v>2009</v>
      </c>
      <c r="L976" s="13">
        <f t="shared" si="42"/>
        <v>26</v>
      </c>
      <c r="M976" t="s">
        <v>369</v>
      </c>
      <c r="N976" t="s">
        <v>380</v>
      </c>
      <c r="O976" t="s">
        <v>380</v>
      </c>
      <c r="Q976" t="s">
        <v>1631</v>
      </c>
      <c r="R976" t="s">
        <v>1659</v>
      </c>
      <c r="V976" s="43">
        <v>-1.34</v>
      </c>
      <c r="W976" t="str">
        <f t="shared" si="47"/>
        <v>Y</v>
      </c>
      <c r="X976" t="str">
        <f t="shared" si="48"/>
        <v>Y</v>
      </c>
      <c r="Z976" s="4" t="str">
        <f t="shared" si="46"/>
        <v>Y</v>
      </c>
      <c r="AC976" s="15" t="s">
        <v>1661</v>
      </c>
    </row>
    <row r="977" spans="2:29" x14ac:dyDescent="0.2">
      <c r="B977" t="s">
        <v>1330</v>
      </c>
      <c r="C977" t="s">
        <v>1576</v>
      </c>
      <c r="F977" t="s">
        <v>1686</v>
      </c>
      <c r="G977" t="s">
        <v>513</v>
      </c>
      <c r="H977" s="13">
        <v>54.43</v>
      </c>
      <c r="I977" s="13">
        <v>23.58</v>
      </c>
      <c r="J977" s="42">
        <v>1966</v>
      </c>
      <c r="K977" s="42">
        <v>2000</v>
      </c>
      <c r="L977" s="13">
        <f t="shared" si="42"/>
        <v>35</v>
      </c>
      <c r="M977" t="s">
        <v>369</v>
      </c>
      <c r="N977" t="s">
        <v>380</v>
      </c>
      <c r="O977" t="s">
        <v>380</v>
      </c>
      <c r="Q977" t="s">
        <v>1613</v>
      </c>
      <c r="R977" t="s">
        <v>1658</v>
      </c>
      <c r="V977" s="43">
        <v>-2.8000000000000003</v>
      </c>
      <c r="W977" t="str">
        <f t="shared" si="47"/>
        <v>Y</v>
      </c>
      <c r="X977" t="str">
        <f t="shared" si="48"/>
        <v>Y</v>
      </c>
      <c r="Z977" s="4" t="str">
        <f t="shared" si="46"/>
        <v>Y</v>
      </c>
      <c r="AC977" s="15" t="s">
        <v>1661</v>
      </c>
    </row>
    <row r="978" spans="2:29" x14ac:dyDescent="0.2">
      <c r="B978" t="s">
        <v>1330</v>
      </c>
      <c r="C978" t="s">
        <v>1577</v>
      </c>
      <c r="F978" t="s">
        <v>1687</v>
      </c>
      <c r="G978" t="s">
        <v>513</v>
      </c>
      <c r="H978" s="13">
        <v>50.31</v>
      </c>
      <c r="I978" s="13">
        <v>-2.27</v>
      </c>
      <c r="J978" s="42">
        <v>1959</v>
      </c>
      <c r="K978" s="42">
        <v>2005</v>
      </c>
      <c r="L978" s="13">
        <f t="shared" si="42"/>
        <v>47</v>
      </c>
      <c r="M978" t="s">
        <v>369</v>
      </c>
      <c r="N978" t="s">
        <v>380</v>
      </c>
      <c r="O978" t="s">
        <v>380</v>
      </c>
      <c r="Q978" t="s">
        <v>1617</v>
      </c>
      <c r="R978" t="s">
        <v>1658</v>
      </c>
      <c r="V978" s="43">
        <v>-1.77</v>
      </c>
      <c r="W978" t="str">
        <f t="shared" si="47"/>
        <v>Y</v>
      </c>
      <c r="X978" t="str">
        <f t="shared" si="48"/>
        <v>Y</v>
      </c>
      <c r="Z978" s="4" t="str">
        <f t="shared" si="46"/>
        <v>Y</v>
      </c>
      <c r="AC978" s="15" t="s">
        <v>1661</v>
      </c>
    </row>
    <row r="979" spans="2:29" x14ac:dyDescent="0.2">
      <c r="B979" t="s">
        <v>1330</v>
      </c>
      <c r="C979" t="s">
        <v>1578</v>
      </c>
      <c r="F979" t="s">
        <v>1688</v>
      </c>
      <c r="G979" t="s">
        <v>513</v>
      </c>
      <c r="H979" s="13">
        <v>47.57</v>
      </c>
      <c r="I979" s="13">
        <v>21.05</v>
      </c>
      <c r="J979" s="42">
        <v>1975</v>
      </c>
      <c r="K979" s="42">
        <v>2007</v>
      </c>
      <c r="L979" s="13">
        <f t="shared" si="42"/>
        <v>33</v>
      </c>
      <c r="M979" t="s">
        <v>369</v>
      </c>
      <c r="N979" t="s">
        <v>380</v>
      </c>
      <c r="O979" t="s">
        <v>380</v>
      </c>
      <c r="Q979" t="s">
        <v>1612</v>
      </c>
      <c r="R979" t="s">
        <v>1658</v>
      </c>
      <c r="V979" s="43">
        <v>-15.669509407420461</v>
      </c>
      <c r="W979" t="str">
        <f t="shared" si="47"/>
        <v>Y</v>
      </c>
      <c r="X979" t="str">
        <f t="shared" si="48"/>
        <v>Y</v>
      </c>
      <c r="Z979" s="4" t="str">
        <f t="shared" si="46"/>
        <v>Y</v>
      </c>
      <c r="AC979" s="15" t="s">
        <v>1661</v>
      </c>
    </row>
    <row r="980" spans="2:29" x14ac:dyDescent="0.2">
      <c r="B980" t="s">
        <v>1330</v>
      </c>
      <c r="C980" t="s">
        <v>1578</v>
      </c>
      <c r="F980" t="s">
        <v>1688</v>
      </c>
      <c r="G980" t="s">
        <v>513</v>
      </c>
      <c r="H980" s="13">
        <v>47.57</v>
      </c>
      <c r="I980" s="13">
        <v>21.05</v>
      </c>
      <c r="J980" s="42">
        <v>1986</v>
      </c>
      <c r="K980" s="42">
        <v>2007</v>
      </c>
      <c r="L980" s="13">
        <f t="shared" si="42"/>
        <v>22</v>
      </c>
      <c r="M980" t="s">
        <v>369</v>
      </c>
      <c r="N980" t="s">
        <v>380</v>
      </c>
      <c r="O980" t="s">
        <v>380</v>
      </c>
      <c r="Q980" t="s">
        <v>1613</v>
      </c>
      <c r="R980" t="s">
        <v>1658</v>
      </c>
      <c r="V980" s="43">
        <v>1.2192201182547249</v>
      </c>
      <c r="W980" t="str">
        <f t="shared" si="47"/>
        <v>N</v>
      </c>
      <c r="X980" t="str">
        <f t="shared" si="48"/>
        <v>Y</v>
      </c>
      <c r="Z980" s="4" t="str">
        <f t="shared" si="46"/>
        <v>Y</v>
      </c>
      <c r="AC980" s="15" t="s">
        <v>1661</v>
      </c>
    </row>
    <row r="981" spans="2:29" x14ac:dyDescent="0.2">
      <c r="B981" t="s">
        <v>1330</v>
      </c>
      <c r="C981" t="s">
        <v>1579</v>
      </c>
      <c r="F981" t="s">
        <v>1689</v>
      </c>
      <c r="G981" t="s">
        <v>513</v>
      </c>
      <c r="H981" s="13">
        <v>59.83</v>
      </c>
      <c r="I981" s="13">
        <v>21.62</v>
      </c>
      <c r="J981" s="42">
        <v>1975</v>
      </c>
      <c r="K981" s="42">
        <v>2008</v>
      </c>
      <c r="L981" s="13">
        <f t="shared" si="42"/>
        <v>34</v>
      </c>
      <c r="M981" t="s">
        <v>369</v>
      </c>
      <c r="N981" t="s">
        <v>380</v>
      </c>
      <c r="O981" t="s">
        <v>380</v>
      </c>
      <c r="Q981" t="s">
        <v>1632</v>
      </c>
      <c r="R981" t="s">
        <v>1658</v>
      </c>
      <c r="V981" s="43">
        <v>-5.2406961935758822</v>
      </c>
      <c r="W981" t="str">
        <f t="shared" si="47"/>
        <v>Y</v>
      </c>
      <c r="X981" t="str">
        <f t="shared" si="48"/>
        <v>Y</v>
      </c>
      <c r="Z981" s="4" t="str">
        <f t="shared" si="46"/>
        <v>Y</v>
      </c>
      <c r="AC981" s="15" t="s">
        <v>1661</v>
      </c>
    </row>
    <row r="982" spans="2:29" x14ac:dyDescent="0.2">
      <c r="B982" t="s">
        <v>1330</v>
      </c>
      <c r="C982" t="s">
        <v>1579</v>
      </c>
      <c r="F982" t="s">
        <v>1689</v>
      </c>
      <c r="G982" t="s">
        <v>513</v>
      </c>
      <c r="H982" s="13">
        <v>59.83</v>
      </c>
      <c r="I982" s="13">
        <v>21.62</v>
      </c>
      <c r="J982" s="42">
        <v>1975</v>
      </c>
      <c r="K982" s="42">
        <v>2008</v>
      </c>
      <c r="L982" s="13">
        <f t="shared" si="42"/>
        <v>34</v>
      </c>
      <c r="M982" t="s">
        <v>369</v>
      </c>
      <c r="N982" t="s">
        <v>380</v>
      </c>
      <c r="O982" t="s">
        <v>380</v>
      </c>
      <c r="Q982" t="s">
        <v>1632</v>
      </c>
      <c r="R982" t="s">
        <v>1658</v>
      </c>
      <c r="V982" s="43">
        <v>-8.0666477996322747</v>
      </c>
      <c r="W982" t="str">
        <f t="shared" si="47"/>
        <v>Y</v>
      </c>
      <c r="X982" t="str">
        <f t="shared" si="48"/>
        <v>Y</v>
      </c>
      <c r="Z982" s="4" t="str">
        <f t="shared" si="46"/>
        <v>Y</v>
      </c>
      <c r="AC982" s="15" t="s">
        <v>1661</v>
      </c>
    </row>
    <row r="983" spans="2:29" x14ac:dyDescent="0.2">
      <c r="B983" t="s">
        <v>1330</v>
      </c>
      <c r="C983" t="s">
        <v>1579</v>
      </c>
      <c r="F983" t="s">
        <v>1689</v>
      </c>
      <c r="G983" t="s">
        <v>513</v>
      </c>
      <c r="H983" s="13">
        <v>59.83</v>
      </c>
      <c r="I983" s="13">
        <v>21.62</v>
      </c>
      <c r="J983" s="42">
        <v>1970</v>
      </c>
      <c r="K983" s="42">
        <v>2008</v>
      </c>
      <c r="L983" s="13">
        <f t="shared" ref="L983:L1046" si="49">K983-J983+1</f>
        <v>39</v>
      </c>
      <c r="M983" t="s">
        <v>369</v>
      </c>
      <c r="N983" t="s">
        <v>380</v>
      </c>
      <c r="O983" t="s">
        <v>380</v>
      </c>
      <c r="Q983" t="s">
        <v>1624</v>
      </c>
      <c r="R983" t="s">
        <v>1658</v>
      </c>
      <c r="V983" s="43">
        <v>-2.2307692307692282</v>
      </c>
      <c r="W983" t="str">
        <f t="shared" si="47"/>
        <v>Y</v>
      </c>
      <c r="X983" t="str">
        <f t="shared" si="48"/>
        <v>Y</v>
      </c>
      <c r="Z983" s="4" t="str">
        <f t="shared" si="46"/>
        <v>Y</v>
      </c>
      <c r="AC983" s="15" t="s">
        <v>1661</v>
      </c>
    </row>
    <row r="984" spans="2:29" x14ac:dyDescent="0.2">
      <c r="B984" t="s">
        <v>1330</v>
      </c>
      <c r="C984" t="s">
        <v>1579</v>
      </c>
      <c r="F984" t="s">
        <v>1689</v>
      </c>
      <c r="G984" t="s">
        <v>513</v>
      </c>
      <c r="H984" s="13">
        <v>59.83</v>
      </c>
      <c r="I984" s="13">
        <v>21.62</v>
      </c>
      <c r="J984" s="42">
        <v>1970</v>
      </c>
      <c r="K984" s="42">
        <v>2008</v>
      </c>
      <c r="L984" s="13">
        <f t="shared" si="49"/>
        <v>39</v>
      </c>
      <c r="M984" t="s">
        <v>369</v>
      </c>
      <c r="N984" t="s">
        <v>380</v>
      </c>
      <c r="O984" t="s">
        <v>380</v>
      </c>
      <c r="Q984" t="s">
        <v>1624</v>
      </c>
      <c r="R984" t="s">
        <v>1658</v>
      </c>
      <c r="V984" s="43">
        <v>-3.0445344129554623</v>
      </c>
      <c r="W984" t="str">
        <f t="shared" si="47"/>
        <v>Y</v>
      </c>
      <c r="X984" t="str">
        <f t="shared" si="48"/>
        <v>Y</v>
      </c>
      <c r="Z984" s="4" t="str">
        <f t="shared" si="46"/>
        <v>Y</v>
      </c>
      <c r="AC984" s="15" t="s">
        <v>1661</v>
      </c>
    </row>
    <row r="985" spans="2:29" x14ac:dyDescent="0.2">
      <c r="B985" t="s">
        <v>1330</v>
      </c>
      <c r="C985" t="s">
        <v>1579</v>
      </c>
      <c r="F985" t="s">
        <v>1689</v>
      </c>
      <c r="G985" t="s">
        <v>513</v>
      </c>
      <c r="H985" s="13">
        <v>59.83</v>
      </c>
      <c r="I985" s="13">
        <v>21.62</v>
      </c>
      <c r="J985" s="42">
        <v>1970</v>
      </c>
      <c r="K985" s="42">
        <v>2008</v>
      </c>
      <c r="L985" s="13">
        <f t="shared" si="49"/>
        <v>39</v>
      </c>
      <c r="M985" t="s">
        <v>369</v>
      </c>
      <c r="N985" t="s">
        <v>380</v>
      </c>
      <c r="O985" t="s">
        <v>380</v>
      </c>
      <c r="Q985" t="s">
        <v>1615</v>
      </c>
      <c r="R985" t="s">
        <v>1658</v>
      </c>
      <c r="V985" s="43">
        <v>-4.9618444552686674</v>
      </c>
      <c r="W985" t="str">
        <f t="shared" si="47"/>
        <v>Y</v>
      </c>
      <c r="X985" t="str">
        <f t="shared" si="48"/>
        <v>Y</v>
      </c>
      <c r="Z985" s="4" t="str">
        <f t="shared" si="46"/>
        <v>Y</v>
      </c>
      <c r="AC985" s="15" t="s">
        <v>1661</v>
      </c>
    </row>
    <row r="986" spans="2:29" x14ac:dyDescent="0.2">
      <c r="B986" t="s">
        <v>1330</v>
      </c>
      <c r="C986" t="s">
        <v>1579</v>
      </c>
      <c r="F986" t="s">
        <v>1689</v>
      </c>
      <c r="G986" t="s">
        <v>513</v>
      </c>
      <c r="H986" s="13">
        <v>59.83</v>
      </c>
      <c r="I986" s="13">
        <v>21.62</v>
      </c>
      <c r="J986" s="42">
        <v>1970</v>
      </c>
      <c r="K986" s="42">
        <v>2008</v>
      </c>
      <c r="L986" s="13">
        <f t="shared" si="49"/>
        <v>39</v>
      </c>
      <c r="M986" t="s">
        <v>369</v>
      </c>
      <c r="N986" t="s">
        <v>380</v>
      </c>
      <c r="O986" t="s">
        <v>380</v>
      </c>
      <c r="Q986" t="s">
        <v>1615</v>
      </c>
      <c r="R986" t="s">
        <v>1658</v>
      </c>
      <c r="V986" s="43">
        <v>-0.37911998701089433</v>
      </c>
      <c r="W986" t="str">
        <f t="shared" si="47"/>
        <v>Y</v>
      </c>
      <c r="X986" t="str">
        <f t="shared" si="48"/>
        <v>Y</v>
      </c>
      <c r="Z986" s="4" t="str">
        <f t="shared" si="46"/>
        <v>Y</v>
      </c>
      <c r="AC986" s="15" t="s">
        <v>1661</v>
      </c>
    </row>
    <row r="987" spans="2:29" x14ac:dyDescent="0.2">
      <c r="B987" t="s">
        <v>1330</v>
      </c>
      <c r="C987" t="s">
        <v>1579</v>
      </c>
      <c r="F987" t="s">
        <v>1689</v>
      </c>
      <c r="G987" t="s">
        <v>513</v>
      </c>
      <c r="H987" s="13">
        <v>59.83</v>
      </c>
      <c r="I987" s="13">
        <v>21.62</v>
      </c>
      <c r="J987" s="42">
        <v>1975</v>
      </c>
      <c r="K987" s="42">
        <v>2008</v>
      </c>
      <c r="L987" s="13">
        <f t="shared" si="49"/>
        <v>34</v>
      </c>
      <c r="M987" t="s">
        <v>369</v>
      </c>
      <c r="N987" t="s">
        <v>380</v>
      </c>
      <c r="O987" t="s">
        <v>380</v>
      </c>
      <c r="Q987" t="s">
        <v>1613</v>
      </c>
      <c r="R987" t="s">
        <v>1658</v>
      </c>
      <c r="V987" s="43">
        <v>-2.1744216963573511</v>
      </c>
      <c r="W987" t="str">
        <f t="shared" si="47"/>
        <v>Y</v>
      </c>
      <c r="X987" t="str">
        <f t="shared" si="48"/>
        <v>Y</v>
      </c>
      <c r="Z987" s="4" t="str">
        <f t="shared" si="46"/>
        <v>Y</v>
      </c>
      <c r="AC987" s="15" t="s">
        <v>1661</v>
      </c>
    </row>
    <row r="988" spans="2:29" x14ac:dyDescent="0.2">
      <c r="B988" t="s">
        <v>1330</v>
      </c>
      <c r="C988" t="s">
        <v>1579</v>
      </c>
      <c r="F988" t="s">
        <v>1689</v>
      </c>
      <c r="G988" t="s">
        <v>513</v>
      </c>
      <c r="H988" s="13">
        <v>59.83</v>
      </c>
      <c r="I988" s="13">
        <v>21.62</v>
      </c>
      <c r="J988" s="42">
        <v>1975</v>
      </c>
      <c r="K988" s="42">
        <v>2008</v>
      </c>
      <c r="L988" s="13">
        <f t="shared" si="49"/>
        <v>34</v>
      </c>
      <c r="M988" t="s">
        <v>369</v>
      </c>
      <c r="N988" t="s">
        <v>380</v>
      </c>
      <c r="O988" t="s">
        <v>380</v>
      </c>
      <c r="Q988" t="s">
        <v>1613</v>
      </c>
      <c r="R988" t="s">
        <v>1658</v>
      </c>
      <c r="V988" s="43">
        <v>1.8883275724541249</v>
      </c>
      <c r="W988" t="str">
        <f t="shared" si="47"/>
        <v>N</v>
      </c>
      <c r="X988" t="str">
        <f t="shared" si="48"/>
        <v>Y</v>
      </c>
      <c r="Z988" s="4" t="str">
        <f t="shared" si="46"/>
        <v>Y</v>
      </c>
      <c r="AC988" s="15" t="s">
        <v>1661</v>
      </c>
    </row>
    <row r="989" spans="2:29" x14ac:dyDescent="0.2">
      <c r="B989" t="s">
        <v>1330</v>
      </c>
      <c r="C989" t="s">
        <v>1579</v>
      </c>
      <c r="F989" t="s">
        <v>1689</v>
      </c>
      <c r="G989" t="s">
        <v>513</v>
      </c>
      <c r="H989" s="13">
        <v>59.83</v>
      </c>
      <c r="I989" s="13">
        <v>21.62</v>
      </c>
      <c r="J989" s="42">
        <v>1970</v>
      </c>
      <c r="K989" s="42">
        <v>2008</v>
      </c>
      <c r="L989" s="13">
        <f t="shared" si="49"/>
        <v>39</v>
      </c>
      <c r="M989" t="s">
        <v>369</v>
      </c>
      <c r="N989" t="s">
        <v>380</v>
      </c>
      <c r="O989" t="s">
        <v>380</v>
      </c>
      <c r="Q989" t="s">
        <v>1625</v>
      </c>
      <c r="R989" t="s">
        <v>1658</v>
      </c>
      <c r="V989" s="43">
        <v>-3.8967611336032357</v>
      </c>
      <c r="W989" t="str">
        <f t="shared" si="47"/>
        <v>Y</v>
      </c>
      <c r="X989" t="str">
        <f t="shared" si="48"/>
        <v>Y</v>
      </c>
      <c r="Z989" s="4" t="str">
        <f t="shared" si="46"/>
        <v>Y</v>
      </c>
      <c r="AC989" s="15" t="s">
        <v>1661</v>
      </c>
    </row>
    <row r="990" spans="2:29" x14ac:dyDescent="0.2">
      <c r="B990" t="s">
        <v>1330</v>
      </c>
      <c r="C990" t="s">
        <v>1579</v>
      </c>
      <c r="F990" t="s">
        <v>1689</v>
      </c>
      <c r="G990" t="s">
        <v>513</v>
      </c>
      <c r="H990" s="13">
        <v>59.83</v>
      </c>
      <c r="I990" s="13">
        <v>21.62</v>
      </c>
      <c r="J990" s="42">
        <v>1970</v>
      </c>
      <c r="K990" s="42">
        <v>2008</v>
      </c>
      <c r="L990" s="13">
        <f t="shared" si="49"/>
        <v>39</v>
      </c>
      <c r="M990" t="s">
        <v>369</v>
      </c>
      <c r="N990" t="s">
        <v>380</v>
      </c>
      <c r="O990" t="s">
        <v>380</v>
      </c>
      <c r="Q990" t="s">
        <v>1625</v>
      </c>
      <c r="R990" t="s">
        <v>1658</v>
      </c>
      <c r="V990" s="43">
        <v>9.3117408906884053E-2</v>
      </c>
      <c r="W990" t="str">
        <f t="shared" si="47"/>
        <v>N</v>
      </c>
      <c r="X990" t="str">
        <f t="shared" si="48"/>
        <v>Y</v>
      </c>
      <c r="Z990" s="4" t="str">
        <f t="shared" si="46"/>
        <v>Y</v>
      </c>
      <c r="AC990" s="15" t="s">
        <v>1661</v>
      </c>
    </row>
    <row r="991" spans="2:29" x14ac:dyDescent="0.2">
      <c r="B991" t="s">
        <v>1330</v>
      </c>
      <c r="C991" t="s">
        <v>1579</v>
      </c>
      <c r="F991" t="s">
        <v>1690</v>
      </c>
      <c r="G991" t="s">
        <v>513</v>
      </c>
      <c r="H991" s="13">
        <v>59.82</v>
      </c>
      <c r="I991" s="13">
        <v>22.9</v>
      </c>
      <c r="J991" s="42">
        <v>1979</v>
      </c>
      <c r="K991" s="42">
        <v>2008</v>
      </c>
      <c r="L991" s="13">
        <f t="shared" si="49"/>
        <v>30</v>
      </c>
      <c r="M991" t="s">
        <v>369</v>
      </c>
      <c r="N991" t="s">
        <v>380</v>
      </c>
      <c r="O991" t="s">
        <v>380</v>
      </c>
      <c r="Q991" t="s">
        <v>1632</v>
      </c>
      <c r="R991" t="s">
        <v>1658</v>
      </c>
      <c r="V991" s="43">
        <v>-1.1543644258122776</v>
      </c>
      <c r="W991" t="str">
        <f t="shared" si="47"/>
        <v>Y</v>
      </c>
      <c r="X991" t="str">
        <f t="shared" si="48"/>
        <v>Y</v>
      </c>
      <c r="Z991" s="4" t="str">
        <f t="shared" si="46"/>
        <v>Y</v>
      </c>
      <c r="AC991" s="15" t="s">
        <v>1661</v>
      </c>
    </row>
    <row r="992" spans="2:29" x14ac:dyDescent="0.2">
      <c r="B992" t="s">
        <v>1330</v>
      </c>
      <c r="C992" t="s">
        <v>1579</v>
      </c>
      <c r="F992" t="s">
        <v>1690</v>
      </c>
      <c r="G992" t="s">
        <v>513</v>
      </c>
      <c r="H992" s="13">
        <v>59.82</v>
      </c>
      <c r="I992" s="13">
        <v>22.9</v>
      </c>
      <c r="J992" s="42">
        <v>1979</v>
      </c>
      <c r="K992" s="42">
        <v>2008</v>
      </c>
      <c r="L992" s="13">
        <f t="shared" si="49"/>
        <v>30</v>
      </c>
      <c r="M992" t="s">
        <v>369</v>
      </c>
      <c r="N992" t="s">
        <v>380</v>
      </c>
      <c r="O992" t="s">
        <v>380</v>
      </c>
      <c r="Q992" t="s">
        <v>1632</v>
      </c>
      <c r="R992" t="s">
        <v>1658</v>
      </c>
      <c r="V992" s="43">
        <v>-7.4389878724362992</v>
      </c>
      <c r="W992" t="str">
        <f t="shared" si="47"/>
        <v>Y</v>
      </c>
      <c r="X992" t="str">
        <f t="shared" si="48"/>
        <v>Y</v>
      </c>
      <c r="Z992" s="4" t="str">
        <f t="shared" si="46"/>
        <v>Y</v>
      </c>
      <c r="AC992" s="15" t="s">
        <v>1661</v>
      </c>
    </row>
    <row r="993" spans="2:92" x14ac:dyDescent="0.2">
      <c r="B993" t="s">
        <v>1330</v>
      </c>
      <c r="C993" t="s">
        <v>1579</v>
      </c>
      <c r="F993" t="s">
        <v>1690</v>
      </c>
      <c r="G993" t="s">
        <v>513</v>
      </c>
      <c r="H993" s="13">
        <v>59.82</v>
      </c>
      <c r="I993" s="13">
        <v>22.9</v>
      </c>
      <c r="J993" s="42">
        <v>1979</v>
      </c>
      <c r="K993" s="42">
        <v>2008</v>
      </c>
      <c r="L993" s="13">
        <f t="shared" si="49"/>
        <v>30</v>
      </c>
      <c r="M993" t="s">
        <v>369</v>
      </c>
      <c r="N993" t="s">
        <v>380</v>
      </c>
      <c r="O993" t="s">
        <v>380</v>
      </c>
      <c r="Q993" t="s">
        <v>1624</v>
      </c>
      <c r="R993" t="s">
        <v>1658</v>
      </c>
      <c r="V993" s="43">
        <v>-1.0147601476014803</v>
      </c>
      <c r="W993" t="str">
        <f t="shared" si="47"/>
        <v>Y</v>
      </c>
      <c r="X993" t="str">
        <f t="shared" si="48"/>
        <v>Y</v>
      </c>
      <c r="Z993" s="4" t="str">
        <f t="shared" si="46"/>
        <v>Y</v>
      </c>
      <c r="AC993" s="15" t="s">
        <v>1661</v>
      </c>
    </row>
    <row r="994" spans="2:92" x14ac:dyDescent="0.2">
      <c r="B994" t="s">
        <v>1330</v>
      </c>
      <c r="C994" t="s">
        <v>1579</v>
      </c>
      <c r="F994" t="s">
        <v>1690</v>
      </c>
      <c r="G994" t="s">
        <v>513</v>
      </c>
      <c r="H994" s="13">
        <v>59.82</v>
      </c>
      <c r="I994" s="13">
        <v>22.9</v>
      </c>
      <c r="J994" s="42">
        <v>1979</v>
      </c>
      <c r="K994" s="42">
        <v>2008</v>
      </c>
      <c r="L994" s="13">
        <f t="shared" si="49"/>
        <v>30</v>
      </c>
      <c r="M994" t="s">
        <v>369</v>
      </c>
      <c r="N994" t="s">
        <v>380</v>
      </c>
      <c r="O994" t="s">
        <v>380</v>
      </c>
      <c r="Q994" t="s">
        <v>1624</v>
      </c>
      <c r="R994" t="s">
        <v>1658</v>
      </c>
      <c r="V994" s="43">
        <v>-0.23523985239853057</v>
      </c>
      <c r="W994" t="str">
        <f t="shared" si="47"/>
        <v>Y</v>
      </c>
      <c r="X994" t="str">
        <f t="shared" si="48"/>
        <v>Y</v>
      </c>
      <c r="Z994" s="4" t="str">
        <f t="shared" si="46"/>
        <v>Y</v>
      </c>
      <c r="AC994" s="15" t="s">
        <v>1661</v>
      </c>
    </row>
    <row r="995" spans="2:92" x14ac:dyDescent="0.2">
      <c r="B995" t="s">
        <v>1330</v>
      </c>
      <c r="C995" t="s">
        <v>1579</v>
      </c>
      <c r="F995" t="s">
        <v>1690</v>
      </c>
      <c r="G995" t="s">
        <v>513</v>
      </c>
      <c r="H995" s="13">
        <v>59.82</v>
      </c>
      <c r="I995" s="13">
        <v>22.9</v>
      </c>
      <c r="J995" s="42">
        <v>1979</v>
      </c>
      <c r="K995" s="42">
        <v>2008</v>
      </c>
      <c r="L995" s="13">
        <f t="shared" si="49"/>
        <v>30</v>
      </c>
      <c r="M995" t="s">
        <v>369</v>
      </c>
      <c r="N995" t="s">
        <v>380</v>
      </c>
      <c r="O995" t="s">
        <v>380</v>
      </c>
      <c r="Q995" t="s">
        <v>1615</v>
      </c>
      <c r="R995" t="s">
        <v>1658</v>
      </c>
      <c r="V995" s="43">
        <v>4.0293621906833534</v>
      </c>
      <c r="W995" t="str">
        <f t="shared" si="47"/>
        <v>N</v>
      </c>
      <c r="X995" t="str">
        <f t="shared" si="48"/>
        <v>Y</v>
      </c>
      <c r="Z995" s="4" t="str">
        <f t="shared" si="46"/>
        <v>Y</v>
      </c>
      <c r="AC995" s="15" t="s">
        <v>1661</v>
      </c>
    </row>
    <row r="996" spans="2:92" x14ac:dyDescent="0.2">
      <c r="B996" t="s">
        <v>1330</v>
      </c>
      <c r="C996" t="s">
        <v>1579</v>
      </c>
      <c r="F996" t="s">
        <v>1690</v>
      </c>
      <c r="G996" t="s">
        <v>513</v>
      </c>
      <c r="H996" s="13">
        <v>59.82</v>
      </c>
      <c r="I996" s="13">
        <v>22.9</v>
      </c>
      <c r="J996" s="42">
        <v>1979</v>
      </c>
      <c r="K996" s="42">
        <v>2008</v>
      </c>
      <c r="L996" s="13">
        <f t="shared" si="49"/>
        <v>30</v>
      </c>
      <c r="M996" t="s">
        <v>369</v>
      </c>
      <c r="N996" t="s">
        <v>380</v>
      </c>
      <c r="O996" t="s">
        <v>380</v>
      </c>
      <c r="Q996" t="s">
        <v>1615</v>
      </c>
      <c r="R996" t="s">
        <v>1658</v>
      </c>
      <c r="V996" s="43">
        <v>1.823778000341999</v>
      </c>
      <c r="W996" t="str">
        <f t="shared" si="47"/>
        <v>N</v>
      </c>
      <c r="X996" t="str">
        <f t="shared" si="48"/>
        <v>Y</v>
      </c>
      <c r="Z996" s="4" t="str">
        <f t="shared" si="46"/>
        <v>Y</v>
      </c>
      <c r="AC996" s="15" t="s">
        <v>1661</v>
      </c>
    </row>
    <row r="997" spans="2:92" x14ac:dyDescent="0.2">
      <c r="B997" t="s">
        <v>1330</v>
      </c>
      <c r="C997" t="s">
        <v>1579</v>
      </c>
      <c r="F997" t="s">
        <v>1690</v>
      </c>
      <c r="G997" t="s">
        <v>513</v>
      </c>
      <c r="H997" s="13">
        <v>59.82</v>
      </c>
      <c r="I997" s="13">
        <v>22.9</v>
      </c>
      <c r="J997" s="42">
        <v>1979</v>
      </c>
      <c r="K997" s="42">
        <v>2008</v>
      </c>
      <c r="L997" s="13">
        <f t="shared" si="49"/>
        <v>30</v>
      </c>
      <c r="M997" t="s">
        <v>369</v>
      </c>
      <c r="N997" t="s">
        <v>380</v>
      </c>
      <c r="O997" t="s">
        <v>380</v>
      </c>
      <c r="Q997" t="s">
        <v>1613</v>
      </c>
      <c r="R997" t="s">
        <v>1658</v>
      </c>
      <c r="V997" s="43">
        <v>-4.8703712762315226</v>
      </c>
      <c r="W997" t="str">
        <f t="shared" si="47"/>
        <v>Y</v>
      </c>
      <c r="X997" t="str">
        <f t="shared" si="48"/>
        <v>Y</v>
      </c>
      <c r="Z997" s="4" t="str">
        <f t="shared" si="46"/>
        <v>Y</v>
      </c>
      <c r="AC997" s="15" t="s">
        <v>1661</v>
      </c>
    </row>
    <row r="998" spans="2:92" x14ac:dyDescent="0.2">
      <c r="B998" t="s">
        <v>1330</v>
      </c>
      <c r="C998" t="s">
        <v>1579</v>
      </c>
      <c r="F998" t="s">
        <v>1690</v>
      </c>
      <c r="G998" t="s">
        <v>513</v>
      </c>
      <c r="H998" s="13">
        <v>59.82</v>
      </c>
      <c r="I998" s="13">
        <v>22.9</v>
      </c>
      <c r="J998" s="42">
        <v>1979</v>
      </c>
      <c r="K998" s="42">
        <v>2008</v>
      </c>
      <c r="L998" s="13">
        <f t="shared" si="49"/>
        <v>30</v>
      </c>
      <c r="M998" t="s">
        <v>369</v>
      </c>
      <c r="N998" t="s">
        <v>380</v>
      </c>
      <c r="O998" t="s">
        <v>380</v>
      </c>
      <c r="Q998" t="s">
        <v>1613</v>
      </c>
      <c r="R998" t="s">
        <v>1658</v>
      </c>
      <c r="V998" s="43">
        <v>-3.062906618402442</v>
      </c>
      <c r="W998" t="str">
        <f t="shared" ref="W998:W1029" si="50">IF(V998&lt;0,"Y","N")</f>
        <v>Y</v>
      </c>
      <c r="X998" t="str">
        <f t="shared" ref="X998:X1029" si="51">IF(L998&gt;=19,"Y","N")</f>
        <v>Y</v>
      </c>
      <c r="Z998" s="4" t="str">
        <f t="shared" si="46"/>
        <v>Y</v>
      </c>
      <c r="AC998" s="15" t="s">
        <v>1661</v>
      </c>
    </row>
    <row r="999" spans="2:92" x14ac:dyDescent="0.2">
      <c r="B999" t="s">
        <v>1330</v>
      </c>
      <c r="C999" t="s">
        <v>1579</v>
      </c>
      <c r="F999" t="s">
        <v>1690</v>
      </c>
      <c r="G999" t="s">
        <v>513</v>
      </c>
      <c r="H999" s="13">
        <v>59.82</v>
      </c>
      <c r="I999" s="13">
        <v>22.9</v>
      </c>
      <c r="J999" s="42">
        <v>1979</v>
      </c>
      <c r="K999" s="42">
        <v>2008</v>
      </c>
      <c r="L999" s="13">
        <f t="shared" si="49"/>
        <v>30</v>
      </c>
      <c r="M999" t="s">
        <v>369</v>
      </c>
      <c r="N999" t="s">
        <v>380</v>
      </c>
      <c r="O999" t="s">
        <v>380</v>
      </c>
      <c r="Q999" t="s">
        <v>1625</v>
      </c>
      <c r="R999" t="s">
        <v>1658</v>
      </c>
      <c r="V999" s="43">
        <v>-4.037034803064131</v>
      </c>
      <c r="W999" t="str">
        <f t="shared" si="50"/>
        <v>Y</v>
      </c>
      <c r="X999" t="str">
        <f t="shared" si="51"/>
        <v>Y</v>
      </c>
      <c r="Z999" s="4" t="str">
        <f t="shared" si="46"/>
        <v>Y</v>
      </c>
      <c r="AC999" s="15" t="s">
        <v>1661</v>
      </c>
    </row>
    <row r="1000" spans="2:92" x14ac:dyDescent="0.2">
      <c r="B1000" t="s">
        <v>1330</v>
      </c>
      <c r="C1000" t="s">
        <v>1579</v>
      </c>
      <c r="F1000" t="s">
        <v>1690</v>
      </c>
      <c r="G1000" t="s">
        <v>513</v>
      </c>
      <c r="H1000" s="13">
        <v>59.82</v>
      </c>
      <c r="I1000" s="13">
        <v>22.9</v>
      </c>
      <c r="J1000" s="42">
        <v>1979</v>
      </c>
      <c r="K1000" s="42">
        <v>2008</v>
      </c>
      <c r="L1000" s="13">
        <f t="shared" si="49"/>
        <v>30</v>
      </c>
      <c r="M1000" t="s">
        <v>369</v>
      </c>
      <c r="N1000" t="s">
        <v>380</v>
      </c>
      <c r="O1000" t="s">
        <v>380</v>
      </c>
      <c r="Q1000" t="s">
        <v>1625</v>
      </c>
      <c r="R1000" t="s">
        <v>1658</v>
      </c>
      <c r="V1000" s="43">
        <v>-2.6388805114904565</v>
      </c>
      <c r="W1000" t="str">
        <f t="shared" si="50"/>
        <v>Y</v>
      </c>
      <c r="X1000" t="str">
        <f t="shared" si="51"/>
        <v>Y</v>
      </c>
      <c r="Z1000" s="4" t="str">
        <f t="shared" si="46"/>
        <v>Y</v>
      </c>
      <c r="AC1000" s="15" t="s">
        <v>1661</v>
      </c>
    </row>
    <row r="1001" spans="2:92" x14ac:dyDescent="0.2">
      <c r="B1001" t="s">
        <v>1330</v>
      </c>
      <c r="C1001" t="s">
        <v>1580</v>
      </c>
      <c r="F1001" t="s">
        <v>1691</v>
      </c>
      <c r="G1001" t="s">
        <v>513</v>
      </c>
      <c r="H1001" s="13">
        <v>65.22</v>
      </c>
      <c r="I1001" s="13">
        <v>10.97</v>
      </c>
      <c r="J1001" s="42">
        <v>1989</v>
      </c>
      <c r="K1001" s="42">
        <v>2009</v>
      </c>
      <c r="L1001" s="13">
        <f t="shared" si="49"/>
        <v>21</v>
      </c>
      <c r="M1001" t="s">
        <v>369</v>
      </c>
      <c r="N1001" t="s">
        <v>380</v>
      </c>
      <c r="O1001" t="s">
        <v>380</v>
      </c>
      <c r="Q1001" t="s">
        <v>1633</v>
      </c>
      <c r="R1001" t="s">
        <v>1659</v>
      </c>
      <c r="V1001" s="43">
        <v>6.73</v>
      </c>
      <c r="W1001" t="str">
        <f t="shared" si="50"/>
        <v>N</v>
      </c>
      <c r="X1001" t="str">
        <f t="shared" si="51"/>
        <v>Y</v>
      </c>
      <c r="Z1001" s="4" t="str">
        <f t="shared" si="46"/>
        <v>Y</v>
      </c>
      <c r="AC1001" s="15" t="s">
        <v>1661</v>
      </c>
    </row>
    <row r="1002" spans="2:92" x14ac:dyDescent="0.2">
      <c r="B1002" t="s">
        <v>1330</v>
      </c>
      <c r="C1002" t="s">
        <v>1580</v>
      </c>
      <c r="F1002" t="s">
        <v>1692</v>
      </c>
      <c r="G1002" t="s">
        <v>513</v>
      </c>
      <c r="H1002" s="13">
        <v>67.45</v>
      </c>
      <c r="I1002" s="13">
        <v>11.92</v>
      </c>
      <c r="J1002" s="42">
        <v>1989</v>
      </c>
      <c r="K1002" s="42">
        <v>2009</v>
      </c>
      <c r="L1002" s="13">
        <f t="shared" si="49"/>
        <v>21</v>
      </c>
      <c r="M1002" t="s">
        <v>369</v>
      </c>
      <c r="N1002" t="s">
        <v>380</v>
      </c>
      <c r="O1002" t="s">
        <v>380</v>
      </c>
      <c r="Q1002" t="s">
        <v>1633</v>
      </c>
      <c r="R1002" t="s">
        <v>1659</v>
      </c>
      <c r="V1002" s="43">
        <v>17.11</v>
      </c>
      <c r="W1002" t="str">
        <f t="shared" si="50"/>
        <v>N</v>
      </c>
      <c r="X1002" t="str">
        <f t="shared" si="51"/>
        <v>Y</v>
      </c>
      <c r="Z1002" s="4" t="str">
        <f t="shared" si="46"/>
        <v>Y</v>
      </c>
      <c r="AC1002" s="15" t="s">
        <v>1661</v>
      </c>
    </row>
    <row r="1003" spans="2:92" x14ac:dyDescent="0.2">
      <c r="B1003" t="s">
        <v>1330</v>
      </c>
      <c r="C1003" t="s">
        <v>1581</v>
      </c>
      <c r="F1003" t="s">
        <v>1693</v>
      </c>
      <c r="G1003" t="s">
        <v>514</v>
      </c>
      <c r="H1003" s="13">
        <v>-46.5</v>
      </c>
      <c r="I1003" s="13">
        <v>168.33</v>
      </c>
      <c r="J1003" s="42">
        <v>1964</v>
      </c>
      <c r="K1003" s="42">
        <v>1993</v>
      </c>
      <c r="L1003" s="13">
        <f t="shared" si="49"/>
        <v>30</v>
      </c>
      <c r="M1003" t="s">
        <v>369</v>
      </c>
      <c r="N1003" t="s">
        <v>380</v>
      </c>
      <c r="O1003" t="s">
        <v>380</v>
      </c>
      <c r="Q1003" t="s">
        <v>1616</v>
      </c>
      <c r="R1003" t="s">
        <v>1659</v>
      </c>
      <c r="V1003" s="43">
        <v>-0.01</v>
      </c>
      <c r="W1003" t="str">
        <f t="shared" si="50"/>
        <v>Y</v>
      </c>
      <c r="X1003" t="str">
        <f t="shared" si="51"/>
        <v>Y</v>
      </c>
      <c r="Z1003" s="4" t="str">
        <f t="shared" si="46"/>
        <v>Y</v>
      </c>
      <c r="AC1003" s="15" t="s">
        <v>1661</v>
      </c>
    </row>
    <row r="1004" spans="2:92" x14ac:dyDescent="0.2">
      <c r="B1004" t="s">
        <v>1330</v>
      </c>
      <c r="C1004" t="s">
        <v>1582</v>
      </c>
      <c r="F1004" t="s">
        <v>1694</v>
      </c>
      <c r="G1004" t="s">
        <v>513</v>
      </c>
      <c r="H1004" s="13">
        <v>52.35</v>
      </c>
      <c r="I1004" s="13">
        <v>175.92</v>
      </c>
      <c r="J1004" s="42">
        <v>1990</v>
      </c>
      <c r="K1004" s="42">
        <v>2008</v>
      </c>
      <c r="L1004" s="13">
        <f t="shared" si="49"/>
        <v>19</v>
      </c>
      <c r="M1004" t="s">
        <v>369</v>
      </c>
      <c r="N1004" t="s">
        <v>380</v>
      </c>
      <c r="O1004" t="s">
        <v>380</v>
      </c>
      <c r="Q1004" t="s">
        <v>1634</v>
      </c>
      <c r="R1004" t="s">
        <v>1659</v>
      </c>
      <c r="V1004" s="43">
        <v>1.6700000000000002</v>
      </c>
      <c r="W1004" t="str">
        <f t="shared" si="50"/>
        <v>N</v>
      </c>
      <c r="X1004" t="str">
        <f t="shared" si="51"/>
        <v>Y</v>
      </c>
      <c r="Z1004" s="4" t="str">
        <f t="shared" si="46"/>
        <v>Y</v>
      </c>
      <c r="AC1004" s="15" t="s">
        <v>1661</v>
      </c>
    </row>
    <row r="1005" spans="2:92" x14ac:dyDescent="0.2">
      <c r="B1005" s="4" t="s">
        <v>1330</v>
      </c>
      <c r="C1005" s="4" t="s">
        <v>1582</v>
      </c>
      <c r="D1005" s="4"/>
      <c r="E1005" s="4"/>
      <c r="F1005" s="4" t="s">
        <v>1695</v>
      </c>
      <c r="G1005" s="4" t="s">
        <v>513</v>
      </c>
      <c r="H1005" s="37">
        <v>52.18</v>
      </c>
      <c r="I1005" s="37">
        <v>175.5</v>
      </c>
      <c r="J1005" s="45">
        <v>1996</v>
      </c>
      <c r="K1005" s="45">
        <v>2008</v>
      </c>
      <c r="L1005" s="37">
        <f t="shared" si="49"/>
        <v>13</v>
      </c>
      <c r="M1005" s="4" t="s">
        <v>369</v>
      </c>
      <c r="N1005" s="4" t="s">
        <v>380</v>
      </c>
      <c r="O1005" s="4" t="s">
        <v>380</v>
      </c>
      <c r="P1005" s="4"/>
      <c r="Q1005" s="4" t="s">
        <v>1634</v>
      </c>
      <c r="R1005" s="4" t="s">
        <v>1659</v>
      </c>
      <c r="V1005" s="46">
        <v>0.49</v>
      </c>
      <c r="W1005" s="4" t="str">
        <f t="shared" si="50"/>
        <v>N</v>
      </c>
      <c r="X1005" t="str">
        <f t="shared" si="51"/>
        <v>N</v>
      </c>
      <c r="Z1005" s="4" t="str">
        <f t="shared" si="46"/>
        <v>N</v>
      </c>
      <c r="AA1005" s="4"/>
      <c r="AB1005" s="4"/>
      <c r="AC1005" s="39" t="s">
        <v>1661</v>
      </c>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4"/>
      <c r="CK1005" s="4"/>
      <c r="CL1005" s="4"/>
      <c r="CM1005" s="4"/>
      <c r="CN1005" s="4"/>
    </row>
    <row r="1006" spans="2:92" x14ac:dyDescent="0.2">
      <c r="B1006" t="s">
        <v>1330</v>
      </c>
      <c r="C1006" t="s">
        <v>1582</v>
      </c>
      <c r="F1006" t="s">
        <v>1694</v>
      </c>
      <c r="G1006" t="s">
        <v>513</v>
      </c>
      <c r="H1006" s="13">
        <v>52.35</v>
      </c>
      <c r="I1006" s="13">
        <v>175.92</v>
      </c>
      <c r="J1006" s="42">
        <v>1990</v>
      </c>
      <c r="K1006" s="42">
        <v>2008</v>
      </c>
      <c r="L1006" s="13">
        <f t="shared" si="49"/>
        <v>19</v>
      </c>
      <c r="M1006" t="s">
        <v>369</v>
      </c>
      <c r="N1006" t="s">
        <v>380</v>
      </c>
      <c r="O1006" t="s">
        <v>380</v>
      </c>
      <c r="Q1006" t="s">
        <v>1635</v>
      </c>
      <c r="R1006" t="s">
        <v>1659</v>
      </c>
      <c r="V1006" s="43">
        <v>-0.79</v>
      </c>
      <c r="W1006" t="str">
        <f t="shared" si="50"/>
        <v>Y</v>
      </c>
      <c r="X1006" t="str">
        <f t="shared" si="51"/>
        <v>Y</v>
      </c>
      <c r="Z1006" s="4" t="str">
        <f t="shared" si="46"/>
        <v>Y</v>
      </c>
      <c r="AC1006" s="15" t="s">
        <v>1661</v>
      </c>
    </row>
    <row r="1007" spans="2:92" x14ac:dyDescent="0.2">
      <c r="B1007" s="4" t="s">
        <v>1330</v>
      </c>
      <c r="C1007" s="4" t="s">
        <v>1582</v>
      </c>
      <c r="D1007" s="4"/>
      <c r="E1007" s="4"/>
      <c r="F1007" s="4" t="s">
        <v>1695</v>
      </c>
      <c r="G1007" s="4" t="s">
        <v>513</v>
      </c>
      <c r="H1007" s="37">
        <v>52.18</v>
      </c>
      <c r="I1007" s="37">
        <v>175.5</v>
      </c>
      <c r="J1007" s="45">
        <v>1996</v>
      </c>
      <c r="K1007" s="45">
        <v>2008</v>
      </c>
      <c r="L1007" s="37">
        <f t="shared" si="49"/>
        <v>13</v>
      </c>
      <c r="M1007" s="4" t="s">
        <v>369</v>
      </c>
      <c r="N1007" s="4" t="s">
        <v>380</v>
      </c>
      <c r="O1007" s="4" t="s">
        <v>380</v>
      </c>
      <c r="P1007" s="4"/>
      <c r="Q1007" s="4" t="s">
        <v>1635</v>
      </c>
      <c r="R1007" s="4" t="s">
        <v>1659</v>
      </c>
      <c r="V1007" s="46">
        <v>2.09</v>
      </c>
      <c r="W1007" s="4" t="str">
        <f t="shared" si="50"/>
        <v>N</v>
      </c>
      <c r="X1007" t="str">
        <f t="shared" si="51"/>
        <v>N</v>
      </c>
      <c r="Z1007" s="4" t="str">
        <f t="shared" si="46"/>
        <v>N</v>
      </c>
      <c r="AA1007" s="4"/>
      <c r="AB1007" s="4"/>
      <c r="AC1007" s="39" t="s">
        <v>1661</v>
      </c>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4"/>
      <c r="CK1007" s="4"/>
      <c r="CL1007" s="4"/>
      <c r="CM1007" s="4"/>
      <c r="CN1007" s="4"/>
    </row>
    <row r="1008" spans="2:92" x14ac:dyDescent="0.2">
      <c r="B1008" t="s">
        <v>1330</v>
      </c>
      <c r="C1008" t="s">
        <v>1582</v>
      </c>
      <c r="F1008" t="s">
        <v>1694</v>
      </c>
      <c r="G1008" t="s">
        <v>513</v>
      </c>
      <c r="H1008" s="13">
        <v>52.35</v>
      </c>
      <c r="I1008" s="13">
        <v>175.92</v>
      </c>
      <c r="J1008" s="42">
        <v>1990</v>
      </c>
      <c r="K1008" s="42">
        <v>2008</v>
      </c>
      <c r="L1008" s="13">
        <f t="shared" si="49"/>
        <v>19</v>
      </c>
      <c r="M1008" t="s">
        <v>369</v>
      </c>
      <c r="N1008" t="s">
        <v>380</v>
      </c>
      <c r="O1008" t="s">
        <v>380</v>
      </c>
      <c r="Q1008" t="s">
        <v>1636</v>
      </c>
      <c r="R1008" t="s">
        <v>1659</v>
      </c>
      <c r="V1008" s="43">
        <v>-1.0900000000000001</v>
      </c>
      <c r="W1008" t="str">
        <f t="shared" si="50"/>
        <v>Y</v>
      </c>
      <c r="X1008" t="str">
        <f t="shared" si="51"/>
        <v>Y</v>
      </c>
      <c r="Z1008" s="4" t="str">
        <f t="shared" si="46"/>
        <v>Y</v>
      </c>
      <c r="AC1008" s="15" t="s">
        <v>1661</v>
      </c>
    </row>
    <row r="1009" spans="1:92" x14ac:dyDescent="0.2">
      <c r="B1009" s="4" t="s">
        <v>1330</v>
      </c>
      <c r="C1009" s="4" t="s">
        <v>1583</v>
      </c>
      <c r="D1009" s="4"/>
      <c r="E1009" s="4"/>
      <c r="F1009" s="4" t="s">
        <v>1696</v>
      </c>
      <c r="G1009" s="4" t="s">
        <v>514</v>
      </c>
      <c r="H1009" s="37">
        <v>-64.75</v>
      </c>
      <c r="I1009" s="37">
        <v>-64.099999999999994</v>
      </c>
      <c r="J1009" s="45">
        <v>1991</v>
      </c>
      <c r="K1009" s="45">
        <v>2000</v>
      </c>
      <c r="L1009" s="37">
        <f t="shared" si="49"/>
        <v>10</v>
      </c>
      <c r="M1009" s="4" t="s">
        <v>369</v>
      </c>
      <c r="N1009" s="4" t="s">
        <v>380</v>
      </c>
      <c r="O1009" s="4" t="s">
        <v>380</v>
      </c>
      <c r="P1009" s="4"/>
      <c r="Q1009" s="4" t="s">
        <v>1637</v>
      </c>
      <c r="R1009" s="4" t="s">
        <v>1659</v>
      </c>
      <c r="V1009" s="46">
        <v>-6.25</v>
      </c>
      <c r="W1009" s="4" t="str">
        <f t="shared" si="50"/>
        <v>Y</v>
      </c>
      <c r="X1009" t="str">
        <f t="shared" si="51"/>
        <v>N</v>
      </c>
      <c r="Z1009" s="4" t="str">
        <f t="shared" si="46"/>
        <v>N</v>
      </c>
      <c r="AA1009" s="4"/>
      <c r="AB1009" s="4"/>
      <c r="AC1009" s="39" t="s">
        <v>1661</v>
      </c>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4"/>
      <c r="CK1009" s="4"/>
      <c r="CL1009" s="4"/>
      <c r="CM1009" s="4"/>
      <c r="CN1009" s="4"/>
    </row>
    <row r="1010" spans="1:92" x14ac:dyDescent="0.2">
      <c r="B1010" s="4" t="s">
        <v>1330</v>
      </c>
      <c r="C1010" s="4" t="s">
        <v>1583</v>
      </c>
      <c r="D1010" s="4"/>
      <c r="E1010" s="4"/>
      <c r="F1010" s="4" t="s">
        <v>1697</v>
      </c>
      <c r="G1010" s="4" t="s">
        <v>514</v>
      </c>
      <c r="H1010" s="37">
        <v>-62.58</v>
      </c>
      <c r="I1010" s="37">
        <v>-60.46</v>
      </c>
      <c r="J1010" s="45">
        <v>1997</v>
      </c>
      <c r="K1010" s="45">
        <v>2006</v>
      </c>
      <c r="L1010" s="37">
        <f t="shared" si="49"/>
        <v>10</v>
      </c>
      <c r="M1010" s="4" t="s">
        <v>369</v>
      </c>
      <c r="N1010" s="4" t="s">
        <v>380</v>
      </c>
      <c r="O1010" s="4" t="s">
        <v>380</v>
      </c>
      <c r="P1010" s="4"/>
      <c r="Q1010" s="4" t="s">
        <v>1638</v>
      </c>
      <c r="R1010" s="4" t="s">
        <v>1659</v>
      </c>
      <c r="V1010" s="46">
        <v>-3.33</v>
      </c>
      <c r="W1010" s="4" t="str">
        <f t="shared" si="50"/>
        <v>Y</v>
      </c>
      <c r="X1010" t="str">
        <f t="shared" si="51"/>
        <v>N</v>
      </c>
      <c r="Z1010" s="4" t="str">
        <f t="shared" si="46"/>
        <v>N</v>
      </c>
      <c r="AA1010" s="4"/>
      <c r="AB1010" s="4"/>
      <c r="AC1010" s="39" t="s">
        <v>1661</v>
      </c>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row>
    <row r="1011" spans="1:92" x14ac:dyDescent="0.2">
      <c r="B1011" s="4" t="s">
        <v>1330</v>
      </c>
      <c r="C1011" s="4" t="s">
        <v>1584</v>
      </c>
      <c r="D1011" s="4"/>
      <c r="E1011" s="4"/>
      <c r="F1011" s="4" t="s">
        <v>1698</v>
      </c>
      <c r="G1011" s="4" t="s">
        <v>514</v>
      </c>
      <c r="H1011" s="37">
        <v>-4.21</v>
      </c>
      <c r="I1011" s="37">
        <v>55.66</v>
      </c>
      <c r="J1011" s="45">
        <v>2001</v>
      </c>
      <c r="K1011" s="45">
        <v>2011</v>
      </c>
      <c r="L1011" s="37">
        <f t="shared" si="49"/>
        <v>11</v>
      </c>
      <c r="M1011" s="4" t="s">
        <v>369</v>
      </c>
      <c r="N1011" s="4" t="s">
        <v>380</v>
      </c>
      <c r="O1011" s="4" t="s">
        <v>380</v>
      </c>
      <c r="P1011" s="4"/>
      <c r="Q1011" s="4" t="s">
        <v>1639</v>
      </c>
      <c r="R1011" s="4" t="s">
        <v>1659</v>
      </c>
      <c r="V1011" s="46">
        <v>20.67</v>
      </c>
      <c r="W1011" s="4" t="str">
        <f t="shared" si="50"/>
        <v>N</v>
      </c>
      <c r="X1011" t="str">
        <f t="shared" si="51"/>
        <v>N</v>
      </c>
      <c r="Z1011" s="4" t="str">
        <f t="shared" si="46"/>
        <v>N</v>
      </c>
      <c r="AA1011" s="4"/>
      <c r="AB1011" s="4"/>
      <c r="AC1011" s="39" t="s">
        <v>1661</v>
      </c>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4"/>
      <c r="CK1011" s="4"/>
      <c r="CL1011" s="4"/>
      <c r="CM1011" s="4"/>
      <c r="CN1011" s="4"/>
    </row>
    <row r="1012" spans="1:92" x14ac:dyDescent="0.2">
      <c r="B1012" t="s">
        <v>1330</v>
      </c>
      <c r="C1012" t="s">
        <v>1585</v>
      </c>
      <c r="F1012" t="s">
        <v>1699</v>
      </c>
      <c r="G1012" t="s">
        <v>513</v>
      </c>
      <c r="H1012" s="13">
        <v>64.650000000000006</v>
      </c>
      <c r="I1012" s="13">
        <v>-163.75</v>
      </c>
      <c r="J1012" s="42">
        <v>1975</v>
      </c>
      <c r="K1012" s="42">
        <v>2008</v>
      </c>
      <c r="L1012" s="13">
        <f t="shared" si="49"/>
        <v>34</v>
      </c>
      <c r="M1012" t="s">
        <v>369</v>
      </c>
      <c r="N1012" t="s">
        <v>380</v>
      </c>
      <c r="O1012" t="s">
        <v>380</v>
      </c>
      <c r="Q1012" t="s">
        <v>1640</v>
      </c>
      <c r="R1012" t="s">
        <v>1659</v>
      </c>
      <c r="V1012" s="43">
        <v>-2.0699999999999998</v>
      </c>
      <c r="W1012" t="str">
        <f t="shared" si="50"/>
        <v>Y</v>
      </c>
      <c r="X1012" t="str">
        <f t="shared" si="51"/>
        <v>Y</v>
      </c>
      <c r="Z1012" s="4" t="str">
        <f t="shared" si="46"/>
        <v>Y</v>
      </c>
      <c r="AC1012" s="15" t="s">
        <v>1661</v>
      </c>
    </row>
    <row r="1013" spans="1:92" x14ac:dyDescent="0.2">
      <c r="B1013" t="s">
        <v>1330</v>
      </c>
      <c r="C1013" t="s">
        <v>1585</v>
      </c>
      <c r="F1013" t="s">
        <v>1700</v>
      </c>
      <c r="G1013" t="s">
        <v>513</v>
      </c>
      <c r="H1013" s="13">
        <v>68.14</v>
      </c>
      <c r="I1013" s="13">
        <v>-165.95</v>
      </c>
      <c r="J1013" s="42">
        <v>1976</v>
      </c>
      <c r="K1013" s="42">
        <v>1995</v>
      </c>
      <c r="L1013" s="13">
        <f t="shared" si="49"/>
        <v>20</v>
      </c>
      <c r="M1013" t="s">
        <v>369</v>
      </c>
      <c r="N1013" t="s">
        <v>380</v>
      </c>
      <c r="O1013" t="s">
        <v>380</v>
      </c>
      <c r="Q1013" t="s">
        <v>1640</v>
      </c>
      <c r="R1013" t="s">
        <v>1659</v>
      </c>
      <c r="V1013" s="43">
        <v>-6.2</v>
      </c>
      <c r="W1013" t="str">
        <f t="shared" si="50"/>
        <v>Y</v>
      </c>
      <c r="X1013" t="str">
        <f t="shared" si="51"/>
        <v>Y</v>
      </c>
      <c r="Z1013" s="4" t="str">
        <f t="shared" si="46"/>
        <v>Y</v>
      </c>
      <c r="AC1013" s="15" t="s">
        <v>1661</v>
      </c>
    </row>
    <row r="1014" spans="1:92" x14ac:dyDescent="0.2">
      <c r="B1014" t="s">
        <v>1330</v>
      </c>
      <c r="C1014" t="s">
        <v>1585</v>
      </c>
      <c r="F1014" t="s">
        <v>1701</v>
      </c>
      <c r="G1014" t="s">
        <v>513</v>
      </c>
      <c r="H1014" s="13">
        <v>68.69</v>
      </c>
      <c r="I1014" s="13">
        <v>-166.21</v>
      </c>
      <c r="J1014" s="42">
        <v>1977</v>
      </c>
      <c r="K1014" s="42">
        <v>2008</v>
      </c>
      <c r="L1014" s="13">
        <f t="shared" si="49"/>
        <v>32</v>
      </c>
      <c r="M1014" t="s">
        <v>369</v>
      </c>
      <c r="N1014" t="s">
        <v>380</v>
      </c>
      <c r="O1014" t="s">
        <v>380</v>
      </c>
      <c r="Q1014" t="s">
        <v>1640</v>
      </c>
      <c r="R1014" t="s">
        <v>1659</v>
      </c>
      <c r="V1014" s="43">
        <v>-0.29000000000000004</v>
      </c>
      <c r="W1014" t="str">
        <f t="shared" si="50"/>
        <v>Y</v>
      </c>
      <c r="X1014" t="str">
        <f t="shared" si="51"/>
        <v>Y</v>
      </c>
      <c r="Z1014" s="4" t="str">
        <f t="shared" si="46"/>
        <v>Y</v>
      </c>
      <c r="AC1014" s="15" t="s">
        <v>1661</v>
      </c>
    </row>
    <row r="1015" spans="1:92" x14ac:dyDescent="0.2">
      <c r="B1015" s="4" t="s">
        <v>1330</v>
      </c>
      <c r="C1015" s="4" t="s">
        <v>1586</v>
      </c>
      <c r="D1015" s="4"/>
      <c r="E1015" s="4"/>
      <c r="F1015" s="4" t="s">
        <v>1702</v>
      </c>
      <c r="G1015" s="4" t="s">
        <v>514</v>
      </c>
      <c r="H1015" s="37">
        <v>-74.209999999999994</v>
      </c>
      <c r="I1015" s="37">
        <v>165.1</v>
      </c>
      <c r="J1015" s="45">
        <v>1995</v>
      </c>
      <c r="K1015" s="45">
        <v>2005</v>
      </c>
      <c r="L1015" s="37">
        <f t="shared" si="49"/>
        <v>11</v>
      </c>
      <c r="M1015" s="4" t="s">
        <v>369</v>
      </c>
      <c r="N1015" s="4" t="s">
        <v>380</v>
      </c>
      <c r="O1015" s="4" t="s">
        <v>380</v>
      </c>
      <c r="P1015" s="4"/>
      <c r="Q1015" s="4" t="s">
        <v>1637</v>
      </c>
      <c r="R1015" s="4" t="s">
        <v>1659</v>
      </c>
      <c r="V1015" s="46">
        <v>2.59</v>
      </c>
      <c r="W1015" s="4" t="str">
        <f t="shared" si="50"/>
        <v>N</v>
      </c>
      <c r="X1015" t="str">
        <f t="shared" si="51"/>
        <v>N</v>
      </c>
      <c r="Z1015" s="4" t="str">
        <f t="shared" si="46"/>
        <v>N</v>
      </c>
      <c r="AA1015" s="4"/>
      <c r="AB1015" s="4"/>
      <c r="AC1015" s="39" t="s">
        <v>1661</v>
      </c>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4"/>
      <c r="CK1015" s="4"/>
      <c r="CL1015" s="4"/>
      <c r="CM1015" s="4"/>
      <c r="CN1015" s="4"/>
    </row>
    <row r="1016" spans="1:92" x14ac:dyDescent="0.2">
      <c r="B1016" s="4" t="s">
        <v>1330</v>
      </c>
      <c r="C1016" s="4" t="s">
        <v>1587</v>
      </c>
      <c r="D1016" s="4"/>
      <c r="E1016" s="4"/>
      <c r="F1016" s="4" t="s">
        <v>1698</v>
      </c>
      <c r="G1016" s="4" t="s">
        <v>514</v>
      </c>
      <c r="H1016" s="37">
        <v>-4.21</v>
      </c>
      <c r="I1016" s="37">
        <v>55.66</v>
      </c>
      <c r="J1016" s="45">
        <v>1985</v>
      </c>
      <c r="K1016" s="45">
        <v>2001</v>
      </c>
      <c r="L1016" s="37">
        <f t="shared" si="49"/>
        <v>17</v>
      </c>
      <c r="M1016" s="4" t="s">
        <v>369</v>
      </c>
      <c r="N1016" s="4" t="s">
        <v>380</v>
      </c>
      <c r="O1016" s="4" t="s">
        <v>380</v>
      </c>
      <c r="P1016" s="4"/>
      <c r="Q1016" s="4" t="s">
        <v>1641</v>
      </c>
      <c r="R1016" s="4" t="s">
        <v>1659</v>
      </c>
      <c r="V1016" s="46">
        <v>-1.22</v>
      </c>
      <c r="W1016" s="4" t="str">
        <f t="shared" si="50"/>
        <v>Y</v>
      </c>
      <c r="X1016" t="str">
        <f t="shared" si="51"/>
        <v>N</v>
      </c>
      <c r="Z1016" s="4" t="str">
        <f t="shared" si="46"/>
        <v>N</v>
      </c>
      <c r="AA1016" s="4"/>
      <c r="AB1016" s="4"/>
      <c r="AC1016" s="39" t="s">
        <v>1661</v>
      </c>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row>
    <row r="1017" spans="1:92" s="4" customFormat="1" x14ac:dyDescent="0.2">
      <c r="A1017"/>
      <c r="B1017" s="4" t="s">
        <v>1330</v>
      </c>
      <c r="C1017" s="4" t="s">
        <v>1588</v>
      </c>
      <c r="F1017" s="4" t="s">
        <v>1703</v>
      </c>
      <c r="G1017" s="4" t="s">
        <v>513</v>
      </c>
      <c r="H1017" s="37">
        <v>56.98</v>
      </c>
      <c r="I1017" s="37">
        <v>-135.71</v>
      </c>
      <c r="J1017" s="45">
        <v>1994</v>
      </c>
      <c r="K1017" s="45">
        <v>2006</v>
      </c>
      <c r="L1017" s="37">
        <f t="shared" si="49"/>
        <v>13</v>
      </c>
      <c r="M1017" s="4" t="s">
        <v>369</v>
      </c>
      <c r="N1017" s="4" t="s">
        <v>380</v>
      </c>
      <c r="O1017" s="4" t="s">
        <v>380</v>
      </c>
      <c r="Q1017" s="4" t="s">
        <v>1642</v>
      </c>
      <c r="R1017" s="4" t="s">
        <v>1659</v>
      </c>
      <c r="S1017"/>
      <c r="T1017"/>
      <c r="U1017"/>
      <c r="V1017" s="46">
        <v>1.8199999999999998</v>
      </c>
      <c r="W1017" s="4" t="str">
        <f t="shared" si="50"/>
        <v>N</v>
      </c>
      <c r="X1017" t="str">
        <f t="shared" si="51"/>
        <v>N</v>
      </c>
      <c r="Y1017"/>
      <c r="Z1017" s="4" t="str">
        <f t="shared" si="46"/>
        <v>N</v>
      </c>
      <c r="AC1017" s="39" t="s">
        <v>1661</v>
      </c>
      <c r="AD1017"/>
      <c r="AE1017"/>
      <c r="AF1017"/>
      <c r="AG1017"/>
      <c r="AH1017"/>
    </row>
    <row r="1018" spans="1:92" x14ac:dyDescent="0.2">
      <c r="B1018" s="4" t="s">
        <v>1330</v>
      </c>
      <c r="C1018" s="4" t="s">
        <v>1588</v>
      </c>
      <c r="D1018" s="4"/>
      <c r="E1018" s="4"/>
      <c r="F1018" s="4" t="s">
        <v>1703</v>
      </c>
      <c r="G1018" s="4" t="s">
        <v>513</v>
      </c>
      <c r="H1018" s="37">
        <v>56.98</v>
      </c>
      <c r="I1018" s="37">
        <v>-135.71</v>
      </c>
      <c r="J1018" s="45">
        <v>1995</v>
      </c>
      <c r="K1018" s="45">
        <v>2006</v>
      </c>
      <c r="L1018" s="37">
        <f t="shared" si="49"/>
        <v>12</v>
      </c>
      <c r="M1018" s="4" t="s">
        <v>369</v>
      </c>
      <c r="N1018" s="4" t="s">
        <v>380</v>
      </c>
      <c r="O1018" s="4" t="s">
        <v>380</v>
      </c>
      <c r="P1018" s="4"/>
      <c r="Q1018" s="4" t="s">
        <v>1643</v>
      </c>
      <c r="R1018" s="4" t="s">
        <v>1659</v>
      </c>
      <c r="V1018" s="46">
        <v>-15.91</v>
      </c>
      <c r="W1018" s="4" t="str">
        <f t="shared" si="50"/>
        <v>Y</v>
      </c>
      <c r="X1018" t="str">
        <f t="shared" si="51"/>
        <v>N</v>
      </c>
      <c r="Z1018" s="4" t="str">
        <f t="shared" si="46"/>
        <v>N</v>
      </c>
      <c r="AA1018" s="4"/>
      <c r="AB1018" s="4"/>
      <c r="AC1018" s="39" t="s">
        <v>1661</v>
      </c>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4"/>
      <c r="CK1018" s="4"/>
      <c r="CL1018" s="4"/>
      <c r="CM1018" s="4"/>
      <c r="CN1018" s="4"/>
    </row>
    <row r="1019" spans="1:92" s="4" customFormat="1" x14ac:dyDescent="0.2">
      <c r="A1019"/>
      <c r="B1019" s="4" t="s">
        <v>1330</v>
      </c>
      <c r="C1019" s="4" t="s">
        <v>1588</v>
      </c>
      <c r="F1019" s="4" t="s">
        <v>1703</v>
      </c>
      <c r="G1019" s="4" t="s">
        <v>513</v>
      </c>
      <c r="H1019" s="37">
        <v>56.98</v>
      </c>
      <c r="I1019" s="37">
        <v>-135.71</v>
      </c>
      <c r="J1019" s="45">
        <v>1995</v>
      </c>
      <c r="K1019" s="45">
        <v>2006</v>
      </c>
      <c r="L1019" s="37">
        <f t="shared" si="49"/>
        <v>12</v>
      </c>
      <c r="M1019" s="4" t="s">
        <v>369</v>
      </c>
      <c r="N1019" s="4" t="s">
        <v>380</v>
      </c>
      <c r="O1019" s="4" t="s">
        <v>380</v>
      </c>
      <c r="Q1019" s="4" t="s">
        <v>1644</v>
      </c>
      <c r="R1019" s="4" t="s">
        <v>1659</v>
      </c>
      <c r="S1019"/>
      <c r="T1019"/>
      <c r="U1019"/>
      <c r="V1019" s="46">
        <v>-5.67</v>
      </c>
      <c r="W1019" s="4" t="str">
        <f t="shared" si="50"/>
        <v>Y</v>
      </c>
      <c r="X1019" t="str">
        <f t="shared" si="51"/>
        <v>N</v>
      </c>
      <c r="Y1019"/>
      <c r="Z1019" s="4" t="str">
        <f t="shared" si="46"/>
        <v>N</v>
      </c>
      <c r="AC1019" s="39" t="s">
        <v>1661</v>
      </c>
      <c r="AD1019"/>
      <c r="AE1019"/>
      <c r="AF1019"/>
      <c r="AG1019"/>
      <c r="AH1019"/>
    </row>
    <row r="1020" spans="1:92" x14ac:dyDescent="0.2">
      <c r="B1020" s="4" t="s">
        <v>1330</v>
      </c>
      <c r="C1020" s="4" t="s">
        <v>1588</v>
      </c>
      <c r="D1020" s="4"/>
      <c r="E1020" s="4"/>
      <c r="F1020" s="4" t="s">
        <v>1703</v>
      </c>
      <c r="G1020" s="4" t="s">
        <v>513</v>
      </c>
      <c r="H1020" s="37">
        <v>56.98</v>
      </c>
      <c r="I1020" s="37">
        <v>-135.71</v>
      </c>
      <c r="J1020" s="45">
        <v>1994</v>
      </c>
      <c r="K1020" s="45">
        <v>2006</v>
      </c>
      <c r="L1020" s="37">
        <f t="shared" si="49"/>
        <v>13</v>
      </c>
      <c r="M1020" s="4" t="s">
        <v>369</v>
      </c>
      <c r="N1020" s="4" t="s">
        <v>380</v>
      </c>
      <c r="O1020" s="4" t="s">
        <v>380</v>
      </c>
      <c r="P1020" s="4"/>
      <c r="Q1020" s="4" t="s">
        <v>1645</v>
      </c>
      <c r="R1020" s="4" t="s">
        <v>1659</v>
      </c>
      <c r="V1020" s="46">
        <v>-4.01</v>
      </c>
      <c r="W1020" s="4" t="str">
        <f t="shared" si="50"/>
        <v>Y</v>
      </c>
      <c r="X1020" t="str">
        <f t="shared" si="51"/>
        <v>N</v>
      </c>
      <c r="Z1020" s="4" t="str">
        <f t="shared" si="46"/>
        <v>N</v>
      </c>
      <c r="AA1020" s="4"/>
      <c r="AB1020" s="4"/>
      <c r="AC1020" s="39" t="s">
        <v>1661</v>
      </c>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c r="CH1020" s="4"/>
      <c r="CI1020" s="4"/>
      <c r="CJ1020" s="4"/>
      <c r="CK1020" s="4"/>
      <c r="CL1020" s="4"/>
      <c r="CM1020" s="4"/>
      <c r="CN1020" s="4"/>
    </row>
    <row r="1021" spans="1:92" s="4" customFormat="1" x14ac:dyDescent="0.2">
      <c r="A1021"/>
      <c r="B1021" s="4" t="s">
        <v>1330</v>
      </c>
      <c r="C1021" s="4" t="s">
        <v>1588</v>
      </c>
      <c r="F1021" s="4" t="s">
        <v>1703</v>
      </c>
      <c r="G1021" s="4" t="s">
        <v>513</v>
      </c>
      <c r="H1021" s="37">
        <v>56.98</v>
      </c>
      <c r="I1021" s="37">
        <v>-135.71</v>
      </c>
      <c r="J1021" s="45">
        <v>1994</v>
      </c>
      <c r="K1021" s="45">
        <v>2006</v>
      </c>
      <c r="L1021" s="37">
        <f t="shared" si="49"/>
        <v>13</v>
      </c>
      <c r="M1021" s="4" t="s">
        <v>369</v>
      </c>
      <c r="N1021" s="4" t="s">
        <v>380</v>
      </c>
      <c r="O1021" s="4" t="s">
        <v>380</v>
      </c>
      <c r="Q1021" s="4" t="s">
        <v>1622</v>
      </c>
      <c r="R1021" s="4" t="s">
        <v>1659</v>
      </c>
      <c r="S1021"/>
      <c r="T1021"/>
      <c r="U1021"/>
      <c r="V1021" s="46">
        <v>-4.7799999999999994</v>
      </c>
      <c r="W1021" s="4" t="str">
        <f t="shared" si="50"/>
        <v>Y</v>
      </c>
      <c r="X1021" t="str">
        <f t="shared" si="51"/>
        <v>N</v>
      </c>
      <c r="Y1021"/>
      <c r="Z1021" s="4" t="str">
        <f t="shared" si="46"/>
        <v>N</v>
      </c>
      <c r="AC1021" s="39" t="s">
        <v>1661</v>
      </c>
      <c r="AD1021"/>
      <c r="AE1021"/>
      <c r="AF1021"/>
      <c r="AG1021"/>
      <c r="AH1021"/>
    </row>
    <row r="1022" spans="1:92" s="4" customFormat="1" x14ac:dyDescent="0.2">
      <c r="A1022"/>
      <c r="B1022" s="4" t="s">
        <v>1330</v>
      </c>
      <c r="C1022" s="4" t="s">
        <v>1589</v>
      </c>
      <c r="F1022" s="4" t="s">
        <v>1704</v>
      </c>
      <c r="G1022" s="4" t="s">
        <v>513</v>
      </c>
      <c r="H1022" s="37">
        <v>43.55</v>
      </c>
      <c r="I1022" s="37">
        <v>-7</v>
      </c>
      <c r="J1022" s="45">
        <v>1998</v>
      </c>
      <c r="K1022" s="45">
        <v>2008</v>
      </c>
      <c r="L1022" s="37">
        <f t="shared" si="49"/>
        <v>11</v>
      </c>
      <c r="M1022" s="4" t="s">
        <v>369</v>
      </c>
      <c r="N1022" s="4" t="s">
        <v>380</v>
      </c>
      <c r="O1022" s="4" t="s">
        <v>380</v>
      </c>
      <c r="Q1022" s="4" t="s">
        <v>1633</v>
      </c>
      <c r="R1022" s="4" t="s">
        <v>1659</v>
      </c>
      <c r="S1022"/>
      <c r="T1022"/>
      <c r="U1022"/>
      <c r="V1022" s="46">
        <v>-43.5</v>
      </c>
      <c r="W1022" s="4" t="str">
        <f t="shared" si="50"/>
        <v>Y</v>
      </c>
      <c r="X1022" t="str">
        <f t="shared" si="51"/>
        <v>N</v>
      </c>
      <c r="Y1022"/>
      <c r="Z1022" s="4" t="str">
        <f t="shared" si="46"/>
        <v>N</v>
      </c>
      <c r="AC1022" s="39" t="s">
        <v>1661</v>
      </c>
      <c r="AD1022"/>
      <c r="AE1022"/>
      <c r="AF1022"/>
      <c r="AG1022"/>
      <c r="AH1022"/>
    </row>
    <row r="1023" spans="1:92" s="4" customFormat="1" x14ac:dyDescent="0.2">
      <c r="A1023"/>
      <c r="B1023" t="s">
        <v>1330</v>
      </c>
      <c r="C1023" t="s">
        <v>1590</v>
      </c>
      <c r="D1023"/>
      <c r="E1023"/>
      <c r="F1023" t="s">
        <v>1705</v>
      </c>
      <c r="G1023" t="s">
        <v>513</v>
      </c>
      <c r="H1023" s="13">
        <v>49</v>
      </c>
      <c r="I1023" s="13">
        <v>-123.6</v>
      </c>
      <c r="J1023" s="42">
        <v>1959</v>
      </c>
      <c r="K1023" s="42">
        <v>2009</v>
      </c>
      <c r="L1023" s="13">
        <f t="shared" si="49"/>
        <v>51</v>
      </c>
      <c r="M1023" t="s">
        <v>369</v>
      </c>
      <c r="N1023" t="s">
        <v>380</v>
      </c>
      <c r="O1023" t="s">
        <v>380</v>
      </c>
      <c r="P1023"/>
      <c r="Q1023" t="s">
        <v>1646</v>
      </c>
      <c r="R1023" t="s">
        <v>1659</v>
      </c>
      <c r="S1023"/>
      <c r="T1023"/>
      <c r="U1023"/>
      <c r="V1023" s="43">
        <v>1.53</v>
      </c>
      <c r="W1023" t="str">
        <f t="shared" si="50"/>
        <v>N</v>
      </c>
      <c r="X1023" t="str">
        <f t="shared" si="51"/>
        <v>Y</v>
      </c>
      <c r="Y1023"/>
      <c r="Z1023" s="4" t="str">
        <f t="shared" si="46"/>
        <v>Y</v>
      </c>
      <c r="AA1023"/>
      <c r="AB1023"/>
      <c r="AC1023" s="15" t="s">
        <v>1661</v>
      </c>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c r="CE1023"/>
      <c r="CF1023"/>
      <c r="CG1023"/>
      <c r="CH1023"/>
      <c r="CI1023"/>
      <c r="CJ1023"/>
      <c r="CK1023"/>
      <c r="CL1023"/>
      <c r="CM1023"/>
      <c r="CN1023"/>
    </row>
    <row r="1024" spans="1:92" x14ac:dyDescent="0.2">
      <c r="B1024" s="4" t="s">
        <v>1330</v>
      </c>
      <c r="C1024" s="4" t="s">
        <v>1591</v>
      </c>
      <c r="D1024" s="4"/>
      <c r="E1024" s="4"/>
      <c r="F1024" s="4" t="s">
        <v>1706</v>
      </c>
      <c r="G1024" s="4" t="s">
        <v>514</v>
      </c>
      <c r="H1024" s="37">
        <v>-33.42</v>
      </c>
      <c r="I1024" s="37">
        <v>18.09</v>
      </c>
      <c r="J1024" s="45">
        <v>1995</v>
      </c>
      <c r="K1024" s="45">
        <v>2008</v>
      </c>
      <c r="L1024" s="37">
        <f t="shared" si="49"/>
        <v>14</v>
      </c>
      <c r="M1024" s="4" t="s">
        <v>369</v>
      </c>
      <c r="N1024" s="4" t="s">
        <v>380</v>
      </c>
      <c r="O1024" s="4" t="s">
        <v>380</v>
      </c>
      <c r="P1024" s="4"/>
      <c r="Q1024" s="4" t="s">
        <v>1647</v>
      </c>
      <c r="R1024" s="4" t="s">
        <v>1659</v>
      </c>
      <c r="V1024" s="46">
        <v>-32.07</v>
      </c>
      <c r="W1024" s="4" t="str">
        <f t="shared" si="50"/>
        <v>Y</v>
      </c>
      <c r="X1024" t="str">
        <f t="shared" si="51"/>
        <v>N</v>
      </c>
      <c r="Z1024" s="4" t="str">
        <f t="shared" si="46"/>
        <v>N</v>
      </c>
      <c r="AA1024" s="4"/>
      <c r="AB1024" s="4"/>
      <c r="AC1024" s="39" t="s">
        <v>1661</v>
      </c>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c r="CI1024" s="4"/>
      <c r="CJ1024" s="4"/>
      <c r="CK1024" s="4"/>
      <c r="CL1024" s="4"/>
      <c r="CM1024" s="4"/>
      <c r="CN1024" s="4"/>
    </row>
    <row r="1025" spans="1:92" x14ac:dyDescent="0.2">
      <c r="B1025" s="4" t="s">
        <v>1330</v>
      </c>
      <c r="C1025" s="4" t="s">
        <v>1592</v>
      </c>
      <c r="D1025" s="4"/>
      <c r="E1025" s="4"/>
      <c r="F1025" s="4" t="s">
        <v>1707</v>
      </c>
      <c r="G1025" s="4" t="s">
        <v>514</v>
      </c>
      <c r="H1025" s="37">
        <v>-67.599999999999994</v>
      </c>
      <c r="I1025" s="37">
        <v>-62.98</v>
      </c>
      <c r="J1025" s="45">
        <v>1993</v>
      </c>
      <c r="K1025" s="45">
        <v>2003</v>
      </c>
      <c r="L1025" s="37">
        <f t="shared" si="49"/>
        <v>11</v>
      </c>
      <c r="M1025" s="4" t="s">
        <v>369</v>
      </c>
      <c r="N1025" s="4" t="s">
        <v>380</v>
      </c>
      <c r="O1025" s="4" t="s">
        <v>380</v>
      </c>
      <c r="P1025" s="4"/>
      <c r="Q1025" s="4" t="s">
        <v>1637</v>
      </c>
      <c r="R1025" s="4" t="s">
        <v>1658</v>
      </c>
      <c r="V1025" s="46">
        <v>-4.76</v>
      </c>
      <c r="W1025" s="4" t="str">
        <f t="shared" si="50"/>
        <v>Y</v>
      </c>
      <c r="X1025" t="str">
        <f t="shared" si="51"/>
        <v>N</v>
      </c>
      <c r="Z1025" s="4" t="str">
        <f t="shared" si="46"/>
        <v>N</v>
      </c>
      <c r="AA1025" s="4"/>
      <c r="AB1025" s="4"/>
      <c r="AC1025" s="39" t="s">
        <v>1661</v>
      </c>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c r="BW1025" s="4"/>
      <c r="BX1025" s="4"/>
      <c r="BY1025" s="4"/>
      <c r="BZ1025" s="4"/>
      <c r="CA1025" s="4"/>
      <c r="CB1025" s="4"/>
      <c r="CC1025" s="4"/>
      <c r="CD1025" s="4"/>
      <c r="CE1025" s="4"/>
      <c r="CF1025" s="4"/>
      <c r="CG1025" s="4"/>
      <c r="CH1025" s="4"/>
      <c r="CI1025" s="4"/>
      <c r="CJ1025" s="4"/>
      <c r="CK1025" s="4"/>
      <c r="CL1025" s="4"/>
      <c r="CM1025" s="4"/>
      <c r="CN1025" s="4"/>
    </row>
    <row r="1026" spans="1:92" x14ac:dyDescent="0.2">
      <c r="B1026" s="4" t="s">
        <v>1330</v>
      </c>
      <c r="C1026" s="4" t="s">
        <v>1592</v>
      </c>
      <c r="D1026" s="4"/>
      <c r="E1026" s="4"/>
      <c r="F1026" s="4" t="s">
        <v>1707</v>
      </c>
      <c r="G1026" s="4" t="s">
        <v>514</v>
      </c>
      <c r="H1026" s="37">
        <v>-67.599999999999994</v>
      </c>
      <c r="I1026" s="37">
        <v>-62.98</v>
      </c>
      <c r="J1026" s="45">
        <v>1990</v>
      </c>
      <c r="K1026" s="45">
        <v>2003</v>
      </c>
      <c r="L1026" s="37">
        <f t="shared" si="49"/>
        <v>14</v>
      </c>
      <c r="M1026" s="4" t="s">
        <v>369</v>
      </c>
      <c r="N1026" s="4" t="s">
        <v>380</v>
      </c>
      <c r="O1026" s="4" t="s">
        <v>380</v>
      </c>
      <c r="P1026" s="4"/>
      <c r="Q1026" s="4" t="s">
        <v>1637</v>
      </c>
      <c r="R1026" s="4" t="s">
        <v>1659</v>
      </c>
      <c r="V1026" s="46">
        <v>-1.54</v>
      </c>
      <c r="W1026" s="4" t="str">
        <f t="shared" si="50"/>
        <v>Y</v>
      </c>
      <c r="X1026" t="str">
        <f t="shared" si="51"/>
        <v>N</v>
      </c>
      <c r="Z1026" s="4" t="str">
        <f t="shared" ref="Z1026:Z1089" si="52">IF(L1026&gt;=19,"Y","N")</f>
        <v>N</v>
      </c>
      <c r="AA1026" s="4"/>
      <c r="AB1026" s="4"/>
      <c r="AC1026" s="39" t="s">
        <v>1661</v>
      </c>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c r="CH1026" s="4"/>
      <c r="CI1026" s="4"/>
      <c r="CJ1026" s="4"/>
      <c r="CK1026" s="4"/>
      <c r="CL1026" s="4"/>
      <c r="CM1026" s="4"/>
      <c r="CN1026" s="4"/>
    </row>
    <row r="1027" spans="1:92" s="4" customFormat="1" x14ac:dyDescent="0.2">
      <c r="A1027"/>
      <c r="B1027" s="4" t="s">
        <v>1330</v>
      </c>
      <c r="C1027" s="4" t="s">
        <v>1592</v>
      </c>
      <c r="F1027" s="4" t="s">
        <v>1707</v>
      </c>
      <c r="G1027" s="4" t="s">
        <v>514</v>
      </c>
      <c r="H1027" s="37">
        <v>-67.599999999999994</v>
      </c>
      <c r="I1027" s="37">
        <v>-62.98</v>
      </c>
      <c r="J1027" s="45">
        <v>1993</v>
      </c>
      <c r="K1027" s="45">
        <v>2003</v>
      </c>
      <c r="L1027" s="37">
        <f t="shared" si="49"/>
        <v>11</v>
      </c>
      <c r="M1027" s="4" t="s">
        <v>369</v>
      </c>
      <c r="N1027" s="4" t="s">
        <v>380</v>
      </c>
      <c r="O1027" s="4" t="s">
        <v>380</v>
      </c>
      <c r="Q1027" s="4" t="s">
        <v>1637</v>
      </c>
      <c r="R1027" s="4" t="s">
        <v>1658</v>
      </c>
      <c r="S1027"/>
      <c r="T1027"/>
      <c r="U1027"/>
      <c r="V1027" s="46">
        <v>-0.21000000000000002</v>
      </c>
      <c r="W1027" s="4" t="str">
        <f t="shared" si="50"/>
        <v>Y</v>
      </c>
      <c r="X1027" t="str">
        <f t="shared" si="51"/>
        <v>N</v>
      </c>
      <c r="Y1027"/>
      <c r="Z1027" s="4" t="str">
        <f t="shared" si="52"/>
        <v>N</v>
      </c>
      <c r="AC1027" s="39" t="s">
        <v>1661</v>
      </c>
      <c r="AD1027"/>
      <c r="AE1027"/>
      <c r="AF1027"/>
      <c r="AG1027"/>
      <c r="AH1027"/>
    </row>
    <row r="1028" spans="1:92" s="4" customFormat="1" x14ac:dyDescent="0.2">
      <c r="A1028"/>
      <c r="B1028" s="4" t="s">
        <v>1330</v>
      </c>
      <c r="C1028" s="4" t="s">
        <v>1592</v>
      </c>
      <c r="F1028" s="4" t="s">
        <v>1707</v>
      </c>
      <c r="G1028" s="4" t="s">
        <v>514</v>
      </c>
      <c r="H1028" s="37">
        <v>-67.599999999999994</v>
      </c>
      <c r="I1028" s="37">
        <v>-62.98</v>
      </c>
      <c r="J1028" s="45">
        <v>1990</v>
      </c>
      <c r="K1028" s="45">
        <v>2003</v>
      </c>
      <c r="L1028" s="37">
        <f t="shared" si="49"/>
        <v>14</v>
      </c>
      <c r="M1028" s="4" t="s">
        <v>369</v>
      </c>
      <c r="N1028" s="4" t="s">
        <v>380</v>
      </c>
      <c r="O1028" s="4" t="s">
        <v>380</v>
      </c>
      <c r="Q1028" s="4" t="s">
        <v>1637</v>
      </c>
      <c r="R1028" s="4" t="s">
        <v>1659</v>
      </c>
      <c r="S1028"/>
      <c r="T1028"/>
      <c r="U1028"/>
      <c r="V1028" s="46">
        <v>-1.75</v>
      </c>
      <c r="W1028" s="4" t="str">
        <f t="shared" si="50"/>
        <v>Y</v>
      </c>
      <c r="X1028" t="str">
        <f t="shared" si="51"/>
        <v>N</v>
      </c>
      <c r="Y1028"/>
      <c r="Z1028" s="4" t="str">
        <f t="shared" si="52"/>
        <v>N</v>
      </c>
      <c r="AC1028" s="39" t="s">
        <v>1661</v>
      </c>
      <c r="AD1028"/>
      <c r="AE1028"/>
      <c r="AF1028"/>
      <c r="AG1028"/>
      <c r="AH1028"/>
    </row>
    <row r="1029" spans="1:92" s="4" customFormat="1" x14ac:dyDescent="0.2">
      <c r="A1029"/>
      <c r="B1029" t="s">
        <v>1330</v>
      </c>
      <c r="C1029" t="s">
        <v>1593</v>
      </c>
      <c r="D1029"/>
      <c r="E1029"/>
      <c r="F1029" t="s">
        <v>1708</v>
      </c>
      <c r="G1029" t="s">
        <v>513</v>
      </c>
      <c r="H1029" s="13">
        <v>53.3</v>
      </c>
      <c r="I1029" s="13">
        <v>8.06</v>
      </c>
      <c r="J1029" s="42">
        <v>1994</v>
      </c>
      <c r="K1029" s="42">
        <v>2012</v>
      </c>
      <c r="L1029" s="13">
        <f t="shared" si="49"/>
        <v>19</v>
      </c>
      <c r="M1029" t="s">
        <v>369</v>
      </c>
      <c r="N1029" t="s">
        <v>380</v>
      </c>
      <c r="O1029" t="s">
        <v>380</v>
      </c>
      <c r="P1029"/>
      <c r="Q1029" t="s">
        <v>1613</v>
      </c>
      <c r="R1029" t="s">
        <v>1658</v>
      </c>
      <c r="S1029"/>
      <c r="T1029"/>
      <c r="U1029"/>
      <c r="V1029" s="43">
        <v>0.95</v>
      </c>
      <c r="W1029" t="str">
        <f t="shared" si="50"/>
        <v>N</v>
      </c>
      <c r="X1029" t="str">
        <f t="shared" si="51"/>
        <v>Y</v>
      </c>
      <c r="Y1029"/>
      <c r="Z1029" s="4" t="str">
        <f t="shared" si="52"/>
        <v>Y</v>
      </c>
      <c r="AA1029"/>
      <c r="AB1029"/>
      <c r="AC1029" s="15" t="s">
        <v>1661</v>
      </c>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c r="CE1029"/>
      <c r="CF1029"/>
      <c r="CG1029"/>
      <c r="CH1029"/>
      <c r="CI1029"/>
      <c r="CJ1029"/>
      <c r="CK1029"/>
      <c r="CL1029"/>
      <c r="CM1029"/>
      <c r="CN1029"/>
    </row>
    <row r="1030" spans="1:92" s="4" customFormat="1" x14ac:dyDescent="0.2">
      <c r="A1030"/>
      <c r="B1030" s="4" t="s">
        <v>1330</v>
      </c>
      <c r="C1030" s="4" t="s">
        <v>1594</v>
      </c>
      <c r="F1030" s="4" t="s">
        <v>1709</v>
      </c>
      <c r="G1030" s="4" t="s">
        <v>513</v>
      </c>
      <c r="H1030" s="37">
        <v>37.700000000000003</v>
      </c>
      <c r="I1030" s="37">
        <v>123.01</v>
      </c>
      <c r="J1030" s="45">
        <v>1993</v>
      </c>
      <c r="K1030" s="45">
        <v>2003</v>
      </c>
      <c r="L1030" s="37">
        <f t="shared" si="49"/>
        <v>11</v>
      </c>
      <c r="M1030" s="4" t="s">
        <v>369</v>
      </c>
      <c r="N1030" s="4" t="s">
        <v>380</v>
      </c>
      <c r="O1030" s="4" t="s">
        <v>380</v>
      </c>
      <c r="Q1030" s="4" t="s">
        <v>1642</v>
      </c>
      <c r="R1030" s="4" t="s">
        <v>1659</v>
      </c>
      <c r="S1030"/>
      <c r="T1030"/>
      <c r="U1030"/>
      <c r="V1030" s="46">
        <v>-4.88</v>
      </c>
      <c r="W1030" s="4" t="str">
        <f t="shared" ref="W1030:W1059" si="53">IF(V1030&lt;0,"Y","N")</f>
        <v>Y</v>
      </c>
      <c r="X1030" t="str">
        <f t="shared" ref="X1030:X1059" si="54">IF(L1030&gt;=19,"Y","N")</f>
        <v>N</v>
      </c>
      <c r="Y1030"/>
      <c r="Z1030" s="4" t="str">
        <f t="shared" si="52"/>
        <v>N</v>
      </c>
      <c r="AC1030" s="39" t="s">
        <v>1661</v>
      </c>
      <c r="AD1030"/>
      <c r="AE1030"/>
      <c r="AF1030"/>
      <c r="AG1030"/>
      <c r="AH1030"/>
    </row>
    <row r="1031" spans="1:92" s="4" customFormat="1" x14ac:dyDescent="0.2">
      <c r="A1031"/>
      <c r="B1031" s="4" t="s">
        <v>1330</v>
      </c>
      <c r="C1031" s="4" t="s">
        <v>1594</v>
      </c>
      <c r="F1031" s="4" t="s">
        <v>1710</v>
      </c>
      <c r="G1031" s="4" t="s">
        <v>513</v>
      </c>
      <c r="H1031" s="37">
        <v>37.11</v>
      </c>
      <c r="I1031" s="37">
        <v>-122.33</v>
      </c>
      <c r="J1031" s="45">
        <v>1993</v>
      </c>
      <c r="K1031" s="45">
        <v>2003</v>
      </c>
      <c r="L1031" s="37">
        <f t="shared" si="49"/>
        <v>11</v>
      </c>
      <c r="M1031" s="4" t="s">
        <v>369</v>
      </c>
      <c r="N1031" s="4" t="s">
        <v>380</v>
      </c>
      <c r="O1031" s="4" t="s">
        <v>380</v>
      </c>
      <c r="Q1031" s="4" t="s">
        <v>1642</v>
      </c>
      <c r="R1031" s="4" t="s">
        <v>1659</v>
      </c>
      <c r="S1031"/>
      <c r="T1031"/>
      <c r="U1031"/>
      <c r="V1031" s="46">
        <v>-8.7100000000000009</v>
      </c>
      <c r="W1031" s="4" t="str">
        <f t="shared" si="53"/>
        <v>Y</v>
      </c>
      <c r="X1031" t="str">
        <f t="shared" si="54"/>
        <v>N</v>
      </c>
      <c r="Y1031"/>
      <c r="Z1031" s="4" t="str">
        <f t="shared" si="52"/>
        <v>N</v>
      </c>
      <c r="AC1031" s="39" t="s">
        <v>1661</v>
      </c>
      <c r="AD1031"/>
      <c r="AE1031"/>
      <c r="AF1031"/>
      <c r="AG1031"/>
      <c r="AH1031"/>
    </row>
    <row r="1032" spans="1:92" s="4" customFormat="1" x14ac:dyDescent="0.2">
      <c r="A1032"/>
      <c r="B1032" t="s">
        <v>1330</v>
      </c>
      <c r="C1032" t="s">
        <v>1595</v>
      </c>
      <c r="D1032"/>
      <c r="E1032"/>
      <c r="F1032" t="s">
        <v>1711</v>
      </c>
      <c r="G1032" t="s">
        <v>513</v>
      </c>
      <c r="H1032" s="13">
        <v>44.42</v>
      </c>
      <c r="I1032" s="13">
        <v>141.52000000000001</v>
      </c>
      <c r="J1032" s="42">
        <v>1984</v>
      </c>
      <c r="K1032" s="42">
        <v>2009</v>
      </c>
      <c r="L1032" s="13">
        <f t="shared" si="49"/>
        <v>26</v>
      </c>
      <c r="M1032" t="s">
        <v>369</v>
      </c>
      <c r="N1032" t="s">
        <v>380</v>
      </c>
      <c r="O1032" t="s">
        <v>380</v>
      </c>
      <c r="P1032"/>
      <c r="Q1032" t="s">
        <v>1642</v>
      </c>
      <c r="R1032" t="s">
        <v>1659</v>
      </c>
      <c r="S1032"/>
      <c r="T1032"/>
      <c r="U1032"/>
      <c r="V1032" s="43">
        <v>-0.34</v>
      </c>
      <c r="W1032" t="str">
        <f t="shared" si="53"/>
        <v>Y</v>
      </c>
      <c r="X1032" t="str">
        <f t="shared" si="54"/>
        <v>Y</v>
      </c>
      <c r="Y1032"/>
      <c r="Z1032" s="4" t="str">
        <f t="shared" si="52"/>
        <v>Y</v>
      </c>
      <c r="AA1032"/>
      <c r="AB1032"/>
      <c r="AC1032" s="15" t="s">
        <v>1661</v>
      </c>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c r="CE1032"/>
      <c r="CF1032"/>
      <c r="CG1032"/>
      <c r="CH1032"/>
      <c r="CI1032"/>
      <c r="CJ1032"/>
      <c r="CK1032"/>
      <c r="CL1032"/>
      <c r="CM1032"/>
      <c r="CN1032"/>
    </row>
    <row r="1033" spans="1:92" s="4" customFormat="1" x14ac:dyDescent="0.2">
      <c r="A1033"/>
      <c r="B1033" t="s">
        <v>1330</v>
      </c>
      <c r="C1033" t="s">
        <v>1595</v>
      </c>
      <c r="D1033"/>
      <c r="E1033"/>
      <c r="F1033" t="s">
        <v>1711</v>
      </c>
      <c r="G1033" t="s">
        <v>513</v>
      </c>
      <c r="H1033" s="13">
        <v>44.42</v>
      </c>
      <c r="I1033" s="13">
        <v>141.52000000000001</v>
      </c>
      <c r="J1033" s="42">
        <v>1980</v>
      </c>
      <c r="K1033" s="42">
        <v>2007</v>
      </c>
      <c r="L1033" s="13">
        <f t="shared" si="49"/>
        <v>28</v>
      </c>
      <c r="M1033" t="s">
        <v>369</v>
      </c>
      <c r="N1033" t="s">
        <v>380</v>
      </c>
      <c r="O1033" t="s">
        <v>380</v>
      </c>
      <c r="P1033"/>
      <c r="Q1033" t="s">
        <v>1648</v>
      </c>
      <c r="R1033" t="s">
        <v>1659</v>
      </c>
      <c r="S1033"/>
      <c r="T1033"/>
      <c r="U1033"/>
      <c r="V1033" s="43">
        <v>-1.94</v>
      </c>
      <c r="W1033" t="str">
        <f t="shared" si="53"/>
        <v>Y</v>
      </c>
      <c r="X1033" t="str">
        <f t="shared" si="54"/>
        <v>Y</v>
      </c>
      <c r="Y1033"/>
      <c r="Z1033" s="4" t="str">
        <f t="shared" si="52"/>
        <v>Y</v>
      </c>
      <c r="AA1033"/>
      <c r="AB1033"/>
      <c r="AC1033" s="15" t="s">
        <v>1661</v>
      </c>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c r="CE1033"/>
      <c r="CF1033"/>
      <c r="CG1033"/>
      <c r="CH1033"/>
      <c r="CI1033"/>
      <c r="CJ1033"/>
      <c r="CK1033"/>
      <c r="CL1033"/>
      <c r="CM1033"/>
      <c r="CN1033"/>
    </row>
    <row r="1034" spans="1:92" s="4" customFormat="1" x14ac:dyDescent="0.2">
      <c r="A1034"/>
      <c r="B1034" s="4" t="s">
        <v>1330</v>
      </c>
      <c r="C1034" s="4" t="s">
        <v>1595</v>
      </c>
      <c r="F1034" s="4" t="s">
        <v>1711</v>
      </c>
      <c r="G1034" s="4" t="s">
        <v>513</v>
      </c>
      <c r="H1034" s="37">
        <v>44.42</v>
      </c>
      <c r="I1034" s="37">
        <v>141.52000000000001</v>
      </c>
      <c r="J1034" s="45">
        <v>1992</v>
      </c>
      <c r="K1034" s="45">
        <v>2009</v>
      </c>
      <c r="L1034" s="37">
        <f t="shared" si="49"/>
        <v>18</v>
      </c>
      <c r="M1034" s="4" t="s">
        <v>369</v>
      </c>
      <c r="N1034" s="4" t="s">
        <v>380</v>
      </c>
      <c r="O1034" s="4" t="s">
        <v>380</v>
      </c>
      <c r="Q1034" s="4" t="s">
        <v>1649</v>
      </c>
      <c r="R1034" s="4" t="s">
        <v>1659</v>
      </c>
      <c r="S1034"/>
      <c r="T1034"/>
      <c r="U1034"/>
      <c r="V1034" s="46">
        <v>5.09</v>
      </c>
      <c r="W1034" s="4" t="str">
        <f t="shared" si="53"/>
        <v>N</v>
      </c>
      <c r="X1034" t="str">
        <f t="shared" si="54"/>
        <v>N</v>
      </c>
      <c r="Y1034"/>
      <c r="Z1034" s="4" t="str">
        <f t="shared" si="52"/>
        <v>N</v>
      </c>
      <c r="AC1034" s="39" t="s">
        <v>1661</v>
      </c>
      <c r="AD1034"/>
      <c r="AE1034"/>
      <c r="AF1034"/>
      <c r="AG1034"/>
      <c r="AH1034"/>
    </row>
    <row r="1035" spans="1:92" x14ac:dyDescent="0.2">
      <c r="B1035" t="s">
        <v>1330</v>
      </c>
      <c r="C1035" t="s">
        <v>1596</v>
      </c>
      <c r="F1035" t="s">
        <v>1664</v>
      </c>
      <c r="G1035" t="s">
        <v>513</v>
      </c>
      <c r="H1035" s="13">
        <v>70.22</v>
      </c>
      <c r="I1035" s="13">
        <v>31.08</v>
      </c>
      <c r="J1035" s="42">
        <v>1980</v>
      </c>
      <c r="K1035" s="42">
        <v>2000</v>
      </c>
      <c r="L1035" s="13">
        <f t="shared" si="49"/>
        <v>21</v>
      </c>
      <c r="M1035" t="s">
        <v>369</v>
      </c>
      <c r="N1035" t="s">
        <v>380</v>
      </c>
      <c r="O1035" t="s">
        <v>380</v>
      </c>
      <c r="Q1035" t="s">
        <v>1632</v>
      </c>
      <c r="R1035" t="s">
        <v>1659</v>
      </c>
      <c r="V1035" s="43">
        <v>0.17</v>
      </c>
      <c r="W1035" t="str">
        <f t="shared" si="53"/>
        <v>N</v>
      </c>
      <c r="X1035" t="str">
        <f t="shared" si="54"/>
        <v>Y</v>
      </c>
      <c r="Z1035" s="4" t="str">
        <f t="shared" si="52"/>
        <v>Y</v>
      </c>
      <c r="AC1035" s="15" t="s">
        <v>1661</v>
      </c>
    </row>
    <row r="1036" spans="1:92" s="4" customFormat="1" x14ac:dyDescent="0.2">
      <c r="A1036"/>
      <c r="B1036" t="s">
        <v>1330</v>
      </c>
      <c r="C1036" t="s">
        <v>1597</v>
      </c>
      <c r="D1036"/>
      <c r="E1036"/>
      <c r="F1036" t="s">
        <v>1665</v>
      </c>
      <c r="G1036" t="s">
        <v>513</v>
      </c>
      <c r="H1036" s="13">
        <v>69.7</v>
      </c>
      <c r="I1036" s="13">
        <v>18.899999999999999</v>
      </c>
      <c r="J1036" s="42">
        <v>1980</v>
      </c>
      <c r="K1036" s="42">
        <v>2015</v>
      </c>
      <c r="L1036" s="13">
        <f t="shared" si="49"/>
        <v>36</v>
      </c>
      <c r="M1036" t="s">
        <v>369</v>
      </c>
      <c r="N1036" t="s">
        <v>380</v>
      </c>
      <c r="O1036" t="s">
        <v>380</v>
      </c>
      <c r="P1036"/>
      <c r="Q1036" t="s">
        <v>1625</v>
      </c>
      <c r="R1036" t="s">
        <v>1658</v>
      </c>
      <c r="S1036"/>
      <c r="T1036"/>
      <c r="U1036"/>
      <c r="V1036" s="43">
        <v>-0.13</v>
      </c>
      <c r="W1036" t="str">
        <f t="shared" si="53"/>
        <v>Y</v>
      </c>
      <c r="X1036" t="str">
        <f t="shared" si="54"/>
        <v>Y</v>
      </c>
      <c r="Y1036"/>
      <c r="Z1036" s="4" t="str">
        <f t="shared" si="52"/>
        <v>Y</v>
      </c>
      <c r="AA1036"/>
      <c r="AB1036"/>
      <c r="AC1036" s="15" t="s">
        <v>1661</v>
      </c>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c r="CE1036"/>
      <c r="CF1036"/>
      <c r="CG1036"/>
      <c r="CH1036"/>
      <c r="CI1036"/>
      <c r="CJ1036"/>
      <c r="CK1036"/>
      <c r="CL1036"/>
      <c r="CM1036"/>
      <c r="CN1036"/>
    </row>
    <row r="1037" spans="1:92" s="4" customFormat="1" x14ac:dyDescent="0.2">
      <c r="A1037"/>
      <c r="B1037" t="s">
        <v>1330</v>
      </c>
      <c r="C1037" t="s">
        <v>1597</v>
      </c>
      <c r="D1037"/>
      <c r="E1037"/>
      <c r="F1037" t="s">
        <v>1665</v>
      </c>
      <c r="G1037" t="s">
        <v>513</v>
      </c>
      <c r="H1037" s="13">
        <v>69.7</v>
      </c>
      <c r="I1037" s="13">
        <v>18.899999999999999</v>
      </c>
      <c r="J1037" s="42">
        <v>1980</v>
      </c>
      <c r="K1037" s="42">
        <v>2015</v>
      </c>
      <c r="L1037" s="13">
        <f t="shared" si="49"/>
        <v>36</v>
      </c>
      <c r="M1037" t="s">
        <v>369</v>
      </c>
      <c r="N1037" t="s">
        <v>380</v>
      </c>
      <c r="O1037" t="s">
        <v>380</v>
      </c>
      <c r="P1037"/>
      <c r="Q1037" t="s">
        <v>1625</v>
      </c>
      <c r="R1037" t="s">
        <v>1658</v>
      </c>
      <c r="S1037"/>
      <c r="T1037"/>
      <c r="U1037"/>
      <c r="V1037" s="43">
        <v>-0.42000000000000004</v>
      </c>
      <c r="W1037" t="str">
        <f t="shared" si="53"/>
        <v>Y</v>
      </c>
      <c r="X1037" t="str">
        <f t="shared" si="54"/>
        <v>Y</v>
      </c>
      <c r="Y1037"/>
      <c r="Z1037" s="4" t="str">
        <f t="shared" si="52"/>
        <v>Y</v>
      </c>
      <c r="AA1037"/>
      <c r="AB1037"/>
      <c r="AC1037" s="15" t="s">
        <v>1661</v>
      </c>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c r="CE1037"/>
      <c r="CF1037"/>
      <c r="CG1037"/>
      <c r="CH1037"/>
      <c r="CI1037"/>
      <c r="CJ1037"/>
      <c r="CK1037"/>
      <c r="CL1037"/>
      <c r="CM1037"/>
      <c r="CN1037"/>
    </row>
    <row r="1038" spans="1:92" s="4" customFormat="1" x14ac:dyDescent="0.2">
      <c r="A1038"/>
      <c r="B1038" t="s">
        <v>1330</v>
      </c>
      <c r="C1038" t="s">
        <v>1598</v>
      </c>
      <c r="D1038"/>
      <c r="E1038"/>
      <c r="F1038" t="s">
        <v>1670</v>
      </c>
      <c r="G1038" t="s">
        <v>514</v>
      </c>
      <c r="H1038" s="13">
        <v>-32.25</v>
      </c>
      <c r="I1038" s="13">
        <v>115.69</v>
      </c>
      <c r="J1038" s="42">
        <v>1986</v>
      </c>
      <c r="K1038" s="42">
        <v>2011</v>
      </c>
      <c r="L1038" s="13">
        <f t="shared" si="49"/>
        <v>26</v>
      </c>
      <c r="M1038" t="s">
        <v>369</v>
      </c>
      <c r="N1038" t="s">
        <v>380</v>
      </c>
      <c r="O1038" t="s">
        <v>380</v>
      </c>
      <c r="P1038"/>
      <c r="Q1038" t="s">
        <v>1650</v>
      </c>
      <c r="R1038" t="s">
        <v>1659</v>
      </c>
      <c r="S1038"/>
      <c r="T1038"/>
      <c r="U1038"/>
      <c r="V1038" s="43">
        <v>-13.540000000000001</v>
      </c>
      <c r="W1038" t="str">
        <f t="shared" si="53"/>
        <v>Y</v>
      </c>
      <c r="X1038" t="str">
        <f t="shared" si="54"/>
        <v>Y</v>
      </c>
      <c r="Y1038"/>
      <c r="Z1038" s="4" t="str">
        <f t="shared" si="52"/>
        <v>Y</v>
      </c>
      <c r="AA1038"/>
      <c r="AB1038"/>
      <c r="AC1038" s="15" t="s">
        <v>1661</v>
      </c>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c r="CE1038"/>
      <c r="CF1038"/>
      <c r="CG1038"/>
      <c r="CH1038"/>
      <c r="CI1038"/>
      <c r="CJ1038"/>
      <c r="CK1038"/>
      <c r="CL1038"/>
      <c r="CM1038"/>
      <c r="CN1038"/>
    </row>
    <row r="1039" spans="1:92" s="4" customFormat="1" x14ac:dyDescent="0.2">
      <c r="A1039"/>
      <c r="B1039" t="s">
        <v>1330</v>
      </c>
      <c r="C1039" t="s">
        <v>1598</v>
      </c>
      <c r="D1039"/>
      <c r="E1039"/>
      <c r="F1039" t="s">
        <v>1670</v>
      </c>
      <c r="G1039" t="s">
        <v>514</v>
      </c>
      <c r="H1039" s="13">
        <v>-32.25</v>
      </c>
      <c r="I1039" s="13">
        <v>115.69</v>
      </c>
      <c r="J1039" s="42">
        <v>1986</v>
      </c>
      <c r="K1039" s="42">
        <v>2011</v>
      </c>
      <c r="L1039" s="13">
        <f t="shared" si="49"/>
        <v>26</v>
      </c>
      <c r="M1039" t="s">
        <v>369</v>
      </c>
      <c r="N1039" t="s">
        <v>380</v>
      </c>
      <c r="O1039" t="s">
        <v>380</v>
      </c>
      <c r="P1039"/>
      <c r="Q1039" t="s">
        <v>1650</v>
      </c>
      <c r="R1039" t="s">
        <v>1659</v>
      </c>
      <c r="S1039"/>
      <c r="T1039"/>
      <c r="U1039"/>
      <c r="V1039" s="43">
        <v>-8.92</v>
      </c>
      <c r="W1039" t="str">
        <f t="shared" si="53"/>
        <v>Y</v>
      </c>
      <c r="X1039" t="str">
        <f t="shared" si="54"/>
        <v>Y</v>
      </c>
      <c r="Y1039"/>
      <c r="Z1039" s="4" t="str">
        <f t="shared" si="52"/>
        <v>Y</v>
      </c>
      <c r="AA1039"/>
      <c r="AB1039"/>
      <c r="AC1039" s="15" t="s">
        <v>1661</v>
      </c>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c r="CE1039"/>
      <c r="CF1039"/>
      <c r="CG1039"/>
      <c r="CH1039"/>
      <c r="CI1039"/>
      <c r="CJ1039"/>
      <c r="CK1039"/>
      <c r="CL1039"/>
      <c r="CM1039"/>
      <c r="CN1039"/>
    </row>
    <row r="1040" spans="1:92" s="4" customFormat="1" x14ac:dyDescent="0.2">
      <c r="A1040"/>
      <c r="B1040" t="s">
        <v>1330</v>
      </c>
      <c r="C1040" t="s">
        <v>1599</v>
      </c>
      <c r="D1040"/>
      <c r="E1040"/>
      <c r="F1040" t="s">
        <v>1712</v>
      </c>
      <c r="G1040" t="s">
        <v>513</v>
      </c>
      <c r="H1040" s="13">
        <v>70.400000000000006</v>
      </c>
      <c r="I1040" s="13">
        <v>-150.5</v>
      </c>
      <c r="J1040" s="42">
        <v>1964</v>
      </c>
      <c r="K1040" s="42">
        <v>2013</v>
      </c>
      <c r="L1040" s="13">
        <f t="shared" si="49"/>
        <v>50</v>
      </c>
      <c r="M1040" t="s">
        <v>369</v>
      </c>
      <c r="N1040" t="s">
        <v>380</v>
      </c>
      <c r="O1040" t="s">
        <v>380</v>
      </c>
      <c r="P1040"/>
      <c r="Q1040" t="s">
        <v>1651</v>
      </c>
      <c r="R1040" t="s">
        <v>1658</v>
      </c>
      <c r="S1040"/>
      <c r="T1040"/>
      <c r="U1040"/>
      <c r="V1040" s="43">
        <v>-0.94</v>
      </c>
      <c r="W1040" t="str">
        <f t="shared" si="53"/>
        <v>Y</v>
      </c>
      <c r="X1040" t="str">
        <f t="shared" si="54"/>
        <v>Y</v>
      </c>
      <c r="Y1040"/>
      <c r="Z1040" s="4" t="str">
        <f t="shared" si="52"/>
        <v>Y</v>
      </c>
      <c r="AA1040"/>
      <c r="AB1040"/>
      <c r="AC1040" s="15" t="s">
        <v>1661</v>
      </c>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c r="CE1040"/>
      <c r="CF1040"/>
      <c r="CG1040"/>
      <c r="CH1040"/>
      <c r="CI1040"/>
      <c r="CJ1040"/>
      <c r="CK1040"/>
      <c r="CL1040"/>
      <c r="CM1040"/>
      <c r="CN1040"/>
    </row>
    <row r="1041" spans="1:92" x14ac:dyDescent="0.2">
      <c r="B1041" t="s">
        <v>1330</v>
      </c>
      <c r="C1041" t="s">
        <v>1600</v>
      </c>
      <c r="F1041" t="s">
        <v>1713</v>
      </c>
      <c r="G1041" t="s">
        <v>513</v>
      </c>
      <c r="H1041" s="13">
        <v>38.5</v>
      </c>
      <c r="I1041" s="13">
        <v>-0.11</v>
      </c>
      <c r="J1041" s="42">
        <v>1993</v>
      </c>
      <c r="K1041" s="42">
        <v>2014</v>
      </c>
      <c r="L1041" s="13">
        <f t="shared" si="49"/>
        <v>22</v>
      </c>
      <c r="M1041" t="s">
        <v>369</v>
      </c>
      <c r="N1041" t="s">
        <v>380</v>
      </c>
      <c r="O1041" t="s">
        <v>380</v>
      </c>
      <c r="Q1041" t="s">
        <v>1652</v>
      </c>
      <c r="R1041" t="s">
        <v>1659</v>
      </c>
      <c r="V1041" s="43">
        <v>2.5300000000000002</v>
      </c>
      <c r="W1041" t="str">
        <f t="shared" si="53"/>
        <v>N</v>
      </c>
      <c r="X1041" t="str">
        <f t="shared" si="54"/>
        <v>Y</v>
      </c>
      <c r="Z1041" s="4" t="str">
        <f t="shared" si="52"/>
        <v>Y</v>
      </c>
      <c r="AC1041" s="15" t="s">
        <v>1661</v>
      </c>
    </row>
    <row r="1042" spans="1:92" s="4" customFormat="1" x14ac:dyDescent="0.2">
      <c r="A1042"/>
      <c r="B1042" t="s">
        <v>1330</v>
      </c>
      <c r="C1042" t="s">
        <v>1601</v>
      </c>
      <c r="D1042"/>
      <c r="E1042"/>
      <c r="F1042" t="s">
        <v>1714</v>
      </c>
      <c r="G1042" t="s">
        <v>513</v>
      </c>
      <c r="H1042" s="13">
        <v>51.73</v>
      </c>
      <c r="I1042" s="13">
        <v>-5.28</v>
      </c>
      <c r="J1042" s="42">
        <v>1965</v>
      </c>
      <c r="K1042" s="42">
        <v>2007</v>
      </c>
      <c r="L1042" s="13">
        <f t="shared" si="49"/>
        <v>43</v>
      </c>
      <c r="M1042" t="s">
        <v>369</v>
      </c>
      <c r="N1042" t="s">
        <v>380</v>
      </c>
      <c r="O1042" t="s">
        <v>380</v>
      </c>
      <c r="P1042"/>
      <c r="Q1042" t="s">
        <v>1653</v>
      </c>
      <c r="R1042" t="s">
        <v>1659</v>
      </c>
      <c r="S1042"/>
      <c r="T1042"/>
      <c r="U1042"/>
      <c r="V1042" s="43">
        <v>0.21999999999999997</v>
      </c>
      <c r="W1042" t="str">
        <f t="shared" si="53"/>
        <v>N</v>
      </c>
      <c r="X1042" t="str">
        <f t="shared" si="54"/>
        <v>Y</v>
      </c>
      <c r="Y1042"/>
      <c r="Z1042" s="4" t="str">
        <f t="shared" si="52"/>
        <v>Y</v>
      </c>
      <c r="AA1042"/>
      <c r="AB1042"/>
      <c r="AC1042" s="15" t="s">
        <v>1661</v>
      </c>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c r="CE1042"/>
      <c r="CF1042"/>
      <c r="CG1042"/>
      <c r="CH1042"/>
      <c r="CI1042"/>
      <c r="CJ1042"/>
      <c r="CK1042"/>
      <c r="CL1042"/>
      <c r="CM1042"/>
      <c r="CN1042"/>
    </row>
    <row r="1043" spans="1:92" s="4" customFormat="1" x14ac:dyDescent="0.2">
      <c r="A1043"/>
      <c r="B1043" s="4" t="s">
        <v>1330</v>
      </c>
      <c r="C1043" s="4" t="s">
        <v>1602</v>
      </c>
      <c r="F1043" s="4" t="s">
        <v>1715</v>
      </c>
      <c r="G1043" s="4" t="s">
        <v>513</v>
      </c>
      <c r="H1043" s="37">
        <v>74.5</v>
      </c>
      <c r="I1043" s="37">
        <v>-20.5</v>
      </c>
      <c r="J1043" s="45">
        <v>1997</v>
      </c>
      <c r="K1043" s="45">
        <v>2009</v>
      </c>
      <c r="L1043" s="37">
        <f t="shared" si="49"/>
        <v>13</v>
      </c>
      <c r="M1043" s="4" t="s">
        <v>369</v>
      </c>
      <c r="N1043" s="4" t="s">
        <v>380</v>
      </c>
      <c r="O1043" s="4" t="s">
        <v>380</v>
      </c>
      <c r="Q1043" s="4" t="s">
        <v>1631</v>
      </c>
      <c r="R1043" s="4" t="s">
        <v>1659</v>
      </c>
      <c r="S1043"/>
      <c r="T1043"/>
      <c r="U1043"/>
      <c r="V1043" s="46">
        <v>2.96</v>
      </c>
      <c r="W1043" s="4" t="str">
        <f t="shared" si="53"/>
        <v>N</v>
      </c>
      <c r="X1043" t="str">
        <f t="shared" si="54"/>
        <v>N</v>
      </c>
      <c r="Y1043"/>
      <c r="Z1043" s="4" t="str">
        <f t="shared" si="52"/>
        <v>N</v>
      </c>
      <c r="AC1043" s="39" t="s">
        <v>1661</v>
      </c>
      <c r="AD1043"/>
      <c r="AE1043"/>
      <c r="AF1043"/>
      <c r="AG1043"/>
      <c r="AH1043"/>
    </row>
    <row r="1044" spans="1:92" x14ac:dyDescent="0.2">
      <c r="B1044" t="s">
        <v>1330</v>
      </c>
      <c r="C1044" t="s">
        <v>1603</v>
      </c>
      <c r="F1044" t="s">
        <v>1716</v>
      </c>
      <c r="G1044" t="s">
        <v>513</v>
      </c>
      <c r="H1044" s="13">
        <v>59.8</v>
      </c>
      <c r="I1044" s="13">
        <v>21.6</v>
      </c>
      <c r="J1044" s="42">
        <v>1961</v>
      </c>
      <c r="K1044" s="42">
        <v>2011</v>
      </c>
      <c r="L1044" s="13">
        <f t="shared" si="49"/>
        <v>51</v>
      </c>
      <c r="M1044" t="s">
        <v>369</v>
      </c>
      <c r="N1044" t="s">
        <v>380</v>
      </c>
      <c r="O1044" t="s">
        <v>380</v>
      </c>
      <c r="Q1044" s="41" t="s">
        <v>1613</v>
      </c>
      <c r="R1044" t="s">
        <v>1659</v>
      </c>
      <c r="V1044" s="43">
        <v>-0.79</v>
      </c>
      <c r="W1044" t="str">
        <f t="shared" si="53"/>
        <v>Y</v>
      </c>
      <c r="X1044" t="str">
        <f t="shared" si="54"/>
        <v>Y</v>
      </c>
      <c r="Z1044" s="4" t="str">
        <f t="shared" si="52"/>
        <v>Y</v>
      </c>
      <c r="AC1044" s="15" t="s">
        <v>1661</v>
      </c>
    </row>
    <row r="1045" spans="1:92" x14ac:dyDescent="0.2">
      <c r="B1045" t="s">
        <v>1330</v>
      </c>
      <c r="C1045" t="s">
        <v>1604</v>
      </c>
      <c r="F1045" t="s">
        <v>1717</v>
      </c>
      <c r="G1045" t="s">
        <v>514</v>
      </c>
      <c r="H1045" s="13">
        <v>-62.1</v>
      </c>
      <c r="I1045" s="13">
        <v>-58.24</v>
      </c>
      <c r="J1045" s="42">
        <v>1991</v>
      </c>
      <c r="K1045" s="42">
        <v>2009</v>
      </c>
      <c r="L1045" s="13">
        <f t="shared" si="49"/>
        <v>19</v>
      </c>
      <c r="M1045" t="s">
        <v>369</v>
      </c>
      <c r="N1045" t="s">
        <v>380</v>
      </c>
      <c r="O1045" t="s">
        <v>380</v>
      </c>
      <c r="Q1045" t="s">
        <v>1637</v>
      </c>
      <c r="R1045" t="s">
        <v>1659</v>
      </c>
      <c r="V1045" s="43">
        <v>-1.55</v>
      </c>
      <c r="W1045" t="str">
        <f t="shared" si="53"/>
        <v>Y</v>
      </c>
      <c r="X1045" t="str">
        <f t="shared" si="54"/>
        <v>Y</v>
      </c>
      <c r="Z1045" s="4" t="str">
        <f t="shared" si="52"/>
        <v>Y</v>
      </c>
      <c r="AC1045" s="15" t="s">
        <v>1661</v>
      </c>
    </row>
    <row r="1046" spans="1:92" s="4" customFormat="1" x14ac:dyDescent="0.2">
      <c r="A1046"/>
      <c r="B1046" t="s">
        <v>1330</v>
      </c>
      <c r="C1046" t="s">
        <v>1604</v>
      </c>
      <c r="D1046"/>
      <c r="E1046"/>
      <c r="F1046" t="s">
        <v>1717</v>
      </c>
      <c r="G1046" t="s">
        <v>514</v>
      </c>
      <c r="H1046" s="13">
        <v>-62.1</v>
      </c>
      <c r="I1046" s="13">
        <v>-58.24</v>
      </c>
      <c r="J1046" s="42">
        <v>1991</v>
      </c>
      <c r="K1046" s="42">
        <v>2009</v>
      </c>
      <c r="L1046" s="13">
        <f t="shared" si="49"/>
        <v>19</v>
      </c>
      <c r="M1046" t="s">
        <v>369</v>
      </c>
      <c r="N1046" t="s">
        <v>380</v>
      </c>
      <c r="O1046" t="s">
        <v>380</v>
      </c>
      <c r="P1046"/>
      <c r="Q1046" t="s">
        <v>1654</v>
      </c>
      <c r="R1046" t="s">
        <v>1659</v>
      </c>
      <c r="S1046"/>
      <c r="T1046"/>
      <c r="U1046"/>
      <c r="V1046" s="43">
        <v>-2.52</v>
      </c>
      <c r="W1046" t="str">
        <f t="shared" si="53"/>
        <v>Y</v>
      </c>
      <c r="X1046" t="str">
        <f t="shared" si="54"/>
        <v>Y</v>
      </c>
      <c r="Y1046"/>
      <c r="Z1046" s="4" t="str">
        <f t="shared" si="52"/>
        <v>Y</v>
      </c>
      <c r="AA1046"/>
      <c r="AB1046"/>
      <c r="AC1046" s="15" t="s">
        <v>1661</v>
      </c>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c r="CE1046"/>
      <c r="CF1046"/>
      <c r="CG1046"/>
      <c r="CH1046"/>
      <c r="CI1046"/>
      <c r="CJ1046"/>
      <c r="CK1046"/>
      <c r="CL1046"/>
      <c r="CM1046"/>
      <c r="CN1046"/>
    </row>
    <row r="1047" spans="1:92" x14ac:dyDescent="0.2">
      <c r="B1047" t="s">
        <v>1330</v>
      </c>
      <c r="C1047" t="s">
        <v>1605</v>
      </c>
      <c r="F1047" t="s">
        <v>1675</v>
      </c>
      <c r="G1047" t="s">
        <v>513</v>
      </c>
      <c r="H1047" s="13">
        <v>50.87</v>
      </c>
      <c r="I1047" s="13">
        <v>-129.08000000000001</v>
      </c>
      <c r="J1047" s="42">
        <v>1980</v>
      </c>
      <c r="K1047" s="42">
        <v>2007</v>
      </c>
      <c r="L1047" s="13">
        <f t="shared" ref="L1047:L1071" si="55">K1047-J1047+1</f>
        <v>28</v>
      </c>
      <c r="M1047" t="s">
        <v>369</v>
      </c>
      <c r="N1047" t="s">
        <v>380</v>
      </c>
      <c r="O1047" t="s">
        <v>380</v>
      </c>
      <c r="Q1047" t="s">
        <v>1645</v>
      </c>
      <c r="R1047" t="s">
        <v>1659</v>
      </c>
      <c r="V1047" s="43">
        <v>-21.19</v>
      </c>
      <c r="W1047" t="str">
        <f t="shared" si="53"/>
        <v>Y</v>
      </c>
      <c r="X1047" t="str">
        <f t="shared" si="54"/>
        <v>Y</v>
      </c>
      <c r="Z1047" s="4" t="str">
        <f t="shared" si="52"/>
        <v>Y</v>
      </c>
      <c r="AC1047" s="15" t="s">
        <v>1661</v>
      </c>
    </row>
    <row r="1048" spans="1:92" x14ac:dyDescent="0.2">
      <c r="B1048" t="s">
        <v>1330</v>
      </c>
      <c r="C1048" t="s">
        <v>1606</v>
      </c>
      <c r="F1048" t="s">
        <v>1718</v>
      </c>
      <c r="G1048" t="s">
        <v>514</v>
      </c>
      <c r="H1048" s="13">
        <v>-38.270000000000003</v>
      </c>
      <c r="I1048" s="13">
        <v>144.69999999999999</v>
      </c>
      <c r="J1048" s="42">
        <v>1988</v>
      </c>
      <c r="K1048" s="42">
        <v>2006</v>
      </c>
      <c r="L1048" s="13">
        <f t="shared" si="55"/>
        <v>19</v>
      </c>
      <c r="M1048" t="s">
        <v>369</v>
      </c>
      <c r="N1048" t="s">
        <v>380</v>
      </c>
      <c r="O1048" t="s">
        <v>380</v>
      </c>
      <c r="Q1048" t="s">
        <v>1655</v>
      </c>
      <c r="R1048" t="s">
        <v>1659</v>
      </c>
      <c r="V1048" s="43">
        <v>-9.91</v>
      </c>
      <c r="W1048" t="str">
        <f t="shared" si="53"/>
        <v>Y</v>
      </c>
      <c r="X1048" t="str">
        <f t="shared" si="54"/>
        <v>Y</v>
      </c>
      <c r="Z1048" s="4" t="str">
        <f t="shared" si="52"/>
        <v>Y</v>
      </c>
      <c r="AC1048" s="15" t="s">
        <v>1661</v>
      </c>
    </row>
    <row r="1049" spans="1:92" x14ac:dyDescent="0.2">
      <c r="B1049" s="4" t="s">
        <v>1330</v>
      </c>
      <c r="C1049" s="4" t="s">
        <v>1607</v>
      </c>
      <c r="D1049" s="4"/>
      <c r="E1049" s="4"/>
      <c r="F1049" s="4" t="s">
        <v>1719</v>
      </c>
      <c r="G1049" s="4" t="s">
        <v>514</v>
      </c>
      <c r="H1049" s="37">
        <v>-28.98</v>
      </c>
      <c r="I1049" s="37">
        <v>113.96</v>
      </c>
      <c r="J1049" s="45">
        <v>1993</v>
      </c>
      <c r="K1049" s="45">
        <v>2009</v>
      </c>
      <c r="L1049" s="37">
        <f t="shared" si="55"/>
        <v>17</v>
      </c>
      <c r="M1049" s="4" t="s">
        <v>369</v>
      </c>
      <c r="N1049" s="4" t="s">
        <v>380</v>
      </c>
      <c r="O1049" s="4" t="s">
        <v>380</v>
      </c>
      <c r="P1049" s="4"/>
      <c r="Q1049" s="4" t="s">
        <v>1618</v>
      </c>
      <c r="R1049" s="4" t="s">
        <v>1659</v>
      </c>
      <c r="V1049" s="46">
        <v>36.880000000000003</v>
      </c>
      <c r="W1049" s="4" t="str">
        <f t="shared" si="53"/>
        <v>N</v>
      </c>
      <c r="X1049" t="str">
        <f t="shared" si="54"/>
        <v>N</v>
      </c>
      <c r="Z1049" s="4" t="str">
        <f t="shared" si="52"/>
        <v>N</v>
      </c>
      <c r="AA1049" s="4"/>
      <c r="AB1049" s="4"/>
      <c r="AC1049" s="39" t="s">
        <v>1661</v>
      </c>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c r="BL1049" s="4"/>
      <c r="BM1049" s="4"/>
      <c r="BN1049" s="4"/>
      <c r="BO1049" s="4"/>
      <c r="BP1049" s="4"/>
      <c r="BQ1049" s="4"/>
      <c r="BR1049" s="4"/>
      <c r="BS1049" s="4"/>
      <c r="BT1049" s="4"/>
      <c r="BU1049" s="4"/>
      <c r="BV1049" s="4"/>
      <c r="BW1049" s="4"/>
      <c r="BX1049" s="4"/>
      <c r="BY1049" s="4"/>
      <c r="BZ1049" s="4"/>
      <c r="CA1049" s="4"/>
      <c r="CB1049" s="4"/>
      <c r="CC1049" s="4"/>
      <c r="CD1049" s="4"/>
      <c r="CE1049" s="4"/>
      <c r="CF1049" s="4"/>
      <c r="CG1049" s="4"/>
      <c r="CH1049" s="4"/>
      <c r="CI1049" s="4"/>
      <c r="CJ1049" s="4"/>
      <c r="CK1049" s="4"/>
      <c r="CL1049" s="4"/>
      <c r="CM1049" s="4"/>
      <c r="CN1049" s="4"/>
    </row>
    <row r="1050" spans="1:92" x14ac:dyDescent="0.2">
      <c r="B1050" s="4" t="s">
        <v>1330</v>
      </c>
      <c r="C1050" s="4" t="s">
        <v>1607</v>
      </c>
      <c r="D1050" s="4"/>
      <c r="E1050" s="4"/>
      <c r="F1050" s="4" t="s">
        <v>1719</v>
      </c>
      <c r="G1050" s="4" t="s">
        <v>514</v>
      </c>
      <c r="H1050" s="37">
        <v>-28.98</v>
      </c>
      <c r="I1050" s="37">
        <v>113.96</v>
      </c>
      <c r="J1050" s="45">
        <v>1993</v>
      </c>
      <c r="K1050" s="45">
        <v>2008</v>
      </c>
      <c r="L1050" s="37">
        <f t="shared" si="55"/>
        <v>16</v>
      </c>
      <c r="M1050" s="4" t="s">
        <v>369</v>
      </c>
      <c r="N1050" s="4" t="s">
        <v>380</v>
      </c>
      <c r="O1050" s="4" t="s">
        <v>380</v>
      </c>
      <c r="P1050" s="4"/>
      <c r="Q1050" s="4" t="s">
        <v>1618</v>
      </c>
      <c r="R1050" s="4" t="s">
        <v>1659</v>
      </c>
      <c r="V1050" s="46">
        <v>25.5</v>
      </c>
      <c r="W1050" s="4" t="str">
        <f t="shared" si="53"/>
        <v>N</v>
      </c>
      <c r="X1050" t="str">
        <f t="shared" si="54"/>
        <v>N</v>
      </c>
      <c r="Z1050" s="4" t="str">
        <f t="shared" si="52"/>
        <v>N</v>
      </c>
      <c r="AA1050" s="4"/>
      <c r="AB1050" s="4"/>
      <c r="AC1050" s="39" t="s">
        <v>1661</v>
      </c>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4"/>
      <c r="BK1050" s="4"/>
      <c r="BL1050" s="4"/>
      <c r="BM1050" s="4"/>
      <c r="BN1050" s="4"/>
      <c r="BO1050" s="4"/>
      <c r="BP1050" s="4"/>
      <c r="BQ1050" s="4"/>
      <c r="BR1050" s="4"/>
      <c r="BS1050" s="4"/>
      <c r="BT1050" s="4"/>
      <c r="BU1050" s="4"/>
      <c r="BV1050" s="4"/>
      <c r="BW1050" s="4"/>
      <c r="BX1050" s="4"/>
      <c r="BY1050" s="4"/>
      <c r="BZ1050" s="4"/>
      <c r="CA1050" s="4"/>
      <c r="CB1050" s="4"/>
      <c r="CC1050" s="4"/>
      <c r="CD1050" s="4"/>
      <c r="CE1050" s="4"/>
      <c r="CF1050" s="4"/>
      <c r="CG1050" s="4"/>
      <c r="CH1050" s="4"/>
      <c r="CI1050" s="4"/>
      <c r="CJ1050" s="4"/>
      <c r="CK1050" s="4"/>
      <c r="CL1050" s="4"/>
      <c r="CM1050" s="4"/>
      <c r="CN1050" s="4"/>
    </row>
    <row r="1051" spans="1:92" x14ac:dyDescent="0.2">
      <c r="B1051" t="s">
        <v>1330</v>
      </c>
      <c r="C1051" t="s">
        <v>1607</v>
      </c>
      <c r="F1051" t="s">
        <v>1719</v>
      </c>
      <c r="G1051" t="s">
        <v>514</v>
      </c>
      <c r="H1051" s="13">
        <v>-28.98</v>
      </c>
      <c r="I1051" s="13">
        <v>113.96</v>
      </c>
      <c r="J1051" s="42">
        <v>1991</v>
      </c>
      <c r="K1051" s="42">
        <v>2010</v>
      </c>
      <c r="L1051" s="13">
        <f t="shared" si="55"/>
        <v>20</v>
      </c>
      <c r="M1051" t="s">
        <v>369</v>
      </c>
      <c r="N1051" t="s">
        <v>380</v>
      </c>
      <c r="O1051" t="s">
        <v>380</v>
      </c>
      <c r="Q1051" t="s">
        <v>1639</v>
      </c>
      <c r="R1051" t="s">
        <v>1659</v>
      </c>
      <c r="V1051" s="43">
        <v>24.77</v>
      </c>
      <c r="W1051" t="str">
        <f t="shared" si="53"/>
        <v>N</v>
      </c>
      <c r="X1051" t="str">
        <f t="shared" si="54"/>
        <v>Y</v>
      </c>
      <c r="Z1051" s="4" t="str">
        <f t="shared" si="52"/>
        <v>Y</v>
      </c>
      <c r="AC1051" s="15" t="s">
        <v>1661</v>
      </c>
    </row>
    <row r="1052" spans="1:92" x14ac:dyDescent="0.2">
      <c r="B1052" t="s">
        <v>1330</v>
      </c>
      <c r="C1052" t="s">
        <v>1607</v>
      </c>
      <c r="F1052" t="s">
        <v>1719</v>
      </c>
      <c r="G1052" t="s">
        <v>514</v>
      </c>
      <c r="H1052" s="13">
        <v>-28.98</v>
      </c>
      <c r="I1052" s="13">
        <v>113.96</v>
      </c>
      <c r="J1052" s="42">
        <v>1991</v>
      </c>
      <c r="K1052" s="42">
        <v>2010</v>
      </c>
      <c r="L1052" s="13">
        <f t="shared" si="55"/>
        <v>20</v>
      </c>
      <c r="M1052" t="s">
        <v>369</v>
      </c>
      <c r="N1052" t="s">
        <v>380</v>
      </c>
      <c r="O1052" t="s">
        <v>380</v>
      </c>
      <c r="Q1052" t="s">
        <v>1639</v>
      </c>
      <c r="R1052" t="s">
        <v>1659</v>
      </c>
      <c r="V1052" s="43">
        <v>29.689999999999998</v>
      </c>
      <c r="W1052" t="str">
        <f t="shared" si="53"/>
        <v>N</v>
      </c>
      <c r="X1052" t="str">
        <f t="shared" si="54"/>
        <v>Y</v>
      </c>
      <c r="Z1052" s="4" t="str">
        <f t="shared" si="52"/>
        <v>Y</v>
      </c>
      <c r="AC1052" s="15" t="s">
        <v>1661</v>
      </c>
    </row>
    <row r="1053" spans="1:92" x14ac:dyDescent="0.2">
      <c r="B1053" s="4" t="s">
        <v>1330</v>
      </c>
      <c r="C1053" s="4" t="s">
        <v>1607</v>
      </c>
      <c r="D1053" s="4"/>
      <c r="E1053" s="4"/>
      <c r="F1053" s="4" t="s">
        <v>1719</v>
      </c>
      <c r="G1053" s="4" t="s">
        <v>514</v>
      </c>
      <c r="H1053" s="37">
        <v>-28.98</v>
      </c>
      <c r="I1053" s="37">
        <v>113.96</v>
      </c>
      <c r="J1053" s="45">
        <v>1993</v>
      </c>
      <c r="K1053" s="45">
        <v>2007</v>
      </c>
      <c r="L1053" s="37">
        <f t="shared" si="55"/>
        <v>15</v>
      </c>
      <c r="M1053" s="4" t="s">
        <v>369</v>
      </c>
      <c r="N1053" s="4" t="s">
        <v>380</v>
      </c>
      <c r="O1053" s="4" t="s">
        <v>380</v>
      </c>
      <c r="P1053" s="4"/>
      <c r="Q1053" s="4" t="s">
        <v>1656</v>
      </c>
      <c r="R1053" s="4" t="s">
        <v>1659</v>
      </c>
      <c r="V1053" s="46">
        <v>36.25</v>
      </c>
      <c r="W1053" s="4" t="str">
        <f t="shared" si="53"/>
        <v>N</v>
      </c>
      <c r="X1053" t="str">
        <f t="shared" si="54"/>
        <v>N</v>
      </c>
      <c r="Z1053" s="4" t="str">
        <f t="shared" si="52"/>
        <v>N</v>
      </c>
      <c r="AA1053" s="4"/>
      <c r="AB1053" s="4"/>
      <c r="AC1053" s="39" t="s">
        <v>1661</v>
      </c>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4"/>
      <c r="BK1053" s="4"/>
      <c r="BL1053" s="4"/>
      <c r="BM1053" s="4"/>
      <c r="BN1053" s="4"/>
      <c r="BO1053" s="4"/>
      <c r="BP1053" s="4"/>
      <c r="BQ1053" s="4"/>
      <c r="BR1053" s="4"/>
      <c r="BS1053" s="4"/>
      <c r="BT1053" s="4"/>
      <c r="BU1053" s="4"/>
      <c r="BV1053" s="4"/>
      <c r="BW1053" s="4"/>
      <c r="BX1053" s="4"/>
      <c r="BY1053" s="4"/>
      <c r="BZ1053" s="4"/>
      <c r="CA1053" s="4"/>
      <c r="CB1053" s="4"/>
      <c r="CC1053" s="4"/>
      <c r="CD1053" s="4"/>
      <c r="CE1053" s="4"/>
      <c r="CF1053" s="4"/>
      <c r="CG1053" s="4"/>
      <c r="CH1053" s="4"/>
      <c r="CI1053" s="4"/>
      <c r="CJ1053" s="4"/>
      <c r="CK1053" s="4"/>
      <c r="CL1053" s="4"/>
      <c r="CM1053" s="4"/>
      <c r="CN1053" s="4"/>
    </row>
    <row r="1054" spans="1:92" x14ac:dyDescent="0.2">
      <c r="B1054" s="4" t="s">
        <v>1330</v>
      </c>
      <c r="C1054" s="4" t="s">
        <v>1608</v>
      </c>
      <c r="D1054" s="4"/>
      <c r="E1054" s="4"/>
      <c r="F1054" s="4" t="s">
        <v>1708</v>
      </c>
      <c r="G1054" s="4" t="s">
        <v>513</v>
      </c>
      <c r="H1054" s="37">
        <v>53.5</v>
      </c>
      <c r="I1054" s="37">
        <v>8.1</v>
      </c>
      <c r="J1054" s="45">
        <v>1996</v>
      </c>
      <c r="K1054" s="45">
        <v>2010</v>
      </c>
      <c r="L1054" s="37">
        <f t="shared" si="55"/>
        <v>15</v>
      </c>
      <c r="M1054" s="4" t="s">
        <v>369</v>
      </c>
      <c r="N1054" s="4" t="s">
        <v>380</v>
      </c>
      <c r="O1054" s="4" t="s">
        <v>380</v>
      </c>
      <c r="P1054" s="4"/>
      <c r="Q1054" s="4" t="s">
        <v>1613</v>
      </c>
      <c r="R1054" s="4" t="s">
        <v>1659</v>
      </c>
      <c r="V1054" s="46">
        <v>3.5</v>
      </c>
      <c r="W1054" s="4" t="str">
        <f t="shared" si="53"/>
        <v>N</v>
      </c>
      <c r="X1054" t="str">
        <f t="shared" si="54"/>
        <v>N</v>
      </c>
      <c r="Z1054" s="4" t="str">
        <f t="shared" si="52"/>
        <v>N</v>
      </c>
      <c r="AA1054" s="4"/>
      <c r="AB1054" s="4"/>
      <c r="AC1054" s="39" t="s">
        <v>1661</v>
      </c>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c r="BU1054" s="4"/>
      <c r="BV1054" s="4"/>
      <c r="BW1054" s="4"/>
      <c r="BX1054" s="4"/>
      <c r="BY1054" s="4"/>
      <c r="BZ1054" s="4"/>
      <c r="CA1054" s="4"/>
      <c r="CB1054" s="4"/>
      <c r="CC1054" s="4"/>
      <c r="CD1054" s="4"/>
      <c r="CE1054" s="4"/>
      <c r="CF1054" s="4"/>
      <c r="CG1054" s="4"/>
      <c r="CH1054" s="4"/>
      <c r="CI1054" s="4"/>
      <c r="CJ1054" s="4"/>
      <c r="CK1054" s="4"/>
      <c r="CL1054" s="4"/>
      <c r="CM1054" s="4"/>
      <c r="CN1054" s="4"/>
    </row>
    <row r="1055" spans="1:92" s="4" customFormat="1" x14ac:dyDescent="0.2">
      <c r="A1055"/>
      <c r="B1055" t="s">
        <v>1330</v>
      </c>
      <c r="C1055" t="s">
        <v>1609</v>
      </c>
      <c r="D1055"/>
      <c r="E1055"/>
      <c r="F1055" t="s">
        <v>1682</v>
      </c>
      <c r="G1055" t="s">
        <v>513</v>
      </c>
      <c r="H1055" s="13">
        <v>51.8</v>
      </c>
      <c r="I1055" s="13">
        <v>0.6</v>
      </c>
      <c r="J1055" s="42">
        <v>1979</v>
      </c>
      <c r="K1055" s="42">
        <v>1998</v>
      </c>
      <c r="L1055" s="13">
        <f t="shared" si="55"/>
        <v>20</v>
      </c>
      <c r="M1055" t="s">
        <v>369</v>
      </c>
      <c r="N1055" t="s">
        <v>380</v>
      </c>
      <c r="O1055" t="s">
        <v>380</v>
      </c>
      <c r="P1055"/>
      <c r="Q1055" t="s">
        <v>1625</v>
      </c>
      <c r="R1055" t="s">
        <v>1658</v>
      </c>
      <c r="S1055"/>
      <c r="T1055"/>
      <c r="U1055"/>
      <c r="V1055" s="44">
        <v>-6.1099999999999994</v>
      </c>
      <c r="W1055" t="str">
        <f t="shared" si="53"/>
        <v>Y</v>
      </c>
      <c r="X1055" t="str">
        <f t="shared" si="54"/>
        <v>Y</v>
      </c>
      <c r="Y1055"/>
      <c r="Z1055" s="4" t="str">
        <f t="shared" si="52"/>
        <v>Y</v>
      </c>
      <c r="AA1055"/>
      <c r="AB1055"/>
      <c r="AC1055" s="15" t="s">
        <v>1661</v>
      </c>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c r="CD1055"/>
      <c r="CE1055"/>
      <c r="CF1055"/>
      <c r="CG1055"/>
      <c r="CH1055"/>
      <c r="CI1055"/>
      <c r="CJ1055"/>
      <c r="CK1055"/>
      <c r="CL1055"/>
      <c r="CM1055"/>
      <c r="CN1055"/>
    </row>
    <row r="1056" spans="1:92" x14ac:dyDescent="0.2">
      <c r="B1056" t="s">
        <v>1330</v>
      </c>
      <c r="C1056" t="s">
        <v>1610</v>
      </c>
      <c r="F1056" t="s">
        <v>1720</v>
      </c>
      <c r="G1056" t="s">
        <v>513</v>
      </c>
      <c r="H1056" s="13">
        <v>60.08</v>
      </c>
      <c r="I1056" s="13">
        <v>-2.0499999999999998</v>
      </c>
      <c r="J1056" s="42">
        <v>1976</v>
      </c>
      <c r="K1056" s="42">
        <v>1994</v>
      </c>
      <c r="L1056" s="13">
        <f t="shared" si="55"/>
        <v>19</v>
      </c>
      <c r="M1056" t="s">
        <v>369</v>
      </c>
      <c r="N1056" t="s">
        <v>380</v>
      </c>
      <c r="O1056" t="s">
        <v>380</v>
      </c>
      <c r="Q1056" t="s">
        <v>1615</v>
      </c>
      <c r="R1056" t="s">
        <v>1659</v>
      </c>
      <c r="V1056" s="43">
        <v>-1.3800000000000001</v>
      </c>
      <c r="W1056" t="str">
        <f t="shared" si="53"/>
        <v>Y</v>
      </c>
      <c r="X1056" t="str">
        <f t="shared" si="54"/>
        <v>Y</v>
      </c>
      <c r="Z1056" s="4" t="str">
        <f t="shared" si="52"/>
        <v>Y</v>
      </c>
      <c r="AC1056" s="15" t="s">
        <v>1661</v>
      </c>
    </row>
    <row r="1057" spans="1:92" x14ac:dyDescent="0.2">
      <c r="B1057" t="s">
        <v>1330</v>
      </c>
      <c r="C1057" s="4" t="s">
        <v>1611</v>
      </c>
      <c r="D1057" s="4"/>
      <c r="E1057" s="4"/>
      <c r="F1057" s="4" t="s">
        <v>1721</v>
      </c>
      <c r="G1057" s="4" t="s">
        <v>513</v>
      </c>
      <c r="H1057" s="13">
        <v>57.7</v>
      </c>
      <c r="I1057" s="13">
        <v>-2.2999999999999998</v>
      </c>
      <c r="J1057" s="42">
        <v>1990</v>
      </c>
      <c r="K1057" s="42">
        <v>2016</v>
      </c>
      <c r="L1057" s="13">
        <f t="shared" si="55"/>
        <v>27</v>
      </c>
      <c r="M1057" t="s">
        <v>369</v>
      </c>
      <c r="N1057" t="s">
        <v>380</v>
      </c>
      <c r="O1057" t="s">
        <v>380</v>
      </c>
      <c r="P1057" s="4"/>
      <c r="Q1057" t="s">
        <v>1657</v>
      </c>
      <c r="R1057" t="s">
        <v>1659</v>
      </c>
      <c r="V1057" s="43">
        <v>-4.6999999999999993</v>
      </c>
      <c r="W1057" t="str">
        <f t="shared" si="53"/>
        <v>Y</v>
      </c>
      <c r="X1057" t="str">
        <f t="shared" si="54"/>
        <v>Y</v>
      </c>
      <c r="Z1057" s="4" t="str">
        <f t="shared" si="52"/>
        <v>Y</v>
      </c>
      <c r="AA1057" s="4"/>
      <c r="AB1057" s="4"/>
      <c r="AC1057" s="15" t="s">
        <v>1661</v>
      </c>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4"/>
      <c r="BK1057" s="4"/>
      <c r="BL1057" s="4"/>
      <c r="BM1057" s="4"/>
      <c r="BN1057" s="4"/>
      <c r="BO1057" s="4"/>
      <c r="BP1057" s="4"/>
      <c r="BQ1057" s="4"/>
      <c r="BR1057" s="4"/>
      <c r="BS1057" s="4"/>
      <c r="BT1057" s="4"/>
      <c r="BU1057" s="4"/>
      <c r="BV1057" s="4"/>
      <c r="BW1057" s="4"/>
      <c r="BX1057" s="4"/>
      <c r="BY1057" s="4"/>
      <c r="BZ1057" s="4"/>
      <c r="CA1057" s="4"/>
      <c r="CB1057" s="4"/>
      <c r="CC1057" s="4"/>
      <c r="CD1057" s="4"/>
      <c r="CE1057" s="4"/>
      <c r="CF1057" s="4"/>
      <c r="CG1057" s="4"/>
      <c r="CH1057" s="4"/>
      <c r="CI1057" s="4"/>
      <c r="CJ1057" s="4"/>
      <c r="CK1057" s="4"/>
      <c r="CL1057" s="4"/>
      <c r="CM1057" s="4"/>
      <c r="CN1057" s="4"/>
    </row>
    <row r="1058" spans="1:92" x14ac:dyDescent="0.2">
      <c r="B1058" t="s">
        <v>1330</v>
      </c>
      <c r="C1058" s="4" t="s">
        <v>1611</v>
      </c>
      <c r="D1058" s="4"/>
      <c r="E1058" s="4"/>
      <c r="F1058" s="4" t="s">
        <v>1722</v>
      </c>
      <c r="G1058" s="4" t="s">
        <v>513</v>
      </c>
      <c r="H1058" s="13">
        <v>56.08</v>
      </c>
      <c r="I1058" s="13">
        <v>-2.63</v>
      </c>
      <c r="J1058" s="42">
        <v>1984</v>
      </c>
      <c r="K1058" s="42">
        <v>2007</v>
      </c>
      <c r="L1058" s="13">
        <f t="shared" si="55"/>
        <v>24</v>
      </c>
      <c r="M1058" t="s">
        <v>369</v>
      </c>
      <c r="N1058" t="s">
        <v>380</v>
      </c>
      <c r="O1058" t="s">
        <v>380</v>
      </c>
      <c r="P1058" s="4"/>
      <c r="Q1058" t="s">
        <v>1657</v>
      </c>
      <c r="R1058" t="s">
        <v>1659</v>
      </c>
      <c r="V1058" s="43">
        <v>1.56</v>
      </c>
      <c r="W1058" t="str">
        <f t="shared" si="53"/>
        <v>N</v>
      </c>
      <c r="X1058" t="str">
        <f t="shared" si="54"/>
        <v>Y</v>
      </c>
      <c r="Z1058" s="4" t="str">
        <f t="shared" si="52"/>
        <v>Y</v>
      </c>
      <c r="AA1058" s="4"/>
      <c r="AB1058" s="4"/>
      <c r="AC1058" s="15" t="s">
        <v>1661</v>
      </c>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4"/>
      <c r="BK1058" s="4"/>
      <c r="BL1058" s="4"/>
      <c r="BM1058" s="4"/>
      <c r="BN1058" s="4"/>
      <c r="BO1058" s="4"/>
      <c r="BP1058" s="4"/>
      <c r="BQ1058" s="4"/>
      <c r="BR1058" s="4"/>
      <c r="BS1058" s="4"/>
      <c r="BT1058" s="4"/>
      <c r="BU1058" s="4"/>
      <c r="BV1058" s="4"/>
      <c r="BW1058" s="4"/>
      <c r="BX1058" s="4"/>
      <c r="BY1058" s="4"/>
      <c r="BZ1058" s="4"/>
      <c r="CA1058" s="4"/>
      <c r="CB1058" s="4"/>
      <c r="CC1058" s="4"/>
      <c r="CD1058" s="4"/>
      <c r="CE1058" s="4"/>
      <c r="CF1058" s="4"/>
      <c r="CG1058" s="4"/>
      <c r="CH1058" s="4"/>
      <c r="CI1058" s="4"/>
      <c r="CJ1058" s="4"/>
      <c r="CK1058" s="4"/>
      <c r="CL1058" s="4"/>
      <c r="CM1058" s="4"/>
      <c r="CN1058" s="4"/>
    </row>
    <row r="1059" spans="1:92" x14ac:dyDescent="0.2">
      <c r="B1059" t="s">
        <v>1330</v>
      </c>
      <c r="C1059" s="4" t="s">
        <v>1611</v>
      </c>
      <c r="D1059" s="4"/>
      <c r="E1059" s="4"/>
      <c r="F1059" s="4" t="s">
        <v>1723</v>
      </c>
      <c r="G1059" s="4" t="s">
        <v>513</v>
      </c>
      <c r="H1059" s="13">
        <v>48.9</v>
      </c>
      <c r="I1059" s="13">
        <v>-3.43</v>
      </c>
      <c r="J1059" s="42">
        <v>1990</v>
      </c>
      <c r="K1059" s="42">
        <v>2016</v>
      </c>
      <c r="L1059" s="13">
        <f t="shared" si="55"/>
        <v>27</v>
      </c>
      <c r="M1059" t="s">
        <v>369</v>
      </c>
      <c r="N1059" t="s">
        <v>380</v>
      </c>
      <c r="O1059" t="s">
        <v>380</v>
      </c>
      <c r="P1059" s="4"/>
      <c r="Q1059" t="s">
        <v>1657</v>
      </c>
      <c r="R1059" t="s">
        <v>1659</v>
      </c>
      <c r="V1059" s="43">
        <v>7.41</v>
      </c>
      <c r="W1059" t="str">
        <f t="shared" si="53"/>
        <v>N</v>
      </c>
      <c r="X1059" t="str">
        <f t="shared" si="54"/>
        <v>Y</v>
      </c>
      <c r="Z1059" s="4" t="str">
        <f t="shared" si="52"/>
        <v>Y</v>
      </c>
      <c r="AA1059" s="4"/>
      <c r="AB1059" s="4"/>
      <c r="AC1059" s="15" t="s">
        <v>1661</v>
      </c>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4"/>
      <c r="BK1059" s="4"/>
      <c r="BL1059" s="4"/>
      <c r="BM1059" s="4"/>
      <c r="BN1059" s="4"/>
      <c r="BO1059" s="4"/>
      <c r="BP1059" s="4"/>
      <c r="BQ1059" s="4"/>
      <c r="BR1059" s="4"/>
      <c r="BS1059" s="4"/>
      <c r="BT1059" s="4"/>
      <c r="BU1059" s="4"/>
      <c r="BV1059" s="4"/>
      <c r="BW1059" s="4"/>
      <c r="BX1059" s="4"/>
      <c r="BY1059" s="4"/>
      <c r="BZ1059" s="4"/>
      <c r="CA1059" s="4"/>
      <c r="CB1059" s="4"/>
      <c r="CC1059" s="4"/>
      <c r="CD1059" s="4"/>
      <c r="CE1059" s="4"/>
      <c r="CF1059" s="4"/>
      <c r="CG1059" s="4"/>
      <c r="CH1059" s="4"/>
      <c r="CI1059" s="4"/>
      <c r="CJ1059" s="4"/>
      <c r="CK1059" s="4"/>
      <c r="CL1059" s="4"/>
      <c r="CM1059" s="4"/>
      <c r="CN1059" s="4"/>
    </row>
    <row r="1060" spans="1:92" x14ac:dyDescent="0.2">
      <c r="A1060">
        <v>13</v>
      </c>
      <c r="B1060" t="s">
        <v>366</v>
      </c>
      <c r="C1060" t="s">
        <v>930</v>
      </c>
      <c r="E1060">
        <v>2018</v>
      </c>
      <c r="F1060" t="s">
        <v>577</v>
      </c>
      <c r="G1060" t="s">
        <v>513</v>
      </c>
      <c r="H1060" s="13">
        <v>67.5</v>
      </c>
      <c r="I1060" s="13">
        <v>-60</v>
      </c>
      <c r="J1060" s="13">
        <v>1991</v>
      </c>
      <c r="K1060" s="13">
        <v>2015</v>
      </c>
      <c r="L1060" s="13">
        <f t="shared" si="55"/>
        <v>25</v>
      </c>
      <c r="M1060" t="s">
        <v>371</v>
      </c>
      <c r="N1060" t="s">
        <v>526</v>
      </c>
      <c r="O1060" t="s">
        <v>22</v>
      </c>
      <c r="P1060" t="s">
        <v>22</v>
      </c>
      <c r="Q1060" t="s">
        <v>23</v>
      </c>
      <c r="R1060" t="s">
        <v>1090</v>
      </c>
      <c r="S1060" t="s">
        <v>620</v>
      </c>
      <c r="T1060" t="s">
        <v>165</v>
      </c>
      <c r="U1060" t="s">
        <v>1069</v>
      </c>
      <c r="V1060">
        <f>-(194.1-167.1)/(L1060/10)</f>
        <v>-10.8</v>
      </c>
      <c r="W1060" t="s">
        <v>3</v>
      </c>
      <c r="X1060" t="s">
        <v>3</v>
      </c>
      <c r="Y1060" t="s">
        <v>366</v>
      </c>
      <c r="Z1060" s="4" t="str">
        <f t="shared" si="52"/>
        <v>Y</v>
      </c>
      <c r="AA1060" t="s">
        <v>1116</v>
      </c>
      <c r="AB1060" t="s">
        <v>1164</v>
      </c>
      <c r="AC1060" t="s">
        <v>1091</v>
      </c>
      <c r="AD1060" s="15" t="s">
        <v>1127</v>
      </c>
      <c r="AE1060" s="15" t="s">
        <v>1163</v>
      </c>
      <c r="AF1060" s="15" t="s">
        <v>3</v>
      </c>
      <c r="AG1060" t="s">
        <v>1100</v>
      </c>
    </row>
    <row r="1061" spans="1:92" s="4" customFormat="1" x14ac:dyDescent="0.2">
      <c r="A1061">
        <v>14</v>
      </c>
      <c r="B1061" t="s">
        <v>366</v>
      </c>
      <c r="C1061" t="s">
        <v>1181</v>
      </c>
      <c r="D1061"/>
      <c r="E1061">
        <v>2017</v>
      </c>
      <c r="F1061" t="s">
        <v>28</v>
      </c>
      <c r="G1061" t="s">
        <v>513</v>
      </c>
      <c r="H1061" s="14">
        <v>69.471299999999999</v>
      </c>
      <c r="I1061" s="13">
        <v>-171.69030000000001</v>
      </c>
      <c r="J1061" s="13">
        <v>1993</v>
      </c>
      <c r="K1061" s="13">
        <v>2012</v>
      </c>
      <c r="L1061" s="13">
        <f t="shared" si="55"/>
        <v>20</v>
      </c>
      <c r="M1061" t="s">
        <v>371</v>
      </c>
      <c r="N1061" t="s">
        <v>526</v>
      </c>
      <c r="O1061" t="s">
        <v>1875</v>
      </c>
      <c r="P1061" t="s">
        <v>26</v>
      </c>
      <c r="Q1061" t="s">
        <v>27</v>
      </c>
      <c r="R1061" t="s">
        <v>1097</v>
      </c>
      <c r="S1061" s="17" t="s">
        <v>1076</v>
      </c>
      <c r="T1061">
        <f>(279.5+295.5+316)/3</f>
        <v>297</v>
      </c>
      <c r="U1061" t="s">
        <v>900</v>
      </c>
      <c r="V1061">
        <f>((33+21+14)/3)/(L1061/10)</f>
        <v>11.333333333333334</v>
      </c>
      <c r="W1061" t="s">
        <v>3</v>
      </c>
      <c r="X1061" t="s">
        <v>3</v>
      </c>
      <c r="Y1061" t="s">
        <v>366</v>
      </c>
      <c r="Z1061" s="4" t="str">
        <f t="shared" si="52"/>
        <v>Y</v>
      </c>
      <c r="AA1061" t="s">
        <v>1116</v>
      </c>
      <c r="AB1061" t="s">
        <v>1170</v>
      </c>
      <c r="AC1061" t="s">
        <v>1098</v>
      </c>
      <c r="AD1061" s="15" t="s">
        <v>1100</v>
      </c>
      <c r="AE1061" s="15" t="s">
        <v>1153</v>
      </c>
      <c r="AF1061" s="15" t="s">
        <v>3</v>
      </c>
      <c r="AG1061" t="s">
        <v>1100</v>
      </c>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c r="CE1061"/>
      <c r="CF1061"/>
      <c r="CG1061"/>
      <c r="CH1061"/>
      <c r="CI1061"/>
      <c r="CJ1061"/>
      <c r="CK1061"/>
      <c r="CL1061"/>
      <c r="CM1061"/>
      <c r="CN1061"/>
    </row>
    <row r="1062" spans="1:92" s="4" customFormat="1" x14ac:dyDescent="0.2">
      <c r="A1062">
        <v>15</v>
      </c>
      <c r="B1062" t="s">
        <v>366</v>
      </c>
      <c r="C1062" t="s">
        <v>1181</v>
      </c>
      <c r="D1062"/>
      <c r="E1062">
        <v>2017</v>
      </c>
      <c r="F1062" t="s">
        <v>29</v>
      </c>
      <c r="G1062" t="s">
        <v>513</v>
      </c>
      <c r="H1062" s="14">
        <v>72.843100000000007</v>
      </c>
      <c r="I1062" s="13">
        <v>-145.5685</v>
      </c>
      <c r="J1062" s="13">
        <v>1993</v>
      </c>
      <c r="K1062" s="13">
        <v>2012</v>
      </c>
      <c r="L1062" s="13">
        <f t="shared" si="55"/>
        <v>20</v>
      </c>
      <c r="M1062" t="s">
        <v>371</v>
      </c>
      <c r="N1062" t="s">
        <v>526</v>
      </c>
      <c r="O1062" t="s">
        <v>1875</v>
      </c>
      <c r="P1062" t="s">
        <v>26</v>
      </c>
      <c r="Q1062" t="s">
        <v>27</v>
      </c>
      <c r="R1062" t="s">
        <v>1097</v>
      </c>
      <c r="S1062" s="17" t="s">
        <v>1076</v>
      </c>
      <c r="T1062">
        <f>(252+260+290)/3</f>
        <v>267.33333333333331</v>
      </c>
      <c r="U1062" t="s">
        <v>900</v>
      </c>
      <c r="V1062">
        <f>(-6-8+2)/3/(L1062/10)</f>
        <v>-2</v>
      </c>
      <c r="W1062" t="s">
        <v>164</v>
      </c>
      <c r="X1062" t="s">
        <v>3</v>
      </c>
      <c r="Y1062" t="s">
        <v>366</v>
      </c>
      <c r="Z1062" s="4" t="str">
        <f t="shared" si="52"/>
        <v>Y</v>
      </c>
      <c r="AA1062" t="s">
        <v>1116</v>
      </c>
      <c r="AB1062" t="s">
        <v>1172</v>
      </c>
      <c r="AC1062" t="s">
        <v>1171</v>
      </c>
      <c r="AD1062" s="15" t="s">
        <v>1100</v>
      </c>
      <c r="AE1062" s="15" t="s">
        <v>1153</v>
      </c>
      <c r="AF1062" s="15" t="s">
        <v>3</v>
      </c>
      <c r="AG1062" t="s">
        <v>1100</v>
      </c>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c r="CE1062"/>
      <c r="CF1062"/>
      <c r="CG1062"/>
      <c r="CH1062"/>
      <c r="CI1062"/>
      <c r="CJ1062"/>
      <c r="CK1062"/>
      <c r="CL1062"/>
      <c r="CM1062"/>
      <c r="CN1062"/>
    </row>
    <row r="1063" spans="1:92" x14ac:dyDescent="0.2">
      <c r="A1063">
        <v>17</v>
      </c>
      <c r="B1063" t="s">
        <v>366</v>
      </c>
      <c r="C1063" t="s">
        <v>33</v>
      </c>
      <c r="E1063">
        <v>2015</v>
      </c>
      <c r="F1063" t="s">
        <v>34</v>
      </c>
      <c r="G1063" t="s">
        <v>513</v>
      </c>
      <c r="H1063" s="14">
        <v>49.9</v>
      </c>
      <c r="I1063" s="13">
        <v>-64.5</v>
      </c>
      <c r="J1063" s="13">
        <v>1984</v>
      </c>
      <c r="K1063" s="13">
        <v>2010</v>
      </c>
      <c r="L1063" s="13">
        <f t="shared" si="55"/>
        <v>27</v>
      </c>
      <c r="N1063" t="s">
        <v>526</v>
      </c>
      <c r="O1063" t="s">
        <v>1875</v>
      </c>
      <c r="P1063" t="s">
        <v>35</v>
      </c>
      <c r="Q1063" t="s">
        <v>36</v>
      </c>
      <c r="R1063" s="17" t="s">
        <v>931</v>
      </c>
      <c r="S1063" s="17" t="s">
        <v>1076</v>
      </c>
      <c r="T1063">
        <v>229</v>
      </c>
      <c r="U1063" s="10" t="s">
        <v>1068</v>
      </c>
      <c r="V1063">
        <f>-28/(L1063/10)</f>
        <v>-10.37037037037037</v>
      </c>
      <c r="W1063" t="s">
        <v>3</v>
      </c>
      <c r="X1063" t="s">
        <v>3</v>
      </c>
      <c r="Y1063" t="s">
        <v>366</v>
      </c>
      <c r="Z1063" s="4" t="str">
        <f t="shared" si="52"/>
        <v>Y</v>
      </c>
      <c r="AA1063" t="s">
        <v>1135</v>
      </c>
      <c r="AB1063" s="18" t="s">
        <v>1192</v>
      </c>
      <c r="AC1063" t="s">
        <v>1193</v>
      </c>
      <c r="AD1063" t="s">
        <v>3</v>
      </c>
      <c r="AE1063" s="15" t="s">
        <v>1153</v>
      </c>
      <c r="AF1063" s="15" t="s">
        <v>3</v>
      </c>
      <c r="AG1063" t="s">
        <v>1100</v>
      </c>
    </row>
    <row r="1064" spans="1:92" x14ac:dyDescent="0.2">
      <c r="A1064">
        <v>18</v>
      </c>
      <c r="B1064" t="s">
        <v>366</v>
      </c>
      <c r="C1064" t="s">
        <v>33</v>
      </c>
      <c r="E1064">
        <v>2015</v>
      </c>
      <c r="F1064" t="s">
        <v>34</v>
      </c>
      <c r="G1064" t="s">
        <v>513</v>
      </c>
      <c r="H1064" s="14">
        <v>49.9</v>
      </c>
      <c r="I1064" s="13">
        <v>-64.5</v>
      </c>
      <c r="J1064" s="13">
        <v>1987</v>
      </c>
      <c r="K1064" s="13">
        <v>2010</v>
      </c>
      <c r="L1064" s="13">
        <f t="shared" si="55"/>
        <v>24</v>
      </c>
      <c r="N1064" t="s">
        <v>526</v>
      </c>
      <c r="O1064" t="s">
        <v>1875</v>
      </c>
      <c r="P1064" t="s">
        <v>37</v>
      </c>
      <c r="Q1064" t="s">
        <v>38</v>
      </c>
      <c r="R1064" s="17" t="s">
        <v>931</v>
      </c>
      <c r="S1064" s="17" t="s">
        <v>1076</v>
      </c>
      <c r="T1064">
        <v>245</v>
      </c>
      <c r="U1064" s="10" t="s">
        <v>900</v>
      </c>
      <c r="V1064">
        <f>-(245-217)/(L1064/10)</f>
        <v>-11.666666666666668</v>
      </c>
      <c r="W1064" t="s">
        <v>3</v>
      </c>
      <c r="X1064" t="s">
        <v>3</v>
      </c>
      <c r="Y1064" t="s">
        <v>366</v>
      </c>
      <c r="Z1064" s="4" t="str">
        <f t="shared" si="52"/>
        <v>Y</v>
      </c>
      <c r="AA1064" t="s">
        <v>1135</v>
      </c>
      <c r="AB1064" s="18" t="s">
        <v>1192</v>
      </c>
      <c r="AC1064" t="s">
        <v>1193</v>
      </c>
      <c r="AD1064" t="s">
        <v>3</v>
      </c>
      <c r="AE1064" s="15" t="s">
        <v>1153</v>
      </c>
      <c r="AF1064" s="15" t="s">
        <v>3</v>
      </c>
      <c r="AG1064" t="s">
        <v>1100</v>
      </c>
    </row>
    <row r="1065" spans="1:92" s="4" customFormat="1" x14ac:dyDescent="0.2">
      <c r="A1065">
        <v>48</v>
      </c>
      <c r="B1065" t="s">
        <v>366</v>
      </c>
      <c r="C1065" t="s">
        <v>1194</v>
      </c>
      <c r="D1065"/>
      <c r="E1065">
        <v>2016</v>
      </c>
      <c r="F1065" t="s">
        <v>58</v>
      </c>
      <c r="G1065" t="s">
        <v>513</v>
      </c>
      <c r="H1065" s="14">
        <v>70.495800000000003</v>
      </c>
      <c r="I1065" s="13">
        <v>-147.965</v>
      </c>
      <c r="J1065" s="13">
        <v>1986</v>
      </c>
      <c r="K1065" s="13">
        <v>2014</v>
      </c>
      <c r="L1065" s="13">
        <f t="shared" si="55"/>
        <v>29</v>
      </c>
      <c r="M1065" t="s">
        <v>371</v>
      </c>
      <c r="N1065" t="s">
        <v>526</v>
      </c>
      <c r="O1065" t="s">
        <v>22</v>
      </c>
      <c r="P1065" t="s">
        <v>22</v>
      </c>
      <c r="Q1065" t="s">
        <v>23</v>
      </c>
      <c r="R1065" t="s">
        <v>931</v>
      </c>
      <c r="S1065" s="17" t="s">
        <v>1076</v>
      </c>
      <c r="T1065">
        <v>256</v>
      </c>
      <c r="U1065" s="10" t="s">
        <v>900</v>
      </c>
      <c r="V1065">
        <f>-(256-241)/(L1065/10)</f>
        <v>-5.1724137931034484</v>
      </c>
      <c r="W1065" t="s">
        <v>3</v>
      </c>
      <c r="X1065" t="s">
        <v>3</v>
      </c>
      <c r="Y1065" t="s">
        <v>366</v>
      </c>
      <c r="Z1065" s="4" t="str">
        <f t="shared" si="52"/>
        <v>Y</v>
      </c>
      <c r="AA1065" t="s">
        <v>1116</v>
      </c>
      <c r="AB1065" t="s">
        <v>1117</v>
      </c>
      <c r="AC1065" t="s">
        <v>1112</v>
      </c>
      <c r="AD1065" t="s">
        <v>1100</v>
      </c>
      <c r="AE1065" s="15" t="s">
        <v>1153</v>
      </c>
      <c r="AF1065" s="15" t="s">
        <v>3</v>
      </c>
      <c r="AG1065" t="s">
        <v>1100</v>
      </c>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c r="CE1065"/>
      <c r="CF1065"/>
      <c r="CG1065"/>
      <c r="CH1065"/>
      <c r="CI1065"/>
      <c r="CJ1065"/>
      <c r="CK1065"/>
      <c r="CL1065"/>
      <c r="CM1065"/>
      <c r="CN1065"/>
    </row>
    <row r="1066" spans="1:92" s="4" customFormat="1" x14ac:dyDescent="0.2">
      <c r="A1066">
        <v>149</v>
      </c>
      <c r="B1066" s="4" t="s">
        <v>366</v>
      </c>
      <c r="C1066" s="4" t="s">
        <v>78</v>
      </c>
      <c r="E1066" s="4">
        <v>2013</v>
      </c>
      <c r="F1066" s="4" t="s">
        <v>74</v>
      </c>
      <c r="G1066" s="4" t="s">
        <v>513</v>
      </c>
      <c r="H1066" s="37">
        <v>59.7121</v>
      </c>
      <c r="I1066" s="37">
        <v>-85.253900000000002</v>
      </c>
      <c r="J1066" s="37">
        <v>1991</v>
      </c>
      <c r="K1066" s="37">
        <v>2009</v>
      </c>
      <c r="L1066" s="37">
        <f t="shared" si="55"/>
        <v>19</v>
      </c>
      <c r="N1066" s="4" t="s">
        <v>526</v>
      </c>
      <c r="O1066" s="4" t="s">
        <v>526</v>
      </c>
      <c r="P1066" s="4" t="s">
        <v>22</v>
      </c>
      <c r="Q1066" s="4" t="s">
        <v>23</v>
      </c>
      <c r="R1066" s="4" t="s">
        <v>843</v>
      </c>
      <c r="S1066"/>
      <c r="T1066"/>
      <c r="U1066"/>
      <c r="V1066" s="4" t="s">
        <v>165</v>
      </c>
      <c r="W1066" s="4" t="s">
        <v>3</v>
      </c>
      <c r="X1066" s="47" t="s">
        <v>24</v>
      </c>
      <c r="Y1066" t="s">
        <v>366</v>
      </c>
      <c r="Z1066" s="4" t="str">
        <f t="shared" si="52"/>
        <v>Y</v>
      </c>
      <c r="AC1066" s="4" t="s">
        <v>79</v>
      </c>
      <c r="AD1066" s="2"/>
      <c r="AE1066" s="2"/>
      <c r="AF1066" s="2"/>
      <c r="AG1066"/>
    </row>
    <row r="1067" spans="1:92" x14ac:dyDescent="0.2">
      <c r="B1067" t="s">
        <v>366</v>
      </c>
      <c r="C1067" t="s">
        <v>1194</v>
      </c>
      <c r="E1067">
        <v>2016</v>
      </c>
      <c r="F1067" t="s">
        <v>58</v>
      </c>
      <c r="G1067" t="s">
        <v>513</v>
      </c>
      <c r="H1067" s="14">
        <v>70.495800000000003</v>
      </c>
      <c r="I1067" s="13">
        <v>-147.965</v>
      </c>
      <c r="J1067" s="13">
        <v>1986</v>
      </c>
      <c r="K1067" s="13">
        <v>2014</v>
      </c>
      <c r="L1067" s="13">
        <f t="shared" si="55"/>
        <v>29</v>
      </c>
      <c r="M1067" t="s">
        <v>371</v>
      </c>
      <c r="N1067" t="s">
        <v>526</v>
      </c>
      <c r="O1067" t="s">
        <v>22</v>
      </c>
      <c r="P1067" t="s">
        <v>22</v>
      </c>
      <c r="Q1067" t="s">
        <v>23</v>
      </c>
      <c r="R1067" t="s">
        <v>1111</v>
      </c>
      <c r="S1067" s="17" t="s">
        <v>1120</v>
      </c>
      <c r="T1067">
        <v>275</v>
      </c>
      <c r="U1067" s="10" t="s">
        <v>900</v>
      </c>
      <c r="V1067">
        <f>-(275-294)/(L1067/10)</f>
        <v>6.5517241379310347</v>
      </c>
      <c r="W1067" t="s">
        <v>3</v>
      </c>
      <c r="X1067" t="s">
        <v>3</v>
      </c>
      <c r="Y1067" t="s">
        <v>366</v>
      </c>
      <c r="Z1067" s="4" t="str">
        <f t="shared" si="52"/>
        <v>Y</v>
      </c>
      <c r="AA1067" t="s">
        <v>1116</v>
      </c>
      <c r="AB1067" t="s">
        <v>1117</v>
      </c>
      <c r="AC1067" t="s">
        <v>1113</v>
      </c>
      <c r="AD1067" t="s">
        <v>1100</v>
      </c>
      <c r="AE1067" s="15" t="s">
        <v>1153</v>
      </c>
      <c r="AF1067" s="15" t="s">
        <v>3</v>
      </c>
      <c r="AG1067" t="s">
        <v>1100</v>
      </c>
    </row>
    <row r="1068" spans="1:92" x14ac:dyDescent="0.2">
      <c r="B1068" t="s">
        <v>366</v>
      </c>
      <c r="C1068" t="s">
        <v>1194</v>
      </c>
      <c r="E1068">
        <v>2016</v>
      </c>
      <c r="F1068" t="s">
        <v>58</v>
      </c>
      <c r="G1068" t="s">
        <v>513</v>
      </c>
      <c r="H1068" s="14">
        <v>70.495800000000003</v>
      </c>
      <c r="I1068" s="13">
        <v>-147.965</v>
      </c>
      <c r="J1068" s="13">
        <v>1986</v>
      </c>
      <c r="K1068" s="13">
        <v>2014</v>
      </c>
      <c r="L1068" s="13">
        <f t="shared" si="55"/>
        <v>29</v>
      </c>
      <c r="M1068" t="s">
        <v>371</v>
      </c>
      <c r="N1068" t="s">
        <v>526</v>
      </c>
      <c r="O1068" t="s">
        <v>22</v>
      </c>
      <c r="P1068" t="s">
        <v>22</v>
      </c>
      <c r="Q1068" t="s">
        <v>23</v>
      </c>
      <c r="R1068" t="s">
        <v>1111</v>
      </c>
      <c r="S1068" s="17" t="s">
        <v>620</v>
      </c>
      <c r="T1068">
        <v>256</v>
      </c>
      <c r="U1068" s="10" t="s">
        <v>900</v>
      </c>
      <c r="V1068">
        <f>53/(L1068/10)</f>
        <v>18.27586206896552</v>
      </c>
      <c r="W1068" t="s">
        <v>3</v>
      </c>
      <c r="X1068" t="s">
        <v>3</v>
      </c>
      <c r="Y1068" t="s">
        <v>366</v>
      </c>
      <c r="Z1068" s="4" t="str">
        <f t="shared" si="52"/>
        <v>Y</v>
      </c>
      <c r="AA1068" t="s">
        <v>1116</v>
      </c>
      <c r="AB1068" t="s">
        <v>1117</v>
      </c>
      <c r="AC1068" t="s">
        <v>1118</v>
      </c>
      <c r="AD1068" t="s">
        <v>1100</v>
      </c>
      <c r="AE1068" s="15" t="s">
        <v>1153</v>
      </c>
      <c r="AF1068" s="15" t="s">
        <v>3</v>
      </c>
      <c r="AG1068" t="s">
        <v>1100</v>
      </c>
    </row>
    <row r="1069" spans="1:92" s="4" customFormat="1" x14ac:dyDescent="0.2">
      <c r="A1069"/>
      <c r="B1069" t="s">
        <v>366</v>
      </c>
      <c r="C1069" t="s">
        <v>930</v>
      </c>
      <c r="D1069"/>
      <c r="E1069">
        <v>2018</v>
      </c>
      <c r="F1069" t="s">
        <v>932</v>
      </c>
      <c r="G1069" t="s">
        <v>513</v>
      </c>
      <c r="H1069" s="13">
        <v>78</v>
      </c>
      <c r="I1069" s="13">
        <v>-77</v>
      </c>
      <c r="J1069" s="13">
        <v>1991</v>
      </c>
      <c r="K1069" s="13">
        <v>2015</v>
      </c>
      <c r="L1069" s="13">
        <f t="shared" si="55"/>
        <v>25</v>
      </c>
      <c r="M1069" t="s">
        <v>371</v>
      </c>
      <c r="N1069" t="s">
        <v>526</v>
      </c>
      <c r="O1069" t="s">
        <v>22</v>
      </c>
      <c r="P1069" t="s">
        <v>22</v>
      </c>
      <c r="Q1069" t="s">
        <v>23</v>
      </c>
      <c r="R1069" t="s">
        <v>931</v>
      </c>
      <c r="S1069" t="s">
        <v>1076</v>
      </c>
      <c r="T1069">
        <v>261</v>
      </c>
      <c r="U1069" t="s">
        <v>900</v>
      </c>
      <c r="V1069">
        <f>(235-261)/2.5</f>
        <v>-10.4</v>
      </c>
      <c r="W1069" t="s">
        <v>3</v>
      </c>
      <c r="X1069" t="s">
        <v>3</v>
      </c>
      <c r="Y1069" t="s">
        <v>366</v>
      </c>
      <c r="Z1069" s="4" t="str">
        <f t="shared" si="52"/>
        <v>Y</v>
      </c>
      <c r="AA1069" t="s">
        <v>1116</v>
      </c>
      <c r="AB1069" t="s">
        <v>1165</v>
      </c>
      <c r="AC1069" t="s">
        <v>1089</v>
      </c>
      <c r="AD1069" s="15" t="s">
        <v>1127</v>
      </c>
      <c r="AE1069" s="15" t="s">
        <v>1163</v>
      </c>
      <c r="AF1069" s="15" t="s">
        <v>3</v>
      </c>
      <c r="AG1069" t="s">
        <v>1100</v>
      </c>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c r="CE1069"/>
      <c r="CF1069"/>
      <c r="CG1069"/>
      <c r="CH1069"/>
      <c r="CI1069"/>
      <c r="CJ1069"/>
      <c r="CK1069"/>
      <c r="CL1069"/>
      <c r="CM1069"/>
      <c r="CN1069"/>
    </row>
    <row r="1070" spans="1:92" s="4" customFormat="1" x14ac:dyDescent="0.2">
      <c r="A1070"/>
      <c r="B1070" t="s">
        <v>366</v>
      </c>
      <c r="C1070" t="s">
        <v>930</v>
      </c>
      <c r="D1070"/>
      <c r="E1070">
        <v>2018</v>
      </c>
      <c r="F1070" t="s">
        <v>933</v>
      </c>
      <c r="G1070" t="s">
        <v>513</v>
      </c>
      <c r="H1070" s="13">
        <v>70</v>
      </c>
      <c r="I1070" s="13">
        <v>-70</v>
      </c>
      <c r="J1070" s="13">
        <v>1991</v>
      </c>
      <c r="K1070" s="13">
        <v>2015</v>
      </c>
      <c r="L1070" s="13">
        <f t="shared" si="55"/>
        <v>25</v>
      </c>
      <c r="M1070" t="s">
        <v>371</v>
      </c>
      <c r="N1070" t="s">
        <v>526</v>
      </c>
      <c r="O1070" t="s">
        <v>22</v>
      </c>
      <c r="P1070" t="s">
        <v>22</v>
      </c>
      <c r="Q1070" t="s">
        <v>23</v>
      </c>
      <c r="R1070" t="s">
        <v>931</v>
      </c>
      <c r="S1070" t="s">
        <v>1076</v>
      </c>
      <c r="T1070">
        <v>237</v>
      </c>
      <c r="U1070" t="s">
        <v>1068</v>
      </c>
      <c r="V1070">
        <f>(219-237)/2.5</f>
        <v>-7.2</v>
      </c>
      <c r="W1070" t="s">
        <v>3</v>
      </c>
      <c r="X1070" t="s">
        <v>3</v>
      </c>
      <c r="Y1070" t="s">
        <v>366</v>
      </c>
      <c r="Z1070" s="4" t="str">
        <f t="shared" si="52"/>
        <v>Y</v>
      </c>
      <c r="AA1070" t="s">
        <v>1116</v>
      </c>
      <c r="AB1070" t="s">
        <v>1165</v>
      </c>
      <c r="AC1070" t="s">
        <v>1088</v>
      </c>
      <c r="AD1070" s="15" t="s">
        <v>1127</v>
      </c>
      <c r="AE1070" s="15" t="s">
        <v>1163</v>
      </c>
      <c r="AF1070" s="15" t="s">
        <v>24</v>
      </c>
      <c r="AG1070" t="s">
        <v>1100</v>
      </c>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c r="CE1070"/>
      <c r="CF1070"/>
      <c r="CG1070"/>
      <c r="CH1070"/>
      <c r="CI1070"/>
      <c r="CJ1070"/>
      <c r="CK1070"/>
      <c r="CL1070"/>
      <c r="CM1070"/>
      <c r="CN1070"/>
    </row>
    <row r="1071" spans="1:92" s="52" customFormat="1" x14ac:dyDescent="0.2">
      <c r="A1071"/>
      <c r="B1071" s="52" t="s">
        <v>366</v>
      </c>
      <c r="C1071" s="52" t="s">
        <v>1304</v>
      </c>
      <c r="E1071" s="52">
        <v>2021</v>
      </c>
      <c r="F1071" s="53" t="s">
        <v>1305</v>
      </c>
      <c r="G1071" s="52" t="s">
        <v>514</v>
      </c>
      <c r="H1071" s="54">
        <v>-54.9</v>
      </c>
      <c r="I1071" s="54">
        <v>37.75</v>
      </c>
      <c r="J1071" s="54">
        <v>1983</v>
      </c>
      <c r="K1071" s="54">
        <v>2016</v>
      </c>
      <c r="L1071" s="54">
        <f t="shared" si="55"/>
        <v>34</v>
      </c>
      <c r="M1071" s="52" t="s">
        <v>369</v>
      </c>
      <c r="N1071" s="52" t="s">
        <v>526</v>
      </c>
      <c r="O1071" s="52" t="s">
        <v>1306</v>
      </c>
      <c r="P1071" s="55" t="s">
        <v>1307</v>
      </c>
      <c r="Q1071" s="52" t="s">
        <v>1308</v>
      </c>
      <c r="R1071" s="52" t="s">
        <v>931</v>
      </c>
      <c r="S1071" t="s">
        <v>1076</v>
      </c>
      <c r="T1071" t="s">
        <v>165</v>
      </c>
      <c r="U1071" t="s">
        <v>1068</v>
      </c>
      <c r="V1071" s="52">
        <v>0</v>
      </c>
      <c r="W1071" s="52" t="s">
        <v>1310</v>
      </c>
      <c r="X1071" s="52" t="s">
        <v>3</v>
      </c>
      <c r="Y1071" t="s">
        <v>366</v>
      </c>
      <c r="Z1071" s="4" t="str">
        <f t="shared" si="52"/>
        <v>Y</v>
      </c>
      <c r="AA1071" s="52" t="s">
        <v>1311</v>
      </c>
      <c r="AB1071" s="52" t="s">
        <v>1312</v>
      </c>
      <c r="AC1071" s="52" t="s">
        <v>1309</v>
      </c>
      <c r="AD1071" t="s">
        <v>1100</v>
      </c>
      <c r="AE1071" t="s">
        <v>1313</v>
      </c>
      <c r="AF1071" t="s">
        <v>3</v>
      </c>
      <c r="AG1071" t="s">
        <v>1100</v>
      </c>
    </row>
    <row r="1072" spans="1:92" x14ac:dyDescent="0.2">
      <c r="Z1072" s="4" t="str">
        <f t="shared" si="52"/>
        <v>N</v>
      </c>
      <c r="AH1072">
        <f>SUM(AH141:AH1071)</f>
        <v>20</v>
      </c>
    </row>
    <row r="1073" spans="2:33" x14ac:dyDescent="0.2">
      <c r="B1073" t="s">
        <v>1534</v>
      </c>
      <c r="C1073" t="s">
        <v>1732</v>
      </c>
      <c r="D1073" t="s">
        <v>1733</v>
      </c>
      <c r="E1073">
        <v>2009</v>
      </c>
      <c r="F1073" t="s">
        <v>1734</v>
      </c>
      <c r="G1073" t="s">
        <v>514</v>
      </c>
      <c r="H1073" s="13">
        <v>-60.719833000000001</v>
      </c>
      <c r="I1073" s="13">
        <v>-45.592103999999999</v>
      </c>
      <c r="J1073" s="37">
        <v>1977</v>
      </c>
      <c r="K1073" s="13">
        <v>2008</v>
      </c>
      <c r="L1073" s="13">
        <f t="shared" ref="L1073:L1084" si="56">K1073-J1073+1</f>
        <v>32</v>
      </c>
      <c r="M1073" t="s">
        <v>369</v>
      </c>
      <c r="N1073" t="s">
        <v>526</v>
      </c>
      <c r="O1073" t="s">
        <v>1306</v>
      </c>
      <c r="P1073" t="s">
        <v>1736</v>
      </c>
      <c r="Q1073" t="s">
        <v>1735</v>
      </c>
      <c r="R1073" t="s">
        <v>1738</v>
      </c>
      <c r="V1073">
        <v>3.25</v>
      </c>
      <c r="W1073" t="s">
        <v>3</v>
      </c>
      <c r="X1073" t="s">
        <v>3</v>
      </c>
      <c r="Z1073" s="4" t="str">
        <f t="shared" si="52"/>
        <v>Y</v>
      </c>
      <c r="AA1073" t="s">
        <v>1116</v>
      </c>
      <c r="AB1073" t="s">
        <v>1739</v>
      </c>
      <c r="AC1073" t="s">
        <v>1744</v>
      </c>
    </row>
    <row r="1074" spans="2:33" x14ac:dyDescent="0.2">
      <c r="B1074" t="s">
        <v>1534</v>
      </c>
      <c r="C1074" t="s">
        <v>1732</v>
      </c>
      <c r="D1074" t="s">
        <v>1733</v>
      </c>
      <c r="E1074">
        <v>2009</v>
      </c>
      <c r="F1074" t="s">
        <v>1734</v>
      </c>
      <c r="G1074" t="s">
        <v>514</v>
      </c>
      <c r="H1074" s="13">
        <v>-60.719833000000001</v>
      </c>
      <c r="I1074" s="13">
        <v>-45.592103999999999</v>
      </c>
      <c r="J1074" s="13">
        <v>1996</v>
      </c>
      <c r="K1074" s="13">
        <v>2005</v>
      </c>
      <c r="L1074" s="13">
        <f t="shared" si="56"/>
        <v>10</v>
      </c>
      <c r="M1074" t="s">
        <v>369</v>
      </c>
      <c r="N1074" t="s">
        <v>526</v>
      </c>
      <c r="O1074" t="s">
        <v>1306</v>
      </c>
      <c r="P1074" t="s">
        <v>1736</v>
      </c>
      <c r="Q1074" t="s">
        <v>1735</v>
      </c>
      <c r="R1074" t="s">
        <v>1737</v>
      </c>
      <c r="S1074">
        <v>3.25</v>
      </c>
      <c r="T1074" t="s">
        <v>3</v>
      </c>
      <c r="U1074" t="s">
        <v>3</v>
      </c>
      <c r="V1074" s="4">
        <v>-47.56</v>
      </c>
      <c r="W1074" t="s">
        <v>3</v>
      </c>
      <c r="X1074" t="s">
        <v>24</v>
      </c>
      <c r="Z1074" s="4" t="str">
        <f t="shared" si="52"/>
        <v>N</v>
      </c>
      <c r="AA1074" t="s">
        <v>1116</v>
      </c>
      <c r="AB1074" t="s">
        <v>1739</v>
      </c>
      <c r="AC1074" t="s">
        <v>1743</v>
      </c>
    </row>
    <row r="1075" spans="2:33" x14ac:dyDescent="0.2">
      <c r="B1075" t="s">
        <v>1534</v>
      </c>
      <c r="C1075" t="s">
        <v>1732</v>
      </c>
      <c r="D1075" s="38" t="s">
        <v>1740</v>
      </c>
      <c r="E1075">
        <v>2009</v>
      </c>
      <c r="F1075" t="s">
        <v>1741</v>
      </c>
      <c r="G1075" t="s">
        <v>514</v>
      </c>
      <c r="H1075" s="13" t="s">
        <v>1742</v>
      </c>
      <c r="I1075" s="13">
        <v>-44.716999999999999</v>
      </c>
      <c r="J1075" s="13">
        <v>1996</v>
      </c>
      <c r="K1075" s="13">
        <v>2005</v>
      </c>
      <c r="L1075" s="13">
        <f t="shared" si="56"/>
        <v>10</v>
      </c>
      <c r="M1075" t="s">
        <v>369</v>
      </c>
      <c r="N1075" t="s">
        <v>526</v>
      </c>
      <c r="O1075" t="s">
        <v>1306</v>
      </c>
      <c r="P1075" t="s">
        <v>1736</v>
      </c>
      <c r="Q1075" t="s">
        <v>1735</v>
      </c>
      <c r="R1075" t="s">
        <v>1737</v>
      </c>
      <c r="S1075">
        <v>3.25</v>
      </c>
      <c r="T1075" t="s">
        <v>3</v>
      </c>
      <c r="U1075" t="s">
        <v>3</v>
      </c>
      <c r="V1075" s="4">
        <v>-14.44</v>
      </c>
      <c r="W1075" t="s">
        <v>3</v>
      </c>
      <c r="X1075" t="s">
        <v>24</v>
      </c>
      <c r="Z1075" s="4" t="str">
        <f t="shared" si="52"/>
        <v>N</v>
      </c>
      <c r="AA1075" t="s">
        <v>1116</v>
      </c>
      <c r="AB1075" t="s">
        <v>1739</v>
      </c>
      <c r="AC1075" t="s">
        <v>1743</v>
      </c>
    </row>
    <row r="1076" spans="2:33" x14ac:dyDescent="0.2">
      <c r="B1076" t="s">
        <v>1534</v>
      </c>
      <c r="C1076" t="s">
        <v>1746</v>
      </c>
      <c r="D1076" t="s">
        <v>1745</v>
      </c>
      <c r="E1076">
        <v>2013</v>
      </c>
      <c r="F1076" t="s">
        <v>74</v>
      </c>
      <c r="G1076" t="s">
        <v>513</v>
      </c>
      <c r="H1076" s="13">
        <v>59.344155999999998</v>
      </c>
      <c r="I1076" s="13">
        <v>-89.158034999999998</v>
      </c>
      <c r="J1076" s="13">
        <v>1991</v>
      </c>
      <c r="K1076" s="13">
        <v>2009</v>
      </c>
      <c r="L1076" s="13">
        <f t="shared" si="56"/>
        <v>19</v>
      </c>
      <c r="M1076" t="s">
        <v>371</v>
      </c>
      <c r="N1076" t="s">
        <v>526</v>
      </c>
      <c r="O1076" t="s">
        <v>22</v>
      </c>
      <c r="P1076" t="s">
        <v>22</v>
      </c>
      <c r="Q1076" t="s">
        <v>23</v>
      </c>
      <c r="R1076" t="s">
        <v>1747</v>
      </c>
      <c r="V1076">
        <v>-5.42</v>
      </c>
      <c r="W1076" t="s">
        <v>3</v>
      </c>
      <c r="X1076" t="s">
        <v>3</v>
      </c>
      <c r="Z1076" s="4" t="str">
        <f t="shared" si="52"/>
        <v>Y</v>
      </c>
      <c r="AA1076" t="s">
        <v>1116</v>
      </c>
      <c r="AB1076" t="s">
        <v>1749</v>
      </c>
      <c r="AC1076" t="s">
        <v>1751</v>
      </c>
    </row>
    <row r="1077" spans="2:33" x14ac:dyDescent="0.2">
      <c r="B1077" t="s">
        <v>1534</v>
      </c>
      <c r="C1077" t="s">
        <v>1746</v>
      </c>
      <c r="D1077" s="38" t="s">
        <v>1745</v>
      </c>
      <c r="E1077">
        <v>2013</v>
      </c>
      <c r="F1077" t="s">
        <v>74</v>
      </c>
      <c r="G1077" t="s">
        <v>513</v>
      </c>
      <c r="H1077" s="13">
        <v>59.344155999999998</v>
      </c>
      <c r="I1077" s="13">
        <v>-89.158034999999998</v>
      </c>
      <c r="J1077" s="13">
        <v>1991</v>
      </c>
      <c r="K1077" s="13">
        <v>2009</v>
      </c>
      <c r="L1077" s="13">
        <f t="shared" si="56"/>
        <v>19</v>
      </c>
      <c r="M1077" t="s">
        <v>371</v>
      </c>
      <c r="N1077" t="s">
        <v>526</v>
      </c>
      <c r="O1077" t="s">
        <v>22</v>
      </c>
      <c r="P1077" t="s">
        <v>22</v>
      </c>
      <c r="Q1077" t="s">
        <v>23</v>
      </c>
      <c r="R1077" t="s">
        <v>1748</v>
      </c>
      <c r="V1077">
        <v>6.5</v>
      </c>
      <c r="W1077" t="s">
        <v>3</v>
      </c>
      <c r="X1077" t="s">
        <v>3</v>
      </c>
      <c r="Z1077" s="4" t="str">
        <f t="shared" si="52"/>
        <v>Y</v>
      </c>
      <c r="AA1077" t="s">
        <v>1116</v>
      </c>
      <c r="AB1077" t="s">
        <v>1750</v>
      </c>
      <c r="AC1077" t="s">
        <v>1751</v>
      </c>
    </row>
    <row r="1078" spans="2:33" x14ac:dyDescent="0.2">
      <c r="B1078" t="s">
        <v>1534</v>
      </c>
      <c r="C1078" t="s">
        <v>1753</v>
      </c>
      <c r="D1078" t="s">
        <v>1752</v>
      </c>
      <c r="E1078">
        <v>2005</v>
      </c>
      <c r="F1078" t="s">
        <v>1754</v>
      </c>
      <c r="G1078" t="s">
        <v>513</v>
      </c>
      <c r="H1078" s="13">
        <v>-54.008476000000002</v>
      </c>
      <c r="I1078" s="13">
        <v>-38.036161999999997</v>
      </c>
      <c r="J1078" s="13">
        <v>1985</v>
      </c>
      <c r="K1078" s="13">
        <v>2004</v>
      </c>
      <c r="L1078" s="13">
        <f t="shared" si="56"/>
        <v>20</v>
      </c>
      <c r="M1078" t="s">
        <v>369</v>
      </c>
      <c r="N1078" t="s">
        <v>526</v>
      </c>
      <c r="O1078" t="s">
        <v>1306</v>
      </c>
      <c r="P1078" t="s">
        <v>1755</v>
      </c>
      <c r="Q1078" t="s">
        <v>1735</v>
      </c>
      <c r="R1078" t="s">
        <v>1756</v>
      </c>
      <c r="V1078" t="s">
        <v>165</v>
      </c>
      <c r="W1078" t="s">
        <v>3</v>
      </c>
      <c r="X1078" t="s">
        <v>3</v>
      </c>
      <c r="Z1078" s="4" t="str">
        <f t="shared" si="52"/>
        <v>Y</v>
      </c>
      <c r="AA1078" t="s">
        <v>1121</v>
      </c>
      <c r="AB1078" t="s">
        <v>1757</v>
      </c>
      <c r="AC1078" t="s">
        <v>1758</v>
      </c>
    </row>
    <row r="1079" spans="2:33" x14ac:dyDescent="0.2">
      <c r="B1079" t="s">
        <v>1534</v>
      </c>
      <c r="C1079" t="s">
        <v>1760</v>
      </c>
      <c r="D1079" s="38" t="s">
        <v>1759</v>
      </c>
      <c r="E1079">
        <v>2015</v>
      </c>
      <c r="F1079" t="s">
        <v>511</v>
      </c>
      <c r="G1079" t="s">
        <v>513</v>
      </c>
      <c r="H1079" s="13">
        <v>73.100555999999997</v>
      </c>
      <c r="I1079" s="13">
        <v>-20.03886</v>
      </c>
      <c r="J1079" s="13">
        <v>1993</v>
      </c>
      <c r="K1079" s="13">
        <v>2008</v>
      </c>
      <c r="L1079" s="13">
        <f t="shared" si="56"/>
        <v>16</v>
      </c>
      <c r="M1079" t="s">
        <v>1761</v>
      </c>
      <c r="N1079" t="s">
        <v>526</v>
      </c>
      <c r="O1079" t="s">
        <v>526</v>
      </c>
      <c r="P1079" t="s">
        <v>22</v>
      </c>
      <c r="Q1079" t="s">
        <v>23</v>
      </c>
      <c r="R1079" t="s">
        <v>1762</v>
      </c>
      <c r="V1079">
        <v>-15.19</v>
      </c>
      <c r="W1079" t="s">
        <v>3</v>
      </c>
      <c r="X1079" t="s">
        <v>24</v>
      </c>
      <c r="Z1079" s="4" t="str">
        <f t="shared" si="52"/>
        <v>N</v>
      </c>
      <c r="AA1079" t="s">
        <v>1116</v>
      </c>
      <c r="AB1079" t="s">
        <v>1749</v>
      </c>
      <c r="AC1079" t="s">
        <v>1764</v>
      </c>
      <c r="AD1079" t="s">
        <v>1765</v>
      </c>
      <c r="AE1079" t="s">
        <v>1766</v>
      </c>
      <c r="AF1079" t="s">
        <v>1767</v>
      </c>
      <c r="AG1079" t="s">
        <v>1768</v>
      </c>
    </row>
    <row r="1080" spans="2:33" x14ac:dyDescent="0.2">
      <c r="B1080" t="s">
        <v>1534</v>
      </c>
      <c r="C1080" t="s">
        <v>1760</v>
      </c>
      <c r="D1080" t="s">
        <v>1759</v>
      </c>
      <c r="E1080">
        <v>2015</v>
      </c>
      <c r="F1080" t="s">
        <v>511</v>
      </c>
      <c r="G1080" t="s">
        <v>513</v>
      </c>
      <c r="H1080" s="13">
        <v>73.100555999999997</v>
      </c>
      <c r="I1080" s="13">
        <v>-20.03886</v>
      </c>
      <c r="J1080" s="13">
        <v>1993</v>
      </c>
      <c r="K1080" s="13">
        <v>2008</v>
      </c>
      <c r="L1080" s="13">
        <f t="shared" si="56"/>
        <v>16</v>
      </c>
      <c r="M1080" t="s">
        <v>1761</v>
      </c>
      <c r="N1080" t="s">
        <v>526</v>
      </c>
      <c r="O1080" t="s">
        <v>526</v>
      </c>
      <c r="P1080" t="s">
        <v>22</v>
      </c>
      <c r="Q1080" t="s">
        <v>23</v>
      </c>
      <c r="R1080" t="s">
        <v>1763</v>
      </c>
      <c r="V1080">
        <v>-3.8</v>
      </c>
      <c r="W1080" t="s">
        <v>24</v>
      </c>
      <c r="X1080" t="s">
        <v>24</v>
      </c>
      <c r="Z1080" s="4" t="str">
        <f t="shared" si="52"/>
        <v>N</v>
      </c>
      <c r="AA1080" t="s">
        <v>1116</v>
      </c>
      <c r="AB1080" t="s">
        <v>1769</v>
      </c>
      <c r="AC1080" t="s">
        <v>1764</v>
      </c>
    </row>
    <row r="1081" spans="2:33" x14ac:dyDescent="0.2">
      <c r="B1081" t="s">
        <v>1534</v>
      </c>
      <c r="C1081" t="s">
        <v>1771</v>
      </c>
      <c r="D1081" t="s">
        <v>1770</v>
      </c>
      <c r="E1081">
        <v>2016</v>
      </c>
      <c r="F1081" t="s">
        <v>1772</v>
      </c>
      <c r="G1081" t="s">
        <v>513</v>
      </c>
      <c r="H1081" s="13">
        <v>71.5</v>
      </c>
      <c r="I1081" s="13">
        <v>-163</v>
      </c>
      <c r="J1081" s="13">
        <v>1988</v>
      </c>
      <c r="K1081" s="13">
        <v>2007</v>
      </c>
      <c r="L1081" s="13">
        <f t="shared" si="56"/>
        <v>20</v>
      </c>
      <c r="M1081" t="s">
        <v>369</v>
      </c>
      <c r="N1081" t="s">
        <v>526</v>
      </c>
      <c r="O1081" t="s">
        <v>1875</v>
      </c>
      <c r="P1081" t="s">
        <v>26</v>
      </c>
      <c r="Q1081" t="s">
        <v>27</v>
      </c>
      <c r="R1081" t="s">
        <v>1773</v>
      </c>
      <c r="V1081">
        <v>-1.169</v>
      </c>
      <c r="W1081" t="s">
        <v>3</v>
      </c>
      <c r="X1081" t="s">
        <v>3</v>
      </c>
      <c r="Y1081" t="s">
        <v>3</v>
      </c>
      <c r="Z1081" s="4" t="str">
        <f t="shared" si="52"/>
        <v>Y</v>
      </c>
      <c r="AA1081" t="s">
        <v>1116</v>
      </c>
      <c r="AB1081" t="s">
        <v>1775</v>
      </c>
      <c r="AC1081" t="s">
        <v>1774</v>
      </c>
    </row>
    <row r="1082" spans="2:33" x14ac:dyDescent="0.2">
      <c r="B1082" t="s">
        <v>1534</v>
      </c>
      <c r="C1082" t="s">
        <v>1777</v>
      </c>
      <c r="D1082" t="s">
        <v>1776</v>
      </c>
      <c r="E1082">
        <v>2018</v>
      </c>
      <c r="F1082" t="s">
        <v>58</v>
      </c>
      <c r="G1082" t="s">
        <v>513</v>
      </c>
      <c r="H1082" s="13">
        <v>73.732995000000003</v>
      </c>
      <c r="I1082" s="13">
        <v>-151.192668</v>
      </c>
      <c r="J1082" s="13">
        <v>1985</v>
      </c>
      <c r="K1082" s="13">
        <v>2013</v>
      </c>
      <c r="L1082" s="13">
        <f t="shared" si="56"/>
        <v>29</v>
      </c>
      <c r="M1082" t="s">
        <v>369</v>
      </c>
      <c r="N1082" t="s">
        <v>526</v>
      </c>
      <c r="O1082" t="s">
        <v>22</v>
      </c>
      <c r="P1082" t="s">
        <v>22</v>
      </c>
      <c r="Q1082" t="s">
        <v>23</v>
      </c>
      <c r="R1082" t="s">
        <v>1778</v>
      </c>
      <c r="V1082" t="s">
        <v>165</v>
      </c>
      <c r="W1082" t="s">
        <v>24</v>
      </c>
      <c r="X1082" t="s">
        <v>3</v>
      </c>
      <c r="Z1082" s="4" t="str">
        <f t="shared" si="52"/>
        <v>Y</v>
      </c>
      <c r="AA1082" t="s">
        <v>1116</v>
      </c>
      <c r="AB1082" t="s">
        <v>1749</v>
      </c>
      <c r="AC1082" t="s">
        <v>1780</v>
      </c>
    </row>
    <row r="1083" spans="2:33" x14ac:dyDescent="0.2">
      <c r="B1083" t="s">
        <v>1534</v>
      </c>
      <c r="C1083" t="s">
        <v>1777</v>
      </c>
      <c r="D1083" t="s">
        <v>1776</v>
      </c>
      <c r="E1083">
        <v>2018</v>
      </c>
      <c r="F1083" t="s">
        <v>58</v>
      </c>
      <c r="G1083" t="s">
        <v>513</v>
      </c>
      <c r="H1083" s="13">
        <v>73.732995000000003</v>
      </c>
      <c r="I1083" s="13">
        <v>-151.192668</v>
      </c>
      <c r="J1083" s="13">
        <v>1985</v>
      </c>
      <c r="K1083" s="13">
        <v>2013</v>
      </c>
      <c r="L1083" s="13">
        <f t="shared" si="56"/>
        <v>29</v>
      </c>
      <c r="M1083" t="s">
        <v>369</v>
      </c>
      <c r="N1083" t="s">
        <v>526</v>
      </c>
      <c r="O1083" t="s">
        <v>22</v>
      </c>
      <c r="P1083" t="s">
        <v>22</v>
      </c>
      <c r="Q1083" t="s">
        <v>23</v>
      </c>
      <c r="R1083" t="s">
        <v>1779</v>
      </c>
      <c r="V1083" t="s">
        <v>165</v>
      </c>
      <c r="W1083" t="s">
        <v>24</v>
      </c>
      <c r="X1083" t="s">
        <v>3</v>
      </c>
      <c r="Z1083" s="4" t="str">
        <f t="shared" si="52"/>
        <v>Y</v>
      </c>
      <c r="AA1083" t="s">
        <v>1116</v>
      </c>
      <c r="AB1083" t="s">
        <v>1769</v>
      </c>
      <c r="AC1083" t="s">
        <v>1780</v>
      </c>
    </row>
    <row r="1084" spans="2:33" x14ac:dyDescent="0.2">
      <c r="B1084" t="s">
        <v>1534</v>
      </c>
      <c r="C1084" t="s">
        <v>1781</v>
      </c>
      <c r="D1084" t="s">
        <v>1727</v>
      </c>
      <c r="E1084">
        <v>2020</v>
      </c>
      <c r="F1084" t="s">
        <v>1783</v>
      </c>
      <c r="G1084" t="s">
        <v>513</v>
      </c>
      <c r="H1084">
        <v>72</v>
      </c>
      <c r="I1084">
        <v>-67</v>
      </c>
      <c r="J1084" s="13">
        <v>1991</v>
      </c>
      <c r="K1084" s="13">
        <v>2015</v>
      </c>
      <c r="L1084" s="13">
        <f t="shared" si="56"/>
        <v>25</v>
      </c>
      <c r="M1084" t="s">
        <v>371</v>
      </c>
      <c r="N1084" t="s">
        <v>526</v>
      </c>
      <c r="O1084" t="s">
        <v>22</v>
      </c>
      <c r="P1084" t="s">
        <v>22</v>
      </c>
      <c r="Q1084" t="s">
        <v>23</v>
      </c>
      <c r="R1084" t="s">
        <v>1762</v>
      </c>
      <c r="V1084">
        <v>-11.7</v>
      </c>
      <c r="W1084" t="s">
        <v>3</v>
      </c>
      <c r="X1084" t="s">
        <v>3</v>
      </c>
      <c r="Z1084" s="4" t="str">
        <f t="shared" si="52"/>
        <v>Y</v>
      </c>
      <c r="AA1084" t="s">
        <v>1116</v>
      </c>
      <c r="AB1084" t="s">
        <v>1795</v>
      </c>
      <c r="AC1084" t="s">
        <v>1794</v>
      </c>
    </row>
    <row r="1085" spans="2:33" x14ac:dyDescent="0.2">
      <c r="B1085" t="s">
        <v>1534</v>
      </c>
      <c r="C1085" t="s">
        <v>1782</v>
      </c>
      <c r="D1085" t="s">
        <v>1727</v>
      </c>
      <c r="E1085">
        <v>2020</v>
      </c>
      <c r="F1085" t="s">
        <v>1783</v>
      </c>
      <c r="G1085" t="s">
        <v>513</v>
      </c>
      <c r="H1085">
        <v>72</v>
      </c>
      <c r="I1085">
        <v>-67</v>
      </c>
      <c r="J1085" s="13">
        <v>1991</v>
      </c>
      <c r="K1085" s="13">
        <v>2015</v>
      </c>
      <c r="L1085" s="13">
        <f t="shared" ref="L1085:L1086" si="57">K1085-J1085+1</f>
        <v>25</v>
      </c>
      <c r="M1085" t="s">
        <v>371</v>
      </c>
      <c r="N1085" t="s">
        <v>526</v>
      </c>
      <c r="O1085" t="s">
        <v>22</v>
      </c>
      <c r="P1085" t="s">
        <v>22</v>
      </c>
      <c r="Q1085" t="s">
        <v>23</v>
      </c>
      <c r="R1085" t="s">
        <v>1763</v>
      </c>
      <c r="V1085">
        <v>4.7</v>
      </c>
      <c r="W1085" t="s">
        <v>3</v>
      </c>
      <c r="X1085" t="s">
        <v>3</v>
      </c>
      <c r="Z1085" s="4" t="str">
        <f t="shared" si="52"/>
        <v>Y</v>
      </c>
      <c r="AA1085" t="s">
        <v>1116</v>
      </c>
      <c r="AB1085" t="s">
        <v>1796</v>
      </c>
      <c r="AC1085" t="s">
        <v>1794</v>
      </c>
    </row>
    <row r="1086" spans="2:33" x14ac:dyDescent="0.2">
      <c r="B1086" t="s">
        <v>1534</v>
      </c>
      <c r="C1086" t="s">
        <v>1784</v>
      </c>
      <c r="D1086" s="38" t="s">
        <v>1797</v>
      </c>
      <c r="E1086">
        <v>2022</v>
      </c>
      <c r="F1086" t="s">
        <v>1799</v>
      </c>
      <c r="G1086" t="s">
        <v>513</v>
      </c>
      <c r="H1086" s="13">
        <v>72.349999999999994</v>
      </c>
      <c r="I1086">
        <v>-81.082999999999998</v>
      </c>
      <c r="J1086" s="13">
        <v>1998</v>
      </c>
      <c r="K1086" s="13">
        <v>2017</v>
      </c>
      <c r="L1086" s="13">
        <f t="shared" si="57"/>
        <v>20</v>
      </c>
      <c r="M1086" t="s">
        <v>1800</v>
      </c>
      <c r="N1086" t="s">
        <v>526</v>
      </c>
      <c r="O1086" t="s">
        <v>1875</v>
      </c>
      <c r="P1086" t="s">
        <v>1801</v>
      </c>
      <c r="Q1086" t="s">
        <v>1802</v>
      </c>
      <c r="R1086" t="s">
        <v>1804</v>
      </c>
      <c r="V1086">
        <v>8.3800000000000008</v>
      </c>
      <c r="W1086" t="s">
        <v>3</v>
      </c>
      <c r="X1086" t="s">
        <v>3</v>
      </c>
      <c r="Z1086" s="4" t="str">
        <f t="shared" si="52"/>
        <v>Y</v>
      </c>
      <c r="AA1086" t="s">
        <v>1116</v>
      </c>
      <c r="AB1086" t="s">
        <v>1803</v>
      </c>
      <c r="AC1086" t="s">
        <v>1798</v>
      </c>
    </row>
    <row r="1087" spans="2:33" x14ac:dyDescent="0.2">
      <c r="B1087" t="s">
        <v>1534</v>
      </c>
      <c r="C1087" t="s">
        <v>1784</v>
      </c>
      <c r="D1087" t="s">
        <v>1785</v>
      </c>
      <c r="E1087">
        <v>2022</v>
      </c>
      <c r="F1087" t="s">
        <v>1799</v>
      </c>
      <c r="G1087" t="s">
        <v>513</v>
      </c>
      <c r="H1087" s="13">
        <v>72.349999999999994</v>
      </c>
      <c r="I1087">
        <v>-81.082999999999998</v>
      </c>
      <c r="J1087" s="13">
        <v>1998</v>
      </c>
      <c r="K1087" s="13">
        <v>2017</v>
      </c>
      <c r="L1087" s="13">
        <f t="shared" ref="L1087:L1089" si="58">K1087-J1087+1</f>
        <v>20</v>
      </c>
      <c r="M1087" t="s">
        <v>1800</v>
      </c>
      <c r="N1087" t="s">
        <v>526</v>
      </c>
      <c r="O1087" t="s">
        <v>1875</v>
      </c>
      <c r="P1087" t="s">
        <v>1801</v>
      </c>
      <c r="Q1087" t="s">
        <v>1802</v>
      </c>
      <c r="R1087" t="s">
        <v>1805</v>
      </c>
      <c r="V1087">
        <v>3.76</v>
      </c>
      <c r="W1087" t="s">
        <v>3</v>
      </c>
      <c r="X1087" t="s">
        <v>3</v>
      </c>
      <c r="Z1087" s="4" t="str">
        <f t="shared" si="52"/>
        <v>Y</v>
      </c>
      <c r="AA1087" t="s">
        <v>1116</v>
      </c>
      <c r="AB1087" t="s">
        <v>1769</v>
      </c>
      <c r="AC1087" t="s">
        <v>1807</v>
      </c>
      <c r="AD1087" t="s">
        <v>1807</v>
      </c>
      <c r="AE1087" t="s">
        <v>1807</v>
      </c>
      <c r="AF1087" t="s">
        <v>1807</v>
      </c>
      <c r="AG1087" t="s">
        <v>1807</v>
      </c>
    </row>
    <row r="1088" spans="2:33" x14ac:dyDescent="0.2">
      <c r="B1088" t="s">
        <v>1534</v>
      </c>
      <c r="C1088" t="s">
        <v>1787</v>
      </c>
      <c r="D1088" t="s">
        <v>1788</v>
      </c>
      <c r="E1088">
        <v>2022</v>
      </c>
      <c r="F1088" t="s">
        <v>1799</v>
      </c>
      <c r="G1088" t="s">
        <v>513</v>
      </c>
      <c r="H1088" s="13">
        <v>72.349999999999994</v>
      </c>
      <c r="I1088">
        <v>-81.082999999999998</v>
      </c>
      <c r="J1088" s="13">
        <v>1998</v>
      </c>
      <c r="K1088" s="13">
        <v>2017</v>
      </c>
      <c r="L1088" s="13">
        <f t="shared" si="58"/>
        <v>20</v>
      </c>
      <c r="M1088" t="s">
        <v>1800</v>
      </c>
      <c r="N1088" t="s">
        <v>526</v>
      </c>
      <c r="O1088" t="s">
        <v>1875</v>
      </c>
      <c r="P1088" t="s">
        <v>1801</v>
      </c>
      <c r="Q1088" t="s">
        <v>1802</v>
      </c>
      <c r="R1088" t="s">
        <v>1806</v>
      </c>
      <c r="V1088">
        <v>2.34</v>
      </c>
      <c r="W1088" t="s">
        <v>3</v>
      </c>
      <c r="X1088" t="s">
        <v>3</v>
      </c>
      <c r="Z1088" s="4" t="str">
        <f t="shared" si="52"/>
        <v>Y</v>
      </c>
      <c r="AA1088" t="s">
        <v>1116</v>
      </c>
      <c r="AB1088" t="s">
        <v>1769</v>
      </c>
      <c r="AC1088" t="s">
        <v>1807</v>
      </c>
    </row>
    <row r="1089" spans="1:33" x14ac:dyDescent="0.2">
      <c r="B1089" t="s">
        <v>1330</v>
      </c>
      <c r="C1089" t="s">
        <v>1786</v>
      </c>
      <c r="D1089" s="38" t="s">
        <v>1808</v>
      </c>
      <c r="E1089">
        <v>2022</v>
      </c>
      <c r="F1089" t="s">
        <v>1809</v>
      </c>
      <c r="G1089" t="s">
        <v>513</v>
      </c>
      <c r="H1089" s="13">
        <v>41.7</v>
      </c>
      <c r="I1089">
        <v>-70.3</v>
      </c>
      <c r="J1089" s="13">
        <v>1998</v>
      </c>
      <c r="K1089" s="13">
        <v>2018</v>
      </c>
      <c r="L1089" s="13">
        <f t="shared" si="58"/>
        <v>21</v>
      </c>
      <c r="M1089" t="s">
        <v>369</v>
      </c>
      <c r="N1089" t="s">
        <v>526</v>
      </c>
      <c r="O1089" t="s">
        <v>1875</v>
      </c>
      <c r="P1089" t="s">
        <v>1811</v>
      </c>
      <c r="Q1089" s="50" t="s">
        <v>1812</v>
      </c>
      <c r="R1089" t="s">
        <v>1810</v>
      </c>
      <c r="V1089">
        <v>9.125</v>
      </c>
      <c r="W1089" t="s">
        <v>24</v>
      </c>
      <c r="X1089" t="s">
        <v>3</v>
      </c>
      <c r="Z1089" s="4" t="str">
        <f t="shared" si="52"/>
        <v>Y</v>
      </c>
      <c r="AA1089" t="s">
        <v>1121</v>
      </c>
      <c r="AB1089" t="s">
        <v>1814</v>
      </c>
      <c r="AC1089" t="s">
        <v>1813</v>
      </c>
    </row>
    <row r="1090" spans="1:33" x14ac:dyDescent="0.2">
      <c r="B1090" t="s">
        <v>1330</v>
      </c>
      <c r="C1090" t="s">
        <v>1786</v>
      </c>
      <c r="D1090" s="38" t="s">
        <v>1808</v>
      </c>
      <c r="E1090">
        <v>2022</v>
      </c>
      <c r="F1090" t="s">
        <v>1809</v>
      </c>
      <c r="G1090" t="s">
        <v>513</v>
      </c>
      <c r="H1090" s="13">
        <v>41.7</v>
      </c>
      <c r="I1090">
        <v>-70.3</v>
      </c>
      <c r="J1090" s="13">
        <v>1998</v>
      </c>
      <c r="K1090" s="13">
        <v>2018</v>
      </c>
      <c r="L1090" s="13">
        <f t="shared" ref="L1090:L1092" si="59">K1090-J1090+1</f>
        <v>21</v>
      </c>
      <c r="M1090" t="s">
        <v>369</v>
      </c>
      <c r="N1090" t="s">
        <v>526</v>
      </c>
      <c r="O1090" t="s">
        <v>1875</v>
      </c>
      <c r="P1090" t="s">
        <v>35</v>
      </c>
      <c r="Q1090" t="s">
        <v>36</v>
      </c>
      <c r="R1090" t="s">
        <v>1810</v>
      </c>
      <c r="V1090">
        <v>9.75</v>
      </c>
      <c r="W1090" t="s">
        <v>24</v>
      </c>
      <c r="X1090" t="s">
        <v>3</v>
      </c>
      <c r="Z1090" s="4" t="str">
        <f t="shared" ref="Z1090:Z1142" si="60">IF(L1090&gt;=19,"Y","N")</f>
        <v>Y</v>
      </c>
      <c r="AA1090" t="s">
        <v>1121</v>
      </c>
      <c r="AB1090" t="s">
        <v>1814</v>
      </c>
      <c r="AC1090" t="s">
        <v>1813</v>
      </c>
    </row>
    <row r="1091" spans="1:33" x14ac:dyDescent="0.2">
      <c r="B1091" t="s">
        <v>1330</v>
      </c>
      <c r="C1091" t="s">
        <v>1786</v>
      </c>
      <c r="D1091" s="38" t="s">
        <v>1808</v>
      </c>
      <c r="E1091">
        <v>2022</v>
      </c>
      <c r="F1091" t="s">
        <v>1809</v>
      </c>
      <c r="G1091" t="s">
        <v>513</v>
      </c>
      <c r="H1091" s="13">
        <v>41.7</v>
      </c>
      <c r="I1091">
        <v>-70.3</v>
      </c>
      <c r="J1091" s="13">
        <v>1998</v>
      </c>
      <c r="K1091" s="13">
        <v>2018</v>
      </c>
      <c r="L1091" s="13">
        <f t="shared" si="59"/>
        <v>21</v>
      </c>
      <c r="M1091" t="s">
        <v>369</v>
      </c>
      <c r="N1091" t="s">
        <v>526</v>
      </c>
      <c r="O1091" t="s">
        <v>1875</v>
      </c>
      <c r="P1091" t="s">
        <v>37</v>
      </c>
      <c r="Q1091" t="s">
        <v>38</v>
      </c>
      <c r="R1091" t="s">
        <v>1810</v>
      </c>
      <c r="V1091">
        <v>-3.09</v>
      </c>
      <c r="W1091" t="s">
        <v>3</v>
      </c>
      <c r="X1091" t="s">
        <v>3</v>
      </c>
      <c r="Z1091" s="4" t="str">
        <f t="shared" si="60"/>
        <v>Y</v>
      </c>
      <c r="AA1091" t="s">
        <v>1121</v>
      </c>
      <c r="AB1091" t="s">
        <v>1814</v>
      </c>
      <c r="AC1091" t="s">
        <v>1813</v>
      </c>
    </row>
    <row r="1092" spans="1:33" x14ac:dyDescent="0.2">
      <c r="B1092" t="s">
        <v>1534</v>
      </c>
      <c r="C1092" t="s">
        <v>1789</v>
      </c>
      <c r="D1092" s="38" t="s">
        <v>1815</v>
      </c>
      <c r="E1092">
        <v>2010</v>
      </c>
      <c r="F1092" t="s">
        <v>1817</v>
      </c>
      <c r="G1092" t="s">
        <v>513</v>
      </c>
      <c r="H1092" s="13">
        <v>54</v>
      </c>
      <c r="I1092" s="13">
        <v>7</v>
      </c>
      <c r="J1092" s="13">
        <v>1975</v>
      </c>
      <c r="K1092" s="13">
        <v>2010</v>
      </c>
      <c r="L1092" s="13">
        <f t="shared" si="59"/>
        <v>36</v>
      </c>
      <c r="M1092" t="s">
        <v>369</v>
      </c>
      <c r="N1092" t="s">
        <v>526</v>
      </c>
      <c r="O1092" t="s">
        <v>1306</v>
      </c>
      <c r="P1092" t="s">
        <v>1819</v>
      </c>
      <c r="Q1092" t="s">
        <v>1818</v>
      </c>
      <c r="R1092" t="s">
        <v>1816</v>
      </c>
      <c r="V1092">
        <v>-7.1</v>
      </c>
      <c r="W1092" t="s">
        <v>165</v>
      </c>
      <c r="X1092" s="51" t="s">
        <v>24</v>
      </c>
      <c r="Z1092" s="4" t="str">
        <f>IF(L1092&gt;=19,"Y","N")</f>
        <v>Y</v>
      </c>
      <c r="AA1092" t="s">
        <v>165</v>
      </c>
      <c r="AB1092" t="s">
        <v>1821</v>
      </c>
      <c r="AC1092" t="s">
        <v>1820</v>
      </c>
    </row>
    <row r="1093" spans="1:33" x14ac:dyDescent="0.2">
      <c r="Z1093" s="4" t="str">
        <f t="shared" si="60"/>
        <v>N</v>
      </c>
    </row>
    <row r="1094" spans="1:33" x14ac:dyDescent="0.2">
      <c r="B1094" t="s">
        <v>1534</v>
      </c>
      <c r="C1094" t="s">
        <v>1792</v>
      </c>
      <c r="D1094" t="s">
        <v>1729</v>
      </c>
      <c r="E1094">
        <v>2021</v>
      </c>
      <c r="Z1094" s="4" t="str">
        <f t="shared" si="60"/>
        <v>N</v>
      </c>
    </row>
    <row r="1095" spans="1:33" x14ac:dyDescent="0.2">
      <c r="B1095" t="s">
        <v>1330</v>
      </c>
      <c r="C1095" t="s">
        <v>1823</v>
      </c>
      <c r="D1095" s="38" t="s">
        <v>1822</v>
      </c>
      <c r="E1095">
        <v>2025</v>
      </c>
      <c r="F1095" t="s">
        <v>1824</v>
      </c>
      <c r="G1095" t="s">
        <v>513</v>
      </c>
      <c r="H1095" s="13">
        <v>36.44</v>
      </c>
      <c r="I1095" s="13">
        <v>-121.92</v>
      </c>
      <c r="J1095" s="13">
        <v>1967</v>
      </c>
      <c r="K1095" s="13">
        <v>2024</v>
      </c>
      <c r="L1095" s="13">
        <f t="shared" ref="L1095:L1098" si="61">K1095-J1095+1</f>
        <v>58</v>
      </c>
      <c r="M1095" t="s">
        <v>369</v>
      </c>
      <c r="N1095" t="s">
        <v>526</v>
      </c>
      <c r="O1095" t="s">
        <v>526</v>
      </c>
      <c r="P1095" t="s">
        <v>1825</v>
      </c>
      <c r="Q1095" t="s">
        <v>1826</v>
      </c>
      <c r="R1095" t="s">
        <v>1827</v>
      </c>
      <c r="V1095">
        <v>2.7</v>
      </c>
      <c r="W1095" t="s">
        <v>165</v>
      </c>
      <c r="X1095" s="51" t="s">
        <v>24</v>
      </c>
      <c r="Z1095" s="4" t="str">
        <f t="shared" si="60"/>
        <v>Y</v>
      </c>
      <c r="AA1095" t="s">
        <v>165</v>
      </c>
      <c r="AB1095" t="s">
        <v>1821</v>
      </c>
      <c r="AC1095" t="s">
        <v>1828</v>
      </c>
    </row>
    <row r="1096" spans="1:33" s="52" customFormat="1" x14ac:dyDescent="0.2">
      <c r="A1096"/>
      <c r="B1096" s="52" t="s">
        <v>1330</v>
      </c>
      <c r="C1096" s="52" t="s">
        <v>1832</v>
      </c>
      <c r="D1096" s="52" t="s">
        <v>1831</v>
      </c>
      <c r="E1096" s="52">
        <v>2021</v>
      </c>
      <c r="F1096" s="52" t="s">
        <v>1833</v>
      </c>
      <c r="G1096" s="52" t="s">
        <v>1834</v>
      </c>
      <c r="H1096" s="54">
        <v>-46.9</v>
      </c>
      <c r="I1096" s="52">
        <v>37.75</v>
      </c>
      <c r="J1096" s="54">
        <v>1986</v>
      </c>
      <c r="K1096" s="54">
        <v>2018</v>
      </c>
      <c r="L1096" s="54">
        <f t="shared" si="61"/>
        <v>33</v>
      </c>
      <c r="M1096" s="52" t="s">
        <v>369</v>
      </c>
      <c r="N1096" s="52" t="s">
        <v>526</v>
      </c>
      <c r="O1096" s="52" t="s">
        <v>1306</v>
      </c>
      <c r="P1096" s="52" t="s">
        <v>1835</v>
      </c>
      <c r="Q1096" s="52" t="s">
        <v>1308</v>
      </c>
      <c r="R1096" s="52" t="s">
        <v>1836</v>
      </c>
      <c r="S1096"/>
      <c r="T1096"/>
      <c r="U1096"/>
      <c r="V1096" s="52">
        <v>0.71730000000000005</v>
      </c>
      <c r="W1096" s="52" t="s">
        <v>3</v>
      </c>
      <c r="X1096" s="52" t="s">
        <v>3</v>
      </c>
      <c r="Y1096"/>
      <c r="Z1096" s="4" t="str">
        <f t="shared" si="60"/>
        <v>Y</v>
      </c>
      <c r="AA1096" s="52" t="s">
        <v>1838</v>
      </c>
      <c r="AB1096" s="52" t="s">
        <v>1839</v>
      </c>
      <c r="AC1096" s="52" t="s">
        <v>1837</v>
      </c>
      <c r="AD1096"/>
      <c r="AE1096"/>
      <c r="AF1096"/>
      <c r="AG1096"/>
    </row>
    <row r="1097" spans="1:33" x14ac:dyDescent="0.2">
      <c r="B1097" t="s">
        <v>1330</v>
      </c>
      <c r="C1097" t="s">
        <v>1843</v>
      </c>
      <c r="D1097" t="s">
        <v>1729</v>
      </c>
      <c r="E1097">
        <v>2021</v>
      </c>
      <c r="F1097" t="s">
        <v>1844</v>
      </c>
      <c r="G1097" t="s">
        <v>513</v>
      </c>
      <c r="H1097" s="13">
        <v>51.731999999999999</v>
      </c>
      <c r="I1097" s="13">
        <v>-5.2759999999999998</v>
      </c>
      <c r="J1097" s="13">
        <v>1992</v>
      </c>
      <c r="K1097" s="13">
        <v>2018</v>
      </c>
      <c r="L1097" s="13">
        <f t="shared" si="61"/>
        <v>27</v>
      </c>
      <c r="M1097" t="s">
        <v>369</v>
      </c>
      <c r="N1097" t="s">
        <v>526</v>
      </c>
      <c r="O1097" t="s">
        <v>1306</v>
      </c>
      <c r="P1097" t="s">
        <v>1845</v>
      </c>
      <c r="Q1097" t="s">
        <v>1846</v>
      </c>
      <c r="R1097" t="s">
        <v>1847</v>
      </c>
      <c r="V1097">
        <v>-1.52</v>
      </c>
      <c r="W1097" t="s">
        <v>3</v>
      </c>
      <c r="X1097" t="s">
        <v>3</v>
      </c>
      <c r="Z1097" s="4" t="str">
        <f t="shared" si="60"/>
        <v>Y</v>
      </c>
      <c r="AA1097" t="s">
        <v>1121</v>
      </c>
      <c r="AB1097" t="s">
        <v>1849</v>
      </c>
      <c r="AC1097" t="s">
        <v>1848</v>
      </c>
    </row>
    <row r="1098" spans="1:33" x14ac:dyDescent="0.2">
      <c r="B1098" t="s">
        <v>1330</v>
      </c>
      <c r="C1098" t="s">
        <v>1850</v>
      </c>
      <c r="D1098" s="38" t="s">
        <v>1866</v>
      </c>
      <c r="E1098">
        <v>2021</v>
      </c>
      <c r="F1098" t="s">
        <v>1867</v>
      </c>
      <c r="G1098" t="s">
        <v>513</v>
      </c>
      <c r="H1098" s="13">
        <v>37.700000000000003</v>
      </c>
      <c r="I1098">
        <v>-123.0167</v>
      </c>
      <c r="J1098" s="13">
        <v>1993</v>
      </c>
      <c r="K1098" s="13">
        <v>2017</v>
      </c>
      <c r="L1098" s="13">
        <f t="shared" si="61"/>
        <v>25</v>
      </c>
      <c r="M1098" t="s">
        <v>369</v>
      </c>
      <c r="N1098" t="s">
        <v>526</v>
      </c>
      <c r="O1098" t="s">
        <v>1875</v>
      </c>
      <c r="P1098" t="s">
        <v>37</v>
      </c>
      <c r="Q1098" t="s">
        <v>1871</v>
      </c>
      <c r="R1098" t="s">
        <v>1873</v>
      </c>
      <c r="V1098">
        <v>-58.048900000000003</v>
      </c>
      <c r="W1098" t="s">
        <v>3</v>
      </c>
      <c r="X1098" t="s">
        <v>3</v>
      </c>
      <c r="Z1098" s="4" t="str">
        <f t="shared" si="60"/>
        <v>Y</v>
      </c>
      <c r="AA1098" t="s">
        <v>1121</v>
      </c>
      <c r="AB1098" t="s">
        <v>1749</v>
      </c>
      <c r="AC1098" t="s">
        <v>1879</v>
      </c>
    </row>
    <row r="1099" spans="1:33" x14ac:dyDescent="0.2">
      <c r="B1099" t="s">
        <v>1330</v>
      </c>
      <c r="C1099" t="s">
        <v>1850</v>
      </c>
      <c r="D1099" s="38" t="s">
        <v>1866</v>
      </c>
      <c r="E1099">
        <v>2021</v>
      </c>
      <c r="F1099" t="s">
        <v>1867</v>
      </c>
      <c r="G1099" t="s">
        <v>513</v>
      </c>
      <c r="H1099" s="13">
        <v>37.700000000000003</v>
      </c>
      <c r="I1099">
        <v>-123.0167</v>
      </c>
      <c r="J1099" s="13">
        <v>1993</v>
      </c>
      <c r="K1099" s="13">
        <v>2017</v>
      </c>
      <c r="L1099" s="13">
        <f t="shared" ref="L1099:L1104" si="62">K1099-J1099+1</f>
        <v>25</v>
      </c>
      <c r="M1099" t="s">
        <v>369</v>
      </c>
      <c r="N1099" t="s">
        <v>526</v>
      </c>
      <c r="O1099" t="s">
        <v>1875</v>
      </c>
      <c r="P1099" t="s">
        <v>37</v>
      </c>
      <c r="Q1099" t="s">
        <v>1871</v>
      </c>
      <c r="R1099" t="s">
        <v>1874</v>
      </c>
      <c r="V1099">
        <v>1.1347</v>
      </c>
      <c r="W1099" t="s">
        <v>3</v>
      </c>
      <c r="X1099" t="s">
        <v>3</v>
      </c>
      <c r="Z1099" s="4" t="str">
        <f t="shared" si="60"/>
        <v>Y</v>
      </c>
      <c r="AA1099" t="s">
        <v>1121</v>
      </c>
      <c r="AB1099" t="s">
        <v>1878</v>
      </c>
      <c r="AC1099" t="s">
        <v>1879</v>
      </c>
    </row>
    <row r="1100" spans="1:33" x14ac:dyDescent="0.2">
      <c r="B1100" t="s">
        <v>1330</v>
      </c>
      <c r="C1100" t="s">
        <v>1850</v>
      </c>
      <c r="D1100" s="38" t="s">
        <v>1866</v>
      </c>
      <c r="E1100">
        <v>2021</v>
      </c>
      <c r="F1100" t="s">
        <v>1867</v>
      </c>
      <c r="G1100" t="s">
        <v>513</v>
      </c>
      <c r="H1100" s="13">
        <v>37.700000000000003</v>
      </c>
      <c r="I1100">
        <v>-123.0167</v>
      </c>
      <c r="J1100" s="13">
        <v>1993</v>
      </c>
      <c r="K1100" s="13">
        <v>2017</v>
      </c>
      <c r="L1100" s="13">
        <f t="shared" si="62"/>
        <v>25</v>
      </c>
      <c r="M1100" t="s">
        <v>369</v>
      </c>
      <c r="N1100" t="s">
        <v>526</v>
      </c>
      <c r="O1100" t="s">
        <v>1875</v>
      </c>
      <c r="P1100" t="s">
        <v>1868</v>
      </c>
      <c r="Q1100" t="s">
        <v>1872</v>
      </c>
      <c r="R1100" t="s">
        <v>1873</v>
      </c>
      <c r="V1100">
        <v>-51.833799999999997</v>
      </c>
      <c r="W1100" t="s">
        <v>24</v>
      </c>
      <c r="X1100" t="s">
        <v>3</v>
      </c>
      <c r="Z1100" s="4" t="str">
        <f t="shared" si="60"/>
        <v>Y</v>
      </c>
      <c r="AA1100" t="s">
        <v>1121</v>
      </c>
      <c r="AB1100" t="s">
        <v>1877</v>
      </c>
      <c r="AC1100" t="s">
        <v>1879</v>
      </c>
    </row>
    <row r="1101" spans="1:33" x14ac:dyDescent="0.2">
      <c r="B1101" t="s">
        <v>1330</v>
      </c>
      <c r="C1101" t="s">
        <v>1850</v>
      </c>
      <c r="D1101" s="38" t="s">
        <v>1866</v>
      </c>
      <c r="E1101">
        <v>2021</v>
      </c>
      <c r="F1101" t="s">
        <v>1867</v>
      </c>
      <c r="G1101" t="s">
        <v>513</v>
      </c>
      <c r="H1101" s="13">
        <v>37.700000000000003</v>
      </c>
      <c r="I1101">
        <v>-123.0167</v>
      </c>
      <c r="J1101" s="13">
        <v>1993</v>
      </c>
      <c r="K1101" s="13">
        <v>2017</v>
      </c>
      <c r="L1101" s="13">
        <f t="shared" si="62"/>
        <v>25</v>
      </c>
      <c r="M1101" t="s">
        <v>369</v>
      </c>
      <c r="N1101" t="s">
        <v>526</v>
      </c>
      <c r="O1101" t="s">
        <v>1875</v>
      </c>
      <c r="P1101" t="s">
        <v>1868</v>
      </c>
      <c r="Q1101" t="s">
        <v>1872</v>
      </c>
      <c r="R1101" t="s">
        <v>1874</v>
      </c>
      <c r="V1101">
        <v>-16.839400000000001</v>
      </c>
      <c r="W1101" t="s">
        <v>24</v>
      </c>
      <c r="X1101" t="s">
        <v>3</v>
      </c>
      <c r="Z1101" s="4" t="str">
        <f t="shared" si="60"/>
        <v>Y</v>
      </c>
      <c r="AA1101" t="s">
        <v>1121</v>
      </c>
      <c r="AB1101" t="s">
        <v>1878</v>
      </c>
      <c r="AC1101" t="s">
        <v>1879</v>
      </c>
    </row>
    <row r="1102" spans="1:33" x14ac:dyDescent="0.2">
      <c r="B1102" t="s">
        <v>1330</v>
      </c>
      <c r="C1102" t="s">
        <v>1850</v>
      </c>
      <c r="D1102" s="38" t="s">
        <v>1866</v>
      </c>
      <c r="E1102">
        <v>2021</v>
      </c>
      <c r="F1102" t="s">
        <v>1867</v>
      </c>
      <c r="G1102" t="s">
        <v>513</v>
      </c>
      <c r="H1102" s="13">
        <v>37.700000000000003</v>
      </c>
      <c r="I1102">
        <v>-123.0167</v>
      </c>
      <c r="J1102" s="13">
        <v>1993</v>
      </c>
      <c r="K1102" s="13">
        <v>2017</v>
      </c>
      <c r="L1102" s="13">
        <f t="shared" si="62"/>
        <v>25</v>
      </c>
      <c r="M1102" t="s">
        <v>369</v>
      </c>
      <c r="N1102" t="s">
        <v>526</v>
      </c>
      <c r="O1102" t="s">
        <v>1875</v>
      </c>
      <c r="P1102" t="s">
        <v>1869</v>
      </c>
      <c r="Q1102" t="s">
        <v>1826</v>
      </c>
      <c r="R1102" t="s">
        <v>1873</v>
      </c>
      <c r="V1102">
        <v>3.5152929999999998</v>
      </c>
      <c r="W1102" t="s">
        <v>24</v>
      </c>
      <c r="X1102" t="s">
        <v>3</v>
      </c>
      <c r="Z1102" s="4" t="str">
        <f t="shared" si="60"/>
        <v>Y</v>
      </c>
      <c r="AA1102" t="s">
        <v>1121</v>
      </c>
      <c r="AB1102" t="s">
        <v>1749</v>
      </c>
      <c r="AC1102" t="s">
        <v>1879</v>
      </c>
    </row>
    <row r="1103" spans="1:33" x14ac:dyDescent="0.2">
      <c r="B1103" t="s">
        <v>1330</v>
      </c>
      <c r="C1103" t="s">
        <v>1850</v>
      </c>
      <c r="D1103" s="38" t="s">
        <v>1866</v>
      </c>
      <c r="E1103">
        <v>2021</v>
      </c>
      <c r="F1103" t="s">
        <v>1867</v>
      </c>
      <c r="G1103" t="s">
        <v>513</v>
      </c>
      <c r="H1103" s="13">
        <v>37.700000000000003</v>
      </c>
      <c r="I1103">
        <v>-123.0167</v>
      </c>
      <c r="J1103" s="13">
        <v>1993</v>
      </c>
      <c r="K1103" s="13">
        <v>2017</v>
      </c>
      <c r="L1103" s="13">
        <f t="shared" si="62"/>
        <v>25</v>
      </c>
      <c r="M1103" t="s">
        <v>369</v>
      </c>
      <c r="N1103" t="s">
        <v>526</v>
      </c>
      <c r="O1103" t="s">
        <v>1875</v>
      </c>
      <c r="P1103" t="s">
        <v>1869</v>
      </c>
      <c r="Q1103" t="s">
        <v>1826</v>
      </c>
      <c r="R1103" t="s">
        <v>1874</v>
      </c>
      <c r="V1103">
        <v>2.5476999999999999</v>
      </c>
      <c r="W1103" t="s">
        <v>24</v>
      </c>
      <c r="X1103" t="s">
        <v>3</v>
      </c>
      <c r="Z1103" s="4" t="str">
        <f t="shared" si="60"/>
        <v>Y</v>
      </c>
      <c r="AA1103" t="s">
        <v>1121</v>
      </c>
      <c r="AB1103" t="s">
        <v>1876</v>
      </c>
      <c r="AC1103" t="s">
        <v>1879</v>
      </c>
    </row>
    <row r="1104" spans="1:33" x14ac:dyDescent="0.2">
      <c r="B1104" t="s">
        <v>1330</v>
      </c>
      <c r="C1104" t="s">
        <v>1850</v>
      </c>
      <c r="D1104" s="38" t="s">
        <v>1866</v>
      </c>
      <c r="E1104">
        <v>2021</v>
      </c>
      <c r="F1104" t="s">
        <v>1867</v>
      </c>
      <c r="G1104" t="s">
        <v>513</v>
      </c>
      <c r="H1104" s="13">
        <v>37.700000000000003</v>
      </c>
      <c r="I1104">
        <v>-123.0167</v>
      </c>
      <c r="J1104" s="13">
        <v>1993</v>
      </c>
      <c r="K1104" s="13">
        <v>2017</v>
      </c>
      <c r="L1104" s="13">
        <f t="shared" si="62"/>
        <v>25</v>
      </c>
      <c r="M1104" t="s">
        <v>369</v>
      </c>
      <c r="N1104" t="s">
        <v>526</v>
      </c>
      <c r="O1104" t="s">
        <v>1875</v>
      </c>
      <c r="P1104" t="s">
        <v>1870</v>
      </c>
      <c r="Q1104" t="s">
        <v>1826</v>
      </c>
      <c r="R1104" t="s">
        <v>1873</v>
      </c>
      <c r="V1104">
        <v>-2.1943999999999999</v>
      </c>
      <c r="W1104" t="s">
        <v>3</v>
      </c>
      <c r="X1104" t="s">
        <v>3</v>
      </c>
      <c r="Z1104" s="4" t="str">
        <f t="shared" si="60"/>
        <v>Y</v>
      </c>
      <c r="AA1104" t="s">
        <v>1121</v>
      </c>
      <c r="AB1104" t="s">
        <v>1749</v>
      </c>
      <c r="AC1104" t="s">
        <v>1879</v>
      </c>
    </row>
    <row r="1105" spans="2:29" x14ac:dyDescent="0.2">
      <c r="B1105" t="s">
        <v>1330</v>
      </c>
      <c r="C1105" t="s">
        <v>1850</v>
      </c>
      <c r="D1105" s="38" t="s">
        <v>1866</v>
      </c>
      <c r="E1105">
        <v>2021</v>
      </c>
      <c r="F1105" t="s">
        <v>1867</v>
      </c>
      <c r="G1105" t="s">
        <v>513</v>
      </c>
      <c r="H1105" s="13">
        <v>37.700000000000003</v>
      </c>
      <c r="I1105">
        <v>-123.0167</v>
      </c>
      <c r="J1105" s="13">
        <v>1993</v>
      </c>
      <c r="K1105" s="13">
        <v>2017</v>
      </c>
      <c r="L1105" s="13">
        <f t="shared" ref="L1105:L1109" si="63">K1105-J1105+1</f>
        <v>25</v>
      </c>
      <c r="M1105" t="s">
        <v>369</v>
      </c>
      <c r="N1105" t="s">
        <v>526</v>
      </c>
      <c r="O1105" t="s">
        <v>1875</v>
      </c>
      <c r="P1105" t="s">
        <v>1870</v>
      </c>
      <c r="Q1105" t="s">
        <v>1826</v>
      </c>
      <c r="R1105" t="s">
        <v>1874</v>
      </c>
      <c r="V1105">
        <v>-2.0375999999999999</v>
      </c>
      <c r="W1105" t="s">
        <v>3</v>
      </c>
      <c r="X1105" t="s">
        <v>3</v>
      </c>
      <c r="Z1105" s="4" t="str">
        <f t="shared" si="60"/>
        <v>Y</v>
      </c>
      <c r="AA1105" t="s">
        <v>1121</v>
      </c>
      <c r="AB1105" t="s">
        <v>1876</v>
      </c>
      <c r="AC1105" t="s">
        <v>1879</v>
      </c>
    </row>
    <row r="1106" spans="2:29" x14ac:dyDescent="0.2">
      <c r="B1106" t="s">
        <v>1330</v>
      </c>
      <c r="C1106" t="s">
        <v>1853</v>
      </c>
      <c r="D1106" s="38" t="s">
        <v>1880</v>
      </c>
      <c r="E1106">
        <v>2011</v>
      </c>
      <c r="F1106" t="s">
        <v>1881</v>
      </c>
      <c r="G1106" t="s">
        <v>513</v>
      </c>
      <c r="H1106" s="13">
        <v>59.807907</v>
      </c>
      <c r="I1106" s="13">
        <v>-149.689752</v>
      </c>
      <c r="J1106" s="13">
        <v>1979</v>
      </c>
      <c r="K1106" s="13">
        <v>2009</v>
      </c>
      <c r="L1106" s="13">
        <f t="shared" si="63"/>
        <v>31</v>
      </c>
      <c r="M1106" t="s">
        <v>371</v>
      </c>
      <c r="N1106" t="s">
        <v>526</v>
      </c>
      <c r="O1106" t="s">
        <v>1306</v>
      </c>
      <c r="P1106" t="s">
        <v>1882</v>
      </c>
      <c r="Q1106" t="s">
        <v>1887</v>
      </c>
      <c r="R1106" t="s">
        <v>1883</v>
      </c>
      <c r="V1106">
        <v>-2.375</v>
      </c>
      <c r="W1106" t="s">
        <v>3</v>
      </c>
      <c r="X1106" t="s">
        <v>3</v>
      </c>
      <c r="Z1106" s="4" t="str">
        <f t="shared" si="60"/>
        <v>Y</v>
      </c>
      <c r="AA1106" t="s">
        <v>1116</v>
      </c>
      <c r="AB1106" t="s">
        <v>1849</v>
      </c>
      <c r="AC1106" t="s">
        <v>1751</v>
      </c>
    </row>
    <row r="1107" spans="2:29" x14ac:dyDescent="0.2">
      <c r="B1107" t="s">
        <v>1330</v>
      </c>
      <c r="C1107" t="s">
        <v>1854</v>
      </c>
      <c r="D1107" s="38" t="s">
        <v>1884</v>
      </c>
      <c r="E1107">
        <v>2001</v>
      </c>
      <c r="F1107" t="s">
        <v>1885</v>
      </c>
      <c r="G1107" t="s">
        <v>513</v>
      </c>
      <c r="H1107" s="13">
        <v>56.5</v>
      </c>
      <c r="I1107" s="13">
        <v>-154.66999999999999</v>
      </c>
      <c r="J1107" s="13">
        <v>1964</v>
      </c>
      <c r="K1107" s="13">
        <v>1998</v>
      </c>
      <c r="L1107" s="13">
        <f t="shared" si="63"/>
        <v>35</v>
      </c>
      <c r="M1107" t="s">
        <v>1800</v>
      </c>
      <c r="N1107" t="s">
        <v>526</v>
      </c>
      <c r="O1107" t="s">
        <v>1306</v>
      </c>
      <c r="P1107" t="s">
        <v>1882</v>
      </c>
      <c r="Q1107" t="s">
        <v>1887</v>
      </c>
      <c r="R1107" t="s">
        <v>1883</v>
      </c>
      <c r="V1107">
        <v>-2.8</v>
      </c>
      <c r="W1107" t="s">
        <v>3</v>
      </c>
      <c r="X1107" t="s">
        <v>3</v>
      </c>
      <c r="Z1107" s="4" t="str">
        <f t="shared" si="60"/>
        <v>Y</v>
      </c>
      <c r="AA1107" t="s">
        <v>1116</v>
      </c>
      <c r="AB1107" t="s">
        <v>1849</v>
      </c>
      <c r="AC1107" t="s">
        <v>1886</v>
      </c>
    </row>
    <row r="1108" spans="2:29" x14ac:dyDescent="0.2">
      <c r="B1108" t="s">
        <v>1330</v>
      </c>
      <c r="C1108" t="s">
        <v>1855</v>
      </c>
      <c r="D1108" s="38" t="s">
        <v>1888</v>
      </c>
      <c r="E1108">
        <v>2025</v>
      </c>
      <c r="F1108" t="s">
        <v>1889</v>
      </c>
      <c r="G1108" t="s">
        <v>1834</v>
      </c>
      <c r="H1108" s="13">
        <v>-26.481999999999999</v>
      </c>
      <c r="I1108" s="13">
        <v>153.096</v>
      </c>
      <c r="J1108" s="13">
        <v>2003</v>
      </c>
      <c r="K1108" s="13">
        <v>2024</v>
      </c>
      <c r="L1108" s="13">
        <f t="shared" si="63"/>
        <v>22</v>
      </c>
      <c r="M1108" t="s">
        <v>1890</v>
      </c>
      <c r="N1108" t="s">
        <v>526</v>
      </c>
      <c r="O1108" t="s">
        <v>1875</v>
      </c>
      <c r="P1108" t="s">
        <v>1891</v>
      </c>
      <c r="Q1108" t="s">
        <v>1871</v>
      </c>
      <c r="R1108" t="s">
        <v>1892</v>
      </c>
      <c r="V1108">
        <v>-9.7392000000000003</v>
      </c>
      <c r="W1108" t="s">
        <v>3</v>
      </c>
      <c r="X1108" t="s">
        <v>3</v>
      </c>
      <c r="Z1108" s="4" t="str">
        <f t="shared" si="60"/>
        <v>Y</v>
      </c>
      <c r="AA1108" t="s">
        <v>1116</v>
      </c>
      <c r="AB1108" t="s">
        <v>1897</v>
      </c>
      <c r="AC1108" t="s">
        <v>1896</v>
      </c>
    </row>
    <row r="1109" spans="2:29" x14ac:dyDescent="0.2">
      <c r="B1109" t="s">
        <v>1330</v>
      </c>
      <c r="C1109" t="s">
        <v>1857</v>
      </c>
      <c r="D1109" s="38" t="s">
        <v>1856</v>
      </c>
      <c r="E1109">
        <v>2025</v>
      </c>
      <c r="F1109" t="s">
        <v>1908</v>
      </c>
      <c r="G1109" t="s">
        <v>513</v>
      </c>
      <c r="H1109" s="13">
        <v>35.549999999999997</v>
      </c>
      <c r="I1109" s="13">
        <v>33.78</v>
      </c>
      <c r="J1109" s="13">
        <v>1992</v>
      </c>
      <c r="K1109" s="13">
        <v>2022</v>
      </c>
      <c r="L1109" s="13">
        <f t="shared" si="63"/>
        <v>31</v>
      </c>
      <c r="M1109" t="s">
        <v>369</v>
      </c>
      <c r="N1109" t="s">
        <v>970</v>
      </c>
      <c r="O1109" t="s">
        <v>378</v>
      </c>
      <c r="P1109" t="s">
        <v>43</v>
      </c>
      <c r="Q1109" t="s">
        <v>44</v>
      </c>
      <c r="R1109" s="51" t="s">
        <v>1909</v>
      </c>
      <c r="V1109">
        <v>5.0500000000000003E-2</v>
      </c>
      <c r="W1109" t="s">
        <v>24</v>
      </c>
      <c r="X1109" t="s">
        <v>24</v>
      </c>
      <c r="Z1109" s="4" t="str">
        <f t="shared" si="60"/>
        <v>Y</v>
      </c>
      <c r="AA1109" t="s">
        <v>1121</v>
      </c>
      <c r="AB1109" t="s">
        <v>1912</v>
      </c>
      <c r="AC1109" t="s">
        <v>1751</v>
      </c>
    </row>
    <row r="1110" spans="2:29" x14ac:dyDescent="0.2">
      <c r="B1110" t="s">
        <v>1330</v>
      </c>
      <c r="C1110" t="s">
        <v>1857</v>
      </c>
      <c r="D1110" s="38" t="s">
        <v>1856</v>
      </c>
      <c r="E1110">
        <v>2025</v>
      </c>
      <c r="F1110" t="s">
        <v>1908</v>
      </c>
      <c r="G1110" t="s">
        <v>513</v>
      </c>
      <c r="H1110" s="13">
        <v>35.549999999999997</v>
      </c>
      <c r="I1110" s="13">
        <v>33.78</v>
      </c>
      <c r="J1110" s="13">
        <v>1992</v>
      </c>
      <c r="K1110" s="13">
        <v>2022</v>
      </c>
      <c r="L1110" s="13">
        <f t="shared" ref="L1110:L1112" si="64">K1110-J1110+1</f>
        <v>31</v>
      </c>
      <c r="M1110" t="s">
        <v>369</v>
      </c>
      <c r="N1110" t="s">
        <v>970</v>
      </c>
      <c r="O1110" t="s">
        <v>378</v>
      </c>
      <c r="P1110" t="s">
        <v>43</v>
      </c>
      <c r="Q1110" t="s">
        <v>44</v>
      </c>
      <c r="R1110" s="51" t="s">
        <v>1911</v>
      </c>
      <c r="V1110">
        <v>-4.3513999999999999</v>
      </c>
      <c r="W1110" t="s">
        <v>3</v>
      </c>
      <c r="X1110" t="s">
        <v>3</v>
      </c>
      <c r="Z1110" s="4" t="str">
        <f t="shared" si="60"/>
        <v>Y</v>
      </c>
      <c r="AA1110" t="s">
        <v>1121</v>
      </c>
      <c r="AB1110" t="s">
        <v>1912</v>
      </c>
      <c r="AC1110" t="s">
        <v>1751</v>
      </c>
    </row>
    <row r="1111" spans="2:29" x14ac:dyDescent="0.2">
      <c r="B1111" t="s">
        <v>1330</v>
      </c>
      <c r="C1111" t="s">
        <v>1857</v>
      </c>
      <c r="D1111" s="38" t="s">
        <v>1856</v>
      </c>
      <c r="E1111">
        <v>2025</v>
      </c>
      <c r="F1111" t="s">
        <v>1908</v>
      </c>
      <c r="G1111" t="s">
        <v>513</v>
      </c>
      <c r="H1111" s="13">
        <v>35.549999999999997</v>
      </c>
      <c r="I1111" s="13">
        <v>33.78</v>
      </c>
      <c r="J1111" s="13">
        <v>1992</v>
      </c>
      <c r="K1111" s="13">
        <v>2022</v>
      </c>
      <c r="L1111" s="13">
        <f t="shared" si="64"/>
        <v>31</v>
      </c>
      <c r="M1111" t="s">
        <v>369</v>
      </c>
      <c r="N1111" t="s">
        <v>970</v>
      </c>
      <c r="O1111" t="s">
        <v>378</v>
      </c>
      <c r="P1111" t="s">
        <v>43</v>
      </c>
      <c r="Q1111" t="s">
        <v>44</v>
      </c>
      <c r="R1111" s="51" t="s">
        <v>1910</v>
      </c>
      <c r="V1111">
        <v>-9.3863000000000003</v>
      </c>
      <c r="W1111" t="s">
        <v>3</v>
      </c>
      <c r="X1111" t="s">
        <v>3</v>
      </c>
      <c r="Z1111" s="4" t="str">
        <f t="shared" si="60"/>
        <v>Y</v>
      </c>
      <c r="AA1111" t="s">
        <v>1121</v>
      </c>
      <c r="AB1111" t="s">
        <v>1912</v>
      </c>
      <c r="AC1111" t="s">
        <v>1751</v>
      </c>
    </row>
    <row r="1112" spans="2:29" x14ac:dyDescent="0.2">
      <c r="B1112" t="s">
        <v>1330</v>
      </c>
      <c r="C1112" t="s">
        <v>1859</v>
      </c>
      <c r="D1112" s="38" t="s">
        <v>1858</v>
      </c>
      <c r="E1112">
        <v>2025</v>
      </c>
      <c r="F1112" t="s">
        <v>1993</v>
      </c>
      <c r="G1112" t="s">
        <v>513</v>
      </c>
      <c r="H1112" s="13">
        <v>35.5</v>
      </c>
      <c r="I1112" s="13">
        <v>33.799999999999997</v>
      </c>
      <c r="J1112" s="13">
        <v>1993</v>
      </c>
      <c r="K1112" s="13">
        <v>2021</v>
      </c>
      <c r="L1112" s="13">
        <f t="shared" si="64"/>
        <v>29</v>
      </c>
      <c r="M1112" t="s">
        <v>369</v>
      </c>
      <c r="N1112" t="s">
        <v>970</v>
      </c>
      <c r="O1112" t="s">
        <v>378</v>
      </c>
      <c r="P1112" t="s">
        <v>465</v>
      </c>
      <c r="Q1112" t="s">
        <v>41</v>
      </c>
      <c r="R1112" s="62" t="s">
        <v>1991</v>
      </c>
      <c r="V1112">
        <v>-2.2999999999999998</v>
      </c>
      <c r="W1112" t="s">
        <v>3</v>
      </c>
      <c r="X1112" t="s">
        <v>3</v>
      </c>
      <c r="Z1112" s="4" t="str">
        <f t="shared" si="60"/>
        <v>Y</v>
      </c>
      <c r="AA1112" t="s">
        <v>1121</v>
      </c>
      <c r="AB1112" t="s">
        <v>1912</v>
      </c>
      <c r="AC1112" t="s">
        <v>1994</v>
      </c>
    </row>
    <row r="1113" spans="2:29" x14ac:dyDescent="0.2">
      <c r="B1113" t="s">
        <v>1330</v>
      </c>
      <c r="C1113" t="s">
        <v>1859</v>
      </c>
      <c r="D1113" s="38" t="s">
        <v>1858</v>
      </c>
      <c r="E1113">
        <v>2025</v>
      </c>
      <c r="F1113" t="s">
        <v>1993</v>
      </c>
      <c r="G1113" t="s">
        <v>513</v>
      </c>
      <c r="H1113" s="13">
        <v>35.5</v>
      </c>
      <c r="I1113" s="13">
        <v>33.799999999999997</v>
      </c>
      <c r="J1113" s="13">
        <v>1993</v>
      </c>
      <c r="K1113" s="13">
        <v>2021</v>
      </c>
      <c r="L1113" s="13">
        <f t="shared" ref="L1113" si="65">K1113-J1113+1</f>
        <v>29</v>
      </c>
      <c r="M1113" t="s">
        <v>369</v>
      </c>
      <c r="N1113" t="s">
        <v>970</v>
      </c>
      <c r="O1113" t="s">
        <v>378</v>
      </c>
      <c r="P1113" t="s">
        <v>465</v>
      </c>
      <c r="Q1113" t="s">
        <v>41</v>
      </c>
      <c r="R1113" s="62" t="s">
        <v>1992</v>
      </c>
      <c r="V1113">
        <v>-7.8</v>
      </c>
      <c r="W1113" t="s">
        <v>3</v>
      </c>
      <c r="X1113" t="s">
        <v>3</v>
      </c>
      <c r="Z1113" s="4" t="str">
        <f t="shared" si="60"/>
        <v>Y</v>
      </c>
      <c r="AA1113" t="s">
        <v>1121</v>
      </c>
      <c r="AB1113" t="s">
        <v>1912</v>
      </c>
      <c r="AC1113" t="s">
        <v>1994</v>
      </c>
    </row>
    <row r="1114" spans="2:29" x14ac:dyDescent="0.2">
      <c r="B1114" t="s">
        <v>1330</v>
      </c>
      <c r="C1114" t="s">
        <v>1860</v>
      </c>
      <c r="D1114" s="38" t="s">
        <v>1913</v>
      </c>
      <c r="E1114">
        <v>2025</v>
      </c>
      <c r="F1114" t="s">
        <v>1996</v>
      </c>
      <c r="G1114" t="s">
        <v>513</v>
      </c>
      <c r="H1114" s="13">
        <v>27.7</v>
      </c>
      <c r="I1114" s="13">
        <v>-81.5</v>
      </c>
      <c r="J1114" s="13">
        <v>2001</v>
      </c>
      <c r="K1114" s="13">
        <v>2022</v>
      </c>
      <c r="L1114" s="13">
        <f t="shared" ref="L1114" si="66">K1114-J1114+1</f>
        <v>22</v>
      </c>
      <c r="M1114" t="s">
        <v>369</v>
      </c>
      <c r="N1114" t="s">
        <v>970</v>
      </c>
      <c r="O1114" t="s">
        <v>378</v>
      </c>
      <c r="P1114" t="s">
        <v>465</v>
      </c>
      <c r="Q1114" t="s">
        <v>41</v>
      </c>
      <c r="R1114" t="s">
        <v>2005</v>
      </c>
      <c r="V1114" s="4">
        <v>-1.63</v>
      </c>
      <c r="W1114" t="s">
        <v>3</v>
      </c>
      <c r="X1114" t="s">
        <v>3</v>
      </c>
      <c r="Z1114" s="4" t="str">
        <f t="shared" si="60"/>
        <v>Y</v>
      </c>
      <c r="AA1114" t="s">
        <v>1544</v>
      </c>
      <c r="AB1114" t="s">
        <v>2006</v>
      </c>
      <c r="AC1114" t="s">
        <v>1751</v>
      </c>
    </row>
    <row r="1115" spans="2:29" x14ac:dyDescent="0.2">
      <c r="B1115" t="s">
        <v>1330</v>
      </c>
      <c r="C1115" t="s">
        <v>1860</v>
      </c>
      <c r="D1115" s="38" t="s">
        <v>1913</v>
      </c>
      <c r="E1115">
        <v>2025</v>
      </c>
      <c r="F1115" t="s">
        <v>1997</v>
      </c>
      <c r="G1115" t="s">
        <v>513</v>
      </c>
      <c r="H1115" s="13">
        <v>27.7</v>
      </c>
      <c r="I1115" s="13">
        <v>-81.5</v>
      </c>
      <c r="J1115" s="13">
        <v>2001</v>
      </c>
      <c r="K1115" s="13">
        <v>2022</v>
      </c>
      <c r="L1115" s="13">
        <f t="shared" ref="L1115:L1124" si="67">K1115-J1115+1</f>
        <v>22</v>
      </c>
      <c r="M1115" t="s">
        <v>369</v>
      </c>
      <c r="N1115" t="s">
        <v>970</v>
      </c>
      <c r="O1115" t="s">
        <v>378</v>
      </c>
      <c r="P1115" t="s">
        <v>465</v>
      </c>
      <c r="Q1115" t="s">
        <v>41</v>
      </c>
      <c r="R1115" t="s">
        <v>2005</v>
      </c>
      <c r="V1115" s="4">
        <v>0.32</v>
      </c>
      <c r="W1115" t="s">
        <v>24</v>
      </c>
      <c r="X1115" t="s">
        <v>3</v>
      </c>
      <c r="Z1115" s="4" t="str">
        <f t="shared" si="60"/>
        <v>Y</v>
      </c>
      <c r="AA1115" t="s">
        <v>1544</v>
      </c>
      <c r="AB1115" t="s">
        <v>2006</v>
      </c>
      <c r="AC1115" t="s">
        <v>1751</v>
      </c>
    </row>
    <row r="1116" spans="2:29" x14ac:dyDescent="0.2">
      <c r="B1116" t="s">
        <v>1330</v>
      </c>
      <c r="C1116" t="s">
        <v>1860</v>
      </c>
      <c r="D1116" s="38" t="s">
        <v>1913</v>
      </c>
      <c r="E1116">
        <v>2025</v>
      </c>
      <c r="F1116" t="s">
        <v>1998</v>
      </c>
      <c r="G1116" t="s">
        <v>513</v>
      </c>
      <c r="H1116" s="13">
        <v>27.7</v>
      </c>
      <c r="I1116" s="13">
        <v>-81.5</v>
      </c>
      <c r="J1116" s="13">
        <v>2001</v>
      </c>
      <c r="K1116" s="13">
        <v>2022</v>
      </c>
      <c r="L1116" s="13">
        <f t="shared" si="67"/>
        <v>22</v>
      </c>
      <c r="M1116" t="s">
        <v>369</v>
      </c>
      <c r="N1116" t="s">
        <v>970</v>
      </c>
      <c r="O1116" t="s">
        <v>378</v>
      </c>
      <c r="P1116" t="s">
        <v>465</v>
      </c>
      <c r="Q1116" t="s">
        <v>41</v>
      </c>
      <c r="R1116" t="s">
        <v>2005</v>
      </c>
      <c r="V1116" s="4">
        <v>-0.13</v>
      </c>
      <c r="W1116" t="s">
        <v>3</v>
      </c>
      <c r="X1116" t="s">
        <v>3</v>
      </c>
      <c r="Z1116" s="4" t="str">
        <f t="shared" si="60"/>
        <v>Y</v>
      </c>
      <c r="AA1116" t="s">
        <v>1544</v>
      </c>
      <c r="AB1116" t="s">
        <v>2006</v>
      </c>
      <c r="AC1116" t="s">
        <v>1751</v>
      </c>
    </row>
    <row r="1117" spans="2:29" x14ac:dyDescent="0.2">
      <c r="B1117" t="s">
        <v>1330</v>
      </c>
      <c r="C1117" t="s">
        <v>1860</v>
      </c>
      <c r="D1117" s="38" t="s">
        <v>1913</v>
      </c>
      <c r="E1117">
        <v>2025</v>
      </c>
      <c r="F1117" t="s">
        <v>1999</v>
      </c>
      <c r="G1117" t="s">
        <v>513</v>
      </c>
      <c r="H1117" s="13">
        <v>27.7</v>
      </c>
      <c r="I1117" s="13">
        <v>-81.5</v>
      </c>
      <c r="J1117" s="13">
        <v>2001</v>
      </c>
      <c r="K1117" s="13">
        <v>2022</v>
      </c>
      <c r="L1117" s="13">
        <f t="shared" si="67"/>
        <v>22</v>
      </c>
      <c r="M1117" t="s">
        <v>369</v>
      </c>
      <c r="N1117" t="s">
        <v>970</v>
      </c>
      <c r="O1117" t="s">
        <v>378</v>
      </c>
      <c r="P1117" t="s">
        <v>465</v>
      </c>
      <c r="Q1117" t="s">
        <v>41</v>
      </c>
      <c r="R1117" t="s">
        <v>2005</v>
      </c>
      <c r="V1117" s="4">
        <v>-1.36</v>
      </c>
      <c r="W1117" t="s">
        <v>3</v>
      </c>
      <c r="X1117" t="s">
        <v>3</v>
      </c>
      <c r="Z1117" s="4" t="str">
        <f t="shared" si="60"/>
        <v>Y</v>
      </c>
      <c r="AA1117" t="s">
        <v>1544</v>
      </c>
      <c r="AB1117" t="s">
        <v>2006</v>
      </c>
      <c r="AC1117" t="s">
        <v>1751</v>
      </c>
    </row>
    <row r="1118" spans="2:29" x14ac:dyDescent="0.2">
      <c r="B1118" t="s">
        <v>1330</v>
      </c>
      <c r="C1118" t="s">
        <v>1860</v>
      </c>
      <c r="D1118" s="38" t="s">
        <v>1913</v>
      </c>
      <c r="E1118">
        <v>2025</v>
      </c>
      <c r="F1118" t="s">
        <v>2000</v>
      </c>
      <c r="G1118" t="s">
        <v>513</v>
      </c>
      <c r="H1118" s="13">
        <v>27.7</v>
      </c>
      <c r="I1118" s="13">
        <v>-81.5</v>
      </c>
      <c r="J1118" s="13">
        <v>2001</v>
      </c>
      <c r="K1118" s="13">
        <v>2022</v>
      </c>
      <c r="L1118" s="13">
        <f t="shared" si="67"/>
        <v>22</v>
      </c>
      <c r="M1118" t="s">
        <v>369</v>
      </c>
      <c r="N1118" t="s">
        <v>970</v>
      </c>
      <c r="O1118" t="s">
        <v>378</v>
      </c>
      <c r="P1118" t="s">
        <v>465</v>
      </c>
      <c r="Q1118" t="s">
        <v>41</v>
      </c>
      <c r="R1118" t="s">
        <v>2005</v>
      </c>
      <c r="V1118" s="4">
        <v>-0.99</v>
      </c>
      <c r="W1118" t="s">
        <v>3</v>
      </c>
      <c r="X1118" t="s">
        <v>3</v>
      </c>
      <c r="Z1118" s="4" t="str">
        <f t="shared" si="60"/>
        <v>Y</v>
      </c>
      <c r="AA1118" t="s">
        <v>1544</v>
      </c>
      <c r="AB1118" t="s">
        <v>2006</v>
      </c>
      <c r="AC1118" t="s">
        <v>1751</v>
      </c>
    </row>
    <row r="1119" spans="2:29" x14ac:dyDescent="0.2">
      <c r="B1119" t="s">
        <v>1330</v>
      </c>
      <c r="C1119" t="s">
        <v>1860</v>
      </c>
      <c r="D1119" s="38" t="s">
        <v>1913</v>
      </c>
      <c r="E1119">
        <v>2025</v>
      </c>
      <c r="F1119" t="s">
        <v>2001</v>
      </c>
      <c r="G1119" t="s">
        <v>513</v>
      </c>
      <c r="H1119" s="13">
        <v>27.7</v>
      </c>
      <c r="I1119" s="13">
        <v>-81.5</v>
      </c>
      <c r="J1119" s="13">
        <v>2001</v>
      </c>
      <c r="K1119" s="13">
        <v>2022</v>
      </c>
      <c r="L1119" s="13">
        <f t="shared" si="67"/>
        <v>22</v>
      </c>
      <c r="M1119" t="s">
        <v>369</v>
      </c>
      <c r="N1119" t="s">
        <v>970</v>
      </c>
      <c r="O1119" t="s">
        <v>378</v>
      </c>
      <c r="P1119" t="s">
        <v>465</v>
      </c>
      <c r="Q1119" t="s">
        <v>41</v>
      </c>
      <c r="R1119" t="s">
        <v>2005</v>
      </c>
      <c r="V1119" s="4">
        <v>-0.81</v>
      </c>
      <c r="W1119" t="s">
        <v>3</v>
      </c>
      <c r="X1119" t="s">
        <v>3</v>
      </c>
      <c r="Z1119" s="4" t="str">
        <f t="shared" si="60"/>
        <v>Y</v>
      </c>
      <c r="AA1119" t="s">
        <v>1544</v>
      </c>
      <c r="AB1119" t="s">
        <v>2006</v>
      </c>
      <c r="AC1119" t="s">
        <v>1751</v>
      </c>
    </row>
    <row r="1120" spans="2:29" x14ac:dyDescent="0.2">
      <c r="B1120" t="s">
        <v>1330</v>
      </c>
      <c r="C1120" t="s">
        <v>1860</v>
      </c>
      <c r="D1120" s="38" t="s">
        <v>1913</v>
      </c>
      <c r="E1120">
        <v>2025</v>
      </c>
      <c r="F1120" t="s">
        <v>1999</v>
      </c>
      <c r="G1120" t="s">
        <v>513</v>
      </c>
      <c r="H1120" s="13">
        <v>27.7</v>
      </c>
      <c r="I1120" s="13">
        <v>-81.5</v>
      </c>
      <c r="J1120" s="13">
        <v>2001</v>
      </c>
      <c r="K1120" s="13">
        <v>2022</v>
      </c>
      <c r="L1120" s="13">
        <f t="shared" si="67"/>
        <v>22</v>
      </c>
      <c r="M1120" t="s">
        <v>369</v>
      </c>
      <c r="N1120" t="s">
        <v>970</v>
      </c>
      <c r="O1120" t="s">
        <v>378</v>
      </c>
      <c r="P1120" t="s">
        <v>43</v>
      </c>
      <c r="Q1120" t="s">
        <v>44</v>
      </c>
      <c r="R1120" t="s">
        <v>2005</v>
      </c>
      <c r="V1120" s="4">
        <v>-2.86</v>
      </c>
      <c r="W1120" t="s">
        <v>3</v>
      </c>
      <c r="X1120" t="s">
        <v>3</v>
      </c>
      <c r="Z1120" s="4" t="str">
        <f t="shared" si="60"/>
        <v>Y</v>
      </c>
      <c r="AA1120" t="s">
        <v>1544</v>
      </c>
      <c r="AB1120" t="s">
        <v>2006</v>
      </c>
      <c r="AC1120" t="s">
        <v>1896</v>
      </c>
    </row>
    <row r="1121" spans="2:33" x14ac:dyDescent="0.2">
      <c r="B1121" t="s">
        <v>1330</v>
      </c>
      <c r="C1121" t="s">
        <v>1860</v>
      </c>
      <c r="D1121" s="38" t="s">
        <v>1913</v>
      </c>
      <c r="E1121">
        <v>2025</v>
      </c>
      <c r="F1121" t="s">
        <v>2001</v>
      </c>
      <c r="G1121" t="s">
        <v>513</v>
      </c>
      <c r="H1121" s="13">
        <v>27.7</v>
      </c>
      <c r="I1121" s="13">
        <v>-81.5</v>
      </c>
      <c r="J1121" s="13">
        <v>2001</v>
      </c>
      <c r="K1121" s="13">
        <v>2022</v>
      </c>
      <c r="L1121" s="13">
        <f t="shared" si="67"/>
        <v>22</v>
      </c>
      <c r="M1121" t="s">
        <v>369</v>
      </c>
      <c r="N1121" t="s">
        <v>970</v>
      </c>
      <c r="O1121" t="s">
        <v>378</v>
      </c>
      <c r="P1121" t="s">
        <v>43</v>
      </c>
      <c r="Q1121" t="s">
        <v>44</v>
      </c>
      <c r="R1121" t="s">
        <v>2005</v>
      </c>
      <c r="V1121" s="4">
        <v>-1.42</v>
      </c>
      <c r="W1121" t="s">
        <v>3</v>
      </c>
      <c r="X1121" t="s">
        <v>3</v>
      </c>
      <c r="Z1121" s="4" t="str">
        <f t="shared" si="60"/>
        <v>Y</v>
      </c>
      <c r="AA1121" t="s">
        <v>1544</v>
      </c>
      <c r="AB1121" t="s">
        <v>2006</v>
      </c>
      <c r="AC1121" t="s">
        <v>1896</v>
      </c>
    </row>
    <row r="1122" spans="2:33" x14ac:dyDescent="0.2">
      <c r="B1122" t="s">
        <v>1330</v>
      </c>
      <c r="C1122" t="s">
        <v>1860</v>
      </c>
      <c r="D1122" s="38" t="s">
        <v>1913</v>
      </c>
      <c r="E1122">
        <v>2025</v>
      </c>
      <c r="F1122" t="s">
        <v>2002</v>
      </c>
      <c r="G1122" t="s">
        <v>513</v>
      </c>
      <c r="H1122" s="13">
        <v>27.7</v>
      </c>
      <c r="I1122" s="13">
        <v>-81.5</v>
      </c>
      <c r="J1122" s="13">
        <v>2001</v>
      </c>
      <c r="K1122" s="13">
        <v>2022</v>
      </c>
      <c r="L1122" s="13">
        <f t="shared" si="67"/>
        <v>22</v>
      </c>
      <c r="M1122" t="s">
        <v>369</v>
      </c>
      <c r="N1122" t="s">
        <v>970</v>
      </c>
      <c r="O1122" t="s">
        <v>378</v>
      </c>
      <c r="P1122" t="s">
        <v>2003</v>
      </c>
      <c r="Q1122" t="s">
        <v>2004</v>
      </c>
      <c r="R1122" t="s">
        <v>2005</v>
      </c>
      <c r="V1122" s="4">
        <v>0.38</v>
      </c>
      <c r="W1122" t="s">
        <v>3</v>
      </c>
      <c r="X1122" t="s">
        <v>3</v>
      </c>
      <c r="Z1122" s="4" t="str">
        <f t="shared" si="60"/>
        <v>Y</v>
      </c>
      <c r="AA1122" t="s">
        <v>1544</v>
      </c>
      <c r="AB1122" t="s">
        <v>2006</v>
      </c>
      <c r="AC1122" t="s">
        <v>1813</v>
      </c>
    </row>
    <row r="1123" spans="2:33" x14ac:dyDescent="0.2">
      <c r="B1123" t="s">
        <v>1330</v>
      </c>
      <c r="C1123" t="s">
        <v>1863</v>
      </c>
      <c r="D1123" s="38" t="s">
        <v>1914</v>
      </c>
      <c r="E1123">
        <v>2016</v>
      </c>
      <c r="F1123" t="s">
        <v>2150</v>
      </c>
      <c r="G1123" t="s">
        <v>513</v>
      </c>
      <c r="H1123" s="13">
        <v>37.799999999999997</v>
      </c>
      <c r="I1123" s="13">
        <v>20.8</v>
      </c>
      <c r="J1123" s="13">
        <v>1984</v>
      </c>
      <c r="K1123" s="13">
        <v>2009</v>
      </c>
      <c r="L1123" s="13">
        <f t="shared" si="67"/>
        <v>26</v>
      </c>
      <c r="M1123" t="s">
        <v>369</v>
      </c>
      <c r="N1123" t="s">
        <v>970</v>
      </c>
      <c r="O1123" t="s">
        <v>378</v>
      </c>
      <c r="P1123" t="s">
        <v>465</v>
      </c>
      <c r="Q1123" t="s">
        <v>41</v>
      </c>
      <c r="R1123" t="s">
        <v>2151</v>
      </c>
      <c r="V1123">
        <v>-4.9000000000000004</v>
      </c>
      <c r="W1123" t="s">
        <v>3</v>
      </c>
      <c r="X1123" t="s">
        <v>3</v>
      </c>
      <c r="Z1123" s="4" t="str">
        <f t="shared" si="60"/>
        <v>Y</v>
      </c>
      <c r="AA1123" t="s">
        <v>1544</v>
      </c>
      <c r="AB1123" t="s">
        <v>2153</v>
      </c>
      <c r="AC1123" t="s">
        <v>2152</v>
      </c>
    </row>
    <row r="1124" spans="2:33" x14ac:dyDescent="0.2">
      <c r="B1124" t="s">
        <v>1330</v>
      </c>
      <c r="C1124" t="s">
        <v>1865</v>
      </c>
      <c r="D1124" s="38" t="s">
        <v>2154</v>
      </c>
      <c r="E1124">
        <v>2014</v>
      </c>
      <c r="F1124" t="s">
        <v>2156</v>
      </c>
      <c r="G1124" t="s">
        <v>513</v>
      </c>
      <c r="H1124" s="13">
        <v>10.32</v>
      </c>
      <c r="I1124" s="13">
        <v>-85.84</v>
      </c>
      <c r="J1124" s="13">
        <v>1993</v>
      </c>
      <c r="K1124" s="13">
        <v>2012</v>
      </c>
      <c r="L1124" s="13">
        <f t="shared" si="67"/>
        <v>20</v>
      </c>
      <c r="M1124" t="s">
        <v>369</v>
      </c>
      <c r="N1124" t="s">
        <v>970</v>
      </c>
      <c r="O1124" t="s">
        <v>378</v>
      </c>
      <c r="P1124" t="s">
        <v>2003</v>
      </c>
      <c r="Q1124" t="s">
        <v>2004</v>
      </c>
      <c r="R1124" t="s">
        <v>2155</v>
      </c>
      <c r="V1124">
        <v>3.1</v>
      </c>
      <c r="W1124" t="s">
        <v>24</v>
      </c>
      <c r="X1124" t="s">
        <v>3</v>
      </c>
      <c r="Z1124" s="4" t="str">
        <f t="shared" si="60"/>
        <v>Y</v>
      </c>
      <c r="AA1124" t="s">
        <v>1544</v>
      </c>
      <c r="AB1124" t="s">
        <v>2158</v>
      </c>
      <c r="AC1124" t="s">
        <v>1546</v>
      </c>
    </row>
    <row r="1125" spans="2:33" x14ac:dyDescent="0.2">
      <c r="B1125" t="s">
        <v>1330</v>
      </c>
      <c r="C1125" t="s">
        <v>1865</v>
      </c>
      <c r="D1125" s="38" t="s">
        <v>2154</v>
      </c>
      <c r="E1125">
        <v>2014</v>
      </c>
      <c r="F1125" t="s">
        <v>2157</v>
      </c>
      <c r="G1125" t="s">
        <v>513</v>
      </c>
      <c r="H1125" s="13">
        <v>17.68</v>
      </c>
      <c r="I1125" s="13">
        <v>-64.900000000000006</v>
      </c>
      <c r="J1125" s="13">
        <v>1982</v>
      </c>
      <c r="K1125" s="13">
        <v>2010</v>
      </c>
      <c r="L1125" s="13">
        <f t="shared" ref="L1125" si="68">K1125-J1125+1</f>
        <v>29</v>
      </c>
      <c r="M1125" t="s">
        <v>369</v>
      </c>
      <c r="N1125" t="s">
        <v>970</v>
      </c>
      <c r="O1125" t="s">
        <v>378</v>
      </c>
      <c r="P1125" t="s">
        <v>2003</v>
      </c>
      <c r="Q1125" t="s">
        <v>2004</v>
      </c>
      <c r="R1125" t="s">
        <v>2155</v>
      </c>
      <c r="V1125">
        <v>-1.7</v>
      </c>
      <c r="W1125" t="s">
        <v>3</v>
      </c>
      <c r="X1125" t="s">
        <v>3</v>
      </c>
      <c r="Z1125" s="4" t="str">
        <f t="shared" si="60"/>
        <v>Y</v>
      </c>
      <c r="AA1125" t="s">
        <v>1544</v>
      </c>
      <c r="AB1125" t="s">
        <v>2158</v>
      </c>
      <c r="AC1125" t="s">
        <v>1546</v>
      </c>
    </row>
    <row r="1126" spans="2:33" x14ac:dyDescent="0.2">
      <c r="B1126" t="s">
        <v>1330</v>
      </c>
      <c r="C1126" t="s">
        <v>1855</v>
      </c>
      <c r="D1126" s="38" t="s">
        <v>1888</v>
      </c>
      <c r="E1126">
        <v>2025</v>
      </c>
      <c r="F1126" t="s">
        <v>1889</v>
      </c>
      <c r="G1126" t="s">
        <v>1834</v>
      </c>
      <c r="H1126" s="13">
        <v>-26.481999999999999</v>
      </c>
      <c r="I1126" s="13">
        <v>153.096</v>
      </c>
      <c r="J1126" s="13">
        <v>2003</v>
      </c>
      <c r="K1126" s="13">
        <v>2024</v>
      </c>
      <c r="L1126" s="13">
        <f t="shared" ref="L1126:L1129" si="69">K1126-J1126+1</f>
        <v>22</v>
      </c>
      <c r="M1126" t="s">
        <v>1890</v>
      </c>
      <c r="N1126" t="s">
        <v>526</v>
      </c>
      <c r="O1126" t="s">
        <v>1875</v>
      </c>
      <c r="P1126" t="s">
        <v>1891</v>
      </c>
      <c r="Q1126" t="s">
        <v>1871</v>
      </c>
      <c r="R1126" t="s">
        <v>1893</v>
      </c>
      <c r="V1126">
        <v>-11.161</v>
      </c>
      <c r="W1126" t="s">
        <v>3</v>
      </c>
      <c r="X1126" t="s">
        <v>3</v>
      </c>
      <c r="Z1126" s="4" t="str">
        <f t="shared" si="60"/>
        <v>Y</v>
      </c>
      <c r="AA1126" t="s">
        <v>1116</v>
      </c>
      <c r="AB1126" t="s">
        <v>1897</v>
      </c>
      <c r="AC1126" t="s">
        <v>1896</v>
      </c>
    </row>
    <row r="1127" spans="2:33" x14ac:dyDescent="0.2">
      <c r="B1127" t="s">
        <v>1330</v>
      </c>
      <c r="C1127" t="s">
        <v>1855</v>
      </c>
      <c r="D1127" s="38" t="s">
        <v>1888</v>
      </c>
      <c r="E1127">
        <v>2025</v>
      </c>
      <c r="F1127" t="s">
        <v>1889</v>
      </c>
      <c r="G1127" t="s">
        <v>1834</v>
      </c>
      <c r="H1127" s="13">
        <v>-26.481999999999999</v>
      </c>
      <c r="I1127" s="13">
        <v>153.096</v>
      </c>
      <c r="J1127" s="13">
        <v>2003</v>
      </c>
      <c r="K1127" s="13">
        <v>2024</v>
      </c>
      <c r="L1127" s="13">
        <f t="shared" si="69"/>
        <v>22</v>
      </c>
      <c r="M1127" t="s">
        <v>1890</v>
      </c>
      <c r="N1127" t="s">
        <v>526</v>
      </c>
      <c r="O1127" t="s">
        <v>1875</v>
      </c>
      <c r="P1127" t="s">
        <v>1891</v>
      </c>
      <c r="Q1127" t="s">
        <v>1871</v>
      </c>
      <c r="R1127" t="s">
        <v>1894</v>
      </c>
      <c r="V1127">
        <v>-9.2127999999999997</v>
      </c>
      <c r="W1127" t="s">
        <v>3</v>
      </c>
      <c r="X1127" t="s">
        <v>3</v>
      </c>
      <c r="Z1127" s="4" t="str">
        <f t="shared" si="60"/>
        <v>Y</v>
      </c>
      <c r="AA1127" t="s">
        <v>1116</v>
      </c>
      <c r="AB1127" t="s">
        <v>1897</v>
      </c>
      <c r="AC1127" t="s">
        <v>1896</v>
      </c>
    </row>
    <row r="1128" spans="2:33" x14ac:dyDescent="0.2">
      <c r="B1128" t="s">
        <v>1330</v>
      </c>
      <c r="C1128" t="s">
        <v>1855</v>
      </c>
      <c r="D1128" s="38" t="s">
        <v>1888</v>
      </c>
      <c r="E1128">
        <v>2025</v>
      </c>
      <c r="F1128" t="s">
        <v>1889</v>
      </c>
      <c r="G1128" t="s">
        <v>1834</v>
      </c>
      <c r="H1128" s="13">
        <v>-26.481999999999999</v>
      </c>
      <c r="I1128" s="13">
        <v>153.096</v>
      </c>
      <c r="J1128" s="13">
        <v>2003</v>
      </c>
      <c r="K1128" s="13">
        <v>2024</v>
      </c>
      <c r="L1128" s="13">
        <f t="shared" si="69"/>
        <v>22</v>
      </c>
      <c r="M1128" t="s">
        <v>1890</v>
      </c>
      <c r="N1128" t="s">
        <v>526</v>
      </c>
      <c r="O1128" t="s">
        <v>1875</v>
      </c>
      <c r="P1128" t="s">
        <v>1891</v>
      </c>
      <c r="Q1128" t="s">
        <v>1871</v>
      </c>
      <c r="R1128" t="s">
        <v>1895</v>
      </c>
      <c r="V1128">
        <v>-7.61</v>
      </c>
      <c r="W1128" t="s">
        <v>3</v>
      </c>
      <c r="X1128" t="s">
        <v>3</v>
      </c>
      <c r="Z1128" s="4" t="str">
        <f t="shared" si="60"/>
        <v>Y</v>
      </c>
      <c r="AA1128" t="s">
        <v>1116</v>
      </c>
      <c r="AB1128" t="s">
        <v>1897</v>
      </c>
      <c r="AC1128" t="s">
        <v>1896</v>
      </c>
    </row>
    <row r="1129" spans="2:33" x14ac:dyDescent="0.2">
      <c r="B1129" t="s">
        <v>1330</v>
      </c>
      <c r="C1129" t="s">
        <v>1900</v>
      </c>
      <c r="D1129" s="38" t="s">
        <v>1899</v>
      </c>
      <c r="E1129">
        <v>2018</v>
      </c>
      <c r="F1129" t="s">
        <v>1320</v>
      </c>
      <c r="G1129" t="s">
        <v>513</v>
      </c>
      <c r="H1129" s="13">
        <v>43.5</v>
      </c>
      <c r="I1129" s="13">
        <v>-68.5</v>
      </c>
      <c r="J1129" s="13">
        <v>1998</v>
      </c>
      <c r="K1129" s="13">
        <v>2016</v>
      </c>
      <c r="L1129" s="13">
        <f t="shared" si="69"/>
        <v>19</v>
      </c>
      <c r="M1129" t="s">
        <v>369</v>
      </c>
      <c r="N1129" t="s">
        <v>526</v>
      </c>
      <c r="O1129" t="s">
        <v>1875</v>
      </c>
      <c r="P1129" t="s">
        <v>1901</v>
      </c>
      <c r="Q1129" s="50" t="s">
        <v>1812</v>
      </c>
      <c r="R1129" t="s">
        <v>1810</v>
      </c>
      <c r="V1129">
        <v>11.31</v>
      </c>
      <c r="W1129" t="s">
        <v>24</v>
      </c>
      <c r="X1129" t="s">
        <v>3</v>
      </c>
      <c r="Z1129" s="4" t="str">
        <f t="shared" si="60"/>
        <v>Y</v>
      </c>
      <c r="AA1129" t="s">
        <v>1116</v>
      </c>
      <c r="AB1129" t="s">
        <v>1897</v>
      </c>
      <c r="AC1129" t="s">
        <v>1903</v>
      </c>
      <c r="AD1129" t="s">
        <v>1904</v>
      </c>
      <c r="AE1129" t="s">
        <v>1905</v>
      </c>
      <c r="AF1129" t="s">
        <v>1906</v>
      </c>
      <c r="AG1129" t="s">
        <v>1907</v>
      </c>
    </row>
    <row r="1130" spans="2:33" x14ac:dyDescent="0.2">
      <c r="B1130" t="s">
        <v>1330</v>
      </c>
      <c r="C1130" t="s">
        <v>1900</v>
      </c>
      <c r="D1130" s="38" t="s">
        <v>1899</v>
      </c>
      <c r="E1130">
        <v>2018</v>
      </c>
      <c r="F1130" t="s">
        <v>1320</v>
      </c>
      <c r="G1130" t="s">
        <v>513</v>
      </c>
      <c r="H1130" s="13">
        <v>43.5</v>
      </c>
      <c r="I1130" s="13">
        <v>-68.5</v>
      </c>
      <c r="J1130" s="13">
        <v>1998</v>
      </c>
      <c r="K1130" s="13">
        <v>2016</v>
      </c>
      <c r="L1130" s="13">
        <f t="shared" ref="L1130" si="70">K1130-J1130+1</f>
        <v>19</v>
      </c>
      <c r="M1130" t="s">
        <v>369</v>
      </c>
      <c r="N1130" t="s">
        <v>526</v>
      </c>
      <c r="O1130" t="s">
        <v>1875</v>
      </c>
      <c r="P1130" t="s">
        <v>1902</v>
      </c>
      <c r="Q1130" t="s">
        <v>36</v>
      </c>
      <c r="R1130" t="s">
        <v>1810</v>
      </c>
      <c r="V1130">
        <v>-9.9600000000000009</v>
      </c>
      <c r="W1130" t="s">
        <v>3</v>
      </c>
      <c r="X1130" t="s">
        <v>3</v>
      </c>
      <c r="Z1130" s="4" t="str">
        <f t="shared" si="60"/>
        <v>Y</v>
      </c>
      <c r="AA1130" t="s">
        <v>1116</v>
      </c>
      <c r="AB1130" t="s">
        <v>1897</v>
      </c>
      <c r="AC1130" t="s">
        <v>1903</v>
      </c>
    </row>
    <row r="1131" spans="2:33" x14ac:dyDescent="0.2">
      <c r="C1131" t="s">
        <v>1331</v>
      </c>
      <c r="Z1131" s="4" t="str">
        <f t="shared" si="60"/>
        <v>N</v>
      </c>
    </row>
    <row r="1132" spans="2:33" x14ac:dyDescent="0.2">
      <c r="B1132" t="s">
        <v>1330</v>
      </c>
      <c r="C1132" t="s">
        <v>1915</v>
      </c>
      <c r="D1132" s="38" t="s">
        <v>2159</v>
      </c>
      <c r="E1132">
        <v>2025</v>
      </c>
      <c r="F1132" t="s">
        <v>2180</v>
      </c>
      <c r="G1132" t="s">
        <v>513</v>
      </c>
      <c r="H1132" s="13">
        <v>22</v>
      </c>
      <c r="I1132" s="13">
        <v>121.83</v>
      </c>
      <c r="J1132" s="13">
        <v>1997</v>
      </c>
      <c r="K1132" s="13">
        <v>2023</v>
      </c>
      <c r="L1132" s="13">
        <f t="shared" ref="L1132:L1142" si="71">K1132-J1132+1</f>
        <v>27</v>
      </c>
      <c r="M1132" t="s">
        <v>369</v>
      </c>
      <c r="N1132" t="s">
        <v>970</v>
      </c>
      <c r="O1132" t="s">
        <v>378</v>
      </c>
      <c r="P1132" t="s">
        <v>43</v>
      </c>
      <c r="Q1132" t="s">
        <v>44</v>
      </c>
      <c r="R1132" t="s">
        <v>2181</v>
      </c>
      <c r="V1132">
        <v>0.37</v>
      </c>
      <c r="W1132" t="s">
        <v>3</v>
      </c>
      <c r="X1132" t="s">
        <v>3</v>
      </c>
      <c r="Z1132" s="4" t="str">
        <f t="shared" si="60"/>
        <v>Y</v>
      </c>
      <c r="AA1132" t="s">
        <v>1544</v>
      </c>
      <c r="AB1132" t="s">
        <v>2183</v>
      </c>
      <c r="AC1132" t="s">
        <v>1994</v>
      </c>
    </row>
    <row r="1133" spans="2:33" x14ac:dyDescent="0.2">
      <c r="B1133" t="s">
        <v>1330</v>
      </c>
      <c r="C1133" t="s">
        <v>1917</v>
      </c>
      <c r="D1133" s="38" t="s">
        <v>2160</v>
      </c>
      <c r="E1133">
        <v>2025</v>
      </c>
      <c r="F1133" t="s">
        <v>2182</v>
      </c>
      <c r="G1133" t="s">
        <v>1834</v>
      </c>
      <c r="H1133" s="13">
        <v>-19.04</v>
      </c>
      <c r="I1133" s="13">
        <v>-40</v>
      </c>
      <c r="J1133" s="13">
        <v>1988</v>
      </c>
      <c r="K1133" s="13">
        <v>2021</v>
      </c>
      <c r="L1133" s="13">
        <f t="shared" si="71"/>
        <v>34</v>
      </c>
      <c r="M1133" t="s">
        <v>369</v>
      </c>
      <c r="N1133" t="s">
        <v>970</v>
      </c>
      <c r="O1133" t="s">
        <v>378</v>
      </c>
      <c r="P1133" t="s">
        <v>2003</v>
      </c>
      <c r="Q1133" t="s">
        <v>2004</v>
      </c>
      <c r="R1133" t="s">
        <v>1995</v>
      </c>
      <c r="V1133">
        <v>-2.1</v>
      </c>
      <c r="W1133" t="s">
        <v>3</v>
      </c>
      <c r="X1133" t="s">
        <v>3</v>
      </c>
      <c r="Z1133" s="4" t="str">
        <f t="shared" si="60"/>
        <v>Y</v>
      </c>
      <c r="AA1133" t="s">
        <v>2169</v>
      </c>
      <c r="AB1133" t="s">
        <v>2185</v>
      </c>
      <c r="AC1133" t="s">
        <v>2184</v>
      </c>
    </row>
    <row r="1134" spans="2:33" x14ac:dyDescent="0.2">
      <c r="B1134" t="s">
        <v>1330</v>
      </c>
      <c r="C1134" t="s">
        <v>1918</v>
      </c>
      <c r="D1134" s="38" t="s">
        <v>2172</v>
      </c>
      <c r="E1134">
        <v>2010</v>
      </c>
      <c r="F1134" t="s">
        <v>2173</v>
      </c>
      <c r="G1134" t="s">
        <v>513</v>
      </c>
      <c r="H1134" s="13">
        <v>27.86</v>
      </c>
      <c r="I1134" s="13">
        <v>-80.45</v>
      </c>
      <c r="J1134" s="13">
        <v>1989</v>
      </c>
      <c r="K1134" s="13">
        <v>2008</v>
      </c>
      <c r="L1134" s="13">
        <f t="shared" si="71"/>
        <v>20</v>
      </c>
      <c r="M1134" t="s">
        <v>369</v>
      </c>
      <c r="N1134" t="s">
        <v>970</v>
      </c>
      <c r="O1134" t="s">
        <v>378</v>
      </c>
      <c r="P1134" t="s">
        <v>465</v>
      </c>
      <c r="Q1134" t="s">
        <v>41</v>
      </c>
      <c r="R1134" t="s">
        <v>2174</v>
      </c>
      <c r="V1134">
        <v>0.72</v>
      </c>
      <c r="W1134" t="s">
        <v>24</v>
      </c>
      <c r="X1134" t="s">
        <v>3</v>
      </c>
      <c r="Z1134" s="4" t="str">
        <f t="shared" si="60"/>
        <v>Y</v>
      </c>
      <c r="AA1134" t="s">
        <v>2169</v>
      </c>
      <c r="AB1134" t="s">
        <v>2175</v>
      </c>
      <c r="AC1134" t="s">
        <v>2176</v>
      </c>
    </row>
    <row r="1135" spans="2:33" ht="17" x14ac:dyDescent="0.2">
      <c r="B1135" t="s">
        <v>1330</v>
      </c>
      <c r="C1135" t="s">
        <v>1918</v>
      </c>
      <c r="D1135" s="38" t="s">
        <v>2172</v>
      </c>
      <c r="E1135">
        <v>2010</v>
      </c>
      <c r="F1135" t="s">
        <v>2173</v>
      </c>
      <c r="G1135" t="s">
        <v>513</v>
      </c>
      <c r="H1135" s="13">
        <v>27.86</v>
      </c>
      <c r="I1135" s="13">
        <v>-80.45</v>
      </c>
      <c r="J1135" s="13">
        <v>1989</v>
      </c>
      <c r="K1135" s="13">
        <v>2008</v>
      </c>
      <c r="L1135" s="13">
        <f t="shared" ref="L1135" si="72">K1135-J1135+1</f>
        <v>20</v>
      </c>
      <c r="M1135" t="s">
        <v>369</v>
      </c>
      <c r="N1135" t="s">
        <v>970</v>
      </c>
      <c r="O1135" t="s">
        <v>378</v>
      </c>
      <c r="P1135" t="s">
        <v>43</v>
      </c>
      <c r="Q1135" s="73" t="s">
        <v>44</v>
      </c>
      <c r="R1135" t="s">
        <v>2174</v>
      </c>
      <c r="V1135">
        <v>0.73</v>
      </c>
      <c r="W1135" t="s">
        <v>24</v>
      </c>
      <c r="X1135" t="s">
        <v>3</v>
      </c>
      <c r="Z1135" s="4" t="str">
        <f t="shared" si="60"/>
        <v>Y</v>
      </c>
      <c r="AA1135" t="s">
        <v>2169</v>
      </c>
      <c r="AB1135" t="s">
        <v>2175</v>
      </c>
      <c r="AC1135" t="s">
        <v>2176</v>
      </c>
    </row>
    <row r="1136" spans="2:33" x14ac:dyDescent="0.2">
      <c r="B1136" t="s">
        <v>1330</v>
      </c>
      <c r="C1136" t="s">
        <v>1921</v>
      </c>
      <c r="D1136" s="38" t="s">
        <v>1919</v>
      </c>
      <c r="E1136">
        <v>2013</v>
      </c>
      <c r="F1136" t="s">
        <v>2002</v>
      </c>
      <c r="G1136" t="s">
        <v>513</v>
      </c>
      <c r="H1136" s="13">
        <v>26.8</v>
      </c>
      <c r="I1136" s="13">
        <v>-80</v>
      </c>
      <c r="J1136" s="13">
        <v>1980</v>
      </c>
      <c r="K1136" s="13">
        <v>2009</v>
      </c>
      <c r="L1136" s="13">
        <f t="shared" si="71"/>
        <v>30</v>
      </c>
      <c r="M1136" t="s">
        <v>369</v>
      </c>
      <c r="N1136" t="s">
        <v>970</v>
      </c>
      <c r="O1136" t="s">
        <v>378</v>
      </c>
      <c r="P1136" t="s">
        <v>465</v>
      </c>
      <c r="Q1136" t="s">
        <v>41</v>
      </c>
      <c r="R1136" t="s">
        <v>2177</v>
      </c>
      <c r="V1136" t="s">
        <v>165</v>
      </c>
      <c r="W1136" t="s">
        <v>3</v>
      </c>
      <c r="X1136" t="s">
        <v>3</v>
      </c>
      <c r="Z1136" s="4" t="str">
        <f t="shared" si="60"/>
        <v>Y</v>
      </c>
      <c r="AA1136" t="s">
        <v>2169</v>
      </c>
      <c r="AB1136" t="s">
        <v>2178</v>
      </c>
      <c r="AC1136" t="s">
        <v>2179</v>
      </c>
    </row>
    <row r="1137" spans="1:33" x14ac:dyDescent="0.2">
      <c r="B1137" t="s">
        <v>1330</v>
      </c>
      <c r="C1137" t="s">
        <v>1921</v>
      </c>
      <c r="D1137" s="38" t="s">
        <v>1919</v>
      </c>
      <c r="E1137">
        <v>2013</v>
      </c>
      <c r="F1137" t="s">
        <v>1922</v>
      </c>
      <c r="G1137" t="s">
        <v>513</v>
      </c>
      <c r="H1137" s="13">
        <v>36</v>
      </c>
      <c r="I1137" s="13">
        <v>27</v>
      </c>
      <c r="J1137" s="13">
        <v>1980</v>
      </c>
      <c r="K1137" s="13">
        <v>2009</v>
      </c>
      <c r="L1137" s="13">
        <f t="shared" si="71"/>
        <v>30</v>
      </c>
      <c r="M1137" t="s">
        <v>369</v>
      </c>
      <c r="N1137" t="s">
        <v>970</v>
      </c>
      <c r="O1137" t="s">
        <v>378</v>
      </c>
      <c r="P1137" t="s">
        <v>465</v>
      </c>
      <c r="Q1137" t="s">
        <v>41</v>
      </c>
      <c r="R1137" t="s">
        <v>2177</v>
      </c>
      <c r="V1137" t="s">
        <v>165</v>
      </c>
      <c r="W1137" t="s">
        <v>3</v>
      </c>
      <c r="X1137" t="s">
        <v>3</v>
      </c>
      <c r="Z1137" s="4" t="str">
        <f t="shared" si="60"/>
        <v>Y</v>
      </c>
      <c r="AA1137" t="s">
        <v>2169</v>
      </c>
      <c r="AB1137" t="s">
        <v>2178</v>
      </c>
      <c r="AC1137" t="s">
        <v>2179</v>
      </c>
    </row>
    <row r="1138" spans="1:33" x14ac:dyDescent="0.2">
      <c r="B1138" t="s">
        <v>1330</v>
      </c>
      <c r="C1138" t="s">
        <v>1926</v>
      </c>
      <c r="D1138" s="38" t="s">
        <v>1920</v>
      </c>
      <c r="E1138">
        <v>2009</v>
      </c>
      <c r="F1138" t="s">
        <v>1922</v>
      </c>
      <c r="G1138" t="s">
        <v>513</v>
      </c>
      <c r="H1138" s="13">
        <v>37.78</v>
      </c>
      <c r="I1138" s="13">
        <v>20.81</v>
      </c>
      <c r="J1138" s="13">
        <v>1980</v>
      </c>
      <c r="K1138" s="13">
        <v>2007</v>
      </c>
      <c r="L1138" s="13">
        <f t="shared" si="71"/>
        <v>28</v>
      </c>
      <c r="M1138" t="s">
        <v>369</v>
      </c>
      <c r="N1138" t="s">
        <v>970</v>
      </c>
      <c r="O1138" t="s">
        <v>378</v>
      </c>
      <c r="P1138" t="s">
        <v>465</v>
      </c>
      <c r="Q1138" t="s">
        <v>41</v>
      </c>
      <c r="R1138" t="s">
        <v>2186</v>
      </c>
      <c r="V1138">
        <v>-4.2</v>
      </c>
      <c r="W1138" t="s">
        <v>3</v>
      </c>
      <c r="X1138" t="s">
        <v>3</v>
      </c>
      <c r="Z1138" s="4" t="str">
        <f t="shared" si="60"/>
        <v>Y</v>
      </c>
      <c r="AA1138" t="s">
        <v>1544</v>
      </c>
      <c r="AB1138" t="s">
        <v>2187</v>
      </c>
      <c r="AC1138" t="s">
        <v>2188</v>
      </c>
    </row>
    <row r="1139" spans="1:33" x14ac:dyDescent="0.2">
      <c r="B1139" t="s">
        <v>1330</v>
      </c>
      <c r="C1139" t="s">
        <v>1927</v>
      </c>
      <c r="D1139" s="38" t="s">
        <v>2166</v>
      </c>
      <c r="E1139">
        <v>2014</v>
      </c>
      <c r="F1139" t="s">
        <v>2156</v>
      </c>
      <c r="G1139" t="s">
        <v>513</v>
      </c>
      <c r="H1139" s="13">
        <v>10.33</v>
      </c>
      <c r="I1139" s="13">
        <v>-85.85</v>
      </c>
      <c r="J1139" s="13">
        <v>1993</v>
      </c>
      <c r="K1139" s="13">
        <v>2012</v>
      </c>
      <c r="L1139" s="13">
        <f t="shared" si="71"/>
        <v>20</v>
      </c>
      <c r="M1139" t="s">
        <v>369</v>
      </c>
      <c r="N1139" t="s">
        <v>970</v>
      </c>
      <c r="O1139" t="s">
        <v>378</v>
      </c>
      <c r="P1139" t="s">
        <v>2003</v>
      </c>
      <c r="Q1139" t="s">
        <v>2004</v>
      </c>
      <c r="R1139" t="s">
        <v>2168</v>
      </c>
      <c r="V1139" t="s">
        <v>165</v>
      </c>
      <c r="W1139" t="s">
        <v>24</v>
      </c>
      <c r="X1139" t="s">
        <v>3</v>
      </c>
      <c r="Z1139" s="4" t="str">
        <f t="shared" si="60"/>
        <v>Y</v>
      </c>
      <c r="AA1139" t="s">
        <v>1544</v>
      </c>
      <c r="AB1139" t="s">
        <v>2171</v>
      </c>
      <c r="AC1139" t="s">
        <v>2170</v>
      </c>
    </row>
    <row r="1140" spans="1:33" x14ac:dyDescent="0.2">
      <c r="B1140" t="s">
        <v>1330</v>
      </c>
      <c r="C1140" t="s">
        <v>1927</v>
      </c>
      <c r="D1140" s="38" t="s">
        <v>2166</v>
      </c>
      <c r="E1140">
        <v>2014</v>
      </c>
      <c r="F1140" t="s">
        <v>2167</v>
      </c>
      <c r="G1140" t="s">
        <v>513</v>
      </c>
      <c r="H1140" s="13">
        <v>10.45</v>
      </c>
      <c r="I1140" s="13">
        <v>-83.43</v>
      </c>
      <c r="J1140" s="13">
        <v>2002</v>
      </c>
      <c r="K1140" s="13">
        <v>2010</v>
      </c>
      <c r="L1140" s="13">
        <f t="shared" si="71"/>
        <v>9</v>
      </c>
      <c r="M1140" t="s">
        <v>369</v>
      </c>
      <c r="N1140" t="s">
        <v>970</v>
      </c>
      <c r="O1140" t="s">
        <v>378</v>
      </c>
      <c r="P1140" t="s">
        <v>2003</v>
      </c>
      <c r="Q1140" t="s">
        <v>2004</v>
      </c>
      <c r="R1140" t="s">
        <v>2168</v>
      </c>
      <c r="V1140" t="s">
        <v>165</v>
      </c>
      <c r="W1140" t="s">
        <v>3</v>
      </c>
      <c r="X1140" t="s">
        <v>24</v>
      </c>
      <c r="Z1140" s="4" t="str">
        <f t="shared" si="60"/>
        <v>N</v>
      </c>
      <c r="AA1140" t="s">
        <v>2169</v>
      </c>
      <c r="AB1140" t="s">
        <v>2171</v>
      </c>
      <c r="AC1140" t="s">
        <v>2170</v>
      </c>
    </row>
    <row r="1141" spans="1:33" x14ac:dyDescent="0.2">
      <c r="B1141" t="s">
        <v>1330</v>
      </c>
      <c r="C1141" t="s">
        <v>1927</v>
      </c>
      <c r="D1141" s="38" t="s">
        <v>2166</v>
      </c>
      <c r="E1141">
        <v>2014</v>
      </c>
      <c r="F1141" t="s">
        <v>2157</v>
      </c>
      <c r="G1141" t="s">
        <v>513</v>
      </c>
      <c r="H1141" s="13">
        <v>17.670000000000002</v>
      </c>
      <c r="I1141" s="13">
        <v>-64.87</v>
      </c>
      <c r="J1141" s="13">
        <v>1983</v>
      </c>
      <c r="K1141" s="13">
        <v>2010</v>
      </c>
      <c r="L1141" s="13">
        <f t="shared" si="71"/>
        <v>28</v>
      </c>
      <c r="M1141" t="s">
        <v>369</v>
      </c>
      <c r="N1141" t="s">
        <v>970</v>
      </c>
      <c r="O1141" t="s">
        <v>378</v>
      </c>
      <c r="P1141" t="s">
        <v>2003</v>
      </c>
      <c r="Q1141" t="s">
        <v>2004</v>
      </c>
      <c r="R1141" t="s">
        <v>2168</v>
      </c>
      <c r="V1141" t="s">
        <v>165</v>
      </c>
      <c r="W1141" t="s">
        <v>24</v>
      </c>
      <c r="X1141" t="s">
        <v>3</v>
      </c>
      <c r="Z1141" s="4" t="str">
        <f t="shared" si="60"/>
        <v>Y</v>
      </c>
      <c r="AA1141" t="s">
        <v>1544</v>
      </c>
      <c r="AB1141" t="s">
        <v>2171</v>
      </c>
      <c r="AC1141" t="s">
        <v>2170</v>
      </c>
    </row>
    <row r="1142" spans="1:33" x14ac:dyDescent="0.2">
      <c r="B1142" t="s">
        <v>1330</v>
      </c>
      <c r="C1142" t="s">
        <v>1925</v>
      </c>
      <c r="D1142" s="38" t="s">
        <v>1924</v>
      </c>
      <c r="E1142" s="72">
        <v>2012</v>
      </c>
      <c r="F1142" t="s">
        <v>2164</v>
      </c>
      <c r="G1142" t="s">
        <v>1834</v>
      </c>
      <c r="H1142" s="13">
        <v>-15</v>
      </c>
      <c r="I1142" s="13">
        <v>47</v>
      </c>
      <c r="J1142" s="13">
        <v>1981</v>
      </c>
      <c r="K1142" s="13">
        <v>2010</v>
      </c>
      <c r="L1142" s="13">
        <f t="shared" si="71"/>
        <v>30</v>
      </c>
      <c r="M1142" t="s">
        <v>369</v>
      </c>
      <c r="N1142" t="s">
        <v>970</v>
      </c>
      <c r="O1142" t="s">
        <v>378</v>
      </c>
      <c r="P1142" t="s">
        <v>43</v>
      </c>
      <c r="Q1142" t="s">
        <v>44</v>
      </c>
      <c r="R1142" t="s">
        <v>2165</v>
      </c>
      <c r="V1142" t="s">
        <v>165</v>
      </c>
      <c r="W1142" t="s">
        <v>24</v>
      </c>
      <c r="X1142" t="s">
        <v>3</v>
      </c>
      <c r="Z1142" s="4" t="str">
        <f t="shared" si="60"/>
        <v>Y</v>
      </c>
      <c r="AA1142" t="s">
        <v>1544</v>
      </c>
      <c r="AB1142" t="s">
        <v>2162</v>
      </c>
      <c r="AC1142" t="s">
        <v>2163</v>
      </c>
    </row>
    <row r="1143" spans="1:33" x14ac:dyDescent="0.2">
      <c r="B1143" t="s">
        <v>1330</v>
      </c>
      <c r="D1143" s="38" t="s">
        <v>1929</v>
      </c>
      <c r="E1143">
        <v>2025</v>
      </c>
      <c r="F1143" s="58" t="s">
        <v>1949</v>
      </c>
      <c r="G1143" s="57" t="s">
        <v>513</v>
      </c>
      <c r="H1143">
        <v>51.5</v>
      </c>
      <c r="I1143" s="13">
        <v>-2.5</v>
      </c>
      <c r="J1143" s="13">
        <v>1999</v>
      </c>
      <c r="K1143" s="13">
        <v>2021</v>
      </c>
      <c r="L1143" s="13">
        <f t="shared" ref="L1143:L1162" si="73">K1143-J1143+1</f>
        <v>23</v>
      </c>
      <c r="M1143" t="s">
        <v>369</v>
      </c>
      <c r="N1143" t="s">
        <v>51</v>
      </c>
      <c r="O1143" t="s">
        <v>376</v>
      </c>
      <c r="P1143" t="s">
        <v>1947</v>
      </c>
      <c r="Q1143" t="s">
        <v>585</v>
      </c>
      <c r="R1143" t="s">
        <v>1948</v>
      </c>
      <c r="V1143">
        <v>7.29</v>
      </c>
      <c r="W1143" t="s">
        <v>24</v>
      </c>
      <c r="X1143" t="s">
        <v>3</v>
      </c>
      <c r="Z1143" s="4" t="str">
        <f t="shared" ref="Z1143:Z1173" si="74">IF(L1143&gt;=19,"Y","N")</f>
        <v>Y</v>
      </c>
      <c r="AA1143" t="s">
        <v>1121</v>
      </c>
      <c r="AB1143" t="s">
        <v>1951</v>
      </c>
      <c r="AC1143" t="s">
        <v>1950</v>
      </c>
    </row>
    <row r="1144" spans="1:33" x14ac:dyDescent="0.2">
      <c r="B1144" t="s">
        <v>1330</v>
      </c>
      <c r="C1144" t="s">
        <v>1331</v>
      </c>
      <c r="D1144" s="38" t="s">
        <v>1952</v>
      </c>
      <c r="E1144">
        <v>2024</v>
      </c>
      <c r="F1144" s="58" t="s">
        <v>103</v>
      </c>
      <c r="G1144" s="57" t="s">
        <v>513</v>
      </c>
      <c r="H1144" s="13">
        <v>53</v>
      </c>
      <c r="I1144" s="13">
        <v>4.79</v>
      </c>
      <c r="J1144" s="13">
        <v>1982</v>
      </c>
      <c r="K1144" s="13">
        <v>2021</v>
      </c>
      <c r="L1144" s="13">
        <f t="shared" si="73"/>
        <v>40</v>
      </c>
      <c r="M1144" t="s">
        <v>369</v>
      </c>
      <c r="N1144" t="s">
        <v>51</v>
      </c>
      <c r="O1144" t="s">
        <v>376</v>
      </c>
      <c r="P1144" t="s">
        <v>206</v>
      </c>
      <c r="Q1144" t="s">
        <v>585</v>
      </c>
      <c r="R1144" t="s">
        <v>1955</v>
      </c>
      <c r="V1144" t="s">
        <v>165</v>
      </c>
      <c r="W1144" t="s">
        <v>3</v>
      </c>
      <c r="X1144" t="s">
        <v>3</v>
      </c>
      <c r="Z1144" s="4" t="str">
        <f t="shared" si="74"/>
        <v>Y</v>
      </c>
      <c r="AA1144" t="s">
        <v>1121</v>
      </c>
      <c r="AB1144" t="s">
        <v>1953</v>
      </c>
      <c r="AC1144" t="s">
        <v>1954</v>
      </c>
    </row>
    <row r="1145" spans="1:33" x14ac:dyDescent="0.2">
      <c r="B1145" t="s">
        <v>1330</v>
      </c>
      <c r="C1145" t="s">
        <v>1957</v>
      </c>
      <c r="D1145" s="38" t="s">
        <v>1956</v>
      </c>
      <c r="E1145">
        <v>2024</v>
      </c>
      <c r="F1145" s="58" t="s">
        <v>1958</v>
      </c>
      <c r="G1145" s="57" t="s">
        <v>513</v>
      </c>
      <c r="H1145" s="13">
        <v>54.4</v>
      </c>
      <c r="I1145" s="13">
        <v>10.199999999999999</v>
      </c>
      <c r="J1145" s="13">
        <v>1971</v>
      </c>
      <c r="K1145" s="13">
        <v>2020</v>
      </c>
      <c r="L1145" s="13">
        <f t="shared" si="73"/>
        <v>50</v>
      </c>
      <c r="M1145" t="s">
        <v>369</v>
      </c>
      <c r="N1145" t="s">
        <v>51</v>
      </c>
      <c r="O1145" t="s">
        <v>376</v>
      </c>
      <c r="P1145" t="s">
        <v>206</v>
      </c>
      <c r="Q1145" t="s">
        <v>585</v>
      </c>
      <c r="R1145" t="s">
        <v>1960</v>
      </c>
      <c r="V1145">
        <v>-18.100000000000001</v>
      </c>
      <c r="W1145" t="s">
        <v>3</v>
      </c>
      <c r="X1145" t="s">
        <v>3</v>
      </c>
      <c r="Z1145" s="4" t="str">
        <f t="shared" si="74"/>
        <v>Y</v>
      </c>
      <c r="AA1145" t="s">
        <v>1121</v>
      </c>
      <c r="AB1145" t="s">
        <v>1963</v>
      </c>
      <c r="AC1145" t="s">
        <v>1959</v>
      </c>
    </row>
    <row r="1146" spans="1:33" x14ac:dyDescent="0.2">
      <c r="B1146" t="s">
        <v>1330</v>
      </c>
      <c r="C1146" t="s">
        <v>1961</v>
      </c>
      <c r="D1146" s="38" t="s">
        <v>1962</v>
      </c>
      <c r="E1146">
        <v>2022</v>
      </c>
      <c r="F1146" s="58" t="s">
        <v>1965</v>
      </c>
      <c r="G1146" s="57" t="s">
        <v>513</v>
      </c>
      <c r="H1146" s="13">
        <v>42.75</v>
      </c>
      <c r="I1146" s="13">
        <v>-70.930000000000007</v>
      </c>
      <c r="J1146" s="13">
        <v>1997</v>
      </c>
      <c r="K1146" s="13">
        <v>2017</v>
      </c>
      <c r="L1146" s="13">
        <f t="shared" si="73"/>
        <v>21</v>
      </c>
      <c r="M1146" t="s">
        <v>369</v>
      </c>
      <c r="N1146" t="s">
        <v>51</v>
      </c>
      <c r="O1146" t="s">
        <v>376</v>
      </c>
      <c r="P1146" t="s">
        <v>204</v>
      </c>
      <c r="Q1146" t="s">
        <v>1220</v>
      </c>
      <c r="R1146" t="s">
        <v>1977</v>
      </c>
      <c r="V1146">
        <v>7.11</v>
      </c>
      <c r="W1146" t="s">
        <v>24</v>
      </c>
      <c r="X1146" t="s">
        <v>3</v>
      </c>
      <c r="Z1146" s="4" t="str">
        <f t="shared" si="74"/>
        <v>Y</v>
      </c>
      <c r="AA1146" t="s">
        <v>1121</v>
      </c>
      <c r="AB1146" t="s">
        <v>1963</v>
      </c>
      <c r="AC1146" t="s">
        <v>1978</v>
      </c>
    </row>
    <row r="1147" spans="1:33" x14ac:dyDescent="0.2">
      <c r="B1147" t="s">
        <v>1330</v>
      </c>
      <c r="C1147" t="s">
        <v>1961</v>
      </c>
      <c r="D1147" s="38" t="s">
        <v>1962</v>
      </c>
      <c r="E1147">
        <v>2022</v>
      </c>
      <c r="F1147" s="58" t="s">
        <v>1966</v>
      </c>
      <c r="G1147" s="57" t="s">
        <v>513</v>
      </c>
      <c r="H1147" s="13">
        <v>42.68</v>
      </c>
      <c r="I1147" s="13">
        <v>-70.84</v>
      </c>
      <c r="J1147" s="13">
        <v>1997</v>
      </c>
      <c r="K1147" s="13">
        <v>2017</v>
      </c>
      <c r="L1147" s="13">
        <f t="shared" si="73"/>
        <v>21</v>
      </c>
      <c r="M1147" t="s">
        <v>369</v>
      </c>
      <c r="N1147" t="s">
        <v>51</v>
      </c>
      <c r="O1147" t="s">
        <v>376</v>
      </c>
      <c r="P1147" t="s">
        <v>204</v>
      </c>
      <c r="Q1147" t="s">
        <v>1220</v>
      </c>
      <c r="R1147" t="s">
        <v>1977</v>
      </c>
      <c r="V1147">
        <v>-3.05</v>
      </c>
      <c r="W1147" t="s">
        <v>3</v>
      </c>
      <c r="X1147" t="s">
        <v>3</v>
      </c>
      <c r="Z1147" s="4" t="str">
        <f t="shared" si="74"/>
        <v>Y</v>
      </c>
      <c r="AA1147" t="s">
        <v>1121</v>
      </c>
      <c r="AB1147" t="s">
        <v>1963</v>
      </c>
      <c r="AC1147" t="s">
        <v>1978</v>
      </c>
    </row>
    <row r="1148" spans="1:33" x14ac:dyDescent="0.2">
      <c r="B1148" t="s">
        <v>1330</v>
      </c>
      <c r="C1148" t="s">
        <v>1961</v>
      </c>
      <c r="D1148" s="38" t="s">
        <v>1962</v>
      </c>
      <c r="E1148">
        <v>2022</v>
      </c>
      <c r="F1148" s="58" t="s">
        <v>1967</v>
      </c>
      <c r="G1148" s="57" t="s">
        <v>513</v>
      </c>
      <c r="H1148" s="13">
        <v>42.61</v>
      </c>
      <c r="I1148" s="13">
        <v>-70.709999999999994</v>
      </c>
      <c r="J1148" s="13">
        <v>2000</v>
      </c>
      <c r="K1148" s="13">
        <v>2017</v>
      </c>
      <c r="L1148" s="13">
        <f t="shared" si="73"/>
        <v>18</v>
      </c>
      <c r="M1148" t="s">
        <v>369</v>
      </c>
      <c r="N1148" t="s">
        <v>51</v>
      </c>
      <c r="O1148" t="s">
        <v>376</v>
      </c>
      <c r="P1148" t="s">
        <v>204</v>
      </c>
      <c r="Q1148" t="s">
        <v>1220</v>
      </c>
      <c r="R1148" t="s">
        <v>1977</v>
      </c>
      <c r="V1148">
        <v>-7.3</v>
      </c>
      <c r="W1148" t="s">
        <v>3</v>
      </c>
      <c r="X1148" t="s">
        <v>3</v>
      </c>
      <c r="Z1148" s="4" t="str">
        <f t="shared" si="74"/>
        <v>N</v>
      </c>
      <c r="AA1148" t="s">
        <v>1121</v>
      </c>
      <c r="AB1148" t="s">
        <v>1963</v>
      </c>
      <c r="AC1148" t="s">
        <v>1978</v>
      </c>
    </row>
    <row r="1149" spans="1:33" s="4" customFormat="1" x14ac:dyDescent="0.2">
      <c r="A1149"/>
      <c r="B1149" t="s">
        <v>1330</v>
      </c>
      <c r="C1149" t="s">
        <v>1961</v>
      </c>
      <c r="D1149" s="38" t="s">
        <v>1962</v>
      </c>
      <c r="E1149">
        <v>2022</v>
      </c>
      <c r="F1149" s="59" t="s">
        <v>1968</v>
      </c>
      <c r="G1149" s="60" t="s">
        <v>513</v>
      </c>
      <c r="H1149" s="37">
        <v>41.99</v>
      </c>
      <c r="I1149" s="37">
        <v>-70.73</v>
      </c>
      <c r="J1149" s="37">
        <v>2005</v>
      </c>
      <c r="K1149" s="37">
        <v>2017</v>
      </c>
      <c r="L1149" s="37">
        <f t="shared" si="73"/>
        <v>13</v>
      </c>
      <c r="M1149" t="s">
        <v>369</v>
      </c>
      <c r="N1149" t="s">
        <v>51</v>
      </c>
      <c r="O1149" t="s">
        <v>376</v>
      </c>
      <c r="P1149" t="s">
        <v>204</v>
      </c>
      <c r="Q1149" t="s">
        <v>1220</v>
      </c>
      <c r="R1149" t="s">
        <v>1977</v>
      </c>
      <c r="S1149"/>
      <c r="T1149"/>
      <c r="U1149"/>
      <c r="V1149" s="4">
        <v>0.11</v>
      </c>
      <c r="W1149" s="4" t="s">
        <v>24</v>
      </c>
      <c r="X1149" s="4" t="s">
        <v>24</v>
      </c>
      <c r="Y1149"/>
      <c r="Z1149" s="4" t="str">
        <f t="shared" si="74"/>
        <v>N</v>
      </c>
      <c r="AA1149" t="s">
        <v>1121</v>
      </c>
      <c r="AB1149" t="s">
        <v>1963</v>
      </c>
      <c r="AC1149" t="s">
        <v>1978</v>
      </c>
      <c r="AD1149"/>
      <c r="AE1149"/>
      <c r="AF1149"/>
      <c r="AG1149"/>
    </row>
    <row r="1150" spans="1:33" s="4" customFormat="1" x14ac:dyDescent="0.2">
      <c r="A1150"/>
      <c r="B1150" t="s">
        <v>1330</v>
      </c>
      <c r="C1150" t="s">
        <v>1961</v>
      </c>
      <c r="D1150" s="38" t="s">
        <v>1962</v>
      </c>
      <c r="E1150">
        <v>2022</v>
      </c>
      <c r="F1150" s="59" t="s">
        <v>1969</v>
      </c>
      <c r="G1150" s="60" t="s">
        <v>513</v>
      </c>
      <c r="H1150" s="37">
        <v>41.95</v>
      </c>
      <c r="I1150" s="37">
        <v>-70.67</v>
      </c>
      <c r="J1150" s="37">
        <v>2010</v>
      </c>
      <c r="K1150" s="37">
        <v>2017</v>
      </c>
      <c r="L1150" s="37">
        <f t="shared" si="73"/>
        <v>8</v>
      </c>
      <c r="M1150" t="s">
        <v>369</v>
      </c>
      <c r="N1150" t="s">
        <v>51</v>
      </c>
      <c r="O1150" t="s">
        <v>376</v>
      </c>
      <c r="P1150" t="s">
        <v>204</v>
      </c>
      <c r="Q1150" t="s">
        <v>1220</v>
      </c>
      <c r="R1150" t="s">
        <v>1977</v>
      </c>
      <c r="S1150"/>
      <c r="T1150"/>
      <c r="U1150"/>
      <c r="V1150" s="4">
        <v>12.99</v>
      </c>
      <c r="W1150" s="4" t="s">
        <v>24</v>
      </c>
      <c r="X1150" s="4" t="s">
        <v>24</v>
      </c>
      <c r="Y1150"/>
      <c r="Z1150" s="4" t="str">
        <f t="shared" si="74"/>
        <v>N</v>
      </c>
      <c r="AA1150" t="s">
        <v>1121</v>
      </c>
      <c r="AB1150" t="s">
        <v>1963</v>
      </c>
      <c r="AC1150" t="s">
        <v>1978</v>
      </c>
      <c r="AD1150"/>
      <c r="AE1150"/>
      <c r="AF1150"/>
      <c r="AG1150"/>
    </row>
    <row r="1151" spans="1:33" x14ac:dyDescent="0.2">
      <c r="B1151" t="s">
        <v>1330</v>
      </c>
      <c r="C1151" t="s">
        <v>1961</v>
      </c>
      <c r="D1151" s="38" t="s">
        <v>1962</v>
      </c>
      <c r="E1151">
        <v>2022</v>
      </c>
      <c r="F1151" s="58" t="s">
        <v>1970</v>
      </c>
      <c r="G1151" s="57" t="s">
        <v>513</v>
      </c>
      <c r="H1151" s="13">
        <v>41.89</v>
      </c>
      <c r="I1151" s="13">
        <v>-70.900000000000006</v>
      </c>
      <c r="J1151" s="13">
        <v>1988</v>
      </c>
      <c r="K1151" s="13">
        <v>2017</v>
      </c>
      <c r="L1151" s="13">
        <f t="shared" si="73"/>
        <v>30</v>
      </c>
      <c r="M1151" t="s">
        <v>369</v>
      </c>
      <c r="N1151" t="s">
        <v>51</v>
      </c>
      <c r="O1151" t="s">
        <v>376</v>
      </c>
      <c r="P1151" t="s">
        <v>204</v>
      </c>
      <c r="Q1151" t="s">
        <v>1220</v>
      </c>
      <c r="R1151" t="s">
        <v>1977</v>
      </c>
      <c r="V1151">
        <v>-1.016</v>
      </c>
      <c r="W1151" t="s">
        <v>3</v>
      </c>
      <c r="X1151" t="s">
        <v>3</v>
      </c>
      <c r="Z1151" s="4" t="str">
        <f t="shared" si="74"/>
        <v>Y</v>
      </c>
      <c r="AA1151" t="s">
        <v>1121</v>
      </c>
      <c r="AB1151" t="s">
        <v>1963</v>
      </c>
      <c r="AC1151" t="s">
        <v>1978</v>
      </c>
    </row>
    <row r="1152" spans="1:33" s="4" customFormat="1" x14ac:dyDescent="0.2">
      <c r="A1152"/>
      <c r="B1152" t="s">
        <v>1330</v>
      </c>
      <c r="C1152" t="s">
        <v>1961</v>
      </c>
      <c r="D1152" s="38" t="s">
        <v>1962</v>
      </c>
      <c r="E1152">
        <v>2022</v>
      </c>
      <c r="F1152" s="59" t="s">
        <v>1971</v>
      </c>
      <c r="G1152" s="60" t="s">
        <v>513</v>
      </c>
      <c r="H1152" s="37">
        <v>41.73</v>
      </c>
      <c r="I1152" s="37">
        <v>-70.91</v>
      </c>
      <c r="J1152" s="37">
        <v>2005</v>
      </c>
      <c r="K1152" s="37">
        <v>2017</v>
      </c>
      <c r="L1152" s="37">
        <f t="shared" si="73"/>
        <v>13</v>
      </c>
      <c r="M1152" t="s">
        <v>369</v>
      </c>
      <c r="N1152" t="s">
        <v>51</v>
      </c>
      <c r="O1152" t="s">
        <v>376</v>
      </c>
      <c r="P1152" t="s">
        <v>204</v>
      </c>
      <c r="Q1152" t="s">
        <v>1220</v>
      </c>
      <c r="R1152" t="s">
        <v>1977</v>
      </c>
      <c r="S1152"/>
      <c r="T1152"/>
      <c r="U1152"/>
      <c r="V1152" s="4">
        <v>-20.9</v>
      </c>
      <c r="W1152" s="4" t="s">
        <v>24</v>
      </c>
      <c r="X1152" s="4" t="s">
        <v>24</v>
      </c>
      <c r="Y1152"/>
      <c r="Z1152" s="4" t="str">
        <f t="shared" si="74"/>
        <v>N</v>
      </c>
      <c r="AA1152" t="s">
        <v>1121</v>
      </c>
      <c r="AB1152" t="s">
        <v>1963</v>
      </c>
      <c r="AC1152" t="s">
        <v>1978</v>
      </c>
      <c r="AD1152"/>
      <c r="AE1152"/>
      <c r="AF1152"/>
      <c r="AG1152"/>
    </row>
    <row r="1153" spans="1:33" s="4" customFormat="1" x14ac:dyDescent="0.2">
      <c r="A1153"/>
      <c r="B1153" t="s">
        <v>1330</v>
      </c>
      <c r="C1153" t="s">
        <v>1961</v>
      </c>
      <c r="D1153" s="38" t="s">
        <v>1962</v>
      </c>
      <c r="E1153">
        <v>2022</v>
      </c>
      <c r="F1153" s="59" t="s">
        <v>1972</v>
      </c>
      <c r="G1153" s="60" t="s">
        <v>513</v>
      </c>
      <c r="H1153" s="37">
        <v>41.76</v>
      </c>
      <c r="I1153" s="37">
        <v>-70.680000000000007</v>
      </c>
      <c r="J1153" s="37">
        <v>2006</v>
      </c>
      <c r="K1153" s="37">
        <v>2017</v>
      </c>
      <c r="L1153" s="37">
        <f t="shared" si="73"/>
        <v>12</v>
      </c>
      <c r="M1153" t="s">
        <v>369</v>
      </c>
      <c r="N1153" t="s">
        <v>51</v>
      </c>
      <c r="O1153" t="s">
        <v>376</v>
      </c>
      <c r="P1153" t="s">
        <v>204</v>
      </c>
      <c r="Q1153" t="s">
        <v>1220</v>
      </c>
      <c r="R1153" t="s">
        <v>1977</v>
      </c>
      <c r="S1153"/>
      <c r="T1153"/>
      <c r="U1153"/>
      <c r="V1153" s="4">
        <v>-4.63</v>
      </c>
      <c r="W1153" s="4" t="s">
        <v>24</v>
      </c>
      <c r="X1153" s="4" t="s">
        <v>24</v>
      </c>
      <c r="Y1153"/>
      <c r="Z1153" s="4" t="str">
        <f t="shared" si="74"/>
        <v>N</v>
      </c>
      <c r="AA1153" t="s">
        <v>1121</v>
      </c>
      <c r="AB1153" t="s">
        <v>1963</v>
      </c>
      <c r="AC1153" t="s">
        <v>1978</v>
      </c>
      <c r="AD1153"/>
      <c r="AE1153"/>
      <c r="AF1153"/>
      <c r="AG1153"/>
    </row>
    <row r="1154" spans="1:33" x14ac:dyDescent="0.2">
      <c r="B1154" t="s">
        <v>1330</v>
      </c>
      <c r="C1154" t="s">
        <v>1961</v>
      </c>
      <c r="D1154" s="38" t="s">
        <v>1962</v>
      </c>
      <c r="E1154">
        <v>2022</v>
      </c>
      <c r="F1154" s="58" t="s">
        <v>1973</v>
      </c>
      <c r="G1154" s="57" t="s">
        <v>513</v>
      </c>
      <c r="H1154" s="13">
        <v>41.77</v>
      </c>
      <c r="I1154" s="13">
        <v>-70.56</v>
      </c>
      <c r="J1154" s="13">
        <v>1990</v>
      </c>
      <c r="K1154" s="13">
        <v>2017</v>
      </c>
      <c r="L1154" s="13">
        <f t="shared" si="73"/>
        <v>28</v>
      </c>
      <c r="M1154" t="s">
        <v>369</v>
      </c>
      <c r="N1154" t="s">
        <v>51</v>
      </c>
      <c r="O1154" t="s">
        <v>376</v>
      </c>
      <c r="P1154" t="s">
        <v>204</v>
      </c>
      <c r="Q1154" t="s">
        <v>1220</v>
      </c>
      <c r="R1154" t="s">
        <v>1977</v>
      </c>
      <c r="V1154">
        <v>1.92</v>
      </c>
      <c r="W1154" t="s">
        <v>24</v>
      </c>
      <c r="X1154" s="4" t="s">
        <v>3</v>
      </c>
      <c r="Z1154" s="4" t="str">
        <f t="shared" si="74"/>
        <v>Y</v>
      </c>
      <c r="AA1154" t="s">
        <v>1121</v>
      </c>
      <c r="AB1154" t="s">
        <v>1963</v>
      </c>
      <c r="AC1154" t="s">
        <v>1978</v>
      </c>
    </row>
    <row r="1155" spans="1:33" s="4" customFormat="1" x14ac:dyDescent="0.2">
      <c r="A1155"/>
      <c r="B1155" t="s">
        <v>1330</v>
      </c>
      <c r="C1155" t="s">
        <v>1961</v>
      </c>
      <c r="D1155" s="38" t="s">
        <v>1962</v>
      </c>
      <c r="E1155">
        <v>2022</v>
      </c>
      <c r="F1155" s="59" t="s">
        <v>1974</v>
      </c>
      <c r="G1155" s="60" t="s">
        <v>513</v>
      </c>
      <c r="H1155" s="37">
        <v>41.74</v>
      </c>
      <c r="I1155" s="37">
        <v>-70.11</v>
      </c>
      <c r="J1155" s="37">
        <v>2007</v>
      </c>
      <c r="K1155" s="37">
        <v>2017</v>
      </c>
      <c r="L1155" s="37">
        <f t="shared" si="73"/>
        <v>11</v>
      </c>
      <c r="M1155" t="s">
        <v>369</v>
      </c>
      <c r="N1155" t="s">
        <v>51</v>
      </c>
      <c r="O1155" t="s">
        <v>376</v>
      </c>
      <c r="P1155" t="s">
        <v>204</v>
      </c>
      <c r="Q1155" t="s">
        <v>1220</v>
      </c>
      <c r="R1155" t="s">
        <v>1977</v>
      </c>
      <c r="S1155"/>
      <c r="T1155"/>
      <c r="U1155"/>
      <c r="V1155" s="4">
        <v>-8.1999999999999993</v>
      </c>
      <c r="W1155" s="4" t="s">
        <v>3</v>
      </c>
      <c r="X1155" s="4" t="s">
        <v>24</v>
      </c>
      <c r="Y1155"/>
      <c r="Z1155" s="4" t="str">
        <f t="shared" si="74"/>
        <v>N</v>
      </c>
      <c r="AA1155" t="s">
        <v>1121</v>
      </c>
      <c r="AB1155" t="s">
        <v>1963</v>
      </c>
      <c r="AC1155" t="s">
        <v>1978</v>
      </c>
      <c r="AD1155"/>
      <c r="AE1155"/>
      <c r="AF1155"/>
      <c r="AG1155"/>
    </row>
    <row r="1156" spans="1:33" s="4" customFormat="1" x14ac:dyDescent="0.2">
      <c r="A1156"/>
      <c r="B1156" t="s">
        <v>1330</v>
      </c>
      <c r="C1156" t="s">
        <v>1961</v>
      </c>
      <c r="D1156" s="38" t="s">
        <v>1962</v>
      </c>
      <c r="E1156">
        <v>2022</v>
      </c>
      <c r="F1156" s="59" t="s">
        <v>1975</v>
      </c>
      <c r="G1156" s="60" t="s">
        <v>513</v>
      </c>
      <c r="H1156" s="37">
        <v>41.71</v>
      </c>
      <c r="I1156" s="37">
        <v>-70.099999999999994</v>
      </c>
      <c r="J1156" s="37">
        <v>2009</v>
      </c>
      <c r="K1156" s="37">
        <v>2017</v>
      </c>
      <c r="L1156" s="37">
        <f t="shared" si="73"/>
        <v>9</v>
      </c>
      <c r="M1156" t="s">
        <v>369</v>
      </c>
      <c r="N1156" t="s">
        <v>51</v>
      </c>
      <c r="O1156" t="s">
        <v>376</v>
      </c>
      <c r="P1156" t="s">
        <v>204</v>
      </c>
      <c r="Q1156" t="s">
        <v>1220</v>
      </c>
      <c r="R1156" t="s">
        <v>1977</v>
      </c>
      <c r="S1156"/>
      <c r="T1156"/>
      <c r="U1156"/>
      <c r="V1156" s="4">
        <v>2.82</v>
      </c>
      <c r="W1156" s="4" t="s">
        <v>24</v>
      </c>
      <c r="X1156" s="4" t="s">
        <v>24</v>
      </c>
      <c r="Y1156"/>
      <c r="Z1156" s="4" t="str">
        <f t="shared" si="74"/>
        <v>N</v>
      </c>
      <c r="AA1156" t="s">
        <v>1121</v>
      </c>
      <c r="AB1156" t="s">
        <v>1963</v>
      </c>
      <c r="AC1156" t="s">
        <v>1978</v>
      </c>
      <c r="AD1156"/>
      <c r="AE1156"/>
      <c r="AF1156"/>
      <c r="AG1156"/>
    </row>
    <row r="1157" spans="1:33" s="4" customFormat="1" x14ac:dyDescent="0.2">
      <c r="A1157"/>
      <c r="B1157" t="s">
        <v>1330</v>
      </c>
      <c r="C1157" t="s">
        <v>1961</v>
      </c>
      <c r="D1157" s="38" t="s">
        <v>1962</v>
      </c>
      <c r="E1157">
        <v>2022</v>
      </c>
      <c r="F1157" s="59" t="s">
        <v>1976</v>
      </c>
      <c r="G1157" s="60" t="s">
        <v>513</v>
      </c>
      <c r="H1157" s="37">
        <v>41.65</v>
      </c>
      <c r="I1157" s="37">
        <v>-70.42</v>
      </c>
      <c r="J1157" s="37">
        <v>2006</v>
      </c>
      <c r="K1157" s="37">
        <v>2017</v>
      </c>
      <c r="L1157" s="37">
        <f t="shared" si="73"/>
        <v>12</v>
      </c>
      <c r="M1157" t="s">
        <v>369</v>
      </c>
      <c r="N1157" t="s">
        <v>51</v>
      </c>
      <c r="O1157" t="s">
        <v>376</v>
      </c>
      <c r="P1157" t="s">
        <v>204</v>
      </c>
      <c r="Q1157" t="s">
        <v>1220</v>
      </c>
      <c r="R1157" t="s">
        <v>1977</v>
      </c>
      <c r="S1157"/>
      <c r="T1157"/>
      <c r="U1157"/>
      <c r="V1157" s="4">
        <v>0.56000000000000005</v>
      </c>
      <c r="W1157" s="4" t="s">
        <v>24</v>
      </c>
      <c r="X1157" s="4" t="s">
        <v>24</v>
      </c>
      <c r="Y1157"/>
      <c r="Z1157" s="4" t="str">
        <f t="shared" si="74"/>
        <v>N</v>
      </c>
      <c r="AA1157" t="s">
        <v>1121</v>
      </c>
      <c r="AB1157" t="s">
        <v>1963</v>
      </c>
      <c r="AC1157" t="s">
        <v>1978</v>
      </c>
      <c r="AD1157"/>
      <c r="AE1157"/>
      <c r="AF1157"/>
      <c r="AG1157"/>
    </row>
    <row r="1158" spans="1:33" x14ac:dyDescent="0.2">
      <c r="B1158" t="s">
        <v>1330</v>
      </c>
      <c r="C1158" t="s">
        <v>1980</v>
      </c>
      <c r="D1158" s="38" t="s">
        <v>1979</v>
      </c>
      <c r="E1158">
        <v>2025</v>
      </c>
      <c r="F1158" s="58" t="s">
        <v>1981</v>
      </c>
      <c r="G1158" s="61" t="s">
        <v>513</v>
      </c>
      <c r="H1158" s="13">
        <v>43.38</v>
      </c>
      <c r="I1158" s="13">
        <v>-1.669</v>
      </c>
      <c r="J1158" s="13">
        <v>1984</v>
      </c>
      <c r="K1158" s="13">
        <v>2022</v>
      </c>
      <c r="L1158" s="13">
        <f t="shared" si="73"/>
        <v>39</v>
      </c>
      <c r="M1158" t="s">
        <v>369</v>
      </c>
      <c r="N1158" t="s">
        <v>51</v>
      </c>
      <c r="O1158" t="s">
        <v>376</v>
      </c>
      <c r="P1158" t="s">
        <v>1986</v>
      </c>
      <c r="Q1158" t="s">
        <v>1987</v>
      </c>
      <c r="R1158" t="s">
        <v>1988</v>
      </c>
      <c r="S1158" t="s">
        <v>1988</v>
      </c>
      <c r="T1158" t="s">
        <v>1988</v>
      </c>
      <c r="U1158" t="s">
        <v>1988</v>
      </c>
      <c r="V1158">
        <v>-6.7</v>
      </c>
      <c r="W1158" t="s">
        <v>3</v>
      </c>
      <c r="X1158" t="s">
        <v>3</v>
      </c>
      <c r="Z1158" s="4" t="str">
        <f t="shared" si="74"/>
        <v>Y</v>
      </c>
      <c r="AA1158" t="s">
        <v>1121</v>
      </c>
      <c r="AB1158" t="s">
        <v>1963</v>
      </c>
      <c r="AC1158" t="s">
        <v>1989</v>
      </c>
    </row>
    <row r="1159" spans="1:33" x14ac:dyDescent="0.2">
      <c r="B1159" t="s">
        <v>1330</v>
      </c>
      <c r="C1159" t="s">
        <v>1980</v>
      </c>
      <c r="D1159" s="38" t="s">
        <v>1979</v>
      </c>
      <c r="E1159">
        <v>2025</v>
      </c>
      <c r="F1159" s="58" t="s">
        <v>1982</v>
      </c>
      <c r="G1159" s="61" t="s">
        <v>513</v>
      </c>
      <c r="H1159" s="13">
        <v>44.99</v>
      </c>
      <c r="I1159" s="13">
        <v>-0.55000000000000004</v>
      </c>
      <c r="J1159" s="13">
        <v>1986</v>
      </c>
      <c r="K1159" s="13">
        <v>2007</v>
      </c>
      <c r="L1159" s="13">
        <f t="shared" si="73"/>
        <v>22</v>
      </c>
      <c r="M1159" t="s">
        <v>369</v>
      </c>
      <c r="N1159" t="s">
        <v>51</v>
      </c>
      <c r="O1159" t="s">
        <v>376</v>
      </c>
      <c r="P1159" t="s">
        <v>1986</v>
      </c>
      <c r="Q1159" t="s">
        <v>1987</v>
      </c>
      <c r="R1159" t="s">
        <v>1988</v>
      </c>
      <c r="V1159">
        <v>-4.0999999999999996</v>
      </c>
      <c r="W1159" t="s">
        <v>3</v>
      </c>
      <c r="X1159" t="s">
        <v>3</v>
      </c>
      <c r="Z1159" s="4" t="str">
        <f t="shared" si="74"/>
        <v>Y</v>
      </c>
      <c r="AA1159" t="s">
        <v>1121</v>
      </c>
      <c r="AB1159" t="s">
        <v>1963</v>
      </c>
      <c r="AC1159" t="s">
        <v>1989</v>
      </c>
    </row>
    <row r="1160" spans="1:33" x14ac:dyDescent="0.2">
      <c r="B1160" t="s">
        <v>1330</v>
      </c>
      <c r="C1160" t="s">
        <v>1980</v>
      </c>
      <c r="D1160" s="38" t="s">
        <v>1979</v>
      </c>
      <c r="E1160">
        <v>2025</v>
      </c>
      <c r="F1160" s="58" t="s">
        <v>1983</v>
      </c>
      <c r="G1160" s="61" t="s">
        <v>513</v>
      </c>
      <c r="H1160" s="13">
        <v>44.99</v>
      </c>
      <c r="I1160" s="13">
        <v>-0.55000000000000004</v>
      </c>
      <c r="J1160" s="13">
        <v>1986</v>
      </c>
      <c r="K1160" s="13">
        <v>2007</v>
      </c>
      <c r="L1160" s="13">
        <f t="shared" si="73"/>
        <v>22</v>
      </c>
      <c r="M1160" t="s">
        <v>369</v>
      </c>
      <c r="N1160" t="s">
        <v>51</v>
      </c>
      <c r="O1160" t="s">
        <v>376</v>
      </c>
      <c r="P1160" t="s">
        <v>1986</v>
      </c>
      <c r="Q1160" t="s">
        <v>1987</v>
      </c>
      <c r="R1160" t="s">
        <v>1988</v>
      </c>
      <c r="V1160">
        <v>-5.5</v>
      </c>
      <c r="W1160" t="s">
        <v>3</v>
      </c>
      <c r="X1160" t="s">
        <v>3</v>
      </c>
      <c r="Z1160" s="4" t="str">
        <f t="shared" si="74"/>
        <v>Y</v>
      </c>
      <c r="AA1160" t="s">
        <v>1121</v>
      </c>
      <c r="AB1160" t="s">
        <v>1963</v>
      </c>
      <c r="AC1160" t="s">
        <v>1989</v>
      </c>
    </row>
    <row r="1161" spans="1:33" x14ac:dyDescent="0.2">
      <c r="B1161" t="s">
        <v>1330</v>
      </c>
      <c r="C1161" t="s">
        <v>1980</v>
      </c>
      <c r="D1161" s="38" t="s">
        <v>1979</v>
      </c>
      <c r="E1161">
        <v>2025</v>
      </c>
      <c r="F1161" s="58" t="s">
        <v>1984</v>
      </c>
      <c r="G1161" s="61" t="s">
        <v>513</v>
      </c>
      <c r="H1161" s="13">
        <v>48.29</v>
      </c>
      <c r="I1161" s="13">
        <v>-4.2699999999999996</v>
      </c>
      <c r="J1161" s="13">
        <v>2001</v>
      </c>
      <c r="K1161" s="13">
        <v>2022</v>
      </c>
      <c r="L1161" s="13">
        <f t="shared" si="73"/>
        <v>22</v>
      </c>
      <c r="M1161" t="s">
        <v>369</v>
      </c>
      <c r="N1161" t="s">
        <v>51</v>
      </c>
      <c r="O1161" t="s">
        <v>376</v>
      </c>
      <c r="P1161" t="s">
        <v>1986</v>
      </c>
      <c r="Q1161" t="s">
        <v>1987</v>
      </c>
      <c r="R1161" t="s">
        <v>1988</v>
      </c>
      <c r="V1161">
        <v>-6.4</v>
      </c>
      <c r="W1161" t="s">
        <v>3</v>
      </c>
      <c r="X1161" t="s">
        <v>3</v>
      </c>
      <c r="Z1161" s="4" t="str">
        <f t="shared" si="74"/>
        <v>Y</v>
      </c>
      <c r="AA1161" t="s">
        <v>1121</v>
      </c>
      <c r="AB1161" t="s">
        <v>1963</v>
      </c>
      <c r="AC1161" t="s">
        <v>1989</v>
      </c>
    </row>
    <row r="1162" spans="1:33" x14ac:dyDescent="0.2">
      <c r="B1162" t="s">
        <v>1330</v>
      </c>
      <c r="C1162" t="s">
        <v>1980</v>
      </c>
      <c r="D1162" s="38" t="s">
        <v>1979</v>
      </c>
      <c r="E1162">
        <v>2025</v>
      </c>
      <c r="F1162" s="58" t="s">
        <v>1985</v>
      </c>
      <c r="G1162" s="61" t="s">
        <v>513</v>
      </c>
      <c r="H1162" s="13">
        <v>49.35</v>
      </c>
      <c r="I1162" s="13">
        <v>-1.1200000000000001</v>
      </c>
      <c r="J1162" s="13">
        <v>2002</v>
      </c>
      <c r="K1162" s="13">
        <v>2021</v>
      </c>
      <c r="L1162" s="13">
        <f t="shared" si="73"/>
        <v>20</v>
      </c>
      <c r="M1162" t="s">
        <v>369</v>
      </c>
      <c r="N1162" t="s">
        <v>51</v>
      </c>
      <c r="O1162" t="s">
        <v>376</v>
      </c>
      <c r="P1162" t="s">
        <v>1986</v>
      </c>
      <c r="Q1162" t="s">
        <v>1987</v>
      </c>
      <c r="R1162" t="s">
        <v>1988</v>
      </c>
      <c r="V1162" t="s">
        <v>165</v>
      </c>
      <c r="W1162" t="s">
        <v>24</v>
      </c>
      <c r="X1162" t="s">
        <v>3</v>
      </c>
      <c r="Z1162" s="4" t="str">
        <f t="shared" si="74"/>
        <v>Y</v>
      </c>
      <c r="AA1162" t="s">
        <v>1121</v>
      </c>
      <c r="AB1162" t="s">
        <v>1963</v>
      </c>
      <c r="AC1162" t="s">
        <v>1989</v>
      </c>
    </row>
    <row r="1163" spans="1:33" x14ac:dyDescent="0.2">
      <c r="F1163" s="58"/>
      <c r="H1163"/>
      <c r="M1163" s="13"/>
    </row>
    <row r="1164" spans="1:33" x14ac:dyDescent="0.2">
      <c r="C1164" t="s">
        <v>1331</v>
      </c>
      <c r="D1164" s="38"/>
      <c r="F1164" s="58"/>
      <c r="H1164"/>
      <c r="M1164" s="13"/>
      <c r="Z1164" s="4" t="str">
        <f t="shared" si="74"/>
        <v>N</v>
      </c>
    </row>
    <row r="1165" spans="1:33" x14ac:dyDescent="0.2">
      <c r="D1165" s="38"/>
      <c r="F1165" s="58"/>
      <c r="H1165"/>
      <c r="M1165" s="13"/>
      <c r="Z1165" s="4" t="str">
        <f t="shared" si="74"/>
        <v>N</v>
      </c>
    </row>
    <row r="1166" spans="1:33" x14ac:dyDescent="0.2">
      <c r="D1166" s="38"/>
      <c r="F1166" s="58"/>
      <c r="H1166"/>
      <c r="M1166" s="13"/>
      <c r="Z1166" s="4" t="str">
        <f t="shared" si="74"/>
        <v>N</v>
      </c>
    </row>
    <row r="1167" spans="1:33" x14ac:dyDescent="0.2">
      <c r="D1167" s="38"/>
      <c r="F1167" s="58"/>
      <c r="H1167"/>
      <c r="M1167" s="13"/>
      <c r="Z1167" s="4" t="str">
        <f t="shared" si="74"/>
        <v>N</v>
      </c>
    </row>
    <row r="1168" spans="1:33" x14ac:dyDescent="0.2">
      <c r="D1168" s="38"/>
      <c r="F1168" s="58"/>
      <c r="H1168"/>
      <c r="M1168" s="13"/>
      <c r="Z1168" s="4" t="str">
        <f t="shared" si="74"/>
        <v>N</v>
      </c>
    </row>
    <row r="1169" spans="2:29" x14ac:dyDescent="0.2">
      <c r="D1169" s="38"/>
      <c r="F1169" s="58"/>
      <c r="H1169"/>
      <c r="M1169" s="13"/>
      <c r="Z1169" s="4" t="str">
        <f t="shared" si="74"/>
        <v>N</v>
      </c>
    </row>
    <row r="1170" spans="2:29" x14ac:dyDescent="0.2">
      <c r="D1170" s="38"/>
      <c r="F1170" s="58"/>
      <c r="H1170"/>
      <c r="M1170" s="13"/>
      <c r="Z1170" s="4" t="str">
        <f t="shared" si="74"/>
        <v>N</v>
      </c>
    </row>
    <row r="1171" spans="2:29" x14ac:dyDescent="0.2">
      <c r="D1171" s="38"/>
      <c r="F1171" s="58"/>
      <c r="H1171"/>
      <c r="M1171" s="13"/>
      <c r="Z1171" s="4" t="str">
        <f t="shared" si="74"/>
        <v>N</v>
      </c>
    </row>
    <row r="1172" spans="2:29" x14ac:dyDescent="0.2">
      <c r="D1172" s="38"/>
      <c r="F1172" s="58"/>
      <c r="H1172"/>
      <c r="M1172" s="13"/>
      <c r="Z1172" s="4" t="str">
        <f t="shared" si="74"/>
        <v>N</v>
      </c>
    </row>
    <row r="1173" spans="2:29" x14ac:dyDescent="0.2">
      <c r="D1173" s="38"/>
      <c r="F1173" s="58"/>
      <c r="H1173"/>
      <c r="M1173" s="13"/>
      <c r="Z1173" s="4" t="str">
        <f t="shared" si="74"/>
        <v>N</v>
      </c>
    </row>
    <row r="1174" spans="2:29" x14ac:dyDescent="0.2">
      <c r="D1174" s="38"/>
      <c r="F1174" s="58"/>
      <c r="H1174"/>
      <c r="M1174" s="13"/>
      <c r="Z1174" s="4" t="str">
        <f t="shared" ref="Z1174:Z1201" si="75">IF(L1174&gt;=19,"Y","N")</f>
        <v>N</v>
      </c>
    </row>
    <row r="1175" spans="2:29" x14ac:dyDescent="0.2">
      <c r="D1175" s="38"/>
      <c r="F1175" s="58"/>
      <c r="H1175"/>
      <c r="M1175" s="13"/>
      <c r="Z1175" s="4" t="str">
        <f t="shared" si="75"/>
        <v>N</v>
      </c>
    </row>
    <row r="1176" spans="2:29" x14ac:dyDescent="0.2">
      <c r="B1176" t="s">
        <v>1330</v>
      </c>
      <c r="C1176" t="s">
        <v>2008</v>
      </c>
      <c r="D1176" s="38" t="s">
        <v>2007</v>
      </c>
      <c r="E1176">
        <v>2022</v>
      </c>
      <c r="F1176" s="58" t="s">
        <v>2009</v>
      </c>
      <c r="G1176" s="61" t="s">
        <v>513</v>
      </c>
      <c r="H1176" s="13">
        <v>53.93</v>
      </c>
      <c r="I1176" s="13">
        <v>-9.58</v>
      </c>
      <c r="J1176" s="13">
        <v>1970</v>
      </c>
      <c r="K1176" s="13">
        <v>2020</v>
      </c>
      <c r="L1176" s="13">
        <f t="shared" ref="L1176:L1201" si="76">K1176-J1176+1</f>
        <v>51</v>
      </c>
      <c r="M1176" t="s">
        <v>369</v>
      </c>
      <c r="N1176" t="s">
        <v>51</v>
      </c>
      <c r="O1176" t="s">
        <v>376</v>
      </c>
      <c r="P1176" t="s">
        <v>2010</v>
      </c>
      <c r="Q1176" t="s">
        <v>600</v>
      </c>
      <c r="R1176" t="s">
        <v>2013</v>
      </c>
      <c r="V1176">
        <v>0.68500000000000005</v>
      </c>
      <c r="W1176" t="s">
        <v>24</v>
      </c>
      <c r="X1176" t="s">
        <v>3</v>
      </c>
      <c r="Z1176" s="4" t="str">
        <f t="shared" si="75"/>
        <v>Y</v>
      </c>
      <c r="AA1176" t="s">
        <v>1121</v>
      </c>
      <c r="AB1176" t="s">
        <v>2018</v>
      </c>
      <c r="AC1176" t="s">
        <v>2019</v>
      </c>
    </row>
    <row r="1177" spans="2:29" x14ac:dyDescent="0.2">
      <c r="B1177" t="s">
        <v>1330</v>
      </c>
      <c r="C1177" t="s">
        <v>2008</v>
      </c>
      <c r="D1177" s="38" t="s">
        <v>2007</v>
      </c>
      <c r="E1177">
        <v>2022</v>
      </c>
      <c r="F1177" s="58" t="s">
        <v>2009</v>
      </c>
      <c r="G1177" s="61" t="s">
        <v>513</v>
      </c>
      <c r="H1177" s="13">
        <v>53.93</v>
      </c>
      <c r="I1177" s="13">
        <v>-9.58</v>
      </c>
      <c r="J1177" s="13">
        <v>1970</v>
      </c>
      <c r="K1177" s="13">
        <v>2020</v>
      </c>
      <c r="L1177" s="13">
        <f t="shared" si="76"/>
        <v>51</v>
      </c>
      <c r="M1177" t="s">
        <v>369</v>
      </c>
      <c r="N1177" t="s">
        <v>51</v>
      </c>
      <c r="O1177" t="s">
        <v>376</v>
      </c>
      <c r="P1177" t="s">
        <v>2014</v>
      </c>
      <c r="Q1177" t="s">
        <v>50</v>
      </c>
      <c r="R1177" t="s">
        <v>2013</v>
      </c>
      <c r="V1177">
        <v>-0.54</v>
      </c>
      <c r="W1177" t="s">
        <v>3</v>
      </c>
      <c r="X1177" t="s">
        <v>3</v>
      </c>
      <c r="Z1177" s="4" t="str">
        <f t="shared" si="75"/>
        <v>Y</v>
      </c>
      <c r="AA1177" t="s">
        <v>1121</v>
      </c>
      <c r="AB1177" t="s">
        <v>2018</v>
      </c>
      <c r="AC1177" t="s">
        <v>2019</v>
      </c>
    </row>
    <row r="1178" spans="2:29" x14ac:dyDescent="0.2">
      <c r="B1178" t="s">
        <v>1330</v>
      </c>
      <c r="C1178" t="s">
        <v>2008</v>
      </c>
      <c r="D1178" s="38" t="s">
        <v>2007</v>
      </c>
      <c r="E1178">
        <v>2022</v>
      </c>
      <c r="F1178" s="58" t="s">
        <v>2009</v>
      </c>
      <c r="G1178" s="61" t="s">
        <v>513</v>
      </c>
      <c r="H1178" s="13">
        <v>53.93</v>
      </c>
      <c r="I1178" s="13">
        <v>-9.58</v>
      </c>
      <c r="J1178" s="13">
        <v>1970</v>
      </c>
      <c r="K1178" s="13">
        <v>2020</v>
      </c>
      <c r="L1178" s="13">
        <f t="shared" si="76"/>
        <v>51</v>
      </c>
      <c r="M1178" t="s">
        <v>369</v>
      </c>
      <c r="N1178" t="s">
        <v>51</v>
      </c>
      <c r="O1178" t="s">
        <v>376</v>
      </c>
      <c r="P1178" t="s">
        <v>2011</v>
      </c>
      <c r="Q1178" t="s">
        <v>50</v>
      </c>
      <c r="R1178" t="s">
        <v>2012</v>
      </c>
      <c r="V1178">
        <v>-7.5449999999999999</v>
      </c>
      <c r="W1178" t="s">
        <v>3</v>
      </c>
      <c r="X1178" t="s">
        <v>3</v>
      </c>
      <c r="Z1178" s="4" t="str">
        <f t="shared" si="75"/>
        <v>Y</v>
      </c>
      <c r="AA1178" t="s">
        <v>1121</v>
      </c>
      <c r="AB1178" t="s">
        <v>2018</v>
      </c>
      <c r="AC1178" t="s">
        <v>2019</v>
      </c>
    </row>
    <row r="1179" spans="2:29" x14ac:dyDescent="0.2">
      <c r="B1179" t="s">
        <v>1330</v>
      </c>
      <c r="C1179" t="s">
        <v>2008</v>
      </c>
      <c r="D1179" s="38" t="s">
        <v>2007</v>
      </c>
      <c r="E1179">
        <v>2022</v>
      </c>
      <c r="F1179" s="58" t="s">
        <v>2009</v>
      </c>
      <c r="G1179" s="61" t="s">
        <v>513</v>
      </c>
      <c r="H1179" s="13">
        <v>53.93</v>
      </c>
      <c r="I1179" s="13">
        <v>-9.58</v>
      </c>
      <c r="J1179" s="13">
        <v>1970</v>
      </c>
      <c r="K1179" s="13">
        <v>2020</v>
      </c>
      <c r="L1179" s="13">
        <f t="shared" si="76"/>
        <v>51</v>
      </c>
      <c r="M1179" t="s">
        <v>369</v>
      </c>
      <c r="N1179" t="s">
        <v>51</v>
      </c>
      <c r="O1179" t="s">
        <v>376</v>
      </c>
      <c r="P1179" t="s">
        <v>2015</v>
      </c>
      <c r="Q1179" t="s">
        <v>2017</v>
      </c>
      <c r="R1179" t="s">
        <v>2013</v>
      </c>
      <c r="V1179">
        <v>-1.04</v>
      </c>
      <c r="W1179" t="s">
        <v>3</v>
      </c>
      <c r="X1179" t="s">
        <v>3</v>
      </c>
      <c r="Z1179" s="4" t="str">
        <f t="shared" si="75"/>
        <v>Y</v>
      </c>
      <c r="AA1179" t="s">
        <v>1121</v>
      </c>
      <c r="AB1179" t="s">
        <v>2018</v>
      </c>
      <c r="AC1179" t="s">
        <v>2019</v>
      </c>
    </row>
    <row r="1180" spans="2:29" x14ac:dyDescent="0.2">
      <c r="B1180" t="s">
        <v>1330</v>
      </c>
      <c r="C1180" t="s">
        <v>2008</v>
      </c>
      <c r="D1180" s="38" t="s">
        <v>2007</v>
      </c>
      <c r="E1180">
        <v>2022</v>
      </c>
      <c r="F1180" s="58" t="s">
        <v>2009</v>
      </c>
      <c r="G1180" s="61" t="s">
        <v>513</v>
      </c>
      <c r="H1180" s="13">
        <v>53.93</v>
      </c>
      <c r="I1180" s="13">
        <v>-9.58</v>
      </c>
      <c r="J1180" s="13">
        <v>1970</v>
      </c>
      <c r="K1180" s="13">
        <v>2020</v>
      </c>
      <c r="L1180" s="13">
        <f t="shared" si="76"/>
        <v>51</v>
      </c>
      <c r="M1180" t="s">
        <v>369</v>
      </c>
      <c r="N1180" t="s">
        <v>51</v>
      </c>
      <c r="O1180" t="s">
        <v>376</v>
      </c>
      <c r="P1180" t="s">
        <v>2016</v>
      </c>
      <c r="Q1180" t="s">
        <v>2017</v>
      </c>
      <c r="R1180" t="s">
        <v>2012</v>
      </c>
      <c r="V1180">
        <v>2.4900000000000002</v>
      </c>
      <c r="W1180" t="s">
        <v>24</v>
      </c>
      <c r="X1180" t="s">
        <v>3</v>
      </c>
      <c r="Z1180" s="4" t="str">
        <f t="shared" si="75"/>
        <v>Y</v>
      </c>
      <c r="AA1180" t="s">
        <v>1121</v>
      </c>
      <c r="AB1180" t="s">
        <v>2018</v>
      </c>
      <c r="AC1180" t="s">
        <v>2019</v>
      </c>
    </row>
    <row r="1181" spans="2:29" x14ac:dyDescent="0.2">
      <c r="B1181" t="s">
        <v>1330</v>
      </c>
      <c r="C1181" t="s">
        <v>2022</v>
      </c>
      <c r="D1181" s="38" t="s">
        <v>2021</v>
      </c>
      <c r="E1181">
        <v>2019</v>
      </c>
      <c r="F1181" s="58" t="s">
        <v>67</v>
      </c>
      <c r="G1181" s="61" t="s">
        <v>513</v>
      </c>
      <c r="H1181" s="13">
        <v>45.5</v>
      </c>
      <c r="I1181" s="13">
        <v>-4.4000000000000004</v>
      </c>
      <c r="J1181" s="13">
        <v>1987</v>
      </c>
      <c r="K1181" s="13">
        <v>2015</v>
      </c>
      <c r="L1181" s="13">
        <f t="shared" si="76"/>
        <v>29</v>
      </c>
      <c r="M1181" t="s">
        <v>369</v>
      </c>
      <c r="N1181" t="s">
        <v>51</v>
      </c>
      <c r="O1181" t="s">
        <v>376</v>
      </c>
      <c r="P1181" t="s">
        <v>2023</v>
      </c>
      <c r="Q1181" t="s">
        <v>609</v>
      </c>
      <c r="R1181" t="s">
        <v>852</v>
      </c>
      <c r="V1181">
        <v>-5.49</v>
      </c>
      <c r="W1181" t="s">
        <v>3</v>
      </c>
      <c r="X1181" t="s">
        <v>3</v>
      </c>
      <c r="Z1181" s="4" t="str">
        <f t="shared" si="75"/>
        <v>Y</v>
      </c>
      <c r="AA1181" t="s">
        <v>1121</v>
      </c>
      <c r="AB1181" t="s">
        <v>1942</v>
      </c>
      <c r="AC1181" t="s">
        <v>1994</v>
      </c>
    </row>
    <row r="1182" spans="2:29" x14ac:dyDescent="0.2">
      <c r="B1182" t="s">
        <v>1330</v>
      </c>
      <c r="C1182" t="s">
        <v>2024</v>
      </c>
      <c r="D1182" s="38" t="s">
        <v>1932</v>
      </c>
      <c r="E1182">
        <v>2020</v>
      </c>
      <c r="F1182" s="58" t="s">
        <v>2025</v>
      </c>
      <c r="G1182" s="61" t="s">
        <v>513</v>
      </c>
      <c r="H1182" s="13">
        <v>46</v>
      </c>
      <c r="I1182" s="13">
        <v>2</v>
      </c>
      <c r="J1182" s="13">
        <v>1984</v>
      </c>
      <c r="K1182" s="13">
        <v>2016</v>
      </c>
      <c r="L1182" s="13">
        <f t="shared" si="76"/>
        <v>33</v>
      </c>
      <c r="M1182" t="s">
        <v>369</v>
      </c>
      <c r="N1182" t="s">
        <v>51</v>
      </c>
      <c r="O1182" t="s">
        <v>376</v>
      </c>
      <c r="P1182" t="s">
        <v>165</v>
      </c>
      <c r="Q1182" t="s">
        <v>1987</v>
      </c>
      <c r="R1182" t="s">
        <v>2029</v>
      </c>
      <c r="V1182">
        <v>-3.7</v>
      </c>
      <c r="W1182" t="s">
        <v>3</v>
      </c>
      <c r="X1182" t="s">
        <v>3</v>
      </c>
      <c r="Z1182" s="4" t="str">
        <f t="shared" si="75"/>
        <v>Y</v>
      </c>
      <c r="AA1182" t="s">
        <v>1121</v>
      </c>
      <c r="AB1182" t="s">
        <v>2033</v>
      </c>
      <c r="AC1182" t="s">
        <v>2032</v>
      </c>
    </row>
    <row r="1183" spans="2:29" x14ac:dyDescent="0.2">
      <c r="B1183" t="s">
        <v>1330</v>
      </c>
      <c r="C1183" t="s">
        <v>2024</v>
      </c>
      <c r="D1183" s="38" t="s">
        <v>1932</v>
      </c>
      <c r="E1183">
        <v>2020</v>
      </c>
      <c r="F1183" s="58" t="s">
        <v>2025</v>
      </c>
      <c r="G1183" s="61" t="s">
        <v>513</v>
      </c>
      <c r="H1183" s="13">
        <v>46</v>
      </c>
      <c r="I1183" s="13">
        <v>2</v>
      </c>
      <c r="J1183" s="13">
        <v>1984</v>
      </c>
      <c r="K1183" s="13">
        <v>2016</v>
      </c>
      <c r="L1183" s="13">
        <f t="shared" si="76"/>
        <v>33</v>
      </c>
      <c r="M1183" t="s">
        <v>369</v>
      </c>
      <c r="N1183" t="s">
        <v>51</v>
      </c>
      <c r="O1183" t="s">
        <v>376</v>
      </c>
      <c r="P1183" t="s">
        <v>2027</v>
      </c>
      <c r="Q1183" t="s">
        <v>600</v>
      </c>
      <c r="R1183" t="s">
        <v>2029</v>
      </c>
      <c r="V1183">
        <v>0.08</v>
      </c>
      <c r="W1183" t="s">
        <v>24</v>
      </c>
      <c r="X1183" t="s">
        <v>3</v>
      </c>
      <c r="Z1183" s="4" t="str">
        <f t="shared" si="75"/>
        <v>Y</v>
      </c>
      <c r="AA1183" t="s">
        <v>1121</v>
      </c>
      <c r="AB1183" t="s">
        <v>2033</v>
      </c>
      <c r="AC1183" t="s">
        <v>2032</v>
      </c>
    </row>
    <row r="1184" spans="2:29" x14ac:dyDescent="0.2">
      <c r="B1184" t="s">
        <v>1330</v>
      </c>
      <c r="C1184" t="s">
        <v>2024</v>
      </c>
      <c r="D1184" s="38" t="s">
        <v>1932</v>
      </c>
      <c r="E1184">
        <v>2020</v>
      </c>
      <c r="F1184" s="58" t="s">
        <v>2025</v>
      </c>
      <c r="G1184" s="61" t="s">
        <v>513</v>
      </c>
      <c r="H1184" s="13">
        <v>46</v>
      </c>
      <c r="I1184" s="13">
        <v>2</v>
      </c>
      <c r="J1184" s="13">
        <v>1984</v>
      </c>
      <c r="K1184" s="13">
        <v>2016</v>
      </c>
      <c r="L1184" s="13">
        <f t="shared" si="76"/>
        <v>33</v>
      </c>
      <c r="M1184" t="s">
        <v>369</v>
      </c>
      <c r="N1184" t="s">
        <v>51</v>
      </c>
      <c r="O1184" t="s">
        <v>376</v>
      </c>
      <c r="P1184" t="s">
        <v>2028</v>
      </c>
      <c r="Q1184" t="s">
        <v>600</v>
      </c>
      <c r="R1184" t="s">
        <v>2029</v>
      </c>
      <c r="V1184">
        <v>-1.9</v>
      </c>
      <c r="W1184" t="s">
        <v>3</v>
      </c>
      <c r="X1184" t="s">
        <v>3</v>
      </c>
      <c r="Z1184" s="4" t="str">
        <f t="shared" si="75"/>
        <v>Y</v>
      </c>
      <c r="AA1184" t="s">
        <v>1121</v>
      </c>
      <c r="AB1184" t="s">
        <v>2033</v>
      </c>
      <c r="AC1184" t="s">
        <v>2032</v>
      </c>
    </row>
    <row r="1185" spans="2:29" x14ac:dyDescent="0.2">
      <c r="B1185" t="s">
        <v>1330</v>
      </c>
      <c r="C1185" t="s">
        <v>2024</v>
      </c>
      <c r="D1185" s="38" t="s">
        <v>1932</v>
      </c>
      <c r="E1185">
        <v>2020</v>
      </c>
      <c r="F1185" s="58" t="s">
        <v>2025</v>
      </c>
      <c r="G1185" s="61" t="s">
        <v>513</v>
      </c>
      <c r="H1185" s="13">
        <v>46</v>
      </c>
      <c r="I1185" s="13">
        <v>2</v>
      </c>
      <c r="J1185" s="13">
        <v>1984</v>
      </c>
      <c r="K1185" s="13">
        <v>2016</v>
      </c>
      <c r="L1185" s="13">
        <f t="shared" si="76"/>
        <v>33</v>
      </c>
      <c r="M1185" t="s">
        <v>369</v>
      </c>
      <c r="N1185" t="s">
        <v>51</v>
      </c>
      <c r="O1185" t="s">
        <v>376</v>
      </c>
      <c r="P1185" t="s">
        <v>2030</v>
      </c>
      <c r="Q1185" t="s">
        <v>2026</v>
      </c>
      <c r="R1185" t="s">
        <v>2029</v>
      </c>
      <c r="V1185">
        <v>-0.2</v>
      </c>
      <c r="W1185" t="s">
        <v>3</v>
      </c>
      <c r="X1185" t="s">
        <v>3</v>
      </c>
      <c r="Z1185" s="4" t="str">
        <f t="shared" si="75"/>
        <v>Y</v>
      </c>
      <c r="AA1185" t="s">
        <v>1121</v>
      </c>
      <c r="AB1185" t="s">
        <v>2033</v>
      </c>
      <c r="AC1185" t="s">
        <v>2032</v>
      </c>
    </row>
    <row r="1186" spans="2:29" x14ac:dyDescent="0.2">
      <c r="B1186" t="s">
        <v>1330</v>
      </c>
      <c r="C1186" t="s">
        <v>2024</v>
      </c>
      <c r="D1186" s="38" t="s">
        <v>1932</v>
      </c>
      <c r="E1186">
        <v>2020</v>
      </c>
      <c r="F1186" s="58" t="s">
        <v>2025</v>
      </c>
      <c r="G1186" s="61" t="s">
        <v>513</v>
      </c>
      <c r="H1186" s="13">
        <v>46</v>
      </c>
      <c r="I1186" s="13">
        <v>2</v>
      </c>
      <c r="J1186" s="13">
        <v>1984</v>
      </c>
      <c r="K1186" s="13">
        <v>2016</v>
      </c>
      <c r="L1186" s="13">
        <f t="shared" si="76"/>
        <v>33</v>
      </c>
      <c r="M1186" t="s">
        <v>369</v>
      </c>
      <c r="N1186" t="s">
        <v>51</v>
      </c>
      <c r="O1186" t="s">
        <v>376</v>
      </c>
      <c r="P1186" t="s">
        <v>130</v>
      </c>
      <c r="Q1186" t="s">
        <v>50</v>
      </c>
      <c r="R1186" t="s">
        <v>2029</v>
      </c>
      <c r="V1186">
        <v>-2.9</v>
      </c>
      <c r="W1186" t="s">
        <v>3</v>
      </c>
      <c r="X1186" t="s">
        <v>3</v>
      </c>
      <c r="Z1186" s="4" t="str">
        <f t="shared" si="75"/>
        <v>Y</v>
      </c>
      <c r="AA1186" t="s">
        <v>1121</v>
      </c>
      <c r="AB1186" t="s">
        <v>2033</v>
      </c>
      <c r="AC1186" t="s">
        <v>2032</v>
      </c>
    </row>
    <row r="1187" spans="2:29" x14ac:dyDescent="0.2">
      <c r="B1187" t="s">
        <v>1330</v>
      </c>
      <c r="C1187" t="s">
        <v>2024</v>
      </c>
      <c r="D1187" s="38" t="s">
        <v>1932</v>
      </c>
      <c r="E1187">
        <v>2020</v>
      </c>
      <c r="F1187" s="58" t="s">
        <v>2025</v>
      </c>
      <c r="G1187" s="61" t="s">
        <v>513</v>
      </c>
      <c r="H1187" s="13">
        <v>46</v>
      </c>
      <c r="I1187" s="13">
        <v>2</v>
      </c>
      <c r="J1187" s="13">
        <v>1984</v>
      </c>
      <c r="K1187" s="13">
        <v>2016</v>
      </c>
      <c r="L1187" s="13">
        <f t="shared" si="76"/>
        <v>33</v>
      </c>
      <c r="M1187" t="s">
        <v>369</v>
      </c>
      <c r="N1187" t="s">
        <v>51</v>
      </c>
      <c r="O1187" t="s">
        <v>376</v>
      </c>
      <c r="P1187" t="s">
        <v>2031</v>
      </c>
      <c r="Q1187" t="s">
        <v>2017</v>
      </c>
      <c r="R1187" t="s">
        <v>2029</v>
      </c>
      <c r="V1187">
        <v>-2.6</v>
      </c>
      <c r="W1187" t="s">
        <v>3</v>
      </c>
      <c r="X1187" t="s">
        <v>3</v>
      </c>
      <c r="Z1187" s="4" t="str">
        <f t="shared" si="75"/>
        <v>Y</v>
      </c>
      <c r="AA1187" t="s">
        <v>1121</v>
      </c>
      <c r="AB1187" t="s">
        <v>2033</v>
      </c>
      <c r="AC1187" t="s">
        <v>2032</v>
      </c>
    </row>
    <row r="1188" spans="2:29" x14ac:dyDescent="0.2">
      <c r="B1188" t="s">
        <v>1330</v>
      </c>
      <c r="C1188" t="s">
        <v>2034</v>
      </c>
      <c r="D1188" s="38" t="s">
        <v>2035</v>
      </c>
      <c r="E1188">
        <v>2008</v>
      </c>
      <c r="F1188" s="58" t="s">
        <v>2037</v>
      </c>
      <c r="G1188" s="61" t="s">
        <v>2036</v>
      </c>
      <c r="H1188" s="13">
        <v>53</v>
      </c>
      <c r="I1188" s="13">
        <v>4.7</v>
      </c>
      <c r="J1188" s="13">
        <v>1970</v>
      </c>
      <c r="K1188" s="13">
        <v>2004</v>
      </c>
      <c r="L1188" s="13">
        <f t="shared" si="76"/>
        <v>35</v>
      </c>
      <c r="M1188" t="s">
        <v>369</v>
      </c>
      <c r="N1188" t="s">
        <v>51</v>
      </c>
      <c r="O1188" t="s">
        <v>376</v>
      </c>
      <c r="P1188" t="s">
        <v>2040</v>
      </c>
      <c r="Q1188" t="s">
        <v>20</v>
      </c>
      <c r="R1188" t="s">
        <v>165</v>
      </c>
      <c r="V1188">
        <v>-8</v>
      </c>
      <c r="W1188" t="s">
        <v>3</v>
      </c>
      <c r="X1188" t="s">
        <v>3</v>
      </c>
      <c r="Z1188" s="4" t="str">
        <f t="shared" si="75"/>
        <v>Y</v>
      </c>
      <c r="AA1188" t="s">
        <v>1121</v>
      </c>
      <c r="AB1188" t="s">
        <v>2040</v>
      </c>
      <c r="AC1188" t="s">
        <v>2039</v>
      </c>
    </row>
    <row r="1189" spans="2:29" x14ac:dyDescent="0.2">
      <c r="B1189" t="s">
        <v>1330</v>
      </c>
      <c r="C1189" t="s">
        <v>2034</v>
      </c>
      <c r="D1189" s="38" t="s">
        <v>2035</v>
      </c>
      <c r="E1189">
        <v>2008</v>
      </c>
      <c r="F1189" s="58" t="s">
        <v>2038</v>
      </c>
      <c r="G1189" s="61" t="s">
        <v>513</v>
      </c>
      <c r="H1189" s="13">
        <v>53</v>
      </c>
      <c r="I1189" s="13">
        <v>4.7</v>
      </c>
      <c r="J1189" s="13">
        <v>1970</v>
      </c>
      <c r="K1189" s="13">
        <v>2004</v>
      </c>
      <c r="L1189" s="13">
        <f t="shared" si="76"/>
        <v>35</v>
      </c>
      <c r="M1189" t="s">
        <v>369</v>
      </c>
      <c r="N1189" t="s">
        <v>51</v>
      </c>
      <c r="O1189" t="s">
        <v>376</v>
      </c>
      <c r="P1189" t="s">
        <v>2040</v>
      </c>
      <c r="Q1189" t="s">
        <v>593</v>
      </c>
      <c r="R1189" t="s">
        <v>165</v>
      </c>
      <c r="V1189">
        <v>-10</v>
      </c>
      <c r="W1189" t="s">
        <v>3</v>
      </c>
      <c r="X1189" t="s">
        <v>3</v>
      </c>
      <c r="Z1189" s="4" t="str">
        <f t="shared" si="75"/>
        <v>Y</v>
      </c>
      <c r="AA1189" t="s">
        <v>1121</v>
      </c>
      <c r="AB1189" t="s">
        <v>2040</v>
      </c>
      <c r="AC1189" t="s">
        <v>2039</v>
      </c>
    </row>
    <row r="1190" spans="2:29" x14ac:dyDescent="0.2">
      <c r="B1190" t="s">
        <v>1330</v>
      </c>
      <c r="C1190" t="s">
        <v>2042</v>
      </c>
      <c r="D1190" t="s">
        <v>2043</v>
      </c>
      <c r="E1190">
        <v>2025</v>
      </c>
      <c r="F1190" s="58" t="s">
        <v>2044</v>
      </c>
      <c r="G1190" s="61" t="s">
        <v>2036</v>
      </c>
      <c r="H1190" s="13">
        <v>38.04</v>
      </c>
      <c r="I1190" s="13">
        <v>-121.84</v>
      </c>
      <c r="J1190" s="13">
        <v>1972</v>
      </c>
      <c r="K1190" s="13">
        <v>2021</v>
      </c>
      <c r="L1190" s="13">
        <f t="shared" si="76"/>
        <v>50</v>
      </c>
      <c r="M1190" t="s">
        <v>2046</v>
      </c>
      <c r="N1190" t="s">
        <v>51</v>
      </c>
      <c r="O1190" t="s">
        <v>376</v>
      </c>
      <c r="P1190" t="s">
        <v>2040</v>
      </c>
      <c r="Q1190" t="s">
        <v>2048</v>
      </c>
      <c r="R1190" t="s">
        <v>2054</v>
      </c>
      <c r="V1190">
        <v>-4.2915449778038198E-2</v>
      </c>
      <c r="W1190" t="s">
        <v>3</v>
      </c>
      <c r="X1190" t="s">
        <v>3</v>
      </c>
      <c r="Z1190" s="4" t="str">
        <f t="shared" si="75"/>
        <v>Y</v>
      </c>
      <c r="AA1190" t="s">
        <v>1121</v>
      </c>
      <c r="AB1190" t="s">
        <v>2055</v>
      </c>
      <c r="AC1190" t="s">
        <v>2041</v>
      </c>
    </row>
    <row r="1191" spans="2:29" x14ac:dyDescent="0.2">
      <c r="B1191" t="s">
        <v>1330</v>
      </c>
      <c r="C1191" t="s">
        <v>2042</v>
      </c>
      <c r="D1191" t="s">
        <v>2043</v>
      </c>
      <c r="E1191">
        <v>2025</v>
      </c>
      <c r="F1191" s="58" t="s">
        <v>2045</v>
      </c>
      <c r="G1191" s="61" t="s">
        <v>2036</v>
      </c>
      <c r="H1191" s="13">
        <v>38.07</v>
      </c>
      <c r="I1191" s="13">
        <v>-122.06</v>
      </c>
      <c r="J1191" s="13">
        <v>1972</v>
      </c>
      <c r="K1191" s="13">
        <v>2021</v>
      </c>
      <c r="L1191" s="13">
        <f t="shared" si="76"/>
        <v>50</v>
      </c>
      <c r="M1191" t="s">
        <v>2046</v>
      </c>
      <c r="N1191" t="s">
        <v>51</v>
      </c>
      <c r="O1191" t="s">
        <v>376</v>
      </c>
      <c r="P1191" t="s">
        <v>2040</v>
      </c>
      <c r="Q1191" t="s">
        <v>2049</v>
      </c>
      <c r="R1191" t="s">
        <v>2054</v>
      </c>
      <c r="V1191">
        <v>1.5879883420736101</v>
      </c>
      <c r="W1191" t="s">
        <v>24</v>
      </c>
      <c r="X1191" t="s">
        <v>3</v>
      </c>
      <c r="Z1191" s="4" t="str">
        <f t="shared" si="75"/>
        <v>Y</v>
      </c>
      <c r="AA1191" t="s">
        <v>1121</v>
      </c>
      <c r="AB1191" t="s">
        <v>2055</v>
      </c>
      <c r="AC1191" t="s">
        <v>2041</v>
      </c>
    </row>
    <row r="1192" spans="2:29" x14ac:dyDescent="0.2">
      <c r="B1192" t="s">
        <v>1330</v>
      </c>
      <c r="C1192" t="s">
        <v>2042</v>
      </c>
      <c r="D1192" t="s">
        <v>2043</v>
      </c>
      <c r="E1192">
        <v>2025</v>
      </c>
      <c r="F1192" s="58" t="s">
        <v>2045</v>
      </c>
      <c r="G1192" s="61" t="s">
        <v>2036</v>
      </c>
      <c r="H1192" s="13">
        <v>38.07</v>
      </c>
      <c r="I1192" s="13">
        <v>-122.06</v>
      </c>
      <c r="J1192" s="13">
        <v>1972</v>
      </c>
      <c r="K1192" s="13">
        <v>2021</v>
      </c>
      <c r="L1192" s="13">
        <f t="shared" si="76"/>
        <v>50</v>
      </c>
      <c r="M1192" t="s">
        <v>2046</v>
      </c>
      <c r="N1192" t="s">
        <v>51</v>
      </c>
      <c r="O1192" t="s">
        <v>376</v>
      </c>
      <c r="P1192" t="s">
        <v>2040</v>
      </c>
      <c r="Q1192" t="s">
        <v>2050</v>
      </c>
      <c r="R1192" t="s">
        <v>2054</v>
      </c>
      <c r="V1192">
        <v>4.6781211599662802</v>
      </c>
      <c r="W1192" t="s">
        <v>24</v>
      </c>
      <c r="X1192" t="s">
        <v>3</v>
      </c>
      <c r="Z1192" s="4" t="str">
        <f t="shared" si="75"/>
        <v>Y</v>
      </c>
      <c r="AA1192" t="s">
        <v>1121</v>
      </c>
      <c r="AB1192" t="s">
        <v>2055</v>
      </c>
      <c r="AC1192" t="s">
        <v>2041</v>
      </c>
    </row>
    <row r="1193" spans="2:29" x14ac:dyDescent="0.2">
      <c r="B1193" t="s">
        <v>1330</v>
      </c>
      <c r="C1193" t="s">
        <v>2042</v>
      </c>
      <c r="D1193" t="s">
        <v>2043</v>
      </c>
      <c r="E1193">
        <v>2025</v>
      </c>
      <c r="F1193" s="58" t="s">
        <v>2045</v>
      </c>
      <c r="G1193" s="61" t="s">
        <v>2036</v>
      </c>
      <c r="H1193" s="13">
        <v>38.07</v>
      </c>
      <c r="I1193" s="13">
        <v>-122.06</v>
      </c>
      <c r="J1193" s="13">
        <v>1972</v>
      </c>
      <c r="K1193" s="13">
        <v>2021</v>
      </c>
      <c r="L1193" s="13">
        <f t="shared" si="76"/>
        <v>50</v>
      </c>
      <c r="M1193" t="s">
        <v>2046</v>
      </c>
      <c r="N1193" t="s">
        <v>51</v>
      </c>
      <c r="O1193" t="s">
        <v>376</v>
      </c>
      <c r="P1193" t="s">
        <v>2040</v>
      </c>
      <c r="Q1193" t="s">
        <v>2048</v>
      </c>
      <c r="R1193" t="s">
        <v>2054</v>
      </c>
      <c r="V1193">
        <v>0.72961451302051294</v>
      </c>
      <c r="W1193" t="s">
        <v>24</v>
      </c>
      <c r="X1193" t="s">
        <v>3</v>
      </c>
      <c r="Z1193" s="4" t="str">
        <f t="shared" si="75"/>
        <v>Y</v>
      </c>
      <c r="AA1193" t="s">
        <v>1121</v>
      </c>
      <c r="AB1193" t="s">
        <v>2055</v>
      </c>
      <c r="AC1193" t="s">
        <v>2041</v>
      </c>
    </row>
    <row r="1194" spans="2:29" x14ac:dyDescent="0.2">
      <c r="B1194" t="s">
        <v>1330</v>
      </c>
      <c r="C1194" t="s">
        <v>2042</v>
      </c>
      <c r="D1194" t="s">
        <v>2043</v>
      </c>
      <c r="E1194">
        <v>2025</v>
      </c>
      <c r="F1194" s="58" t="s">
        <v>2045</v>
      </c>
      <c r="G1194" s="61" t="s">
        <v>2036</v>
      </c>
      <c r="H1194" s="13">
        <v>38.07</v>
      </c>
      <c r="I1194" s="13">
        <v>-122.06</v>
      </c>
      <c r="J1194" s="13">
        <v>1972</v>
      </c>
      <c r="K1194" s="13">
        <v>2021</v>
      </c>
      <c r="L1194" s="13">
        <f t="shared" si="76"/>
        <v>50</v>
      </c>
      <c r="M1194" t="s">
        <v>2046</v>
      </c>
      <c r="N1194" t="s">
        <v>51</v>
      </c>
      <c r="O1194" t="s">
        <v>376</v>
      </c>
      <c r="P1194" t="s">
        <v>2040</v>
      </c>
      <c r="Q1194" t="s">
        <v>2051</v>
      </c>
      <c r="R1194" t="s">
        <v>2054</v>
      </c>
      <c r="V1194">
        <v>3.2188834894595901</v>
      </c>
      <c r="W1194" t="s">
        <v>24</v>
      </c>
      <c r="X1194" t="s">
        <v>3</v>
      </c>
      <c r="Z1194" s="4" t="str">
        <f t="shared" si="75"/>
        <v>Y</v>
      </c>
      <c r="AA1194" t="s">
        <v>1121</v>
      </c>
      <c r="AB1194" t="s">
        <v>2055</v>
      </c>
      <c r="AC1194" t="s">
        <v>2041</v>
      </c>
    </row>
    <row r="1195" spans="2:29" x14ac:dyDescent="0.2">
      <c r="B1195" t="s">
        <v>1330</v>
      </c>
      <c r="C1195" t="s">
        <v>2042</v>
      </c>
      <c r="D1195" t="s">
        <v>2043</v>
      </c>
      <c r="E1195">
        <v>2025</v>
      </c>
      <c r="F1195" s="58" t="s">
        <v>2047</v>
      </c>
      <c r="G1195" s="61" t="s">
        <v>2036</v>
      </c>
      <c r="H1195" s="13">
        <v>38.06</v>
      </c>
      <c r="I1195" s="13">
        <v>-122.41</v>
      </c>
      <c r="J1195" s="13">
        <v>1980</v>
      </c>
      <c r="K1195" s="13">
        <v>2020</v>
      </c>
      <c r="L1195" s="13">
        <f t="shared" si="76"/>
        <v>41</v>
      </c>
      <c r="M1195" t="s">
        <v>2046</v>
      </c>
      <c r="N1195" t="s">
        <v>51</v>
      </c>
      <c r="O1195" t="s">
        <v>376</v>
      </c>
      <c r="P1195" t="s">
        <v>2040</v>
      </c>
      <c r="Q1195" t="s">
        <v>208</v>
      </c>
      <c r="R1195" t="s">
        <v>2054</v>
      </c>
      <c r="V1195">
        <v>1.1587992664306399</v>
      </c>
      <c r="W1195" t="s">
        <v>24</v>
      </c>
      <c r="X1195" t="s">
        <v>3</v>
      </c>
      <c r="Z1195" s="4" t="str">
        <f t="shared" si="75"/>
        <v>Y</v>
      </c>
      <c r="AA1195" t="s">
        <v>1121</v>
      </c>
      <c r="AB1195" t="s">
        <v>2055</v>
      </c>
      <c r="AC1195" t="s">
        <v>2041</v>
      </c>
    </row>
    <row r="1196" spans="2:29" x14ac:dyDescent="0.2">
      <c r="B1196" t="s">
        <v>1330</v>
      </c>
      <c r="C1196" t="s">
        <v>2042</v>
      </c>
      <c r="D1196" t="s">
        <v>2043</v>
      </c>
      <c r="E1196">
        <v>2025</v>
      </c>
      <c r="F1196" s="58" t="s">
        <v>2047</v>
      </c>
      <c r="G1196" s="61" t="s">
        <v>2036</v>
      </c>
      <c r="H1196" s="13">
        <v>38.06</v>
      </c>
      <c r="I1196" s="13">
        <v>-122.41</v>
      </c>
      <c r="J1196" s="13">
        <v>1980</v>
      </c>
      <c r="K1196" s="13">
        <v>2020</v>
      </c>
      <c r="L1196" s="13">
        <f t="shared" si="76"/>
        <v>41</v>
      </c>
      <c r="M1196" t="s">
        <v>2046</v>
      </c>
      <c r="N1196" t="s">
        <v>51</v>
      </c>
      <c r="O1196" t="s">
        <v>376</v>
      </c>
      <c r="P1196" t="s">
        <v>2040</v>
      </c>
      <c r="Q1196" t="s">
        <v>2052</v>
      </c>
      <c r="R1196" t="s">
        <v>2054</v>
      </c>
      <c r="V1196">
        <v>1.2446344882195399</v>
      </c>
      <c r="W1196" t="s">
        <v>24</v>
      </c>
      <c r="X1196" t="s">
        <v>3</v>
      </c>
      <c r="Z1196" s="4" t="str">
        <f t="shared" si="75"/>
        <v>Y</v>
      </c>
      <c r="AA1196" t="s">
        <v>1121</v>
      </c>
      <c r="AB1196" t="s">
        <v>2055</v>
      </c>
      <c r="AC1196" t="s">
        <v>2041</v>
      </c>
    </row>
    <row r="1197" spans="2:29" x14ac:dyDescent="0.2">
      <c r="B1197" t="s">
        <v>1330</v>
      </c>
      <c r="C1197" t="s">
        <v>2042</v>
      </c>
      <c r="D1197" t="s">
        <v>2043</v>
      </c>
      <c r="E1197">
        <v>2025</v>
      </c>
      <c r="F1197" s="58" t="s">
        <v>2047</v>
      </c>
      <c r="G1197" s="61" t="s">
        <v>2036</v>
      </c>
      <c r="H1197" s="13">
        <v>38.06</v>
      </c>
      <c r="I1197" s="13">
        <v>-122.41</v>
      </c>
      <c r="J1197" s="13">
        <v>1980</v>
      </c>
      <c r="K1197" s="13">
        <v>2020</v>
      </c>
      <c r="L1197" s="13">
        <f t="shared" si="76"/>
        <v>41</v>
      </c>
      <c r="M1197" t="s">
        <v>2046</v>
      </c>
      <c r="N1197" t="s">
        <v>51</v>
      </c>
      <c r="O1197" t="s">
        <v>376</v>
      </c>
      <c r="P1197" t="s">
        <v>2040</v>
      </c>
      <c r="Q1197" t="s">
        <v>2051</v>
      </c>
      <c r="R1197" t="s">
        <v>2054</v>
      </c>
      <c r="V1197">
        <v>2.9613735018600802</v>
      </c>
      <c r="W1197" t="s">
        <v>24</v>
      </c>
      <c r="X1197" t="s">
        <v>3</v>
      </c>
      <c r="Z1197" s="4" t="str">
        <f t="shared" si="75"/>
        <v>Y</v>
      </c>
      <c r="AA1197" t="s">
        <v>1121</v>
      </c>
      <c r="AB1197" t="s">
        <v>2055</v>
      </c>
      <c r="AC1197" t="s">
        <v>2041</v>
      </c>
    </row>
    <row r="1198" spans="2:29" x14ac:dyDescent="0.2">
      <c r="B1198" t="s">
        <v>1330</v>
      </c>
      <c r="C1198" t="s">
        <v>2042</v>
      </c>
      <c r="D1198" t="s">
        <v>2043</v>
      </c>
      <c r="E1198">
        <v>2025</v>
      </c>
      <c r="F1198" s="58" t="s">
        <v>2047</v>
      </c>
      <c r="G1198" s="61" t="s">
        <v>2036</v>
      </c>
      <c r="H1198" s="13">
        <v>38.06</v>
      </c>
      <c r="I1198" s="13">
        <v>-122.41</v>
      </c>
      <c r="J1198" s="13">
        <v>1980</v>
      </c>
      <c r="K1198" s="13">
        <v>2020</v>
      </c>
      <c r="L1198" s="13">
        <f t="shared" si="76"/>
        <v>41</v>
      </c>
      <c r="M1198" t="s">
        <v>2046</v>
      </c>
      <c r="N1198" t="s">
        <v>51</v>
      </c>
      <c r="O1198" t="s">
        <v>376</v>
      </c>
      <c r="P1198" t="s">
        <v>2040</v>
      </c>
      <c r="Q1198" t="s">
        <v>2053</v>
      </c>
      <c r="R1198" t="s">
        <v>2054</v>
      </c>
      <c r="V1198">
        <v>-2.1888392168287001</v>
      </c>
      <c r="W1198" t="s">
        <v>3</v>
      </c>
      <c r="X1198" t="s">
        <v>3</v>
      </c>
      <c r="Z1198" s="4" t="str">
        <f t="shared" si="75"/>
        <v>Y</v>
      </c>
      <c r="AA1198" t="s">
        <v>1121</v>
      </c>
      <c r="AB1198" t="s">
        <v>2055</v>
      </c>
      <c r="AC1198" t="s">
        <v>2041</v>
      </c>
    </row>
    <row r="1199" spans="2:29" x14ac:dyDescent="0.2">
      <c r="B1199" t="s">
        <v>1330</v>
      </c>
      <c r="C1199" t="s">
        <v>2059</v>
      </c>
      <c r="D1199" s="38" t="s">
        <v>2057</v>
      </c>
      <c r="E1199">
        <v>2009</v>
      </c>
      <c r="F1199" s="58" t="s">
        <v>2058</v>
      </c>
      <c r="G1199" s="61" t="s">
        <v>513</v>
      </c>
      <c r="H1199" s="13">
        <v>41.5</v>
      </c>
      <c r="I1199" s="13">
        <v>-71.5</v>
      </c>
      <c r="J1199" s="13">
        <v>1974</v>
      </c>
      <c r="K1199" s="13">
        <v>2002</v>
      </c>
      <c r="L1199" s="13">
        <f t="shared" si="76"/>
        <v>29</v>
      </c>
      <c r="M1199" t="s">
        <v>371</v>
      </c>
      <c r="N1199" t="s">
        <v>51</v>
      </c>
      <c r="O1199" t="s">
        <v>376</v>
      </c>
      <c r="P1199" t="s">
        <v>204</v>
      </c>
      <c r="Q1199" t="s">
        <v>1220</v>
      </c>
      <c r="R1199" t="s">
        <v>2060</v>
      </c>
      <c r="V1199">
        <v>-4</v>
      </c>
      <c r="W1199" t="s">
        <v>3</v>
      </c>
      <c r="X1199" t="s">
        <v>3</v>
      </c>
      <c r="Z1199" s="4" t="str">
        <f t="shared" si="75"/>
        <v>Y</v>
      </c>
      <c r="AA1199" t="s">
        <v>2056</v>
      </c>
      <c r="AB1199" t="s">
        <v>2061</v>
      </c>
      <c r="AC1199" t="s">
        <v>2062</v>
      </c>
    </row>
    <row r="1200" spans="2:29" x14ac:dyDescent="0.2">
      <c r="B1200" t="s">
        <v>1330</v>
      </c>
      <c r="C1200" t="s">
        <v>2064</v>
      </c>
      <c r="D1200" s="38" t="s">
        <v>2063</v>
      </c>
      <c r="E1200">
        <v>2003</v>
      </c>
      <c r="F1200" s="58" t="s">
        <v>2069</v>
      </c>
      <c r="G1200" s="61" t="s">
        <v>513</v>
      </c>
      <c r="H1200" s="13">
        <v>45.5</v>
      </c>
      <c r="I1200" s="13">
        <v>-68.8</v>
      </c>
      <c r="J1200" s="13">
        <v>1983</v>
      </c>
      <c r="K1200" s="13">
        <v>2001</v>
      </c>
      <c r="L1200" s="13">
        <f t="shared" si="76"/>
        <v>19</v>
      </c>
      <c r="M1200" t="s">
        <v>369</v>
      </c>
      <c r="N1200" t="s">
        <v>51</v>
      </c>
      <c r="O1200" t="s">
        <v>376</v>
      </c>
      <c r="P1200" t="s">
        <v>2</v>
      </c>
      <c r="Q1200" t="s">
        <v>50</v>
      </c>
      <c r="R1200" t="s">
        <v>2066</v>
      </c>
      <c r="V1200">
        <v>-13.3</v>
      </c>
      <c r="W1200" t="s">
        <v>3</v>
      </c>
      <c r="X1200" t="s">
        <v>3</v>
      </c>
      <c r="Z1200" s="4" t="str">
        <f t="shared" si="75"/>
        <v>Y</v>
      </c>
      <c r="AA1200" t="s">
        <v>2056</v>
      </c>
      <c r="AB1200" t="s">
        <v>2067</v>
      </c>
      <c r="AC1200" t="s">
        <v>2068</v>
      </c>
    </row>
    <row r="1201" spans="1:33" x14ac:dyDescent="0.2">
      <c r="B1201" t="s">
        <v>1330</v>
      </c>
      <c r="C1201" t="s">
        <v>2064</v>
      </c>
      <c r="D1201" s="38" t="s">
        <v>2063</v>
      </c>
      <c r="E1201">
        <v>2003</v>
      </c>
      <c r="F1201" s="58" t="s">
        <v>2065</v>
      </c>
      <c r="G1201" s="61" t="s">
        <v>513</v>
      </c>
      <c r="H1201" s="13">
        <v>43.91</v>
      </c>
      <c r="I1201" s="13">
        <v>-69.989999999999995</v>
      </c>
      <c r="J1201" s="13">
        <v>1983</v>
      </c>
      <c r="K1201" s="13">
        <v>2001</v>
      </c>
      <c r="L1201" s="13">
        <f t="shared" si="76"/>
        <v>19</v>
      </c>
      <c r="M1201" t="s">
        <v>369</v>
      </c>
      <c r="N1201" t="s">
        <v>51</v>
      </c>
      <c r="O1201" t="s">
        <v>376</v>
      </c>
      <c r="P1201" t="s">
        <v>204</v>
      </c>
      <c r="Q1201" t="s">
        <v>1220</v>
      </c>
      <c r="R1201" t="s">
        <v>2066</v>
      </c>
      <c r="V1201">
        <v>-8.6999999999999993</v>
      </c>
      <c r="W1201" t="s">
        <v>3</v>
      </c>
      <c r="X1201" t="s">
        <v>3</v>
      </c>
      <c r="Z1201" s="4" t="str">
        <f t="shared" si="75"/>
        <v>Y</v>
      </c>
      <c r="AA1201" t="s">
        <v>2056</v>
      </c>
      <c r="AB1201" t="s">
        <v>2067</v>
      </c>
      <c r="AC1201" t="s">
        <v>2068</v>
      </c>
    </row>
    <row r="1202" spans="1:33" x14ac:dyDescent="0.2">
      <c r="D1202" s="38"/>
      <c r="F1202" s="58"/>
      <c r="G1202" s="61"/>
    </row>
    <row r="1203" spans="1:33" x14ac:dyDescent="0.2">
      <c r="D1203" s="38"/>
      <c r="F1203" s="58"/>
      <c r="G1203" s="61"/>
    </row>
    <row r="1204" spans="1:33" x14ac:dyDescent="0.2">
      <c r="D1204" s="38"/>
      <c r="F1204" s="58"/>
      <c r="G1204" s="61"/>
    </row>
    <row r="1205" spans="1:33" x14ac:dyDescent="0.2">
      <c r="D1205" s="38"/>
      <c r="G1205" s="61"/>
    </row>
    <row r="1206" spans="1:33" x14ac:dyDescent="0.2">
      <c r="D1206" s="38"/>
      <c r="F1206" s="58"/>
      <c r="G1206" s="61"/>
    </row>
    <row r="1207" spans="1:33" x14ac:dyDescent="0.2">
      <c r="D1207" s="38"/>
      <c r="F1207" s="58"/>
      <c r="G1207" s="61"/>
    </row>
    <row r="1208" spans="1:33" x14ac:dyDescent="0.2">
      <c r="D1208" s="38"/>
      <c r="F1208" s="58"/>
      <c r="G1208" s="61"/>
    </row>
    <row r="1209" spans="1:33" x14ac:dyDescent="0.2">
      <c r="D1209" s="38"/>
      <c r="F1209" s="58"/>
      <c r="G1209" s="61"/>
    </row>
    <row r="1210" spans="1:33" x14ac:dyDescent="0.2">
      <c r="D1210" s="38"/>
      <c r="F1210" s="58"/>
      <c r="G1210" s="61"/>
    </row>
    <row r="1211" spans="1:33" x14ac:dyDescent="0.2">
      <c r="D1211" s="38"/>
      <c r="F1211" s="58"/>
      <c r="G1211" s="61"/>
    </row>
    <row r="1212" spans="1:33" s="63" customFormat="1" x14ac:dyDescent="0.2">
      <c r="A1212"/>
      <c r="B1212" s="63" t="s">
        <v>1330</v>
      </c>
      <c r="C1212" s="63" t="s">
        <v>1935</v>
      </c>
      <c r="D1212" s="64" t="s">
        <v>2070</v>
      </c>
      <c r="E1212" s="63">
        <v>2010</v>
      </c>
      <c r="F1212" s="65" t="s">
        <v>2071</v>
      </c>
      <c r="G1212" s="61" t="s">
        <v>513</v>
      </c>
      <c r="H1212" s="66">
        <v>46.72</v>
      </c>
      <c r="I1212" s="66">
        <v>-95.91</v>
      </c>
      <c r="J1212" s="66">
        <v>1971</v>
      </c>
      <c r="K1212" s="66">
        <v>2006</v>
      </c>
      <c r="L1212" s="66">
        <f t="shared" ref="L1212:L1253" si="77">K1212-J1212+1</f>
        <v>36</v>
      </c>
      <c r="M1212" s="63" t="s">
        <v>369</v>
      </c>
      <c r="N1212" s="63" t="s">
        <v>51</v>
      </c>
      <c r="O1212" s="63" t="s">
        <v>376</v>
      </c>
      <c r="P1212" s="63" t="s">
        <v>2087</v>
      </c>
      <c r="Q1212" s="63" t="s">
        <v>2086</v>
      </c>
      <c r="R1212" s="63" t="s">
        <v>2085</v>
      </c>
      <c r="S1212"/>
      <c r="T1212"/>
      <c r="U1212"/>
      <c r="V1212" s="63">
        <v>-1.8</v>
      </c>
      <c r="W1212" s="63" t="s">
        <v>3</v>
      </c>
      <c r="X1212" s="63" t="s">
        <v>3</v>
      </c>
      <c r="Y1212"/>
      <c r="Z1212" s="63" t="str">
        <f t="shared" ref="Z1212:Z1240" si="78">IF(L1212&gt;=19,"Y","N")</f>
        <v>Y</v>
      </c>
      <c r="AA1212" s="63" t="s">
        <v>2056</v>
      </c>
      <c r="AB1212" s="63" t="s">
        <v>2088</v>
      </c>
      <c r="AC1212" s="63" t="s">
        <v>2084</v>
      </c>
      <c r="AD1212"/>
      <c r="AE1212"/>
      <c r="AF1212"/>
      <c r="AG1212"/>
    </row>
    <row r="1213" spans="1:33" x14ac:dyDescent="0.2">
      <c r="B1213" t="s">
        <v>1330</v>
      </c>
      <c r="C1213" t="s">
        <v>1935</v>
      </c>
      <c r="D1213" s="38" t="s">
        <v>2070</v>
      </c>
      <c r="E1213">
        <v>2010</v>
      </c>
      <c r="F1213" s="58" t="s">
        <v>2072</v>
      </c>
      <c r="G1213" s="61" t="s">
        <v>513</v>
      </c>
      <c r="H1213" s="13">
        <v>47.167999999999999</v>
      </c>
      <c r="I1213" s="13">
        <v>-94.12</v>
      </c>
      <c r="J1213" s="13">
        <v>1970</v>
      </c>
      <c r="K1213" s="13">
        <v>2006</v>
      </c>
      <c r="L1213" s="13">
        <f t="shared" si="77"/>
        <v>37</v>
      </c>
      <c r="M1213" t="s">
        <v>369</v>
      </c>
      <c r="N1213" t="s">
        <v>51</v>
      </c>
      <c r="O1213" t="s">
        <v>376</v>
      </c>
      <c r="P1213" t="s">
        <v>2087</v>
      </c>
      <c r="Q1213" t="s">
        <v>2086</v>
      </c>
      <c r="R1213" t="s">
        <v>2085</v>
      </c>
      <c r="V1213">
        <v>-0.4</v>
      </c>
      <c r="W1213" t="s">
        <v>3</v>
      </c>
      <c r="X1213" t="s">
        <v>3</v>
      </c>
      <c r="Z1213" s="4" t="str">
        <f t="shared" si="78"/>
        <v>Y</v>
      </c>
      <c r="AA1213" t="s">
        <v>2056</v>
      </c>
      <c r="AB1213" t="s">
        <v>2088</v>
      </c>
      <c r="AC1213" t="s">
        <v>2084</v>
      </c>
    </row>
    <row r="1214" spans="1:33" s="4" customFormat="1" x14ac:dyDescent="0.2">
      <c r="A1214"/>
      <c r="B1214" s="4" t="s">
        <v>1330</v>
      </c>
      <c r="C1214" t="s">
        <v>1935</v>
      </c>
      <c r="D1214" s="38" t="s">
        <v>2070</v>
      </c>
      <c r="E1214">
        <v>2010</v>
      </c>
      <c r="F1214" s="59" t="s">
        <v>2073</v>
      </c>
      <c r="G1214" s="61" t="s">
        <v>513</v>
      </c>
      <c r="H1214" s="37">
        <v>45.33</v>
      </c>
      <c r="I1214" s="37">
        <v>-93.74</v>
      </c>
      <c r="J1214" s="37">
        <v>1985</v>
      </c>
      <c r="K1214" s="37">
        <v>1993</v>
      </c>
      <c r="L1214" s="37">
        <f t="shared" si="77"/>
        <v>9</v>
      </c>
      <c r="M1214" t="s">
        <v>369</v>
      </c>
      <c r="N1214" t="s">
        <v>51</v>
      </c>
      <c r="O1214" t="s">
        <v>376</v>
      </c>
      <c r="P1214" t="s">
        <v>2087</v>
      </c>
      <c r="Q1214" t="s">
        <v>2086</v>
      </c>
      <c r="R1214" t="s">
        <v>2085</v>
      </c>
      <c r="S1214"/>
      <c r="T1214"/>
      <c r="U1214"/>
      <c r="V1214" s="4">
        <v>7.33</v>
      </c>
      <c r="W1214" s="4" t="s">
        <v>24</v>
      </c>
      <c r="X1214" t="s">
        <v>24</v>
      </c>
      <c r="Y1214"/>
      <c r="Z1214" s="4" t="str">
        <f t="shared" si="78"/>
        <v>N</v>
      </c>
      <c r="AA1214" t="s">
        <v>2056</v>
      </c>
      <c r="AB1214" t="s">
        <v>2088</v>
      </c>
      <c r="AC1214" t="s">
        <v>2084</v>
      </c>
      <c r="AD1214"/>
      <c r="AE1214"/>
      <c r="AF1214"/>
      <c r="AG1214"/>
    </row>
    <row r="1215" spans="1:33" x14ac:dyDescent="0.2">
      <c r="B1215" t="s">
        <v>1330</v>
      </c>
      <c r="C1215" t="s">
        <v>1935</v>
      </c>
      <c r="D1215" s="38" t="s">
        <v>2070</v>
      </c>
      <c r="E1215">
        <v>2010</v>
      </c>
      <c r="F1215" s="58" t="s">
        <v>2074</v>
      </c>
      <c r="G1215" s="61" t="s">
        <v>513</v>
      </c>
      <c r="H1215" s="13">
        <v>47.5</v>
      </c>
      <c r="I1215" s="13">
        <v>-94.04</v>
      </c>
      <c r="J1215" s="13">
        <v>1942</v>
      </c>
      <c r="K1215" s="13">
        <v>2007</v>
      </c>
      <c r="L1215" s="13">
        <f t="shared" si="77"/>
        <v>66</v>
      </c>
      <c r="M1215" t="s">
        <v>369</v>
      </c>
      <c r="N1215" t="s">
        <v>51</v>
      </c>
      <c r="O1215" t="s">
        <v>376</v>
      </c>
      <c r="P1215" t="s">
        <v>2087</v>
      </c>
      <c r="Q1215" t="s">
        <v>2086</v>
      </c>
      <c r="R1215" t="s">
        <v>2085</v>
      </c>
      <c r="V1215">
        <v>-0.76</v>
      </c>
      <c r="W1215" t="s">
        <v>3</v>
      </c>
      <c r="X1215" t="s">
        <v>3</v>
      </c>
      <c r="Z1215" s="4" t="str">
        <f t="shared" si="78"/>
        <v>Y</v>
      </c>
      <c r="AA1215" t="s">
        <v>2056</v>
      </c>
      <c r="AB1215" t="s">
        <v>2088</v>
      </c>
      <c r="AC1215" t="s">
        <v>2084</v>
      </c>
    </row>
    <row r="1216" spans="1:33" x14ac:dyDescent="0.2">
      <c r="B1216" t="s">
        <v>1330</v>
      </c>
      <c r="C1216" t="s">
        <v>1935</v>
      </c>
      <c r="D1216" s="38" t="s">
        <v>2070</v>
      </c>
      <c r="E1216">
        <v>2010</v>
      </c>
      <c r="F1216" s="58" t="s">
        <v>2075</v>
      </c>
      <c r="G1216" s="61" t="s">
        <v>513</v>
      </c>
      <c r="H1216" s="13">
        <v>47.5</v>
      </c>
      <c r="I1216" s="13">
        <v>-94.04</v>
      </c>
      <c r="J1216" s="13">
        <v>1970</v>
      </c>
      <c r="K1216" s="13">
        <v>2007</v>
      </c>
      <c r="L1216" s="13">
        <f t="shared" si="77"/>
        <v>38</v>
      </c>
      <c r="M1216" t="s">
        <v>369</v>
      </c>
      <c r="N1216" t="s">
        <v>51</v>
      </c>
      <c r="O1216" t="s">
        <v>376</v>
      </c>
      <c r="P1216" t="s">
        <v>2087</v>
      </c>
      <c r="Q1216" t="s">
        <v>2086</v>
      </c>
      <c r="R1216" t="s">
        <v>2085</v>
      </c>
      <c r="V1216">
        <v>-1.32</v>
      </c>
      <c r="W1216" t="s">
        <v>3</v>
      </c>
      <c r="X1216" t="s">
        <v>3</v>
      </c>
      <c r="Z1216" s="4" t="str">
        <f t="shared" si="78"/>
        <v>Y</v>
      </c>
      <c r="AA1216" t="s">
        <v>2056</v>
      </c>
      <c r="AB1216" t="s">
        <v>2088</v>
      </c>
      <c r="AC1216" t="s">
        <v>2084</v>
      </c>
    </row>
    <row r="1217" spans="1:33" x14ac:dyDescent="0.2">
      <c r="B1217" t="s">
        <v>1330</v>
      </c>
      <c r="C1217" t="s">
        <v>1935</v>
      </c>
      <c r="D1217" s="38" t="s">
        <v>2070</v>
      </c>
      <c r="E1217">
        <v>2010</v>
      </c>
      <c r="F1217" s="58" t="s">
        <v>2076</v>
      </c>
      <c r="G1217" s="61" t="s">
        <v>513</v>
      </c>
      <c r="H1217" s="13">
        <v>46.43</v>
      </c>
      <c r="I1217" s="13">
        <v>-95.66</v>
      </c>
      <c r="J1217" s="13">
        <v>1966</v>
      </c>
      <c r="K1217" s="13">
        <v>2007</v>
      </c>
      <c r="L1217" s="13">
        <f t="shared" si="77"/>
        <v>42</v>
      </c>
      <c r="M1217" t="s">
        <v>369</v>
      </c>
      <c r="N1217" t="s">
        <v>51</v>
      </c>
      <c r="O1217" t="s">
        <v>376</v>
      </c>
      <c r="P1217" t="s">
        <v>2087</v>
      </c>
      <c r="Q1217" t="s">
        <v>2086</v>
      </c>
      <c r="R1217" t="s">
        <v>2085</v>
      </c>
      <c r="V1217">
        <v>-0.98</v>
      </c>
      <c r="W1217" t="s">
        <v>3</v>
      </c>
      <c r="X1217" t="s">
        <v>3</v>
      </c>
      <c r="Z1217" s="4" t="str">
        <f t="shared" si="78"/>
        <v>Y</v>
      </c>
      <c r="AA1217" t="s">
        <v>2056</v>
      </c>
      <c r="AB1217" t="s">
        <v>2088</v>
      </c>
      <c r="AC1217" t="s">
        <v>2084</v>
      </c>
    </row>
    <row r="1218" spans="1:33" x14ac:dyDescent="0.2">
      <c r="B1218" t="s">
        <v>1330</v>
      </c>
      <c r="C1218" t="s">
        <v>1935</v>
      </c>
      <c r="D1218" s="38" t="s">
        <v>2070</v>
      </c>
      <c r="E1218">
        <v>2010</v>
      </c>
      <c r="F1218" s="58" t="s">
        <v>2077</v>
      </c>
      <c r="G1218" s="61" t="s">
        <v>513</v>
      </c>
      <c r="H1218" s="13">
        <v>45.33</v>
      </c>
      <c r="I1218" s="13">
        <v>-94.7</v>
      </c>
      <c r="J1218" s="13">
        <v>1996</v>
      </c>
      <c r="K1218" s="13">
        <v>2007</v>
      </c>
      <c r="L1218" s="13">
        <f t="shared" si="77"/>
        <v>12</v>
      </c>
      <c r="M1218" t="s">
        <v>369</v>
      </c>
      <c r="N1218" t="s">
        <v>51</v>
      </c>
      <c r="O1218" t="s">
        <v>376</v>
      </c>
      <c r="P1218" t="s">
        <v>2087</v>
      </c>
      <c r="Q1218" t="s">
        <v>2086</v>
      </c>
      <c r="R1218" t="s">
        <v>2085</v>
      </c>
      <c r="V1218">
        <v>-13.3</v>
      </c>
      <c r="W1218" t="s">
        <v>3</v>
      </c>
      <c r="X1218" t="s">
        <v>24</v>
      </c>
      <c r="Z1218" s="4" t="str">
        <f t="shared" si="78"/>
        <v>N</v>
      </c>
      <c r="AA1218" t="s">
        <v>2056</v>
      </c>
      <c r="AB1218" t="s">
        <v>2088</v>
      </c>
      <c r="AC1218" t="s">
        <v>2084</v>
      </c>
    </row>
    <row r="1219" spans="1:33" x14ac:dyDescent="0.2">
      <c r="B1219" t="s">
        <v>1330</v>
      </c>
      <c r="C1219" t="s">
        <v>1935</v>
      </c>
      <c r="D1219" s="38" t="s">
        <v>2070</v>
      </c>
      <c r="E1219">
        <v>2010</v>
      </c>
      <c r="F1219" s="58" t="s">
        <v>2078</v>
      </c>
      <c r="G1219" s="61" t="s">
        <v>513</v>
      </c>
      <c r="H1219" s="13">
        <v>46.77</v>
      </c>
      <c r="I1219" s="13">
        <v>-95.89</v>
      </c>
      <c r="J1219" s="13">
        <v>1971</v>
      </c>
      <c r="K1219" s="13">
        <v>2007</v>
      </c>
      <c r="L1219" s="13">
        <f t="shared" si="77"/>
        <v>37</v>
      </c>
      <c r="M1219" t="s">
        <v>369</v>
      </c>
      <c r="N1219" t="s">
        <v>51</v>
      </c>
      <c r="O1219" t="s">
        <v>376</v>
      </c>
      <c r="P1219" t="s">
        <v>2087</v>
      </c>
      <c r="Q1219" t="s">
        <v>2086</v>
      </c>
      <c r="R1219" t="s">
        <v>2085</v>
      </c>
      <c r="V1219">
        <v>-0.22</v>
      </c>
      <c r="W1219" t="s">
        <v>3</v>
      </c>
      <c r="X1219" t="s">
        <v>3</v>
      </c>
      <c r="Z1219" s="4" t="str">
        <f t="shared" si="78"/>
        <v>Y</v>
      </c>
      <c r="AA1219" t="s">
        <v>2056</v>
      </c>
      <c r="AB1219" t="s">
        <v>2088</v>
      </c>
      <c r="AC1219" t="s">
        <v>2084</v>
      </c>
    </row>
    <row r="1220" spans="1:33" x14ac:dyDescent="0.2">
      <c r="B1220" t="s">
        <v>1330</v>
      </c>
      <c r="C1220" t="s">
        <v>1935</v>
      </c>
      <c r="D1220" s="38" t="s">
        <v>2070</v>
      </c>
      <c r="E1220">
        <v>2010</v>
      </c>
      <c r="F1220" s="58" t="s">
        <v>2079</v>
      </c>
      <c r="G1220" s="61" t="s">
        <v>513</v>
      </c>
      <c r="H1220" s="13">
        <v>46.21</v>
      </c>
      <c r="I1220" s="13">
        <v>-96.18</v>
      </c>
      <c r="J1220" s="13">
        <v>1954</v>
      </c>
      <c r="K1220" s="13">
        <v>2002</v>
      </c>
      <c r="L1220" s="13">
        <f t="shared" si="77"/>
        <v>49</v>
      </c>
      <c r="M1220" t="s">
        <v>369</v>
      </c>
      <c r="N1220" t="s">
        <v>51</v>
      </c>
      <c r="O1220" t="s">
        <v>376</v>
      </c>
      <c r="P1220" t="s">
        <v>2087</v>
      </c>
      <c r="Q1220" t="s">
        <v>2086</v>
      </c>
      <c r="R1220" t="s">
        <v>2085</v>
      </c>
      <c r="V1220">
        <v>-2.97</v>
      </c>
      <c r="W1220" t="s">
        <v>3</v>
      </c>
      <c r="X1220" t="s">
        <v>3</v>
      </c>
      <c r="Z1220" s="4" t="str">
        <f t="shared" si="78"/>
        <v>Y</v>
      </c>
      <c r="AA1220" t="s">
        <v>2056</v>
      </c>
      <c r="AB1220" t="s">
        <v>2088</v>
      </c>
      <c r="AC1220" t="s">
        <v>2084</v>
      </c>
    </row>
    <row r="1221" spans="1:33" x14ac:dyDescent="0.2">
      <c r="B1221" t="s">
        <v>1330</v>
      </c>
      <c r="C1221" t="s">
        <v>1935</v>
      </c>
      <c r="D1221" s="38" t="s">
        <v>2070</v>
      </c>
      <c r="E1221">
        <v>2010</v>
      </c>
      <c r="F1221" s="58" t="s">
        <v>2079</v>
      </c>
      <c r="G1221" s="61" t="s">
        <v>513</v>
      </c>
      <c r="H1221" s="13">
        <v>46.21</v>
      </c>
      <c r="I1221" s="13">
        <v>-96.18</v>
      </c>
      <c r="J1221" s="13">
        <v>1971</v>
      </c>
      <c r="K1221" s="13">
        <v>2002</v>
      </c>
      <c r="L1221" s="13">
        <f t="shared" si="77"/>
        <v>32</v>
      </c>
      <c r="M1221" t="s">
        <v>369</v>
      </c>
      <c r="N1221" t="s">
        <v>51</v>
      </c>
      <c r="O1221" t="s">
        <v>376</v>
      </c>
      <c r="P1221" t="s">
        <v>2087</v>
      </c>
      <c r="Q1221" t="s">
        <v>2086</v>
      </c>
      <c r="R1221" t="s">
        <v>2085</v>
      </c>
      <c r="V1221">
        <v>-2.25</v>
      </c>
      <c r="W1221" t="s">
        <v>3</v>
      </c>
      <c r="X1221" t="s">
        <v>24</v>
      </c>
      <c r="Z1221" s="4" t="str">
        <f t="shared" si="78"/>
        <v>Y</v>
      </c>
      <c r="AA1221" t="s">
        <v>2056</v>
      </c>
      <c r="AB1221" t="s">
        <v>2088</v>
      </c>
      <c r="AC1221" t="s">
        <v>2084</v>
      </c>
    </row>
    <row r="1222" spans="1:33" x14ac:dyDescent="0.2">
      <c r="B1222" t="s">
        <v>1330</v>
      </c>
      <c r="C1222" t="s">
        <v>1935</v>
      </c>
      <c r="D1222" s="38" t="s">
        <v>2070</v>
      </c>
      <c r="E1222">
        <v>2010</v>
      </c>
      <c r="F1222" s="58" t="s">
        <v>2080</v>
      </c>
      <c r="G1222" s="61" t="s">
        <v>513</v>
      </c>
      <c r="H1222" s="13">
        <v>47.8</v>
      </c>
      <c r="I1222" s="13">
        <v>-92.37</v>
      </c>
      <c r="J1222" s="13">
        <v>1946</v>
      </c>
      <c r="K1222" s="13">
        <v>2007</v>
      </c>
      <c r="L1222" s="13">
        <f t="shared" si="77"/>
        <v>62</v>
      </c>
      <c r="M1222" t="s">
        <v>369</v>
      </c>
      <c r="N1222" t="s">
        <v>51</v>
      </c>
      <c r="O1222" t="s">
        <v>376</v>
      </c>
      <c r="P1222" t="s">
        <v>2087</v>
      </c>
      <c r="Q1222" t="s">
        <v>2086</v>
      </c>
      <c r="R1222" t="s">
        <v>2085</v>
      </c>
      <c r="V1222">
        <v>-0.11</v>
      </c>
      <c r="W1222" t="s">
        <v>3</v>
      </c>
      <c r="X1222" t="s">
        <v>3</v>
      </c>
      <c r="Z1222" s="4" t="str">
        <f t="shared" si="78"/>
        <v>Y</v>
      </c>
      <c r="AA1222" t="s">
        <v>2056</v>
      </c>
      <c r="AB1222" t="s">
        <v>2088</v>
      </c>
      <c r="AC1222" t="s">
        <v>2084</v>
      </c>
    </row>
    <row r="1223" spans="1:33" x14ac:dyDescent="0.2">
      <c r="B1223" t="s">
        <v>1330</v>
      </c>
      <c r="C1223" t="s">
        <v>1935</v>
      </c>
      <c r="D1223" s="38" t="s">
        <v>2070</v>
      </c>
      <c r="E1223">
        <v>2010</v>
      </c>
      <c r="F1223" s="58" t="s">
        <v>2080</v>
      </c>
      <c r="G1223" s="61" t="s">
        <v>513</v>
      </c>
      <c r="H1223" s="13">
        <v>47.8</v>
      </c>
      <c r="I1223" s="13">
        <v>-92.37</v>
      </c>
      <c r="J1223" s="13">
        <v>1971</v>
      </c>
      <c r="K1223" s="13">
        <v>2007</v>
      </c>
      <c r="L1223" s="13">
        <f t="shared" si="77"/>
        <v>37</v>
      </c>
      <c r="M1223" t="s">
        <v>369</v>
      </c>
      <c r="N1223" t="s">
        <v>51</v>
      </c>
      <c r="O1223" t="s">
        <v>376</v>
      </c>
      <c r="P1223" t="s">
        <v>2087</v>
      </c>
      <c r="Q1223" t="s">
        <v>2086</v>
      </c>
      <c r="R1223" t="s">
        <v>2085</v>
      </c>
      <c r="V1223">
        <v>-1.25</v>
      </c>
      <c r="W1223" t="s">
        <v>3</v>
      </c>
      <c r="X1223" t="s">
        <v>3</v>
      </c>
      <c r="Z1223" s="4" t="str">
        <f t="shared" si="78"/>
        <v>Y</v>
      </c>
      <c r="AA1223" t="s">
        <v>2056</v>
      </c>
      <c r="AB1223" t="s">
        <v>2088</v>
      </c>
      <c r="AC1223" t="s">
        <v>2084</v>
      </c>
    </row>
    <row r="1224" spans="1:33" x14ac:dyDescent="0.2">
      <c r="B1224" t="s">
        <v>1330</v>
      </c>
      <c r="C1224" t="s">
        <v>1935</v>
      </c>
      <c r="D1224" s="38" t="s">
        <v>2070</v>
      </c>
      <c r="E1224">
        <v>2010</v>
      </c>
      <c r="F1224" s="58" t="s">
        <v>2081</v>
      </c>
      <c r="G1224" s="61" t="s">
        <v>513</v>
      </c>
      <c r="H1224" s="13">
        <v>46.71</v>
      </c>
      <c r="I1224" s="13">
        <v>-94.4</v>
      </c>
      <c r="J1224" s="13">
        <v>1942</v>
      </c>
      <c r="K1224" s="13">
        <v>2006</v>
      </c>
      <c r="L1224" s="13">
        <f t="shared" si="77"/>
        <v>65</v>
      </c>
      <c r="M1224" t="s">
        <v>369</v>
      </c>
      <c r="N1224" t="s">
        <v>51</v>
      </c>
      <c r="O1224" t="s">
        <v>376</v>
      </c>
      <c r="P1224" t="s">
        <v>2087</v>
      </c>
      <c r="Q1224" t="s">
        <v>2086</v>
      </c>
      <c r="R1224" t="s">
        <v>2085</v>
      </c>
      <c r="V1224">
        <v>-0.51</v>
      </c>
      <c r="W1224" t="s">
        <v>3</v>
      </c>
      <c r="X1224" t="s">
        <v>3</v>
      </c>
      <c r="Z1224" s="4" t="str">
        <f t="shared" si="78"/>
        <v>Y</v>
      </c>
      <c r="AA1224" t="s">
        <v>2056</v>
      </c>
      <c r="AB1224" t="s">
        <v>2088</v>
      </c>
      <c r="AC1224" t="s">
        <v>2084</v>
      </c>
    </row>
    <row r="1225" spans="1:33" x14ac:dyDescent="0.2">
      <c r="B1225" t="s">
        <v>1330</v>
      </c>
      <c r="C1225" t="s">
        <v>1935</v>
      </c>
      <c r="D1225" s="38" t="s">
        <v>2070</v>
      </c>
      <c r="E1225">
        <v>2010</v>
      </c>
      <c r="F1225" s="58" t="s">
        <v>2081</v>
      </c>
      <c r="G1225" s="61" t="s">
        <v>513</v>
      </c>
      <c r="H1225" s="13">
        <v>46.71</v>
      </c>
      <c r="I1225" s="13">
        <v>-94.4</v>
      </c>
      <c r="J1225" s="13">
        <v>1970</v>
      </c>
      <c r="K1225" s="13">
        <v>2006</v>
      </c>
      <c r="L1225" s="13">
        <f t="shared" si="77"/>
        <v>37</v>
      </c>
      <c r="M1225" t="s">
        <v>369</v>
      </c>
      <c r="N1225" t="s">
        <v>51</v>
      </c>
      <c r="O1225" t="s">
        <v>376</v>
      </c>
      <c r="P1225" t="s">
        <v>2087</v>
      </c>
      <c r="Q1225" t="s">
        <v>2086</v>
      </c>
      <c r="R1225" t="s">
        <v>2085</v>
      </c>
      <c r="V1225">
        <v>-2</v>
      </c>
      <c r="W1225" t="s">
        <v>3</v>
      </c>
      <c r="X1225" t="s">
        <v>24</v>
      </c>
      <c r="Z1225" s="4" t="str">
        <f t="shared" si="78"/>
        <v>Y</v>
      </c>
      <c r="AA1225" t="s">
        <v>2056</v>
      </c>
      <c r="AB1225" t="s">
        <v>2088</v>
      </c>
      <c r="AC1225" t="s">
        <v>2084</v>
      </c>
    </row>
    <row r="1226" spans="1:33" x14ac:dyDescent="0.2">
      <c r="B1226" t="s">
        <v>1330</v>
      </c>
      <c r="C1226" t="s">
        <v>1935</v>
      </c>
      <c r="D1226" s="38" t="s">
        <v>2070</v>
      </c>
      <c r="E1226">
        <v>2010</v>
      </c>
      <c r="F1226" s="58" t="s">
        <v>2082</v>
      </c>
      <c r="G1226" s="61" t="s">
        <v>513</v>
      </c>
      <c r="H1226" s="13">
        <v>47.39</v>
      </c>
      <c r="I1226" s="13">
        <v>-95.51</v>
      </c>
      <c r="J1226" s="13">
        <v>1987</v>
      </c>
      <c r="K1226" s="13">
        <v>2007</v>
      </c>
      <c r="L1226" s="13">
        <f t="shared" si="77"/>
        <v>21</v>
      </c>
      <c r="M1226" t="s">
        <v>369</v>
      </c>
      <c r="N1226" t="s">
        <v>51</v>
      </c>
      <c r="O1226" t="s">
        <v>376</v>
      </c>
      <c r="P1226" t="s">
        <v>2087</v>
      </c>
      <c r="Q1226" t="s">
        <v>2086</v>
      </c>
      <c r="R1226" t="s">
        <v>2085</v>
      </c>
      <c r="V1226">
        <v>1.64</v>
      </c>
      <c r="W1226" t="s">
        <v>24</v>
      </c>
      <c r="X1226" t="s">
        <v>3</v>
      </c>
      <c r="Z1226" s="4" t="str">
        <f t="shared" si="78"/>
        <v>Y</v>
      </c>
      <c r="AA1226" t="s">
        <v>2056</v>
      </c>
      <c r="AB1226" t="s">
        <v>2088</v>
      </c>
      <c r="AC1226" t="s">
        <v>2084</v>
      </c>
    </row>
    <row r="1227" spans="1:33" s="4" customFormat="1" x14ac:dyDescent="0.2">
      <c r="A1227"/>
      <c r="B1227" s="4" t="s">
        <v>1330</v>
      </c>
      <c r="C1227" t="s">
        <v>1935</v>
      </c>
      <c r="D1227" s="38" t="s">
        <v>2070</v>
      </c>
      <c r="E1227">
        <v>2010</v>
      </c>
      <c r="F1227" s="59" t="s">
        <v>2083</v>
      </c>
      <c r="G1227" s="61" t="s">
        <v>513</v>
      </c>
      <c r="H1227" s="37">
        <v>46.75</v>
      </c>
      <c r="I1227" s="37">
        <v>-92.1</v>
      </c>
      <c r="J1227" s="37">
        <v>1992</v>
      </c>
      <c r="K1227" s="37">
        <v>2006</v>
      </c>
      <c r="L1227" s="13">
        <f t="shared" si="77"/>
        <v>15</v>
      </c>
      <c r="M1227" t="s">
        <v>369</v>
      </c>
      <c r="N1227" t="s">
        <v>51</v>
      </c>
      <c r="O1227" t="s">
        <v>376</v>
      </c>
      <c r="P1227" t="s">
        <v>2087</v>
      </c>
      <c r="Q1227" t="s">
        <v>2086</v>
      </c>
      <c r="R1227" t="s">
        <v>2085</v>
      </c>
      <c r="S1227"/>
      <c r="T1227"/>
      <c r="U1227"/>
      <c r="V1227" s="4">
        <v>-2.79</v>
      </c>
      <c r="W1227" s="4" t="s">
        <v>3</v>
      </c>
      <c r="X1227" t="s">
        <v>3</v>
      </c>
      <c r="Y1227"/>
      <c r="Z1227" s="4" t="str">
        <f t="shared" si="78"/>
        <v>N</v>
      </c>
      <c r="AA1227" t="s">
        <v>2056</v>
      </c>
      <c r="AB1227" t="s">
        <v>2088</v>
      </c>
      <c r="AC1227" t="s">
        <v>2084</v>
      </c>
      <c r="AD1227"/>
      <c r="AE1227"/>
      <c r="AF1227"/>
      <c r="AG1227"/>
    </row>
    <row r="1228" spans="1:33" s="56" customFormat="1" x14ac:dyDescent="0.2">
      <c r="A1228"/>
      <c r="B1228" s="56" t="s">
        <v>1330</v>
      </c>
      <c r="C1228" s="56" t="s">
        <v>2090</v>
      </c>
      <c r="D1228" s="56" t="s">
        <v>2091</v>
      </c>
      <c r="E1228" s="56">
        <v>2017</v>
      </c>
      <c r="F1228" s="69" t="s">
        <v>2092</v>
      </c>
      <c r="G1228" s="70"/>
      <c r="H1228" s="71"/>
      <c r="I1228" s="71"/>
      <c r="J1228" s="71"/>
      <c r="K1228" s="71"/>
      <c r="L1228" s="71">
        <f t="shared" si="77"/>
        <v>1</v>
      </c>
      <c r="M1228" s="56" t="s">
        <v>369</v>
      </c>
      <c r="N1228" s="56" t="s">
        <v>51</v>
      </c>
      <c r="O1228" s="56" t="s">
        <v>376</v>
      </c>
      <c r="S1228"/>
      <c r="T1228"/>
      <c r="U1228"/>
      <c r="Y1228"/>
      <c r="Z1228" s="4" t="str">
        <f t="shared" si="78"/>
        <v>N</v>
      </c>
      <c r="AD1228"/>
      <c r="AE1228"/>
      <c r="AF1228"/>
      <c r="AG1228"/>
    </row>
    <row r="1229" spans="1:33" x14ac:dyDescent="0.2">
      <c r="B1229" t="s">
        <v>1330</v>
      </c>
      <c r="C1229" t="s">
        <v>1990</v>
      </c>
      <c r="D1229" s="67" t="s">
        <v>2093</v>
      </c>
      <c r="E1229">
        <v>2013</v>
      </c>
      <c r="F1229" s="68" t="s">
        <v>576</v>
      </c>
      <c r="G1229" s="61" t="s">
        <v>513</v>
      </c>
      <c r="H1229" s="13">
        <v>58.38</v>
      </c>
      <c r="I1229" s="13">
        <v>-134.63999999999999</v>
      </c>
      <c r="J1229" s="13">
        <v>1970</v>
      </c>
      <c r="K1229" s="13">
        <v>2010</v>
      </c>
      <c r="L1229" s="13">
        <f t="shared" si="77"/>
        <v>41</v>
      </c>
      <c r="M1229" t="s">
        <v>369</v>
      </c>
      <c r="N1229" t="s">
        <v>51</v>
      </c>
      <c r="O1229" t="s">
        <v>376</v>
      </c>
      <c r="P1229" t="s">
        <v>2094</v>
      </c>
      <c r="Q1229" t="s">
        <v>31</v>
      </c>
      <c r="R1229" t="s">
        <v>2100</v>
      </c>
      <c r="V1229">
        <v>-3.2933339017740999</v>
      </c>
      <c r="W1229" t="s">
        <v>3</v>
      </c>
      <c r="X1229" t="s">
        <v>3</v>
      </c>
      <c r="Z1229" s="4" t="str">
        <f t="shared" si="78"/>
        <v>Y</v>
      </c>
      <c r="AA1229" t="s">
        <v>2056</v>
      </c>
      <c r="AB1229" t="s">
        <v>2101</v>
      </c>
      <c r="AC1229" t="s">
        <v>1774</v>
      </c>
    </row>
    <row r="1230" spans="1:33" x14ac:dyDescent="0.2">
      <c r="B1230" t="s">
        <v>1330</v>
      </c>
      <c r="C1230" t="s">
        <v>1990</v>
      </c>
      <c r="D1230" s="67" t="s">
        <v>2093</v>
      </c>
      <c r="E1230">
        <v>2013</v>
      </c>
      <c r="F1230" s="68" t="s">
        <v>576</v>
      </c>
      <c r="G1230" s="61" t="s">
        <v>513</v>
      </c>
      <c r="H1230" s="13">
        <v>58.38</v>
      </c>
      <c r="I1230" s="13">
        <v>-134.63999999999999</v>
      </c>
      <c r="J1230" s="13">
        <v>1970</v>
      </c>
      <c r="K1230" s="13">
        <v>2010</v>
      </c>
      <c r="L1230" s="13">
        <f t="shared" si="77"/>
        <v>41</v>
      </c>
      <c r="M1230" t="s">
        <v>369</v>
      </c>
      <c r="N1230" t="s">
        <v>51</v>
      </c>
      <c r="O1230" t="s">
        <v>376</v>
      </c>
      <c r="P1230" t="s">
        <v>2095</v>
      </c>
      <c r="Q1230" t="s">
        <v>31</v>
      </c>
      <c r="R1230" t="s">
        <v>2100</v>
      </c>
      <c r="V1230">
        <v>-2.5599996508788898</v>
      </c>
      <c r="W1230" t="s">
        <v>3</v>
      </c>
      <c r="X1230" t="s">
        <v>3</v>
      </c>
      <c r="Z1230" s="4" t="str">
        <f t="shared" si="78"/>
        <v>Y</v>
      </c>
      <c r="AA1230" t="s">
        <v>2056</v>
      </c>
      <c r="AB1230" t="s">
        <v>2101</v>
      </c>
      <c r="AC1230" t="s">
        <v>1774</v>
      </c>
    </row>
    <row r="1231" spans="1:33" x14ac:dyDescent="0.2">
      <c r="B1231" t="s">
        <v>1330</v>
      </c>
      <c r="C1231" t="s">
        <v>1990</v>
      </c>
      <c r="D1231" s="67" t="s">
        <v>2093</v>
      </c>
      <c r="E1231">
        <v>2013</v>
      </c>
      <c r="F1231" s="68" t="s">
        <v>576</v>
      </c>
      <c r="G1231" s="61" t="s">
        <v>513</v>
      </c>
      <c r="H1231" s="13">
        <v>58.38</v>
      </c>
      <c r="I1231" s="13">
        <v>-134.63999999999999</v>
      </c>
      <c r="J1231" s="13">
        <v>1970</v>
      </c>
      <c r="K1231" s="13">
        <v>2010</v>
      </c>
      <c r="L1231" s="13">
        <f t="shared" si="77"/>
        <v>41</v>
      </c>
      <c r="M1231" t="s">
        <v>369</v>
      </c>
      <c r="N1231" t="s">
        <v>51</v>
      </c>
      <c r="O1231" t="s">
        <v>376</v>
      </c>
      <c r="P1231" t="s">
        <v>2096</v>
      </c>
      <c r="Q1231" t="s">
        <v>1294</v>
      </c>
      <c r="R1231" t="s">
        <v>2100</v>
      </c>
      <c r="V1231">
        <v>1.90666650105794</v>
      </c>
      <c r="W1231" t="s">
        <v>24</v>
      </c>
      <c r="X1231" t="s">
        <v>3</v>
      </c>
      <c r="Z1231" s="4" t="str">
        <f t="shared" si="78"/>
        <v>Y</v>
      </c>
      <c r="AA1231" t="s">
        <v>2056</v>
      </c>
      <c r="AB1231" t="s">
        <v>2101</v>
      </c>
      <c r="AC1231" t="s">
        <v>1774</v>
      </c>
    </row>
    <row r="1232" spans="1:33" x14ac:dyDescent="0.2">
      <c r="B1232" t="s">
        <v>1330</v>
      </c>
      <c r="C1232" t="s">
        <v>1990</v>
      </c>
      <c r="D1232" s="67" t="s">
        <v>2093</v>
      </c>
      <c r="E1232">
        <v>2013</v>
      </c>
      <c r="F1232" s="68" t="s">
        <v>576</v>
      </c>
      <c r="G1232" s="61" t="s">
        <v>513</v>
      </c>
      <c r="H1232" s="13">
        <v>58.38</v>
      </c>
      <c r="I1232" s="13">
        <v>-134.63999999999999</v>
      </c>
      <c r="J1232" s="13">
        <v>1970</v>
      </c>
      <c r="K1232" s="13">
        <v>2010</v>
      </c>
      <c r="L1232" s="13">
        <f t="shared" si="77"/>
        <v>41</v>
      </c>
      <c r="M1232" t="s">
        <v>369</v>
      </c>
      <c r="N1232" t="s">
        <v>51</v>
      </c>
      <c r="O1232" t="s">
        <v>376</v>
      </c>
      <c r="P1232" t="s">
        <v>2097</v>
      </c>
      <c r="Q1232" t="s">
        <v>1294</v>
      </c>
      <c r="R1232" t="s">
        <v>2100</v>
      </c>
      <c r="V1232">
        <v>-3.0533339554850398</v>
      </c>
      <c r="W1232" t="s">
        <v>3</v>
      </c>
      <c r="X1232" t="s">
        <v>3</v>
      </c>
      <c r="Z1232" s="4" t="str">
        <f t="shared" si="78"/>
        <v>Y</v>
      </c>
      <c r="AA1232" t="s">
        <v>2056</v>
      </c>
      <c r="AB1232" t="s">
        <v>2101</v>
      </c>
      <c r="AC1232" t="s">
        <v>1774</v>
      </c>
    </row>
    <row r="1233" spans="1:33" x14ac:dyDescent="0.2">
      <c r="B1233" t="s">
        <v>1330</v>
      </c>
      <c r="C1233" t="s">
        <v>1990</v>
      </c>
      <c r="D1233" s="67" t="s">
        <v>2093</v>
      </c>
      <c r="E1233">
        <v>2013</v>
      </c>
      <c r="F1233" s="68" t="s">
        <v>576</v>
      </c>
      <c r="G1233" s="61" t="s">
        <v>513</v>
      </c>
      <c r="H1233" s="13">
        <v>58.38</v>
      </c>
      <c r="I1233" s="13">
        <v>-134.63999999999999</v>
      </c>
      <c r="J1233" s="13">
        <v>1970</v>
      </c>
      <c r="K1233" s="13">
        <v>2010</v>
      </c>
      <c r="L1233" s="13">
        <f t="shared" si="77"/>
        <v>41</v>
      </c>
      <c r="M1233" t="s">
        <v>369</v>
      </c>
      <c r="N1233" t="s">
        <v>51</v>
      </c>
      <c r="O1233" t="s">
        <v>376</v>
      </c>
      <c r="P1233" t="s">
        <v>2098</v>
      </c>
      <c r="Q1233" t="s">
        <v>922</v>
      </c>
      <c r="R1233" t="s">
        <v>2100</v>
      </c>
      <c r="V1233">
        <v>-4.1999993957519299</v>
      </c>
      <c r="W1233" t="s">
        <v>3</v>
      </c>
      <c r="X1233" t="s">
        <v>3</v>
      </c>
      <c r="Z1233" s="4" t="str">
        <f t="shared" si="78"/>
        <v>Y</v>
      </c>
      <c r="AA1233" t="s">
        <v>2056</v>
      </c>
      <c r="AB1233" t="s">
        <v>2101</v>
      </c>
      <c r="AC1233" t="s">
        <v>1774</v>
      </c>
    </row>
    <row r="1234" spans="1:33" x14ac:dyDescent="0.2">
      <c r="B1234" t="s">
        <v>1330</v>
      </c>
      <c r="C1234" t="s">
        <v>1990</v>
      </c>
      <c r="D1234" s="67" t="s">
        <v>2093</v>
      </c>
      <c r="E1234">
        <v>2013</v>
      </c>
      <c r="F1234" s="68" t="s">
        <v>576</v>
      </c>
      <c r="G1234" s="61" t="s">
        <v>513</v>
      </c>
      <c r="H1234" s="13">
        <v>58.38</v>
      </c>
      <c r="I1234" s="13">
        <v>-134.63999999999999</v>
      </c>
      <c r="J1234" s="13">
        <v>1970</v>
      </c>
      <c r="K1234" s="13">
        <v>2010</v>
      </c>
      <c r="L1234" s="13">
        <f t="shared" si="77"/>
        <v>41</v>
      </c>
      <c r="M1234" t="s">
        <v>369</v>
      </c>
      <c r="N1234" t="s">
        <v>51</v>
      </c>
      <c r="O1234" t="s">
        <v>376</v>
      </c>
      <c r="P1234" t="s">
        <v>2099</v>
      </c>
      <c r="Q1234" t="s">
        <v>922</v>
      </c>
      <c r="R1234" t="s">
        <v>2100</v>
      </c>
      <c r="V1234">
        <v>-3.1066662325032399</v>
      </c>
      <c r="W1234" t="s">
        <v>3</v>
      </c>
      <c r="X1234" t="s">
        <v>3</v>
      </c>
      <c r="Z1234" s="4" t="str">
        <f t="shared" si="78"/>
        <v>Y</v>
      </c>
      <c r="AA1234" t="s">
        <v>2056</v>
      </c>
      <c r="AB1234" t="s">
        <v>2101</v>
      </c>
      <c r="AC1234" t="s">
        <v>1774</v>
      </c>
    </row>
    <row r="1235" spans="1:33" x14ac:dyDescent="0.2">
      <c r="B1235" t="s">
        <v>1330</v>
      </c>
      <c r="C1235" t="s">
        <v>1990</v>
      </c>
      <c r="D1235" s="67" t="s">
        <v>2093</v>
      </c>
      <c r="E1235">
        <v>2013</v>
      </c>
      <c r="F1235" s="68" t="s">
        <v>576</v>
      </c>
      <c r="G1235" s="61" t="s">
        <v>513</v>
      </c>
      <c r="H1235" s="13">
        <v>58.38</v>
      </c>
      <c r="I1235" s="13">
        <v>-134.63999999999999</v>
      </c>
      <c r="J1235" s="13">
        <v>1970</v>
      </c>
      <c r="K1235" s="13">
        <v>2010</v>
      </c>
      <c r="L1235" s="13">
        <f t="shared" si="77"/>
        <v>41</v>
      </c>
      <c r="M1235" t="s">
        <v>369</v>
      </c>
      <c r="N1235" t="s">
        <v>51</v>
      </c>
      <c r="O1235" t="s">
        <v>376</v>
      </c>
      <c r="P1235" t="s">
        <v>2094</v>
      </c>
      <c r="Q1235" t="s">
        <v>31</v>
      </c>
      <c r="R1235" t="s">
        <v>2102</v>
      </c>
      <c r="V1235">
        <v>-4.9466660445149504</v>
      </c>
      <c r="W1235" t="s">
        <v>3</v>
      </c>
      <c r="X1235" t="s">
        <v>3</v>
      </c>
      <c r="Z1235" s="4" t="str">
        <f t="shared" si="78"/>
        <v>Y</v>
      </c>
      <c r="AA1235" t="s">
        <v>2056</v>
      </c>
      <c r="AB1235" t="s">
        <v>2101</v>
      </c>
      <c r="AC1235" t="s">
        <v>1774</v>
      </c>
    </row>
    <row r="1236" spans="1:33" x14ac:dyDescent="0.2">
      <c r="B1236" t="s">
        <v>1330</v>
      </c>
      <c r="C1236" t="s">
        <v>1990</v>
      </c>
      <c r="D1236" s="67" t="s">
        <v>2093</v>
      </c>
      <c r="E1236">
        <v>2013</v>
      </c>
      <c r="F1236" s="68" t="s">
        <v>576</v>
      </c>
      <c r="G1236" s="61" t="s">
        <v>513</v>
      </c>
      <c r="H1236" s="13">
        <v>58.38</v>
      </c>
      <c r="I1236" s="13">
        <v>-134.63999999999999</v>
      </c>
      <c r="J1236" s="13">
        <v>1970</v>
      </c>
      <c r="K1236" s="13">
        <v>2010</v>
      </c>
      <c r="L1236" s="13">
        <f t="shared" si="77"/>
        <v>41</v>
      </c>
      <c r="M1236" t="s">
        <v>369</v>
      </c>
      <c r="N1236" t="s">
        <v>51</v>
      </c>
      <c r="O1236" t="s">
        <v>376</v>
      </c>
      <c r="P1236" t="s">
        <v>2095</v>
      </c>
      <c r="Q1236" t="s">
        <v>31</v>
      </c>
      <c r="R1236" t="s">
        <v>2102</v>
      </c>
      <c r="V1236">
        <v>-2.7333342508952101</v>
      </c>
      <c r="W1236" t="s">
        <v>3</v>
      </c>
      <c r="X1236" t="s">
        <v>3</v>
      </c>
      <c r="Z1236" s="4" t="str">
        <f t="shared" si="78"/>
        <v>Y</v>
      </c>
      <c r="AA1236" t="s">
        <v>2056</v>
      </c>
      <c r="AB1236" t="s">
        <v>2101</v>
      </c>
      <c r="AC1236" t="s">
        <v>1774</v>
      </c>
    </row>
    <row r="1237" spans="1:33" x14ac:dyDescent="0.2">
      <c r="B1237" t="s">
        <v>1330</v>
      </c>
      <c r="C1237" t="s">
        <v>1990</v>
      </c>
      <c r="D1237" s="67" t="s">
        <v>2093</v>
      </c>
      <c r="E1237">
        <v>2013</v>
      </c>
      <c r="F1237" s="68" t="s">
        <v>576</v>
      </c>
      <c r="G1237" s="61" t="s">
        <v>513</v>
      </c>
      <c r="H1237" s="13">
        <v>58.38</v>
      </c>
      <c r="I1237" s="13">
        <v>-134.63999999999999</v>
      </c>
      <c r="J1237" s="13">
        <v>1970</v>
      </c>
      <c r="K1237" s="13">
        <v>2010</v>
      </c>
      <c r="L1237" s="13">
        <f t="shared" si="77"/>
        <v>41</v>
      </c>
      <c r="M1237" t="s">
        <v>369</v>
      </c>
      <c r="N1237" t="s">
        <v>51</v>
      </c>
      <c r="O1237" t="s">
        <v>376</v>
      </c>
      <c r="P1237" t="s">
        <v>2096</v>
      </c>
      <c r="Q1237" t="s">
        <v>1294</v>
      </c>
      <c r="R1237" t="s">
        <v>2102</v>
      </c>
      <c r="V1237">
        <v>1.0533332840983001</v>
      </c>
      <c r="W1237" t="s">
        <v>24</v>
      </c>
      <c r="X1237" t="s">
        <v>3</v>
      </c>
      <c r="Z1237" s="4" t="str">
        <f t="shared" si="78"/>
        <v>Y</v>
      </c>
      <c r="AA1237" t="s">
        <v>2056</v>
      </c>
      <c r="AB1237" t="s">
        <v>2101</v>
      </c>
      <c r="AC1237" t="s">
        <v>1774</v>
      </c>
    </row>
    <row r="1238" spans="1:33" x14ac:dyDescent="0.2">
      <c r="B1238" t="s">
        <v>1330</v>
      </c>
      <c r="C1238" t="s">
        <v>1990</v>
      </c>
      <c r="D1238" s="67" t="s">
        <v>2093</v>
      </c>
      <c r="E1238">
        <v>2013</v>
      </c>
      <c r="F1238" s="68" t="s">
        <v>576</v>
      </c>
      <c r="G1238" s="61" t="s">
        <v>513</v>
      </c>
      <c r="H1238" s="13">
        <v>58.38</v>
      </c>
      <c r="I1238" s="13">
        <v>-134.63999999999999</v>
      </c>
      <c r="J1238" s="13">
        <v>1970</v>
      </c>
      <c r="K1238" s="13">
        <v>2010</v>
      </c>
      <c r="L1238" s="13">
        <f t="shared" si="77"/>
        <v>41</v>
      </c>
      <c r="M1238" t="s">
        <v>369</v>
      </c>
      <c r="N1238" t="s">
        <v>51</v>
      </c>
      <c r="O1238" t="s">
        <v>376</v>
      </c>
      <c r="P1238" t="s">
        <v>2097</v>
      </c>
      <c r="Q1238" t="s">
        <v>1294</v>
      </c>
      <c r="R1238" t="s">
        <v>2102</v>
      </c>
      <c r="V1238">
        <v>-1.43999967773436</v>
      </c>
      <c r="W1238" t="s">
        <v>3</v>
      </c>
      <c r="X1238" t="s">
        <v>3</v>
      </c>
      <c r="Z1238" s="4" t="str">
        <f t="shared" si="78"/>
        <v>Y</v>
      </c>
      <c r="AA1238" t="s">
        <v>2056</v>
      </c>
      <c r="AB1238" t="s">
        <v>2101</v>
      </c>
      <c r="AC1238" t="s">
        <v>1774</v>
      </c>
    </row>
    <row r="1239" spans="1:33" x14ac:dyDescent="0.2">
      <c r="B1239" t="s">
        <v>1330</v>
      </c>
      <c r="C1239" t="s">
        <v>1990</v>
      </c>
      <c r="D1239" s="67" t="s">
        <v>2093</v>
      </c>
      <c r="E1239">
        <v>2013</v>
      </c>
      <c r="F1239" s="68" t="s">
        <v>576</v>
      </c>
      <c r="G1239" s="61" t="s">
        <v>513</v>
      </c>
      <c r="H1239" s="13">
        <v>58.38</v>
      </c>
      <c r="I1239" s="13">
        <v>-134.63999999999999</v>
      </c>
      <c r="J1239" s="13">
        <v>1970</v>
      </c>
      <c r="K1239" s="13">
        <v>2010</v>
      </c>
      <c r="L1239" s="13">
        <f t="shared" si="77"/>
        <v>41</v>
      </c>
      <c r="M1239" t="s">
        <v>369</v>
      </c>
      <c r="N1239" t="s">
        <v>51</v>
      </c>
      <c r="O1239" t="s">
        <v>376</v>
      </c>
      <c r="P1239" t="s">
        <v>2098</v>
      </c>
      <c r="Q1239" t="s">
        <v>922</v>
      </c>
      <c r="R1239" t="s">
        <v>2102</v>
      </c>
      <c r="V1239">
        <v>0.70666676961263497</v>
      </c>
      <c r="W1239" t="s">
        <v>24</v>
      </c>
      <c r="X1239" t="s">
        <v>3</v>
      </c>
      <c r="Z1239" s="4" t="str">
        <f t="shared" si="78"/>
        <v>Y</v>
      </c>
      <c r="AA1239" t="s">
        <v>2056</v>
      </c>
      <c r="AB1239" t="s">
        <v>2101</v>
      </c>
      <c r="AC1239" t="s">
        <v>1774</v>
      </c>
    </row>
    <row r="1240" spans="1:33" x14ac:dyDescent="0.2">
      <c r="B1240" t="s">
        <v>1330</v>
      </c>
      <c r="C1240" t="s">
        <v>1990</v>
      </c>
      <c r="D1240" s="67" t="s">
        <v>2093</v>
      </c>
      <c r="E1240">
        <v>2013</v>
      </c>
      <c r="F1240" s="68" t="s">
        <v>576</v>
      </c>
      <c r="G1240" s="61" t="s">
        <v>513</v>
      </c>
      <c r="H1240" s="13">
        <v>58.38</v>
      </c>
      <c r="I1240" s="13">
        <v>-134.63999999999999</v>
      </c>
      <c r="J1240" s="13">
        <v>1970</v>
      </c>
      <c r="K1240" s="13">
        <v>2010</v>
      </c>
      <c r="L1240" s="13">
        <f t="shared" si="77"/>
        <v>41</v>
      </c>
      <c r="M1240" t="s">
        <v>369</v>
      </c>
      <c r="N1240" t="s">
        <v>51</v>
      </c>
      <c r="O1240" t="s">
        <v>376</v>
      </c>
      <c r="P1240" t="s">
        <v>2099</v>
      </c>
      <c r="Q1240" t="s">
        <v>922</v>
      </c>
      <c r="R1240" t="s">
        <v>2102</v>
      </c>
      <c r="V1240">
        <v>-0.95999978515624196</v>
      </c>
      <c r="W1240" t="s">
        <v>3</v>
      </c>
      <c r="X1240" t="s">
        <v>3</v>
      </c>
      <c r="Z1240" s="4" t="str">
        <f t="shared" si="78"/>
        <v>Y</v>
      </c>
      <c r="AA1240" t="s">
        <v>2056</v>
      </c>
      <c r="AB1240" t="s">
        <v>2101</v>
      </c>
      <c r="AC1240" t="s">
        <v>1774</v>
      </c>
    </row>
    <row r="1241" spans="1:33" s="56" customFormat="1" x14ac:dyDescent="0.2">
      <c r="A1241"/>
      <c r="B1241" s="56" t="s">
        <v>1330</v>
      </c>
      <c r="D1241" s="56" t="s">
        <v>1931</v>
      </c>
      <c r="E1241" s="56" t="s">
        <v>2089</v>
      </c>
      <c r="F1241" s="69"/>
      <c r="G1241" s="70"/>
      <c r="H1241" s="71"/>
      <c r="I1241" s="71"/>
      <c r="J1241" s="71"/>
      <c r="K1241" s="71"/>
      <c r="L1241" s="71">
        <f t="shared" si="77"/>
        <v>1</v>
      </c>
      <c r="M1241" s="56" t="s">
        <v>369</v>
      </c>
      <c r="N1241" s="56" t="s">
        <v>51</v>
      </c>
      <c r="O1241" s="56" t="s">
        <v>376</v>
      </c>
      <c r="S1241"/>
      <c r="T1241"/>
      <c r="U1241"/>
      <c r="Y1241"/>
      <c r="AD1241"/>
      <c r="AE1241"/>
      <c r="AF1241"/>
      <c r="AG1241"/>
    </row>
    <row r="1242" spans="1:33" x14ac:dyDescent="0.2">
      <c r="B1242" t="s">
        <v>1330</v>
      </c>
      <c r="C1242" t="s">
        <v>2103</v>
      </c>
      <c r="D1242" s="67" t="s">
        <v>2123</v>
      </c>
      <c r="E1242">
        <v>2011</v>
      </c>
      <c r="F1242" s="68" t="s">
        <v>2108</v>
      </c>
      <c r="G1242" s="61" t="s">
        <v>513</v>
      </c>
      <c r="H1242" s="13">
        <v>43.038192000000002</v>
      </c>
      <c r="I1242" s="13">
        <v>-4.3536419999999998</v>
      </c>
      <c r="J1242" s="13">
        <v>1956</v>
      </c>
      <c r="K1242" s="13">
        <v>2003</v>
      </c>
      <c r="L1242" s="13">
        <f t="shared" si="77"/>
        <v>48</v>
      </c>
      <c r="M1242" t="s">
        <v>369</v>
      </c>
      <c r="N1242" t="s">
        <v>51</v>
      </c>
      <c r="O1242" t="s">
        <v>376</v>
      </c>
      <c r="P1242" t="s">
        <v>130</v>
      </c>
      <c r="Q1242" t="s">
        <v>2105</v>
      </c>
      <c r="R1242" t="s">
        <v>2106</v>
      </c>
      <c r="V1242">
        <v>16.899999999999999</v>
      </c>
      <c r="W1242" t="s">
        <v>3</v>
      </c>
      <c r="X1242" t="s">
        <v>3</v>
      </c>
      <c r="Z1242" s="4" t="str">
        <f t="shared" ref="Z1242:Z1250" si="79">IF(L1242&gt;=19,"Y","N")</f>
        <v>Y</v>
      </c>
      <c r="AA1242" t="s">
        <v>2056</v>
      </c>
      <c r="AB1242" t="s">
        <v>2124</v>
      </c>
      <c r="AC1242" t="s">
        <v>1896</v>
      </c>
    </row>
    <row r="1243" spans="1:33" x14ac:dyDescent="0.2">
      <c r="B1243" t="s">
        <v>1330</v>
      </c>
      <c r="C1243" t="s">
        <v>2103</v>
      </c>
      <c r="D1243" s="67" t="s">
        <v>2104</v>
      </c>
      <c r="E1243">
        <v>2011</v>
      </c>
      <c r="F1243" s="68" t="s">
        <v>2109</v>
      </c>
      <c r="G1243" s="61" t="s">
        <v>513</v>
      </c>
      <c r="H1243" s="13">
        <v>43.603673999999998</v>
      </c>
      <c r="I1243" s="13">
        <v>-4.1873519999999997</v>
      </c>
      <c r="J1243" s="13">
        <v>1956</v>
      </c>
      <c r="K1243" s="13">
        <v>2003</v>
      </c>
      <c r="L1243" s="13">
        <f t="shared" si="77"/>
        <v>48</v>
      </c>
      <c r="M1243" t="s">
        <v>369</v>
      </c>
      <c r="N1243" t="s">
        <v>51</v>
      </c>
      <c r="O1243" t="s">
        <v>376</v>
      </c>
      <c r="P1243" t="s">
        <v>130</v>
      </c>
      <c r="Q1243" t="s">
        <v>2105</v>
      </c>
      <c r="R1243" t="s">
        <v>2106</v>
      </c>
      <c r="V1243">
        <v>9.6999999999999993</v>
      </c>
      <c r="W1243" t="s">
        <v>3</v>
      </c>
      <c r="X1243" t="s">
        <v>3</v>
      </c>
      <c r="Z1243" s="4" t="str">
        <f t="shared" si="79"/>
        <v>Y</v>
      </c>
      <c r="AA1243" t="s">
        <v>2056</v>
      </c>
      <c r="AB1243" t="s">
        <v>2124</v>
      </c>
      <c r="AC1243" t="s">
        <v>1896</v>
      </c>
    </row>
    <row r="1244" spans="1:33" x14ac:dyDescent="0.2">
      <c r="B1244" t="s">
        <v>1330</v>
      </c>
      <c r="C1244" t="s">
        <v>2103</v>
      </c>
      <c r="D1244" s="67" t="s">
        <v>2104</v>
      </c>
      <c r="E1244">
        <v>2011</v>
      </c>
      <c r="F1244" s="68" t="s">
        <v>2110</v>
      </c>
      <c r="G1244" s="61" t="s">
        <v>513</v>
      </c>
      <c r="H1244" s="13">
        <v>42.974429999999998</v>
      </c>
      <c r="I1244" s="13">
        <v>-4.1551369999999999</v>
      </c>
      <c r="J1244" s="13">
        <v>1956</v>
      </c>
      <c r="K1244" s="13">
        <v>2003</v>
      </c>
      <c r="L1244" s="13">
        <f t="shared" si="77"/>
        <v>48</v>
      </c>
      <c r="M1244" t="s">
        <v>369</v>
      </c>
      <c r="N1244" t="s">
        <v>51</v>
      </c>
      <c r="O1244" t="s">
        <v>376</v>
      </c>
      <c r="P1244" t="s">
        <v>130</v>
      </c>
      <c r="Q1244" t="s">
        <v>2105</v>
      </c>
      <c r="R1244" t="s">
        <v>2106</v>
      </c>
      <c r="V1244">
        <v>3.5</v>
      </c>
      <c r="W1244" t="s">
        <v>3</v>
      </c>
      <c r="X1244" t="s">
        <v>3</v>
      </c>
      <c r="Z1244" s="4" t="str">
        <f t="shared" si="79"/>
        <v>Y</v>
      </c>
      <c r="AA1244" t="s">
        <v>2056</v>
      </c>
      <c r="AB1244" t="s">
        <v>2124</v>
      </c>
      <c r="AC1244" t="s">
        <v>1896</v>
      </c>
    </row>
    <row r="1245" spans="1:33" x14ac:dyDescent="0.2">
      <c r="B1245" t="s">
        <v>1330</v>
      </c>
      <c r="C1245" t="s">
        <v>2103</v>
      </c>
      <c r="D1245" s="67" t="s">
        <v>2104</v>
      </c>
      <c r="E1245">
        <v>2011</v>
      </c>
      <c r="F1245" s="68" t="s">
        <v>2111</v>
      </c>
      <c r="G1245" s="61" t="s">
        <v>513</v>
      </c>
      <c r="H1245" s="13">
        <v>43.057045000000002</v>
      </c>
      <c r="I1245" s="13">
        <v>-3.921999</v>
      </c>
      <c r="J1245" s="13">
        <v>1956</v>
      </c>
      <c r="K1245" s="13">
        <v>2003</v>
      </c>
      <c r="L1245" s="13">
        <f t="shared" si="77"/>
        <v>48</v>
      </c>
      <c r="M1245" t="s">
        <v>369</v>
      </c>
      <c r="N1245" t="s">
        <v>51</v>
      </c>
      <c r="O1245" t="s">
        <v>376</v>
      </c>
      <c r="P1245" t="s">
        <v>130</v>
      </c>
      <c r="Q1245" t="s">
        <v>2105</v>
      </c>
      <c r="R1245" t="s">
        <v>2106</v>
      </c>
      <c r="V1245">
        <v>4.3</v>
      </c>
      <c r="W1245" t="s">
        <v>3</v>
      </c>
      <c r="X1245" t="s">
        <v>3</v>
      </c>
      <c r="Z1245" s="4" t="str">
        <f t="shared" si="79"/>
        <v>Y</v>
      </c>
      <c r="AA1245" t="s">
        <v>2056</v>
      </c>
      <c r="AB1245" t="s">
        <v>2124</v>
      </c>
      <c r="AC1245" t="s">
        <v>1896</v>
      </c>
    </row>
    <row r="1246" spans="1:33" x14ac:dyDescent="0.2">
      <c r="B1246" t="s">
        <v>1330</v>
      </c>
      <c r="C1246" t="s">
        <v>2103</v>
      </c>
      <c r="D1246" s="67" t="s">
        <v>2104</v>
      </c>
      <c r="E1246">
        <v>2011</v>
      </c>
      <c r="F1246" s="68" t="s">
        <v>2112</v>
      </c>
      <c r="G1246" s="61" t="s">
        <v>513</v>
      </c>
      <c r="H1246">
        <v>42.868803</v>
      </c>
      <c r="I1246">
        <v>-3.78634</v>
      </c>
      <c r="J1246" s="13">
        <v>1956</v>
      </c>
      <c r="K1246" s="13">
        <v>2003</v>
      </c>
      <c r="L1246" s="13">
        <f t="shared" si="77"/>
        <v>48</v>
      </c>
      <c r="M1246" t="s">
        <v>369</v>
      </c>
      <c r="N1246" t="s">
        <v>51</v>
      </c>
      <c r="O1246" t="s">
        <v>376</v>
      </c>
      <c r="P1246" t="s">
        <v>130</v>
      </c>
      <c r="Q1246" t="s">
        <v>2105</v>
      </c>
      <c r="R1246" t="s">
        <v>2106</v>
      </c>
      <c r="V1246">
        <v>5.7</v>
      </c>
      <c r="W1246" t="s">
        <v>3</v>
      </c>
      <c r="X1246" t="s">
        <v>3</v>
      </c>
      <c r="Z1246" s="4" t="str">
        <f t="shared" si="79"/>
        <v>Y</v>
      </c>
      <c r="AA1246" t="s">
        <v>2056</v>
      </c>
      <c r="AB1246" t="s">
        <v>2124</v>
      </c>
      <c r="AC1246" t="s">
        <v>1896</v>
      </c>
    </row>
    <row r="1247" spans="1:33" x14ac:dyDescent="0.2">
      <c r="B1247" t="s">
        <v>1330</v>
      </c>
      <c r="C1247" t="s">
        <v>2113</v>
      </c>
      <c r="D1247" s="38" t="s">
        <v>2116</v>
      </c>
      <c r="E1247">
        <v>2004</v>
      </c>
      <c r="F1247" t="s">
        <v>2114</v>
      </c>
      <c r="G1247" s="61" t="s">
        <v>513</v>
      </c>
      <c r="H1247" s="13">
        <v>61</v>
      </c>
      <c r="I1247" s="13">
        <v>16.5</v>
      </c>
      <c r="J1247" s="13">
        <v>1960</v>
      </c>
      <c r="K1247" s="13">
        <v>2002</v>
      </c>
      <c r="L1247" s="13">
        <f t="shared" si="77"/>
        <v>43</v>
      </c>
      <c r="M1247" t="s">
        <v>369</v>
      </c>
      <c r="N1247" t="s">
        <v>51</v>
      </c>
      <c r="O1247" t="s">
        <v>376</v>
      </c>
      <c r="P1247" t="s">
        <v>130</v>
      </c>
      <c r="Q1247" t="s">
        <v>2105</v>
      </c>
      <c r="R1247" t="s">
        <v>2119</v>
      </c>
      <c r="V1247" t="s">
        <v>165</v>
      </c>
      <c r="W1247" t="s">
        <v>3</v>
      </c>
      <c r="X1247" t="s">
        <v>3</v>
      </c>
      <c r="Z1247" s="4" t="str">
        <f t="shared" si="79"/>
        <v>Y</v>
      </c>
      <c r="AA1247" t="s">
        <v>2117</v>
      </c>
      <c r="AB1247" t="s">
        <v>2118</v>
      </c>
      <c r="AC1247" t="s">
        <v>1751</v>
      </c>
    </row>
    <row r="1248" spans="1:33" x14ac:dyDescent="0.2">
      <c r="B1248" t="s">
        <v>1330</v>
      </c>
      <c r="C1248" t="s">
        <v>2113</v>
      </c>
      <c r="D1248" s="38" t="s">
        <v>2116</v>
      </c>
      <c r="E1248">
        <v>2004</v>
      </c>
      <c r="F1248" t="s">
        <v>2114</v>
      </c>
      <c r="G1248" s="61" t="s">
        <v>513</v>
      </c>
      <c r="H1248" s="13">
        <v>61</v>
      </c>
      <c r="I1248" s="13">
        <v>16.5</v>
      </c>
      <c r="J1248" s="13">
        <v>1960</v>
      </c>
      <c r="K1248" s="13">
        <v>2002</v>
      </c>
      <c r="L1248" s="13">
        <f t="shared" si="77"/>
        <v>43</v>
      </c>
      <c r="M1248" t="s">
        <v>369</v>
      </c>
      <c r="N1248" t="s">
        <v>51</v>
      </c>
      <c r="O1248" t="s">
        <v>376</v>
      </c>
      <c r="P1248" t="s">
        <v>2120</v>
      </c>
      <c r="Q1248" t="s">
        <v>2121</v>
      </c>
      <c r="R1248" t="s">
        <v>2119</v>
      </c>
      <c r="V1248" t="s">
        <v>165</v>
      </c>
      <c r="W1248" t="s">
        <v>3</v>
      </c>
      <c r="X1248" t="s">
        <v>3</v>
      </c>
      <c r="Z1248" s="4" t="str">
        <f t="shared" si="79"/>
        <v>Y</v>
      </c>
      <c r="AA1248" t="s">
        <v>2117</v>
      </c>
      <c r="AB1248" t="s">
        <v>2122</v>
      </c>
      <c r="AC1248" t="s">
        <v>1896</v>
      </c>
    </row>
    <row r="1249" spans="1:34" x14ac:dyDescent="0.2">
      <c r="B1249" t="s">
        <v>1330</v>
      </c>
      <c r="C1249" t="s">
        <v>2126</v>
      </c>
      <c r="D1249" s="38" t="s">
        <v>2125</v>
      </c>
      <c r="E1249">
        <v>2012</v>
      </c>
      <c r="F1249" t="s">
        <v>75</v>
      </c>
      <c r="G1249" s="61" t="s">
        <v>513</v>
      </c>
      <c r="H1249" s="13">
        <v>55</v>
      </c>
      <c r="I1249" s="13">
        <v>20</v>
      </c>
      <c r="J1249" s="13">
        <v>1970</v>
      </c>
      <c r="K1249" s="13">
        <v>2010</v>
      </c>
      <c r="L1249" s="13">
        <f t="shared" si="77"/>
        <v>41</v>
      </c>
      <c r="M1249" t="s">
        <v>369</v>
      </c>
      <c r="N1249" t="s">
        <v>51</v>
      </c>
      <c r="O1249" t="s">
        <v>376</v>
      </c>
      <c r="P1249" t="s">
        <v>130</v>
      </c>
      <c r="Q1249" t="s">
        <v>2105</v>
      </c>
      <c r="R1249" t="s">
        <v>2127</v>
      </c>
      <c r="V1249">
        <v>-3</v>
      </c>
      <c r="W1249" t="s">
        <v>3</v>
      </c>
      <c r="X1249" t="s">
        <v>3</v>
      </c>
      <c r="Z1249" s="4" t="str">
        <f t="shared" si="79"/>
        <v>Y</v>
      </c>
      <c r="AA1249" t="s">
        <v>2117</v>
      </c>
      <c r="AB1249" t="s">
        <v>2128</v>
      </c>
      <c r="AC1249" t="s">
        <v>1828</v>
      </c>
    </row>
    <row r="1250" spans="1:34" x14ac:dyDescent="0.2">
      <c r="B1250" t="s">
        <v>1330</v>
      </c>
      <c r="C1250" t="s">
        <v>2131</v>
      </c>
      <c r="D1250" s="38" t="s">
        <v>2129</v>
      </c>
      <c r="E1250">
        <v>2012</v>
      </c>
      <c r="F1250" t="s">
        <v>2134</v>
      </c>
      <c r="G1250" s="61" t="s">
        <v>513</v>
      </c>
      <c r="H1250" s="13">
        <v>64</v>
      </c>
      <c r="I1250" s="13">
        <v>11</v>
      </c>
      <c r="J1250" s="13">
        <v>1991</v>
      </c>
      <c r="K1250" s="13">
        <v>2005</v>
      </c>
      <c r="L1250" s="13">
        <f t="shared" si="77"/>
        <v>15</v>
      </c>
      <c r="M1250" t="s">
        <v>369</v>
      </c>
      <c r="N1250" t="s">
        <v>51</v>
      </c>
      <c r="O1250" t="s">
        <v>376</v>
      </c>
      <c r="P1250" t="s">
        <v>130</v>
      </c>
      <c r="Q1250" t="s">
        <v>2105</v>
      </c>
      <c r="R1250" t="s">
        <v>2132</v>
      </c>
      <c r="V1250" t="s">
        <v>165</v>
      </c>
      <c r="W1250" t="s">
        <v>3</v>
      </c>
      <c r="X1250" t="s">
        <v>24</v>
      </c>
      <c r="Z1250" s="4" t="str">
        <f t="shared" si="79"/>
        <v>N</v>
      </c>
      <c r="AA1250" t="s">
        <v>2117</v>
      </c>
      <c r="AB1250" t="s">
        <v>2133</v>
      </c>
    </row>
    <row r="1251" spans="1:34" x14ac:dyDescent="0.2">
      <c r="B1251" t="s">
        <v>1330</v>
      </c>
      <c r="C1251" t="s">
        <v>2135</v>
      </c>
      <c r="D1251" s="38" t="s">
        <v>2130</v>
      </c>
      <c r="E1251">
        <v>1996</v>
      </c>
      <c r="F1251" t="s">
        <v>2136</v>
      </c>
      <c r="G1251" s="61" t="s">
        <v>513</v>
      </c>
      <c r="H1251" s="13">
        <v>45.64</v>
      </c>
      <c r="I1251" s="13">
        <v>-121.94</v>
      </c>
      <c r="J1251" s="13">
        <v>1938</v>
      </c>
      <c r="K1251" s="13">
        <v>1993</v>
      </c>
      <c r="L1251" s="13">
        <f t="shared" si="77"/>
        <v>56</v>
      </c>
      <c r="M1251" t="s">
        <v>369</v>
      </c>
      <c r="N1251" t="s">
        <v>51</v>
      </c>
      <c r="O1251" t="s">
        <v>376</v>
      </c>
      <c r="P1251" t="s">
        <v>205</v>
      </c>
      <c r="Q1251" t="s">
        <v>1321</v>
      </c>
      <c r="R1251" t="s">
        <v>2137</v>
      </c>
      <c r="V1251">
        <v>-6.9</v>
      </c>
      <c r="W1251" t="s">
        <v>3</v>
      </c>
      <c r="X1251" t="s">
        <v>3</v>
      </c>
      <c r="Z1251" s="4" t="str">
        <f t="shared" ref="Z1251:Z1306" si="80">IF(L1251&gt;=19,"Y","N")</f>
        <v>Y</v>
      </c>
      <c r="AA1251" t="s">
        <v>2117</v>
      </c>
      <c r="AB1251" t="s">
        <v>2138</v>
      </c>
      <c r="AC1251" t="s">
        <v>1813</v>
      </c>
    </row>
    <row r="1252" spans="1:34" x14ac:dyDescent="0.2">
      <c r="B1252" t="s">
        <v>1330</v>
      </c>
      <c r="C1252" t="s">
        <v>2135</v>
      </c>
      <c r="D1252" s="38" t="s">
        <v>2130</v>
      </c>
      <c r="E1252">
        <v>1996</v>
      </c>
      <c r="F1252" t="s">
        <v>2136</v>
      </c>
      <c r="G1252" s="61" t="s">
        <v>513</v>
      </c>
      <c r="H1252" s="13">
        <v>45.64</v>
      </c>
      <c r="I1252" s="13">
        <v>-121.94</v>
      </c>
      <c r="J1252" s="13">
        <v>1938</v>
      </c>
      <c r="K1252" s="13">
        <v>1993</v>
      </c>
      <c r="L1252" s="13">
        <f t="shared" si="77"/>
        <v>56</v>
      </c>
      <c r="M1252" t="s">
        <v>369</v>
      </c>
      <c r="N1252" t="s">
        <v>51</v>
      </c>
      <c r="O1252" t="s">
        <v>376</v>
      </c>
      <c r="P1252" t="s">
        <v>1292</v>
      </c>
      <c r="Q1252" t="s">
        <v>1294</v>
      </c>
      <c r="R1252" t="s">
        <v>2137</v>
      </c>
      <c r="V1252">
        <v>-1.3</v>
      </c>
      <c r="W1252" t="s">
        <v>3</v>
      </c>
      <c r="X1252" t="s">
        <v>3</v>
      </c>
      <c r="Z1252" s="4" t="str">
        <f t="shared" si="80"/>
        <v>Y</v>
      </c>
      <c r="AA1252" t="s">
        <v>2117</v>
      </c>
      <c r="AB1252" t="s">
        <v>2139</v>
      </c>
      <c r="AC1252" t="s">
        <v>1758</v>
      </c>
    </row>
    <row r="1253" spans="1:34" x14ac:dyDescent="0.2">
      <c r="B1253" t="s">
        <v>1330</v>
      </c>
      <c r="C1253" t="s">
        <v>2143</v>
      </c>
      <c r="D1253" s="38" t="s">
        <v>2140</v>
      </c>
      <c r="E1253">
        <v>2005</v>
      </c>
      <c r="F1253" t="s">
        <v>2144</v>
      </c>
      <c r="G1253" s="61" t="s">
        <v>513</v>
      </c>
      <c r="H1253" s="13">
        <v>58.7</v>
      </c>
      <c r="I1253" s="13">
        <v>27.6</v>
      </c>
      <c r="J1253" s="13">
        <v>1951</v>
      </c>
      <c r="K1253" s="13">
        <v>1990</v>
      </c>
      <c r="L1253" s="13">
        <f t="shared" si="77"/>
        <v>40</v>
      </c>
      <c r="M1253" t="s">
        <v>369</v>
      </c>
      <c r="N1253" t="s">
        <v>51</v>
      </c>
      <c r="O1253" t="s">
        <v>376</v>
      </c>
      <c r="P1253" t="s">
        <v>2141</v>
      </c>
      <c r="Q1253" t="s">
        <v>2146</v>
      </c>
      <c r="R1253" t="s">
        <v>2147</v>
      </c>
      <c r="V1253">
        <v>-2.6</v>
      </c>
      <c r="W1253" t="s">
        <v>3</v>
      </c>
      <c r="X1253" t="s">
        <v>3</v>
      </c>
      <c r="Z1253" s="4" t="str">
        <f t="shared" si="80"/>
        <v>Y</v>
      </c>
      <c r="AA1253" t="s">
        <v>2117</v>
      </c>
      <c r="AB1253" t="s">
        <v>2148</v>
      </c>
      <c r="AC1253" t="s">
        <v>1896</v>
      </c>
    </row>
    <row r="1254" spans="1:34" x14ac:dyDescent="0.2">
      <c r="B1254" t="s">
        <v>1534</v>
      </c>
      <c r="C1254" s="13"/>
      <c r="D1254" s="38" t="s">
        <v>2115</v>
      </c>
      <c r="E1254">
        <v>2019</v>
      </c>
      <c r="F1254" t="s">
        <v>2107</v>
      </c>
      <c r="G1254" t="s">
        <v>513</v>
      </c>
      <c r="H1254" s="13">
        <v>42.1</v>
      </c>
      <c r="I1254" s="13">
        <v>-72.75</v>
      </c>
      <c r="J1254" s="13">
        <v>1984</v>
      </c>
      <c r="K1254" s="13">
        <v>2008</v>
      </c>
      <c r="L1254" s="13">
        <f t="shared" ref="L1254" si="81">K1254-J1254+1</f>
        <v>25</v>
      </c>
      <c r="M1254" t="s">
        <v>369</v>
      </c>
      <c r="N1254" t="s">
        <v>1329</v>
      </c>
      <c r="O1254" t="s">
        <v>377</v>
      </c>
      <c r="P1254" t="s">
        <v>1943</v>
      </c>
      <c r="Q1254" t="s">
        <v>165</v>
      </c>
      <c r="R1254" t="s">
        <v>1944</v>
      </c>
      <c r="V1254">
        <v>-16.739999999999998</v>
      </c>
      <c r="W1254" t="s">
        <v>3</v>
      </c>
      <c r="X1254" t="s">
        <v>3</v>
      </c>
      <c r="Z1254" s="4" t="str">
        <f t="shared" si="80"/>
        <v>Y</v>
      </c>
      <c r="AA1254" t="s">
        <v>1121</v>
      </c>
      <c r="AB1254" t="s">
        <v>1946</v>
      </c>
      <c r="AC1254" t="s">
        <v>1945</v>
      </c>
    </row>
    <row r="1255" spans="1:34" x14ac:dyDescent="0.2">
      <c r="B1255" t="s">
        <v>1330</v>
      </c>
      <c r="C1255" t="s">
        <v>1331</v>
      </c>
      <c r="D1255" s="38" t="s">
        <v>1936</v>
      </c>
      <c r="E1255">
        <v>2024</v>
      </c>
      <c r="F1255" t="s">
        <v>1937</v>
      </c>
      <c r="G1255" t="s">
        <v>513</v>
      </c>
      <c r="H1255" s="13">
        <v>38.299999999999997</v>
      </c>
      <c r="I1255" s="13">
        <v>-76.28</v>
      </c>
      <c r="J1255" s="13">
        <v>1985</v>
      </c>
      <c r="K1255" s="13">
        <v>2019</v>
      </c>
      <c r="L1255" s="13">
        <f t="shared" ref="L1255" si="82">K1255-J1255+1</f>
        <v>35</v>
      </c>
      <c r="M1255" t="s">
        <v>369</v>
      </c>
      <c r="N1255" t="s">
        <v>1329</v>
      </c>
      <c r="O1255" t="s">
        <v>377</v>
      </c>
      <c r="P1255" t="s">
        <v>1939</v>
      </c>
      <c r="Q1255" t="s">
        <v>1938</v>
      </c>
      <c r="R1255" t="s">
        <v>1940</v>
      </c>
      <c r="V1255">
        <v>-1.69</v>
      </c>
      <c r="W1255" t="s">
        <v>3</v>
      </c>
      <c r="X1255" t="s">
        <v>3</v>
      </c>
      <c r="Z1255" s="4" t="str">
        <f t="shared" si="80"/>
        <v>Y</v>
      </c>
      <c r="AA1255" t="s">
        <v>1121</v>
      </c>
      <c r="AB1255" t="s">
        <v>1942</v>
      </c>
      <c r="AC1255" t="s">
        <v>1896</v>
      </c>
      <c r="AH1255" s="56" t="s">
        <v>1941</v>
      </c>
    </row>
    <row r="1256" spans="1:34" x14ac:dyDescent="0.2">
      <c r="B1256" s="38"/>
      <c r="Z1256" s="4" t="str">
        <f t="shared" si="80"/>
        <v>N</v>
      </c>
    </row>
    <row r="1257" spans="1:34" x14ac:dyDescent="0.2">
      <c r="B1257" t="s">
        <v>1330</v>
      </c>
      <c r="C1257" t="s">
        <v>2143</v>
      </c>
      <c r="D1257" s="38" t="s">
        <v>2140</v>
      </c>
      <c r="E1257">
        <v>2005</v>
      </c>
      <c r="F1257" t="s">
        <v>2144</v>
      </c>
      <c r="G1257" s="61" t="s">
        <v>513</v>
      </c>
      <c r="H1257" s="13">
        <v>58.7</v>
      </c>
      <c r="I1257" s="13">
        <v>27.6</v>
      </c>
      <c r="J1257" s="13">
        <v>1951</v>
      </c>
      <c r="K1257" s="13">
        <v>1990</v>
      </c>
      <c r="L1257" s="13">
        <f t="shared" ref="L1257" si="83">K1257-J1257+1</f>
        <v>40</v>
      </c>
      <c r="M1257" t="s">
        <v>369</v>
      </c>
      <c r="N1257" t="s">
        <v>51</v>
      </c>
      <c r="O1257" t="s">
        <v>376</v>
      </c>
      <c r="P1257" t="s">
        <v>2142</v>
      </c>
      <c r="Q1257" t="s">
        <v>2145</v>
      </c>
      <c r="R1257" t="s">
        <v>2147</v>
      </c>
      <c r="V1257">
        <v>1.3</v>
      </c>
      <c r="W1257" t="s">
        <v>24</v>
      </c>
      <c r="X1257" t="s">
        <v>3</v>
      </c>
      <c r="Z1257" s="4" t="str">
        <f t="shared" si="80"/>
        <v>Y</v>
      </c>
      <c r="AA1257" t="s">
        <v>2117</v>
      </c>
      <c r="AB1257" t="s">
        <v>2148</v>
      </c>
      <c r="AC1257" t="s">
        <v>1896</v>
      </c>
    </row>
    <row r="1258" spans="1:34" s="75" customFormat="1" x14ac:dyDescent="0.2">
      <c r="A1258"/>
      <c r="B1258" s="74" t="s">
        <v>1330</v>
      </c>
      <c r="D1258" s="74" t="s">
        <v>2189</v>
      </c>
      <c r="H1258" s="76"/>
      <c r="I1258" s="76"/>
      <c r="J1258" s="76"/>
      <c r="K1258" s="76"/>
      <c r="L1258" s="76"/>
      <c r="N1258" s="75" t="s">
        <v>526</v>
      </c>
      <c r="S1258"/>
      <c r="T1258"/>
      <c r="U1258"/>
      <c r="Y1258"/>
      <c r="AD1258"/>
      <c r="AE1258"/>
      <c r="AF1258"/>
      <c r="AG1258"/>
    </row>
    <row r="1259" spans="1:34" x14ac:dyDescent="0.2">
      <c r="B1259" s="38"/>
      <c r="D1259" t="s">
        <v>2190</v>
      </c>
    </row>
    <row r="1260" spans="1:34" x14ac:dyDescent="0.2">
      <c r="B1260" s="38"/>
    </row>
    <row r="1261" spans="1:34" x14ac:dyDescent="0.2">
      <c r="B1261" s="38"/>
    </row>
    <row r="1262" spans="1:34" x14ac:dyDescent="0.2">
      <c r="B1262" s="38"/>
    </row>
    <row r="1263" spans="1:34" x14ac:dyDescent="0.2">
      <c r="B1263" s="38"/>
    </row>
    <row r="1264" spans="1:34" x14ac:dyDescent="0.2">
      <c r="B1264" s="38"/>
    </row>
    <row r="1265" spans="2:3" x14ac:dyDescent="0.2">
      <c r="B1265" s="38"/>
    </row>
    <row r="1266" spans="2:3" x14ac:dyDescent="0.2">
      <c r="B1266" s="38"/>
    </row>
    <row r="1267" spans="2:3" x14ac:dyDescent="0.2">
      <c r="B1267" s="38" t="s">
        <v>2149</v>
      </c>
    </row>
    <row r="1268" spans="2:3" x14ac:dyDescent="0.2">
      <c r="B1268" s="38" t="s">
        <v>1916</v>
      </c>
      <c r="C1268" t="s">
        <v>2161</v>
      </c>
    </row>
    <row r="1269" spans="2:3" x14ac:dyDescent="0.2">
      <c r="B1269" s="38"/>
    </row>
    <row r="1270" spans="2:3" x14ac:dyDescent="0.2">
      <c r="B1270" s="38"/>
    </row>
    <row r="1271" spans="2:3" x14ac:dyDescent="0.2">
      <c r="B1271" s="38"/>
    </row>
    <row r="1272" spans="2:3" x14ac:dyDescent="0.2">
      <c r="B1272" s="38"/>
    </row>
    <row r="1273" spans="2:3" x14ac:dyDescent="0.2">
      <c r="B1273" s="38"/>
    </row>
    <row r="1274" spans="2:3" x14ac:dyDescent="0.2">
      <c r="B1274" s="38"/>
    </row>
    <row r="1275" spans="2:3" x14ac:dyDescent="0.2">
      <c r="B1275" s="38"/>
    </row>
    <row r="1276" spans="2:3" x14ac:dyDescent="0.2">
      <c r="B1276" s="38"/>
    </row>
    <row r="1277" spans="2:3" x14ac:dyDescent="0.2">
      <c r="B1277" s="38"/>
    </row>
    <row r="1278" spans="2:3" x14ac:dyDescent="0.2">
      <c r="B1278" s="38"/>
    </row>
    <row r="1279" spans="2:3" x14ac:dyDescent="0.2">
      <c r="B1279" s="38"/>
    </row>
    <row r="1280" spans="2:3" x14ac:dyDescent="0.2">
      <c r="B1280" s="38"/>
    </row>
    <row r="1281" spans="2:2" x14ac:dyDescent="0.2">
      <c r="B1281" s="38"/>
    </row>
    <row r="1282" spans="2:2" x14ac:dyDescent="0.2">
      <c r="B1282" s="38"/>
    </row>
    <row r="1283" spans="2:2" x14ac:dyDescent="0.2">
      <c r="B1283" s="38"/>
    </row>
    <row r="1284" spans="2:2" x14ac:dyDescent="0.2">
      <c r="B1284" s="38"/>
    </row>
    <row r="1285" spans="2:2" x14ac:dyDescent="0.2">
      <c r="B1285" s="38"/>
    </row>
    <row r="1286" spans="2:2" x14ac:dyDescent="0.2">
      <c r="B1286" s="38"/>
    </row>
    <row r="1287" spans="2:2" x14ac:dyDescent="0.2">
      <c r="B1287" s="38"/>
    </row>
    <row r="1288" spans="2:2" x14ac:dyDescent="0.2">
      <c r="B1288" s="38"/>
    </row>
    <row r="1289" spans="2:2" x14ac:dyDescent="0.2">
      <c r="B1289" s="38"/>
    </row>
    <row r="1290" spans="2:2" x14ac:dyDescent="0.2">
      <c r="B1290" s="38"/>
    </row>
    <row r="1291" spans="2:2" x14ac:dyDescent="0.2">
      <c r="B1291" s="38"/>
    </row>
    <row r="1292" spans="2:2" x14ac:dyDescent="0.2">
      <c r="B1292" s="38"/>
    </row>
    <row r="1293" spans="2:2" x14ac:dyDescent="0.2">
      <c r="B1293" s="38"/>
    </row>
    <row r="1294" spans="2:2" x14ac:dyDescent="0.2">
      <c r="B1294" s="38"/>
    </row>
    <row r="1295" spans="2:2" x14ac:dyDescent="0.2">
      <c r="B1295" s="38"/>
    </row>
    <row r="1296" spans="2:2" x14ac:dyDescent="0.2">
      <c r="B1296" s="38"/>
    </row>
    <row r="1297" spans="2:26" x14ac:dyDescent="0.2">
      <c r="B1297" s="38"/>
    </row>
    <row r="1298" spans="2:26" x14ac:dyDescent="0.2">
      <c r="B1298" s="38"/>
    </row>
    <row r="1299" spans="2:26" x14ac:dyDescent="0.2">
      <c r="B1299" s="38"/>
    </row>
    <row r="1300" spans="2:26" x14ac:dyDescent="0.2">
      <c r="B1300" s="38"/>
    </row>
    <row r="1301" spans="2:26" x14ac:dyDescent="0.2">
      <c r="Z1301" s="4" t="str">
        <f t="shared" si="80"/>
        <v>N</v>
      </c>
    </row>
    <row r="1302" spans="2:26" x14ac:dyDescent="0.2">
      <c r="Z1302" s="4" t="str">
        <f t="shared" si="80"/>
        <v>N</v>
      </c>
    </row>
    <row r="1303" spans="2:26" x14ac:dyDescent="0.2">
      <c r="B1303" s="38"/>
      <c r="F1303" s="1" t="s">
        <v>970</v>
      </c>
      <c r="Z1303" s="4" t="str">
        <f t="shared" si="80"/>
        <v>N</v>
      </c>
    </row>
    <row r="1304" spans="2:26" x14ac:dyDescent="0.2">
      <c r="B1304" s="38" t="s">
        <v>1840</v>
      </c>
      <c r="C1304" t="s">
        <v>1841</v>
      </c>
      <c r="F1304" t="s">
        <v>1861</v>
      </c>
      <c r="G1304" t="s">
        <v>1862</v>
      </c>
      <c r="Z1304" s="4" t="str">
        <f t="shared" si="80"/>
        <v>N</v>
      </c>
    </row>
    <row r="1305" spans="2:26" x14ac:dyDescent="0.2">
      <c r="B1305" t="s">
        <v>1842</v>
      </c>
      <c r="C1305" t="s">
        <v>1793</v>
      </c>
      <c r="F1305" s="58" t="s">
        <v>1923</v>
      </c>
      <c r="G1305" t="s">
        <v>1864</v>
      </c>
      <c r="N1305" s="1"/>
      <c r="Z1305" s="4" t="str">
        <f t="shared" si="80"/>
        <v>N</v>
      </c>
    </row>
    <row r="1306" spans="2:26" x14ac:dyDescent="0.2">
      <c r="B1306" s="38" t="s">
        <v>1829</v>
      </c>
      <c r="C1306" t="s">
        <v>1830</v>
      </c>
      <c r="N1306" s="48"/>
      <c r="Z1306" s="4" t="str">
        <f t="shared" si="80"/>
        <v>N</v>
      </c>
    </row>
    <row r="1307" spans="2:26" x14ac:dyDescent="0.2">
      <c r="B1307" s="38"/>
      <c r="C1307" t="s">
        <v>1331</v>
      </c>
      <c r="K1307" s="13" t="s">
        <v>1331</v>
      </c>
      <c r="N1307" s="49"/>
    </row>
    <row r="1309" spans="2:26" x14ac:dyDescent="0.2">
      <c r="B1309" s="38"/>
      <c r="C1309" s="1" t="s">
        <v>1934</v>
      </c>
      <c r="N1309" s="1"/>
    </row>
    <row r="1310" spans="2:26" x14ac:dyDescent="0.2">
      <c r="B1310" s="38"/>
      <c r="C1310" t="s">
        <v>1933</v>
      </c>
      <c r="F1310" s="58"/>
      <c r="N1310" s="48"/>
    </row>
    <row r="1311" spans="2:26" x14ac:dyDescent="0.2">
      <c r="N1311" s="49"/>
    </row>
    <row r="1312" spans="2:26" x14ac:dyDescent="0.2">
      <c r="N1312" s="48"/>
    </row>
    <row r="1313" spans="2:14" x14ac:dyDescent="0.2">
      <c r="N1313" s="49"/>
    </row>
    <row r="1314" spans="2:14" x14ac:dyDescent="0.2">
      <c r="B1314" t="s">
        <v>1851</v>
      </c>
      <c r="C1314" t="s">
        <v>1852</v>
      </c>
    </row>
    <row r="1315" spans="2:14" x14ac:dyDescent="0.2">
      <c r="B1315" t="s">
        <v>1726</v>
      </c>
      <c r="C1315" s="38" t="s">
        <v>1898</v>
      </c>
      <c r="N1315" s="1"/>
    </row>
    <row r="1316" spans="2:14" x14ac:dyDescent="0.2">
      <c r="N1316" s="48"/>
    </row>
    <row r="1317" spans="2:14" x14ac:dyDescent="0.2">
      <c r="B1317" t="s">
        <v>1726</v>
      </c>
      <c r="C1317" t="s">
        <v>1725</v>
      </c>
      <c r="N1317" s="49"/>
    </row>
    <row r="1318" spans="2:14" x14ac:dyDescent="0.2">
      <c r="C1318" t="s">
        <v>1928</v>
      </c>
      <c r="N1318" s="48"/>
    </row>
    <row r="1319" spans="2:14" x14ac:dyDescent="0.2">
      <c r="C1319" t="s">
        <v>1930</v>
      </c>
      <c r="N1319" s="49"/>
    </row>
    <row r="1321" spans="2:14" x14ac:dyDescent="0.2">
      <c r="N1321" s="1"/>
    </row>
    <row r="1322" spans="2:14" x14ac:dyDescent="0.2">
      <c r="C1322" t="s">
        <v>1724</v>
      </c>
      <c r="D1322" t="s">
        <v>1790</v>
      </c>
      <c r="N1322" s="48"/>
    </row>
    <row r="1323" spans="2:14" x14ac:dyDescent="0.2">
      <c r="C1323" t="s">
        <v>1728</v>
      </c>
      <c r="D1323" t="s">
        <v>1790</v>
      </c>
      <c r="N1323" s="49"/>
    </row>
    <row r="1324" spans="2:14" x14ac:dyDescent="0.2">
      <c r="C1324" s="38"/>
      <c r="N1324" s="48"/>
    </row>
    <row r="1325" spans="2:14" x14ac:dyDescent="0.2">
      <c r="C1325" t="s">
        <v>1791</v>
      </c>
      <c r="D1325" t="s">
        <v>1790</v>
      </c>
      <c r="N1325" s="49"/>
    </row>
    <row r="1326" spans="2:14" x14ac:dyDescent="0.2">
      <c r="B1326" t="s">
        <v>1731</v>
      </c>
      <c r="C1326" t="s">
        <v>1730</v>
      </c>
    </row>
    <row r="1327" spans="2:14" x14ac:dyDescent="0.2">
      <c r="N1327" s="1"/>
    </row>
    <row r="1328" spans="2:14" x14ac:dyDescent="0.2">
      <c r="N1328" s="48"/>
    </row>
    <row r="1329" spans="2:14" x14ac:dyDescent="0.2">
      <c r="N1329" s="49"/>
    </row>
    <row r="1331" spans="2:14" x14ac:dyDescent="0.2">
      <c r="B1331" s="38"/>
      <c r="I1331" s="13" t="s">
        <v>1964</v>
      </c>
      <c r="N1331" s="1"/>
    </row>
    <row r="1332" spans="2:14" x14ac:dyDescent="0.2">
      <c r="B1332" s="38"/>
      <c r="N1332" s="48"/>
    </row>
    <row r="1333" spans="2:14" x14ac:dyDescent="0.2">
      <c r="D1333" s="38" t="s">
        <v>2020</v>
      </c>
      <c r="N1333" s="49"/>
    </row>
    <row r="1334" spans="2:14" x14ac:dyDescent="0.2">
      <c r="N1334" s="48"/>
    </row>
    <row r="1335" spans="2:14" x14ac:dyDescent="0.2">
      <c r="N1335" s="49"/>
    </row>
    <row r="1337" spans="2:14" x14ac:dyDescent="0.2">
      <c r="N1337" s="1"/>
    </row>
    <row r="1338" spans="2:14" x14ac:dyDescent="0.2">
      <c r="N1338" s="48"/>
    </row>
    <row r="1339" spans="2:14" x14ac:dyDescent="0.2">
      <c r="N1339" s="49"/>
    </row>
    <row r="1341" spans="2:14" x14ac:dyDescent="0.2">
      <c r="N1341" s="1"/>
    </row>
    <row r="1342" spans="2:14" x14ac:dyDescent="0.2">
      <c r="N1342" s="48"/>
    </row>
    <row r="1343" spans="2:14" x14ac:dyDescent="0.2">
      <c r="N1343" s="49"/>
    </row>
    <row r="1345" spans="14:14" x14ac:dyDescent="0.2">
      <c r="N1345" s="1"/>
    </row>
    <row r="1346" spans="14:14" x14ac:dyDescent="0.2">
      <c r="N1346" s="48"/>
    </row>
    <row r="1347" spans="14:14" x14ac:dyDescent="0.2">
      <c r="N1347" s="49"/>
    </row>
  </sheetData>
  <autoFilter ref="A1:CN1259" xr:uid="{C04F0EE8-847E-6448-9752-D992F9A10E50}"/>
  <sortState xmlns:xlrd2="http://schemas.microsoft.com/office/spreadsheetml/2017/richdata2" ref="A2:CN684">
    <sortCondition ref="A2:A684"/>
    <sortCondition ref="C2:C684"/>
  </sortState>
  <phoneticPr fontId="9" type="noConversion"/>
  <hyperlinks>
    <hyperlink ref="D1075" r:id="rId1" xr:uid="{30B6FDDD-330F-4937-83E2-F1F7AC5778EF}"/>
    <hyperlink ref="D1077" r:id="rId2" xr:uid="{EF7480FE-3DAE-4F4C-954C-BEF43FE6F0B7}"/>
    <hyperlink ref="D1079" r:id="rId3" location="Sec8" xr:uid="{C05ABCCF-EA6C-4FD0-97D4-D2C9C11BFEA3}"/>
    <hyperlink ref="D1086" r:id="rId4" xr:uid="{A9D87AE2-F7E4-4404-B72D-DDA9BEE7B9D8}"/>
    <hyperlink ref="D1089" r:id="rId5" xr:uid="{2B2D6CBB-3566-4EA3-B6C1-00A40DFC4CB3}"/>
    <hyperlink ref="D1090" r:id="rId6" xr:uid="{866F5180-C3F5-4373-B6D5-8F116A296409}"/>
    <hyperlink ref="D1091" r:id="rId7" xr:uid="{CDDE9025-87A4-4905-9C6B-D7700FBD758C}"/>
    <hyperlink ref="D1092" r:id="rId8" location="s3 " xr:uid="{AA5EA43A-D868-4A7E-99BD-2123FC9DDC1E}"/>
    <hyperlink ref="D1095" r:id="rId9" xr:uid="{0D942CB5-5CC7-47C0-BA53-D45ED7E83F9B}"/>
    <hyperlink ref="B1306" r:id="rId10" xr:uid="{8D6E011C-B00A-4813-AABB-B565F1859744}"/>
    <hyperlink ref="B1304" r:id="rId11" xr:uid="{AB0B0D8B-32F0-4762-B9D4-1CBFA5880A59}"/>
    <hyperlink ref="D1109" r:id="rId12" location="d1e1616 " xr:uid="{7695F499-267A-49DE-B54B-C19E878CA767}"/>
    <hyperlink ref="D1112" r:id="rId13" xr:uid="{159F8313-C6C1-440A-9EC4-2155A9FDB19A}"/>
    <hyperlink ref="D1098" r:id="rId14" location="sec022 " xr:uid="{B9AC4F88-BF01-4733-87B4-4EDBE41854E0}"/>
    <hyperlink ref="D1099" r:id="rId15" location="sec022 " xr:uid="{B3EB9806-28F9-47A0-85B8-81F98286AE1C}"/>
    <hyperlink ref="D1100" r:id="rId16" location="sec022 " xr:uid="{48B3237E-F1B6-4744-AC7E-BC36945B1643}"/>
    <hyperlink ref="D1101" r:id="rId17" location="sec022 " xr:uid="{30FEF974-4022-4DFF-9E9F-D80674F0001F}"/>
    <hyperlink ref="D1102" r:id="rId18" location="sec022 " xr:uid="{B5027DBA-F85F-44D3-A6F9-40033B8596A7}"/>
    <hyperlink ref="D1103" r:id="rId19" location="sec022 " xr:uid="{D6F05900-9AFE-4B8B-A2CE-5A382F4A1990}"/>
    <hyperlink ref="D1104" r:id="rId20" location="sec022 " xr:uid="{5C6CE0AB-C0F7-48A8-A443-8D9607D28E75}"/>
    <hyperlink ref="D1105" r:id="rId21" location="sec022 " xr:uid="{558B2159-73DD-449A-A414-B5A5A4E51835}"/>
    <hyperlink ref="D1106" r:id="rId22" xr:uid="{B60B2FF9-26A9-403D-BFD6-1819D5955B7A}"/>
    <hyperlink ref="D1107" r:id="rId23" xr:uid="{F74753C2-AA60-4014-89A8-FE0C7744D7EC}"/>
    <hyperlink ref="D1108" r:id="rId24" location="Sec2 " xr:uid="{9881EF79-8391-430B-BA7D-3BDAF0AB6C3D}"/>
    <hyperlink ref="D1126" r:id="rId25" location="Sec2 " xr:uid="{2E46300F-FAEB-4D3A-BFD3-68B4FFC40C14}"/>
    <hyperlink ref="D1127" r:id="rId26" location="Sec2 " xr:uid="{D01F44E3-61E3-4715-B865-906D3D1B8F8E}"/>
    <hyperlink ref="D1128" r:id="rId27" location="Sec2 " xr:uid="{29A5FC64-3E44-4C65-B326-CAB834F71C46}"/>
    <hyperlink ref="C1315" r:id="rId28" location="sec0007" xr:uid="{584386DF-BED3-4FF9-8FF1-6ED7FFE0B41A}"/>
    <hyperlink ref="D1129" r:id="rId29" xr:uid="{067E8A20-0B4D-4255-BD1F-A6B1FC4CA9A9}"/>
    <hyperlink ref="D1130" r:id="rId30" xr:uid="{E0F15616-E88A-434A-BBB2-4EF164514655}"/>
    <hyperlink ref="D1110" r:id="rId31" location="d1e1616 " xr:uid="{66081714-2BF3-4C4D-8A42-AEF91C731E27}"/>
    <hyperlink ref="D1111" r:id="rId32" location="d1e1616 " xr:uid="{98C50230-A00F-402F-9F39-B71191960596}"/>
    <hyperlink ref="D1113" r:id="rId33" xr:uid="{BBF3BB34-6FBB-4896-ADC7-03CCC458A699}"/>
    <hyperlink ref="D1115" r:id="rId34" xr:uid="{F08F1251-A476-41F3-8C94-AB8822693F66}"/>
    <hyperlink ref="D1114" r:id="rId35" xr:uid="{AC90AD71-F26C-407D-9AB0-5C20F482DD0F}"/>
    <hyperlink ref="D1116" r:id="rId36" xr:uid="{4F729161-2448-432B-9CE8-80EBE9AB8524}"/>
    <hyperlink ref="D1117" r:id="rId37" xr:uid="{A77F083B-BB64-494A-9DB6-92BB6F08CE7D}"/>
    <hyperlink ref="D1118" r:id="rId38" xr:uid="{D1B7E779-F597-451A-999E-A789D71D70BB}"/>
    <hyperlink ref="D1120" r:id="rId39" xr:uid="{CB5461F4-D558-4A41-AA28-77AC0CE2CC89}"/>
    <hyperlink ref="D1119" r:id="rId40" xr:uid="{EBC850CC-8A0B-4614-9A12-D6ABFD0040DB}"/>
    <hyperlink ref="D1121" r:id="rId41" xr:uid="{821B06FB-3E64-4C0A-A2CF-9249B00FFFC7}"/>
    <hyperlink ref="D1122" r:id="rId42" xr:uid="{CE40CD39-34EC-4BB2-9FCC-BDFE0BC5DC9E}"/>
    <hyperlink ref="D1123" r:id="rId43" location="ref-list1 " xr:uid="{E5F6970B-9600-4FAD-AEF7-468FD890D245}"/>
    <hyperlink ref="D1136" r:id="rId44" xr:uid="{A39FE41E-07C2-41A4-A395-A7E427B59BB7}"/>
    <hyperlink ref="D1138" r:id="rId45" location="aep-section-id18 " xr:uid="{192B897D-0CAD-4742-80CD-2D86BB22973F}"/>
    <hyperlink ref="D1137" r:id="rId46" xr:uid="{3158632F-E26D-4BE9-A8D8-8D63484C9931}"/>
    <hyperlink ref="F1305" r:id="rId47" xr:uid="{60C32E42-C531-4F7A-9617-5703140E62CD}"/>
    <hyperlink ref="D1139" r:id="rId48" xr:uid="{3FA97DB8-909B-4967-9174-87986A510F94}"/>
    <hyperlink ref="D1142" r:id="rId49" location="s3 " xr:uid="{01BC977E-516F-41D0-8430-B48BDA36A674}"/>
    <hyperlink ref="B1268" r:id="rId50" xr:uid="{B60E3FEB-2E43-4E00-8B4B-FF7141E3AFC5}"/>
    <hyperlink ref="D1143" r:id="rId51" xr:uid="{F3491770-318B-4FCD-9842-A9C0737D3D5B}"/>
    <hyperlink ref="D1255" r:id="rId52" location="h4" xr:uid="{2EF56263-CBCA-491D-B86A-0D91400D7A19}"/>
    <hyperlink ref="D1144" r:id="rId53" xr:uid="{FBF4BC82-5E1A-47B9-AD3C-CD805E295FD6}"/>
    <hyperlink ref="D1145" r:id="rId54" xr:uid="{6B765CDA-406D-4DA0-99DA-AB4840E12D20}"/>
    <hyperlink ref="D1146" r:id="rId55" xr:uid="{76145DCC-8AC9-47AC-9A96-7C1B7BBD7D1C}"/>
    <hyperlink ref="D1147" r:id="rId56" xr:uid="{5B9D6DAA-5E5B-4DBB-8BCD-726DB15DE4BC}"/>
    <hyperlink ref="D1148" r:id="rId57" xr:uid="{6C5955E1-D5ED-484A-8ABF-F801FC04C56A}"/>
    <hyperlink ref="D1149" r:id="rId58" xr:uid="{45154A9F-136B-400C-924D-B3CE7AB5FC5F}"/>
    <hyperlink ref="D1150" r:id="rId59" xr:uid="{4713602A-9BAF-470C-9F35-FBFF755592FE}"/>
    <hyperlink ref="D1151" r:id="rId60" xr:uid="{546013C3-38F7-4565-8F38-A3935B3CAF75}"/>
    <hyperlink ref="D1152" r:id="rId61" xr:uid="{5E42E983-4910-41D4-B5B8-1C522446D5CC}"/>
    <hyperlink ref="D1153" r:id="rId62" xr:uid="{94470DA0-46B0-4E0A-A5F7-29F49350025F}"/>
    <hyperlink ref="D1154" r:id="rId63" xr:uid="{D7C27EE1-ADD3-4B42-A0CB-9B906B353FD2}"/>
    <hyperlink ref="D1155" r:id="rId64" xr:uid="{6DB91289-3061-4936-A9A7-8E3979D1E8EE}"/>
    <hyperlink ref="D1156" r:id="rId65" xr:uid="{05BA1BB3-B13E-4175-BCC4-2D18CE71E3D8}"/>
    <hyperlink ref="D1157" r:id="rId66" xr:uid="{833A269B-5791-4FA7-A34A-9795877C25A7}"/>
    <hyperlink ref="D1158" r:id="rId67" xr:uid="{4873BBB5-1DEB-443B-9E85-F3BBF07C37FB}"/>
    <hyperlink ref="D1159" r:id="rId68" xr:uid="{02077B9A-7FDA-4864-9E84-D8BD28A1AB79}"/>
    <hyperlink ref="D1160" r:id="rId69" xr:uid="{109F0003-7DAD-4BFC-9A50-20E5A4DD4333}"/>
    <hyperlink ref="D1161" r:id="rId70" xr:uid="{4A777E93-977C-4780-B6C7-D339A1FD5023}"/>
    <hyperlink ref="D1162" r:id="rId71" xr:uid="{B0769296-F9EE-4CD4-951C-703A610C933E}"/>
    <hyperlink ref="D1176" r:id="rId72" xr:uid="{7FBB875A-DA3C-49D0-AF7F-0DDD5829F870}"/>
    <hyperlink ref="D1177" r:id="rId73" xr:uid="{EF92AFA1-8F61-4F96-8803-86361FE4C591}"/>
    <hyperlink ref="D1178" r:id="rId74" xr:uid="{68F8AD36-BB15-4E01-A35A-3E875FDDEFB3}"/>
    <hyperlink ref="D1179" r:id="rId75" xr:uid="{DAF80D27-CEA7-43C1-BC8B-28E3E454EFFB}"/>
    <hyperlink ref="D1180" r:id="rId76" xr:uid="{82FE6506-DEF1-4FA4-80AD-18F7B60328DB}"/>
    <hyperlink ref="D1333" r:id="rId77" xr:uid="{A6D35EEE-E4FA-455C-9255-BFA3B7AA5746}"/>
    <hyperlink ref="D1181" r:id="rId78" location="s0070 " xr:uid="{CEA9F665-9C87-416C-B55E-30EB58D9D868}"/>
    <hyperlink ref="D1182" r:id="rId79" xr:uid="{9CC3AB54-19A9-4166-AD76-4662FDBBB835}"/>
    <hyperlink ref="D1183" r:id="rId80" xr:uid="{5F2A3616-E6B3-4BAB-83BA-D979F6A0B8F9}"/>
    <hyperlink ref="D1184" r:id="rId81" xr:uid="{5FF88D2B-57BD-48B7-AF46-EE671DE02CCC}"/>
    <hyperlink ref="D1185" r:id="rId82" xr:uid="{3BECC689-C641-4750-962A-BC25D2326842}"/>
    <hyperlink ref="D1186" r:id="rId83" xr:uid="{67283608-53E7-426E-AC29-3A4E0D04FC0A}"/>
    <hyperlink ref="D1187" r:id="rId84" xr:uid="{F4D93895-D6D3-4BED-BFAE-5FB337EF4035}"/>
    <hyperlink ref="D1188" r:id="rId85" xr:uid="{EE91AD11-6DAD-4563-A01D-2F9F19A0235A}"/>
    <hyperlink ref="D1189" r:id="rId86" xr:uid="{5A848AB5-29F5-4B49-9506-901097147311}"/>
    <hyperlink ref="D1199" r:id="rId87" location="497048268" xr:uid="{802E1CC7-0386-42C3-A0E4-8018DC36A4A6}"/>
    <hyperlink ref="D1247" r:id="rId88" xr:uid="{608BA746-4D2B-47D1-8E15-C767B1CC7A5B}"/>
    <hyperlink ref="D1248" r:id="rId89" xr:uid="{53961C54-128F-4D2C-B304-0A82D349E9C3}"/>
    <hyperlink ref="D1242" r:id="rId90" xr:uid="{03AF065D-A04A-4160-B059-F8257A699E08}"/>
    <hyperlink ref="D1249" r:id="rId91" xr:uid="{D7EB2DB1-6AB1-4CEB-841A-4C1EBAEE92CB}"/>
    <hyperlink ref="D1250" r:id="rId92" xr:uid="{A4D949CF-F9EA-4DDC-BAC2-6680783CCC27}"/>
    <hyperlink ref="D1251" r:id="rId93" xr:uid="{200FC97C-875E-477C-A5DF-F3EB08F4C5A0}"/>
    <hyperlink ref="D1252" r:id="rId94" xr:uid="{85960517-0038-4630-8BF4-3A358D7D20C4}"/>
    <hyperlink ref="D1253" r:id="rId95" display="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 xr:uid="{57BC8EC8-6A75-42B8-B889-225C2BBD6383}"/>
    <hyperlink ref="D1257" r:id="rId96" display="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 xr:uid="{80B63B96-AF61-4FE3-A12E-38D6132D820D}"/>
    <hyperlink ref="D1125" r:id="rId97" xr:uid="{2C66E4BA-95CD-4D10-B4A8-11EAEFE95F46}"/>
    <hyperlink ref="D1124" r:id="rId98" xr:uid="{D1CD3DCC-DA2F-4091-86FA-A89EF2337E27}"/>
    <hyperlink ref="D1132" r:id="rId99" xr:uid="{B1F94FC9-5043-4D40-B281-7EB4E72DE486}"/>
    <hyperlink ref="D1133" r:id="rId100" location="s0050 " xr:uid="{FEC67FCB-413D-4251-9C2F-FB8C28FD7182}"/>
    <hyperlink ref="D1140" r:id="rId101" xr:uid="{3D4EBEB1-BA26-41A7-A4AA-4A00E2B08BAE}"/>
    <hyperlink ref="D1141" r:id="rId102" xr:uid="{3CF54CFE-59EB-4FBB-AECF-F5A600396D3E}"/>
    <hyperlink ref="D1134" r:id="rId103" xr:uid="{2CA6DB7B-B4FD-4DA5-9131-9FA86D437946}"/>
    <hyperlink ref="D1135" r:id="rId104" xr:uid="{3BD0F650-9F0F-4BA9-992F-12BF7AE332A1}"/>
    <hyperlink ref="D1258" r:id="rId105" xr:uid="{F9B70B49-317D-4533-91D2-2B23BFDEFCD4}"/>
  </hyperlinks>
  <pageMargins left="0.7" right="0.7" top="0.75" bottom="0.75" header="0.3" footer="0.3"/>
  <pageSetup paperSize="9" orientation="portrait" r:id="rId106"/>
  <legacyDrawing r:id="rId10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FD406-F743-E847-AD1D-5C4D8E635EAD}">
  <dimension ref="A1:I8"/>
  <sheetViews>
    <sheetView workbookViewId="0">
      <selection activeCell="C6" sqref="C6"/>
    </sheetView>
  </sheetViews>
  <sheetFormatPr baseColWidth="10" defaultColWidth="10.6640625" defaultRowHeight="16" x14ac:dyDescent="0.2"/>
  <sheetData>
    <row r="1" spans="1:9" x14ac:dyDescent="0.2">
      <c r="A1" s="1" t="s">
        <v>1095</v>
      </c>
    </row>
    <row r="2" spans="1:9" x14ac:dyDescent="0.2">
      <c r="A2" s="1" t="s">
        <v>300</v>
      </c>
    </row>
    <row r="3" spans="1:9" x14ac:dyDescent="0.2">
      <c r="A3" s="1" t="s">
        <v>146</v>
      </c>
    </row>
    <row r="5" spans="1:9" x14ac:dyDescent="0.2">
      <c r="A5" t="s">
        <v>1061</v>
      </c>
      <c r="B5" t="s">
        <v>901</v>
      </c>
      <c r="C5" t="s">
        <v>1062</v>
      </c>
      <c r="D5" t="s">
        <v>1063</v>
      </c>
      <c r="E5" t="s">
        <v>900</v>
      </c>
      <c r="F5" t="s">
        <v>1064</v>
      </c>
      <c r="G5" t="s">
        <v>1065</v>
      </c>
      <c r="H5" t="s">
        <v>1066</v>
      </c>
      <c r="I5" t="s">
        <v>1067</v>
      </c>
    </row>
    <row r="6" spans="1:9" x14ac:dyDescent="0.2">
      <c r="A6" t="s">
        <v>1061</v>
      </c>
      <c r="B6" t="s">
        <v>1068</v>
      </c>
      <c r="C6" t="s">
        <v>1062</v>
      </c>
      <c r="D6" t="s">
        <v>1063</v>
      </c>
      <c r="E6" t="s">
        <v>1069</v>
      </c>
      <c r="F6" t="s">
        <v>1064</v>
      </c>
      <c r="G6" t="s">
        <v>1065</v>
      </c>
      <c r="H6" t="s">
        <v>1066</v>
      </c>
      <c r="I6" t="s">
        <v>1070</v>
      </c>
    </row>
    <row r="7" spans="1:9" x14ac:dyDescent="0.2">
      <c r="A7" t="s">
        <v>1061</v>
      </c>
      <c r="B7" t="s">
        <v>900</v>
      </c>
      <c r="C7" t="s">
        <v>1062</v>
      </c>
      <c r="D7" t="s">
        <v>1063</v>
      </c>
      <c r="E7" t="s">
        <v>901</v>
      </c>
      <c r="F7" t="s">
        <v>1064</v>
      </c>
      <c r="G7" t="s">
        <v>1065</v>
      </c>
      <c r="H7" t="s">
        <v>1066</v>
      </c>
      <c r="I7" t="s">
        <v>1071</v>
      </c>
    </row>
    <row r="8" spans="1:9" x14ac:dyDescent="0.2">
      <c r="A8" t="s">
        <v>1061</v>
      </c>
      <c r="B8" t="s">
        <v>1069</v>
      </c>
      <c r="C8" t="s">
        <v>1062</v>
      </c>
      <c r="D8" t="s">
        <v>1063</v>
      </c>
      <c r="E8" t="s">
        <v>1068</v>
      </c>
      <c r="F8" t="s">
        <v>1064</v>
      </c>
      <c r="G8" t="s">
        <v>1065</v>
      </c>
      <c r="H8" t="s">
        <v>1066</v>
      </c>
      <c r="I8" t="s">
        <v>1072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43AF6-6DCB-AF4F-8F25-C4A6CBC621B0}">
  <dimension ref="A1:AE27"/>
  <sheetViews>
    <sheetView workbookViewId="0">
      <selection activeCell="B26" sqref="B26"/>
    </sheetView>
  </sheetViews>
  <sheetFormatPr baseColWidth="10" defaultColWidth="10.6640625" defaultRowHeight="16" x14ac:dyDescent="0.2"/>
  <sheetData>
    <row r="1" spans="1:24" x14ac:dyDescent="0.2">
      <c r="A1" s="1" t="s">
        <v>528</v>
      </c>
      <c r="B1" s="1" t="s">
        <v>365</v>
      </c>
      <c r="C1" s="1" t="s">
        <v>0</v>
      </c>
      <c r="D1" s="1" t="s">
        <v>572</v>
      </c>
      <c r="E1" s="1" t="s">
        <v>6</v>
      </c>
      <c r="F1" s="1" t="s">
        <v>512</v>
      </c>
      <c r="G1" s="1" t="s">
        <v>515</v>
      </c>
      <c r="H1" s="1" t="s">
        <v>516</v>
      </c>
      <c r="I1" s="1" t="s">
        <v>565</v>
      </c>
      <c r="J1" s="1" t="s">
        <v>566</v>
      </c>
      <c r="K1" s="1" t="s">
        <v>620</v>
      </c>
      <c r="L1" s="1" t="s">
        <v>372</v>
      </c>
      <c r="M1" s="1" t="s">
        <v>293</v>
      </c>
      <c r="N1" s="1" t="s">
        <v>527</v>
      </c>
      <c r="O1" s="1" t="s">
        <v>1</v>
      </c>
      <c r="P1" s="1" t="s">
        <v>517</v>
      </c>
      <c r="Q1" s="1" t="s">
        <v>837</v>
      </c>
      <c r="R1" s="1" t="s">
        <v>563</v>
      </c>
      <c r="S1" s="1" t="s">
        <v>500</v>
      </c>
      <c r="T1" s="1" t="s">
        <v>302</v>
      </c>
      <c r="U1" s="1" t="s">
        <v>524</v>
      </c>
      <c r="V1" s="1" t="s">
        <v>14</v>
      </c>
      <c r="W1" s="1" t="s">
        <v>564</v>
      </c>
      <c r="X1" s="1" t="s">
        <v>25</v>
      </c>
    </row>
    <row r="2" spans="1:24" x14ac:dyDescent="0.2">
      <c r="A2">
        <v>3</v>
      </c>
      <c r="B2" t="s">
        <v>366</v>
      </c>
      <c r="C2" t="s">
        <v>11</v>
      </c>
      <c r="D2">
        <v>2019</v>
      </c>
      <c r="E2" t="s">
        <v>10</v>
      </c>
      <c r="F2" t="s">
        <v>513</v>
      </c>
      <c r="I2">
        <v>1979</v>
      </c>
      <c r="J2">
        <v>2015</v>
      </c>
      <c r="K2">
        <f t="shared" ref="K2:K12" si="0">J2-I2+1</f>
        <v>37</v>
      </c>
      <c r="M2" t="s">
        <v>51</v>
      </c>
      <c r="N2" t="s">
        <v>51</v>
      </c>
      <c r="O2" t="s">
        <v>8</v>
      </c>
      <c r="P2" t="s">
        <v>9</v>
      </c>
      <c r="R2" t="s">
        <v>165</v>
      </c>
      <c r="S2" t="s">
        <v>164</v>
      </c>
      <c r="T2" t="s">
        <v>24</v>
      </c>
      <c r="U2" t="s">
        <v>366</v>
      </c>
      <c r="V2" t="s">
        <v>844</v>
      </c>
    </row>
    <row r="3" spans="1:24" x14ac:dyDescent="0.2">
      <c r="A3">
        <v>20</v>
      </c>
      <c r="B3" t="s">
        <v>366</v>
      </c>
      <c r="C3" t="s">
        <v>45</v>
      </c>
      <c r="D3">
        <v>2010</v>
      </c>
      <c r="E3" t="s">
        <v>46</v>
      </c>
      <c r="F3" t="s">
        <v>513</v>
      </c>
      <c r="I3">
        <v>1989</v>
      </c>
      <c r="J3">
        <v>2008</v>
      </c>
      <c r="K3">
        <f t="shared" si="0"/>
        <v>20</v>
      </c>
      <c r="M3" t="s">
        <v>378</v>
      </c>
      <c r="N3" t="s">
        <v>294</v>
      </c>
      <c r="O3" t="s">
        <v>40</v>
      </c>
      <c r="P3" t="s">
        <v>41</v>
      </c>
      <c r="R3" t="s">
        <v>165</v>
      </c>
      <c r="S3" t="s">
        <v>164</v>
      </c>
      <c r="T3" t="s">
        <v>24</v>
      </c>
      <c r="U3" t="s">
        <v>366</v>
      </c>
      <c r="V3" t="s">
        <v>867</v>
      </c>
    </row>
    <row r="4" spans="1:24" x14ac:dyDescent="0.2">
      <c r="A4">
        <v>21</v>
      </c>
      <c r="B4" t="s">
        <v>366</v>
      </c>
      <c r="C4" t="s">
        <v>45</v>
      </c>
      <c r="D4">
        <v>2010</v>
      </c>
      <c r="E4" t="s">
        <v>46</v>
      </c>
      <c r="F4" t="s">
        <v>513</v>
      </c>
      <c r="I4">
        <v>1989</v>
      </c>
      <c r="J4">
        <v>2008</v>
      </c>
      <c r="K4">
        <f t="shared" si="0"/>
        <v>20</v>
      </c>
      <c r="M4" t="s">
        <v>378</v>
      </c>
      <c r="N4" t="s">
        <v>294</v>
      </c>
      <c r="O4" t="s">
        <v>43</v>
      </c>
      <c r="P4" t="s">
        <v>44</v>
      </c>
      <c r="R4" t="s">
        <v>165</v>
      </c>
      <c r="S4" t="s">
        <v>164</v>
      </c>
      <c r="T4" t="s">
        <v>24</v>
      </c>
      <c r="U4" t="s">
        <v>366</v>
      </c>
      <c r="V4" t="s">
        <v>867</v>
      </c>
    </row>
    <row r="5" spans="1:24" x14ac:dyDescent="0.2">
      <c r="A5">
        <v>152</v>
      </c>
      <c r="B5" t="s">
        <v>366</v>
      </c>
      <c r="C5" t="s">
        <v>97</v>
      </c>
      <c r="D5">
        <v>2006</v>
      </c>
      <c r="E5" t="s">
        <v>102</v>
      </c>
      <c r="F5" t="s">
        <v>514</v>
      </c>
      <c r="G5">
        <v>-66.67</v>
      </c>
      <c r="H5">
        <v>140</v>
      </c>
      <c r="I5">
        <v>1950</v>
      </c>
      <c r="J5">
        <v>2005</v>
      </c>
      <c r="K5">
        <f t="shared" si="0"/>
        <v>56</v>
      </c>
      <c r="M5" t="s">
        <v>380</v>
      </c>
      <c r="N5" t="s">
        <v>380</v>
      </c>
      <c r="O5" t="s">
        <v>473</v>
      </c>
      <c r="P5" t="s">
        <v>82</v>
      </c>
      <c r="R5" t="s">
        <v>165</v>
      </c>
      <c r="S5" t="s">
        <v>164</v>
      </c>
      <c r="T5" s="2" t="s">
        <v>3</v>
      </c>
      <c r="U5" t="s">
        <v>366</v>
      </c>
      <c r="V5" t="s">
        <v>145</v>
      </c>
      <c r="W5" s="2" t="s">
        <v>871</v>
      </c>
      <c r="X5" s="2"/>
    </row>
    <row r="6" spans="1:24" x14ac:dyDescent="0.2">
      <c r="A6">
        <v>153</v>
      </c>
      <c r="B6" t="s">
        <v>366</v>
      </c>
      <c r="C6" t="s">
        <v>97</v>
      </c>
      <c r="D6">
        <v>2006</v>
      </c>
      <c r="E6" t="s">
        <v>102</v>
      </c>
      <c r="F6" t="s">
        <v>514</v>
      </c>
      <c r="I6">
        <v>1950</v>
      </c>
      <c r="J6">
        <v>2005</v>
      </c>
      <c r="K6">
        <f t="shared" si="0"/>
        <v>56</v>
      </c>
      <c r="M6" t="s">
        <v>380</v>
      </c>
      <c r="N6" t="s">
        <v>380</v>
      </c>
      <c r="O6" t="s">
        <v>474</v>
      </c>
      <c r="P6" t="s">
        <v>83</v>
      </c>
      <c r="R6">
        <f>0.086*10</f>
        <v>0.85999999999999988</v>
      </c>
      <c r="S6" t="s">
        <v>24</v>
      </c>
      <c r="T6" s="2" t="s">
        <v>3</v>
      </c>
      <c r="U6" t="s">
        <v>366</v>
      </c>
      <c r="V6" t="s">
        <v>104</v>
      </c>
      <c r="W6" s="2" t="s">
        <v>871</v>
      </c>
      <c r="X6" s="2"/>
    </row>
    <row r="7" spans="1:24" x14ac:dyDescent="0.2">
      <c r="A7">
        <v>154</v>
      </c>
      <c r="B7" t="s">
        <v>366</v>
      </c>
      <c r="C7" t="s">
        <v>97</v>
      </c>
      <c r="D7">
        <v>2006</v>
      </c>
      <c r="E7" t="s">
        <v>102</v>
      </c>
      <c r="F7" t="s">
        <v>514</v>
      </c>
      <c r="I7">
        <v>1950</v>
      </c>
      <c r="J7">
        <v>2005</v>
      </c>
      <c r="K7">
        <f t="shared" si="0"/>
        <v>56</v>
      </c>
      <c r="M7" t="s">
        <v>380</v>
      </c>
      <c r="N7" t="s">
        <v>380</v>
      </c>
      <c r="O7" t="s">
        <v>480</v>
      </c>
      <c r="P7" t="s">
        <v>84</v>
      </c>
      <c r="R7">
        <f>0.078*10</f>
        <v>0.78</v>
      </c>
      <c r="S7" t="s">
        <v>24</v>
      </c>
      <c r="T7" s="2" t="s">
        <v>3</v>
      </c>
      <c r="U7" t="s">
        <v>366</v>
      </c>
      <c r="V7" t="s">
        <v>104</v>
      </c>
      <c r="W7" s="2" t="s">
        <v>871</v>
      </c>
      <c r="X7" s="2"/>
    </row>
    <row r="8" spans="1:24" x14ac:dyDescent="0.2">
      <c r="A8">
        <v>155</v>
      </c>
      <c r="B8" t="s">
        <v>366</v>
      </c>
      <c r="C8" t="s">
        <v>97</v>
      </c>
      <c r="D8">
        <v>2006</v>
      </c>
      <c r="E8" t="s">
        <v>102</v>
      </c>
      <c r="F8" t="s">
        <v>514</v>
      </c>
      <c r="I8">
        <v>1950</v>
      </c>
      <c r="J8">
        <v>2005</v>
      </c>
      <c r="K8">
        <f t="shared" si="0"/>
        <v>56</v>
      </c>
      <c r="M8" t="s">
        <v>380</v>
      </c>
      <c r="N8" t="s">
        <v>380</v>
      </c>
      <c r="P8" t="s">
        <v>85</v>
      </c>
      <c r="R8" t="s">
        <v>165</v>
      </c>
      <c r="S8" t="s">
        <v>164</v>
      </c>
      <c r="T8" s="2" t="s">
        <v>3</v>
      </c>
      <c r="U8" t="s">
        <v>366</v>
      </c>
      <c r="V8" t="s">
        <v>145</v>
      </c>
      <c r="W8" s="2" t="s">
        <v>871</v>
      </c>
      <c r="X8" s="2"/>
    </row>
    <row r="9" spans="1:24" x14ac:dyDescent="0.2">
      <c r="A9">
        <v>156</v>
      </c>
      <c r="B9" t="s">
        <v>366</v>
      </c>
      <c r="C9" t="s">
        <v>97</v>
      </c>
      <c r="D9">
        <v>2006</v>
      </c>
      <c r="E9" t="s">
        <v>102</v>
      </c>
      <c r="F9" t="s">
        <v>514</v>
      </c>
      <c r="I9">
        <v>1950</v>
      </c>
      <c r="J9">
        <v>2005</v>
      </c>
      <c r="K9">
        <f t="shared" si="0"/>
        <v>56</v>
      </c>
      <c r="M9" t="s">
        <v>380</v>
      </c>
      <c r="N9" t="s">
        <v>380</v>
      </c>
      <c r="P9" t="s">
        <v>86</v>
      </c>
      <c r="R9">
        <f>-0.072*10</f>
        <v>-0.72</v>
      </c>
      <c r="S9" t="s">
        <v>3</v>
      </c>
      <c r="T9" s="2" t="s">
        <v>3</v>
      </c>
      <c r="U9" t="s">
        <v>366</v>
      </c>
      <c r="V9" t="s">
        <v>104</v>
      </c>
      <c r="W9" s="2" t="s">
        <v>871</v>
      </c>
      <c r="X9" s="2"/>
    </row>
    <row r="10" spans="1:24" x14ac:dyDescent="0.2">
      <c r="A10">
        <v>282</v>
      </c>
      <c r="B10" t="s">
        <v>367</v>
      </c>
      <c r="C10" t="s">
        <v>342</v>
      </c>
      <c r="D10">
        <v>2003</v>
      </c>
      <c r="E10" t="s">
        <v>505</v>
      </c>
      <c r="F10" t="s">
        <v>513</v>
      </c>
      <c r="G10">
        <v>50.87</v>
      </c>
      <c r="H10">
        <v>-129.08000000000001</v>
      </c>
      <c r="I10">
        <v>1975</v>
      </c>
      <c r="J10">
        <v>2002</v>
      </c>
      <c r="K10">
        <f t="shared" si="0"/>
        <v>28</v>
      </c>
      <c r="L10" t="s">
        <v>369</v>
      </c>
      <c r="M10" t="s">
        <v>380</v>
      </c>
      <c r="N10" t="s">
        <v>380</v>
      </c>
      <c r="O10" t="s">
        <v>471</v>
      </c>
      <c r="P10" t="s">
        <v>394</v>
      </c>
      <c r="R10">
        <v>-5.71</v>
      </c>
      <c r="S10" t="s">
        <v>3</v>
      </c>
      <c r="T10" t="s">
        <v>3</v>
      </c>
      <c r="U10" t="s">
        <v>518</v>
      </c>
      <c r="V10" t="s">
        <v>873</v>
      </c>
    </row>
    <row r="11" spans="1:24" x14ac:dyDescent="0.2">
      <c r="B11" t="s">
        <v>366</v>
      </c>
      <c r="C11" t="s">
        <v>105</v>
      </c>
      <c r="D11">
        <v>2011</v>
      </c>
      <c r="E11" t="s">
        <v>108</v>
      </c>
      <c r="F11" t="s">
        <v>513</v>
      </c>
      <c r="G11">
        <f>56.952</f>
        <v>56.951999999999998</v>
      </c>
      <c r="H11">
        <f>11.3004</f>
        <v>11.3004</v>
      </c>
      <c r="I11">
        <v>1987</v>
      </c>
      <c r="J11">
        <v>2008</v>
      </c>
      <c r="K11">
        <f t="shared" si="0"/>
        <v>22</v>
      </c>
      <c r="M11" t="s">
        <v>51</v>
      </c>
      <c r="N11" t="s">
        <v>51</v>
      </c>
      <c r="O11" t="s">
        <v>106</v>
      </c>
      <c r="P11" t="s">
        <v>107</v>
      </c>
      <c r="Q11" t="s">
        <v>852</v>
      </c>
      <c r="R11">
        <v>-3.45</v>
      </c>
      <c r="S11" t="s">
        <v>3</v>
      </c>
      <c r="T11" s="2" t="s">
        <v>24</v>
      </c>
      <c r="U11" t="s">
        <v>366</v>
      </c>
      <c r="V11" t="s">
        <v>855</v>
      </c>
    </row>
    <row r="12" spans="1:24" s="4" customFormat="1" x14ac:dyDescent="0.2">
      <c r="A12" s="4">
        <v>138</v>
      </c>
      <c r="B12" s="4" t="s">
        <v>366</v>
      </c>
      <c r="C12" s="4" t="s">
        <v>72</v>
      </c>
      <c r="D12" s="4">
        <v>2017</v>
      </c>
      <c r="E12" s="4" t="s">
        <v>77</v>
      </c>
      <c r="F12" s="4" t="s">
        <v>513</v>
      </c>
      <c r="G12" s="8">
        <v>53.578699999999998</v>
      </c>
      <c r="H12" s="4">
        <v>6.9494999999999996</v>
      </c>
      <c r="I12" s="4">
        <v>1960</v>
      </c>
      <c r="J12" s="4">
        <v>2013</v>
      </c>
      <c r="K12" s="4">
        <f t="shared" si="0"/>
        <v>54</v>
      </c>
      <c r="M12" s="4" t="s">
        <v>51</v>
      </c>
      <c r="N12" s="4" t="s">
        <v>51</v>
      </c>
      <c r="O12" s="4" t="s">
        <v>51</v>
      </c>
      <c r="P12" s="4" t="s">
        <v>242</v>
      </c>
      <c r="R12" s="9">
        <v>5.6</v>
      </c>
      <c r="S12" s="4" t="s">
        <v>24</v>
      </c>
      <c r="T12" s="4" t="s">
        <v>3</v>
      </c>
      <c r="U12" s="4" t="s">
        <v>366</v>
      </c>
      <c r="V12" s="4" t="s">
        <v>580</v>
      </c>
    </row>
    <row r="13" spans="1:24" x14ac:dyDescent="0.2">
      <c r="B13" t="s">
        <v>366</v>
      </c>
      <c r="C13" t="s">
        <v>945</v>
      </c>
      <c r="D13">
        <v>2012</v>
      </c>
      <c r="E13" t="s">
        <v>103</v>
      </c>
      <c r="F13" t="s">
        <v>513</v>
      </c>
      <c r="G13">
        <v>56.5</v>
      </c>
      <c r="H13">
        <v>-1.5</v>
      </c>
      <c r="I13">
        <v>1983</v>
      </c>
      <c r="J13">
        <v>2006</v>
      </c>
      <c r="K13">
        <f t="shared" ref="K13:K18" si="1">J13-I13+1</f>
        <v>24</v>
      </c>
      <c r="L13" t="s">
        <v>369</v>
      </c>
      <c r="M13" t="s">
        <v>299</v>
      </c>
      <c r="N13" t="s">
        <v>299</v>
      </c>
      <c r="O13" t="s">
        <v>299</v>
      </c>
      <c r="P13" t="s">
        <v>946</v>
      </c>
      <c r="Q13" t="s">
        <v>864</v>
      </c>
      <c r="R13">
        <v>-1.7955708507452599</v>
      </c>
      <c r="S13" t="s">
        <v>3</v>
      </c>
      <c r="T13" t="s">
        <v>3</v>
      </c>
      <c r="U13" t="s">
        <v>366</v>
      </c>
      <c r="V13" t="s">
        <v>959</v>
      </c>
    </row>
    <row r="14" spans="1:24" x14ac:dyDescent="0.2">
      <c r="B14" t="s">
        <v>366</v>
      </c>
      <c r="C14" t="s">
        <v>966</v>
      </c>
      <c r="D14">
        <v>2018</v>
      </c>
      <c r="E14" t="s">
        <v>967</v>
      </c>
      <c r="F14" t="s">
        <v>513</v>
      </c>
      <c r="G14" s="13">
        <v>79</v>
      </c>
      <c r="H14" s="13">
        <v>11.5</v>
      </c>
      <c r="I14" s="13">
        <v>1996</v>
      </c>
      <c r="J14" s="13">
        <v>2010</v>
      </c>
      <c r="K14" s="13">
        <f t="shared" si="1"/>
        <v>15</v>
      </c>
      <c r="L14" t="s">
        <v>369</v>
      </c>
      <c r="M14" t="s">
        <v>52</v>
      </c>
      <c r="N14" t="s">
        <v>52</v>
      </c>
      <c r="O14" t="s">
        <v>484</v>
      </c>
      <c r="P14" t="s">
        <v>119</v>
      </c>
      <c r="R14" t="s">
        <v>165</v>
      </c>
      <c r="T14" t="s">
        <v>3</v>
      </c>
      <c r="U14" t="s">
        <v>366</v>
      </c>
      <c r="V14" t="s">
        <v>979</v>
      </c>
    </row>
    <row r="15" spans="1:24" x14ac:dyDescent="0.2">
      <c r="B15" t="s">
        <v>366</v>
      </c>
      <c r="C15" t="s">
        <v>966</v>
      </c>
      <c r="D15">
        <v>2018</v>
      </c>
      <c r="E15" t="s">
        <v>968</v>
      </c>
      <c r="F15" t="s">
        <v>513</v>
      </c>
      <c r="G15" s="13">
        <v>67</v>
      </c>
      <c r="H15" s="13">
        <v>-18.25</v>
      </c>
      <c r="I15" s="13">
        <v>1990</v>
      </c>
      <c r="J15" s="13">
        <v>2011</v>
      </c>
      <c r="K15" s="13">
        <f t="shared" si="1"/>
        <v>22</v>
      </c>
      <c r="L15" t="s">
        <v>369</v>
      </c>
      <c r="M15" t="s">
        <v>52</v>
      </c>
      <c r="N15" t="s">
        <v>52</v>
      </c>
      <c r="O15" t="s">
        <v>484</v>
      </c>
      <c r="P15" t="s">
        <v>119</v>
      </c>
      <c r="R15" t="s">
        <v>165</v>
      </c>
      <c r="T15" t="s">
        <v>3</v>
      </c>
      <c r="U15" t="s">
        <v>366</v>
      </c>
      <c r="V15" t="s">
        <v>979</v>
      </c>
    </row>
    <row r="16" spans="1:24" x14ac:dyDescent="0.2">
      <c r="B16" t="s">
        <v>366</v>
      </c>
      <c r="C16" t="s">
        <v>997</v>
      </c>
      <c r="D16">
        <v>2019</v>
      </c>
      <c r="E16" t="s">
        <v>998</v>
      </c>
      <c r="F16" t="s">
        <v>514</v>
      </c>
      <c r="G16" s="13">
        <f>64+46/60</f>
        <v>64.766666666666666</v>
      </c>
      <c r="H16" s="13">
        <f>-64-5/60</f>
        <v>-64.083333333333329</v>
      </c>
      <c r="I16" s="13">
        <v>1991</v>
      </c>
      <c r="J16" s="13">
        <v>2016</v>
      </c>
      <c r="K16" s="13">
        <f t="shared" si="1"/>
        <v>26</v>
      </c>
      <c r="L16" t="s">
        <v>369</v>
      </c>
      <c r="M16" t="s">
        <v>380</v>
      </c>
      <c r="U16" t="s">
        <v>366</v>
      </c>
      <c r="V16" t="s">
        <v>999</v>
      </c>
    </row>
    <row r="17" spans="1:31" x14ac:dyDescent="0.2">
      <c r="B17" t="s">
        <v>366</v>
      </c>
      <c r="C17" t="s">
        <v>914</v>
      </c>
      <c r="D17">
        <v>2009</v>
      </c>
      <c r="E17" t="s">
        <v>915</v>
      </c>
      <c r="F17" t="s">
        <v>513</v>
      </c>
      <c r="G17" s="13">
        <v>44.303890000000003</v>
      </c>
      <c r="H17" s="13">
        <v>9.2077779999999994</v>
      </c>
      <c r="I17" s="13">
        <v>1980</v>
      </c>
      <c r="J17" s="13">
        <v>2004</v>
      </c>
      <c r="K17" s="13">
        <f t="shared" si="1"/>
        <v>25</v>
      </c>
      <c r="L17" t="s">
        <v>916</v>
      </c>
      <c r="M17" t="s">
        <v>912</v>
      </c>
      <c r="N17" t="s">
        <v>971</v>
      </c>
      <c r="O17" t="s">
        <v>918</v>
      </c>
      <c r="P17" t="s">
        <v>917</v>
      </c>
      <c r="Q17" t="s">
        <v>919</v>
      </c>
      <c r="T17" t="s">
        <v>165</v>
      </c>
      <c r="U17" t="s">
        <v>3</v>
      </c>
      <c r="V17" t="s">
        <v>3</v>
      </c>
      <c r="W17" t="s">
        <v>366</v>
      </c>
      <c r="X17" t="s">
        <v>1075</v>
      </c>
    </row>
    <row r="18" spans="1:31" x14ac:dyDescent="0.2">
      <c r="A18">
        <v>19</v>
      </c>
      <c r="B18" t="s">
        <v>366</v>
      </c>
      <c r="C18" t="s">
        <v>976</v>
      </c>
      <c r="D18">
        <v>2016</v>
      </c>
      <c r="E18" t="s">
        <v>39</v>
      </c>
      <c r="F18" t="s">
        <v>513</v>
      </c>
      <c r="G18" s="14">
        <v>37.786999999999999</v>
      </c>
      <c r="H18" s="14">
        <v>20.899899999999999</v>
      </c>
      <c r="I18" s="13">
        <v>1984</v>
      </c>
      <c r="J18" s="13">
        <v>2009</v>
      </c>
      <c r="K18" s="13">
        <f t="shared" si="1"/>
        <v>26</v>
      </c>
      <c r="L18" t="s">
        <v>369</v>
      </c>
      <c r="M18" t="s">
        <v>970</v>
      </c>
      <c r="N18" t="s">
        <v>294</v>
      </c>
      <c r="O18" t="s">
        <v>40</v>
      </c>
      <c r="P18" t="s">
        <v>41</v>
      </c>
      <c r="R18" s="17"/>
      <c r="S18" s="17"/>
      <c r="U18" t="s">
        <v>165</v>
      </c>
      <c r="V18" t="s">
        <v>1283</v>
      </c>
      <c r="W18" t="s">
        <v>3</v>
      </c>
      <c r="X18" t="s">
        <v>366</v>
      </c>
      <c r="Y18" t="s">
        <v>1121</v>
      </c>
      <c r="AA18" t="s">
        <v>42</v>
      </c>
      <c r="AB18" t="s">
        <v>1100</v>
      </c>
      <c r="AC18" s="15" t="s">
        <v>1153</v>
      </c>
      <c r="AD18" s="15" t="s">
        <v>3</v>
      </c>
      <c r="AE18" t="s">
        <v>1100</v>
      </c>
    </row>
    <row r="19" spans="1:31" x14ac:dyDescent="0.2">
      <c r="C19" t="s">
        <v>1282</v>
      </c>
      <c r="D19">
        <v>2013</v>
      </c>
      <c r="V19" t="s">
        <v>1283</v>
      </c>
    </row>
    <row r="20" spans="1:31" x14ac:dyDescent="0.2">
      <c r="C20" t="s">
        <v>1284</v>
      </c>
      <c r="V20" t="s">
        <v>1283</v>
      </c>
    </row>
    <row r="21" spans="1:31" x14ac:dyDescent="0.2">
      <c r="C21" t="s">
        <v>1285</v>
      </c>
      <c r="V21" t="s">
        <v>1286</v>
      </c>
    </row>
    <row r="22" spans="1:31" x14ac:dyDescent="0.2">
      <c r="C22" t="s">
        <v>1288</v>
      </c>
      <c r="V22" t="s">
        <v>1287</v>
      </c>
    </row>
    <row r="23" spans="1:31" x14ac:dyDescent="0.2">
      <c r="C23" t="s">
        <v>1289</v>
      </c>
      <c r="V23" t="s">
        <v>1283</v>
      </c>
    </row>
    <row r="24" spans="1:31" x14ac:dyDescent="0.2">
      <c r="C24" t="s">
        <v>1290</v>
      </c>
      <c r="V24" t="s">
        <v>1291</v>
      </c>
    </row>
    <row r="25" spans="1:31" x14ac:dyDescent="0.2">
      <c r="C25" t="s">
        <v>1301</v>
      </c>
      <c r="V25" t="s">
        <v>1302</v>
      </c>
    </row>
    <row r="26" spans="1:31" x14ac:dyDescent="0.2">
      <c r="C26" t="s">
        <v>1303</v>
      </c>
      <c r="V26" t="s">
        <v>1287</v>
      </c>
    </row>
    <row r="27" spans="1:31" ht="30" x14ac:dyDescent="0.3">
      <c r="C27"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Phenology_Database_IPCC_Mar2019</vt:lpstr>
      <vt:lpstr>Information</vt:lpstr>
      <vt:lpstr>Reference not 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J. Richardson</dc:creator>
  <cp:lastModifiedBy>Kris Jypson Esturas</cp:lastModifiedBy>
  <dcterms:created xsi:type="dcterms:W3CDTF">2019-03-27T20:34:58Z</dcterms:created>
  <dcterms:modified xsi:type="dcterms:W3CDTF">2026-09-10T05:05:08Z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2026-09-10T05:05:08Z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aff0bbce-186c-4df6-a755-d255c0e314cf</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